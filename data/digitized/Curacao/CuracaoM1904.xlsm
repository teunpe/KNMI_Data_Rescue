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Invoer!$A$3:$A$382</definedName>
    <definedName name="Catalogus">Info!$M$3:$AG$4</definedName>
    <definedName name="Data">Invoer!$A$3:$U$382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367" i="3" l="1"/>
  <c r="C367" i="3"/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50" i="1" l="1"/>
  <c r="T350" i="1"/>
  <c r="S350" i="1"/>
  <c r="R350" i="1"/>
  <c r="P350" i="1"/>
  <c r="O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U287" i="1"/>
  <c r="T287" i="1"/>
  <c r="S287" i="1"/>
  <c r="R287" i="1"/>
  <c r="P287" i="1"/>
  <c r="O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U192" i="1"/>
  <c r="T192" i="1"/>
  <c r="S192" i="1"/>
  <c r="R192" i="1"/>
  <c r="P192" i="1"/>
  <c r="O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U129" i="1"/>
  <c r="T129" i="1"/>
  <c r="S129" i="1"/>
  <c r="R129" i="1"/>
  <c r="P129" i="1"/>
  <c r="O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U66" i="1"/>
  <c r="T66" i="1"/>
  <c r="S66" i="1"/>
  <c r="R66" i="1"/>
  <c r="P66" i="1"/>
  <c r="O66" i="1"/>
  <c r="M66" i="1"/>
  <c r="L66" i="1"/>
  <c r="K66" i="1"/>
  <c r="J66" i="1"/>
  <c r="I66" i="1"/>
  <c r="H66" i="1"/>
  <c r="G66" i="1"/>
  <c r="F66" i="1"/>
  <c r="E66" i="1"/>
  <c r="D66" i="1"/>
  <c r="C66" i="1"/>
  <c r="B66" i="1"/>
  <c r="U382" i="1"/>
  <c r="T382" i="1"/>
  <c r="S382" i="1"/>
  <c r="R382" i="1"/>
  <c r="P382" i="1"/>
  <c r="O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U319" i="1"/>
  <c r="T319" i="1"/>
  <c r="S319" i="1"/>
  <c r="R319" i="1"/>
  <c r="P319" i="1"/>
  <c r="O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U256" i="1"/>
  <c r="T256" i="1"/>
  <c r="S256" i="1"/>
  <c r="R256" i="1"/>
  <c r="P256" i="1"/>
  <c r="O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U224" i="1"/>
  <c r="T224" i="1"/>
  <c r="S224" i="1"/>
  <c r="R224" i="1"/>
  <c r="P224" i="1"/>
  <c r="O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U161" i="1"/>
  <c r="T161" i="1"/>
  <c r="S161" i="1"/>
  <c r="R161" i="1"/>
  <c r="P161" i="1"/>
  <c r="O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U98" i="1"/>
  <c r="T98" i="1"/>
  <c r="S98" i="1"/>
  <c r="R98" i="1"/>
  <c r="P98" i="1"/>
  <c r="O98" i="1"/>
  <c r="M98" i="1"/>
  <c r="L98" i="1"/>
  <c r="K98" i="1"/>
  <c r="J98" i="1"/>
  <c r="I98" i="1"/>
  <c r="H98" i="1"/>
  <c r="G98" i="1"/>
  <c r="F98" i="1"/>
  <c r="E98" i="1"/>
  <c r="D98" i="1"/>
  <c r="C98" i="1"/>
  <c r="B98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B367" i="3" s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B367" i="2"/>
  <c r="A367" i="2"/>
  <c r="B6" i="3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U367" i="3" l="1"/>
  <c r="AJ367" i="3"/>
  <c r="T367" i="3"/>
  <c r="D367" i="3"/>
  <c r="Q367" i="3"/>
  <c r="AE367" i="3"/>
  <c r="O367" i="3"/>
  <c r="AH367" i="3"/>
  <c r="R367" i="3"/>
  <c r="M367" i="3"/>
  <c r="AF367" i="3"/>
  <c r="P367" i="3"/>
  <c r="AO367" i="3"/>
  <c r="I367" i="3"/>
  <c r="AA367" i="3"/>
  <c r="K367" i="3"/>
  <c r="AD367" i="3"/>
  <c r="N367" i="3"/>
  <c r="AK367" i="3"/>
  <c r="E367" i="3"/>
  <c r="AB367" i="3"/>
  <c r="L367" i="3"/>
  <c r="AG367" i="3"/>
  <c r="AM367" i="3"/>
  <c r="W367" i="3"/>
  <c r="G367" i="3"/>
  <c r="Z367" i="3"/>
  <c r="J367" i="3"/>
  <c r="AC367" i="3"/>
  <c r="AN367" i="3"/>
  <c r="X367" i="3"/>
  <c r="H367" i="3"/>
  <c r="Y367" i="3"/>
  <c r="AI367" i="3"/>
  <c r="S367" i="3"/>
  <c r="AL367" i="3"/>
  <c r="V367" i="3"/>
  <c r="F367" i="3"/>
  <c r="D367" i="2"/>
  <c r="E367" i="2"/>
  <c r="AJ363" i="3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367" i="5" l="1"/>
  <c r="A367" i="6"/>
  <c r="A12" i="6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<sst xmlns="http://schemas.openxmlformats.org/spreadsheetml/2006/main" count="595" uniqueCount="136">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</sst>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2"/>
  <sheetViews>
    <sheetView tabSelected="1" workbookViewId="0">
      <pane xSplit="1" ySplit="4" topLeftCell="D304" activePane="bottomRight" state="frozen"/>
      <selection pane="topRight" activeCell="B1" sqref="B1"/>
      <selection pane="bottomLeft" activeCell="A5" sqref="A5"/>
      <selection pane="bottomRight" activeCell="R335" sqref="R335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1462</v>
      </c>
      <c r="B5" s="29"/>
      <c r="C5" s="29"/>
      <c r="D5" s="29"/>
      <c r="E5" s="29"/>
      <c r="F5" s="29">
        <v>2991</v>
      </c>
      <c r="G5" s="39"/>
      <c r="H5" s="40"/>
      <c r="I5" s="52"/>
      <c r="J5" s="53"/>
      <c r="K5" s="17"/>
      <c r="L5" s="39"/>
      <c r="M5" s="43"/>
      <c r="N5" s="45" t="s">
        <v>108</v>
      </c>
      <c r="O5" s="55">
        <v>12</v>
      </c>
      <c r="P5" s="56"/>
      <c r="Q5" s="74"/>
      <c r="R5" s="70">
        <v>0</v>
      </c>
      <c r="S5" s="19"/>
      <c r="T5" s="60"/>
      <c r="U5" s="59"/>
    </row>
    <row r="6" spans="1:21" ht="15" customHeight="1" x14ac:dyDescent="0.25">
      <c r="A6" s="1">
        <f t="shared" ref="A6:A71" ca="1" si="0">IF(ISTEXT(A5),A4+1,IF(MONTH(A5+1)=MONTH(A5),A5+1,"Totaal"))</f>
        <v>1463</v>
      </c>
      <c r="B6" s="29"/>
      <c r="C6" s="29"/>
      <c r="D6" s="29"/>
      <c r="E6" s="29"/>
      <c r="F6" s="29">
        <v>2991</v>
      </c>
      <c r="G6" s="39"/>
      <c r="H6" s="40"/>
      <c r="I6" s="52"/>
      <c r="J6" s="53"/>
      <c r="K6" s="17"/>
      <c r="L6" s="39"/>
      <c r="M6" s="43"/>
      <c r="N6" s="45" t="s">
        <v>108</v>
      </c>
      <c r="O6" s="55">
        <v>8</v>
      </c>
      <c r="P6" s="56"/>
      <c r="Q6" s="74"/>
      <c r="R6" s="70">
        <v>0</v>
      </c>
      <c r="S6" s="19"/>
      <c r="T6" s="60"/>
      <c r="U6" s="59"/>
    </row>
    <row r="7" spans="1:21" ht="15" customHeight="1" x14ac:dyDescent="0.25">
      <c r="A7" s="1">
        <f t="shared" ca="1" si="0"/>
        <v>1464</v>
      </c>
      <c r="B7" s="29"/>
      <c r="C7" s="29"/>
      <c r="D7" s="29"/>
      <c r="E7" s="29"/>
      <c r="F7" s="29">
        <v>2992</v>
      </c>
      <c r="G7" s="39"/>
      <c r="H7" s="40"/>
      <c r="I7" s="52"/>
      <c r="J7" s="53"/>
      <c r="K7" s="17"/>
      <c r="L7" s="39"/>
      <c r="M7" s="43"/>
      <c r="N7" s="45" t="s">
        <v>108</v>
      </c>
      <c r="O7" s="55">
        <v>10</v>
      </c>
      <c r="P7" s="56"/>
      <c r="Q7" s="74"/>
      <c r="R7" s="70">
        <v>0</v>
      </c>
      <c r="S7" s="19"/>
      <c r="T7" s="60"/>
      <c r="U7" s="59"/>
    </row>
    <row r="8" spans="1:21" ht="15" customHeight="1" x14ac:dyDescent="0.25">
      <c r="A8" s="1">
        <f t="shared" ca="1" si="0"/>
        <v>1465</v>
      </c>
      <c r="B8" s="29"/>
      <c r="C8" s="29"/>
      <c r="D8" s="29"/>
      <c r="E8" s="29"/>
      <c r="F8" s="29">
        <v>2997</v>
      </c>
      <c r="G8" s="39"/>
      <c r="H8" s="40"/>
      <c r="I8" s="52"/>
      <c r="J8" s="53"/>
      <c r="K8" s="17"/>
      <c r="L8" s="39"/>
      <c r="M8" s="43"/>
      <c r="N8" s="45" t="s">
        <v>108</v>
      </c>
      <c r="O8" s="55">
        <v>12</v>
      </c>
      <c r="P8" s="56"/>
      <c r="Q8" s="74"/>
      <c r="R8" s="70">
        <v>0</v>
      </c>
      <c r="S8" s="19"/>
      <c r="T8" s="60"/>
      <c r="U8" s="59"/>
    </row>
    <row r="9" spans="1:21" ht="15" customHeight="1" x14ac:dyDescent="0.25">
      <c r="A9" s="1">
        <f t="shared" ca="1" si="0"/>
        <v>1466</v>
      </c>
      <c r="B9" s="29"/>
      <c r="C9" s="29"/>
      <c r="D9" s="29"/>
      <c r="E9" s="29"/>
      <c r="F9" s="29">
        <v>3001</v>
      </c>
      <c r="G9" s="39"/>
      <c r="H9" s="40"/>
      <c r="I9" s="52"/>
      <c r="J9" s="53"/>
      <c r="K9" s="17"/>
      <c r="L9" s="39"/>
      <c r="M9" s="43"/>
      <c r="N9" s="45" t="s">
        <v>108</v>
      </c>
      <c r="O9" s="55">
        <v>5</v>
      </c>
      <c r="P9" s="56"/>
      <c r="Q9" s="74"/>
      <c r="R9" s="70">
        <v>0</v>
      </c>
      <c r="S9" s="19"/>
      <c r="T9" s="60"/>
      <c r="U9" s="59"/>
    </row>
    <row r="10" spans="1:21" ht="15" customHeight="1" x14ac:dyDescent="0.25">
      <c r="A10" s="1">
        <f t="shared" ca="1" si="0"/>
        <v>1467</v>
      </c>
      <c r="B10" s="29"/>
      <c r="C10" s="29"/>
      <c r="D10" s="29"/>
      <c r="E10" s="29"/>
      <c r="F10" s="29">
        <v>3000</v>
      </c>
      <c r="G10" s="39"/>
      <c r="H10" s="40"/>
      <c r="I10" s="52"/>
      <c r="J10" s="53"/>
      <c r="K10" s="17"/>
      <c r="L10" s="39"/>
      <c r="M10" s="43"/>
      <c r="N10" s="45" t="s">
        <v>108</v>
      </c>
      <c r="O10" s="55">
        <v>8</v>
      </c>
      <c r="P10" s="56"/>
      <c r="Q10" s="74"/>
      <c r="R10" s="70">
        <v>0</v>
      </c>
      <c r="S10" s="19"/>
      <c r="T10" s="60"/>
      <c r="U10" s="59"/>
    </row>
    <row r="11" spans="1:21" ht="15" customHeight="1" x14ac:dyDescent="0.25">
      <c r="A11" s="1">
        <f t="shared" ca="1" si="0"/>
        <v>1468</v>
      </c>
      <c r="B11" s="29"/>
      <c r="C11" s="29"/>
      <c r="D11" s="29"/>
      <c r="E11" s="29"/>
      <c r="F11" s="29">
        <v>2997</v>
      </c>
      <c r="G11" s="39"/>
      <c r="H11" s="40"/>
      <c r="I11" s="52"/>
      <c r="J11" s="53"/>
      <c r="K11" s="17"/>
      <c r="L11" s="39"/>
      <c r="M11" s="43"/>
      <c r="N11" s="45" t="s">
        <v>108</v>
      </c>
      <c r="O11" s="55">
        <v>8</v>
      </c>
      <c r="P11" s="56"/>
      <c r="Q11" s="74"/>
      <c r="R11" s="70">
        <v>19</v>
      </c>
      <c r="S11" s="19"/>
      <c r="T11" s="60"/>
      <c r="U11" s="59"/>
    </row>
    <row r="12" spans="1:21" ht="15" customHeight="1" x14ac:dyDescent="0.25">
      <c r="A12" s="1">
        <f t="shared" ca="1" si="0"/>
        <v>1469</v>
      </c>
      <c r="B12" s="29"/>
      <c r="C12" s="29"/>
      <c r="D12" s="29"/>
      <c r="E12" s="29"/>
      <c r="F12" s="29">
        <v>2986</v>
      </c>
      <c r="G12" s="39"/>
      <c r="H12" s="40"/>
      <c r="I12" s="52"/>
      <c r="J12" s="53"/>
      <c r="K12" s="17"/>
      <c r="L12" s="39"/>
      <c r="M12" s="43"/>
      <c r="N12" s="45" t="s">
        <v>108</v>
      </c>
      <c r="O12" s="55">
        <v>10</v>
      </c>
      <c r="P12" s="56"/>
      <c r="Q12" s="74"/>
      <c r="R12" s="70">
        <v>0</v>
      </c>
      <c r="S12" s="19"/>
      <c r="T12" s="60"/>
      <c r="U12" s="59"/>
    </row>
    <row r="13" spans="1:21" ht="15" customHeight="1" x14ac:dyDescent="0.25">
      <c r="A13" s="1">
        <f t="shared" ca="1" si="0"/>
        <v>1470</v>
      </c>
      <c r="B13" s="29"/>
      <c r="C13" s="29"/>
      <c r="D13" s="29"/>
      <c r="E13" s="29"/>
      <c r="F13" s="29">
        <v>2993</v>
      </c>
      <c r="G13" s="39"/>
      <c r="H13" s="40"/>
      <c r="I13" s="52"/>
      <c r="J13" s="53"/>
      <c r="K13" s="17"/>
      <c r="L13" s="39"/>
      <c r="M13" s="43"/>
      <c r="N13" s="45" t="s">
        <v>108</v>
      </c>
      <c r="O13" s="55">
        <v>12</v>
      </c>
      <c r="P13" s="56"/>
      <c r="Q13" s="74"/>
      <c r="R13" s="70">
        <v>0</v>
      </c>
      <c r="S13" s="19"/>
      <c r="T13" s="60"/>
      <c r="U13" s="59"/>
    </row>
    <row r="14" spans="1:21" ht="15" customHeight="1" x14ac:dyDescent="0.25">
      <c r="A14" s="1">
        <f t="shared" ca="1" si="0"/>
        <v>1471</v>
      </c>
      <c r="B14" s="29"/>
      <c r="C14" s="29"/>
      <c r="D14" s="29"/>
      <c r="E14" s="29"/>
      <c r="F14" s="29">
        <v>2999</v>
      </c>
      <c r="G14" s="39"/>
      <c r="H14" s="40"/>
      <c r="I14" s="52"/>
      <c r="J14" s="53"/>
      <c r="K14" s="17"/>
      <c r="L14" s="39"/>
      <c r="M14" s="43"/>
      <c r="N14" s="45" t="s">
        <v>108</v>
      </c>
      <c r="O14" s="55">
        <v>13</v>
      </c>
      <c r="P14" s="56"/>
      <c r="Q14" s="74"/>
      <c r="R14" s="70">
        <v>0</v>
      </c>
      <c r="S14" s="19"/>
      <c r="T14" s="60"/>
      <c r="U14" s="59"/>
    </row>
    <row r="15" spans="1:21" ht="15" customHeight="1" x14ac:dyDescent="0.25">
      <c r="A15" s="1">
        <f t="shared" ca="1" si="0"/>
        <v>1472</v>
      </c>
      <c r="B15" s="29"/>
      <c r="C15" s="29"/>
      <c r="D15" s="29"/>
      <c r="E15" s="29"/>
      <c r="F15" s="29">
        <v>3001</v>
      </c>
      <c r="G15" s="39"/>
      <c r="H15" s="40"/>
      <c r="I15" s="52"/>
      <c r="J15" s="53"/>
      <c r="K15" s="17"/>
      <c r="L15" s="39"/>
      <c r="M15" s="43"/>
      <c r="N15" s="45" t="s">
        <v>108</v>
      </c>
      <c r="O15" s="55">
        <v>15</v>
      </c>
      <c r="P15" s="56"/>
      <c r="Q15" s="74"/>
      <c r="R15" s="70">
        <v>90</v>
      </c>
      <c r="S15" s="19"/>
      <c r="T15" s="60"/>
      <c r="U15" s="59"/>
    </row>
    <row r="16" spans="1:21" ht="15" customHeight="1" x14ac:dyDescent="0.25">
      <c r="A16" s="1">
        <f t="shared" ca="1" si="0"/>
        <v>1473</v>
      </c>
      <c r="B16" s="29"/>
      <c r="C16" s="29"/>
      <c r="D16" s="29"/>
      <c r="E16" s="29"/>
      <c r="F16" s="29">
        <v>2997</v>
      </c>
      <c r="G16" s="39"/>
      <c r="H16" s="40"/>
      <c r="I16" s="52"/>
      <c r="J16" s="53"/>
      <c r="K16" s="17"/>
      <c r="L16" s="39"/>
      <c r="M16" s="43"/>
      <c r="N16" s="45" t="s">
        <v>108</v>
      </c>
      <c r="O16" s="55">
        <v>13</v>
      </c>
      <c r="P16" s="56"/>
      <c r="Q16" s="74"/>
      <c r="R16" s="70">
        <v>0</v>
      </c>
      <c r="S16" s="19"/>
      <c r="T16" s="60"/>
      <c r="U16" s="59"/>
    </row>
    <row r="17" spans="1:21" ht="15" customHeight="1" x14ac:dyDescent="0.25">
      <c r="A17" s="1">
        <f t="shared" ca="1" si="0"/>
        <v>1474</v>
      </c>
      <c r="B17" s="29"/>
      <c r="C17" s="29"/>
      <c r="D17" s="29"/>
      <c r="E17" s="29"/>
      <c r="F17" s="29">
        <v>2999</v>
      </c>
      <c r="G17" s="39"/>
      <c r="H17" s="40"/>
      <c r="I17" s="52"/>
      <c r="J17" s="53"/>
      <c r="K17" s="17"/>
      <c r="L17" s="39"/>
      <c r="M17" s="43"/>
      <c r="N17" s="45" t="s">
        <v>108</v>
      </c>
      <c r="O17" s="55">
        <v>15</v>
      </c>
      <c r="P17" s="56"/>
      <c r="Q17" s="74"/>
      <c r="R17" s="70">
        <v>0</v>
      </c>
      <c r="S17" s="19"/>
      <c r="T17" s="60"/>
      <c r="U17" s="59"/>
    </row>
    <row r="18" spans="1:21" ht="15" customHeight="1" x14ac:dyDescent="0.25">
      <c r="A18" s="1">
        <f t="shared" ca="1" si="0"/>
        <v>1475</v>
      </c>
      <c r="B18" s="29"/>
      <c r="C18" s="29"/>
      <c r="D18" s="29"/>
      <c r="E18" s="29"/>
      <c r="F18" s="29">
        <v>2998</v>
      </c>
      <c r="G18" s="39"/>
      <c r="H18" s="40"/>
      <c r="I18" s="52"/>
      <c r="J18" s="53"/>
      <c r="K18" s="17"/>
      <c r="L18" s="39"/>
      <c r="M18" s="43"/>
      <c r="N18" s="45" t="s">
        <v>108</v>
      </c>
      <c r="O18" s="55">
        <v>15</v>
      </c>
      <c r="P18" s="56"/>
      <c r="Q18" s="74"/>
      <c r="R18" s="70" t="s">
        <v>7</v>
      </c>
      <c r="S18" s="19"/>
      <c r="T18" s="60"/>
      <c r="U18" s="59"/>
    </row>
    <row r="19" spans="1:21" ht="15" customHeight="1" x14ac:dyDescent="0.25">
      <c r="A19" s="1">
        <f t="shared" ca="1" si="0"/>
        <v>1476</v>
      </c>
      <c r="B19" s="29"/>
      <c r="C19" s="29"/>
      <c r="D19" s="29"/>
      <c r="E19" s="29"/>
      <c r="F19" s="29">
        <v>2997</v>
      </c>
      <c r="G19" s="39"/>
      <c r="H19" s="40"/>
      <c r="I19" s="52"/>
      <c r="J19" s="53"/>
      <c r="K19" s="17"/>
      <c r="L19" s="39"/>
      <c r="M19" s="43"/>
      <c r="N19" s="45" t="s">
        <v>108</v>
      </c>
      <c r="O19" s="55">
        <v>12</v>
      </c>
      <c r="P19" s="56"/>
      <c r="Q19" s="74"/>
      <c r="R19" s="70" t="s">
        <v>7</v>
      </c>
      <c r="S19" s="19"/>
      <c r="T19" s="60"/>
      <c r="U19" s="59"/>
    </row>
    <row r="20" spans="1:21" ht="15" customHeight="1" x14ac:dyDescent="0.25">
      <c r="A20" s="1">
        <f t="shared" ca="1" si="0"/>
        <v>1477</v>
      </c>
      <c r="B20" s="29"/>
      <c r="C20" s="29"/>
      <c r="D20" s="29"/>
      <c r="E20" s="29"/>
      <c r="F20" s="29">
        <v>2994</v>
      </c>
      <c r="G20" s="39"/>
      <c r="H20" s="40"/>
      <c r="I20" s="52"/>
      <c r="J20" s="53"/>
      <c r="K20" s="17"/>
      <c r="L20" s="39"/>
      <c r="M20" s="43"/>
      <c r="N20" s="45" t="s">
        <v>108</v>
      </c>
      <c r="O20" s="55">
        <v>10</v>
      </c>
      <c r="P20" s="56"/>
      <c r="Q20" s="74"/>
      <c r="R20" s="70">
        <v>0</v>
      </c>
      <c r="S20" s="19"/>
      <c r="T20" s="60"/>
      <c r="U20" s="59"/>
    </row>
    <row r="21" spans="1:21" ht="15" customHeight="1" x14ac:dyDescent="0.25">
      <c r="A21" s="1">
        <f t="shared" ca="1" si="0"/>
        <v>1478</v>
      </c>
      <c r="B21" s="29"/>
      <c r="C21" s="29"/>
      <c r="D21" s="29"/>
      <c r="E21" s="29"/>
      <c r="F21" s="29">
        <v>2993</v>
      </c>
      <c r="G21" s="39"/>
      <c r="H21" s="40"/>
      <c r="I21" s="52"/>
      <c r="J21" s="53"/>
      <c r="K21" s="17"/>
      <c r="L21" s="39"/>
      <c r="M21" s="43"/>
      <c r="N21" s="45" t="s">
        <v>108</v>
      </c>
      <c r="O21" s="55">
        <v>10</v>
      </c>
      <c r="P21" s="56"/>
      <c r="Q21" s="74"/>
      <c r="R21" s="70">
        <v>0</v>
      </c>
      <c r="S21" s="19"/>
      <c r="T21" s="60"/>
      <c r="U21" s="59"/>
    </row>
    <row r="22" spans="1:21" ht="15" customHeight="1" x14ac:dyDescent="0.25">
      <c r="A22" s="1">
        <f t="shared" ca="1" si="0"/>
        <v>1479</v>
      </c>
      <c r="B22" s="29"/>
      <c r="C22" s="29"/>
      <c r="D22" s="29"/>
      <c r="E22" s="29"/>
      <c r="F22" s="29">
        <v>2992</v>
      </c>
      <c r="G22" s="39"/>
      <c r="H22" s="40"/>
      <c r="I22" s="52"/>
      <c r="J22" s="53"/>
      <c r="K22" s="17"/>
      <c r="L22" s="39"/>
      <c r="M22" s="43"/>
      <c r="N22" s="45" t="s">
        <v>108</v>
      </c>
      <c r="O22" s="55">
        <v>15</v>
      </c>
      <c r="P22" s="56"/>
      <c r="Q22" s="74"/>
      <c r="R22" s="70">
        <v>0</v>
      </c>
      <c r="S22" s="19"/>
      <c r="T22" s="60"/>
      <c r="U22" s="59"/>
    </row>
    <row r="23" spans="1:21" ht="15" customHeight="1" x14ac:dyDescent="0.25">
      <c r="A23" s="1">
        <f t="shared" ca="1" si="0"/>
        <v>1480</v>
      </c>
      <c r="B23" s="29"/>
      <c r="C23" s="29"/>
      <c r="D23" s="29"/>
      <c r="E23" s="29"/>
      <c r="F23" s="29">
        <v>2993</v>
      </c>
      <c r="G23" s="39"/>
      <c r="H23" s="40"/>
      <c r="I23" s="52"/>
      <c r="J23" s="53"/>
      <c r="K23" s="17"/>
      <c r="L23" s="39"/>
      <c r="M23" s="43"/>
      <c r="N23" s="45" t="s">
        <v>108</v>
      </c>
      <c r="O23" s="55">
        <v>15</v>
      </c>
      <c r="P23" s="56"/>
      <c r="Q23" s="74"/>
      <c r="R23" s="70">
        <v>4</v>
      </c>
      <c r="S23" s="19"/>
      <c r="T23" s="60"/>
      <c r="U23" s="59"/>
    </row>
    <row r="24" spans="1:21" ht="15" customHeight="1" x14ac:dyDescent="0.25">
      <c r="A24" s="1">
        <f t="shared" ca="1" si="0"/>
        <v>1481</v>
      </c>
      <c r="B24" s="29"/>
      <c r="C24" s="29"/>
      <c r="D24" s="29"/>
      <c r="E24" s="29"/>
      <c r="F24" s="29">
        <v>2998</v>
      </c>
      <c r="G24" s="39"/>
      <c r="H24" s="40"/>
      <c r="I24" s="52"/>
      <c r="J24" s="53"/>
      <c r="K24" s="17"/>
      <c r="L24" s="39"/>
      <c r="M24" s="43"/>
      <c r="N24" s="45" t="s">
        <v>108</v>
      </c>
      <c r="O24" s="55">
        <v>10</v>
      </c>
      <c r="P24" s="56"/>
      <c r="Q24" s="74"/>
      <c r="R24" s="70">
        <v>0</v>
      </c>
      <c r="S24" s="19"/>
      <c r="T24" s="60"/>
      <c r="U24" s="59"/>
    </row>
    <row r="25" spans="1:21" ht="15" customHeight="1" x14ac:dyDescent="0.25">
      <c r="A25" s="1">
        <f t="shared" ca="1" si="0"/>
        <v>1482</v>
      </c>
      <c r="B25" s="29"/>
      <c r="C25" s="29"/>
      <c r="D25" s="29"/>
      <c r="E25" s="29"/>
      <c r="F25" s="29">
        <v>2993</v>
      </c>
      <c r="G25" s="39"/>
      <c r="H25" s="40"/>
      <c r="I25" s="52"/>
      <c r="J25" s="53"/>
      <c r="K25" s="17"/>
      <c r="L25" s="39"/>
      <c r="M25" s="43"/>
      <c r="N25" s="45" t="s">
        <v>108</v>
      </c>
      <c r="O25" s="55">
        <v>10</v>
      </c>
      <c r="P25" s="56"/>
      <c r="Q25" s="74"/>
      <c r="R25" s="70">
        <v>67</v>
      </c>
      <c r="S25" s="19"/>
      <c r="T25" s="60"/>
      <c r="U25" s="59"/>
    </row>
    <row r="26" spans="1:21" ht="15" customHeight="1" x14ac:dyDescent="0.25">
      <c r="A26" s="1">
        <f t="shared" ca="1" si="0"/>
        <v>1483</v>
      </c>
      <c r="B26" s="29"/>
      <c r="C26" s="29"/>
      <c r="D26" s="29"/>
      <c r="E26" s="29"/>
      <c r="F26" s="29">
        <v>2995</v>
      </c>
      <c r="G26" s="39"/>
      <c r="H26" s="40"/>
      <c r="I26" s="52"/>
      <c r="J26" s="53"/>
      <c r="K26" s="17"/>
      <c r="L26" s="39"/>
      <c r="M26" s="43"/>
      <c r="N26" s="45" t="s">
        <v>108</v>
      </c>
      <c r="O26" s="55">
        <v>12</v>
      </c>
      <c r="P26" s="56"/>
      <c r="Q26" s="74"/>
      <c r="R26" s="70" t="s">
        <v>7</v>
      </c>
      <c r="S26" s="19"/>
      <c r="T26" s="60"/>
      <c r="U26" s="59"/>
    </row>
    <row r="27" spans="1:21" ht="15" customHeight="1" x14ac:dyDescent="0.25">
      <c r="A27" s="1">
        <f t="shared" ca="1" si="0"/>
        <v>1484</v>
      </c>
      <c r="B27" s="29"/>
      <c r="C27" s="29"/>
      <c r="D27" s="29"/>
      <c r="E27" s="29"/>
      <c r="F27" s="29">
        <v>2996</v>
      </c>
      <c r="G27" s="39"/>
      <c r="H27" s="40"/>
      <c r="I27" s="52"/>
      <c r="J27" s="53"/>
      <c r="K27" s="17"/>
      <c r="L27" s="39"/>
      <c r="M27" s="43"/>
      <c r="N27" s="45" t="s">
        <v>108</v>
      </c>
      <c r="O27" s="55">
        <v>16</v>
      </c>
      <c r="P27" s="56"/>
      <c r="Q27" s="74"/>
      <c r="R27" s="70">
        <v>6</v>
      </c>
      <c r="S27" s="19"/>
      <c r="T27" s="60"/>
      <c r="U27" s="59"/>
    </row>
    <row r="28" spans="1:21" ht="15" customHeight="1" x14ac:dyDescent="0.25">
      <c r="A28" s="1">
        <f t="shared" ca="1" si="0"/>
        <v>1485</v>
      </c>
      <c r="B28" s="29"/>
      <c r="C28" s="29"/>
      <c r="D28" s="29"/>
      <c r="E28" s="29"/>
      <c r="F28" s="29">
        <v>2999</v>
      </c>
      <c r="G28" s="39"/>
      <c r="H28" s="40"/>
      <c r="I28" s="52"/>
      <c r="J28" s="53"/>
      <c r="K28" s="17"/>
      <c r="L28" s="39"/>
      <c r="M28" s="43"/>
      <c r="N28" s="45" t="s">
        <v>108</v>
      </c>
      <c r="O28" s="55">
        <v>15</v>
      </c>
      <c r="P28" s="56"/>
      <c r="Q28" s="74"/>
      <c r="R28" s="70">
        <v>0</v>
      </c>
      <c r="S28" s="19"/>
      <c r="T28" s="60"/>
      <c r="U28" s="59"/>
    </row>
    <row r="29" spans="1:21" ht="15" customHeight="1" x14ac:dyDescent="0.25">
      <c r="A29" s="1">
        <f t="shared" ca="1" si="0"/>
        <v>1486</v>
      </c>
      <c r="B29" s="29"/>
      <c r="C29" s="29"/>
      <c r="D29" s="29"/>
      <c r="E29" s="29"/>
      <c r="F29" s="29">
        <v>2997</v>
      </c>
      <c r="G29" s="39"/>
      <c r="H29" s="40"/>
      <c r="I29" s="52"/>
      <c r="J29" s="53"/>
      <c r="K29" s="17"/>
      <c r="L29" s="39"/>
      <c r="M29" s="43"/>
      <c r="N29" s="45" t="s">
        <v>108</v>
      </c>
      <c r="O29" s="55">
        <v>15</v>
      </c>
      <c r="P29" s="56"/>
      <c r="Q29" s="74"/>
      <c r="R29" s="70">
        <v>53</v>
      </c>
      <c r="S29" s="19"/>
      <c r="T29" s="60"/>
      <c r="U29" s="59"/>
    </row>
    <row r="30" spans="1:21" ht="15" customHeight="1" x14ac:dyDescent="0.25">
      <c r="A30" s="1">
        <f t="shared" ca="1" si="0"/>
        <v>1487</v>
      </c>
      <c r="B30" s="29"/>
      <c r="C30" s="29"/>
      <c r="D30" s="29"/>
      <c r="E30" s="29"/>
      <c r="F30" s="29">
        <v>2997</v>
      </c>
      <c r="G30" s="39"/>
      <c r="H30" s="40"/>
      <c r="I30" s="52"/>
      <c r="J30" s="53"/>
      <c r="K30" s="17"/>
      <c r="L30" s="39"/>
      <c r="M30" s="43"/>
      <c r="N30" s="45" t="s">
        <v>108</v>
      </c>
      <c r="O30" s="55">
        <v>15</v>
      </c>
      <c r="P30" s="56"/>
      <c r="Q30" s="74"/>
      <c r="R30" s="70">
        <v>21</v>
      </c>
      <c r="S30" s="19"/>
      <c r="T30" s="60"/>
      <c r="U30" s="59"/>
    </row>
    <row r="31" spans="1:21" ht="15" customHeight="1" x14ac:dyDescent="0.25">
      <c r="A31" s="1">
        <f t="shared" ca="1" si="0"/>
        <v>1488</v>
      </c>
      <c r="B31" s="29"/>
      <c r="C31" s="29"/>
      <c r="D31" s="29"/>
      <c r="E31" s="29"/>
      <c r="F31" s="29">
        <v>2995</v>
      </c>
      <c r="G31" s="39"/>
      <c r="H31" s="40"/>
      <c r="I31" s="52"/>
      <c r="J31" s="53"/>
      <c r="K31" s="17"/>
      <c r="L31" s="39"/>
      <c r="M31" s="43"/>
      <c r="N31" s="45" t="s">
        <v>108</v>
      </c>
      <c r="O31" s="55">
        <v>10</v>
      </c>
      <c r="P31" s="56"/>
      <c r="Q31" s="74"/>
      <c r="R31" s="70">
        <v>7</v>
      </c>
      <c r="S31" s="19"/>
      <c r="T31" s="60"/>
      <c r="U31" s="59"/>
    </row>
    <row r="32" spans="1:21" ht="15" customHeight="1" x14ac:dyDescent="0.25">
      <c r="A32" s="1">
        <f t="shared" ca="1" si="0"/>
        <v>1489</v>
      </c>
      <c r="B32" s="29"/>
      <c r="C32" s="29"/>
      <c r="D32" s="29"/>
      <c r="E32" s="29"/>
      <c r="F32" s="29">
        <v>2998</v>
      </c>
      <c r="G32" s="39"/>
      <c r="H32" s="40"/>
      <c r="I32" s="52"/>
      <c r="J32" s="53"/>
      <c r="K32" s="17"/>
      <c r="L32" s="39"/>
      <c r="M32" s="43"/>
      <c r="N32" s="45" t="s">
        <v>108</v>
      </c>
      <c r="O32" s="55">
        <v>10</v>
      </c>
      <c r="P32" s="56"/>
      <c r="Q32" s="74"/>
      <c r="R32" s="70">
        <v>23</v>
      </c>
      <c r="S32" s="19"/>
      <c r="T32" s="60"/>
      <c r="U32" s="59"/>
    </row>
    <row r="33" spans="1:21" ht="15" customHeight="1" x14ac:dyDescent="0.25">
      <c r="A33" s="1">
        <f t="shared" ca="1" si="0"/>
        <v>1490</v>
      </c>
      <c r="B33" s="29"/>
      <c r="C33" s="29"/>
      <c r="D33" s="29"/>
      <c r="E33" s="29"/>
      <c r="F33" s="29">
        <v>2996</v>
      </c>
      <c r="G33" s="39"/>
      <c r="H33" s="40"/>
      <c r="I33" s="52"/>
      <c r="J33" s="53"/>
      <c r="K33" s="17"/>
      <c r="L33" s="39"/>
      <c r="M33" s="43"/>
      <c r="N33" s="45" t="s">
        <v>108</v>
      </c>
      <c r="O33" s="55">
        <v>12</v>
      </c>
      <c r="P33" s="56"/>
      <c r="Q33" s="74"/>
      <c r="R33" s="70" t="s">
        <v>7</v>
      </c>
      <c r="S33" s="19"/>
      <c r="T33" s="60"/>
      <c r="U33" s="59"/>
    </row>
    <row r="34" spans="1:21" ht="15" customHeight="1" x14ac:dyDescent="0.25">
      <c r="A34" s="1">
        <f t="shared" ca="1" si="0"/>
        <v>1491</v>
      </c>
      <c r="B34" s="29"/>
      <c r="C34" s="29"/>
      <c r="D34" s="29"/>
      <c r="E34" s="29"/>
      <c r="F34" s="29">
        <v>2997</v>
      </c>
      <c r="G34" s="39"/>
      <c r="H34" s="40"/>
      <c r="I34" s="52"/>
      <c r="J34" s="53"/>
      <c r="K34" s="17"/>
      <c r="L34" s="39"/>
      <c r="M34" s="43"/>
      <c r="N34" s="45" t="s">
        <v>108</v>
      </c>
      <c r="O34" s="55">
        <v>12</v>
      </c>
      <c r="P34" s="56"/>
      <c r="Q34" s="74"/>
      <c r="R34" s="70" t="s">
        <v>7</v>
      </c>
      <c r="S34" s="19"/>
      <c r="T34" s="60"/>
      <c r="U34" s="59"/>
    </row>
    <row r="35" spans="1:21" ht="15" customHeight="1" x14ac:dyDescent="0.25">
      <c r="A35" s="1">
        <f t="shared" ca="1" si="0"/>
        <v>1492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>
        <f>IF(COUNT(F5:F35)&gt;0,AVERAGE(F5:F35)/100,"")</f>
        <v>29.957333333333331</v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>
        <f>IF(COUNT(O5:O35)&gt;0,AVERAGE(O5:O35),"")</f>
        <v>11.833333333333334</v>
      </c>
      <c r="P36" s="58" t="str">
        <f>IF(COUNT(P5:P35)&gt;0,AVERAGE(P5:P35),"")</f>
        <v/>
      </c>
      <c r="Q36" s="47"/>
      <c r="R36" s="68">
        <f>IF(COUNT(R5:R35)&gt;0,SUM(R5:R35)/100,"")</f>
        <v>2.9</v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1493</v>
      </c>
      <c r="B37" s="29"/>
      <c r="C37" s="29"/>
      <c r="D37" s="29"/>
      <c r="E37" s="29"/>
      <c r="F37" s="29">
        <v>2999</v>
      </c>
      <c r="G37" s="39"/>
      <c r="H37" s="40"/>
      <c r="I37" s="52"/>
      <c r="J37" s="53"/>
      <c r="K37" s="17"/>
      <c r="L37" s="39"/>
      <c r="M37" s="43"/>
      <c r="N37" s="45" t="s">
        <v>108</v>
      </c>
      <c r="O37" s="55">
        <v>10</v>
      </c>
      <c r="P37" s="56"/>
      <c r="Q37" s="74"/>
      <c r="R37" s="70">
        <v>0</v>
      </c>
      <c r="S37" s="19"/>
      <c r="T37" s="60"/>
      <c r="U37" s="59"/>
    </row>
    <row r="38" spans="1:21" ht="15" customHeight="1" x14ac:dyDescent="0.25">
      <c r="A38" s="1">
        <f t="shared" ca="1" si="0"/>
        <v>1494</v>
      </c>
      <c r="B38" s="29"/>
      <c r="C38" s="29"/>
      <c r="D38" s="29"/>
      <c r="E38" s="29"/>
      <c r="F38" s="29">
        <v>2999</v>
      </c>
      <c r="G38" s="39"/>
      <c r="H38" s="40"/>
      <c r="I38" s="52"/>
      <c r="J38" s="53"/>
      <c r="K38" s="17"/>
      <c r="L38" s="39"/>
      <c r="M38" s="43"/>
      <c r="N38" s="45" t="s">
        <v>108</v>
      </c>
      <c r="O38" s="55">
        <v>10</v>
      </c>
      <c r="P38" s="56"/>
      <c r="Q38" s="74"/>
      <c r="R38" s="70" t="s">
        <v>7</v>
      </c>
      <c r="S38" s="19"/>
      <c r="T38" s="60"/>
      <c r="U38" s="59"/>
    </row>
    <row r="39" spans="1:21" ht="15" customHeight="1" x14ac:dyDescent="0.25">
      <c r="A39" s="1">
        <f t="shared" ca="1" si="0"/>
        <v>1495</v>
      </c>
      <c r="B39" s="29"/>
      <c r="C39" s="29"/>
      <c r="D39" s="29"/>
      <c r="E39" s="29"/>
      <c r="F39" s="29">
        <v>3000</v>
      </c>
      <c r="G39" s="39"/>
      <c r="H39" s="40"/>
      <c r="I39" s="52"/>
      <c r="J39" s="53"/>
      <c r="K39" s="17"/>
      <c r="L39" s="39"/>
      <c r="M39" s="43"/>
      <c r="N39" s="45" t="s">
        <v>108</v>
      </c>
      <c r="O39" s="55">
        <v>10</v>
      </c>
      <c r="P39" s="56"/>
      <c r="Q39" s="74"/>
      <c r="R39" s="70" t="s">
        <v>7</v>
      </c>
      <c r="S39" s="19"/>
      <c r="T39" s="60"/>
      <c r="U39" s="59"/>
    </row>
    <row r="40" spans="1:21" ht="15" customHeight="1" x14ac:dyDescent="0.25">
      <c r="A40" s="1">
        <f t="shared" ca="1" si="0"/>
        <v>1496</v>
      </c>
      <c r="B40" s="29"/>
      <c r="C40" s="29"/>
      <c r="D40" s="29"/>
      <c r="E40" s="29"/>
      <c r="F40" s="29">
        <v>3001</v>
      </c>
      <c r="G40" s="39"/>
      <c r="H40" s="40"/>
      <c r="I40" s="52"/>
      <c r="J40" s="53"/>
      <c r="K40" s="17"/>
      <c r="L40" s="39"/>
      <c r="M40" s="43"/>
      <c r="N40" s="45" t="s">
        <v>108</v>
      </c>
      <c r="O40" s="55">
        <v>15</v>
      </c>
      <c r="P40" s="56"/>
      <c r="Q40" s="74"/>
      <c r="R40" s="70" t="s">
        <v>7</v>
      </c>
      <c r="S40" s="19"/>
      <c r="T40" s="60"/>
      <c r="U40" s="59"/>
    </row>
    <row r="41" spans="1:21" ht="15" customHeight="1" x14ac:dyDescent="0.25">
      <c r="A41" s="1">
        <f t="shared" ca="1" si="0"/>
        <v>1497</v>
      </c>
      <c r="B41" s="29"/>
      <c r="C41" s="29"/>
      <c r="D41" s="29"/>
      <c r="E41" s="29"/>
      <c r="F41" s="29">
        <v>3001</v>
      </c>
      <c r="G41" s="39"/>
      <c r="H41" s="40"/>
      <c r="I41" s="52"/>
      <c r="J41" s="53"/>
      <c r="K41" s="17"/>
      <c r="L41" s="39"/>
      <c r="M41" s="43"/>
      <c r="N41" s="45" t="s">
        <v>108</v>
      </c>
      <c r="O41" s="55">
        <v>10</v>
      </c>
      <c r="P41" s="56"/>
      <c r="Q41" s="74"/>
      <c r="R41" s="70">
        <v>0</v>
      </c>
      <c r="S41" s="19"/>
      <c r="T41" s="60"/>
      <c r="U41" s="59"/>
    </row>
    <row r="42" spans="1:21" ht="15" customHeight="1" x14ac:dyDescent="0.25">
      <c r="A42" s="1">
        <f t="shared" ca="1" si="0"/>
        <v>1498</v>
      </c>
      <c r="B42" s="29"/>
      <c r="C42" s="29"/>
      <c r="D42" s="29"/>
      <c r="E42" s="29"/>
      <c r="F42" s="29">
        <v>2998</v>
      </c>
      <c r="G42" s="39"/>
      <c r="H42" s="40"/>
      <c r="I42" s="52"/>
      <c r="J42" s="53"/>
      <c r="K42" s="17"/>
      <c r="L42" s="39"/>
      <c r="M42" s="43"/>
      <c r="N42" s="45" t="s">
        <v>108</v>
      </c>
      <c r="O42" s="55">
        <v>8</v>
      </c>
      <c r="P42" s="56"/>
      <c r="Q42" s="74"/>
      <c r="R42" s="70">
        <v>8</v>
      </c>
      <c r="S42" s="19"/>
      <c r="T42" s="60"/>
      <c r="U42" s="59"/>
    </row>
    <row r="43" spans="1:21" ht="15" customHeight="1" x14ac:dyDescent="0.25">
      <c r="A43" s="1">
        <f t="shared" ca="1" si="0"/>
        <v>1499</v>
      </c>
      <c r="B43" s="29"/>
      <c r="C43" s="29"/>
      <c r="D43" s="29"/>
      <c r="E43" s="29"/>
      <c r="F43" s="29">
        <v>3002</v>
      </c>
      <c r="G43" s="39"/>
      <c r="H43" s="40"/>
      <c r="I43" s="52"/>
      <c r="J43" s="53"/>
      <c r="K43" s="17"/>
      <c r="L43" s="39"/>
      <c r="M43" s="43"/>
      <c r="N43" s="45" t="s">
        <v>108</v>
      </c>
      <c r="O43" s="55">
        <v>10</v>
      </c>
      <c r="P43" s="56"/>
      <c r="Q43" s="74"/>
      <c r="R43" s="70">
        <v>38</v>
      </c>
      <c r="S43" s="19"/>
      <c r="T43" s="60"/>
      <c r="U43" s="59"/>
    </row>
    <row r="44" spans="1:21" ht="15" customHeight="1" x14ac:dyDescent="0.25">
      <c r="A44" s="1">
        <f t="shared" ca="1" si="0"/>
        <v>1500</v>
      </c>
      <c r="B44" s="29"/>
      <c r="C44" s="29"/>
      <c r="D44" s="29"/>
      <c r="E44" s="29"/>
      <c r="F44" s="29">
        <v>3001</v>
      </c>
      <c r="G44" s="39"/>
      <c r="H44" s="40"/>
      <c r="I44" s="52"/>
      <c r="J44" s="53"/>
      <c r="K44" s="17"/>
      <c r="L44" s="39"/>
      <c r="M44" s="43"/>
      <c r="N44" s="45" t="s">
        <v>108</v>
      </c>
      <c r="O44" s="55">
        <v>10</v>
      </c>
      <c r="P44" s="56"/>
      <c r="Q44" s="74"/>
      <c r="R44" s="70" t="s">
        <v>7</v>
      </c>
      <c r="S44" s="19"/>
      <c r="T44" s="60"/>
      <c r="U44" s="59"/>
    </row>
    <row r="45" spans="1:21" ht="15" customHeight="1" x14ac:dyDescent="0.25">
      <c r="A45" s="1">
        <f t="shared" ca="1" si="0"/>
        <v>1501</v>
      </c>
      <c r="B45" s="29"/>
      <c r="C45" s="29"/>
      <c r="D45" s="29"/>
      <c r="E45" s="29"/>
      <c r="F45" s="29">
        <v>2998</v>
      </c>
      <c r="G45" s="39"/>
      <c r="H45" s="40"/>
      <c r="I45" s="52"/>
      <c r="J45" s="53"/>
      <c r="K45" s="17"/>
      <c r="L45" s="39"/>
      <c r="M45" s="43"/>
      <c r="N45" s="45" t="s">
        <v>108</v>
      </c>
      <c r="O45" s="55">
        <v>10</v>
      </c>
      <c r="P45" s="56"/>
      <c r="Q45" s="74"/>
      <c r="R45" s="70" t="s">
        <v>7</v>
      </c>
      <c r="S45" s="19"/>
      <c r="T45" s="60"/>
      <c r="U45" s="59"/>
    </row>
    <row r="46" spans="1:21" ht="15" customHeight="1" x14ac:dyDescent="0.25">
      <c r="A46" s="1">
        <f t="shared" ca="1" si="0"/>
        <v>1502</v>
      </c>
      <c r="B46" s="29"/>
      <c r="C46" s="29"/>
      <c r="D46" s="29"/>
      <c r="E46" s="29"/>
      <c r="F46" s="29">
        <v>3007</v>
      </c>
      <c r="G46" s="39"/>
      <c r="H46" s="40"/>
      <c r="I46" s="52"/>
      <c r="J46" s="53"/>
      <c r="K46" s="17"/>
      <c r="L46" s="39"/>
      <c r="M46" s="43"/>
      <c r="N46" s="45" t="s">
        <v>108</v>
      </c>
      <c r="O46" s="55">
        <v>14</v>
      </c>
      <c r="P46" s="56"/>
      <c r="Q46" s="74"/>
      <c r="R46" s="70">
        <v>26</v>
      </c>
      <c r="S46" s="19"/>
      <c r="T46" s="60"/>
      <c r="U46" s="59"/>
    </row>
    <row r="47" spans="1:21" ht="15" customHeight="1" x14ac:dyDescent="0.25">
      <c r="A47" s="1">
        <f t="shared" ca="1" si="0"/>
        <v>1503</v>
      </c>
      <c r="B47" s="29"/>
      <c r="C47" s="29"/>
      <c r="D47" s="29"/>
      <c r="E47" s="29"/>
      <c r="F47" s="29">
        <v>2995</v>
      </c>
      <c r="G47" s="39"/>
      <c r="H47" s="40"/>
      <c r="I47" s="52"/>
      <c r="J47" s="53"/>
      <c r="K47" s="17"/>
      <c r="L47" s="39"/>
      <c r="M47" s="43"/>
      <c r="N47" s="45" t="s">
        <v>108</v>
      </c>
      <c r="O47" s="55">
        <v>15</v>
      </c>
      <c r="P47" s="56"/>
      <c r="Q47" s="74"/>
      <c r="R47" s="70">
        <v>0</v>
      </c>
      <c r="S47" s="19"/>
      <c r="T47" s="60"/>
      <c r="U47" s="59"/>
    </row>
    <row r="48" spans="1:21" ht="15" customHeight="1" x14ac:dyDescent="0.25">
      <c r="A48" s="1">
        <f t="shared" ca="1" si="0"/>
        <v>1504</v>
      </c>
      <c r="B48" s="29"/>
      <c r="C48" s="29"/>
      <c r="D48" s="29"/>
      <c r="E48" s="29"/>
      <c r="F48" s="29">
        <v>2993</v>
      </c>
      <c r="G48" s="39"/>
      <c r="H48" s="40"/>
      <c r="I48" s="52"/>
      <c r="J48" s="53"/>
      <c r="K48" s="17"/>
      <c r="L48" s="39"/>
      <c r="M48" s="43"/>
      <c r="N48" s="45" t="s">
        <v>110</v>
      </c>
      <c r="O48" s="55"/>
      <c r="P48" s="56"/>
      <c r="Q48" s="74"/>
      <c r="R48" s="70">
        <v>0</v>
      </c>
      <c r="S48" s="19"/>
      <c r="T48" s="60"/>
      <c r="U48" s="59"/>
    </row>
    <row r="49" spans="1:21" ht="15" customHeight="1" x14ac:dyDescent="0.25">
      <c r="A49" s="1">
        <f t="shared" ca="1" si="0"/>
        <v>1505</v>
      </c>
      <c r="B49" s="29"/>
      <c r="C49" s="29"/>
      <c r="D49" s="29"/>
      <c r="E49" s="29"/>
      <c r="F49" s="29">
        <v>2991</v>
      </c>
      <c r="G49" s="39"/>
      <c r="H49" s="40"/>
      <c r="I49" s="52"/>
      <c r="J49" s="53"/>
      <c r="K49" s="17"/>
      <c r="L49" s="39"/>
      <c r="M49" s="43"/>
      <c r="N49" s="45" t="s">
        <v>110</v>
      </c>
      <c r="O49" s="55"/>
      <c r="P49" s="56"/>
      <c r="Q49" s="74"/>
      <c r="R49" s="70">
        <v>0</v>
      </c>
      <c r="S49" s="19"/>
      <c r="T49" s="60"/>
      <c r="U49" s="59"/>
    </row>
    <row r="50" spans="1:21" ht="15" customHeight="1" x14ac:dyDescent="0.25">
      <c r="A50" s="1">
        <f t="shared" ca="1" si="0"/>
        <v>1506</v>
      </c>
      <c r="B50" s="29"/>
      <c r="C50" s="29"/>
      <c r="D50" s="29"/>
      <c r="E50" s="29"/>
      <c r="F50" s="29">
        <v>2993</v>
      </c>
      <c r="G50" s="39"/>
      <c r="H50" s="40"/>
      <c r="I50" s="52"/>
      <c r="J50" s="53"/>
      <c r="K50" s="17"/>
      <c r="L50" s="39"/>
      <c r="M50" s="43"/>
      <c r="N50" s="45" t="s">
        <v>108</v>
      </c>
      <c r="O50" s="55">
        <v>15</v>
      </c>
      <c r="P50" s="56"/>
      <c r="Q50" s="74"/>
      <c r="R50" s="70">
        <v>0</v>
      </c>
      <c r="S50" s="19"/>
      <c r="T50" s="60"/>
      <c r="U50" s="59"/>
    </row>
    <row r="51" spans="1:21" ht="15" customHeight="1" x14ac:dyDescent="0.25">
      <c r="A51" s="1">
        <f t="shared" ca="1" si="0"/>
        <v>1507</v>
      </c>
      <c r="B51" s="29"/>
      <c r="C51" s="29"/>
      <c r="D51" s="29"/>
      <c r="E51" s="29"/>
      <c r="F51" s="29">
        <v>2994</v>
      </c>
      <c r="G51" s="39"/>
      <c r="H51" s="40"/>
      <c r="I51" s="52"/>
      <c r="J51" s="53"/>
      <c r="K51" s="17"/>
      <c r="L51" s="39"/>
      <c r="M51" s="43"/>
      <c r="N51" s="45" t="s">
        <v>108</v>
      </c>
      <c r="O51" s="55">
        <v>12</v>
      </c>
      <c r="P51" s="56"/>
      <c r="Q51" s="74"/>
      <c r="R51" s="70">
        <v>0</v>
      </c>
      <c r="S51" s="19"/>
      <c r="T51" s="60"/>
      <c r="U51" s="59"/>
    </row>
    <row r="52" spans="1:21" ht="15" customHeight="1" x14ac:dyDescent="0.25">
      <c r="A52" s="1">
        <f t="shared" ca="1" si="0"/>
        <v>1508</v>
      </c>
      <c r="B52" s="29"/>
      <c r="C52" s="29"/>
      <c r="D52" s="29"/>
      <c r="E52" s="29"/>
      <c r="F52" s="29">
        <v>2970</v>
      </c>
      <c r="G52" s="39"/>
      <c r="H52" s="40"/>
      <c r="I52" s="52"/>
      <c r="J52" s="53"/>
      <c r="K52" s="17"/>
      <c r="L52" s="39"/>
      <c r="M52" s="43"/>
      <c r="N52" s="45" t="s">
        <v>108</v>
      </c>
      <c r="O52" s="55">
        <v>12</v>
      </c>
      <c r="P52" s="56"/>
      <c r="Q52" s="74"/>
      <c r="R52" s="70">
        <v>0</v>
      </c>
      <c r="S52" s="19"/>
      <c r="T52" s="60"/>
      <c r="U52" s="59"/>
    </row>
    <row r="53" spans="1:21" ht="15" customHeight="1" x14ac:dyDescent="0.25">
      <c r="A53" s="1">
        <f t="shared" ca="1" si="0"/>
        <v>1509</v>
      </c>
      <c r="B53" s="29"/>
      <c r="C53" s="29"/>
      <c r="D53" s="29"/>
      <c r="E53" s="29"/>
      <c r="F53" s="29">
        <v>2993</v>
      </c>
      <c r="G53" s="39"/>
      <c r="H53" s="40"/>
      <c r="I53" s="52"/>
      <c r="J53" s="53"/>
      <c r="K53" s="17"/>
      <c r="L53" s="39"/>
      <c r="M53" s="43"/>
      <c r="N53" s="45" t="s">
        <v>108</v>
      </c>
      <c r="O53" s="55">
        <v>15</v>
      </c>
      <c r="P53" s="56"/>
      <c r="Q53" s="74"/>
      <c r="R53" s="70">
        <v>0</v>
      </c>
      <c r="S53" s="19"/>
      <c r="T53" s="60"/>
      <c r="U53" s="59"/>
    </row>
    <row r="54" spans="1:21" ht="15" customHeight="1" x14ac:dyDescent="0.25">
      <c r="A54" s="1">
        <f t="shared" ca="1" si="0"/>
        <v>1510</v>
      </c>
      <c r="B54" s="29"/>
      <c r="C54" s="29"/>
      <c r="D54" s="29"/>
      <c r="E54" s="29"/>
      <c r="F54" s="29">
        <v>2998</v>
      </c>
      <c r="G54" s="39"/>
      <c r="H54" s="40"/>
      <c r="I54" s="52"/>
      <c r="J54" s="53"/>
      <c r="K54" s="17"/>
      <c r="L54" s="39"/>
      <c r="M54" s="43"/>
      <c r="N54" s="45" t="s">
        <v>108</v>
      </c>
      <c r="O54" s="55">
        <v>14</v>
      </c>
      <c r="P54" s="56"/>
      <c r="Q54" s="74"/>
      <c r="R54" s="70">
        <v>0</v>
      </c>
      <c r="S54" s="19"/>
      <c r="T54" s="60"/>
      <c r="U54" s="59"/>
    </row>
    <row r="55" spans="1:21" ht="15" customHeight="1" x14ac:dyDescent="0.25">
      <c r="A55" s="1">
        <f t="shared" ca="1" si="0"/>
        <v>1511</v>
      </c>
      <c r="B55" s="29"/>
      <c r="C55" s="29"/>
      <c r="D55" s="29"/>
      <c r="E55" s="29"/>
      <c r="F55" s="29">
        <v>2997</v>
      </c>
      <c r="G55" s="39"/>
      <c r="H55" s="40"/>
      <c r="I55" s="52"/>
      <c r="J55" s="53"/>
      <c r="K55" s="17"/>
      <c r="L55" s="39"/>
      <c r="M55" s="43"/>
      <c r="N55" s="45" t="s">
        <v>108</v>
      </c>
      <c r="O55" s="55">
        <v>13</v>
      </c>
      <c r="P55" s="56"/>
      <c r="Q55" s="74"/>
      <c r="R55" s="70">
        <v>0</v>
      </c>
      <c r="S55" s="19"/>
      <c r="T55" s="60"/>
      <c r="U55" s="59"/>
    </row>
    <row r="56" spans="1:21" ht="15" customHeight="1" x14ac:dyDescent="0.25">
      <c r="A56" s="1">
        <f t="shared" ca="1" si="0"/>
        <v>1512</v>
      </c>
      <c r="B56" s="29"/>
      <c r="C56" s="29"/>
      <c r="D56" s="29"/>
      <c r="E56" s="29"/>
      <c r="F56" s="29">
        <v>2991</v>
      </c>
      <c r="G56" s="39"/>
      <c r="H56" s="40"/>
      <c r="I56" s="52"/>
      <c r="J56" s="53"/>
      <c r="K56" s="17"/>
      <c r="L56" s="39"/>
      <c r="M56" s="43"/>
      <c r="N56" s="45" t="s">
        <v>108</v>
      </c>
      <c r="O56" s="55">
        <v>14</v>
      </c>
      <c r="P56" s="56"/>
      <c r="Q56" s="74"/>
      <c r="R56" s="70">
        <v>0</v>
      </c>
      <c r="S56" s="19"/>
      <c r="T56" s="60"/>
      <c r="U56" s="59"/>
    </row>
    <row r="57" spans="1:21" ht="15" customHeight="1" x14ac:dyDescent="0.25">
      <c r="A57" s="1">
        <f t="shared" ca="1" si="0"/>
        <v>1513</v>
      </c>
      <c r="B57" s="29"/>
      <c r="C57" s="29"/>
      <c r="D57" s="29"/>
      <c r="E57" s="29"/>
      <c r="F57" s="29">
        <v>2997</v>
      </c>
      <c r="G57" s="39"/>
      <c r="H57" s="40"/>
      <c r="I57" s="52"/>
      <c r="J57" s="53"/>
      <c r="K57" s="17"/>
      <c r="L57" s="39"/>
      <c r="M57" s="43"/>
      <c r="N57" s="45" t="s">
        <v>108</v>
      </c>
      <c r="O57" s="55">
        <v>15</v>
      </c>
      <c r="P57" s="56"/>
      <c r="Q57" s="74"/>
      <c r="R57" s="70">
        <v>0</v>
      </c>
      <c r="S57" s="19"/>
      <c r="T57" s="60"/>
      <c r="U57" s="59"/>
    </row>
    <row r="58" spans="1:21" ht="15" customHeight="1" x14ac:dyDescent="0.25">
      <c r="A58" s="1">
        <f t="shared" ca="1" si="0"/>
        <v>1514</v>
      </c>
      <c r="B58" s="29"/>
      <c r="C58" s="29"/>
      <c r="D58" s="29"/>
      <c r="E58" s="29"/>
      <c r="F58" s="29">
        <v>2995</v>
      </c>
      <c r="G58" s="39"/>
      <c r="H58" s="40"/>
      <c r="I58" s="52"/>
      <c r="J58" s="53"/>
      <c r="K58" s="17"/>
      <c r="L58" s="39"/>
      <c r="M58" s="43"/>
      <c r="N58" s="45" t="s">
        <v>108</v>
      </c>
      <c r="O58" s="55">
        <v>15</v>
      </c>
      <c r="P58" s="56"/>
      <c r="Q58" s="74"/>
      <c r="R58" s="70">
        <v>6</v>
      </c>
      <c r="S58" s="19"/>
      <c r="T58" s="60"/>
      <c r="U58" s="59"/>
    </row>
    <row r="59" spans="1:21" ht="15" customHeight="1" x14ac:dyDescent="0.25">
      <c r="A59" s="1">
        <f t="shared" ca="1" si="0"/>
        <v>1515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 t="s">
        <v>106</v>
      </c>
      <c r="O59" s="55">
        <v>12</v>
      </c>
      <c r="P59" s="56"/>
      <c r="Q59" s="74"/>
      <c r="R59" s="70" t="s">
        <v>7</v>
      </c>
      <c r="S59" s="19"/>
      <c r="T59" s="60"/>
      <c r="U59" s="59"/>
    </row>
    <row r="60" spans="1:21" ht="15" customHeight="1" x14ac:dyDescent="0.25">
      <c r="A60" s="1">
        <f t="shared" ca="1" si="0"/>
        <v>1516</v>
      </c>
      <c r="B60" s="29"/>
      <c r="C60" s="29"/>
      <c r="D60" s="29"/>
      <c r="E60" s="29"/>
      <c r="F60" s="29">
        <v>2996</v>
      </c>
      <c r="G60" s="39"/>
      <c r="H60" s="40"/>
      <c r="I60" s="52"/>
      <c r="J60" s="53"/>
      <c r="K60" s="17"/>
      <c r="L60" s="39"/>
      <c r="M60" s="43"/>
      <c r="N60" s="45" t="s">
        <v>108</v>
      </c>
      <c r="O60" s="55">
        <v>13</v>
      </c>
      <c r="P60" s="56"/>
      <c r="Q60" s="74"/>
      <c r="R60" s="70">
        <v>1</v>
      </c>
      <c r="S60" s="19"/>
      <c r="T60" s="60"/>
      <c r="U60" s="59"/>
    </row>
    <row r="61" spans="1:21" ht="15" customHeight="1" x14ac:dyDescent="0.25">
      <c r="A61" s="1">
        <f t="shared" ca="1" si="0"/>
        <v>1517</v>
      </c>
      <c r="B61" s="29"/>
      <c r="C61" s="29"/>
      <c r="D61" s="29"/>
      <c r="E61" s="29"/>
      <c r="F61" s="29">
        <v>2993</v>
      </c>
      <c r="G61" s="39"/>
      <c r="H61" s="40"/>
      <c r="I61" s="52"/>
      <c r="J61" s="53"/>
      <c r="K61" s="17"/>
      <c r="L61" s="39"/>
      <c r="M61" s="43"/>
      <c r="N61" s="45" t="s">
        <v>108</v>
      </c>
      <c r="O61" s="55">
        <v>10</v>
      </c>
      <c r="P61" s="56"/>
      <c r="Q61" s="74"/>
      <c r="R61" s="70" t="s">
        <v>7</v>
      </c>
      <c r="S61" s="19"/>
      <c r="T61" s="60"/>
      <c r="U61" s="59"/>
    </row>
    <row r="62" spans="1:21" ht="15" customHeight="1" x14ac:dyDescent="0.25">
      <c r="A62" s="1">
        <f t="shared" ca="1" si="0"/>
        <v>1518</v>
      </c>
      <c r="B62" s="29"/>
      <c r="C62" s="29"/>
      <c r="D62" s="29"/>
      <c r="E62" s="29"/>
      <c r="F62" s="29">
        <v>2998</v>
      </c>
      <c r="G62" s="39"/>
      <c r="H62" s="40"/>
      <c r="I62" s="52"/>
      <c r="J62" s="53"/>
      <c r="K62" s="17"/>
      <c r="L62" s="39"/>
      <c r="M62" s="43"/>
      <c r="N62" s="45" t="s">
        <v>106</v>
      </c>
      <c r="O62" s="55">
        <v>10</v>
      </c>
      <c r="P62" s="56"/>
      <c r="Q62" s="74"/>
      <c r="R62" s="70" t="s">
        <v>7</v>
      </c>
      <c r="S62" s="19"/>
      <c r="T62" s="60"/>
      <c r="U62" s="59"/>
    </row>
    <row r="63" spans="1:21" ht="15" customHeight="1" x14ac:dyDescent="0.25">
      <c r="A63" s="1">
        <f t="shared" ca="1" si="0"/>
        <v>1519</v>
      </c>
      <c r="B63" s="29"/>
      <c r="C63" s="29"/>
      <c r="D63" s="29"/>
      <c r="E63" s="29"/>
      <c r="F63" s="29">
        <v>2998</v>
      </c>
      <c r="G63" s="39"/>
      <c r="H63" s="40"/>
      <c r="I63" s="52"/>
      <c r="J63" s="53"/>
      <c r="K63" s="17"/>
      <c r="L63" s="39"/>
      <c r="M63" s="43"/>
      <c r="N63" s="45" t="s">
        <v>108</v>
      </c>
      <c r="O63" s="55">
        <v>12</v>
      </c>
      <c r="P63" s="56"/>
      <c r="Q63" s="74"/>
      <c r="R63" s="70">
        <v>1</v>
      </c>
      <c r="S63" s="19"/>
      <c r="T63" s="60"/>
      <c r="U63" s="59"/>
    </row>
    <row r="64" spans="1:21" ht="15" customHeight="1" x14ac:dyDescent="0.25">
      <c r="A64" s="1">
        <f t="shared" ca="1" si="0"/>
        <v>1520</v>
      </c>
      <c r="B64" s="29"/>
      <c r="C64" s="29"/>
      <c r="D64" s="29"/>
      <c r="E64" s="29"/>
      <c r="F64" s="29">
        <v>2998</v>
      </c>
      <c r="G64" s="39"/>
      <c r="H64" s="40"/>
      <c r="I64" s="52"/>
      <c r="J64" s="53"/>
      <c r="K64" s="17"/>
      <c r="L64" s="39"/>
      <c r="M64" s="43"/>
      <c r="N64" s="45" t="s">
        <v>108</v>
      </c>
      <c r="O64" s="55">
        <v>10</v>
      </c>
      <c r="P64" s="56"/>
      <c r="Q64" s="74"/>
      <c r="R64" s="70" t="s">
        <v>7</v>
      </c>
      <c r="S64" s="19"/>
      <c r="T64" s="60"/>
      <c r="U64" s="59"/>
    </row>
    <row r="65" spans="1:21" ht="15" customHeight="1" x14ac:dyDescent="0.25">
      <c r="A65" s="1">
        <f t="shared" ca="1" si="0"/>
        <v>1521</v>
      </c>
      <c r="B65" s="29"/>
      <c r="C65" s="29"/>
      <c r="D65" s="29"/>
      <c r="E65" s="29"/>
      <c r="F65" s="29">
        <v>2994</v>
      </c>
      <c r="G65" s="39"/>
      <c r="H65" s="40"/>
      <c r="I65" s="52"/>
      <c r="J65" s="53"/>
      <c r="K65" s="17"/>
      <c r="L65" s="39"/>
      <c r="M65" s="43"/>
      <c r="N65" s="45" t="s">
        <v>108</v>
      </c>
      <c r="O65" s="55">
        <v>12</v>
      </c>
      <c r="P65" s="56"/>
      <c r="Q65" s="74"/>
      <c r="R65" s="70" t="s">
        <v>7</v>
      </c>
      <c r="S65" s="19"/>
      <c r="T65" s="60"/>
      <c r="U65" s="59"/>
    </row>
    <row r="66" spans="1:21" x14ac:dyDescent="0.25">
      <c r="A66" s="1" t="str">
        <f t="shared" ca="1" si="0"/>
        <v>Totaal</v>
      </c>
      <c r="B66" s="61" t="str">
        <f>IF(COUNT(B37:B65)&gt;0,AVERAGE(B37:B65)/10,"")</f>
        <v/>
      </c>
      <c r="C66" s="62" t="str">
        <f>IF(COUNT(C37:C65)&gt;0,AVERAGE(C37:C65)/1000,"")</f>
        <v/>
      </c>
      <c r="D66" s="62" t="str">
        <f>IF(COUNT(D37:D65)&gt;0,AVERAGE(D37:D65)/1000,"")</f>
        <v/>
      </c>
      <c r="E66" s="62" t="str">
        <f>IF(COUNT(E37:E65)&gt;0,AVERAGE(E37:E65)/1000,"")</f>
        <v/>
      </c>
      <c r="F66" s="62">
        <f>IF(COUNT(F37:F65)&gt;0,AVERAGE(F37:F65)/100,"")</f>
        <v>29.960714285714285</v>
      </c>
      <c r="G66" s="41" t="str">
        <f>IF(COUNT(G37:G65)&gt;0,AVERAGE(G37:G65)/10,"")</f>
        <v/>
      </c>
      <c r="H66" s="42" t="str">
        <f>IF(COUNT(H37:H65)&gt;0,AVERAGE(H37:H65)/10,"")</f>
        <v/>
      </c>
      <c r="I66" s="18" t="str">
        <f>IF(COUNT(I37:I65)&gt;0,AVERAGE(I37:I65)/10,"")</f>
        <v/>
      </c>
      <c r="J66" s="54" t="str">
        <f>IF(COUNT(J37:J65)&gt;0,AVERAGE(J37:J65),"")</f>
        <v/>
      </c>
      <c r="K66" s="51" t="str">
        <f>IF(COUNT(K37:K65)&gt;0,AVERAGE(K37:K65)/1000,"")</f>
        <v/>
      </c>
      <c r="L66" s="41" t="str">
        <f>IF(COUNT(L37:L65)&gt;0,AVERAGE(L37:L65)/10,"")</f>
        <v/>
      </c>
      <c r="M66" s="44" t="str">
        <f>IF(COUNT(M37:M65)&gt;0,AVERAGE(M37:M65)/10,"")</f>
        <v/>
      </c>
      <c r="N66" s="46"/>
      <c r="O66" s="57">
        <f>IF(COUNT(O37:O65)&gt;0,AVERAGE(O37:O65),"")</f>
        <v>12.074074074074074</v>
      </c>
      <c r="P66" s="58" t="str">
        <f>IF(COUNT(P37:P65)&gt;0,AVERAGE(P37:P65),"")</f>
        <v/>
      </c>
      <c r="Q66" s="47"/>
      <c r="R66" s="68">
        <f>IF(COUNT(R37:R65)&gt;0,SUM(R37:R65)/100,"")</f>
        <v>0.8</v>
      </c>
      <c r="S66" s="64" t="str">
        <f>IF(COUNT(S37:S65)&gt;0,AVERAGE(S37:S65),"")</f>
        <v/>
      </c>
      <c r="T66" s="65" t="str">
        <f>IF(COUNT(T37:T65)&gt;0,AVERAGE(T37:T65),"")</f>
        <v/>
      </c>
      <c r="U66" s="66" t="str">
        <f>IF(COUNT(U37:U65)&gt;0,AVERAGE(U37:U65),"")</f>
        <v/>
      </c>
    </row>
    <row r="67" spans="1:21" ht="15" customHeight="1" x14ac:dyDescent="0.25">
      <c r="A67" s="1">
        <f t="shared" ca="1" si="0"/>
        <v>1522</v>
      </c>
      <c r="B67" s="29"/>
      <c r="C67" s="29"/>
      <c r="D67" s="29"/>
      <c r="E67" s="29"/>
      <c r="F67" s="29">
        <v>2997</v>
      </c>
      <c r="G67" s="39"/>
      <c r="H67" s="40"/>
      <c r="I67" s="52"/>
      <c r="J67" s="53"/>
      <c r="K67" s="17"/>
      <c r="L67" s="39"/>
      <c r="M67" s="43"/>
      <c r="N67" s="45" t="s">
        <v>108</v>
      </c>
      <c r="O67" s="55">
        <v>12</v>
      </c>
      <c r="P67" s="56"/>
      <c r="Q67" s="74"/>
      <c r="R67" s="70" t="s">
        <v>7</v>
      </c>
      <c r="S67" s="19"/>
      <c r="T67" s="60"/>
      <c r="U67" s="59"/>
    </row>
    <row r="68" spans="1:21" ht="15" customHeight="1" x14ac:dyDescent="0.25">
      <c r="A68" s="1">
        <f t="shared" ca="1" si="0"/>
        <v>1523</v>
      </c>
      <c r="B68" s="29"/>
      <c r="C68" s="29"/>
      <c r="D68" s="29"/>
      <c r="E68" s="29"/>
      <c r="F68" s="29">
        <v>2988</v>
      </c>
      <c r="G68" s="39"/>
      <c r="H68" s="40"/>
      <c r="I68" s="52"/>
      <c r="J68" s="53"/>
      <c r="K68" s="17"/>
      <c r="L68" s="39"/>
      <c r="M68" s="43"/>
      <c r="N68" s="45" t="s">
        <v>108</v>
      </c>
      <c r="O68" s="55">
        <v>13</v>
      </c>
      <c r="P68" s="56"/>
      <c r="Q68" s="74"/>
      <c r="R68" s="70">
        <v>0</v>
      </c>
      <c r="S68" s="19"/>
      <c r="T68" s="60"/>
      <c r="U68" s="59"/>
    </row>
    <row r="69" spans="1:21" ht="15" customHeight="1" x14ac:dyDescent="0.25">
      <c r="A69" s="1">
        <f t="shared" ca="1" si="0"/>
        <v>1524</v>
      </c>
      <c r="B69" s="29"/>
      <c r="C69" s="29"/>
      <c r="D69" s="29"/>
      <c r="E69" s="29"/>
      <c r="F69" s="29">
        <v>2996</v>
      </c>
      <c r="G69" s="39"/>
      <c r="H69" s="40"/>
      <c r="I69" s="52"/>
      <c r="J69" s="53"/>
      <c r="K69" s="17"/>
      <c r="L69" s="39"/>
      <c r="M69" s="43"/>
      <c r="N69" s="45" t="s">
        <v>108</v>
      </c>
      <c r="O69" s="55">
        <v>10</v>
      </c>
      <c r="P69" s="56"/>
      <c r="Q69" s="74"/>
      <c r="R69" s="70" t="s">
        <v>7</v>
      </c>
      <c r="S69" s="19"/>
      <c r="T69" s="60"/>
      <c r="U69" s="59"/>
    </row>
    <row r="70" spans="1:21" ht="15" customHeight="1" x14ac:dyDescent="0.25">
      <c r="A70" s="1">
        <f t="shared" ca="1" si="0"/>
        <v>1525</v>
      </c>
      <c r="B70" s="29"/>
      <c r="C70" s="29"/>
      <c r="D70" s="29"/>
      <c r="E70" s="29"/>
      <c r="F70" s="29">
        <v>2992</v>
      </c>
      <c r="G70" s="39"/>
      <c r="H70" s="40"/>
      <c r="I70" s="52"/>
      <c r="J70" s="53"/>
      <c r="K70" s="17"/>
      <c r="L70" s="39"/>
      <c r="M70" s="43"/>
      <c r="N70" s="45" t="s">
        <v>108</v>
      </c>
      <c r="O70" s="55">
        <v>12</v>
      </c>
      <c r="P70" s="56"/>
      <c r="Q70" s="74"/>
      <c r="R70" s="70" t="s">
        <v>7</v>
      </c>
      <c r="S70" s="19"/>
      <c r="T70" s="60"/>
      <c r="U70" s="59"/>
    </row>
    <row r="71" spans="1:21" ht="15" customHeight="1" x14ac:dyDescent="0.25">
      <c r="A71" s="1">
        <f t="shared" ca="1" si="0"/>
        <v>1526</v>
      </c>
      <c r="B71" s="29"/>
      <c r="C71" s="29"/>
      <c r="D71" s="29"/>
      <c r="E71" s="29"/>
      <c r="F71" s="29">
        <v>2993</v>
      </c>
      <c r="G71" s="39"/>
      <c r="H71" s="40"/>
      <c r="I71" s="52"/>
      <c r="J71" s="53"/>
      <c r="K71" s="17"/>
      <c r="L71" s="39"/>
      <c r="M71" s="43"/>
      <c r="N71" s="45" t="s">
        <v>108</v>
      </c>
      <c r="O71" s="55">
        <v>13</v>
      </c>
      <c r="P71" s="56"/>
      <c r="Q71" s="74"/>
      <c r="R71" s="70" t="s">
        <v>7</v>
      </c>
      <c r="S71" s="19"/>
      <c r="T71" s="60"/>
      <c r="U71" s="59"/>
    </row>
    <row r="72" spans="1:21" ht="15" customHeight="1" x14ac:dyDescent="0.25">
      <c r="A72" s="1">
        <f t="shared" ref="A72:A135" ca="1" si="3">IF(ISTEXT(A71),A70+1,IF(MONTH(A71+1)=MONTH(A71),A71+1,"Totaal"))</f>
        <v>1527</v>
      </c>
      <c r="B72" s="29"/>
      <c r="C72" s="29"/>
      <c r="D72" s="29"/>
      <c r="E72" s="29"/>
      <c r="F72" s="29">
        <v>2992</v>
      </c>
      <c r="G72" s="39"/>
      <c r="H72" s="40"/>
      <c r="I72" s="52"/>
      <c r="J72" s="53"/>
      <c r="K72" s="17"/>
      <c r="L72" s="39"/>
      <c r="M72" s="43"/>
      <c r="N72" s="45" t="s">
        <v>108</v>
      </c>
      <c r="O72" s="55">
        <v>12</v>
      </c>
      <c r="P72" s="56"/>
      <c r="Q72" s="74"/>
      <c r="R72" s="70" t="s">
        <v>7</v>
      </c>
      <c r="S72" s="19"/>
      <c r="T72" s="60"/>
      <c r="U72" s="59"/>
    </row>
    <row r="73" spans="1:21" ht="15" customHeight="1" x14ac:dyDescent="0.25">
      <c r="A73" s="1">
        <f t="shared" ca="1" si="3"/>
        <v>1528</v>
      </c>
      <c r="B73" s="29"/>
      <c r="C73" s="29"/>
      <c r="D73" s="29"/>
      <c r="E73" s="29"/>
      <c r="F73" s="29">
        <v>2988</v>
      </c>
      <c r="G73" s="39"/>
      <c r="H73" s="40"/>
      <c r="I73" s="52"/>
      <c r="J73" s="53"/>
      <c r="K73" s="17"/>
      <c r="L73" s="39"/>
      <c r="M73" s="43"/>
      <c r="N73" s="45" t="s">
        <v>108</v>
      </c>
      <c r="O73" s="55">
        <v>8</v>
      </c>
      <c r="P73" s="56"/>
      <c r="Q73" s="74"/>
      <c r="R73" s="70">
        <v>0</v>
      </c>
      <c r="S73" s="19"/>
      <c r="T73" s="60"/>
      <c r="U73" s="59"/>
    </row>
    <row r="74" spans="1:21" ht="15" customHeight="1" x14ac:dyDescent="0.25">
      <c r="A74" s="1">
        <f t="shared" ca="1" si="3"/>
        <v>1529</v>
      </c>
      <c r="B74" s="29"/>
      <c r="C74" s="29"/>
      <c r="D74" s="29"/>
      <c r="E74" s="29"/>
      <c r="F74" s="29">
        <v>2988</v>
      </c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 t="s">
        <v>7</v>
      </c>
      <c r="S74" s="19"/>
      <c r="T74" s="60"/>
      <c r="U74" s="59"/>
    </row>
    <row r="75" spans="1:21" ht="15" customHeight="1" x14ac:dyDescent="0.25">
      <c r="A75" s="1">
        <f t="shared" ca="1" si="3"/>
        <v>1530</v>
      </c>
      <c r="B75" s="29"/>
      <c r="C75" s="29"/>
      <c r="D75" s="29"/>
      <c r="E75" s="29"/>
      <c r="F75" s="29">
        <v>2990</v>
      </c>
      <c r="G75" s="39"/>
      <c r="H75" s="40"/>
      <c r="I75" s="52"/>
      <c r="J75" s="53"/>
      <c r="K75" s="17"/>
      <c r="L75" s="39"/>
      <c r="M75" s="43"/>
      <c r="N75" s="45" t="s">
        <v>108</v>
      </c>
      <c r="O75" s="55">
        <v>8</v>
      </c>
      <c r="P75" s="56"/>
      <c r="Q75" s="74"/>
      <c r="R75" s="70" t="s">
        <v>7</v>
      </c>
      <c r="S75" s="19"/>
      <c r="T75" s="60"/>
      <c r="U75" s="59"/>
    </row>
    <row r="76" spans="1:21" ht="15" customHeight="1" x14ac:dyDescent="0.25">
      <c r="A76" s="1">
        <f t="shared" ca="1" si="3"/>
        <v>1531</v>
      </c>
      <c r="B76" s="29"/>
      <c r="C76" s="29"/>
      <c r="D76" s="29"/>
      <c r="E76" s="29"/>
      <c r="F76" s="29">
        <v>2996</v>
      </c>
      <c r="G76" s="39"/>
      <c r="H76" s="40"/>
      <c r="I76" s="52"/>
      <c r="J76" s="53"/>
      <c r="K76" s="17"/>
      <c r="L76" s="39"/>
      <c r="M76" s="43"/>
      <c r="N76" s="45" t="s">
        <v>110</v>
      </c>
      <c r="O76" s="55">
        <v>8</v>
      </c>
      <c r="P76" s="56"/>
      <c r="Q76" s="74"/>
      <c r="R76" s="70" t="s">
        <v>7</v>
      </c>
      <c r="S76" s="19"/>
      <c r="T76" s="60"/>
      <c r="U76" s="59"/>
    </row>
    <row r="77" spans="1:21" ht="15" customHeight="1" x14ac:dyDescent="0.25">
      <c r="A77" s="1">
        <f t="shared" ca="1" si="3"/>
        <v>1532</v>
      </c>
      <c r="B77" s="29"/>
      <c r="C77" s="29"/>
      <c r="D77" s="29"/>
      <c r="E77" s="29"/>
      <c r="F77" s="29">
        <v>2993</v>
      </c>
      <c r="G77" s="39"/>
      <c r="H77" s="40"/>
      <c r="I77" s="52"/>
      <c r="J77" s="53"/>
      <c r="K77" s="17"/>
      <c r="L77" s="39"/>
      <c r="M77" s="43"/>
      <c r="N77" s="45" t="s">
        <v>108</v>
      </c>
      <c r="O77" s="55"/>
      <c r="P77" s="56"/>
      <c r="Q77" s="74"/>
      <c r="R77" s="70" t="s">
        <v>7</v>
      </c>
      <c r="S77" s="19"/>
      <c r="T77" s="60"/>
      <c r="U77" s="59"/>
    </row>
    <row r="78" spans="1:21" ht="15" customHeight="1" x14ac:dyDescent="0.25">
      <c r="A78" s="1">
        <f t="shared" ca="1" si="3"/>
        <v>1533</v>
      </c>
      <c r="B78" s="29"/>
      <c r="C78" s="29"/>
      <c r="D78" s="29"/>
      <c r="E78" s="29"/>
      <c r="F78" s="29">
        <v>2988</v>
      </c>
      <c r="G78" s="39"/>
      <c r="H78" s="40"/>
      <c r="I78" s="52"/>
      <c r="J78" s="53"/>
      <c r="K78" s="17"/>
      <c r="L78" s="39"/>
      <c r="M78" s="43"/>
      <c r="N78" s="45" t="s">
        <v>110</v>
      </c>
      <c r="O78" s="55">
        <v>8</v>
      </c>
      <c r="P78" s="56"/>
      <c r="Q78" s="74"/>
      <c r="R78" s="70" t="s">
        <v>7</v>
      </c>
      <c r="S78" s="19"/>
      <c r="T78" s="60"/>
      <c r="U78" s="59"/>
    </row>
    <row r="79" spans="1:21" ht="15" customHeight="1" x14ac:dyDescent="0.25">
      <c r="A79" s="1">
        <f t="shared" ca="1" si="3"/>
        <v>1534</v>
      </c>
      <c r="B79" s="29"/>
      <c r="C79" s="29"/>
      <c r="D79" s="29"/>
      <c r="E79" s="29"/>
      <c r="F79" s="29">
        <v>2988</v>
      </c>
      <c r="G79" s="39"/>
      <c r="H79" s="40"/>
      <c r="I79" s="52"/>
      <c r="J79" s="53"/>
      <c r="K79" s="17"/>
      <c r="L79" s="39"/>
      <c r="M79" s="43"/>
      <c r="N79" s="45" t="s">
        <v>108</v>
      </c>
      <c r="O79" s="55">
        <v>6</v>
      </c>
      <c r="P79" s="56"/>
      <c r="Q79" s="74"/>
      <c r="R79" s="70" t="s">
        <v>7</v>
      </c>
      <c r="S79" s="19"/>
      <c r="T79" s="60"/>
      <c r="U79" s="59"/>
    </row>
    <row r="80" spans="1:21" ht="15" customHeight="1" x14ac:dyDescent="0.25">
      <c r="A80" s="1">
        <f t="shared" ca="1" si="3"/>
        <v>1535</v>
      </c>
      <c r="B80" s="29"/>
      <c r="C80" s="29"/>
      <c r="D80" s="29"/>
      <c r="E80" s="29"/>
      <c r="F80" s="29">
        <v>2991</v>
      </c>
      <c r="G80" s="39"/>
      <c r="H80" s="40"/>
      <c r="I80" s="52"/>
      <c r="J80" s="53"/>
      <c r="K80" s="17"/>
      <c r="L80" s="39"/>
      <c r="M80" s="43"/>
      <c r="N80" s="45" t="s">
        <v>108</v>
      </c>
      <c r="O80" s="55">
        <v>6</v>
      </c>
      <c r="P80" s="56"/>
      <c r="Q80" s="74"/>
      <c r="R80" s="70" t="s">
        <v>7</v>
      </c>
      <c r="S80" s="19"/>
      <c r="T80" s="60"/>
      <c r="U80" s="59"/>
    </row>
    <row r="81" spans="1:21" ht="15" customHeight="1" x14ac:dyDescent="0.25">
      <c r="A81" s="1">
        <f t="shared" ca="1" si="3"/>
        <v>1536</v>
      </c>
      <c r="B81" s="29"/>
      <c r="C81" s="29"/>
      <c r="D81" s="29"/>
      <c r="E81" s="29"/>
      <c r="F81" s="29">
        <v>2994</v>
      </c>
      <c r="G81" s="39"/>
      <c r="H81" s="40"/>
      <c r="I81" s="52"/>
      <c r="J81" s="53"/>
      <c r="K81" s="17"/>
      <c r="L81" s="39"/>
      <c r="M81" s="43"/>
      <c r="N81" s="45" t="s">
        <v>108</v>
      </c>
      <c r="O81" s="55">
        <v>8</v>
      </c>
      <c r="P81" s="56"/>
      <c r="Q81" s="74"/>
      <c r="R81" s="70" t="s">
        <v>7</v>
      </c>
      <c r="S81" s="19"/>
      <c r="T81" s="60"/>
      <c r="U81" s="59"/>
    </row>
    <row r="82" spans="1:21" ht="15" customHeight="1" x14ac:dyDescent="0.25">
      <c r="A82" s="1">
        <f t="shared" ca="1" si="3"/>
        <v>1537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 t="s">
        <v>108</v>
      </c>
      <c r="O82" s="55">
        <v>10</v>
      </c>
      <c r="P82" s="56"/>
      <c r="Q82" s="74"/>
      <c r="R82" s="70">
        <v>0</v>
      </c>
      <c r="S82" s="19"/>
      <c r="T82" s="60"/>
      <c r="U82" s="59"/>
    </row>
    <row r="83" spans="1:21" ht="15" customHeight="1" x14ac:dyDescent="0.25">
      <c r="A83" s="1">
        <f t="shared" ca="1" si="3"/>
        <v>1538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 t="s">
        <v>108</v>
      </c>
      <c r="O83" s="55">
        <v>8</v>
      </c>
      <c r="P83" s="56"/>
      <c r="Q83" s="74"/>
      <c r="R83" s="70">
        <v>0</v>
      </c>
      <c r="S83" s="19"/>
      <c r="T83" s="60"/>
      <c r="U83" s="59"/>
    </row>
    <row r="84" spans="1:21" ht="15" customHeight="1" x14ac:dyDescent="0.25">
      <c r="A84" s="1">
        <f t="shared" ca="1" si="3"/>
        <v>1539</v>
      </c>
      <c r="B84" s="29"/>
      <c r="C84" s="29"/>
      <c r="D84" s="29"/>
      <c r="E84" s="29"/>
      <c r="F84" s="29">
        <v>2994</v>
      </c>
      <c r="G84" s="39"/>
      <c r="H84" s="40"/>
      <c r="I84" s="52"/>
      <c r="J84" s="53"/>
      <c r="K84" s="17"/>
      <c r="L84" s="39"/>
      <c r="M84" s="43"/>
      <c r="N84" s="45" t="s">
        <v>108</v>
      </c>
      <c r="O84" s="55">
        <v>10</v>
      </c>
      <c r="P84" s="56"/>
      <c r="Q84" s="74"/>
      <c r="R84" s="70">
        <v>1</v>
      </c>
      <c r="S84" s="19"/>
      <c r="T84" s="60"/>
      <c r="U84" s="59"/>
    </row>
    <row r="85" spans="1:21" ht="15" customHeight="1" x14ac:dyDescent="0.25">
      <c r="A85" s="1">
        <f t="shared" ca="1" si="3"/>
        <v>1540</v>
      </c>
      <c r="B85" s="29"/>
      <c r="C85" s="29"/>
      <c r="D85" s="29"/>
      <c r="E85" s="29"/>
      <c r="F85" s="29">
        <v>2991</v>
      </c>
      <c r="G85" s="39"/>
      <c r="H85" s="40"/>
      <c r="I85" s="52"/>
      <c r="J85" s="53"/>
      <c r="K85" s="17"/>
      <c r="L85" s="39"/>
      <c r="M85" s="43"/>
      <c r="N85" s="45" t="s">
        <v>108</v>
      </c>
      <c r="O85" s="55">
        <v>10</v>
      </c>
      <c r="P85" s="56"/>
      <c r="Q85" s="74"/>
      <c r="R85" s="70" t="s">
        <v>7</v>
      </c>
      <c r="S85" s="19"/>
      <c r="T85" s="60"/>
      <c r="U85" s="59"/>
    </row>
    <row r="86" spans="1:21" ht="15" customHeight="1" x14ac:dyDescent="0.25">
      <c r="A86" s="1">
        <f t="shared" ca="1" si="3"/>
        <v>1541</v>
      </c>
      <c r="B86" s="29"/>
      <c r="C86" s="29"/>
      <c r="D86" s="29"/>
      <c r="E86" s="29"/>
      <c r="F86" s="29">
        <v>2994</v>
      </c>
      <c r="G86" s="39"/>
      <c r="H86" s="40"/>
      <c r="I86" s="52"/>
      <c r="J86" s="53"/>
      <c r="K86" s="17"/>
      <c r="L86" s="39"/>
      <c r="M86" s="43"/>
      <c r="N86" s="45" t="s">
        <v>108</v>
      </c>
      <c r="O86" s="55">
        <v>15</v>
      </c>
      <c r="P86" s="56"/>
      <c r="Q86" s="74"/>
      <c r="R86" s="70">
        <v>0</v>
      </c>
      <c r="S86" s="19"/>
      <c r="T86" s="60"/>
      <c r="U86" s="59"/>
    </row>
    <row r="87" spans="1:21" ht="15" customHeight="1" x14ac:dyDescent="0.25">
      <c r="A87" s="1">
        <f t="shared" ca="1" si="3"/>
        <v>1542</v>
      </c>
      <c r="B87" s="29"/>
      <c r="C87" s="29"/>
      <c r="D87" s="29"/>
      <c r="E87" s="29"/>
      <c r="F87" s="29">
        <v>2988</v>
      </c>
      <c r="G87" s="39"/>
      <c r="H87" s="40"/>
      <c r="I87" s="52"/>
      <c r="J87" s="53"/>
      <c r="K87" s="17"/>
      <c r="L87" s="39"/>
      <c r="M87" s="43"/>
      <c r="N87" s="45" t="s">
        <v>108</v>
      </c>
      <c r="O87" s="55">
        <v>10</v>
      </c>
      <c r="P87" s="56"/>
      <c r="Q87" s="74"/>
      <c r="R87" s="70" t="s">
        <v>7</v>
      </c>
      <c r="S87" s="19"/>
      <c r="T87" s="60"/>
      <c r="U87" s="59"/>
    </row>
    <row r="88" spans="1:21" ht="15" customHeight="1" x14ac:dyDescent="0.25">
      <c r="A88" s="1">
        <f t="shared" ca="1" si="3"/>
        <v>1543</v>
      </c>
      <c r="B88" s="29"/>
      <c r="C88" s="29"/>
      <c r="D88" s="29"/>
      <c r="E88" s="29"/>
      <c r="F88" s="29">
        <v>2993</v>
      </c>
      <c r="G88" s="39"/>
      <c r="H88" s="40"/>
      <c r="I88" s="52"/>
      <c r="J88" s="53"/>
      <c r="K88" s="17"/>
      <c r="L88" s="39"/>
      <c r="M88" s="43"/>
      <c r="N88" s="45" t="s">
        <v>108</v>
      </c>
      <c r="O88" s="55">
        <v>10</v>
      </c>
      <c r="P88" s="56"/>
      <c r="Q88" s="74"/>
      <c r="R88" s="70">
        <v>0</v>
      </c>
      <c r="S88" s="19"/>
      <c r="T88" s="60"/>
      <c r="U88" s="59"/>
    </row>
    <row r="89" spans="1:21" ht="15" customHeight="1" x14ac:dyDescent="0.25">
      <c r="A89" s="1">
        <f t="shared" ca="1" si="3"/>
        <v>1544</v>
      </c>
      <c r="B89" s="29"/>
      <c r="C89" s="29"/>
      <c r="D89" s="29"/>
      <c r="E89" s="29"/>
      <c r="F89" s="29">
        <v>2995</v>
      </c>
      <c r="G89" s="39"/>
      <c r="H89" s="40"/>
      <c r="I89" s="52"/>
      <c r="J89" s="53"/>
      <c r="K89" s="17"/>
      <c r="L89" s="39"/>
      <c r="M89" s="43"/>
      <c r="N89" s="45" t="s">
        <v>108</v>
      </c>
      <c r="O89" s="55">
        <v>10</v>
      </c>
      <c r="P89" s="56"/>
      <c r="Q89" s="74"/>
      <c r="R89" s="70">
        <v>0</v>
      </c>
      <c r="S89" s="19"/>
      <c r="T89" s="60"/>
      <c r="U89" s="59"/>
    </row>
    <row r="90" spans="1:21" ht="15" customHeight="1" x14ac:dyDescent="0.25">
      <c r="A90" s="1">
        <f t="shared" ca="1" si="3"/>
        <v>1545</v>
      </c>
      <c r="B90" s="29"/>
      <c r="C90" s="29"/>
      <c r="D90" s="29"/>
      <c r="E90" s="29"/>
      <c r="F90" s="29">
        <v>2995</v>
      </c>
      <c r="G90" s="39"/>
      <c r="H90" s="40"/>
      <c r="I90" s="52"/>
      <c r="J90" s="53"/>
      <c r="K90" s="17"/>
      <c r="L90" s="39"/>
      <c r="M90" s="43"/>
      <c r="N90" s="45" t="s">
        <v>108</v>
      </c>
      <c r="O90" s="55">
        <v>8</v>
      </c>
      <c r="P90" s="56"/>
      <c r="Q90" s="74"/>
      <c r="R90" s="70" t="s">
        <v>7</v>
      </c>
      <c r="S90" s="19"/>
      <c r="T90" s="60"/>
      <c r="U90" s="59"/>
    </row>
    <row r="91" spans="1:21" ht="15" customHeight="1" x14ac:dyDescent="0.25">
      <c r="A91" s="1">
        <f t="shared" ca="1" si="3"/>
        <v>1546</v>
      </c>
      <c r="B91" s="29"/>
      <c r="C91" s="29"/>
      <c r="D91" s="29"/>
      <c r="E91" s="29"/>
      <c r="F91" s="29">
        <v>2995</v>
      </c>
      <c r="G91" s="39"/>
      <c r="H91" s="40"/>
      <c r="I91" s="52"/>
      <c r="J91" s="53"/>
      <c r="K91" s="17"/>
      <c r="L91" s="39"/>
      <c r="M91" s="43"/>
      <c r="N91" s="45" t="s">
        <v>108</v>
      </c>
      <c r="O91" s="55">
        <v>10</v>
      </c>
      <c r="P91" s="56"/>
      <c r="Q91" s="74"/>
      <c r="R91" s="70">
        <v>0</v>
      </c>
      <c r="S91" s="19"/>
      <c r="T91" s="60"/>
      <c r="U91" s="59"/>
    </row>
    <row r="92" spans="1:21" ht="15" customHeight="1" x14ac:dyDescent="0.25">
      <c r="A92" s="1">
        <f t="shared" ca="1" si="3"/>
        <v>1547</v>
      </c>
      <c r="B92" s="29"/>
      <c r="C92" s="29"/>
      <c r="D92" s="29"/>
      <c r="E92" s="29"/>
      <c r="F92" s="29">
        <v>2993</v>
      </c>
      <c r="G92" s="39"/>
      <c r="H92" s="40"/>
      <c r="I92" s="52"/>
      <c r="J92" s="53"/>
      <c r="K92" s="17"/>
      <c r="L92" s="39"/>
      <c r="M92" s="43"/>
      <c r="N92" s="45" t="s">
        <v>108</v>
      </c>
      <c r="O92" s="55">
        <v>10</v>
      </c>
      <c r="P92" s="56"/>
      <c r="Q92" s="74"/>
      <c r="R92" s="70" t="s">
        <v>7</v>
      </c>
      <c r="S92" s="19"/>
      <c r="T92" s="60"/>
      <c r="U92" s="59"/>
    </row>
    <row r="93" spans="1:21" ht="15" customHeight="1" x14ac:dyDescent="0.25">
      <c r="A93" s="1">
        <f t="shared" ca="1" si="3"/>
        <v>1548</v>
      </c>
      <c r="B93" s="29"/>
      <c r="C93" s="29"/>
      <c r="D93" s="29"/>
      <c r="E93" s="29"/>
      <c r="F93" s="29">
        <v>3001</v>
      </c>
      <c r="G93" s="39"/>
      <c r="H93" s="40"/>
      <c r="I93" s="52"/>
      <c r="J93" s="53"/>
      <c r="K93" s="17"/>
      <c r="L93" s="39"/>
      <c r="M93" s="43"/>
      <c r="N93" s="45" t="s">
        <v>108</v>
      </c>
      <c r="O93" s="55">
        <v>15</v>
      </c>
      <c r="P93" s="56"/>
      <c r="Q93" s="74"/>
      <c r="R93" s="70" t="s">
        <v>7</v>
      </c>
      <c r="S93" s="19"/>
      <c r="T93" s="60"/>
      <c r="U93" s="59"/>
    </row>
    <row r="94" spans="1:21" ht="15" customHeight="1" x14ac:dyDescent="0.25">
      <c r="A94" s="1">
        <f t="shared" ca="1" si="3"/>
        <v>1549</v>
      </c>
      <c r="B94" s="29"/>
      <c r="C94" s="29"/>
      <c r="D94" s="29"/>
      <c r="E94" s="29"/>
      <c r="F94" s="29">
        <v>3000</v>
      </c>
      <c r="G94" s="39"/>
      <c r="H94" s="40"/>
      <c r="I94" s="52"/>
      <c r="J94" s="53"/>
      <c r="K94" s="17"/>
      <c r="L94" s="39"/>
      <c r="M94" s="43"/>
      <c r="N94" s="45" t="s">
        <v>108</v>
      </c>
      <c r="O94" s="55">
        <v>10</v>
      </c>
      <c r="P94" s="56"/>
      <c r="Q94" s="74"/>
      <c r="R94" s="70" t="s">
        <v>7</v>
      </c>
      <c r="S94" s="19"/>
      <c r="T94" s="60"/>
      <c r="U94" s="59"/>
    </row>
    <row r="95" spans="1:21" ht="15" customHeight="1" x14ac:dyDescent="0.25">
      <c r="A95" s="1">
        <f t="shared" ca="1" si="3"/>
        <v>1550</v>
      </c>
      <c r="B95" s="29"/>
      <c r="C95" s="29"/>
      <c r="D95" s="29"/>
      <c r="E95" s="29"/>
      <c r="F95" s="29">
        <v>2987</v>
      </c>
      <c r="G95" s="39"/>
      <c r="H95" s="40"/>
      <c r="I95" s="52"/>
      <c r="J95" s="53"/>
      <c r="K95" s="17"/>
      <c r="L95" s="39"/>
      <c r="M95" s="43"/>
      <c r="N95" s="45" t="s">
        <v>110</v>
      </c>
      <c r="O95" s="55">
        <v>5</v>
      </c>
      <c r="P95" s="56"/>
      <c r="Q95" s="74"/>
      <c r="R95" s="70" t="s">
        <v>7</v>
      </c>
      <c r="S95" s="19"/>
      <c r="T95" s="60"/>
      <c r="U95" s="59"/>
    </row>
    <row r="96" spans="1:21" ht="15" customHeight="1" x14ac:dyDescent="0.25">
      <c r="A96" s="1">
        <f t="shared" ca="1" si="3"/>
        <v>1551</v>
      </c>
      <c r="B96" s="29"/>
      <c r="C96" s="29"/>
      <c r="D96" s="29"/>
      <c r="E96" s="29"/>
      <c r="F96" s="29">
        <v>2990</v>
      </c>
      <c r="G96" s="39"/>
      <c r="H96" s="40"/>
      <c r="I96" s="52"/>
      <c r="J96" s="53"/>
      <c r="K96" s="17"/>
      <c r="L96" s="39"/>
      <c r="M96" s="43"/>
      <c r="N96" s="45" t="s">
        <v>110</v>
      </c>
      <c r="O96" s="55">
        <v>8</v>
      </c>
      <c r="P96" s="56"/>
      <c r="Q96" s="74"/>
      <c r="R96" s="70" t="s">
        <v>7</v>
      </c>
      <c r="S96" s="19"/>
      <c r="T96" s="60"/>
      <c r="U96" s="59"/>
    </row>
    <row r="97" spans="1:21" ht="15" customHeight="1" x14ac:dyDescent="0.25">
      <c r="A97" s="1">
        <f t="shared" ca="1" si="3"/>
        <v>1552</v>
      </c>
      <c r="B97" s="29"/>
      <c r="C97" s="29"/>
      <c r="D97" s="29"/>
      <c r="E97" s="29"/>
      <c r="F97" s="29">
        <v>2989</v>
      </c>
      <c r="G97" s="39"/>
      <c r="H97" s="40"/>
      <c r="I97" s="52"/>
      <c r="J97" s="53"/>
      <c r="K97" s="17"/>
      <c r="L97" s="39"/>
      <c r="M97" s="43"/>
      <c r="N97" s="45" t="s">
        <v>110</v>
      </c>
      <c r="O97" s="55">
        <v>10</v>
      </c>
      <c r="P97" s="56"/>
      <c r="Q97" s="74"/>
      <c r="R97" s="70">
        <v>6</v>
      </c>
      <c r="S97" s="19"/>
      <c r="T97" s="60"/>
      <c r="U97" s="59"/>
    </row>
    <row r="98" spans="1:21" x14ac:dyDescent="0.25">
      <c r="A98" s="1" t="str">
        <f t="shared" ca="1" si="3"/>
        <v>Totaal</v>
      </c>
      <c r="B98" s="61" t="str">
        <f>IF(COUNT(B67:B97)&gt;0,AVERAGE(B67:B97)/10,"")</f>
        <v/>
      </c>
      <c r="C98" s="62" t="str">
        <f>IF(COUNT(C67:C97)&gt;0,AVERAGE(C67:C97)/1000,"")</f>
        <v/>
      </c>
      <c r="D98" s="62" t="str">
        <f t="shared" ref="D98" si="4">IF(COUNT(D67:D97)&gt;0,AVERAGE(D67:D97)/1000,"")</f>
        <v/>
      </c>
      <c r="E98" s="62" t="str">
        <f t="shared" ref="E98" si="5">IF(COUNT(E67:E97)&gt;0,AVERAGE(E67:E97)/1000,"")</f>
        <v/>
      </c>
      <c r="F98" s="62">
        <f>IF(COUNT(F67:F97)&gt;0,AVERAGE(F67:F97)/100,"")</f>
        <v>29.923793103448276</v>
      </c>
      <c r="G98" s="41" t="str">
        <f>IF(COUNT(G67:G97)&gt;0,AVERAGE(G67:G97)/10,"")</f>
        <v/>
      </c>
      <c r="H98" s="42" t="str">
        <f t="shared" ref="H98" si="6">IF(COUNT(H67:H97)&gt;0,AVERAGE(H67:H97)/10,"")</f>
        <v/>
      </c>
      <c r="I98" s="18" t="str">
        <f>IF(COUNT(I67:I97)&gt;0,AVERAGE(I67:I97)/10,"")</f>
        <v/>
      </c>
      <c r="J98" s="54" t="str">
        <f>IF(COUNT(J67:J97)&gt;0,AVERAGE(J67:J97),"")</f>
        <v/>
      </c>
      <c r="K98" s="51" t="str">
        <f>IF(COUNT(K67:K97)&gt;0,AVERAGE(K67:K97)/1000,"")</f>
        <v/>
      </c>
      <c r="L98" s="41" t="str">
        <f>IF(COUNT(L67:L97)&gt;0,AVERAGE(L67:L97)/10,"")</f>
        <v/>
      </c>
      <c r="M98" s="44" t="str">
        <f>IF(COUNT(M67:M97)&gt;0,AVERAGE(M67:M97)/10,"")</f>
        <v/>
      </c>
      <c r="N98" s="46"/>
      <c r="O98" s="57">
        <f>IF(COUNT(O67:O97)&gt;0,AVERAGE(O67:O97),"")</f>
        <v>9.7586206896551726</v>
      </c>
      <c r="P98" s="58" t="str">
        <f>IF(COUNT(P67:P97)&gt;0,AVERAGE(P67:P97),"")</f>
        <v/>
      </c>
      <c r="Q98" s="47"/>
      <c r="R98" s="68">
        <f>IF(COUNT(R67:R97)&gt;0,SUM(R67:R97)/100,"")</f>
        <v>7.0000000000000007E-2</v>
      </c>
      <c r="S98" s="64" t="str">
        <f>IF(COUNT(S67:S97)&gt;0,AVERAGE(S67:S97),"")</f>
        <v/>
      </c>
      <c r="T98" s="65" t="str">
        <f>IF(COUNT(T67:T97)&gt;0,AVERAGE(T67:T97),"")</f>
        <v/>
      </c>
      <c r="U98" s="66" t="str">
        <f>IF(COUNT(U67:U97)&gt;0,AVERAGE(U67:U97),"")</f>
        <v/>
      </c>
    </row>
    <row r="99" spans="1:21" ht="15" customHeight="1" x14ac:dyDescent="0.25">
      <c r="A99" s="1">
        <f t="shared" ca="1" si="3"/>
        <v>1553</v>
      </c>
      <c r="B99" s="29"/>
      <c r="C99" s="29"/>
      <c r="D99" s="29"/>
      <c r="E99" s="29"/>
      <c r="F99" s="29">
        <v>2992</v>
      </c>
      <c r="G99" s="39"/>
      <c r="H99" s="40"/>
      <c r="I99" s="52"/>
      <c r="J99" s="53"/>
      <c r="K99" s="17"/>
      <c r="L99" s="39"/>
      <c r="M99" s="43"/>
      <c r="N99" s="45" t="s">
        <v>108</v>
      </c>
      <c r="O99" s="55">
        <v>7</v>
      </c>
      <c r="P99" s="56"/>
      <c r="Q99" s="74"/>
      <c r="R99" s="70">
        <v>7</v>
      </c>
      <c r="S99" s="19"/>
      <c r="T99" s="60"/>
      <c r="U99" s="59"/>
    </row>
    <row r="100" spans="1:21" ht="15" customHeight="1" x14ac:dyDescent="0.25">
      <c r="A100" s="1">
        <f t="shared" ca="1" si="3"/>
        <v>1554</v>
      </c>
      <c r="B100" s="29"/>
      <c r="C100" s="29"/>
      <c r="D100" s="29"/>
      <c r="E100" s="29"/>
      <c r="F100" s="29">
        <v>2993</v>
      </c>
      <c r="G100" s="39"/>
      <c r="H100" s="40"/>
      <c r="I100" s="52"/>
      <c r="J100" s="53"/>
      <c r="K100" s="17"/>
      <c r="L100" s="39"/>
      <c r="M100" s="43"/>
      <c r="N100" s="45" t="s">
        <v>106</v>
      </c>
      <c r="O100" s="55">
        <v>8</v>
      </c>
      <c r="P100" s="56"/>
      <c r="Q100" s="74"/>
      <c r="R100" s="70">
        <v>107</v>
      </c>
      <c r="S100" s="19"/>
      <c r="T100" s="60"/>
      <c r="U100" s="59"/>
    </row>
    <row r="101" spans="1:21" ht="15" customHeight="1" x14ac:dyDescent="0.25">
      <c r="A101" s="1">
        <f t="shared" ca="1" si="3"/>
        <v>1555</v>
      </c>
      <c r="B101" s="29"/>
      <c r="C101" s="29"/>
      <c r="D101" s="29"/>
      <c r="E101" s="29"/>
      <c r="F101" s="29">
        <v>2990</v>
      </c>
      <c r="G101" s="39"/>
      <c r="H101" s="40"/>
      <c r="I101" s="52"/>
      <c r="J101" s="53"/>
      <c r="K101" s="17"/>
      <c r="L101" s="39"/>
      <c r="M101" s="43"/>
      <c r="N101" s="45" t="s">
        <v>106</v>
      </c>
      <c r="O101" s="55">
        <v>10</v>
      </c>
      <c r="P101" s="56"/>
      <c r="Q101" s="74"/>
      <c r="R101" s="70">
        <v>83</v>
      </c>
      <c r="S101" s="19"/>
      <c r="T101" s="60"/>
      <c r="U101" s="59"/>
    </row>
    <row r="102" spans="1:21" ht="15" customHeight="1" x14ac:dyDescent="0.25">
      <c r="A102" s="1">
        <f t="shared" ca="1" si="3"/>
        <v>1556</v>
      </c>
      <c r="B102" s="29"/>
      <c r="C102" s="29"/>
      <c r="D102" s="29"/>
      <c r="E102" s="29"/>
      <c r="F102" s="29">
        <v>2993</v>
      </c>
      <c r="G102" s="39"/>
      <c r="H102" s="40"/>
      <c r="I102" s="52"/>
      <c r="J102" s="53"/>
      <c r="K102" s="17"/>
      <c r="L102" s="39"/>
      <c r="M102" s="43"/>
      <c r="N102" s="45" t="s">
        <v>110</v>
      </c>
      <c r="O102" s="55">
        <v>5</v>
      </c>
      <c r="P102" s="56"/>
      <c r="Q102" s="74"/>
      <c r="R102" s="70">
        <v>20</v>
      </c>
      <c r="S102" s="19"/>
      <c r="T102" s="60"/>
      <c r="U102" s="59"/>
    </row>
    <row r="103" spans="1:21" ht="15" customHeight="1" x14ac:dyDescent="0.25">
      <c r="A103" s="1">
        <f t="shared" ca="1" si="3"/>
        <v>1557</v>
      </c>
      <c r="B103" s="29"/>
      <c r="C103" s="29"/>
      <c r="D103" s="29"/>
      <c r="E103" s="29"/>
      <c r="F103" s="29">
        <v>2991</v>
      </c>
      <c r="G103" s="39"/>
      <c r="H103" s="40"/>
      <c r="I103" s="52"/>
      <c r="J103" s="53"/>
      <c r="K103" s="17"/>
      <c r="L103" s="39"/>
      <c r="M103" s="43"/>
      <c r="N103" s="45" t="s">
        <v>106</v>
      </c>
      <c r="O103" s="55">
        <v>6</v>
      </c>
      <c r="P103" s="56"/>
      <c r="Q103" s="74"/>
      <c r="R103" s="70">
        <v>53</v>
      </c>
      <c r="S103" s="19"/>
      <c r="T103" s="60"/>
      <c r="U103" s="59"/>
    </row>
    <row r="104" spans="1:21" ht="15" customHeight="1" x14ac:dyDescent="0.25">
      <c r="A104" s="1">
        <f t="shared" ca="1" si="3"/>
        <v>1558</v>
      </c>
      <c r="B104" s="29"/>
      <c r="C104" s="29"/>
      <c r="D104" s="29"/>
      <c r="E104" s="29"/>
      <c r="F104" s="29">
        <v>2989</v>
      </c>
      <c r="G104" s="39"/>
      <c r="H104" s="40"/>
      <c r="I104" s="52"/>
      <c r="J104" s="53"/>
      <c r="K104" s="17"/>
      <c r="L104" s="39"/>
      <c r="M104" s="43"/>
      <c r="N104" s="45" t="s">
        <v>108</v>
      </c>
      <c r="O104" s="55">
        <v>10</v>
      </c>
      <c r="P104" s="56"/>
      <c r="Q104" s="74"/>
      <c r="R104" s="70">
        <v>6</v>
      </c>
      <c r="S104" s="19"/>
      <c r="T104" s="60"/>
      <c r="U104" s="59"/>
    </row>
    <row r="105" spans="1:21" ht="15" customHeight="1" x14ac:dyDescent="0.25">
      <c r="A105" s="1">
        <f t="shared" ca="1" si="3"/>
        <v>1559</v>
      </c>
      <c r="B105" s="29"/>
      <c r="C105" s="29"/>
      <c r="D105" s="29"/>
      <c r="E105" s="29"/>
      <c r="F105" s="29">
        <v>2987</v>
      </c>
      <c r="G105" s="39"/>
      <c r="H105" s="40"/>
      <c r="I105" s="52"/>
      <c r="J105" s="53"/>
      <c r="K105" s="17"/>
      <c r="L105" s="39"/>
      <c r="M105" s="43"/>
      <c r="N105" s="45" t="s">
        <v>108</v>
      </c>
      <c r="O105" s="55">
        <v>8</v>
      </c>
      <c r="P105" s="56"/>
      <c r="Q105" s="74"/>
      <c r="R105" s="70">
        <v>0</v>
      </c>
      <c r="S105" s="19"/>
      <c r="T105" s="60"/>
      <c r="U105" s="59"/>
    </row>
    <row r="106" spans="1:21" ht="15" customHeight="1" x14ac:dyDescent="0.25">
      <c r="A106" s="1">
        <f t="shared" ca="1" si="3"/>
        <v>1560</v>
      </c>
      <c r="B106" s="29"/>
      <c r="C106" s="29"/>
      <c r="D106" s="29"/>
      <c r="E106" s="29"/>
      <c r="F106" s="29">
        <v>2989</v>
      </c>
      <c r="G106" s="39"/>
      <c r="H106" s="40"/>
      <c r="I106" s="52"/>
      <c r="J106" s="53"/>
      <c r="K106" s="17"/>
      <c r="L106" s="39"/>
      <c r="M106" s="43"/>
      <c r="N106" s="45" t="s">
        <v>108</v>
      </c>
      <c r="O106" s="55">
        <v>12</v>
      </c>
      <c r="P106" s="56"/>
      <c r="Q106" s="74"/>
      <c r="R106" s="70">
        <v>0</v>
      </c>
      <c r="S106" s="19"/>
      <c r="T106" s="60"/>
      <c r="U106" s="59"/>
    </row>
    <row r="107" spans="1:21" ht="15" customHeight="1" x14ac:dyDescent="0.25">
      <c r="A107" s="1">
        <f t="shared" ca="1" si="3"/>
        <v>1561</v>
      </c>
      <c r="B107" s="29"/>
      <c r="C107" s="29"/>
      <c r="D107" s="29"/>
      <c r="E107" s="29"/>
      <c r="F107" s="29">
        <v>2996</v>
      </c>
      <c r="G107" s="39"/>
      <c r="H107" s="40"/>
      <c r="I107" s="52"/>
      <c r="J107" s="53"/>
      <c r="K107" s="17"/>
      <c r="L107" s="39"/>
      <c r="M107" s="43"/>
      <c r="N107" s="45" t="s">
        <v>108</v>
      </c>
      <c r="O107" s="55">
        <v>15</v>
      </c>
      <c r="P107" s="56"/>
      <c r="Q107" s="74"/>
      <c r="R107" s="70">
        <v>0</v>
      </c>
      <c r="S107" s="19"/>
      <c r="T107" s="60"/>
      <c r="U107" s="59"/>
    </row>
    <row r="108" spans="1:21" ht="15" customHeight="1" x14ac:dyDescent="0.25">
      <c r="A108" s="1">
        <f t="shared" ca="1" si="3"/>
        <v>1562</v>
      </c>
      <c r="B108" s="29"/>
      <c r="C108" s="29"/>
      <c r="D108" s="29"/>
      <c r="E108" s="29"/>
      <c r="F108" s="29">
        <v>2997</v>
      </c>
      <c r="G108" s="39"/>
      <c r="H108" s="40"/>
      <c r="I108" s="52"/>
      <c r="J108" s="53"/>
      <c r="K108" s="17"/>
      <c r="L108" s="39"/>
      <c r="M108" s="43"/>
      <c r="N108" s="45" t="s">
        <v>106</v>
      </c>
      <c r="O108" s="55">
        <v>12</v>
      </c>
      <c r="P108" s="56"/>
      <c r="Q108" s="74"/>
      <c r="R108" s="70">
        <v>0</v>
      </c>
      <c r="S108" s="19"/>
      <c r="T108" s="60"/>
      <c r="U108" s="59"/>
    </row>
    <row r="109" spans="1:21" ht="15" customHeight="1" x14ac:dyDescent="0.25">
      <c r="A109" s="1">
        <f t="shared" ca="1" si="3"/>
        <v>1563</v>
      </c>
      <c r="B109" s="29"/>
      <c r="C109" s="29"/>
      <c r="D109" s="29"/>
      <c r="E109" s="29"/>
      <c r="F109" s="29">
        <v>2999</v>
      </c>
      <c r="G109" s="39"/>
      <c r="H109" s="40"/>
      <c r="I109" s="52"/>
      <c r="J109" s="53"/>
      <c r="K109" s="17"/>
      <c r="L109" s="39"/>
      <c r="M109" s="43"/>
      <c r="N109" s="45" t="s">
        <v>108</v>
      </c>
      <c r="O109" s="55">
        <v>12</v>
      </c>
      <c r="P109" s="56"/>
      <c r="Q109" s="74"/>
      <c r="R109" s="70">
        <v>1</v>
      </c>
      <c r="S109" s="19"/>
      <c r="T109" s="60"/>
      <c r="U109" s="59"/>
    </row>
    <row r="110" spans="1:21" ht="15" customHeight="1" x14ac:dyDescent="0.25">
      <c r="A110" s="1">
        <f t="shared" ca="1" si="3"/>
        <v>1564</v>
      </c>
      <c r="B110" s="29"/>
      <c r="C110" s="29"/>
      <c r="D110" s="29"/>
      <c r="E110" s="29"/>
      <c r="F110" s="29">
        <v>2992</v>
      </c>
      <c r="G110" s="39"/>
      <c r="H110" s="40"/>
      <c r="I110" s="52"/>
      <c r="J110" s="53"/>
      <c r="K110" s="17"/>
      <c r="L110" s="39"/>
      <c r="M110" s="43"/>
      <c r="N110" s="45" t="s">
        <v>108</v>
      </c>
      <c r="O110" s="55">
        <v>12</v>
      </c>
      <c r="P110" s="56"/>
      <c r="Q110" s="74"/>
      <c r="R110" s="70" t="s">
        <v>7</v>
      </c>
      <c r="S110" s="19"/>
      <c r="T110" s="60"/>
      <c r="U110" s="59"/>
    </row>
    <row r="111" spans="1:21" ht="15" customHeight="1" x14ac:dyDescent="0.25">
      <c r="A111" s="1">
        <f t="shared" ca="1" si="3"/>
        <v>1565</v>
      </c>
      <c r="B111" s="29"/>
      <c r="C111" s="29"/>
      <c r="D111" s="29"/>
      <c r="E111" s="29"/>
      <c r="F111" s="29">
        <v>2989</v>
      </c>
      <c r="G111" s="39"/>
      <c r="H111" s="40"/>
      <c r="I111" s="52"/>
      <c r="J111" s="53"/>
      <c r="K111" s="17"/>
      <c r="L111" s="39"/>
      <c r="M111" s="43"/>
      <c r="N111" s="45" t="s">
        <v>108</v>
      </c>
      <c r="O111" s="55">
        <v>12</v>
      </c>
      <c r="P111" s="56"/>
      <c r="Q111" s="74"/>
      <c r="R111" s="70">
        <v>0</v>
      </c>
      <c r="S111" s="19"/>
      <c r="T111" s="60"/>
      <c r="U111" s="59"/>
    </row>
    <row r="112" spans="1:21" ht="15" customHeight="1" x14ac:dyDescent="0.25">
      <c r="A112" s="1">
        <f t="shared" ca="1" si="3"/>
        <v>1566</v>
      </c>
      <c r="B112" s="29"/>
      <c r="C112" s="29"/>
      <c r="D112" s="29"/>
      <c r="E112" s="29"/>
      <c r="F112" s="29">
        <v>2992</v>
      </c>
      <c r="G112" s="39"/>
      <c r="H112" s="40"/>
      <c r="I112" s="52"/>
      <c r="J112" s="53"/>
      <c r="K112" s="17"/>
      <c r="L112" s="39"/>
      <c r="M112" s="43"/>
      <c r="N112" s="45" t="s">
        <v>108</v>
      </c>
      <c r="O112" s="55">
        <v>12</v>
      </c>
      <c r="P112" s="56"/>
      <c r="Q112" s="74"/>
      <c r="R112" s="70" t="s">
        <v>7</v>
      </c>
      <c r="S112" s="19"/>
      <c r="T112" s="60"/>
      <c r="U112" s="59"/>
    </row>
    <row r="113" spans="1:21" ht="15" customHeight="1" x14ac:dyDescent="0.25">
      <c r="A113" s="1">
        <f t="shared" ca="1" si="3"/>
        <v>1567</v>
      </c>
      <c r="B113" s="29"/>
      <c r="C113" s="29"/>
      <c r="D113" s="29"/>
      <c r="E113" s="29"/>
      <c r="F113" s="29">
        <v>2994</v>
      </c>
      <c r="G113" s="39"/>
      <c r="H113" s="40"/>
      <c r="I113" s="52"/>
      <c r="J113" s="53"/>
      <c r="K113" s="17"/>
      <c r="L113" s="39"/>
      <c r="M113" s="43"/>
      <c r="N113" s="45" t="s">
        <v>108</v>
      </c>
      <c r="O113" s="55">
        <v>10</v>
      </c>
      <c r="P113" s="56"/>
      <c r="Q113" s="74"/>
      <c r="R113" s="70">
        <v>4</v>
      </c>
      <c r="S113" s="19"/>
      <c r="T113" s="60"/>
      <c r="U113" s="59"/>
    </row>
    <row r="114" spans="1:21" ht="15" customHeight="1" x14ac:dyDescent="0.25">
      <c r="A114" s="1">
        <f t="shared" ca="1" si="3"/>
        <v>1568</v>
      </c>
      <c r="B114" s="29"/>
      <c r="C114" s="29"/>
      <c r="D114" s="29"/>
      <c r="E114" s="29"/>
      <c r="F114" s="29">
        <v>2995</v>
      </c>
      <c r="G114" s="39"/>
      <c r="H114" s="40"/>
      <c r="I114" s="52"/>
      <c r="J114" s="53"/>
      <c r="K114" s="17"/>
      <c r="L114" s="39"/>
      <c r="M114" s="43"/>
      <c r="N114" s="45" t="s">
        <v>108</v>
      </c>
      <c r="O114" s="55">
        <v>15</v>
      </c>
      <c r="P114" s="56"/>
      <c r="Q114" s="74"/>
      <c r="R114" s="70" t="s">
        <v>7</v>
      </c>
      <c r="S114" s="19"/>
      <c r="T114" s="60"/>
      <c r="U114" s="59"/>
    </row>
    <row r="115" spans="1:21" ht="15" customHeight="1" x14ac:dyDescent="0.25">
      <c r="A115" s="1">
        <f t="shared" ca="1" si="3"/>
        <v>1569</v>
      </c>
      <c r="B115" s="29"/>
      <c r="C115" s="29"/>
      <c r="D115" s="29"/>
      <c r="E115" s="29"/>
      <c r="F115" s="29">
        <v>2994</v>
      </c>
      <c r="G115" s="39"/>
      <c r="H115" s="40"/>
      <c r="I115" s="52"/>
      <c r="J115" s="53"/>
      <c r="K115" s="17"/>
      <c r="L115" s="39"/>
      <c r="M115" s="43"/>
      <c r="N115" s="45" t="s">
        <v>108</v>
      </c>
      <c r="O115" s="55">
        <v>10</v>
      </c>
      <c r="P115" s="56"/>
      <c r="Q115" s="74"/>
      <c r="R115" s="70" t="s">
        <v>7</v>
      </c>
      <c r="S115" s="19"/>
      <c r="T115" s="60"/>
      <c r="U115" s="59"/>
    </row>
    <row r="116" spans="1:21" ht="15" customHeight="1" x14ac:dyDescent="0.25">
      <c r="A116" s="1">
        <f t="shared" ca="1" si="3"/>
        <v>1570</v>
      </c>
      <c r="B116" s="29"/>
      <c r="C116" s="29"/>
      <c r="D116" s="29"/>
      <c r="E116" s="29"/>
      <c r="F116" s="29">
        <v>2997</v>
      </c>
      <c r="G116" s="39"/>
      <c r="H116" s="40"/>
      <c r="I116" s="52"/>
      <c r="J116" s="53"/>
      <c r="K116" s="17"/>
      <c r="L116" s="39"/>
      <c r="M116" s="43"/>
      <c r="N116" s="45" t="s">
        <v>108</v>
      </c>
      <c r="O116" s="55">
        <v>15</v>
      </c>
      <c r="P116" s="56"/>
      <c r="Q116" s="74"/>
      <c r="R116" s="70" t="s">
        <v>7</v>
      </c>
      <c r="S116" s="19"/>
      <c r="T116" s="60"/>
      <c r="U116" s="59"/>
    </row>
    <row r="117" spans="1:21" ht="15" customHeight="1" x14ac:dyDescent="0.25">
      <c r="A117" s="1">
        <f t="shared" ca="1" si="3"/>
        <v>1571</v>
      </c>
      <c r="B117" s="29"/>
      <c r="C117" s="29"/>
      <c r="D117" s="29"/>
      <c r="E117" s="29"/>
      <c r="F117" s="29">
        <v>2994</v>
      </c>
      <c r="G117" s="39"/>
      <c r="H117" s="40"/>
      <c r="I117" s="52"/>
      <c r="J117" s="53"/>
      <c r="K117" s="17"/>
      <c r="L117" s="39"/>
      <c r="M117" s="43"/>
      <c r="N117" s="45" t="s">
        <v>108</v>
      </c>
      <c r="O117" s="55">
        <v>12</v>
      </c>
      <c r="P117" s="56"/>
      <c r="Q117" s="74"/>
      <c r="R117" s="70">
        <v>1</v>
      </c>
      <c r="S117" s="19"/>
      <c r="T117" s="60"/>
      <c r="U117" s="59"/>
    </row>
    <row r="118" spans="1:21" ht="15" customHeight="1" x14ac:dyDescent="0.25">
      <c r="A118" s="1">
        <f t="shared" ca="1" si="3"/>
        <v>1572</v>
      </c>
      <c r="B118" s="29"/>
      <c r="C118" s="29"/>
      <c r="D118" s="29"/>
      <c r="E118" s="29"/>
      <c r="F118" s="29">
        <v>2993</v>
      </c>
      <c r="G118" s="39"/>
      <c r="H118" s="40"/>
      <c r="I118" s="52"/>
      <c r="J118" s="53"/>
      <c r="K118" s="17"/>
      <c r="L118" s="39"/>
      <c r="M118" s="43"/>
      <c r="N118" s="45" t="s">
        <v>108</v>
      </c>
      <c r="O118" s="55">
        <v>12</v>
      </c>
      <c r="P118" s="56"/>
      <c r="Q118" s="74"/>
      <c r="R118" s="70" t="s">
        <v>7</v>
      </c>
      <c r="S118" s="19"/>
      <c r="T118" s="60"/>
      <c r="U118" s="59"/>
    </row>
    <row r="119" spans="1:21" ht="15" customHeight="1" x14ac:dyDescent="0.25">
      <c r="A119" s="1">
        <f t="shared" ca="1" si="3"/>
        <v>1573</v>
      </c>
      <c r="B119" s="29"/>
      <c r="C119" s="29"/>
      <c r="D119" s="29"/>
      <c r="E119" s="29"/>
      <c r="F119" s="29">
        <v>2992</v>
      </c>
      <c r="G119" s="39"/>
      <c r="H119" s="40"/>
      <c r="I119" s="52"/>
      <c r="J119" s="53"/>
      <c r="K119" s="17"/>
      <c r="L119" s="39"/>
      <c r="M119" s="43"/>
      <c r="N119" s="45" t="s">
        <v>106</v>
      </c>
      <c r="O119" s="55">
        <v>8</v>
      </c>
      <c r="P119" s="56"/>
      <c r="Q119" s="74"/>
      <c r="R119" s="70">
        <v>0</v>
      </c>
      <c r="S119" s="19"/>
      <c r="T119" s="60"/>
      <c r="U119" s="59"/>
    </row>
    <row r="120" spans="1:21" ht="15" customHeight="1" x14ac:dyDescent="0.25">
      <c r="A120" s="1">
        <f t="shared" ca="1" si="3"/>
        <v>1574</v>
      </c>
      <c r="B120" s="29"/>
      <c r="C120" s="29"/>
      <c r="D120" s="29"/>
      <c r="E120" s="29"/>
      <c r="F120" s="29">
        <v>2991</v>
      </c>
      <c r="G120" s="39"/>
      <c r="H120" s="40"/>
      <c r="I120" s="52"/>
      <c r="J120" s="53"/>
      <c r="K120" s="17"/>
      <c r="L120" s="39"/>
      <c r="M120" s="43"/>
      <c r="N120" s="45" t="s">
        <v>108</v>
      </c>
      <c r="O120" s="55">
        <v>10</v>
      </c>
      <c r="P120" s="56"/>
      <c r="Q120" s="74"/>
      <c r="R120" s="70">
        <v>0</v>
      </c>
      <c r="S120" s="19"/>
      <c r="T120" s="60"/>
      <c r="U120" s="59"/>
    </row>
    <row r="121" spans="1:21" ht="15" customHeight="1" x14ac:dyDescent="0.25">
      <c r="A121" s="1">
        <f t="shared" ca="1" si="3"/>
        <v>1575</v>
      </c>
      <c r="B121" s="29"/>
      <c r="C121" s="29"/>
      <c r="D121" s="29"/>
      <c r="E121" s="29"/>
      <c r="F121" s="29">
        <v>2992</v>
      </c>
      <c r="G121" s="39"/>
      <c r="H121" s="40"/>
      <c r="I121" s="52"/>
      <c r="J121" s="53"/>
      <c r="K121" s="17"/>
      <c r="L121" s="39"/>
      <c r="M121" s="43"/>
      <c r="N121" s="45" t="s">
        <v>108</v>
      </c>
      <c r="O121" s="55">
        <v>10</v>
      </c>
      <c r="P121" s="56"/>
      <c r="Q121" s="74"/>
      <c r="R121" s="70" t="s">
        <v>7</v>
      </c>
      <c r="S121" s="19"/>
      <c r="T121" s="60"/>
      <c r="U121" s="59"/>
    </row>
    <row r="122" spans="1:21" ht="15" customHeight="1" x14ac:dyDescent="0.25">
      <c r="A122" s="1">
        <f t="shared" ca="1" si="3"/>
        <v>1576</v>
      </c>
      <c r="B122" s="29"/>
      <c r="C122" s="29"/>
      <c r="D122" s="29"/>
      <c r="E122" s="29"/>
      <c r="F122" s="29">
        <v>2996</v>
      </c>
      <c r="G122" s="39"/>
      <c r="H122" s="40"/>
      <c r="I122" s="52"/>
      <c r="J122" s="53"/>
      <c r="K122" s="17"/>
      <c r="L122" s="39"/>
      <c r="M122" s="43"/>
      <c r="N122" s="45" t="s">
        <v>108</v>
      </c>
      <c r="O122" s="55">
        <v>4</v>
      </c>
      <c r="P122" s="56"/>
      <c r="Q122" s="74"/>
      <c r="R122" s="70">
        <v>0</v>
      </c>
      <c r="S122" s="19"/>
      <c r="T122" s="60"/>
      <c r="U122" s="59"/>
    </row>
    <row r="123" spans="1:21" ht="15" customHeight="1" x14ac:dyDescent="0.25">
      <c r="A123" s="1">
        <f t="shared" ca="1" si="3"/>
        <v>1577</v>
      </c>
      <c r="B123" s="29"/>
      <c r="C123" s="29"/>
      <c r="D123" s="29"/>
      <c r="E123" s="29"/>
      <c r="F123" s="29">
        <v>2989</v>
      </c>
      <c r="G123" s="39"/>
      <c r="H123" s="40"/>
      <c r="I123" s="52"/>
      <c r="J123" s="53"/>
      <c r="K123" s="17"/>
      <c r="L123" s="39"/>
      <c r="M123" s="43"/>
      <c r="N123" s="45" t="s">
        <v>110</v>
      </c>
      <c r="O123" s="55">
        <v>6</v>
      </c>
      <c r="P123" s="56"/>
      <c r="Q123" s="74"/>
      <c r="R123" s="70">
        <v>0</v>
      </c>
      <c r="S123" s="19"/>
      <c r="T123" s="60"/>
      <c r="U123" s="59"/>
    </row>
    <row r="124" spans="1:21" ht="15" customHeight="1" x14ac:dyDescent="0.25">
      <c r="A124" s="1">
        <f t="shared" ca="1" si="3"/>
        <v>1578</v>
      </c>
      <c r="B124" s="29"/>
      <c r="C124" s="29"/>
      <c r="D124" s="29"/>
      <c r="E124" s="29"/>
      <c r="F124" s="29">
        <v>2991</v>
      </c>
      <c r="G124" s="39"/>
      <c r="H124" s="40"/>
      <c r="I124" s="52"/>
      <c r="J124" s="53"/>
      <c r="K124" s="17"/>
      <c r="L124" s="39"/>
      <c r="M124" s="43"/>
      <c r="N124" s="45" t="s">
        <v>108</v>
      </c>
      <c r="O124" s="55">
        <v>5</v>
      </c>
      <c r="P124" s="56"/>
      <c r="Q124" s="74"/>
      <c r="R124" s="70">
        <v>0</v>
      </c>
      <c r="S124" s="19"/>
      <c r="T124" s="60"/>
      <c r="U124" s="59"/>
    </row>
    <row r="125" spans="1:21" ht="15" customHeight="1" x14ac:dyDescent="0.25">
      <c r="A125" s="1">
        <f t="shared" ca="1" si="3"/>
        <v>1579</v>
      </c>
      <c r="B125" s="29"/>
      <c r="C125" s="29"/>
      <c r="D125" s="29"/>
      <c r="E125" s="29"/>
      <c r="F125" s="29">
        <v>2995</v>
      </c>
      <c r="G125" s="39"/>
      <c r="H125" s="40"/>
      <c r="I125" s="52"/>
      <c r="J125" s="53"/>
      <c r="K125" s="17"/>
      <c r="L125" s="39"/>
      <c r="M125" s="43"/>
      <c r="N125" s="45" t="s">
        <v>108</v>
      </c>
      <c r="O125" s="55">
        <v>7</v>
      </c>
      <c r="P125" s="56"/>
      <c r="Q125" s="74"/>
      <c r="R125" s="70" t="s">
        <v>7</v>
      </c>
      <c r="S125" s="19"/>
      <c r="T125" s="60"/>
      <c r="U125" s="59"/>
    </row>
    <row r="126" spans="1:21" ht="15" customHeight="1" x14ac:dyDescent="0.25">
      <c r="A126" s="1">
        <f t="shared" ca="1" si="3"/>
        <v>1580</v>
      </c>
      <c r="B126" s="29"/>
      <c r="C126" s="29"/>
      <c r="D126" s="29"/>
      <c r="E126" s="29"/>
      <c r="F126" s="29">
        <v>2996</v>
      </c>
      <c r="G126" s="39"/>
      <c r="H126" s="40"/>
      <c r="I126" s="52"/>
      <c r="J126" s="53"/>
      <c r="K126" s="17"/>
      <c r="L126" s="39"/>
      <c r="M126" s="43"/>
      <c r="N126" s="45" t="s">
        <v>108</v>
      </c>
      <c r="O126" s="55">
        <v>12</v>
      </c>
      <c r="P126" s="56"/>
      <c r="Q126" s="74"/>
      <c r="R126" s="70">
        <v>6</v>
      </c>
      <c r="S126" s="19"/>
      <c r="T126" s="60"/>
      <c r="U126" s="59"/>
    </row>
    <row r="127" spans="1:21" ht="15" customHeight="1" x14ac:dyDescent="0.25">
      <c r="A127" s="1">
        <f t="shared" ca="1" si="3"/>
        <v>1581</v>
      </c>
      <c r="B127" s="29"/>
      <c r="C127" s="29"/>
      <c r="D127" s="29"/>
      <c r="E127" s="29"/>
      <c r="F127" s="29">
        <v>2996</v>
      </c>
      <c r="G127" s="39"/>
      <c r="H127" s="40"/>
      <c r="I127" s="52"/>
      <c r="J127" s="53"/>
      <c r="K127" s="17"/>
      <c r="L127" s="39"/>
      <c r="M127" s="43"/>
      <c r="N127" s="45" t="s">
        <v>110</v>
      </c>
      <c r="O127" s="55"/>
      <c r="P127" s="56"/>
      <c r="Q127" s="74"/>
      <c r="R127" s="70">
        <v>11</v>
      </c>
      <c r="S127" s="19"/>
      <c r="T127" s="60"/>
      <c r="U127" s="59"/>
    </row>
    <row r="128" spans="1:21" ht="15" customHeight="1" x14ac:dyDescent="0.25">
      <c r="A128" s="1">
        <f t="shared" ca="1" si="3"/>
        <v>1582</v>
      </c>
      <c r="B128" s="29"/>
      <c r="C128" s="29"/>
      <c r="D128" s="29"/>
      <c r="E128" s="29"/>
      <c r="F128" s="29">
        <v>2996</v>
      </c>
      <c r="G128" s="39"/>
      <c r="H128" s="40"/>
      <c r="I128" s="52"/>
      <c r="J128" s="53"/>
      <c r="K128" s="17"/>
      <c r="L128" s="39"/>
      <c r="M128" s="43"/>
      <c r="N128" s="45" t="s">
        <v>110</v>
      </c>
      <c r="O128" s="55">
        <v>12</v>
      </c>
      <c r="P128" s="56"/>
      <c r="Q128" s="74"/>
      <c r="R128" s="70">
        <v>0</v>
      </c>
      <c r="S128" s="19"/>
      <c r="T128" s="60"/>
      <c r="U128" s="59"/>
    </row>
    <row r="129" spans="1:21" x14ac:dyDescent="0.25">
      <c r="A129" s="1" t="str">
        <f t="shared" ca="1" si="3"/>
        <v>Totaal</v>
      </c>
      <c r="B129" s="61" t="str">
        <f>IF(COUNT(B99:B128)&gt;0,AVERAGE(B99:B128)/10,"")</f>
        <v/>
      </c>
      <c r="C129" s="62" t="str">
        <f>IF(COUNT(C99:C128)&gt;0,AVERAGE(C99:C128)/1000,"")</f>
        <v/>
      </c>
      <c r="D129" s="62" t="str">
        <f>IF(COUNT(D99:D128)&gt;0,AVERAGE(D99:D128)/1000,"")</f>
        <v/>
      </c>
      <c r="E129" s="62" t="str">
        <f>IF(COUNT(E99:E128)&gt;0,AVERAGE(E99:E128)/1000,"")</f>
        <v/>
      </c>
      <c r="F129" s="62">
        <f>IF(COUNT(F99:F128)&gt;0,AVERAGE(F99:F128)/100,"")</f>
        <v>29.93</v>
      </c>
      <c r="G129" s="41" t="str">
        <f>IF(COUNT(G99:G128)&gt;0,AVERAGE(G99:G128)/10,"")</f>
        <v/>
      </c>
      <c r="H129" s="42" t="str">
        <f>IF(COUNT(H99:H128)&gt;0,AVERAGE(H99:H128)/10,"")</f>
        <v/>
      </c>
      <c r="I129" s="18" t="str">
        <f>IF(COUNT(I99:I128)&gt;0,AVERAGE(I99:I128)/10,"")</f>
        <v/>
      </c>
      <c r="J129" s="54" t="str">
        <f>IF(COUNT(J99:J128)&gt;0,AVERAGE(J99:J128),"")</f>
        <v/>
      </c>
      <c r="K129" s="51" t="str">
        <f>IF(COUNT(K99:K128)&gt;0,AVERAGE(K99:K128)/1000,"")</f>
        <v/>
      </c>
      <c r="L129" s="41" t="str">
        <f>IF(COUNT(L99:L128)&gt;0,AVERAGE(L99:L128)/10,"")</f>
        <v/>
      </c>
      <c r="M129" s="44" t="str">
        <f>IF(COUNT(M99:M128)&gt;0,AVERAGE(M99:M128)/10,"")</f>
        <v/>
      </c>
      <c r="N129" s="46"/>
      <c r="O129" s="57">
        <f>IF(COUNT(O99:O128)&gt;0,AVERAGE(O99:O128),"")</f>
        <v>9.9655172413793096</v>
      </c>
      <c r="P129" s="58" t="str">
        <f>IF(COUNT(P99:P128)&gt;0,AVERAGE(P99:P128),"")</f>
        <v/>
      </c>
      <c r="Q129" s="47"/>
      <c r="R129" s="68">
        <f>IF(COUNT(R99:R128)&gt;0,SUM(R99:R128)/100,"")</f>
        <v>2.99</v>
      </c>
      <c r="S129" s="64" t="str">
        <f>IF(COUNT(S99:S128)&gt;0,AVERAGE(S99:S128),"")</f>
        <v/>
      </c>
      <c r="T129" s="65" t="str">
        <f>IF(COUNT(T99:T128)&gt;0,AVERAGE(T99:T128),"")</f>
        <v/>
      </c>
      <c r="U129" s="66" t="str">
        <f>IF(COUNT(U99:U128)&gt;0,AVERAGE(U99:U128),"")</f>
        <v/>
      </c>
    </row>
    <row r="130" spans="1:21" ht="15" customHeight="1" x14ac:dyDescent="0.25">
      <c r="A130" s="1">
        <f t="shared" ca="1" si="3"/>
        <v>1583</v>
      </c>
      <c r="B130" s="29"/>
      <c r="C130" s="29"/>
      <c r="D130" s="29"/>
      <c r="E130" s="29"/>
      <c r="F130" s="29">
        <v>2990</v>
      </c>
      <c r="G130" s="39"/>
      <c r="H130" s="40"/>
      <c r="I130" s="52"/>
      <c r="J130" s="53"/>
      <c r="K130" s="17"/>
      <c r="L130" s="39"/>
      <c r="M130" s="43"/>
      <c r="N130" s="45" t="s">
        <v>108</v>
      </c>
      <c r="O130" s="55">
        <v>10</v>
      </c>
      <c r="P130" s="56"/>
      <c r="Q130" s="74"/>
      <c r="R130" s="70">
        <v>0</v>
      </c>
      <c r="S130" s="19"/>
      <c r="T130" s="60"/>
      <c r="U130" s="59"/>
    </row>
    <row r="131" spans="1:21" ht="15" customHeight="1" x14ac:dyDescent="0.25">
      <c r="A131" s="1">
        <f t="shared" ca="1" si="3"/>
        <v>1584</v>
      </c>
      <c r="B131" s="29"/>
      <c r="C131" s="29"/>
      <c r="D131" s="29"/>
      <c r="E131" s="29"/>
      <c r="F131" s="29">
        <v>2990</v>
      </c>
      <c r="G131" s="39"/>
      <c r="H131" s="40"/>
      <c r="I131" s="52"/>
      <c r="J131" s="53"/>
      <c r="K131" s="17"/>
      <c r="L131" s="39"/>
      <c r="M131" s="43"/>
      <c r="N131" s="45" t="s">
        <v>108</v>
      </c>
      <c r="O131" s="55">
        <v>10</v>
      </c>
      <c r="P131" s="56"/>
      <c r="Q131" s="74"/>
      <c r="R131" s="70">
        <v>0</v>
      </c>
      <c r="S131" s="19"/>
      <c r="T131" s="60"/>
      <c r="U131" s="59"/>
    </row>
    <row r="132" spans="1:21" ht="15" customHeight="1" x14ac:dyDescent="0.25">
      <c r="A132" s="1">
        <f t="shared" ca="1" si="3"/>
        <v>1585</v>
      </c>
      <c r="B132" s="29"/>
      <c r="C132" s="29"/>
      <c r="D132" s="29"/>
      <c r="E132" s="29"/>
      <c r="F132" s="29">
        <v>2990</v>
      </c>
      <c r="G132" s="39"/>
      <c r="H132" s="40"/>
      <c r="I132" s="52"/>
      <c r="J132" s="53"/>
      <c r="K132" s="17"/>
      <c r="L132" s="39"/>
      <c r="M132" s="43"/>
      <c r="N132" s="45" t="s">
        <v>108</v>
      </c>
      <c r="O132" s="55">
        <v>10</v>
      </c>
      <c r="P132" s="56"/>
      <c r="Q132" s="74"/>
      <c r="R132" s="70">
        <v>1</v>
      </c>
      <c r="S132" s="19"/>
      <c r="T132" s="60"/>
      <c r="U132" s="59"/>
    </row>
    <row r="133" spans="1:21" ht="15" customHeight="1" x14ac:dyDescent="0.25">
      <c r="A133" s="1">
        <f t="shared" ca="1" si="3"/>
        <v>1586</v>
      </c>
      <c r="B133" s="29"/>
      <c r="C133" s="29"/>
      <c r="D133" s="29"/>
      <c r="E133" s="29"/>
      <c r="F133" s="29">
        <v>2994</v>
      </c>
      <c r="G133" s="39"/>
      <c r="H133" s="40"/>
      <c r="I133" s="52"/>
      <c r="J133" s="53"/>
      <c r="K133" s="17"/>
      <c r="L133" s="39"/>
      <c r="M133" s="43"/>
      <c r="N133" s="45" t="s">
        <v>108</v>
      </c>
      <c r="O133" s="55">
        <v>10</v>
      </c>
      <c r="P133" s="56"/>
      <c r="Q133" s="74"/>
      <c r="R133" s="70">
        <v>0</v>
      </c>
      <c r="S133" s="19"/>
      <c r="T133" s="60"/>
      <c r="U133" s="59"/>
    </row>
    <row r="134" spans="1:21" ht="15" customHeight="1" x14ac:dyDescent="0.25">
      <c r="A134" s="1">
        <f t="shared" ca="1" si="3"/>
        <v>1587</v>
      </c>
      <c r="B134" s="29"/>
      <c r="C134" s="29"/>
      <c r="D134" s="29"/>
      <c r="E134" s="29"/>
      <c r="F134" s="29">
        <v>2992</v>
      </c>
      <c r="G134" s="39"/>
      <c r="H134" s="40"/>
      <c r="I134" s="52"/>
      <c r="J134" s="53"/>
      <c r="K134" s="17"/>
      <c r="L134" s="39"/>
      <c r="M134" s="43"/>
      <c r="N134" s="45" t="s">
        <v>108</v>
      </c>
      <c r="O134" s="55">
        <v>10</v>
      </c>
      <c r="P134" s="56"/>
      <c r="Q134" s="74"/>
      <c r="R134" s="70">
        <v>0</v>
      </c>
      <c r="S134" s="19"/>
      <c r="T134" s="60"/>
      <c r="U134" s="59"/>
    </row>
    <row r="135" spans="1:21" ht="15" customHeight="1" x14ac:dyDescent="0.25">
      <c r="A135" s="1">
        <f t="shared" ca="1" si="3"/>
        <v>1588</v>
      </c>
      <c r="B135" s="29"/>
      <c r="C135" s="29"/>
      <c r="D135" s="29"/>
      <c r="E135" s="29"/>
      <c r="F135" s="29">
        <v>2993</v>
      </c>
      <c r="G135" s="39"/>
      <c r="H135" s="40"/>
      <c r="I135" s="52"/>
      <c r="J135" s="53"/>
      <c r="K135" s="17"/>
      <c r="L135" s="39"/>
      <c r="M135" s="43"/>
      <c r="N135" s="45" t="s">
        <v>108</v>
      </c>
      <c r="O135" s="55">
        <v>10</v>
      </c>
      <c r="P135" s="56"/>
      <c r="Q135" s="74"/>
      <c r="R135" s="70">
        <v>14</v>
      </c>
      <c r="S135" s="19"/>
      <c r="T135" s="60"/>
      <c r="U135" s="59"/>
    </row>
    <row r="136" spans="1:21" ht="15" customHeight="1" x14ac:dyDescent="0.25">
      <c r="A136" s="1">
        <f t="shared" ref="A136:A199" ca="1" si="7">IF(ISTEXT(A135),A134+1,IF(MONTH(A135+1)=MONTH(A135),A135+1,"Totaal"))</f>
        <v>1589</v>
      </c>
      <c r="B136" s="29"/>
      <c r="C136" s="29"/>
      <c r="D136" s="29"/>
      <c r="E136" s="29"/>
      <c r="F136" s="29">
        <v>2992</v>
      </c>
      <c r="G136" s="39"/>
      <c r="H136" s="40"/>
      <c r="I136" s="52"/>
      <c r="J136" s="53"/>
      <c r="K136" s="17"/>
      <c r="L136" s="39"/>
      <c r="M136" s="43"/>
      <c r="N136" s="45" t="s">
        <v>108</v>
      </c>
      <c r="O136" s="55">
        <v>10</v>
      </c>
      <c r="P136" s="56"/>
      <c r="Q136" s="74"/>
      <c r="R136" s="70" t="s">
        <v>7</v>
      </c>
      <c r="S136" s="19"/>
      <c r="T136" s="60"/>
      <c r="U136" s="59"/>
    </row>
    <row r="137" spans="1:21" ht="15" customHeight="1" x14ac:dyDescent="0.25">
      <c r="A137" s="1">
        <f t="shared" ca="1" si="7"/>
        <v>1590</v>
      </c>
      <c r="B137" s="29"/>
      <c r="C137" s="29"/>
      <c r="D137" s="29"/>
      <c r="E137" s="29"/>
      <c r="F137" s="29">
        <v>2987</v>
      </c>
      <c r="G137" s="39"/>
      <c r="H137" s="40"/>
      <c r="I137" s="52"/>
      <c r="J137" s="53"/>
      <c r="K137" s="17"/>
      <c r="L137" s="39"/>
      <c r="M137" s="43"/>
      <c r="N137" s="45" t="s">
        <v>108</v>
      </c>
      <c r="O137" s="55">
        <v>10</v>
      </c>
      <c r="P137" s="56"/>
      <c r="Q137" s="74"/>
      <c r="R137" s="70">
        <v>0</v>
      </c>
      <c r="S137" s="19"/>
      <c r="T137" s="60"/>
      <c r="U137" s="59"/>
    </row>
    <row r="138" spans="1:21" ht="15" customHeight="1" x14ac:dyDescent="0.25">
      <c r="A138" s="1">
        <f t="shared" ca="1" si="7"/>
        <v>1591</v>
      </c>
      <c r="B138" s="29"/>
      <c r="C138" s="29"/>
      <c r="D138" s="29"/>
      <c r="E138" s="29"/>
      <c r="F138" s="29">
        <v>2989</v>
      </c>
      <c r="G138" s="39"/>
      <c r="H138" s="40"/>
      <c r="I138" s="52"/>
      <c r="J138" s="53"/>
      <c r="K138" s="17"/>
      <c r="L138" s="39"/>
      <c r="M138" s="43"/>
      <c r="N138" s="45" t="s">
        <v>108</v>
      </c>
      <c r="O138" s="55">
        <v>15</v>
      </c>
      <c r="P138" s="56"/>
      <c r="Q138" s="74"/>
      <c r="R138" s="70">
        <v>0</v>
      </c>
      <c r="S138" s="19"/>
      <c r="T138" s="60"/>
      <c r="U138" s="59"/>
    </row>
    <row r="139" spans="1:21" ht="15" customHeight="1" x14ac:dyDescent="0.25">
      <c r="A139" s="1">
        <f t="shared" ca="1" si="7"/>
        <v>1592</v>
      </c>
      <c r="B139" s="29"/>
      <c r="C139" s="29"/>
      <c r="D139" s="29"/>
      <c r="E139" s="29"/>
      <c r="F139" s="29">
        <v>2992</v>
      </c>
      <c r="G139" s="39"/>
      <c r="H139" s="40"/>
      <c r="I139" s="52"/>
      <c r="J139" s="53"/>
      <c r="K139" s="17"/>
      <c r="L139" s="39"/>
      <c r="M139" s="43"/>
      <c r="N139" s="45"/>
      <c r="O139" s="55">
        <v>10</v>
      </c>
      <c r="P139" s="56"/>
      <c r="Q139" s="74"/>
      <c r="R139" s="70" t="s">
        <v>7</v>
      </c>
      <c r="S139" s="19"/>
      <c r="T139" s="60"/>
      <c r="U139" s="59"/>
    </row>
    <row r="140" spans="1:21" ht="15" customHeight="1" x14ac:dyDescent="0.25">
      <c r="A140" s="1">
        <f t="shared" ca="1" si="7"/>
        <v>1593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 t="s">
        <v>108</v>
      </c>
      <c r="O140" s="55">
        <v>10</v>
      </c>
      <c r="P140" s="56"/>
      <c r="Q140" s="74"/>
      <c r="R140" s="70" t="s">
        <v>7</v>
      </c>
      <c r="S140" s="19"/>
      <c r="T140" s="60"/>
      <c r="U140" s="59"/>
    </row>
    <row r="141" spans="1:21" ht="15" customHeight="1" x14ac:dyDescent="0.25">
      <c r="A141" s="1">
        <f t="shared" ca="1" si="7"/>
        <v>1594</v>
      </c>
      <c r="B141" s="29"/>
      <c r="C141" s="29"/>
      <c r="D141" s="29"/>
      <c r="E141" s="29"/>
      <c r="F141" s="29">
        <v>2996</v>
      </c>
      <c r="G141" s="39"/>
      <c r="H141" s="40"/>
      <c r="I141" s="52"/>
      <c r="J141" s="53"/>
      <c r="K141" s="17"/>
      <c r="L141" s="39"/>
      <c r="M141" s="43"/>
      <c r="N141" s="45" t="s">
        <v>110</v>
      </c>
      <c r="O141" s="55">
        <v>12</v>
      </c>
      <c r="P141" s="56"/>
      <c r="Q141" s="74"/>
      <c r="R141" s="70" t="s">
        <v>7</v>
      </c>
      <c r="S141" s="19"/>
      <c r="T141" s="60"/>
      <c r="U141" s="59"/>
    </row>
    <row r="142" spans="1:21" ht="15" customHeight="1" x14ac:dyDescent="0.25">
      <c r="A142" s="1">
        <f t="shared" ca="1" si="7"/>
        <v>1595</v>
      </c>
      <c r="B142" s="29"/>
      <c r="C142" s="29"/>
      <c r="D142" s="29"/>
      <c r="E142" s="29"/>
      <c r="F142" s="29">
        <v>2989</v>
      </c>
      <c r="G142" s="39"/>
      <c r="H142" s="40"/>
      <c r="I142" s="52"/>
      <c r="J142" s="53"/>
      <c r="K142" s="17"/>
      <c r="L142" s="39"/>
      <c r="M142" s="43"/>
      <c r="N142" s="45" t="s">
        <v>108</v>
      </c>
      <c r="O142" s="55">
        <v>12</v>
      </c>
      <c r="P142" s="56"/>
      <c r="Q142" s="74"/>
      <c r="R142" s="70" t="s">
        <v>7</v>
      </c>
      <c r="S142" s="19"/>
      <c r="T142" s="60"/>
      <c r="U142" s="59"/>
    </row>
    <row r="143" spans="1:21" ht="15" customHeight="1" x14ac:dyDescent="0.25">
      <c r="A143" s="1">
        <f t="shared" ca="1" si="7"/>
        <v>1596</v>
      </c>
      <c r="B143" s="29"/>
      <c r="C143" s="29"/>
      <c r="D143" s="29"/>
      <c r="E143" s="29"/>
      <c r="F143" s="29">
        <v>2990</v>
      </c>
      <c r="G143" s="39"/>
      <c r="H143" s="40"/>
      <c r="I143" s="52"/>
      <c r="J143" s="53"/>
      <c r="K143" s="17"/>
      <c r="L143" s="39"/>
      <c r="M143" s="43"/>
      <c r="N143" s="45" t="s">
        <v>108</v>
      </c>
      <c r="O143" s="55"/>
      <c r="P143" s="56"/>
      <c r="Q143" s="74"/>
      <c r="R143" s="70" t="s">
        <v>7</v>
      </c>
      <c r="S143" s="19"/>
      <c r="T143" s="60"/>
      <c r="U143" s="59"/>
    </row>
    <row r="144" spans="1:21" ht="15" customHeight="1" x14ac:dyDescent="0.25">
      <c r="A144" s="1">
        <f t="shared" ca="1" si="7"/>
        <v>1597</v>
      </c>
      <c r="B144" s="29"/>
      <c r="C144" s="29"/>
      <c r="D144" s="29"/>
      <c r="E144" s="29"/>
      <c r="F144" s="29">
        <v>2988</v>
      </c>
      <c r="G144" s="39"/>
      <c r="H144" s="40"/>
      <c r="I144" s="52"/>
      <c r="J144" s="53"/>
      <c r="K144" s="17"/>
      <c r="L144" s="39"/>
      <c r="M144" s="43"/>
      <c r="N144" s="45" t="s">
        <v>108</v>
      </c>
      <c r="O144" s="55">
        <v>15</v>
      </c>
      <c r="P144" s="56"/>
      <c r="Q144" s="74"/>
      <c r="R144" s="70">
        <v>0</v>
      </c>
      <c r="S144" s="19"/>
      <c r="T144" s="60"/>
      <c r="U144" s="59"/>
    </row>
    <row r="145" spans="1:21" ht="15" customHeight="1" x14ac:dyDescent="0.25">
      <c r="A145" s="1">
        <f t="shared" ca="1" si="7"/>
        <v>1598</v>
      </c>
      <c r="B145" s="29"/>
      <c r="C145" s="29"/>
      <c r="D145" s="29"/>
      <c r="E145" s="29"/>
      <c r="F145" s="29">
        <v>2994</v>
      </c>
      <c r="G145" s="39"/>
      <c r="H145" s="40"/>
      <c r="I145" s="52"/>
      <c r="J145" s="53"/>
      <c r="K145" s="17"/>
      <c r="L145" s="39"/>
      <c r="M145" s="43"/>
      <c r="N145" s="45" t="s">
        <v>108</v>
      </c>
      <c r="O145" s="55">
        <v>15</v>
      </c>
      <c r="P145" s="56"/>
      <c r="Q145" s="74"/>
      <c r="R145" s="70" t="s">
        <v>7</v>
      </c>
      <c r="S145" s="19"/>
      <c r="T145" s="60"/>
      <c r="U145" s="59"/>
    </row>
    <row r="146" spans="1:21" ht="15" customHeight="1" x14ac:dyDescent="0.25">
      <c r="A146" s="1">
        <f t="shared" ca="1" si="7"/>
        <v>1599</v>
      </c>
      <c r="B146" s="29"/>
      <c r="C146" s="29"/>
      <c r="D146" s="29"/>
      <c r="E146" s="29"/>
      <c r="F146" s="29">
        <v>2991</v>
      </c>
      <c r="G146" s="39"/>
      <c r="H146" s="40"/>
      <c r="I146" s="52"/>
      <c r="J146" s="53"/>
      <c r="K146" s="17"/>
      <c r="L146" s="39"/>
      <c r="M146" s="43"/>
      <c r="N146" s="45" t="s">
        <v>108</v>
      </c>
      <c r="O146" s="55">
        <v>15</v>
      </c>
      <c r="P146" s="56"/>
      <c r="Q146" s="74"/>
      <c r="R146" s="70">
        <v>0</v>
      </c>
      <c r="S146" s="19"/>
      <c r="T146" s="60"/>
      <c r="U146" s="59"/>
    </row>
    <row r="147" spans="1:21" ht="15" customHeight="1" x14ac:dyDescent="0.25">
      <c r="A147" s="1">
        <f t="shared" ca="1" si="7"/>
        <v>1600</v>
      </c>
      <c r="B147" s="29"/>
      <c r="C147" s="29"/>
      <c r="D147" s="29"/>
      <c r="E147" s="29"/>
      <c r="F147" s="29">
        <v>2996</v>
      </c>
      <c r="G147" s="39"/>
      <c r="H147" s="40"/>
      <c r="I147" s="52"/>
      <c r="J147" s="53"/>
      <c r="K147" s="17"/>
      <c r="L147" s="39"/>
      <c r="M147" s="43"/>
      <c r="N147" s="45" t="s">
        <v>108</v>
      </c>
      <c r="O147" s="55"/>
      <c r="P147" s="56"/>
      <c r="Q147" s="74"/>
      <c r="R147" s="70" t="s">
        <v>7</v>
      </c>
      <c r="S147" s="19"/>
      <c r="T147" s="60"/>
      <c r="U147" s="59"/>
    </row>
    <row r="148" spans="1:21" ht="15" customHeight="1" x14ac:dyDescent="0.25">
      <c r="A148" s="1">
        <f t="shared" ca="1" si="7"/>
        <v>1601</v>
      </c>
      <c r="B148" s="29"/>
      <c r="C148" s="29"/>
      <c r="D148" s="29"/>
      <c r="E148" s="29"/>
      <c r="F148" s="29">
        <v>2999</v>
      </c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 t="s">
        <v>7</v>
      </c>
      <c r="S148" s="19"/>
      <c r="T148" s="60"/>
      <c r="U148" s="59"/>
    </row>
    <row r="149" spans="1:21" ht="15" customHeight="1" x14ac:dyDescent="0.25">
      <c r="A149" s="1">
        <f t="shared" ca="1" si="7"/>
        <v>1602</v>
      </c>
      <c r="B149" s="29"/>
      <c r="C149" s="29"/>
      <c r="D149" s="29"/>
      <c r="E149" s="29"/>
      <c r="F149" s="29">
        <v>2995</v>
      </c>
      <c r="G149" s="39"/>
      <c r="H149" s="40"/>
      <c r="I149" s="52"/>
      <c r="J149" s="53"/>
      <c r="K149" s="17"/>
      <c r="L149" s="39"/>
      <c r="M149" s="43"/>
      <c r="N149" s="45" t="s">
        <v>108</v>
      </c>
      <c r="O149" s="55">
        <v>12</v>
      </c>
      <c r="P149" s="56"/>
      <c r="Q149" s="74"/>
      <c r="R149" s="70" t="s">
        <v>7</v>
      </c>
      <c r="S149" s="19"/>
      <c r="T149" s="60"/>
      <c r="U149" s="59"/>
    </row>
    <row r="150" spans="1:21" ht="15" customHeight="1" x14ac:dyDescent="0.25">
      <c r="A150" s="1">
        <f t="shared" ca="1" si="7"/>
        <v>1603</v>
      </c>
      <c r="B150" s="29"/>
      <c r="C150" s="29"/>
      <c r="D150" s="29"/>
      <c r="E150" s="29"/>
      <c r="F150" s="29">
        <v>2993</v>
      </c>
      <c r="G150" s="39"/>
      <c r="H150" s="40"/>
      <c r="I150" s="52"/>
      <c r="J150" s="53"/>
      <c r="K150" s="17"/>
      <c r="L150" s="39"/>
      <c r="M150" s="43"/>
      <c r="N150" s="45" t="s">
        <v>110</v>
      </c>
      <c r="O150" s="55">
        <v>12</v>
      </c>
      <c r="P150" s="56"/>
      <c r="Q150" s="74"/>
      <c r="R150" s="70">
        <v>0</v>
      </c>
      <c r="S150" s="19"/>
      <c r="T150" s="60"/>
      <c r="U150" s="59"/>
    </row>
    <row r="151" spans="1:21" ht="15" customHeight="1" x14ac:dyDescent="0.25">
      <c r="A151" s="1">
        <f t="shared" ca="1" si="7"/>
        <v>1604</v>
      </c>
      <c r="B151" s="29"/>
      <c r="C151" s="29"/>
      <c r="D151" s="29"/>
      <c r="E151" s="29"/>
      <c r="F151" s="29">
        <v>2991</v>
      </c>
      <c r="G151" s="39"/>
      <c r="H151" s="40"/>
      <c r="I151" s="52"/>
      <c r="J151" s="53"/>
      <c r="K151" s="17"/>
      <c r="L151" s="39"/>
      <c r="M151" s="43"/>
      <c r="N151" s="45" t="s">
        <v>108</v>
      </c>
      <c r="O151" s="55">
        <v>10</v>
      </c>
      <c r="P151" s="56"/>
      <c r="Q151" s="74"/>
      <c r="R151" s="70">
        <v>0</v>
      </c>
      <c r="S151" s="19"/>
      <c r="T151" s="60"/>
      <c r="U151" s="59"/>
    </row>
    <row r="152" spans="1:21" ht="15" customHeight="1" x14ac:dyDescent="0.25">
      <c r="A152" s="1">
        <f t="shared" ca="1" si="7"/>
        <v>1605</v>
      </c>
      <c r="B152" s="29"/>
      <c r="C152" s="29"/>
      <c r="D152" s="29"/>
      <c r="E152" s="29"/>
      <c r="F152" s="29">
        <v>2992</v>
      </c>
      <c r="G152" s="39"/>
      <c r="H152" s="40"/>
      <c r="I152" s="52"/>
      <c r="J152" s="53"/>
      <c r="K152" s="17"/>
      <c r="L152" s="39"/>
      <c r="M152" s="43"/>
      <c r="N152" s="45" t="s">
        <v>108</v>
      </c>
      <c r="O152" s="55">
        <v>10</v>
      </c>
      <c r="P152" s="56"/>
      <c r="Q152" s="74"/>
      <c r="R152" s="70">
        <v>0</v>
      </c>
      <c r="S152" s="19"/>
      <c r="T152" s="60"/>
      <c r="U152" s="59"/>
    </row>
    <row r="153" spans="1:21" ht="15" customHeight="1" x14ac:dyDescent="0.25">
      <c r="A153" s="1">
        <f t="shared" ca="1" si="7"/>
        <v>1606</v>
      </c>
      <c r="B153" s="29"/>
      <c r="C153" s="29"/>
      <c r="D153" s="29"/>
      <c r="E153" s="29"/>
      <c r="F153" s="29">
        <v>2993</v>
      </c>
      <c r="G153" s="39"/>
      <c r="H153" s="40"/>
      <c r="I153" s="52"/>
      <c r="J153" s="53"/>
      <c r="K153" s="17"/>
      <c r="L153" s="39"/>
      <c r="M153" s="43"/>
      <c r="N153" s="45" t="s">
        <v>108</v>
      </c>
      <c r="O153" s="55">
        <v>12</v>
      </c>
      <c r="P153" s="56"/>
      <c r="Q153" s="74"/>
      <c r="R153" s="70" t="s">
        <v>7</v>
      </c>
      <c r="S153" s="19"/>
      <c r="T153" s="60"/>
      <c r="U153" s="59"/>
    </row>
    <row r="154" spans="1:21" ht="15" customHeight="1" x14ac:dyDescent="0.25">
      <c r="A154" s="1">
        <f t="shared" ca="1" si="7"/>
        <v>1607</v>
      </c>
      <c r="B154" s="29"/>
      <c r="C154" s="29"/>
      <c r="D154" s="29"/>
      <c r="E154" s="29"/>
      <c r="F154" s="29">
        <v>2993</v>
      </c>
      <c r="G154" s="39"/>
      <c r="H154" s="40"/>
      <c r="I154" s="52"/>
      <c r="J154" s="53"/>
      <c r="K154" s="17"/>
      <c r="L154" s="39"/>
      <c r="M154" s="43"/>
      <c r="N154" s="45" t="s">
        <v>108</v>
      </c>
      <c r="O154" s="55">
        <v>10</v>
      </c>
      <c r="P154" s="56"/>
      <c r="Q154" s="74"/>
      <c r="R154" s="70" t="s">
        <v>7</v>
      </c>
      <c r="S154" s="19"/>
      <c r="T154" s="60"/>
      <c r="U154" s="59"/>
    </row>
    <row r="155" spans="1:21" ht="15" customHeight="1" x14ac:dyDescent="0.25">
      <c r="A155" s="1">
        <f t="shared" ca="1" si="7"/>
        <v>1608</v>
      </c>
      <c r="B155" s="29"/>
      <c r="C155" s="29"/>
      <c r="D155" s="29"/>
      <c r="E155" s="29"/>
      <c r="F155" s="29">
        <v>2996</v>
      </c>
      <c r="G155" s="39"/>
      <c r="H155" s="40"/>
      <c r="I155" s="52"/>
      <c r="J155" s="53"/>
      <c r="K155" s="17"/>
      <c r="L155" s="39"/>
      <c r="M155" s="43"/>
      <c r="N155" s="45" t="s">
        <v>110</v>
      </c>
      <c r="O155" s="55">
        <v>10</v>
      </c>
      <c r="P155" s="56"/>
      <c r="Q155" s="74"/>
      <c r="R155" s="70" t="s">
        <v>7</v>
      </c>
      <c r="S155" s="19"/>
      <c r="T155" s="60"/>
      <c r="U155" s="59"/>
    </row>
    <row r="156" spans="1:21" ht="15" customHeight="1" x14ac:dyDescent="0.25">
      <c r="A156" s="1">
        <f t="shared" ca="1" si="7"/>
        <v>1609</v>
      </c>
      <c r="B156" s="29"/>
      <c r="C156" s="29"/>
      <c r="D156" s="29"/>
      <c r="E156" s="29"/>
      <c r="F156" s="29">
        <v>2993</v>
      </c>
      <c r="G156" s="39"/>
      <c r="H156" s="40"/>
      <c r="I156" s="52"/>
      <c r="J156" s="53"/>
      <c r="K156" s="17"/>
      <c r="L156" s="39"/>
      <c r="M156" s="43"/>
      <c r="N156" s="45" t="s">
        <v>110</v>
      </c>
      <c r="O156" s="55"/>
      <c r="P156" s="56"/>
      <c r="Q156" s="74"/>
      <c r="R156" s="70" t="s">
        <v>7</v>
      </c>
      <c r="S156" s="19"/>
      <c r="T156" s="60"/>
      <c r="U156" s="59"/>
    </row>
    <row r="157" spans="1:21" ht="15" customHeight="1" x14ac:dyDescent="0.25">
      <c r="A157" s="1">
        <f t="shared" ca="1" si="7"/>
        <v>1610</v>
      </c>
      <c r="B157" s="29"/>
      <c r="C157" s="29"/>
      <c r="D157" s="29"/>
      <c r="E157" s="29"/>
      <c r="F157" s="29">
        <v>2989</v>
      </c>
      <c r="G157" s="39"/>
      <c r="H157" s="40"/>
      <c r="I157" s="52"/>
      <c r="J157" s="53"/>
      <c r="K157" s="17"/>
      <c r="L157" s="39"/>
      <c r="M157" s="43"/>
      <c r="N157" s="45" t="s">
        <v>110</v>
      </c>
      <c r="O157" s="55"/>
      <c r="P157" s="56"/>
      <c r="Q157" s="74"/>
      <c r="R157" s="70" t="s">
        <v>7</v>
      </c>
      <c r="S157" s="19"/>
      <c r="T157" s="60"/>
      <c r="U157" s="59"/>
    </row>
    <row r="158" spans="1:21" ht="15" customHeight="1" x14ac:dyDescent="0.25">
      <c r="A158" s="1">
        <f t="shared" ca="1" si="7"/>
        <v>1611</v>
      </c>
      <c r="B158" s="29"/>
      <c r="C158" s="29"/>
      <c r="D158" s="29"/>
      <c r="E158" s="29"/>
      <c r="F158" s="29">
        <v>2990</v>
      </c>
      <c r="G158" s="39"/>
      <c r="H158" s="40"/>
      <c r="I158" s="52"/>
      <c r="J158" s="53"/>
      <c r="K158" s="17"/>
      <c r="L158" s="39"/>
      <c r="M158" s="43"/>
      <c r="N158" s="45" t="s">
        <v>108</v>
      </c>
      <c r="O158" s="55">
        <v>10</v>
      </c>
      <c r="P158" s="56"/>
      <c r="Q158" s="74"/>
      <c r="R158" s="70">
        <v>2</v>
      </c>
      <c r="S158" s="19"/>
      <c r="T158" s="60"/>
      <c r="U158" s="59"/>
    </row>
    <row r="159" spans="1:21" ht="15" customHeight="1" x14ac:dyDescent="0.25">
      <c r="A159" s="1">
        <f t="shared" ca="1" si="7"/>
        <v>1612</v>
      </c>
      <c r="B159" s="29"/>
      <c r="C159" s="29"/>
      <c r="D159" s="29"/>
      <c r="E159" s="29"/>
      <c r="F159" s="29">
        <v>2996</v>
      </c>
      <c r="G159" s="39"/>
      <c r="H159" s="40"/>
      <c r="I159" s="52"/>
      <c r="J159" s="53"/>
      <c r="K159" s="17"/>
      <c r="L159" s="39"/>
      <c r="M159" s="43"/>
      <c r="N159" s="45" t="s">
        <v>108</v>
      </c>
      <c r="O159" s="55">
        <v>15</v>
      </c>
      <c r="P159" s="56"/>
      <c r="Q159" s="74"/>
      <c r="R159" s="70" t="s">
        <v>7</v>
      </c>
      <c r="S159" s="19"/>
      <c r="T159" s="60"/>
      <c r="U159" s="59"/>
    </row>
    <row r="160" spans="1:21" ht="15" customHeight="1" x14ac:dyDescent="0.25">
      <c r="A160" s="1">
        <f t="shared" ca="1" si="7"/>
        <v>1613</v>
      </c>
      <c r="B160" s="29"/>
      <c r="C160" s="29"/>
      <c r="D160" s="29"/>
      <c r="E160" s="29"/>
      <c r="F160" s="29">
        <v>2988</v>
      </c>
      <c r="G160" s="39"/>
      <c r="H160" s="40"/>
      <c r="I160" s="52"/>
      <c r="J160" s="53"/>
      <c r="K160" s="17"/>
      <c r="L160" s="39"/>
      <c r="M160" s="43"/>
      <c r="N160" s="45" t="s">
        <v>108</v>
      </c>
      <c r="O160" s="55">
        <v>12</v>
      </c>
      <c r="P160" s="56"/>
      <c r="Q160" s="74"/>
      <c r="R160" s="70" t="s">
        <v>7</v>
      </c>
      <c r="S160" s="19"/>
      <c r="T160" s="60"/>
      <c r="U160" s="59"/>
    </row>
    <row r="161" spans="1:21" x14ac:dyDescent="0.25">
      <c r="A161" s="1" t="str">
        <f t="shared" ca="1" si="7"/>
        <v>Totaal</v>
      </c>
      <c r="B161" s="61" t="str">
        <f>IF(COUNT(B130:B160)&gt;0,AVERAGE(B130:B160)/10,"")</f>
        <v/>
      </c>
      <c r="C161" s="62" t="str">
        <f>IF(COUNT(C130:C160)&gt;0,AVERAGE(C130:C160)/1000,"")</f>
        <v/>
      </c>
      <c r="D161" s="62" t="str">
        <f t="shared" ref="D161" si="8">IF(COUNT(D130:D160)&gt;0,AVERAGE(D130:D160)/1000,"")</f>
        <v/>
      </c>
      <c r="E161" s="62" t="str">
        <f t="shared" ref="E161" si="9">IF(COUNT(E130:E160)&gt;0,AVERAGE(E130:E160)/1000,"")</f>
        <v/>
      </c>
      <c r="F161" s="62">
        <f>IF(COUNT(F130:F160)&gt;0,AVERAGE(F130:F160)/100,"")</f>
        <v>29.920333333333332</v>
      </c>
      <c r="G161" s="41" t="str">
        <f>IF(COUNT(G130:G160)&gt;0,AVERAGE(G130:G160)/10,"")</f>
        <v/>
      </c>
      <c r="H161" s="42" t="str">
        <f t="shared" ref="H161" si="10">IF(COUNT(H130:H160)&gt;0,AVERAGE(H130:H160)/10,"")</f>
        <v/>
      </c>
      <c r="I161" s="18" t="str">
        <f>IF(COUNT(I130:I160)&gt;0,AVERAGE(I130:I160)/10,"")</f>
        <v/>
      </c>
      <c r="J161" s="54" t="str">
        <f>IF(COUNT(J130:J160)&gt;0,AVERAGE(J130:J160),"")</f>
        <v/>
      </c>
      <c r="K161" s="51" t="str">
        <f>IF(COUNT(K130:K160)&gt;0,AVERAGE(K130:K160)/1000,"")</f>
        <v/>
      </c>
      <c r="L161" s="41" t="str">
        <f>IF(COUNT(L130:L160)&gt;0,AVERAGE(L130:L160)/10,"")</f>
        <v/>
      </c>
      <c r="M161" s="44" t="str">
        <f>IF(COUNT(M130:M160)&gt;0,AVERAGE(M130:M160)/10,"")</f>
        <v/>
      </c>
      <c r="N161" s="46"/>
      <c r="O161" s="57">
        <f>IF(COUNT(O130:O160)&gt;0,AVERAGE(O130:O160),"")</f>
        <v>11.423076923076923</v>
      </c>
      <c r="P161" s="58" t="str">
        <f>IF(COUNT(P130:P160)&gt;0,AVERAGE(P130:P160),"")</f>
        <v/>
      </c>
      <c r="Q161" s="47"/>
      <c r="R161" s="68">
        <f>IF(COUNT(R130:R160)&gt;0,SUM(R130:R160)/100,"")</f>
        <v>0.17</v>
      </c>
      <c r="S161" s="64" t="str">
        <f>IF(COUNT(S130:S160)&gt;0,AVERAGE(S130:S160),"")</f>
        <v/>
      </c>
      <c r="T161" s="65" t="str">
        <f>IF(COUNT(T130:T160)&gt;0,AVERAGE(T130:T160),"")</f>
        <v/>
      </c>
      <c r="U161" s="66" t="str">
        <f>IF(COUNT(U130:U160)&gt;0,AVERAGE(U130:U160),"")</f>
        <v/>
      </c>
    </row>
    <row r="162" spans="1:21" ht="15" customHeight="1" x14ac:dyDescent="0.25">
      <c r="A162" s="1">
        <f t="shared" ca="1" si="7"/>
        <v>1614</v>
      </c>
      <c r="B162" s="29"/>
      <c r="C162" s="29"/>
      <c r="D162" s="29"/>
      <c r="E162" s="29"/>
      <c r="F162" s="29">
        <v>2998</v>
      </c>
      <c r="G162" s="39"/>
      <c r="H162" s="40"/>
      <c r="I162" s="52"/>
      <c r="J162" s="53"/>
      <c r="K162" s="17"/>
      <c r="L162" s="39"/>
      <c r="M162" s="43"/>
      <c r="N162" s="45" t="s">
        <v>108</v>
      </c>
      <c r="O162" s="55">
        <v>12</v>
      </c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1615</v>
      </c>
      <c r="B163" s="29"/>
      <c r="C163" s="29"/>
      <c r="D163" s="29"/>
      <c r="E163" s="29"/>
      <c r="F163" s="29">
        <v>2997</v>
      </c>
      <c r="G163" s="39"/>
      <c r="H163" s="40"/>
      <c r="I163" s="52"/>
      <c r="J163" s="53"/>
      <c r="K163" s="17"/>
      <c r="L163" s="39"/>
      <c r="M163" s="43"/>
      <c r="N163" s="45" t="s">
        <v>108</v>
      </c>
      <c r="O163" s="55">
        <v>15</v>
      </c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1616</v>
      </c>
      <c r="B164" s="29"/>
      <c r="C164" s="29"/>
      <c r="D164" s="29"/>
      <c r="E164" s="29"/>
      <c r="F164" s="29">
        <v>2996</v>
      </c>
      <c r="G164" s="39"/>
      <c r="H164" s="40"/>
      <c r="I164" s="52"/>
      <c r="J164" s="53"/>
      <c r="K164" s="17"/>
      <c r="L164" s="39"/>
      <c r="M164" s="43"/>
      <c r="N164" s="45" t="s">
        <v>108</v>
      </c>
      <c r="O164" s="55">
        <v>15</v>
      </c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1617</v>
      </c>
      <c r="B165" s="29"/>
      <c r="C165" s="29"/>
      <c r="D165" s="29"/>
      <c r="E165" s="29"/>
      <c r="F165" s="29">
        <v>2994</v>
      </c>
      <c r="G165" s="39"/>
      <c r="H165" s="40"/>
      <c r="I165" s="52"/>
      <c r="J165" s="53"/>
      <c r="K165" s="17"/>
      <c r="L165" s="39"/>
      <c r="M165" s="43"/>
      <c r="N165" s="45" t="s">
        <v>108</v>
      </c>
      <c r="O165" s="55">
        <v>12</v>
      </c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1618</v>
      </c>
      <c r="B166" s="29"/>
      <c r="C166" s="29"/>
      <c r="D166" s="29"/>
      <c r="E166" s="29"/>
      <c r="F166" s="29">
        <v>2998</v>
      </c>
      <c r="G166" s="39"/>
      <c r="H166" s="40"/>
      <c r="I166" s="52"/>
      <c r="J166" s="53"/>
      <c r="K166" s="17"/>
      <c r="L166" s="39"/>
      <c r="M166" s="43"/>
      <c r="N166" s="45" t="s">
        <v>108</v>
      </c>
      <c r="O166" s="55">
        <v>12</v>
      </c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1619</v>
      </c>
      <c r="B167" s="29"/>
      <c r="C167" s="29"/>
      <c r="D167" s="29"/>
      <c r="E167" s="29"/>
      <c r="F167" s="29">
        <v>2997</v>
      </c>
      <c r="G167" s="39"/>
      <c r="H167" s="40"/>
      <c r="I167" s="52"/>
      <c r="J167" s="53"/>
      <c r="K167" s="17"/>
      <c r="L167" s="39"/>
      <c r="M167" s="43"/>
      <c r="N167" s="45" t="s">
        <v>108</v>
      </c>
      <c r="O167" s="55">
        <v>12</v>
      </c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1620</v>
      </c>
      <c r="B168" s="29"/>
      <c r="C168" s="29"/>
      <c r="D168" s="29"/>
      <c r="E168" s="29"/>
      <c r="F168" s="29">
        <v>2999</v>
      </c>
      <c r="G168" s="39"/>
      <c r="H168" s="40"/>
      <c r="I168" s="52"/>
      <c r="J168" s="53"/>
      <c r="K168" s="17"/>
      <c r="L168" s="39"/>
      <c r="M168" s="43"/>
      <c r="N168" s="45" t="s">
        <v>108</v>
      </c>
      <c r="O168" s="55">
        <v>12</v>
      </c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1621</v>
      </c>
      <c r="B169" s="29"/>
      <c r="C169" s="29"/>
      <c r="D169" s="29"/>
      <c r="E169" s="29"/>
      <c r="F169" s="29">
        <v>2997</v>
      </c>
      <c r="G169" s="39"/>
      <c r="H169" s="40"/>
      <c r="I169" s="52"/>
      <c r="J169" s="53"/>
      <c r="K169" s="17"/>
      <c r="L169" s="39"/>
      <c r="M169" s="43"/>
      <c r="N169" s="45" t="s">
        <v>108</v>
      </c>
      <c r="O169" s="55">
        <v>10</v>
      </c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1622</v>
      </c>
      <c r="B170" s="29"/>
      <c r="C170" s="29"/>
      <c r="D170" s="29"/>
      <c r="E170" s="29"/>
      <c r="F170" s="29">
        <v>2996</v>
      </c>
      <c r="G170" s="39"/>
      <c r="H170" s="40"/>
      <c r="I170" s="52"/>
      <c r="J170" s="53"/>
      <c r="K170" s="17"/>
      <c r="L170" s="39"/>
      <c r="M170" s="43"/>
      <c r="N170" s="45" t="s">
        <v>108</v>
      </c>
      <c r="O170" s="55">
        <v>12</v>
      </c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1623</v>
      </c>
      <c r="B171" s="29"/>
      <c r="C171" s="29"/>
      <c r="D171" s="29"/>
      <c r="E171" s="29"/>
      <c r="F171" s="29">
        <v>2995</v>
      </c>
      <c r="G171" s="39"/>
      <c r="H171" s="40"/>
      <c r="I171" s="52"/>
      <c r="J171" s="53"/>
      <c r="K171" s="17"/>
      <c r="L171" s="39"/>
      <c r="M171" s="43"/>
      <c r="N171" s="45" t="s">
        <v>110</v>
      </c>
      <c r="O171" s="55">
        <v>10</v>
      </c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1624</v>
      </c>
      <c r="B172" s="29"/>
      <c r="C172" s="29"/>
      <c r="D172" s="29"/>
      <c r="E172" s="29"/>
      <c r="F172" s="29">
        <v>2994</v>
      </c>
      <c r="G172" s="39"/>
      <c r="H172" s="40"/>
      <c r="I172" s="52"/>
      <c r="J172" s="53"/>
      <c r="K172" s="17"/>
      <c r="L172" s="39"/>
      <c r="M172" s="43"/>
      <c r="N172" s="45" t="s">
        <v>110</v>
      </c>
      <c r="O172" s="55">
        <v>8</v>
      </c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1625</v>
      </c>
      <c r="B173" s="29"/>
      <c r="C173" s="29"/>
      <c r="D173" s="29"/>
      <c r="E173" s="29"/>
      <c r="F173" s="29">
        <v>2992</v>
      </c>
      <c r="G173" s="39"/>
      <c r="H173" s="40"/>
      <c r="I173" s="52"/>
      <c r="J173" s="53"/>
      <c r="K173" s="17"/>
      <c r="L173" s="39"/>
      <c r="M173" s="43"/>
      <c r="N173" s="45" t="s">
        <v>110</v>
      </c>
      <c r="O173" s="55">
        <v>12</v>
      </c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1626</v>
      </c>
      <c r="B174" s="29"/>
      <c r="C174" s="29"/>
      <c r="D174" s="29"/>
      <c r="E174" s="29"/>
      <c r="F174" s="29">
        <v>2992</v>
      </c>
      <c r="G174" s="39"/>
      <c r="H174" s="40"/>
      <c r="I174" s="52"/>
      <c r="J174" s="53"/>
      <c r="K174" s="17"/>
      <c r="L174" s="39"/>
      <c r="M174" s="43"/>
      <c r="N174" s="45" t="s">
        <v>110</v>
      </c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1627</v>
      </c>
      <c r="B175" s="29"/>
      <c r="C175" s="29"/>
      <c r="D175" s="29"/>
      <c r="E175" s="29"/>
      <c r="F175" s="29">
        <v>2992</v>
      </c>
      <c r="G175" s="39"/>
      <c r="H175" s="40"/>
      <c r="I175" s="52"/>
      <c r="J175" s="53"/>
      <c r="K175" s="17"/>
      <c r="L175" s="39"/>
      <c r="M175" s="43"/>
      <c r="N175" s="45" t="s">
        <v>110</v>
      </c>
      <c r="O175" s="55">
        <v>10</v>
      </c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1628</v>
      </c>
      <c r="B176" s="29"/>
      <c r="C176" s="29"/>
      <c r="D176" s="29"/>
      <c r="E176" s="29"/>
      <c r="F176" s="29">
        <v>2996</v>
      </c>
      <c r="G176" s="39"/>
      <c r="H176" s="40"/>
      <c r="I176" s="52"/>
      <c r="J176" s="53"/>
      <c r="K176" s="17"/>
      <c r="L176" s="39"/>
      <c r="M176" s="43"/>
      <c r="N176" s="45" t="s">
        <v>110</v>
      </c>
      <c r="O176" s="55">
        <v>12</v>
      </c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1629</v>
      </c>
      <c r="B177" s="29"/>
      <c r="C177" s="29"/>
      <c r="D177" s="29"/>
      <c r="E177" s="29"/>
      <c r="F177" s="29">
        <v>2995</v>
      </c>
      <c r="G177" s="39"/>
      <c r="H177" s="40"/>
      <c r="I177" s="52"/>
      <c r="J177" s="53"/>
      <c r="K177" s="17"/>
      <c r="L177" s="39"/>
      <c r="M177" s="43"/>
      <c r="N177" s="45" t="s">
        <v>110</v>
      </c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1630</v>
      </c>
      <c r="B178" s="29"/>
      <c r="C178" s="29"/>
      <c r="D178" s="29"/>
      <c r="E178" s="29"/>
      <c r="F178" s="29">
        <v>2994</v>
      </c>
      <c r="G178" s="39"/>
      <c r="H178" s="40"/>
      <c r="I178" s="52"/>
      <c r="J178" s="53"/>
      <c r="K178" s="17"/>
      <c r="L178" s="39"/>
      <c r="M178" s="43"/>
      <c r="N178" s="45" t="s">
        <v>108</v>
      </c>
      <c r="O178" s="55">
        <v>12</v>
      </c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1631</v>
      </c>
      <c r="B179" s="29"/>
      <c r="C179" s="29"/>
      <c r="D179" s="29"/>
      <c r="E179" s="29"/>
      <c r="F179" s="29">
        <v>2996</v>
      </c>
      <c r="G179" s="39"/>
      <c r="H179" s="40"/>
      <c r="I179" s="52"/>
      <c r="J179" s="53"/>
      <c r="K179" s="17"/>
      <c r="L179" s="39"/>
      <c r="M179" s="43"/>
      <c r="N179" s="45" t="s">
        <v>108</v>
      </c>
      <c r="O179" s="55">
        <v>15</v>
      </c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1632</v>
      </c>
      <c r="B180" s="29"/>
      <c r="C180" s="29"/>
      <c r="D180" s="29"/>
      <c r="E180" s="29"/>
      <c r="F180" s="29">
        <v>2998</v>
      </c>
      <c r="G180" s="39"/>
      <c r="H180" s="40"/>
      <c r="I180" s="52"/>
      <c r="J180" s="53"/>
      <c r="K180" s="17"/>
      <c r="L180" s="39"/>
      <c r="M180" s="43"/>
      <c r="N180" s="45" t="s">
        <v>108</v>
      </c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1633</v>
      </c>
      <c r="B181" s="29"/>
      <c r="C181" s="29"/>
      <c r="D181" s="29"/>
      <c r="E181" s="29"/>
      <c r="F181" s="29">
        <v>2995</v>
      </c>
      <c r="G181" s="39"/>
      <c r="H181" s="40"/>
      <c r="I181" s="52"/>
      <c r="J181" s="53"/>
      <c r="K181" s="17"/>
      <c r="L181" s="39"/>
      <c r="M181" s="43"/>
      <c r="N181" s="45" t="s">
        <v>108</v>
      </c>
      <c r="O181" s="55">
        <v>15</v>
      </c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1634</v>
      </c>
      <c r="B182" s="29"/>
      <c r="C182" s="29"/>
      <c r="D182" s="29"/>
      <c r="E182" s="29"/>
      <c r="F182" s="29">
        <v>2995</v>
      </c>
      <c r="G182" s="39"/>
      <c r="H182" s="40"/>
      <c r="I182" s="52"/>
      <c r="J182" s="53"/>
      <c r="K182" s="17"/>
      <c r="L182" s="39"/>
      <c r="M182" s="43"/>
      <c r="N182" s="45" t="s">
        <v>108</v>
      </c>
      <c r="O182" s="55">
        <v>15</v>
      </c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1635</v>
      </c>
      <c r="B183" s="29"/>
      <c r="C183" s="29"/>
      <c r="D183" s="29"/>
      <c r="E183" s="29"/>
      <c r="F183" s="29">
        <v>2998</v>
      </c>
      <c r="G183" s="39"/>
      <c r="H183" s="40"/>
      <c r="I183" s="52"/>
      <c r="J183" s="53"/>
      <c r="K183" s="17"/>
      <c r="L183" s="39"/>
      <c r="M183" s="43"/>
      <c r="N183" s="45" t="s">
        <v>108</v>
      </c>
      <c r="O183" s="55">
        <v>15</v>
      </c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1636</v>
      </c>
      <c r="B184" s="29"/>
      <c r="C184" s="29"/>
      <c r="D184" s="29"/>
      <c r="E184" s="29"/>
      <c r="F184" s="29">
        <v>3002</v>
      </c>
      <c r="G184" s="39"/>
      <c r="H184" s="40"/>
      <c r="I184" s="52"/>
      <c r="J184" s="53"/>
      <c r="K184" s="17"/>
      <c r="L184" s="39"/>
      <c r="M184" s="43"/>
      <c r="N184" s="45" t="s">
        <v>108</v>
      </c>
      <c r="O184" s="55">
        <v>15</v>
      </c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1637</v>
      </c>
      <c r="B185" s="29"/>
      <c r="C185" s="29"/>
      <c r="D185" s="29"/>
      <c r="E185" s="29"/>
      <c r="F185" s="29">
        <v>3003</v>
      </c>
      <c r="G185" s="39"/>
      <c r="H185" s="40"/>
      <c r="I185" s="52"/>
      <c r="J185" s="53"/>
      <c r="K185" s="17"/>
      <c r="L185" s="39"/>
      <c r="M185" s="43"/>
      <c r="N185" s="45" t="s">
        <v>108</v>
      </c>
      <c r="O185" s="55">
        <v>12</v>
      </c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1638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 t="s">
        <v>108</v>
      </c>
      <c r="O186" s="55">
        <v>15</v>
      </c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1639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 t="s">
        <v>108</v>
      </c>
      <c r="O187" s="55">
        <v>12</v>
      </c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1640</v>
      </c>
      <c r="B188" s="29"/>
      <c r="C188" s="29"/>
      <c r="D188" s="29"/>
      <c r="E188" s="29"/>
      <c r="F188" s="29">
        <v>2996</v>
      </c>
      <c r="G188" s="39"/>
      <c r="H188" s="40"/>
      <c r="I188" s="52"/>
      <c r="J188" s="53"/>
      <c r="K188" s="17"/>
      <c r="L188" s="39"/>
      <c r="M188" s="43"/>
      <c r="N188" s="45" t="s">
        <v>110</v>
      </c>
      <c r="O188" s="55">
        <v>12</v>
      </c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1641</v>
      </c>
      <c r="B189" s="29"/>
      <c r="C189" s="29"/>
      <c r="D189" s="29"/>
      <c r="E189" s="29"/>
      <c r="F189" s="29">
        <v>2995</v>
      </c>
      <c r="G189" s="39"/>
      <c r="H189" s="40"/>
      <c r="I189" s="52"/>
      <c r="J189" s="53"/>
      <c r="K189" s="17"/>
      <c r="L189" s="39"/>
      <c r="M189" s="43"/>
      <c r="N189" s="45" t="s">
        <v>108</v>
      </c>
      <c r="O189" s="55">
        <v>10</v>
      </c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1642</v>
      </c>
      <c r="B190" s="29"/>
      <c r="C190" s="29"/>
      <c r="D190" s="29"/>
      <c r="E190" s="29"/>
      <c r="F190" s="29">
        <v>2998</v>
      </c>
      <c r="G190" s="39"/>
      <c r="H190" s="40"/>
      <c r="I190" s="52"/>
      <c r="J190" s="53"/>
      <c r="K190" s="17"/>
      <c r="L190" s="39"/>
      <c r="M190" s="43"/>
      <c r="N190" s="45" t="s">
        <v>110</v>
      </c>
      <c r="O190" s="55">
        <v>12</v>
      </c>
      <c r="P190" s="56"/>
      <c r="Q190" s="74"/>
      <c r="R190" s="70"/>
      <c r="S190" s="19"/>
      <c r="T190" s="60"/>
      <c r="U190" s="59"/>
    </row>
    <row r="191" spans="1:21" ht="15" customHeight="1" x14ac:dyDescent="0.25">
      <c r="A191" s="1">
        <f t="shared" ca="1" si="7"/>
        <v>1643</v>
      </c>
      <c r="B191" s="29"/>
      <c r="C191" s="29"/>
      <c r="D191" s="29"/>
      <c r="E191" s="29"/>
      <c r="F191" s="29">
        <v>2997</v>
      </c>
      <c r="G191" s="39"/>
      <c r="H191" s="40"/>
      <c r="I191" s="52"/>
      <c r="J191" s="53"/>
      <c r="K191" s="17"/>
      <c r="L191" s="39"/>
      <c r="M191" s="43"/>
      <c r="N191" s="45" t="s">
        <v>108</v>
      </c>
      <c r="O191" s="55">
        <v>12</v>
      </c>
      <c r="P191" s="56"/>
      <c r="Q191" s="74"/>
      <c r="R191" s="70"/>
      <c r="S191" s="19"/>
      <c r="T191" s="60"/>
      <c r="U191" s="59"/>
    </row>
    <row r="192" spans="1:21" x14ac:dyDescent="0.25">
      <c r="A192" s="1" t="str">
        <f t="shared" ca="1" si="7"/>
        <v>Totaal</v>
      </c>
      <c r="B192" s="61" t="str">
        <f>IF(COUNT(B162:B191)&gt;0,AVERAGE(B162:B191)/10,"")</f>
        <v/>
      </c>
      <c r="C192" s="62" t="str">
        <f>IF(COUNT(C162:C191)&gt;0,AVERAGE(C162:C191)/1000,"")</f>
        <v/>
      </c>
      <c r="D192" s="62" t="str">
        <f>IF(COUNT(D162:D191)&gt;0,AVERAGE(D162:D191)/1000,"")</f>
        <v/>
      </c>
      <c r="E192" s="62" t="str">
        <f>IF(COUNT(E162:E191)&gt;0,AVERAGE(E162:E191)/1000,"")</f>
        <v/>
      </c>
      <c r="F192" s="62">
        <f>IF(COUNT(F162:F191)&gt;0,AVERAGE(F162:F191)/100,"")</f>
        <v>29.962499999999999</v>
      </c>
      <c r="G192" s="41" t="str">
        <f>IF(COUNT(G162:G191)&gt;0,AVERAGE(G162:G191)/10,"")</f>
        <v/>
      </c>
      <c r="H192" s="42" t="str">
        <f>IF(COUNT(H162:H191)&gt;0,AVERAGE(H162:H191)/10,"")</f>
        <v/>
      </c>
      <c r="I192" s="18" t="str">
        <f>IF(COUNT(I162:I191)&gt;0,AVERAGE(I162:I191)/10,"")</f>
        <v/>
      </c>
      <c r="J192" s="54" t="str">
        <f>IF(COUNT(J162:J191)&gt;0,AVERAGE(J162:J191),"")</f>
        <v/>
      </c>
      <c r="K192" s="51" t="str">
        <f>IF(COUNT(K162:K191)&gt;0,AVERAGE(K162:K191)/1000,"")</f>
        <v/>
      </c>
      <c r="L192" s="41" t="str">
        <f>IF(COUNT(L162:L191)&gt;0,AVERAGE(L162:L191)/10,"")</f>
        <v/>
      </c>
      <c r="M192" s="44" t="str">
        <f>IF(COUNT(M162:M191)&gt;0,AVERAGE(M162:M191)/10,"")</f>
        <v/>
      </c>
      <c r="N192" s="46"/>
      <c r="O192" s="57">
        <f>IF(COUNT(O162:O191)&gt;0,AVERAGE(O162:O191),"")</f>
        <v>12.444444444444445</v>
      </c>
      <c r="P192" s="58" t="str">
        <f>IF(COUNT(P162:P191)&gt;0,AVERAGE(P162:P191),"")</f>
        <v/>
      </c>
      <c r="Q192" s="47"/>
      <c r="R192" s="68" t="str">
        <f>IF(COUNT(R162:R191)&gt;0,SUM(R162:R191)/100,"")</f>
        <v/>
      </c>
      <c r="S192" s="64" t="str">
        <f>IF(COUNT(S162:S191)&gt;0,AVERAGE(S162:S191),"")</f>
        <v/>
      </c>
      <c r="T192" s="65" t="str">
        <f>IF(COUNT(T162:T191)&gt;0,AVERAGE(T162:T191),"")</f>
        <v/>
      </c>
      <c r="U192" s="66" t="str">
        <f>IF(COUNT(U162:U191)&gt;0,AVERAGE(U162:U191),"")</f>
        <v/>
      </c>
    </row>
    <row r="193" spans="1:21" ht="15" customHeight="1" x14ac:dyDescent="0.25">
      <c r="A193" s="1">
        <f t="shared" ca="1" si="7"/>
        <v>1644</v>
      </c>
      <c r="B193" s="29"/>
      <c r="C193" s="29"/>
      <c r="D193" s="29"/>
      <c r="E193" s="29"/>
      <c r="F193" s="29">
        <v>2996</v>
      </c>
      <c r="G193" s="39"/>
      <c r="H193" s="40"/>
      <c r="I193" s="52"/>
      <c r="J193" s="53"/>
      <c r="K193" s="17"/>
      <c r="L193" s="39"/>
      <c r="M193" s="43"/>
      <c r="N193" s="45" t="s">
        <v>108</v>
      </c>
      <c r="O193" s="55">
        <v>12</v>
      </c>
      <c r="P193" s="56"/>
      <c r="Q193" s="74"/>
      <c r="R193" s="70">
        <v>0</v>
      </c>
      <c r="S193" s="19"/>
      <c r="T193" s="60"/>
      <c r="U193" s="59"/>
    </row>
    <row r="194" spans="1:21" ht="15" customHeight="1" x14ac:dyDescent="0.25">
      <c r="A194" s="1">
        <f t="shared" ca="1" si="7"/>
        <v>1645</v>
      </c>
      <c r="B194" s="29"/>
      <c r="C194" s="29"/>
      <c r="D194" s="29"/>
      <c r="E194" s="29"/>
      <c r="F194" s="29">
        <v>2997</v>
      </c>
      <c r="G194" s="39"/>
      <c r="H194" s="40"/>
      <c r="I194" s="52"/>
      <c r="J194" s="53"/>
      <c r="K194" s="17"/>
      <c r="L194" s="39"/>
      <c r="M194" s="43"/>
      <c r="N194" s="45" t="s">
        <v>108</v>
      </c>
      <c r="O194" s="55">
        <v>12</v>
      </c>
      <c r="P194" s="56"/>
      <c r="Q194" s="74"/>
      <c r="R194" s="70" t="s">
        <v>7</v>
      </c>
      <c r="S194" s="19"/>
      <c r="T194" s="60"/>
      <c r="U194" s="59"/>
    </row>
    <row r="195" spans="1:21" ht="15" customHeight="1" x14ac:dyDescent="0.25">
      <c r="A195" s="1">
        <f t="shared" ca="1" si="7"/>
        <v>1646</v>
      </c>
      <c r="B195" s="29"/>
      <c r="C195" s="29"/>
      <c r="D195" s="29"/>
      <c r="E195" s="29"/>
      <c r="F195" s="29">
        <v>2999</v>
      </c>
      <c r="G195" s="39"/>
      <c r="H195" s="40"/>
      <c r="I195" s="52"/>
      <c r="J195" s="53"/>
      <c r="K195" s="17"/>
      <c r="L195" s="39"/>
      <c r="M195" s="43"/>
      <c r="N195" s="45" t="s">
        <v>108</v>
      </c>
      <c r="O195" s="55">
        <v>12</v>
      </c>
      <c r="P195" s="56"/>
      <c r="Q195" s="74"/>
      <c r="R195" s="70">
        <v>0</v>
      </c>
      <c r="S195" s="19"/>
      <c r="T195" s="60"/>
      <c r="U195" s="59"/>
    </row>
    <row r="196" spans="1:21" ht="15" customHeight="1" x14ac:dyDescent="0.25">
      <c r="A196" s="1">
        <f t="shared" ca="1" si="7"/>
        <v>1647</v>
      </c>
      <c r="B196" s="29"/>
      <c r="C196" s="29"/>
      <c r="D196" s="29"/>
      <c r="E196" s="29"/>
      <c r="F196" s="29">
        <v>2999</v>
      </c>
      <c r="G196" s="39"/>
      <c r="H196" s="40"/>
      <c r="I196" s="52"/>
      <c r="J196" s="53"/>
      <c r="K196" s="17"/>
      <c r="L196" s="39"/>
      <c r="M196" s="43">
        <v>724</v>
      </c>
      <c r="N196" s="45" t="s">
        <v>108</v>
      </c>
      <c r="O196" s="55">
        <v>13</v>
      </c>
      <c r="P196" s="56"/>
      <c r="Q196" s="74"/>
      <c r="R196" s="70">
        <v>10</v>
      </c>
      <c r="S196" s="19"/>
      <c r="T196" s="60"/>
      <c r="U196" s="59"/>
    </row>
    <row r="197" spans="1:21" ht="15" customHeight="1" x14ac:dyDescent="0.25">
      <c r="A197" s="1">
        <f t="shared" ca="1" si="7"/>
        <v>1648</v>
      </c>
      <c r="B197" s="29"/>
      <c r="C197" s="29"/>
      <c r="D197" s="29"/>
      <c r="E197" s="29"/>
      <c r="F197" s="29">
        <v>2998</v>
      </c>
      <c r="G197" s="39"/>
      <c r="H197" s="40"/>
      <c r="I197" s="52"/>
      <c r="J197" s="53"/>
      <c r="K197" s="17"/>
      <c r="L197" s="39">
        <v>801</v>
      </c>
      <c r="M197" s="43">
        <v>757</v>
      </c>
      <c r="N197" s="45" t="s">
        <v>110</v>
      </c>
      <c r="O197" s="55">
        <v>12</v>
      </c>
      <c r="P197" s="56"/>
      <c r="Q197" s="74"/>
      <c r="R197" s="70" t="s">
        <v>7</v>
      </c>
      <c r="S197" s="19"/>
      <c r="T197" s="60"/>
      <c r="U197" s="59"/>
    </row>
    <row r="198" spans="1:21" ht="15" customHeight="1" x14ac:dyDescent="0.25">
      <c r="A198" s="1">
        <f t="shared" ca="1" si="7"/>
        <v>1649</v>
      </c>
      <c r="B198" s="29"/>
      <c r="C198" s="29"/>
      <c r="D198" s="29"/>
      <c r="E198" s="29"/>
      <c r="F198" s="29">
        <v>2994</v>
      </c>
      <c r="G198" s="39"/>
      <c r="H198" s="40"/>
      <c r="I198" s="52"/>
      <c r="J198" s="53"/>
      <c r="K198" s="17"/>
      <c r="L198" s="39">
        <v>800</v>
      </c>
      <c r="M198" s="43">
        <v>768</v>
      </c>
      <c r="N198" s="45" t="s">
        <v>108</v>
      </c>
      <c r="O198" s="55">
        <v>16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ca="1" si="7"/>
        <v>1650</v>
      </c>
      <c r="B199" s="29"/>
      <c r="C199" s="29"/>
      <c r="D199" s="29"/>
      <c r="E199" s="29"/>
      <c r="F199" s="29">
        <v>2993</v>
      </c>
      <c r="G199" s="39"/>
      <c r="H199" s="40"/>
      <c r="I199" s="52"/>
      <c r="J199" s="53"/>
      <c r="K199" s="17"/>
      <c r="L199" s="39">
        <v>800</v>
      </c>
      <c r="M199" s="43">
        <v>779</v>
      </c>
      <c r="N199" s="45" t="s">
        <v>108</v>
      </c>
      <c r="O199" s="55">
        <v>9</v>
      </c>
      <c r="P199" s="56"/>
      <c r="Q199" s="74"/>
      <c r="R199" s="70">
        <v>0</v>
      </c>
      <c r="S199" s="19"/>
      <c r="T199" s="60"/>
      <c r="U199" s="59"/>
    </row>
    <row r="200" spans="1:21" ht="15" customHeight="1" x14ac:dyDescent="0.25">
      <c r="A200" s="1">
        <f t="shared" ref="A200:A263" ca="1" si="11">IF(ISTEXT(A199),A198+1,IF(MONTH(A199+1)=MONTH(A199),A199+1,"Totaal"))</f>
        <v>1651</v>
      </c>
      <c r="B200" s="29"/>
      <c r="C200" s="29"/>
      <c r="D200" s="29"/>
      <c r="E200" s="29"/>
      <c r="F200" s="29">
        <v>2993</v>
      </c>
      <c r="G200" s="39"/>
      <c r="H200" s="40"/>
      <c r="I200" s="52"/>
      <c r="J200" s="53"/>
      <c r="K200" s="17"/>
      <c r="L200" s="39">
        <v>816</v>
      </c>
      <c r="M200" s="43">
        <v>768</v>
      </c>
      <c r="N200" s="45" t="s">
        <v>110</v>
      </c>
      <c r="O200" s="55">
        <v>16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1652</v>
      </c>
      <c r="B201" s="29"/>
      <c r="C201" s="29"/>
      <c r="D201" s="29"/>
      <c r="E201" s="29"/>
      <c r="F201" s="29">
        <v>2994</v>
      </c>
      <c r="G201" s="39"/>
      <c r="H201" s="40"/>
      <c r="I201" s="52"/>
      <c r="J201" s="53"/>
      <c r="K201" s="17"/>
      <c r="L201" s="39">
        <v>812</v>
      </c>
      <c r="M201" s="43">
        <v>788</v>
      </c>
      <c r="N201" s="45" t="s">
        <v>108</v>
      </c>
      <c r="O201" s="55">
        <v>12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1653</v>
      </c>
      <c r="B202" s="29"/>
      <c r="C202" s="29"/>
      <c r="D202" s="29"/>
      <c r="E202" s="29"/>
      <c r="F202" s="29">
        <v>2995</v>
      </c>
      <c r="G202" s="39"/>
      <c r="H202" s="40"/>
      <c r="I202" s="52"/>
      <c r="J202" s="53"/>
      <c r="K202" s="17"/>
      <c r="L202" s="39">
        <v>792</v>
      </c>
      <c r="M202" s="43">
        <v>747</v>
      </c>
      <c r="N202" s="45" t="s">
        <v>108</v>
      </c>
      <c r="O202" s="55">
        <v>15</v>
      </c>
      <c r="P202" s="56"/>
      <c r="Q202" s="74"/>
      <c r="R202" s="70">
        <v>2</v>
      </c>
      <c r="S202" s="19"/>
      <c r="T202" s="60"/>
      <c r="U202" s="59"/>
    </row>
    <row r="203" spans="1:21" ht="15" customHeight="1" x14ac:dyDescent="0.25">
      <c r="A203" s="1">
        <f t="shared" ca="1" si="11"/>
        <v>1654</v>
      </c>
      <c r="B203" s="29"/>
      <c r="C203" s="29"/>
      <c r="D203" s="29"/>
      <c r="E203" s="29"/>
      <c r="F203" s="29">
        <v>2996</v>
      </c>
      <c r="G203" s="39"/>
      <c r="H203" s="40"/>
      <c r="I203" s="52"/>
      <c r="J203" s="53"/>
      <c r="K203" s="17"/>
      <c r="L203" s="39">
        <v>798</v>
      </c>
      <c r="M203" s="43">
        <v>748</v>
      </c>
      <c r="N203" s="45" t="s">
        <v>108</v>
      </c>
      <c r="O203" s="55">
        <v>20</v>
      </c>
      <c r="P203" s="56"/>
      <c r="Q203" s="74"/>
      <c r="R203" s="70" t="s">
        <v>7</v>
      </c>
      <c r="S203" s="19"/>
      <c r="T203" s="60"/>
      <c r="U203" s="59"/>
    </row>
    <row r="204" spans="1:21" ht="15" customHeight="1" x14ac:dyDescent="0.25">
      <c r="A204" s="1">
        <f t="shared" ca="1" si="11"/>
        <v>1655</v>
      </c>
      <c r="B204" s="29"/>
      <c r="C204" s="29"/>
      <c r="D204" s="29"/>
      <c r="E204" s="29"/>
      <c r="F204" s="29">
        <v>2995</v>
      </c>
      <c r="G204" s="39"/>
      <c r="H204" s="40"/>
      <c r="I204" s="52"/>
      <c r="J204" s="53"/>
      <c r="K204" s="17"/>
      <c r="L204" s="39">
        <v>802</v>
      </c>
      <c r="M204" s="43">
        <v>754</v>
      </c>
      <c r="N204" s="45" t="s">
        <v>108</v>
      </c>
      <c r="O204" s="55">
        <v>19</v>
      </c>
      <c r="P204" s="56"/>
      <c r="Q204" s="74"/>
      <c r="R204" s="70">
        <v>0</v>
      </c>
      <c r="S204" s="19"/>
      <c r="T204" s="60"/>
      <c r="U204" s="59"/>
    </row>
    <row r="205" spans="1:21" ht="15" customHeight="1" x14ac:dyDescent="0.25">
      <c r="A205" s="1">
        <f t="shared" ca="1" si="11"/>
        <v>1656</v>
      </c>
      <c r="B205" s="29"/>
      <c r="C205" s="29"/>
      <c r="D205" s="29"/>
      <c r="E205" s="29"/>
      <c r="F205" s="29">
        <v>2993</v>
      </c>
      <c r="G205" s="39"/>
      <c r="H205" s="40"/>
      <c r="I205" s="52"/>
      <c r="J205" s="53"/>
      <c r="K205" s="17"/>
      <c r="L205" s="39">
        <v>803</v>
      </c>
      <c r="M205" s="43">
        <v>767</v>
      </c>
      <c r="N205" s="45" t="s">
        <v>108</v>
      </c>
      <c r="O205" s="55">
        <v>19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1657</v>
      </c>
      <c r="B206" s="29"/>
      <c r="C206" s="29"/>
      <c r="D206" s="29"/>
      <c r="E206" s="29"/>
      <c r="F206" s="29">
        <v>3000</v>
      </c>
      <c r="G206" s="39"/>
      <c r="H206" s="40"/>
      <c r="I206" s="52"/>
      <c r="J206" s="53"/>
      <c r="K206" s="17"/>
      <c r="L206" s="39">
        <v>782</v>
      </c>
      <c r="M206" s="43">
        <v>732</v>
      </c>
      <c r="N206" s="45" t="s">
        <v>108</v>
      </c>
      <c r="O206" s="55">
        <v>17</v>
      </c>
      <c r="P206" s="56"/>
      <c r="Q206" s="74"/>
      <c r="R206" s="70">
        <v>15</v>
      </c>
      <c r="S206" s="19"/>
      <c r="T206" s="60"/>
      <c r="U206" s="59"/>
    </row>
    <row r="207" spans="1:21" ht="15" customHeight="1" x14ac:dyDescent="0.25">
      <c r="A207" s="1">
        <f t="shared" ca="1" si="11"/>
        <v>1658</v>
      </c>
      <c r="B207" s="29"/>
      <c r="C207" s="29"/>
      <c r="D207" s="29"/>
      <c r="E207" s="29"/>
      <c r="F207" s="29">
        <v>2999</v>
      </c>
      <c r="G207" s="39"/>
      <c r="H207" s="40"/>
      <c r="I207" s="52"/>
      <c r="J207" s="53"/>
      <c r="K207" s="17"/>
      <c r="L207" s="39">
        <v>803</v>
      </c>
      <c r="M207" s="43">
        <v>770</v>
      </c>
      <c r="N207" s="45" t="s">
        <v>108</v>
      </c>
      <c r="O207" s="55">
        <v>18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1659</v>
      </c>
      <c r="B208" s="29"/>
      <c r="C208" s="29"/>
      <c r="D208" s="29"/>
      <c r="E208" s="29"/>
      <c r="F208" s="29">
        <v>2996</v>
      </c>
      <c r="G208" s="39"/>
      <c r="H208" s="40"/>
      <c r="I208" s="52"/>
      <c r="J208" s="53"/>
      <c r="K208" s="17"/>
      <c r="L208" s="39">
        <v>801</v>
      </c>
      <c r="M208" s="43">
        <v>765</v>
      </c>
      <c r="N208" s="45" t="s">
        <v>108</v>
      </c>
      <c r="O208" s="55">
        <v>16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1660</v>
      </c>
      <c r="B209" s="29"/>
      <c r="C209" s="29"/>
      <c r="D209" s="29"/>
      <c r="E209" s="29"/>
      <c r="F209" s="29">
        <v>2992</v>
      </c>
      <c r="G209" s="39"/>
      <c r="H209" s="40"/>
      <c r="I209" s="52"/>
      <c r="J209" s="53"/>
      <c r="K209" s="17"/>
      <c r="L209" s="39">
        <v>800</v>
      </c>
      <c r="M209" s="43">
        <v>764</v>
      </c>
      <c r="N209" s="45" t="s">
        <v>108</v>
      </c>
      <c r="O209" s="55">
        <v>16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1661</v>
      </c>
      <c r="B210" s="29"/>
      <c r="C210" s="29"/>
      <c r="D210" s="29"/>
      <c r="E210" s="29"/>
      <c r="F210" s="29">
        <v>2995</v>
      </c>
      <c r="G210" s="39"/>
      <c r="H210" s="40"/>
      <c r="I210" s="52"/>
      <c r="J210" s="53"/>
      <c r="K210" s="17"/>
      <c r="L210" s="39">
        <v>798</v>
      </c>
      <c r="M210" s="43">
        <v>768</v>
      </c>
      <c r="N210" s="45" t="s">
        <v>108</v>
      </c>
      <c r="O210" s="55">
        <v>18</v>
      </c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1662</v>
      </c>
      <c r="B211" s="29"/>
      <c r="C211" s="29"/>
      <c r="D211" s="29"/>
      <c r="E211" s="29"/>
      <c r="F211" s="29">
        <v>2997</v>
      </c>
      <c r="G211" s="39"/>
      <c r="H211" s="40"/>
      <c r="I211" s="52"/>
      <c r="J211" s="53"/>
      <c r="K211" s="17"/>
      <c r="L211" s="39">
        <v>808</v>
      </c>
      <c r="M211" s="43">
        <v>741</v>
      </c>
      <c r="N211" s="45" t="s">
        <v>108</v>
      </c>
      <c r="O211" s="55">
        <v>18</v>
      </c>
      <c r="P211" s="56"/>
      <c r="Q211" s="74"/>
      <c r="R211" s="70">
        <v>1</v>
      </c>
      <c r="S211" s="19"/>
      <c r="T211" s="60"/>
      <c r="U211" s="59"/>
    </row>
    <row r="212" spans="1:21" ht="15" customHeight="1" x14ac:dyDescent="0.25">
      <c r="A212" s="1">
        <f t="shared" ca="1" si="11"/>
        <v>1663</v>
      </c>
      <c r="B212" s="29"/>
      <c r="C212" s="29"/>
      <c r="D212" s="29"/>
      <c r="E212" s="29"/>
      <c r="F212" s="29">
        <v>2996</v>
      </c>
      <c r="G212" s="39"/>
      <c r="H212" s="40"/>
      <c r="I212" s="52"/>
      <c r="J212" s="53"/>
      <c r="K212" s="17"/>
      <c r="L212" s="39">
        <v>802</v>
      </c>
      <c r="M212" s="43">
        <v>762</v>
      </c>
      <c r="N212" s="45" t="s">
        <v>108</v>
      </c>
      <c r="O212" s="55">
        <v>14</v>
      </c>
      <c r="P212" s="56"/>
      <c r="Q212" s="74"/>
      <c r="R212" s="70">
        <v>0</v>
      </c>
      <c r="S212" s="19"/>
      <c r="T212" s="60"/>
      <c r="U212" s="59"/>
    </row>
    <row r="213" spans="1:21" ht="15" customHeight="1" x14ac:dyDescent="0.25">
      <c r="A213" s="1">
        <f t="shared" ca="1" si="11"/>
        <v>1664</v>
      </c>
      <c r="B213" s="29"/>
      <c r="C213" s="29"/>
      <c r="D213" s="29"/>
      <c r="E213" s="29"/>
      <c r="F213" s="29">
        <v>2994</v>
      </c>
      <c r="G213" s="39"/>
      <c r="H213" s="40"/>
      <c r="I213" s="52"/>
      <c r="J213" s="53"/>
      <c r="K213" s="17"/>
      <c r="L213" s="39">
        <v>798</v>
      </c>
      <c r="M213" s="43">
        <v>750</v>
      </c>
      <c r="N213" s="45" t="s">
        <v>110</v>
      </c>
      <c r="O213" s="55">
        <v>12</v>
      </c>
      <c r="P213" s="56"/>
      <c r="Q213" s="74"/>
      <c r="R213" s="70">
        <v>4</v>
      </c>
      <c r="S213" s="19"/>
      <c r="T213" s="60"/>
      <c r="U213" s="59"/>
    </row>
    <row r="214" spans="1:21" ht="15" customHeight="1" x14ac:dyDescent="0.25">
      <c r="A214" s="1">
        <f t="shared" ca="1" si="11"/>
        <v>1665</v>
      </c>
      <c r="B214" s="29"/>
      <c r="C214" s="29"/>
      <c r="D214" s="29"/>
      <c r="E214" s="29"/>
      <c r="F214" s="29">
        <v>2994</v>
      </c>
      <c r="G214" s="39"/>
      <c r="H214" s="40"/>
      <c r="I214" s="52"/>
      <c r="J214" s="53"/>
      <c r="K214" s="17"/>
      <c r="L214" s="39">
        <v>792</v>
      </c>
      <c r="M214" s="43">
        <v>737</v>
      </c>
      <c r="N214" s="45" t="s">
        <v>110</v>
      </c>
      <c r="O214" s="55">
        <v>12</v>
      </c>
      <c r="P214" s="56"/>
      <c r="Q214" s="74"/>
      <c r="R214" s="70">
        <v>63</v>
      </c>
      <c r="S214" s="19"/>
      <c r="T214" s="60"/>
      <c r="U214" s="59"/>
    </row>
    <row r="215" spans="1:21" ht="15" customHeight="1" x14ac:dyDescent="0.25">
      <c r="A215" s="1">
        <f t="shared" ca="1" si="11"/>
        <v>1666</v>
      </c>
      <c r="B215" s="29"/>
      <c r="C215" s="29"/>
      <c r="D215" s="29"/>
      <c r="E215" s="29"/>
      <c r="F215" s="29">
        <v>2994</v>
      </c>
      <c r="G215" s="39"/>
      <c r="H215" s="40"/>
      <c r="I215" s="52"/>
      <c r="J215" s="53"/>
      <c r="K215" s="17"/>
      <c r="L215" s="39">
        <v>790</v>
      </c>
      <c r="M215" s="43">
        <v>718</v>
      </c>
      <c r="N215" s="45" t="s">
        <v>108</v>
      </c>
      <c r="O215" s="55">
        <v>24</v>
      </c>
      <c r="P215" s="56"/>
      <c r="Q215" s="74"/>
      <c r="R215" s="70">
        <v>40</v>
      </c>
      <c r="S215" s="19"/>
      <c r="T215" s="60"/>
      <c r="U215" s="59"/>
    </row>
    <row r="216" spans="1:21" ht="15" customHeight="1" x14ac:dyDescent="0.25">
      <c r="A216" s="1">
        <f t="shared" ca="1" si="11"/>
        <v>1667</v>
      </c>
      <c r="B216" s="29"/>
      <c r="C216" s="29"/>
      <c r="D216" s="29"/>
      <c r="E216" s="29"/>
      <c r="F216" s="29">
        <v>2995</v>
      </c>
      <c r="G216" s="39"/>
      <c r="H216" s="40"/>
      <c r="I216" s="52"/>
      <c r="J216" s="53"/>
      <c r="K216" s="17"/>
      <c r="L216" s="39">
        <v>810</v>
      </c>
      <c r="M216" s="43">
        <v>790</v>
      </c>
      <c r="N216" s="45" t="s">
        <v>108</v>
      </c>
      <c r="O216" s="55">
        <v>18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1668</v>
      </c>
      <c r="B217" s="29"/>
      <c r="C217" s="29"/>
      <c r="D217" s="29"/>
      <c r="E217" s="29"/>
      <c r="F217" s="29">
        <v>2995</v>
      </c>
      <c r="G217" s="39"/>
      <c r="H217" s="40"/>
      <c r="I217" s="52"/>
      <c r="J217" s="53"/>
      <c r="K217" s="17"/>
      <c r="L217" s="39">
        <v>808</v>
      </c>
      <c r="M217" s="43">
        <v>768</v>
      </c>
      <c r="N217" s="45" t="s">
        <v>108</v>
      </c>
      <c r="O217" s="55">
        <v>17</v>
      </c>
      <c r="P217" s="56"/>
      <c r="Q217" s="74"/>
      <c r="R217" s="70">
        <v>0</v>
      </c>
      <c r="S217" s="19"/>
      <c r="T217" s="60"/>
      <c r="U217" s="59"/>
    </row>
    <row r="218" spans="1:21" ht="15" customHeight="1" x14ac:dyDescent="0.25">
      <c r="A218" s="1">
        <f t="shared" ca="1" si="11"/>
        <v>1669</v>
      </c>
      <c r="B218" s="29"/>
      <c r="C218" s="29"/>
      <c r="D218" s="29"/>
      <c r="E218" s="29"/>
      <c r="F218" s="29">
        <v>2995</v>
      </c>
      <c r="G218" s="39"/>
      <c r="H218" s="40"/>
      <c r="I218" s="52"/>
      <c r="J218" s="53"/>
      <c r="K218" s="17"/>
      <c r="L218" s="39">
        <v>806</v>
      </c>
      <c r="M218" s="43">
        <v>772</v>
      </c>
      <c r="N218" s="45" t="s">
        <v>108</v>
      </c>
      <c r="O218" s="55">
        <v>17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1670</v>
      </c>
      <c r="B219" s="29"/>
      <c r="C219" s="29"/>
      <c r="D219" s="29"/>
      <c r="E219" s="29"/>
      <c r="F219" s="29">
        <v>2994</v>
      </c>
      <c r="G219" s="39"/>
      <c r="H219" s="40"/>
      <c r="I219" s="52"/>
      <c r="J219" s="53"/>
      <c r="K219" s="17"/>
      <c r="L219" s="39">
        <v>800</v>
      </c>
      <c r="M219" s="43">
        <v>760</v>
      </c>
      <c r="N219" s="45" t="s">
        <v>110</v>
      </c>
      <c r="O219" s="55">
        <v>15</v>
      </c>
      <c r="P219" s="56"/>
      <c r="Q219" s="74"/>
      <c r="R219" s="70">
        <v>1</v>
      </c>
      <c r="S219" s="19"/>
      <c r="T219" s="60"/>
      <c r="U219" s="59"/>
    </row>
    <row r="220" spans="1:21" ht="15" customHeight="1" x14ac:dyDescent="0.25">
      <c r="A220" s="1">
        <f t="shared" ca="1" si="11"/>
        <v>1671</v>
      </c>
      <c r="B220" s="29"/>
      <c r="C220" s="29"/>
      <c r="D220" s="29"/>
      <c r="E220" s="29"/>
      <c r="F220" s="29">
        <v>2994</v>
      </c>
      <c r="G220" s="39"/>
      <c r="H220" s="40"/>
      <c r="I220" s="52"/>
      <c r="J220" s="53"/>
      <c r="K220" s="17"/>
      <c r="L220" s="39">
        <v>802</v>
      </c>
      <c r="M220" s="43">
        <v>756</v>
      </c>
      <c r="N220" s="45" t="s">
        <v>108</v>
      </c>
      <c r="O220" s="55">
        <v>12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1672</v>
      </c>
      <c r="B221" s="29"/>
      <c r="C221" s="29"/>
      <c r="D221" s="29"/>
      <c r="E221" s="29"/>
      <c r="F221" s="29">
        <v>2996</v>
      </c>
      <c r="G221" s="39"/>
      <c r="H221" s="40"/>
      <c r="I221" s="52"/>
      <c r="J221" s="53"/>
      <c r="K221" s="17"/>
      <c r="L221" s="39">
        <v>811</v>
      </c>
      <c r="M221" s="43">
        <v>762</v>
      </c>
      <c r="N221" s="45" t="s">
        <v>108</v>
      </c>
      <c r="O221" s="55">
        <v>12</v>
      </c>
      <c r="P221" s="56"/>
      <c r="Q221" s="74"/>
      <c r="R221" s="70">
        <v>0</v>
      </c>
      <c r="S221" s="19"/>
      <c r="T221" s="60"/>
      <c r="U221" s="59"/>
    </row>
    <row r="222" spans="1:21" ht="15" customHeight="1" x14ac:dyDescent="0.25">
      <c r="A222" s="1">
        <f t="shared" ca="1" si="11"/>
        <v>1673</v>
      </c>
      <c r="B222" s="29"/>
      <c r="C222" s="29"/>
      <c r="D222" s="29"/>
      <c r="E222" s="29"/>
      <c r="F222" s="29">
        <v>2996</v>
      </c>
      <c r="G222" s="39"/>
      <c r="H222" s="40"/>
      <c r="I222" s="52"/>
      <c r="J222" s="53"/>
      <c r="K222" s="17"/>
      <c r="L222" s="39">
        <v>814</v>
      </c>
      <c r="M222" s="43">
        <v>789</v>
      </c>
      <c r="N222" s="45" t="s">
        <v>108</v>
      </c>
      <c r="O222" s="55">
        <v>19</v>
      </c>
      <c r="P222" s="56"/>
      <c r="Q222" s="74"/>
      <c r="R222" s="70">
        <v>0</v>
      </c>
      <c r="S222" s="19"/>
      <c r="T222" s="60"/>
      <c r="U222" s="59"/>
    </row>
    <row r="223" spans="1:21" ht="15" customHeight="1" x14ac:dyDescent="0.25">
      <c r="A223" s="1">
        <f t="shared" ca="1" si="11"/>
        <v>1674</v>
      </c>
      <c r="B223" s="29"/>
      <c r="C223" s="29"/>
      <c r="D223" s="29"/>
      <c r="E223" s="29"/>
      <c r="F223" s="29">
        <v>2997</v>
      </c>
      <c r="G223" s="39"/>
      <c r="H223" s="40"/>
      <c r="I223" s="52"/>
      <c r="J223" s="53"/>
      <c r="K223" s="17"/>
      <c r="L223" s="39">
        <v>805</v>
      </c>
      <c r="M223" s="43">
        <v>781</v>
      </c>
      <c r="N223" s="45" t="s">
        <v>108</v>
      </c>
      <c r="O223" s="55">
        <v>17</v>
      </c>
      <c r="P223" s="56"/>
      <c r="Q223" s="74"/>
      <c r="R223" s="70">
        <v>0</v>
      </c>
      <c r="S223" s="19"/>
      <c r="T223" s="60"/>
      <c r="U223" s="59"/>
    </row>
    <row r="224" spans="1:21" x14ac:dyDescent="0.25">
      <c r="A224" s="1" t="str">
        <f t="shared" ca="1" si="11"/>
        <v>Totaal</v>
      </c>
      <c r="B224" s="61" t="str">
        <f>IF(COUNT(B193:B223)&gt;0,AVERAGE(B193:B223)/10,"")</f>
        <v/>
      </c>
      <c r="C224" s="62" t="str">
        <f>IF(COUNT(C193:C223)&gt;0,AVERAGE(C193:C223)/1000,"")</f>
        <v/>
      </c>
      <c r="D224" s="62" t="str">
        <f t="shared" ref="D224" si="12">IF(COUNT(D193:D223)&gt;0,AVERAGE(D193:D223)/1000,"")</f>
        <v/>
      </c>
      <c r="E224" s="62" t="str">
        <f t="shared" ref="E224" si="13">IF(COUNT(E193:E223)&gt;0,AVERAGE(E193:E223)/1000,"")</f>
        <v/>
      </c>
      <c r="F224" s="62">
        <f>IF(COUNT(F193:F223)&gt;0,AVERAGE(F193:F223)/100,"")</f>
        <v>29.955161290322579</v>
      </c>
      <c r="G224" s="41" t="str">
        <f>IF(COUNT(G193:G223)&gt;0,AVERAGE(G193:G223)/10,"")</f>
        <v/>
      </c>
      <c r="H224" s="42" t="str">
        <f t="shared" ref="H224" si="14">IF(COUNT(H193:H223)&gt;0,AVERAGE(H193:H223)/10,"")</f>
        <v/>
      </c>
      <c r="I224" s="18" t="str">
        <f>IF(COUNT(I193:I223)&gt;0,AVERAGE(I193:I223)/10,"")</f>
        <v/>
      </c>
      <c r="J224" s="54" t="str">
        <f>IF(COUNT(J193:J223)&gt;0,AVERAGE(J193:J223),"")</f>
        <v/>
      </c>
      <c r="K224" s="51" t="str">
        <f>IF(COUNT(K193:K223)&gt;0,AVERAGE(K193:K223)/1000,"")</f>
        <v/>
      </c>
      <c r="L224" s="41">
        <f>IF(COUNT(L193:L223)&gt;0,AVERAGE(L193:L223)/10,"")</f>
        <v>80.2</v>
      </c>
      <c r="M224" s="44">
        <f>IF(COUNT(M193:M223)&gt;0,AVERAGE(M193:M223)/10,"")</f>
        <v>76.017857142857139</v>
      </c>
      <c r="N224" s="46"/>
      <c r="O224" s="57">
        <f>IF(COUNT(O193:O223)&gt;0,AVERAGE(O193:O223),"")</f>
        <v>15.451612903225806</v>
      </c>
      <c r="P224" s="58" t="str">
        <f>IF(COUNT(P193:P223)&gt;0,AVERAGE(P193:P223),"")</f>
        <v/>
      </c>
      <c r="Q224" s="47"/>
      <c r="R224" s="68">
        <f>IF(COUNT(R193:R223)&gt;0,SUM(R193:R223)/100,"")</f>
        <v>1.36</v>
      </c>
      <c r="S224" s="64" t="str">
        <f>IF(COUNT(S193:S223)&gt;0,AVERAGE(S193:S223),"")</f>
        <v/>
      </c>
      <c r="T224" s="65" t="str">
        <f>IF(COUNT(T193:T223)&gt;0,AVERAGE(T193:T223),"")</f>
        <v/>
      </c>
      <c r="U224" s="66" t="str">
        <f>IF(COUNT(U193:U223)&gt;0,AVERAGE(U193:U223),"")</f>
        <v/>
      </c>
    </row>
    <row r="225" spans="1:21" ht="15" customHeight="1" x14ac:dyDescent="0.25">
      <c r="A225" s="1">
        <f t="shared" ca="1" si="11"/>
        <v>1675</v>
      </c>
      <c r="B225" s="29"/>
      <c r="C225" s="29"/>
      <c r="D225" s="29"/>
      <c r="E225" s="29"/>
      <c r="F225" s="29">
        <v>2996</v>
      </c>
      <c r="G225" s="39"/>
      <c r="H225" s="40"/>
      <c r="I225" s="52"/>
      <c r="J225" s="53"/>
      <c r="K225" s="17"/>
      <c r="L225" s="39">
        <v>816</v>
      </c>
      <c r="M225" s="43">
        <v>783</v>
      </c>
      <c r="N225" s="45" t="s">
        <v>108</v>
      </c>
      <c r="O225" s="55">
        <v>18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1676</v>
      </c>
      <c r="B226" s="29"/>
      <c r="C226" s="29"/>
      <c r="D226" s="29"/>
      <c r="E226" s="29"/>
      <c r="F226" s="29">
        <v>2997</v>
      </c>
      <c r="G226" s="39"/>
      <c r="H226" s="40"/>
      <c r="I226" s="52"/>
      <c r="J226" s="53"/>
      <c r="K226" s="17"/>
      <c r="L226" s="39">
        <v>819</v>
      </c>
      <c r="M226" s="43">
        <v>799</v>
      </c>
      <c r="N226" s="45" t="s">
        <v>108</v>
      </c>
      <c r="O226" s="55">
        <v>18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1677</v>
      </c>
      <c r="B227" s="29"/>
      <c r="C227" s="29"/>
      <c r="D227" s="29"/>
      <c r="E227" s="29"/>
      <c r="F227" s="29">
        <v>2997</v>
      </c>
      <c r="G227" s="39"/>
      <c r="H227" s="40"/>
      <c r="I227" s="52"/>
      <c r="J227" s="53"/>
      <c r="K227" s="17"/>
      <c r="L227" s="39">
        <v>814</v>
      </c>
      <c r="M227" s="43">
        <v>771</v>
      </c>
      <c r="N227" s="45" t="s">
        <v>108</v>
      </c>
      <c r="O227" s="55">
        <v>15</v>
      </c>
      <c r="P227" s="56"/>
      <c r="Q227" s="74"/>
      <c r="R227" s="70" t="s">
        <v>7</v>
      </c>
      <c r="S227" s="19"/>
      <c r="T227" s="60"/>
      <c r="U227" s="59"/>
    </row>
    <row r="228" spans="1:21" ht="15" customHeight="1" x14ac:dyDescent="0.25">
      <c r="A228" s="1">
        <f t="shared" ca="1" si="11"/>
        <v>1678</v>
      </c>
      <c r="B228" s="29"/>
      <c r="C228" s="29"/>
      <c r="D228" s="29"/>
      <c r="E228" s="29"/>
      <c r="F228" s="29">
        <v>3001</v>
      </c>
      <c r="G228" s="39"/>
      <c r="H228" s="40"/>
      <c r="I228" s="52"/>
      <c r="J228" s="53"/>
      <c r="K228" s="17"/>
      <c r="L228" s="39">
        <v>814</v>
      </c>
      <c r="M228" s="43">
        <v>752</v>
      </c>
      <c r="N228" s="45" t="s">
        <v>108</v>
      </c>
      <c r="O228" s="55">
        <v>18</v>
      </c>
      <c r="P228" s="56"/>
      <c r="Q228" s="74"/>
      <c r="R228" s="70">
        <v>2</v>
      </c>
      <c r="S228" s="19"/>
      <c r="T228" s="60"/>
      <c r="U228" s="59"/>
    </row>
    <row r="229" spans="1:21" ht="15" customHeight="1" x14ac:dyDescent="0.25">
      <c r="A229" s="1">
        <f t="shared" ca="1" si="11"/>
        <v>1679</v>
      </c>
      <c r="B229" s="29"/>
      <c r="C229" s="29"/>
      <c r="D229" s="29"/>
      <c r="E229" s="29"/>
      <c r="F229" s="29">
        <v>2998</v>
      </c>
      <c r="G229" s="39"/>
      <c r="H229" s="40"/>
      <c r="I229" s="52"/>
      <c r="J229" s="53"/>
      <c r="K229" s="17"/>
      <c r="L229" s="39">
        <v>803</v>
      </c>
      <c r="M229" s="43">
        <v>719</v>
      </c>
      <c r="N229" s="45" t="s">
        <v>108</v>
      </c>
      <c r="O229" s="55">
        <v>14</v>
      </c>
      <c r="P229" s="56"/>
      <c r="Q229" s="74"/>
      <c r="R229" s="70">
        <v>1</v>
      </c>
      <c r="S229" s="19"/>
      <c r="T229" s="60"/>
      <c r="U229" s="59"/>
    </row>
    <row r="230" spans="1:21" ht="15" customHeight="1" x14ac:dyDescent="0.25">
      <c r="A230" s="1">
        <f t="shared" ca="1" si="11"/>
        <v>1680</v>
      </c>
      <c r="B230" s="29"/>
      <c r="C230" s="29"/>
      <c r="D230" s="29"/>
      <c r="E230" s="29"/>
      <c r="F230" s="29">
        <v>2994</v>
      </c>
      <c r="G230" s="39"/>
      <c r="H230" s="40"/>
      <c r="I230" s="52"/>
      <c r="J230" s="53"/>
      <c r="K230" s="17"/>
      <c r="L230" s="39">
        <v>805</v>
      </c>
      <c r="M230" s="43">
        <v>752</v>
      </c>
      <c r="N230" s="45" t="s">
        <v>110</v>
      </c>
      <c r="O230" s="55">
        <v>12</v>
      </c>
      <c r="P230" s="56"/>
      <c r="Q230" s="74"/>
      <c r="R230" s="70">
        <v>1</v>
      </c>
      <c r="S230" s="19"/>
      <c r="T230" s="60"/>
      <c r="U230" s="59"/>
    </row>
    <row r="231" spans="1:21" ht="15" customHeight="1" x14ac:dyDescent="0.25">
      <c r="A231" s="1">
        <f t="shared" ca="1" si="11"/>
        <v>1681</v>
      </c>
      <c r="B231" s="29"/>
      <c r="C231" s="29"/>
      <c r="D231" s="29"/>
      <c r="E231" s="29"/>
      <c r="F231" s="29">
        <v>2996</v>
      </c>
      <c r="G231" s="39"/>
      <c r="H231" s="40"/>
      <c r="I231" s="52"/>
      <c r="J231" s="53"/>
      <c r="K231" s="17"/>
      <c r="L231" s="39">
        <v>808</v>
      </c>
      <c r="M231" s="43">
        <v>739</v>
      </c>
      <c r="N231" s="45" t="s">
        <v>108</v>
      </c>
      <c r="O231" s="55">
        <v>13</v>
      </c>
      <c r="P231" s="56"/>
      <c r="Q231" s="74"/>
      <c r="R231" s="70">
        <v>10</v>
      </c>
      <c r="S231" s="19"/>
      <c r="T231" s="60"/>
      <c r="U231" s="59"/>
    </row>
    <row r="232" spans="1:21" ht="15" customHeight="1" x14ac:dyDescent="0.25">
      <c r="A232" s="1">
        <f t="shared" ca="1" si="11"/>
        <v>1682</v>
      </c>
      <c r="B232" s="29"/>
      <c r="C232" s="29"/>
      <c r="D232" s="29"/>
      <c r="E232" s="29"/>
      <c r="F232" s="29">
        <v>2999</v>
      </c>
      <c r="G232" s="39"/>
      <c r="H232" s="40"/>
      <c r="I232" s="52"/>
      <c r="J232" s="53"/>
      <c r="K232" s="17"/>
      <c r="L232" s="39">
        <v>811</v>
      </c>
      <c r="M232" s="43">
        <v>761</v>
      </c>
      <c r="N232" s="45" t="s">
        <v>108</v>
      </c>
      <c r="O232" s="55">
        <v>17</v>
      </c>
      <c r="P232" s="56"/>
      <c r="Q232" s="74"/>
      <c r="R232" s="70">
        <v>2</v>
      </c>
      <c r="S232" s="19"/>
      <c r="T232" s="60"/>
      <c r="U232" s="59"/>
    </row>
    <row r="233" spans="1:21" ht="15" customHeight="1" x14ac:dyDescent="0.25">
      <c r="A233" s="1">
        <f t="shared" ca="1" si="11"/>
        <v>1683</v>
      </c>
      <c r="B233" s="29"/>
      <c r="C233" s="29"/>
      <c r="D233" s="29"/>
      <c r="E233" s="29"/>
      <c r="F233" s="29">
        <v>2999</v>
      </c>
      <c r="G233" s="39"/>
      <c r="H233" s="40"/>
      <c r="I233" s="52"/>
      <c r="J233" s="53"/>
      <c r="K233" s="17"/>
      <c r="L233" s="39">
        <v>817</v>
      </c>
      <c r="M233" s="43">
        <v>775</v>
      </c>
      <c r="N233" s="45" t="s">
        <v>108</v>
      </c>
      <c r="O233" s="55">
        <v>12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1684</v>
      </c>
      <c r="B234" s="29"/>
      <c r="C234" s="29"/>
      <c r="D234" s="29"/>
      <c r="E234" s="29"/>
      <c r="F234" s="29">
        <v>2994</v>
      </c>
      <c r="G234" s="39"/>
      <c r="H234" s="40"/>
      <c r="I234" s="52"/>
      <c r="J234" s="53"/>
      <c r="K234" s="17"/>
      <c r="L234" s="39">
        <v>816</v>
      </c>
      <c r="M234" s="43">
        <v>778</v>
      </c>
      <c r="N234" s="45" t="s">
        <v>108</v>
      </c>
      <c r="O234" s="55">
        <v>14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1685</v>
      </c>
      <c r="B235" s="29"/>
      <c r="C235" s="29"/>
      <c r="D235" s="29"/>
      <c r="E235" s="29"/>
      <c r="F235" s="29">
        <v>2992</v>
      </c>
      <c r="G235" s="39"/>
      <c r="H235" s="40"/>
      <c r="I235" s="52"/>
      <c r="J235" s="53"/>
      <c r="K235" s="17"/>
      <c r="L235" s="39">
        <v>824</v>
      </c>
      <c r="M235" s="43">
        <v>776</v>
      </c>
      <c r="N235" s="45" t="s">
        <v>108</v>
      </c>
      <c r="O235" s="55">
        <v>13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1686</v>
      </c>
      <c r="B236" s="29"/>
      <c r="C236" s="29"/>
      <c r="D236" s="29"/>
      <c r="E236" s="29"/>
      <c r="F236" s="29">
        <v>2995</v>
      </c>
      <c r="G236" s="39"/>
      <c r="H236" s="40"/>
      <c r="I236" s="52"/>
      <c r="J236" s="53"/>
      <c r="K236" s="17"/>
      <c r="L236" s="39">
        <v>823</v>
      </c>
      <c r="M236" s="43">
        <v>779</v>
      </c>
      <c r="N236" s="45" t="s">
        <v>108</v>
      </c>
      <c r="O236" s="55">
        <v>16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1687</v>
      </c>
      <c r="B237" s="29"/>
      <c r="C237" s="29"/>
      <c r="D237" s="29"/>
      <c r="E237" s="29"/>
      <c r="F237" s="29">
        <v>2999</v>
      </c>
      <c r="G237" s="39"/>
      <c r="H237" s="40"/>
      <c r="I237" s="52"/>
      <c r="J237" s="53"/>
      <c r="K237" s="17"/>
      <c r="L237" s="39">
        <v>831</v>
      </c>
      <c r="M237" s="43">
        <v>780</v>
      </c>
      <c r="N237" s="45" t="s">
        <v>108</v>
      </c>
      <c r="O237" s="55">
        <v>13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1688</v>
      </c>
      <c r="B238" s="29"/>
      <c r="C238" s="29"/>
      <c r="D238" s="29"/>
      <c r="E238" s="29"/>
      <c r="F238" s="29">
        <v>2998</v>
      </c>
      <c r="G238" s="39"/>
      <c r="H238" s="40"/>
      <c r="I238" s="52"/>
      <c r="J238" s="53"/>
      <c r="K238" s="17"/>
      <c r="L238" s="39">
        <v>829</v>
      </c>
      <c r="M238" s="43">
        <v>780</v>
      </c>
      <c r="N238" s="45" t="s">
        <v>110</v>
      </c>
      <c r="O238" s="55">
        <v>14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1689</v>
      </c>
      <c r="B239" s="29"/>
      <c r="C239" s="29"/>
      <c r="D239" s="29"/>
      <c r="E239" s="29"/>
      <c r="F239" s="29">
        <v>2994</v>
      </c>
      <c r="G239" s="39"/>
      <c r="H239" s="40"/>
      <c r="I239" s="52"/>
      <c r="J239" s="53"/>
      <c r="K239" s="17"/>
      <c r="L239" s="39">
        <v>825</v>
      </c>
      <c r="M239" s="43">
        <v>780</v>
      </c>
      <c r="N239" s="45" t="s">
        <v>108</v>
      </c>
      <c r="O239" s="55">
        <v>13</v>
      </c>
      <c r="P239" s="56"/>
      <c r="Q239" s="74"/>
      <c r="R239" s="70">
        <v>0</v>
      </c>
      <c r="S239" s="19"/>
      <c r="T239" s="60"/>
      <c r="U239" s="59"/>
    </row>
    <row r="240" spans="1:21" ht="15" customHeight="1" x14ac:dyDescent="0.25">
      <c r="A240" s="1">
        <f t="shared" ca="1" si="11"/>
        <v>1690</v>
      </c>
      <c r="B240" s="29"/>
      <c r="C240" s="29"/>
      <c r="D240" s="29"/>
      <c r="E240" s="29"/>
      <c r="F240" s="29">
        <v>2996</v>
      </c>
      <c r="G240" s="39"/>
      <c r="H240" s="40"/>
      <c r="I240" s="52"/>
      <c r="J240" s="53"/>
      <c r="K240" s="17"/>
      <c r="L240" s="39">
        <v>824</v>
      </c>
      <c r="M240" s="43">
        <v>781</v>
      </c>
      <c r="N240" s="45" t="s">
        <v>108</v>
      </c>
      <c r="O240" s="55">
        <v>15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1691</v>
      </c>
      <c r="B241" s="29"/>
      <c r="C241" s="29"/>
      <c r="D241" s="29"/>
      <c r="E241" s="29"/>
      <c r="F241" s="29">
        <v>2993</v>
      </c>
      <c r="G241" s="39"/>
      <c r="H241" s="40"/>
      <c r="I241" s="52"/>
      <c r="J241" s="53"/>
      <c r="K241" s="17"/>
      <c r="L241" s="39">
        <v>820</v>
      </c>
      <c r="M241" s="43">
        <v>780</v>
      </c>
      <c r="N241" s="45" t="s">
        <v>108</v>
      </c>
      <c r="O241" s="55">
        <v>13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1692</v>
      </c>
      <c r="B242" s="29"/>
      <c r="C242" s="29"/>
      <c r="D242" s="29"/>
      <c r="E242" s="29"/>
      <c r="F242" s="29">
        <v>2991</v>
      </c>
      <c r="G242" s="39"/>
      <c r="H242" s="40"/>
      <c r="I242" s="52"/>
      <c r="J242" s="53"/>
      <c r="K242" s="17"/>
      <c r="L242" s="39">
        <v>810</v>
      </c>
      <c r="M242" s="43">
        <v>749</v>
      </c>
      <c r="N242" s="45" t="s">
        <v>110</v>
      </c>
      <c r="O242" s="55">
        <v>6</v>
      </c>
      <c r="P242" s="56"/>
      <c r="Q242" s="74"/>
      <c r="R242" s="70">
        <v>2</v>
      </c>
      <c r="S242" s="19"/>
      <c r="T242" s="60"/>
      <c r="U242" s="59"/>
    </row>
    <row r="243" spans="1:21" ht="15" customHeight="1" x14ac:dyDescent="0.25">
      <c r="A243" s="1">
        <f t="shared" ca="1" si="11"/>
        <v>1693</v>
      </c>
      <c r="B243" s="29"/>
      <c r="C243" s="29"/>
      <c r="D243" s="29"/>
      <c r="E243" s="29"/>
      <c r="F243" s="29">
        <v>2992</v>
      </c>
      <c r="G243" s="39"/>
      <c r="H243" s="40"/>
      <c r="I243" s="52"/>
      <c r="J243" s="53"/>
      <c r="K243" s="17"/>
      <c r="L243" s="39">
        <v>814</v>
      </c>
      <c r="M243" s="43">
        <v>770</v>
      </c>
      <c r="N243" s="45" t="s">
        <v>110</v>
      </c>
      <c r="O243" s="55">
        <v>16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1694</v>
      </c>
      <c r="B244" s="29"/>
      <c r="C244" s="29"/>
      <c r="D244" s="29"/>
      <c r="E244" s="29"/>
      <c r="F244" s="29">
        <v>2992</v>
      </c>
      <c r="G244" s="39"/>
      <c r="H244" s="40"/>
      <c r="I244" s="52"/>
      <c r="J244" s="53"/>
      <c r="K244" s="17"/>
      <c r="L244" s="39">
        <v>820</v>
      </c>
      <c r="M244" s="43">
        <v>765</v>
      </c>
      <c r="N244" s="45" t="s">
        <v>108</v>
      </c>
      <c r="O244" s="55">
        <v>12</v>
      </c>
      <c r="P244" s="56"/>
      <c r="Q244" s="74"/>
      <c r="R244" s="70">
        <v>2</v>
      </c>
      <c r="S244" s="19"/>
      <c r="T244" s="60"/>
      <c r="U244" s="59"/>
    </row>
    <row r="245" spans="1:21" ht="15" customHeight="1" x14ac:dyDescent="0.25">
      <c r="A245" s="1">
        <f t="shared" ca="1" si="11"/>
        <v>1695</v>
      </c>
      <c r="B245" s="29"/>
      <c r="C245" s="29"/>
      <c r="D245" s="29"/>
      <c r="E245" s="29"/>
      <c r="F245" s="29">
        <v>2991</v>
      </c>
      <c r="G245" s="39"/>
      <c r="H245" s="40"/>
      <c r="I245" s="52"/>
      <c r="J245" s="53"/>
      <c r="K245" s="17"/>
      <c r="L245" s="39">
        <v>820</v>
      </c>
      <c r="M245" s="43">
        <v>781</v>
      </c>
      <c r="N245" s="45" t="s">
        <v>108</v>
      </c>
      <c r="O245" s="55">
        <v>13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1696</v>
      </c>
      <c r="B246" s="29"/>
      <c r="C246" s="29"/>
      <c r="D246" s="29"/>
      <c r="E246" s="29"/>
      <c r="F246" s="29">
        <v>2992</v>
      </c>
      <c r="G246" s="39"/>
      <c r="H246" s="40"/>
      <c r="I246" s="52"/>
      <c r="J246" s="53"/>
      <c r="K246" s="17"/>
      <c r="L246" s="39">
        <v>808</v>
      </c>
      <c r="M246" s="43">
        <v>700</v>
      </c>
      <c r="N246" s="45" t="s">
        <v>108</v>
      </c>
      <c r="O246" s="55">
        <v>18</v>
      </c>
      <c r="P246" s="56"/>
      <c r="Q246" s="74"/>
      <c r="R246" s="70">
        <v>90</v>
      </c>
      <c r="S246" s="19"/>
      <c r="T246" s="60"/>
      <c r="U246" s="59"/>
    </row>
    <row r="247" spans="1:21" ht="15" customHeight="1" x14ac:dyDescent="0.25">
      <c r="A247" s="1">
        <f t="shared" ca="1" si="11"/>
        <v>1697</v>
      </c>
      <c r="B247" s="29"/>
      <c r="C247" s="29"/>
      <c r="D247" s="29"/>
      <c r="E247" s="29"/>
      <c r="F247" s="29">
        <v>2993</v>
      </c>
      <c r="G247" s="39"/>
      <c r="H247" s="40"/>
      <c r="I247" s="52"/>
      <c r="J247" s="53"/>
      <c r="K247" s="17"/>
      <c r="L247" s="39">
        <v>811</v>
      </c>
      <c r="M247" s="43">
        <v>773</v>
      </c>
      <c r="N247" s="45" t="s">
        <v>108</v>
      </c>
      <c r="O247" s="55">
        <v>12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1698</v>
      </c>
      <c r="B248" s="29"/>
      <c r="C248" s="29"/>
      <c r="D248" s="29"/>
      <c r="E248" s="29"/>
      <c r="F248" s="29">
        <v>2992</v>
      </c>
      <c r="G248" s="39"/>
      <c r="H248" s="40"/>
      <c r="I248" s="52"/>
      <c r="J248" s="53"/>
      <c r="K248" s="17"/>
      <c r="L248" s="39">
        <v>809</v>
      </c>
      <c r="M248" s="43">
        <v>774</v>
      </c>
      <c r="N248" s="45" t="s">
        <v>108</v>
      </c>
      <c r="O248" s="55">
        <v>13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1699</v>
      </c>
      <c r="B249" s="29"/>
      <c r="C249" s="29"/>
      <c r="D249" s="29"/>
      <c r="E249" s="29"/>
      <c r="F249" s="29">
        <v>2994</v>
      </c>
      <c r="G249" s="39"/>
      <c r="H249" s="40"/>
      <c r="I249" s="52"/>
      <c r="J249" s="53"/>
      <c r="K249" s="17"/>
      <c r="L249" s="39">
        <v>810</v>
      </c>
      <c r="M249" s="43">
        <v>770</v>
      </c>
      <c r="N249" s="45" t="s">
        <v>108</v>
      </c>
      <c r="O249" s="55">
        <v>12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1700</v>
      </c>
      <c r="B250" s="29"/>
      <c r="C250" s="29"/>
      <c r="D250" s="29"/>
      <c r="E250" s="29"/>
      <c r="F250" s="29">
        <v>2993</v>
      </c>
      <c r="G250" s="39"/>
      <c r="H250" s="40"/>
      <c r="I250" s="52"/>
      <c r="J250" s="53"/>
      <c r="K250" s="17"/>
      <c r="L250" s="39">
        <v>820</v>
      </c>
      <c r="M250" s="43">
        <v>776</v>
      </c>
      <c r="N250" s="45" t="s">
        <v>108</v>
      </c>
      <c r="O250" s="55">
        <v>12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1701</v>
      </c>
      <c r="B251" s="29"/>
      <c r="C251" s="29"/>
      <c r="D251" s="29"/>
      <c r="E251" s="29"/>
      <c r="F251" s="29">
        <v>2995</v>
      </c>
      <c r="G251" s="39"/>
      <c r="H251" s="40"/>
      <c r="I251" s="52"/>
      <c r="J251" s="53"/>
      <c r="K251" s="17"/>
      <c r="L251" s="39">
        <v>820</v>
      </c>
      <c r="M251" s="43">
        <v>757</v>
      </c>
      <c r="N251" s="45" t="s">
        <v>108</v>
      </c>
      <c r="O251" s="55">
        <v>15</v>
      </c>
      <c r="P251" s="56"/>
      <c r="Q251" s="74"/>
      <c r="R251" s="70">
        <v>1</v>
      </c>
      <c r="S251" s="19"/>
      <c r="T251" s="60"/>
      <c r="U251" s="59"/>
    </row>
    <row r="252" spans="1:21" ht="15" customHeight="1" x14ac:dyDescent="0.25">
      <c r="A252" s="1">
        <f t="shared" ca="1" si="11"/>
        <v>1702</v>
      </c>
      <c r="B252" s="29"/>
      <c r="C252" s="29"/>
      <c r="D252" s="29"/>
      <c r="E252" s="29"/>
      <c r="F252" s="29">
        <v>2994</v>
      </c>
      <c r="G252" s="39"/>
      <c r="H252" s="40"/>
      <c r="I252" s="52"/>
      <c r="J252" s="53"/>
      <c r="K252" s="17"/>
      <c r="L252" s="39">
        <v>820</v>
      </c>
      <c r="M252" s="43">
        <v>782</v>
      </c>
      <c r="N252" s="45" t="s">
        <v>110</v>
      </c>
      <c r="O252" s="55">
        <v>15</v>
      </c>
      <c r="P252" s="56"/>
      <c r="Q252" s="74"/>
      <c r="R252" s="70">
        <v>0</v>
      </c>
      <c r="S252" s="19"/>
      <c r="T252" s="60"/>
      <c r="U252" s="59"/>
    </row>
    <row r="253" spans="1:21" ht="15" customHeight="1" x14ac:dyDescent="0.25">
      <c r="A253" s="1">
        <f t="shared" ca="1" si="11"/>
        <v>1703</v>
      </c>
      <c r="B253" s="29"/>
      <c r="C253" s="29"/>
      <c r="D253" s="29"/>
      <c r="E253" s="29"/>
      <c r="F253" s="29">
        <v>2993</v>
      </c>
      <c r="G253" s="39"/>
      <c r="H253" s="40"/>
      <c r="I253" s="52"/>
      <c r="J253" s="53"/>
      <c r="K253" s="17"/>
      <c r="L253" s="39">
        <v>823</v>
      </c>
      <c r="M253" s="43">
        <v>776</v>
      </c>
      <c r="N253" s="45" t="s">
        <v>108</v>
      </c>
      <c r="O253" s="55">
        <v>12</v>
      </c>
      <c r="P253" s="56"/>
      <c r="Q253" s="74"/>
      <c r="R253" s="70" t="s">
        <v>7</v>
      </c>
      <c r="S253" s="19"/>
      <c r="T253" s="60"/>
      <c r="U253" s="59"/>
    </row>
    <row r="254" spans="1:21" ht="15" customHeight="1" x14ac:dyDescent="0.25">
      <c r="A254" s="1">
        <f t="shared" ca="1" si="11"/>
        <v>1704</v>
      </c>
      <c r="B254" s="29"/>
      <c r="C254" s="29"/>
      <c r="D254" s="29"/>
      <c r="E254" s="29"/>
      <c r="F254" s="29">
        <v>2992</v>
      </c>
      <c r="G254" s="39"/>
      <c r="H254" s="40"/>
      <c r="I254" s="52"/>
      <c r="J254" s="53"/>
      <c r="K254" s="17"/>
      <c r="L254" s="39">
        <v>807</v>
      </c>
      <c r="M254" s="43">
        <v>782</v>
      </c>
      <c r="N254" s="45" t="s">
        <v>108</v>
      </c>
      <c r="O254" s="55">
        <v>14</v>
      </c>
      <c r="P254" s="56"/>
      <c r="Q254" s="74"/>
      <c r="R254" s="70">
        <v>0</v>
      </c>
      <c r="S254" s="19"/>
      <c r="T254" s="60"/>
      <c r="U254" s="59"/>
    </row>
    <row r="255" spans="1:21" ht="15" customHeight="1" x14ac:dyDescent="0.25">
      <c r="A255" s="1">
        <f t="shared" ca="1" si="11"/>
        <v>1705</v>
      </c>
      <c r="B255" s="29"/>
      <c r="C255" s="29"/>
      <c r="D255" s="29"/>
      <c r="E255" s="29"/>
      <c r="F255" s="29">
        <v>2992</v>
      </c>
      <c r="G255" s="39"/>
      <c r="H255" s="40"/>
      <c r="I255" s="52"/>
      <c r="J255" s="53"/>
      <c r="K255" s="17"/>
      <c r="L255" s="39">
        <v>814</v>
      </c>
      <c r="M255" s="43">
        <v>761</v>
      </c>
      <c r="N255" s="45" t="s">
        <v>108</v>
      </c>
      <c r="O255" s="55">
        <v>11</v>
      </c>
      <c r="P255" s="56"/>
      <c r="Q255" s="74"/>
      <c r="R255" s="70">
        <v>1</v>
      </c>
      <c r="S255" s="19"/>
      <c r="T255" s="60"/>
      <c r="U255" s="59"/>
    </row>
    <row r="256" spans="1:21" x14ac:dyDescent="0.25">
      <c r="A256" s="1" t="str">
        <f t="shared" ca="1" si="11"/>
        <v>Totaal</v>
      </c>
      <c r="B256" s="61" t="str">
        <f>IF(COUNT(B225:B255)&gt;0,AVERAGE(B225:B255)/10,"")</f>
        <v/>
      </c>
      <c r="C256" s="62" t="str">
        <f>IF(COUNT(C225:C255)&gt;0,AVERAGE(C225:C255)/1000,"")</f>
        <v/>
      </c>
      <c r="D256" s="62" t="str">
        <f t="shared" ref="D256" si="15">IF(COUNT(D225:D255)&gt;0,AVERAGE(D225:D255)/1000,"")</f>
        <v/>
      </c>
      <c r="E256" s="62" t="str">
        <f t="shared" ref="E256" si="16">IF(COUNT(E225:E255)&gt;0,AVERAGE(E225:E255)/1000,"")</f>
        <v/>
      </c>
      <c r="F256" s="62">
        <f>IF(COUNT(F225:F255)&gt;0,AVERAGE(F225:F255)/100,"")</f>
        <v>29.946451612903225</v>
      </c>
      <c r="G256" s="41" t="str">
        <f>IF(COUNT(G225:G255)&gt;0,AVERAGE(G225:G255)/10,"")</f>
        <v/>
      </c>
      <c r="H256" s="42" t="str">
        <f t="shared" ref="H256" si="17">IF(COUNT(H225:H255)&gt;0,AVERAGE(H225:H255)/10,"")</f>
        <v/>
      </c>
      <c r="I256" s="18" t="str">
        <f>IF(COUNT(I225:I255)&gt;0,AVERAGE(I225:I255)/10,"")</f>
        <v/>
      </c>
      <c r="J256" s="54" t="str">
        <f>IF(COUNT(J225:J255)&gt;0,AVERAGE(J225:J255),"")</f>
        <v/>
      </c>
      <c r="K256" s="51" t="str">
        <f>IF(COUNT(K225:K255)&gt;0,AVERAGE(K225:K255)/1000,"")</f>
        <v/>
      </c>
      <c r="L256" s="41">
        <f>IF(COUNT(L225:L255)&gt;0,AVERAGE(L225:L255)/10,"")</f>
        <v>81.629032258064512</v>
      </c>
      <c r="M256" s="44">
        <f>IF(COUNT(M225:M255)&gt;0,AVERAGE(M225:M255)/10,"")</f>
        <v>76.777419354838713</v>
      </c>
      <c r="N256" s="46"/>
      <c r="O256" s="57">
        <f>IF(COUNT(O225:O255)&gt;0,AVERAGE(O225:O255),"")</f>
        <v>13.838709677419354</v>
      </c>
      <c r="P256" s="58" t="str">
        <f>IF(COUNT(P225:P255)&gt;0,AVERAGE(P225:P255),"")</f>
        <v/>
      </c>
      <c r="Q256" s="47"/>
      <c r="R256" s="68">
        <f>IF(COUNT(R225:R255)&gt;0,SUM(R225:R255)/100,"")</f>
        <v>1.1200000000000001</v>
      </c>
      <c r="S256" s="64" t="str">
        <f>IF(COUNT(S225:S255)&gt;0,AVERAGE(S225:S255),"")</f>
        <v/>
      </c>
      <c r="T256" s="65" t="str">
        <f>IF(COUNT(T225:T255)&gt;0,AVERAGE(T225:T255),"")</f>
        <v/>
      </c>
      <c r="U256" s="66" t="str">
        <f>IF(COUNT(U225:U255)&gt;0,AVERAGE(U225:U255),"")</f>
        <v/>
      </c>
    </row>
    <row r="257" spans="1:21" ht="15" customHeight="1" x14ac:dyDescent="0.25">
      <c r="A257" s="1">
        <f t="shared" ca="1" si="11"/>
        <v>1706</v>
      </c>
      <c r="B257" s="29"/>
      <c r="C257" s="29"/>
      <c r="D257" s="29"/>
      <c r="E257" s="29"/>
      <c r="F257" s="29">
        <v>2994</v>
      </c>
      <c r="G257" s="39"/>
      <c r="H257" s="40"/>
      <c r="I257" s="52"/>
      <c r="J257" s="53"/>
      <c r="K257" s="17"/>
      <c r="L257" s="39">
        <v>820</v>
      </c>
      <c r="M257" s="43">
        <v>782</v>
      </c>
      <c r="N257" s="45" t="s">
        <v>108</v>
      </c>
      <c r="O257" s="55">
        <v>12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1707</v>
      </c>
      <c r="B258" s="29"/>
      <c r="C258" s="29"/>
      <c r="D258" s="29"/>
      <c r="E258" s="29"/>
      <c r="F258" s="29">
        <v>2992</v>
      </c>
      <c r="G258" s="39"/>
      <c r="H258" s="40"/>
      <c r="I258" s="52"/>
      <c r="J258" s="53"/>
      <c r="K258" s="17"/>
      <c r="L258" s="39">
        <v>820</v>
      </c>
      <c r="M258" s="43">
        <v>775</v>
      </c>
      <c r="N258" s="45" t="s">
        <v>108</v>
      </c>
      <c r="O258" s="55">
        <v>11</v>
      </c>
      <c r="P258" s="56"/>
      <c r="Q258" s="74"/>
      <c r="R258" s="70" t="s">
        <v>7</v>
      </c>
      <c r="S258" s="19"/>
      <c r="T258" s="60"/>
      <c r="U258" s="59"/>
    </row>
    <row r="259" spans="1:21" ht="15" customHeight="1" x14ac:dyDescent="0.25">
      <c r="A259" s="1">
        <f t="shared" ca="1" si="11"/>
        <v>1708</v>
      </c>
      <c r="B259" s="29"/>
      <c r="C259" s="29"/>
      <c r="D259" s="29"/>
      <c r="E259" s="29"/>
      <c r="F259" s="29">
        <v>2990</v>
      </c>
      <c r="G259" s="39"/>
      <c r="H259" s="40"/>
      <c r="I259" s="52"/>
      <c r="J259" s="53"/>
      <c r="K259" s="17"/>
      <c r="L259" s="39">
        <v>820</v>
      </c>
      <c r="M259" s="43">
        <v>750</v>
      </c>
      <c r="N259" s="45" t="s">
        <v>108</v>
      </c>
      <c r="O259" s="55">
        <v>9</v>
      </c>
      <c r="P259" s="56"/>
      <c r="Q259" s="74"/>
      <c r="R259" s="70">
        <v>2</v>
      </c>
      <c r="S259" s="19"/>
      <c r="T259" s="60"/>
      <c r="U259" s="59"/>
    </row>
    <row r="260" spans="1:21" ht="15" customHeight="1" x14ac:dyDescent="0.25">
      <c r="A260" s="1">
        <f t="shared" ca="1" si="11"/>
        <v>1709</v>
      </c>
      <c r="B260" s="29"/>
      <c r="C260" s="29"/>
      <c r="D260" s="29"/>
      <c r="E260" s="29"/>
      <c r="F260" s="29">
        <v>2984</v>
      </c>
      <c r="G260" s="39"/>
      <c r="H260" s="40"/>
      <c r="I260" s="52"/>
      <c r="J260" s="53"/>
      <c r="K260" s="17"/>
      <c r="L260" s="39">
        <v>819</v>
      </c>
      <c r="M260" s="43">
        <v>769</v>
      </c>
      <c r="N260" s="45" t="s">
        <v>110</v>
      </c>
      <c r="O260" s="55">
        <v>10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1710</v>
      </c>
      <c r="B261" s="29"/>
      <c r="C261" s="29"/>
      <c r="D261" s="29"/>
      <c r="E261" s="29"/>
      <c r="F261" s="29">
        <v>2986</v>
      </c>
      <c r="G261" s="39"/>
      <c r="H261" s="40"/>
      <c r="I261" s="52"/>
      <c r="J261" s="53"/>
      <c r="K261" s="17"/>
      <c r="L261" s="39">
        <v>831</v>
      </c>
      <c r="M261" s="43">
        <v>790</v>
      </c>
      <c r="N261" s="45" t="s">
        <v>108</v>
      </c>
      <c r="O261" s="55">
        <v>15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1711</v>
      </c>
      <c r="B262" s="29"/>
      <c r="C262" s="29"/>
      <c r="D262" s="29"/>
      <c r="E262" s="29"/>
      <c r="F262" s="29">
        <v>2991</v>
      </c>
      <c r="G262" s="39"/>
      <c r="H262" s="40"/>
      <c r="I262" s="52"/>
      <c r="J262" s="53"/>
      <c r="K262" s="17"/>
      <c r="L262" s="39">
        <v>823</v>
      </c>
      <c r="M262" s="43">
        <v>786</v>
      </c>
      <c r="N262" s="45" t="s">
        <v>110</v>
      </c>
      <c r="O262" s="55">
        <v>10</v>
      </c>
      <c r="P262" s="56"/>
      <c r="Q262" s="74"/>
      <c r="R262" s="70">
        <v>0</v>
      </c>
      <c r="S262" s="19"/>
      <c r="T262" s="60"/>
      <c r="U262" s="59"/>
    </row>
    <row r="263" spans="1:21" ht="15" customHeight="1" x14ac:dyDescent="0.25">
      <c r="A263" s="1">
        <f t="shared" ca="1" si="11"/>
        <v>1712</v>
      </c>
      <c r="B263" s="29"/>
      <c r="C263" s="29"/>
      <c r="D263" s="29"/>
      <c r="E263" s="29"/>
      <c r="F263" s="29">
        <v>2996</v>
      </c>
      <c r="G263" s="39"/>
      <c r="H263" s="40"/>
      <c r="I263" s="52"/>
      <c r="J263" s="53"/>
      <c r="K263" s="17"/>
      <c r="L263" s="39">
        <v>829</v>
      </c>
      <c r="M263" s="43">
        <v>779</v>
      </c>
      <c r="N263" s="45" t="s">
        <v>108</v>
      </c>
      <c r="O263" s="55">
        <v>13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ref="A264:A327" ca="1" si="18">IF(ISTEXT(A263),A262+1,IF(MONTH(A263+1)=MONTH(A263),A263+1,"Totaal"))</f>
        <v>1713</v>
      </c>
      <c r="B264" s="29"/>
      <c r="C264" s="29"/>
      <c r="D264" s="29"/>
      <c r="E264" s="29"/>
      <c r="F264" s="29">
        <v>2993</v>
      </c>
      <c r="G264" s="39"/>
      <c r="H264" s="40"/>
      <c r="I264" s="52"/>
      <c r="J264" s="53"/>
      <c r="K264" s="17"/>
      <c r="L264" s="39">
        <v>825</v>
      </c>
      <c r="M264" s="43">
        <v>797</v>
      </c>
      <c r="N264" s="45" t="s">
        <v>108</v>
      </c>
      <c r="O264" s="55">
        <v>18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1714</v>
      </c>
      <c r="B265" s="29"/>
      <c r="C265" s="29"/>
      <c r="D265" s="29"/>
      <c r="E265" s="29"/>
      <c r="F265" s="29">
        <v>2992</v>
      </c>
      <c r="G265" s="39"/>
      <c r="H265" s="40"/>
      <c r="I265" s="52"/>
      <c r="J265" s="53"/>
      <c r="K265" s="17"/>
      <c r="L265" s="39">
        <v>820</v>
      </c>
      <c r="M265" s="43">
        <v>782</v>
      </c>
      <c r="N265" s="45" t="s">
        <v>108</v>
      </c>
      <c r="O265" s="55">
        <v>10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1715</v>
      </c>
      <c r="B266" s="29"/>
      <c r="C266" s="29"/>
      <c r="D266" s="29"/>
      <c r="E266" s="29"/>
      <c r="F266" s="29">
        <v>2991</v>
      </c>
      <c r="G266" s="39"/>
      <c r="H266" s="40"/>
      <c r="I266" s="52"/>
      <c r="J266" s="53"/>
      <c r="K266" s="17"/>
      <c r="L266" s="39">
        <v>818</v>
      </c>
      <c r="M266" s="43">
        <v>784</v>
      </c>
      <c r="N266" s="45" t="s">
        <v>110</v>
      </c>
      <c r="O266" s="55">
        <v>16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1716</v>
      </c>
      <c r="B267" s="29"/>
      <c r="C267" s="29"/>
      <c r="D267" s="29"/>
      <c r="E267" s="29"/>
      <c r="F267" s="29">
        <v>2993</v>
      </c>
      <c r="G267" s="39"/>
      <c r="H267" s="40"/>
      <c r="I267" s="52"/>
      <c r="J267" s="53"/>
      <c r="K267" s="17"/>
      <c r="L267" s="39">
        <v>822</v>
      </c>
      <c r="M267" s="43">
        <v>790</v>
      </c>
      <c r="N267" s="45" t="s">
        <v>110</v>
      </c>
      <c r="O267" s="55">
        <v>12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1717</v>
      </c>
      <c r="B268" s="29"/>
      <c r="C268" s="29"/>
      <c r="D268" s="29"/>
      <c r="E268" s="29"/>
      <c r="F268" s="29">
        <v>2992</v>
      </c>
      <c r="G268" s="39"/>
      <c r="H268" s="40"/>
      <c r="I268" s="52"/>
      <c r="J268" s="53"/>
      <c r="K268" s="17"/>
      <c r="L268" s="39">
        <v>830</v>
      </c>
      <c r="M268" s="43">
        <v>783</v>
      </c>
      <c r="N268" s="45" t="s">
        <v>108</v>
      </c>
      <c r="O268" s="55">
        <v>16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1718</v>
      </c>
      <c r="B269" s="29"/>
      <c r="C269" s="29"/>
      <c r="D269" s="29"/>
      <c r="E269" s="29"/>
      <c r="F269" s="29">
        <v>2989</v>
      </c>
      <c r="G269" s="39"/>
      <c r="H269" s="40"/>
      <c r="I269" s="52"/>
      <c r="J269" s="53"/>
      <c r="K269" s="17"/>
      <c r="L269" s="39">
        <v>822</v>
      </c>
      <c r="M269" s="43">
        <v>787</v>
      </c>
      <c r="N269" s="45" t="s">
        <v>108</v>
      </c>
      <c r="O269" s="55">
        <v>18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1719</v>
      </c>
      <c r="B270" s="29"/>
      <c r="C270" s="29"/>
      <c r="D270" s="29"/>
      <c r="E270" s="29"/>
      <c r="F270" s="29">
        <v>2992</v>
      </c>
      <c r="G270" s="39"/>
      <c r="H270" s="40"/>
      <c r="I270" s="52"/>
      <c r="J270" s="53"/>
      <c r="K270" s="17"/>
      <c r="L270" s="39">
        <v>831</v>
      </c>
      <c r="M270" s="43">
        <v>792</v>
      </c>
      <c r="N270" s="45" t="s">
        <v>108</v>
      </c>
      <c r="O270" s="55">
        <v>18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1720</v>
      </c>
      <c r="B271" s="29"/>
      <c r="C271" s="29"/>
      <c r="D271" s="29"/>
      <c r="E271" s="29"/>
      <c r="F271" s="29">
        <v>2993</v>
      </c>
      <c r="G271" s="39"/>
      <c r="H271" s="40"/>
      <c r="I271" s="52"/>
      <c r="J271" s="53"/>
      <c r="K271" s="17"/>
      <c r="L271" s="39">
        <v>822</v>
      </c>
      <c r="M271" s="43">
        <v>796</v>
      </c>
      <c r="N271" s="45" t="s">
        <v>108</v>
      </c>
      <c r="O271" s="55">
        <v>11</v>
      </c>
      <c r="P271" s="56"/>
      <c r="Q271" s="74"/>
      <c r="R271" s="70" t="s">
        <v>7</v>
      </c>
      <c r="S271" s="19"/>
      <c r="T271" s="60"/>
      <c r="U271" s="59"/>
    </row>
    <row r="272" spans="1:21" ht="15" customHeight="1" x14ac:dyDescent="0.25">
      <c r="A272" s="1">
        <f t="shared" ca="1" si="18"/>
        <v>1721</v>
      </c>
      <c r="B272" s="29"/>
      <c r="C272" s="29"/>
      <c r="D272" s="29"/>
      <c r="E272" s="29"/>
      <c r="F272" s="29">
        <v>2992</v>
      </c>
      <c r="G272" s="39"/>
      <c r="H272" s="40"/>
      <c r="I272" s="52"/>
      <c r="J272" s="53"/>
      <c r="K272" s="17"/>
      <c r="L272" s="39">
        <v>820</v>
      </c>
      <c r="M272" s="43">
        <v>786</v>
      </c>
      <c r="N272" s="45" t="s">
        <v>110</v>
      </c>
      <c r="O272" s="55">
        <v>12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1722</v>
      </c>
      <c r="B273" s="29"/>
      <c r="C273" s="29"/>
      <c r="D273" s="29"/>
      <c r="E273" s="29"/>
      <c r="F273" s="29">
        <v>2989</v>
      </c>
      <c r="G273" s="39"/>
      <c r="H273" s="40"/>
      <c r="I273" s="52"/>
      <c r="J273" s="53"/>
      <c r="K273" s="17"/>
      <c r="L273" s="39">
        <v>832</v>
      </c>
      <c r="M273" s="43">
        <v>790</v>
      </c>
      <c r="N273" s="45" t="s">
        <v>110</v>
      </c>
      <c r="O273" s="55">
        <v>16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1723</v>
      </c>
      <c r="B274" s="29"/>
      <c r="C274" s="29"/>
      <c r="D274" s="29"/>
      <c r="E274" s="29"/>
      <c r="F274" s="29">
        <v>2990</v>
      </c>
      <c r="G274" s="39"/>
      <c r="H274" s="40"/>
      <c r="I274" s="52"/>
      <c r="J274" s="53"/>
      <c r="K274" s="17"/>
      <c r="L274" s="39">
        <v>831</v>
      </c>
      <c r="M274" s="43">
        <v>804</v>
      </c>
      <c r="N274" s="45" t="s">
        <v>110</v>
      </c>
      <c r="O274" s="55">
        <v>19</v>
      </c>
      <c r="P274" s="56"/>
      <c r="Q274" s="74"/>
      <c r="R274" s="70" t="s">
        <v>7</v>
      </c>
      <c r="S274" s="19"/>
      <c r="T274" s="60"/>
      <c r="U274" s="59"/>
    </row>
    <row r="275" spans="1:21" ht="15" customHeight="1" x14ac:dyDescent="0.25">
      <c r="A275" s="1">
        <f t="shared" ca="1" si="18"/>
        <v>1724</v>
      </c>
      <c r="B275" s="29"/>
      <c r="C275" s="29"/>
      <c r="D275" s="29"/>
      <c r="E275" s="29"/>
      <c r="F275" s="29">
        <v>2994</v>
      </c>
      <c r="G275" s="39"/>
      <c r="H275" s="40"/>
      <c r="I275" s="52"/>
      <c r="J275" s="53"/>
      <c r="K275" s="17"/>
      <c r="L275" s="39">
        <v>820</v>
      </c>
      <c r="M275" s="43">
        <v>772</v>
      </c>
      <c r="N275" s="45" t="s">
        <v>108</v>
      </c>
      <c r="O275" s="55">
        <v>20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1725</v>
      </c>
      <c r="B276" s="29"/>
      <c r="C276" s="29"/>
      <c r="D276" s="29"/>
      <c r="E276" s="29"/>
      <c r="F276" s="29">
        <v>2993</v>
      </c>
      <c r="G276" s="39"/>
      <c r="H276" s="40"/>
      <c r="I276" s="52"/>
      <c r="J276" s="53"/>
      <c r="K276" s="17"/>
      <c r="L276" s="39">
        <v>822</v>
      </c>
      <c r="M276" s="43">
        <v>783</v>
      </c>
      <c r="N276" s="45" t="s">
        <v>108</v>
      </c>
      <c r="O276" s="55">
        <v>12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1726</v>
      </c>
      <c r="B277" s="29"/>
      <c r="C277" s="29"/>
      <c r="D277" s="29"/>
      <c r="E277" s="29"/>
      <c r="F277" s="29">
        <v>2989</v>
      </c>
      <c r="G277" s="39"/>
      <c r="H277" s="40"/>
      <c r="I277" s="52"/>
      <c r="J277" s="53"/>
      <c r="K277" s="17"/>
      <c r="L277" s="39">
        <v>816</v>
      </c>
      <c r="M277" s="43">
        <v>756</v>
      </c>
      <c r="N277" s="45" t="s">
        <v>108</v>
      </c>
      <c r="O277" s="55">
        <v>12</v>
      </c>
      <c r="P277" s="56"/>
      <c r="Q277" s="74"/>
      <c r="R277" s="70">
        <v>2</v>
      </c>
      <c r="S277" s="19"/>
      <c r="T277" s="60"/>
      <c r="U277" s="59"/>
    </row>
    <row r="278" spans="1:21" ht="15" customHeight="1" x14ac:dyDescent="0.25">
      <c r="A278" s="1">
        <f t="shared" ca="1" si="18"/>
        <v>1727</v>
      </c>
      <c r="B278" s="29"/>
      <c r="C278" s="29"/>
      <c r="D278" s="29"/>
      <c r="E278" s="29"/>
      <c r="F278" s="29">
        <v>2989</v>
      </c>
      <c r="G278" s="39"/>
      <c r="H278" s="40"/>
      <c r="I278" s="52"/>
      <c r="J278" s="53"/>
      <c r="K278" s="17"/>
      <c r="L278" s="39">
        <v>823</v>
      </c>
      <c r="M278" s="43">
        <v>780</v>
      </c>
      <c r="N278" s="45" t="s">
        <v>110</v>
      </c>
      <c r="O278" s="55">
        <v>10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1728</v>
      </c>
      <c r="B279" s="29"/>
      <c r="C279" s="29"/>
      <c r="D279" s="29"/>
      <c r="E279" s="29"/>
      <c r="F279" s="29">
        <v>2992</v>
      </c>
      <c r="G279" s="39"/>
      <c r="H279" s="40"/>
      <c r="I279" s="52"/>
      <c r="J279" s="53"/>
      <c r="K279" s="17"/>
      <c r="L279" s="39">
        <v>802</v>
      </c>
      <c r="M279" s="43">
        <v>776</v>
      </c>
      <c r="N279" s="45" t="s">
        <v>108</v>
      </c>
      <c r="O279" s="55">
        <v>6</v>
      </c>
      <c r="P279" s="56"/>
      <c r="Q279" s="74"/>
      <c r="R279" s="70">
        <v>4</v>
      </c>
      <c r="S279" s="19"/>
      <c r="T279" s="60"/>
      <c r="U279" s="59"/>
    </row>
    <row r="280" spans="1:21" ht="15" customHeight="1" x14ac:dyDescent="0.25">
      <c r="A280" s="1">
        <f t="shared" ca="1" si="18"/>
        <v>1729</v>
      </c>
      <c r="B280" s="29"/>
      <c r="C280" s="29"/>
      <c r="D280" s="29"/>
      <c r="E280" s="29"/>
      <c r="F280" s="29">
        <v>2988</v>
      </c>
      <c r="G280" s="39"/>
      <c r="H280" s="40"/>
      <c r="I280" s="52"/>
      <c r="J280" s="53"/>
      <c r="K280" s="17"/>
      <c r="L280" s="39">
        <v>810</v>
      </c>
      <c r="M280" s="43">
        <v>777</v>
      </c>
      <c r="N280" s="45" t="s">
        <v>108</v>
      </c>
      <c r="O280" s="55">
        <v>11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1730</v>
      </c>
      <c r="B281" s="29"/>
      <c r="C281" s="29"/>
      <c r="D281" s="29"/>
      <c r="E281" s="29"/>
      <c r="F281" s="29">
        <v>2989</v>
      </c>
      <c r="G281" s="39"/>
      <c r="H281" s="40"/>
      <c r="I281" s="52"/>
      <c r="J281" s="53"/>
      <c r="K281" s="17"/>
      <c r="L281" s="39">
        <v>800</v>
      </c>
      <c r="M281" s="43">
        <v>753</v>
      </c>
      <c r="N281" s="45" t="s">
        <v>110</v>
      </c>
      <c r="O281" s="55">
        <v>7</v>
      </c>
      <c r="P281" s="56"/>
      <c r="Q281" s="74"/>
      <c r="R281" s="70" t="s">
        <v>7</v>
      </c>
      <c r="S281" s="19"/>
      <c r="T281" s="60"/>
      <c r="U281" s="59"/>
    </row>
    <row r="282" spans="1:21" ht="15" customHeight="1" x14ac:dyDescent="0.25">
      <c r="A282" s="1">
        <f t="shared" ca="1" si="18"/>
        <v>1731</v>
      </c>
      <c r="B282" s="29"/>
      <c r="C282" s="29"/>
      <c r="D282" s="29"/>
      <c r="E282" s="29"/>
      <c r="F282" s="29">
        <v>2988</v>
      </c>
      <c r="G282" s="39"/>
      <c r="H282" s="40"/>
      <c r="I282" s="52"/>
      <c r="J282" s="53"/>
      <c r="K282" s="17"/>
      <c r="L282" s="39">
        <v>808</v>
      </c>
      <c r="M282" s="43">
        <v>780</v>
      </c>
      <c r="N282" s="45" t="s">
        <v>110</v>
      </c>
      <c r="O282" s="55">
        <v>10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1732</v>
      </c>
      <c r="B283" s="29"/>
      <c r="C283" s="29"/>
      <c r="D283" s="29"/>
      <c r="E283" s="29"/>
      <c r="F283" s="29">
        <v>2984</v>
      </c>
      <c r="G283" s="39"/>
      <c r="H283" s="40"/>
      <c r="I283" s="52"/>
      <c r="J283" s="53"/>
      <c r="K283" s="17"/>
      <c r="L283" s="39">
        <v>822</v>
      </c>
      <c r="M283" s="43">
        <v>777</v>
      </c>
      <c r="N283" s="45" t="s">
        <v>108</v>
      </c>
      <c r="O283" s="55">
        <v>15</v>
      </c>
      <c r="P283" s="56"/>
      <c r="Q283" s="74"/>
      <c r="R283" s="70" t="s">
        <v>7</v>
      </c>
      <c r="S283" s="19"/>
      <c r="T283" s="60"/>
      <c r="U283" s="59"/>
    </row>
    <row r="284" spans="1:21" ht="15" customHeight="1" x14ac:dyDescent="0.25">
      <c r="A284" s="1">
        <f t="shared" ca="1" si="18"/>
        <v>1733</v>
      </c>
      <c r="B284" s="29"/>
      <c r="C284" s="29"/>
      <c r="D284" s="29"/>
      <c r="E284" s="29"/>
      <c r="F284" s="29">
        <v>2985</v>
      </c>
      <c r="G284" s="39"/>
      <c r="H284" s="40"/>
      <c r="I284" s="52"/>
      <c r="J284" s="53"/>
      <c r="K284" s="17"/>
      <c r="L284" s="39">
        <v>831</v>
      </c>
      <c r="M284" s="43">
        <v>782</v>
      </c>
      <c r="N284" s="45" t="s">
        <v>110</v>
      </c>
      <c r="O284" s="55">
        <v>16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1734</v>
      </c>
      <c r="B285" s="29"/>
      <c r="C285" s="29"/>
      <c r="D285" s="29"/>
      <c r="E285" s="29"/>
      <c r="F285" s="29">
        <v>2990</v>
      </c>
      <c r="G285" s="39"/>
      <c r="H285" s="40"/>
      <c r="I285" s="52"/>
      <c r="J285" s="53"/>
      <c r="K285" s="17"/>
      <c r="L285" s="39">
        <v>834</v>
      </c>
      <c r="M285" s="43">
        <v>789</v>
      </c>
      <c r="N285" s="45" t="s">
        <v>108</v>
      </c>
      <c r="O285" s="55">
        <v>12</v>
      </c>
      <c r="P285" s="56"/>
      <c r="Q285" s="74"/>
      <c r="R285" s="70">
        <v>0</v>
      </c>
      <c r="S285" s="19"/>
      <c r="T285" s="60"/>
      <c r="U285" s="59"/>
    </row>
    <row r="286" spans="1:21" ht="15" customHeight="1" x14ac:dyDescent="0.25">
      <c r="A286" s="1">
        <f t="shared" ca="1" si="18"/>
        <v>1735</v>
      </c>
      <c r="B286" s="29"/>
      <c r="C286" s="29"/>
      <c r="D286" s="29"/>
      <c r="E286" s="29"/>
      <c r="F286" s="29">
        <v>2990</v>
      </c>
      <c r="G286" s="39"/>
      <c r="H286" s="40"/>
      <c r="I286" s="52"/>
      <c r="J286" s="53"/>
      <c r="K286" s="17"/>
      <c r="L286" s="39">
        <v>831</v>
      </c>
      <c r="M286" s="43">
        <v>778</v>
      </c>
      <c r="N286" s="45" t="s">
        <v>108</v>
      </c>
      <c r="O286" s="55">
        <v>7</v>
      </c>
      <c r="P286" s="56"/>
      <c r="Q286" s="74"/>
      <c r="R286" s="70">
        <v>0</v>
      </c>
      <c r="S286" s="19"/>
      <c r="T286" s="60"/>
      <c r="U286" s="59"/>
    </row>
    <row r="287" spans="1:21" x14ac:dyDescent="0.25">
      <c r="A287" s="1" t="str">
        <f t="shared" ca="1" si="18"/>
        <v>Totaal</v>
      </c>
      <c r="B287" s="61" t="str">
        <f>IF(COUNT(B257:B286)&gt;0,AVERAGE(B257:B286)/10,"")</f>
        <v/>
      </c>
      <c r="C287" s="62" t="str">
        <f>IF(COUNT(C257:C286)&gt;0,AVERAGE(C257:C286)/1000,"")</f>
        <v/>
      </c>
      <c r="D287" s="62" t="str">
        <f>IF(COUNT(D257:D286)&gt;0,AVERAGE(D257:D286)/1000,"")</f>
        <v/>
      </c>
      <c r="E287" s="62" t="str">
        <f>IF(COUNT(E257:E286)&gt;0,AVERAGE(E257:E286)/1000,"")</f>
        <v/>
      </c>
      <c r="F287" s="62">
        <f>IF(COUNT(F257:F286)&gt;0,AVERAGE(F257:F286)/100,"")</f>
        <v>29.903333333333336</v>
      </c>
      <c r="G287" s="41" t="str">
        <f>IF(COUNT(G257:G286)&gt;0,AVERAGE(G257:G286)/10,"")</f>
        <v/>
      </c>
      <c r="H287" s="42" t="str">
        <f>IF(COUNT(H257:H286)&gt;0,AVERAGE(H257:H286)/10,"")</f>
        <v/>
      </c>
      <c r="I287" s="18" t="str">
        <f>IF(COUNT(I257:I286)&gt;0,AVERAGE(I257:I286)/10,"")</f>
        <v/>
      </c>
      <c r="J287" s="54" t="str">
        <f>IF(COUNT(J257:J286)&gt;0,AVERAGE(J257:J286),"")</f>
        <v/>
      </c>
      <c r="K287" s="51" t="str">
        <f>IF(COUNT(K257:K286)&gt;0,AVERAGE(K257:K286)/1000,"")</f>
        <v/>
      </c>
      <c r="L287" s="41">
        <f>IF(COUNT(L257:L286)&gt;0,AVERAGE(L257:L286)/10,"")</f>
        <v>82.179999999999993</v>
      </c>
      <c r="M287" s="44">
        <f>IF(COUNT(M257:M286)&gt;0,AVERAGE(M257:M286)/10,"")</f>
        <v>78.083333333333343</v>
      </c>
      <c r="N287" s="46"/>
      <c r="O287" s="57">
        <f>IF(COUNT(O257:O286)&gt;0,AVERAGE(O257:O286),"")</f>
        <v>12.8</v>
      </c>
      <c r="P287" s="58" t="str">
        <f>IF(COUNT(P257:P286)&gt;0,AVERAGE(P257:P286),"")</f>
        <v/>
      </c>
      <c r="Q287" s="47"/>
      <c r="R287" s="68">
        <f>IF(COUNT(R257:R286)&gt;0,SUM(R257:R286)/100,"")</f>
        <v>0.08</v>
      </c>
      <c r="S287" s="64" t="str">
        <f>IF(COUNT(S257:S286)&gt;0,AVERAGE(S257:S286),"")</f>
        <v/>
      </c>
      <c r="T287" s="65" t="str">
        <f>IF(COUNT(T257:T286)&gt;0,AVERAGE(T257:T286),"")</f>
        <v/>
      </c>
      <c r="U287" s="66" t="str">
        <f>IF(COUNT(U257:U286)&gt;0,AVERAGE(U257:U286),"")</f>
        <v/>
      </c>
    </row>
    <row r="288" spans="1:21" ht="15" customHeight="1" x14ac:dyDescent="0.25">
      <c r="A288" s="1">
        <f t="shared" ca="1" si="18"/>
        <v>1736</v>
      </c>
      <c r="B288" s="29"/>
      <c r="C288" s="29"/>
      <c r="D288" s="29"/>
      <c r="E288" s="29"/>
      <c r="F288" s="29">
        <v>2986</v>
      </c>
      <c r="G288" s="39"/>
      <c r="H288" s="40"/>
      <c r="I288" s="52"/>
      <c r="J288" s="53"/>
      <c r="K288" s="17"/>
      <c r="L288" s="39">
        <v>799</v>
      </c>
      <c r="M288" s="43">
        <v>767</v>
      </c>
      <c r="N288" s="45" t="s">
        <v>49</v>
      </c>
      <c r="O288" s="55">
        <v>5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1737</v>
      </c>
      <c r="B289" s="29"/>
      <c r="C289" s="29"/>
      <c r="D289" s="29"/>
      <c r="E289" s="29"/>
      <c r="F289" s="29">
        <v>2987</v>
      </c>
      <c r="G289" s="39"/>
      <c r="H289" s="40"/>
      <c r="I289" s="52"/>
      <c r="J289" s="53"/>
      <c r="K289" s="17"/>
      <c r="L289" s="39">
        <v>823</v>
      </c>
      <c r="M289" s="43">
        <v>760</v>
      </c>
      <c r="N289" s="45" t="s">
        <v>108</v>
      </c>
      <c r="O289" s="55">
        <v>5</v>
      </c>
      <c r="P289" s="56"/>
      <c r="Q289" s="74"/>
      <c r="R289" s="70">
        <v>0</v>
      </c>
      <c r="S289" s="19"/>
      <c r="T289" s="60"/>
      <c r="U289" s="59"/>
    </row>
    <row r="290" spans="1:21" ht="15" customHeight="1" x14ac:dyDescent="0.25">
      <c r="A290" s="1">
        <f t="shared" ca="1" si="18"/>
        <v>1738</v>
      </c>
      <c r="B290" s="29"/>
      <c r="C290" s="29"/>
      <c r="D290" s="29"/>
      <c r="E290" s="29"/>
      <c r="F290" s="29">
        <v>2989</v>
      </c>
      <c r="G290" s="39"/>
      <c r="H290" s="40"/>
      <c r="I290" s="52"/>
      <c r="J290" s="53"/>
      <c r="K290" s="17"/>
      <c r="L290" s="39">
        <v>816</v>
      </c>
      <c r="M290" s="43">
        <v>776</v>
      </c>
      <c r="N290" s="45" t="s">
        <v>110</v>
      </c>
      <c r="O290" s="55">
        <v>7</v>
      </c>
      <c r="P290" s="56"/>
      <c r="Q290" s="74"/>
      <c r="R290" s="70" t="s">
        <v>7</v>
      </c>
      <c r="S290" s="19"/>
      <c r="T290" s="60"/>
      <c r="U290" s="59"/>
    </row>
    <row r="291" spans="1:21" ht="15" customHeight="1" x14ac:dyDescent="0.25">
      <c r="A291" s="1">
        <f t="shared" ca="1" si="18"/>
        <v>1739</v>
      </c>
      <c r="B291" s="29"/>
      <c r="C291" s="29"/>
      <c r="D291" s="29"/>
      <c r="E291" s="29"/>
      <c r="F291" s="29">
        <v>2989</v>
      </c>
      <c r="G291" s="39"/>
      <c r="H291" s="40"/>
      <c r="I291" s="52"/>
      <c r="J291" s="53"/>
      <c r="K291" s="17"/>
      <c r="L291" s="39">
        <v>823</v>
      </c>
      <c r="M291" s="43">
        <v>772</v>
      </c>
      <c r="N291" s="45" t="s">
        <v>108</v>
      </c>
      <c r="O291" s="55">
        <v>6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1740</v>
      </c>
      <c r="B292" s="29"/>
      <c r="C292" s="29"/>
      <c r="D292" s="29"/>
      <c r="E292" s="29"/>
      <c r="F292" s="29">
        <v>2984</v>
      </c>
      <c r="G292" s="39"/>
      <c r="H292" s="40"/>
      <c r="I292" s="52"/>
      <c r="J292" s="53"/>
      <c r="K292" s="17"/>
      <c r="L292" s="39">
        <v>818</v>
      </c>
      <c r="M292" s="43">
        <v>732</v>
      </c>
      <c r="N292" s="45" t="s">
        <v>108</v>
      </c>
      <c r="O292" s="55">
        <v>10</v>
      </c>
      <c r="P292" s="56"/>
      <c r="Q292" s="74"/>
      <c r="R292" s="70">
        <v>65</v>
      </c>
      <c r="S292" s="19"/>
      <c r="T292" s="60"/>
      <c r="U292" s="59"/>
    </row>
    <row r="293" spans="1:21" ht="15" customHeight="1" x14ac:dyDescent="0.25">
      <c r="A293" s="1">
        <f t="shared" ca="1" si="18"/>
        <v>1741</v>
      </c>
      <c r="B293" s="29"/>
      <c r="C293" s="29"/>
      <c r="D293" s="29"/>
      <c r="E293" s="29"/>
      <c r="F293" s="29">
        <v>2980</v>
      </c>
      <c r="G293" s="39"/>
      <c r="H293" s="40"/>
      <c r="I293" s="52"/>
      <c r="J293" s="53"/>
      <c r="K293" s="17"/>
      <c r="L293" s="39">
        <v>820</v>
      </c>
      <c r="M293" s="43">
        <v>772</v>
      </c>
      <c r="N293" s="45" t="s">
        <v>110</v>
      </c>
      <c r="O293" s="55">
        <v>6</v>
      </c>
      <c r="P293" s="56"/>
      <c r="Q293" s="74"/>
      <c r="R293" s="70" t="s">
        <v>7</v>
      </c>
      <c r="S293" s="19"/>
      <c r="T293" s="60"/>
      <c r="U293" s="59"/>
    </row>
    <row r="294" spans="1:21" ht="15" customHeight="1" x14ac:dyDescent="0.25">
      <c r="A294" s="1">
        <f t="shared" ca="1" si="18"/>
        <v>1742</v>
      </c>
      <c r="B294" s="29"/>
      <c r="C294" s="29"/>
      <c r="D294" s="29"/>
      <c r="E294" s="29"/>
      <c r="F294" s="29">
        <v>2984</v>
      </c>
      <c r="G294" s="39"/>
      <c r="H294" s="40"/>
      <c r="I294" s="52"/>
      <c r="J294" s="53"/>
      <c r="K294" s="17"/>
      <c r="L294" s="39">
        <v>800</v>
      </c>
      <c r="M294" s="43">
        <v>702</v>
      </c>
      <c r="N294" s="45" t="s">
        <v>112</v>
      </c>
      <c r="O294" s="55">
        <v>10</v>
      </c>
      <c r="P294" s="56"/>
      <c r="Q294" s="74"/>
      <c r="R294" s="70">
        <v>129</v>
      </c>
      <c r="S294" s="19"/>
      <c r="T294" s="60"/>
      <c r="U294" s="59"/>
    </row>
    <row r="295" spans="1:21" ht="15" customHeight="1" x14ac:dyDescent="0.25">
      <c r="A295" s="1">
        <f t="shared" ca="1" si="18"/>
        <v>1743</v>
      </c>
      <c r="B295" s="29"/>
      <c r="C295" s="29"/>
      <c r="D295" s="29"/>
      <c r="E295" s="29"/>
      <c r="F295" s="29">
        <v>2986</v>
      </c>
      <c r="G295" s="39"/>
      <c r="H295" s="40"/>
      <c r="I295" s="52"/>
      <c r="J295" s="53"/>
      <c r="K295" s="17"/>
      <c r="L295" s="39">
        <v>800</v>
      </c>
      <c r="M295" s="43">
        <v>744</v>
      </c>
      <c r="N295" s="45" t="s">
        <v>108</v>
      </c>
      <c r="O295" s="55">
        <v>3</v>
      </c>
      <c r="P295" s="56"/>
      <c r="Q295" s="74"/>
      <c r="R295" s="70">
        <v>13</v>
      </c>
      <c r="S295" s="19"/>
      <c r="T295" s="60"/>
      <c r="U295" s="59"/>
    </row>
    <row r="296" spans="1:21" ht="15" customHeight="1" x14ac:dyDescent="0.25">
      <c r="A296" s="1">
        <f t="shared" ca="1" si="18"/>
        <v>1744</v>
      </c>
      <c r="B296" s="29"/>
      <c r="C296" s="29"/>
      <c r="D296" s="29"/>
      <c r="E296" s="29"/>
      <c r="F296" s="29">
        <v>2985</v>
      </c>
      <c r="G296" s="39"/>
      <c r="H296" s="40"/>
      <c r="I296" s="52"/>
      <c r="J296" s="53"/>
      <c r="K296" s="17"/>
      <c r="L296" s="39">
        <v>805</v>
      </c>
      <c r="M296" s="43">
        <v>730</v>
      </c>
      <c r="N296" s="45" t="s">
        <v>110</v>
      </c>
      <c r="O296" s="55">
        <v>6</v>
      </c>
      <c r="P296" s="56"/>
      <c r="Q296" s="74"/>
      <c r="R296" s="70">
        <v>34</v>
      </c>
      <c r="S296" s="19"/>
      <c r="T296" s="60"/>
      <c r="U296" s="59"/>
    </row>
    <row r="297" spans="1:21" ht="15" customHeight="1" x14ac:dyDescent="0.25">
      <c r="A297" s="1">
        <f t="shared" ca="1" si="18"/>
        <v>1745</v>
      </c>
      <c r="B297" s="29"/>
      <c r="C297" s="29"/>
      <c r="D297" s="29"/>
      <c r="E297" s="29"/>
      <c r="F297" s="29">
        <v>2984</v>
      </c>
      <c r="G297" s="39"/>
      <c r="H297" s="40"/>
      <c r="I297" s="52"/>
      <c r="J297" s="53"/>
      <c r="K297" s="17"/>
      <c r="L297" s="39">
        <v>800</v>
      </c>
      <c r="M297" s="43">
        <v>755</v>
      </c>
      <c r="N297" s="45" t="s">
        <v>110</v>
      </c>
      <c r="O297" s="55">
        <v>5</v>
      </c>
      <c r="P297" s="56"/>
      <c r="Q297" s="74"/>
      <c r="R297" s="70">
        <v>3</v>
      </c>
      <c r="S297" s="19"/>
      <c r="T297" s="60"/>
      <c r="U297" s="59"/>
    </row>
    <row r="298" spans="1:21" ht="15" customHeight="1" x14ac:dyDescent="0.25">
      <c r="A298" s="1">
        <f t="shared" ca="1" si="18"/>
        <v>1746</v>
      </c>
      <c r="B298" s="29"/>
      <c r="C298" s="29"/>
      <c r="D298" s="29"/>
      <c r="E298" s="29"/>
      <c r="F298" s="29">
        <v>2981</v>
      </c>
      <c r="G298" s="39"/>
      <c r="H298" s="40"/>
      <c r="I298" s="52"/>
      <c r="J298" s="53"/>
      <c r="K298" s="17"/>
      <c r="L298" s="39">
        <v>804</v>
      </c>
      <c r="M298" s="43">
        <v>775</v>
      </c>
      <c r="N298" s="45" t="s">
        <v>110</v>
      </c>
      <c r="O298" s="55">
        <v>6</v>
      </c>
      <c r="P298" s="56"/>
      <c r="Q298" s="74"/>
      <c r="R298" s="70">
        <v>2</v>
      </c>
      <c r="S298" s="19"/>
      <c r="T298" s="60"/>
      <c r="U298" s="59"/>
    </row>
    <row r="299" spans="1:21" ht="15" customHeight="1" x14ac:dyDescent="0.25">
      <c r="A299" s="1">
        <f t="shared" ca="1" si="18"/>
        <v>1747</v>
      </c>
      <c r="B299" s="29"/>
      <c r="C299" s="29"/>
      <c r="D299" s="29"/>
      <c r="E299" s="29"/>
      <c r="F299" s="29">
        <v>2981</v>
      </c>
      <c r="G299" s="39"/>
      <c r="H299" s="40"/>
      <c r="I299" s="52"/>
      <c r="J299" s="53"/>
      <c r="K299" s="17"/>
      <c r="L299" s="39">
        <v>812</v>
      </c>
      <c r="M299" s="43">
        <v>728</v>
      </c>
      <c r="N299" s="45" t="s">
        <v>108</v>
      </c>
      <c r="O299" s="55">
        <v>10</v>
      </c>
      <c r="P299" s="56"/>
      <c r="Q299" s="74"/>
      <c r="R299" s="70">
        <v>139</v>
      </c>
      <c r="S299" s="19"/>
      <c r="T299" s="60"/>
      <c r="U299" s="59"/>
    </row>
    <row r="300" spans="1:21" ht="15" customHeight="1" x14ac:dyDescent="0.25">
      <c r="A300" s="1">
        <f t="shared" ca="1" si="18"/>
        <v>1748</v>
      </c>
      <c r="B300" s="29"/>
      <c r="C300" s="29"/>
      <c r="D300" s="29"/>
      <c r="E300" s="29"/>
      <c r="F300" s="29">
        <v>2985</v>
      </c>
      <c r="G300" s="39"/>
      <c r="H300" s="40"/>
      <c r="I300" s="52"/>
      <c r="J300" s="53"/>
      <c r="K300" s="17"/>
      <c r="L300" s="39">
        <v>820</v>
      </c>
      <c r="M300" s="43">
        <v>793</v>
      </c>
      <c r="N300" s="45" t="s">
        <v>110</v>
      </c>
      <c r="O300" s="55">
        <v>12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1749</v>
      </c>
      <c r="B301" s="29"/>
      <c r="C301" s="29"/>
      <c r="D301" s="29"/>
      <c r="E301" s="29"/>
      <c r="F301" s="29">
        <v>2989</v>
      </c>
      <c r="G301" s="39"/>
      <c r="H301" s="40"/>
      <c r="I301" s="52"/>
      <c r="J301" s="53"/>
      <c r="K301" s="17"/>
      <c r="L301" s="39">
        <v>820</v>
      </c>
      <c r="M301" s="43">
        <v>788</v>
      </c>
      <c r="N301" s="45" t="s">
        <v>110</v>
      </c>
      <c r="O301" s="55">
        <v>10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1750</v>
      </c>
      <c r="B302" s="29"/>
      <c r="C302" s="29"/>
      <c r="D302" s="29"/>
      <c r="E302" s="29"/>
      <c r="F302" s="29">
        <v>2983</v>
      </c>
      <c r="G302" s="39"/>
      <c r="H302" s="40"/>
      <c r="I302" s="52"/>
      <c r="J302" s="53"/>
      <c r="K302" s="17"/>
      <c r="L302" s="39">
        <v>821</v>
      </c>
      <c r="M302" s="43">
        <v>780</v>
      </c>
      <c r="N302" s="45" t="s">
        <v>110</v>
      </c>
      <c r="O302" s="55">
        <v>10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1751</v>
      </c>
      <c r="B303" s="29"/>
      <c r="C303" s="29"/>
      <c r="D303" s="29"/>
      <c r="E303" s="29"/>
      <c r="F303" s="29">
        <v>2987</v>
      </c>
      <c r="G303" s="39"/>
      <c r="H303" s="40"/>
      <c r="I303" s="52"/>
      <c r="J303" s="53"/>
      <c r="K303" s="17"/>
      <c r="L303" s="39">
        <v>820</v>
      </c>
      <c r="M303" s="43">
        <v>780</v>
      </c>
      <c r="N303" s="45" t="s">
        <v>110</v>
      </c>
      <c r="O303" s="55">
        <v>11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1752</v>
      </c>
      <c r="B304" s="29"/>
      <c r="C304" s="29"/>
      <c r="D304" s="29"/>
      <c r="E304" s="29"/>
      <c r="F304" s="29">
        <v>2990</v>
      </c>
      <c r="G304" s="39"/>
      <c r="H304" s="40"/>
      <c r="I304" s="52"/>
      <c r="J304" s="53"/>
      <c r="K304" s="17"/>
      <c r="L304" s="39">
        <v>825</v>
      </c>
      <c r="M304" s="43">
        <v>784</v>
      </c>
      <c r="N304" s="45" t="s">
        <v>110</v>
      </c>
      <c r="O304" s="55">
        <v>14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1753</v>
      </c>
      <c r="B305" s="29"/>
      <c r="C305" s="29"/>
      <c r="D305" s="29"/>
      <c r="E305" s="29"/>
      <c r="F305" s="29">
        <v>2989</v>
      </c>
      <c r="G305" s="39"/>
      <c r="H305" s="40"/>
      <c r="I305" s="52"/>
      <c r="J305" s="53"/>
      <c r="K305" s="17"/>
      <c r="L305" s="39">
        <v>823</v>
      </c>
      <c r="M305" s="43">
        <v>780</v>
      </c>
      <c r="N305" s="45" t="s">
        <v>110</v>
      </c>
      <c r="O305" s="55">
        <v>14</v>
      </c>
      <c r="P305" s="56"/>
      <c r="Q305" s="74"/>
      <c r="R305" s="70">
        <v>0</v>
      </c>
      <c r="S305" s="19"/>
      <c r="T305" s="60"/>
      <c r="U305" s="59"/>
    </row>
    <row r="306" spans="1:21" ht="15" customHeight="1" x14ac:dyDescent="0.25">
      <c r="A306" s="1">
        <f t="shared" ca="1" si="18"/>
        <v>1754</v>
      </c>
      <c r="B306" s="29"/>
      <c r="C306" s="29"/>
      <c r="D306" s="29"/>
      <c r="E306" s="29"/>
      <c r="F306" s="29">
        <v>2985</v>
      </c>
      <c r="G306" s="39"/>
      <c r="H306" s="40"/>
      <c r="I306" s="52"/>
      <c r="J306" s="53"/>
      <c r="K306" s="17"/>
      <c r="L306" s="39">
        <v>815</v>
      </c>
      <c r="M306" s="43">
        <v>776</v>
      </c>
      <c r="N306" s="45" t="s">
        <v>108</v>
      </c>
      <c r="O306" s="55">
        <v>10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1755</v>
      </c>
      <c r="B307" s="29"/>
      <c r="C307" s="29"/>
      <c r="D307" s="29"/>
      <c r="E307" s="29"/>
      <c r="F307" s="29">
        <v>2984</v>
      </c>
      <c r="G307" s="39"/>
      <c r="H307" s="40"/>
      <c r="I307" s="52"/>
      <c r="J307" s="53"/>
      <c r="K307" s="17"/>
      <c r="L307" s="39">
        <v>800</v>
      </c>
      <c r="M307" s="43">
        <v>770</v>
      </c>
      <c r="N307" s="45" t="s">
        <v>110</v>
      </c>
      <c r="O307" s="55">
        <v>8</v>
      </c>
      <c r="P307" s="56"/>
      <c r="Q307" s="74"/>
      <c r="R307" s="70" t="s">
        <v>7</v>
      </c>
      <c r="S307" s="19"/>
      <c r="T307" s="60"/>
      <c r="U307" s="59"/>
    </row>
    <row r="308" spans="1:21" ht="15" customHeight="1" x14ac:dyDescent="0.25">
      <c r="A308" s="1">
        <f t="shared" ca="1" si="18"/>
        <v>1756</v>
      </c>
      <c r="B308" s="29"/>
      <c r="C308" s="29"/>
      <c r="D308" s="29"/>
      <c r="E308" s="29"/>
      <c r="F308" s="29">
        <v>2986</v>
      </c>
      <c r="G308" s="39"/>
      <c r="H308" s="40"/>
      <c r="I308" s="52"/>
      <c r="J308" s="53"/>
      <c r="K308" s="17"/>
      <c r="L308" s="39">
        <v>800</v>
      </c>
      <c r="M308" s="43">
        <v>762</v>
      </c>
      <c r="N308" s="45" t="s">
        <v>108</v>
      </c>
      <c r="O308" s="55">
        <v>7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1757</v>
      </c>
      <c r="B309" s="29"/>
      <c r="C309" s="29"/>
      <c r="D309" s="29"/>
      <c r="E309" s="29"/>
      <c r="F309" s="29">
        <v>2987</v>
      </c>
      <c r="G309" s="39"/>
      <c r="H309" s="40"/>
      <c r="I309" s="52"/>
      <c r="J309" s="53"/>
      <c r="K309" s="17"/>
      <c r="L309" s="39">
        <v>812</v>
      </c>
      <c r="M309" s="43">
        <v>764</v>
      </c>
      <c r="N309" s="45" t="s">
        <v>108</v>
      </c>
      <c r="O309" s="55">
        <v>8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1758</v>
      </c>
      <c r="B310" s="29"/>
      <c r="C310" s="29"/>
      <c r="D310" s="29"/>
      <c r="E310" s="29"/>
      <c r="F310" s="29">
        <v>2986</v>
      </c>
      <c r="G310" s="39"/>
      <c r="H310" s="40"/>
      <c r="I310" s="52"/>
      <c r="J310" s="53"/>
      <c r="K310" s="17"/>
      <c r="L310" s="39">
        <v>816</v>
      </c>
      <c r="M310" s="43">
        <v>778</v>
      </c>
      <c r="N310" s="45" t="s">
        <v>108</v>
      </c>
      <c r="O310" s="55">
        <v>10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1759</v>
      </c>
      <c r="B311" s="29"/>
      <c r="C311" s="29"/>
      <c r="D311" s="29"/>
      <c r="E311" s="29"/>
      <c r="F311" s="29">
        <v>2986</v>
      </c>
      <c r="G311" s="39"/>
      <c r="H311" s="40"/>
      <c r="I311" s="52"/>
      <c r="J311" s="53"/>
      <c r="K311" s="17"/>
      <c r="L311" s="39">
        <v>824</v>
      </c>
      <c r="M311" s="43">
        <v>787</v>
      </c>
      <c r="N311" s="45" t="s">
        <v>108</v>
      </c>
      <c r="O311" s="55">
        <v>15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1760</v>
      </c>
      <c r="B312" s="29"/>
      <c r="C312" s="29"/>
      <c r="D312" s="29"/>
      <c r="E312" s="29"/>
      <c r="F312" s="29">
        <v>2991</v>
      </c>
      <c r="G312" s="39"/>
      <c r="H312" s="40"/>
      <c r="I312" s="52"/>
      <c r="J312" s="53"/>
      <c r="K312" s="17"/>
      <c r="L312" s="39">
        <v>830</v>
      </c>
      <c r="M312" s="43">
        <v>784</v>
      </c>
      <c r="N312" s="45" t="s">
        <v>108</v>
      </c>
      <c r="O312" s="55">
        <v>14</v>
      </c>
      <c r="P312" s="56"/>
      <c r="Q312" s="74"/>
      <c r="R312" s="70" t="s">
        <v>7</v>
      </c>
      <c r="S312" s="19"/>
      <c r="T312" s="60"/>
      <c r="U312" s="59"/>
    </row>
    <row r="313" spans="1:21" ht="15" customHeight="1" x14ac:dyDescent="0.25">
      <c r="A313" s="1">
        <f t="shared" ca="1" si="18"/>
        <v>1761</v>
      </c>
      <c r="B313" s="29"/>
      <c r="C313" s="29"/>
      <c r="D313" s="29"/>
      <c r="E313" s="29"/>
      <c r="F313" s="29">
        <v>2989</v>
      </c>
      <c r="G313" s="39"/>
      <c r="H313" s="40"/>
      <c r="I313" s="52"/>
      <c r="J313" s="53"/>
      <c r="K313" s="17"/>
      <c r="L313" s="39">
        <v>821</v>
      </c>
      <c r="M313" s="43">
        <v>786</v>
      </c>
      <c r="N313" s="45" t="s">
        <v>108</v>
      </c>
      <c r="O313" s="55">
        <v>14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1762</v>
      </c>
      <c r="B314" s="29"/>
      <c r="C314" s="29"/>
      <c r="D314" s="29"/>
      <c r="E314" s="29"/>
      <c r="F314" s="29">
        <v>2987</v>
      </c>
      <c r="G314" s="39"/>
      <c r="H314" s="40"/>
      <c r="I314" s="52"/>
      <c r="J314" s="53"/>
      <c r="K314" s="17"/>
      <c r="L314" s="39">
        <v>823</v>
      </c>
      <c r="M314" s="43">
        <v>750</v>
      </c>
      <c r="N314" s="45" t="s">
        <v>108</v>
      </c>
      <c r="O314" s="55">
        <v>11</v>
      </c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1763</v>
      </c>
      <c r="B315" s="29"/>
      <c r="C315" s="29"/>
      <c r="D315" s="29"/>
      <c r="E315" s="29"/>
      <c r="F315" s="29">
        <v>2989</v>
      </c>
      <c r="G315" s="39"/>
      <c r="H315" s="40"/>
      <c r="I315" s="52"/>
      <c r="J315" s="53"/>
      <c r="K315" s="17"/>
      <c r="L315" s="39">
        <v>826</v>
      </c>
      <c r="M315" s="43">
        <v>778</v>
      </c>
      <c r="N315" s="45" t="s">
        <v>108</v>
      </c>
      <c r="O315" s="55">
        <v>12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1764</v>
      </c>
      <c r="B316" s="29"/>
      <c r="C316" s="29"/>
      <c r="D316" s="29"/>
      <c r="E316" s="29"/>
      <c r="F316" s="29">
        <v>2988</v>
      </c>
      <c r="G316" s="39"/>
      <c r="H316" s="40"/>
      <c r="I316" s="52"/>
      <c r="J316" s="53"/>
      <c r="K316" s="17"/>
      <c r="L316" s="39">
        <v>820</v>
      </c>
      <c r="M316" s="43">
        <v>790</v>
      </c>
      <c r="N316" s="45" t="s">
        <v>108</v>
      </c>
      <c r="O316" s="55">
        <v>12</v>
      </c>
      <c r="P316" s="56"/>
      <c r="Q316" s="74"/>
      <c r="R316" s="70">
        <v>0</v>
      </c>
      <c r="S316" s="19"/>
      <c r="T316" s="60"/>
      <c r="U316" s="59"/>
    </row>
    <row r="317" spans="1:21" ht="15" customHeight="1" x14ac:dyDescent="0.25">
      <c r="A317" s="1">
        <f t="shared" ca="1" si="18"/>
        <v>1765</v>
      </c>
      <c r="B317" s="29"/>
      <c r="C317" s="29"/>
      <c r="D317" s="29"/>
      <c r="E317" s="29"/>
      <c r="F317" s="29">
        <v>2986</v>
      </c>
      <c r="G317" s="39"/>
      <c r="H317" s="40"/>
      <c r="I317" s="52"/>
      <c r="J317" s="53"/>
      <c r="K317" s="17"/>
      <c r="L317" s="39">
        <v>820</v>
      </c>
      <c r="M317" s="43">
        <v>792</v>
      </c>
      <c r="N317" s="45" t="s">
        <v>108</v>
      </c>
      <c r="O317" s="55">
        <v>12</v>
      </c>
      <c r="P317" s="56"/>
      <c r="Q317" s="74"/>
      <c r="R317" s="70">
        <v>0</v>
      </c>
      <c r="S317" s="19"/>
      <c r="T317" s="60"/>
      <c r="U317" s="59"/>
    </row>
    <row r="318" spans="1:21" ht="15" customHeight="1" x14ac:dyDescent="0.25">
      <c r="A318" s="1">
        <f t="shared" ca="1" si="18"/>
        <v>1766</v>
      </c>
      <c r="B318" s="29"/>
      <c r="C318" s="29"/>
      <c r="D318" s="29"/>
      <c r="E318" s="29"/>
      <c r="F318" s="29">
        <v>2990</v>
      </c>
      <c r="G318" s="39"/>
      <c r="H318" s="40"/>
      <c r="I318" s="52"/>
      <c r="J318" s="53"/>
      <c r="K318" s="17"/>
      <c r="L318" s="39">
        <v>827</v>
      </c>
      <c r="M318" s="43">
        <v>782</v>
      </c>
      <c r="N318" s="45" t="s">
        <v>108</v>
      </c>
      <c r="O318" s="55">
        <v>10</v>
      </c>
      <c r="P318" s="56"/>
      <c r="Q318" s="74"/>
      <c r="R318" s="70">
        <v>0</v>
      </c>
      <c r="S318" s="19"/>
      <c r="T318" s="60"/>
      <c r="U318" s="59"/>
    </row>
    <row r="319" spans="1:21" x14ac:dyDescent="0.25">
      <c r="A319" s="1" t="str">
        <f t="shared" ca="1" si="18"/>
        <v>Totaal</v>
      </c>
      <c r="B319" s="61" t="str">
        <f>IF(COUNT(B288:B318)&gt;0,AVERAGE(B288:B318)/10,"")</f>
        <v/>
      </c>
      <c r="C319" s="62" t="str">
        <f>IF(COUNT(C288:C318)&gt;0,AVERAGE(C288:C318)/1000,"")</f>
        <v/>
      </c>
      <c r="D319" s="62" t="str">
        <f t="shared" ref="D319" si="19">IF(COUNT(D288:D318)&gt;0,AVERAGE(D288:D318)/1000,"")</f>
        <v/>
      </c>
      <c r="E319" s="62" t="str">
        <f t="shared" ref="E319" si="20">IF(COUNT(E288:E318)&gt;0,AVERAGE(E288:E318)/1000,"")</f>
        <v/>
      </c>
      <c r="F319" s="62">
        <f>IF(COUNT(F288:F318)&gt;0,AVERAGE(F288:F318)/100,"")</f>
        <v>29.862258064516126</v>
      </c>
      <c r="G319" s="41" t="str">
        <f>IF(COUNT(G288:G318)&gt;0,AVERAGE(G288:G318)/10,"")</f>
        <v/>
      </c>
      <c r="H319" s="42" t="str">
        <f t="shared" ref="H319" si="21">IF(COUNT(H288:H318)&gt;0,AVERAGE(H288:H318)/10,"")</f>
        <v/>
      </c>
      <c r="I319" s="18" t="str">
        <f>IF(COUNT(I288:I318)&gt;0,AVERAGE(I288:I318)/10,"")</f>
        <v/>
      </c>
      <c r="J319" s="54" t="str">
        <f>IF(COUNT(J288:J318)&gt;0,AVERAGE(J288:J318),"")</f>
        <v/>
      </c>
      <c r="K319" s="51" t="str">
        <f>IF(COUNT(K288:K318)&gt;0,AVERAGE(K288:K318)/1000,"")</f>
        <v/>
      </c>
      <c r="L319" s="41">
        <f>IF(COUNT(L288:L318)&gt;0,AVERAGE(L288:L318)/10,"")</f>
        <v>81.558064516129036</v>
      </c>
      <c r="M319" s="44">
        <f>IF(COUNT(M288:M318)&gt;0,AVERAGE(M288:M318)/10,"")</f>
        <v>76.829032258064515</v>
      </c>
      <c r="N319" s="46"/>
      <c r="O319" s="57">
        <f>IF(COUNT(O288:O318)&gt;0,AVERAGE(O288:O318),"")</f>
        <v>9.4516129032258061</v>
      </c>
      <c r="P319" s="58" t="str">
        <f>IF(COUNT(P288:P318)&gt;0,AVERAGE(P288:P318),"")</f>
        <v/>
      </c>
      <c r="Q319" s="47"/>
      <c r="R319" s="68">
        <f>IF(COUNT(R288:R318)&gt;0,SUM(R288:R318)/100,"")</f>
        <v>3.85</v>
      </c>
      <c r="S319" s="64" t="str">
        <f>IF(COUNT(S288:S318)&gt;0,AVERAGE(S288:S318),"")</f>
        <v/>
      </c>
      <c r="T319" s="65" t="str">
        <f>IF(COUNT(T288:T318)&gt;0,AVERAGE(T288:T318),"")</f>
        <v/>
      </c>
      <c r="U319" s="66" t="str">
        <f>IF(COUNT(U288:U318)&gt;0,AVERAGE(U288:U318),"")</f>
        <v/>
      </c>
    </row>
    <row r="320" spans="1:21" ht="15" customHeight="1" x14ac:dyDescent="0.25">
      <c r="A320" s="1">
        <f t="shared" ca="1" si="18"/>
        <v>1767</v>
      </c>
      <c r="B320" s="29"/>
      <c r="C320" s="29"/>
      <c r="D320" s="29"/>
      <c r="E320" s="29"/>
      <c r="F320" s="29">
        <v>2990</v>
      </c>
      <c r="G320" s="39"/>
      <c r="H320" s="40"/>
      <c r="I320" s="52"/>
      <c r="J320" s="53"/>
      <c r="K320" s="17"/>
      <c r="L320" s="39">
        <v>834</v>
      </c>
      <c r="M320" s="43">
        <v>780</v>
      </c>
      <c r="N320" s="45" t="s">
        <v>108</v>
      </c>
      <c r="O320" s="55">
        <v>9</v>
      </c>
      <c r="P320" s="56"/>
      <c r="Q320" s="74"/>
      <c r="R320" s="70">
        <v>0</v>
      </c>
      <c r="S320" s="19"/>
      <c r="T320" s="60"/>
      <c r="U320" s="59"/>
    </row>
    <row r="321" spans="1:21" ht="15" customHeight="1" x14ac:dyDescent="0.25">
      <c r="A321" s="1">
        <f t="shared" ca="1" si="18"/>
        <v>1768</v>
      </c>
      <c r="B321" s="29"/>
      <c r="C321" s="29"/>
      <c r="D321" s="29"/>
      <c r="E321" s="29"/>
      <c r="F321" s="29">
        <v>2989</v>
      </c>
      <c r="G321" s="39"/>
      <c r="H321" s="40"/>
      <c r="I321" s="52"/>
      <c r="J321" s="53"/>
      <c r="K321" s="17"/>
      <c r="L321" s="39">
        <v>823</v>
      </c>
      <c r="M321" s="43">
        <v>774</v>
      </c>
      <c r="N321" s="45" t="s">
        <v>108</v>
      </c>
      <c r="O321" s="55">
        <v>11</v>
      </c>
      <c r="P321" s="56"/>
      <c r="Q321" s="74"/>
      <c r="R321" s="70">
        <v>0</v>
      </c>
      <c r="S321" s="19"/>
      <c r="T321" s="60"/>
      <c r="U321" s="59"/>
    </row>
    <row r="322" spans="1:21" ht="15" customHeight="1" x14ac:dyDescent="0.25">
      <c r="A322" s="1">
        <f t="shared" ca="1" si="18"/>
        <v>1769</v>
      </c>
      <c r="B322" s="29"/>
      <c r="C322" s="29"/>
      <c r="D322" s="29"/>
      <c r="E322" s="29"/>
      <c r="F322" s="29">
        <v>2991</v>
      </c>
      <c r="G322" s="39"/>
      <c r="H322" s="40"/>
      <c r="I322" s="52"/>
      <c r="J322" s="53"/>
      <c r="K322" s="17"/>
      <c r="L322" s="39">
        <v>831</v>
      </c>
      <c r="M322" s="43">
        <v>779</v>
      </c>
      <c r="N322" s="45" t="s">
        <v>108</v>
      </c>
      <c r="O322" s="55">
        <v>12</v>
      </c>
      <c r="P322" s="56"/>
      <c r="Q322" s="74"/>
      <c r="R322" s="70">
        <v>0</v>
      </c>
      <c r="S322" s="19"/>
      <c r="T322" s="60"/>
      <c r="U322" s="59"/>
    </row>
    <row r="323" spans="1:21" ht="15" customHeight="1" x14ac:dyDescent="0.25">
      <c r="A323" s="1">
        <f t="shared" ca="1" si="18"/>
        <v>1770</v>
      </c>
      <c r="B323" s="29"/>
      <c r="C323" s="29"/>
      <c r="D323" s="29"/>
      <c r="E323" s="29"/>
      <c r="F323" s="29">
        <v>2988</v>
      </c>
      <c r="G323" s="39"/>
      <c r="H323" s="40"/>
      <c r="I323" s="52"/>
      <c r="J323" s="53"/>
      <c r="K323" s="17"/>
      <c r="L323" s="39">
        <v>832</v>
      </c>
      <c r="M323" s="43">
        <v>790</v>
      </c>
      <c r="N323" s="45" t="s">
        <v>108</v>
      </c>
      <c r="O323" s="55">
        <v>11</v>
      </c>
      <c r="P323" s="56"/>
      <c r="Q323" s="74"/>
      <c r="R323" s="70">
        <v>0</v>
      </c>
      <c r="S323" s="19"/>
      <c r="T323" s="60"/>
      <c r="U323" s="59"/>
    </row>
    <row r="324" spans="1:21" ht="15" customHeight="1" x14ac:dyDescent="0.25">
      <c r="A324" s="1">
        <f t="shared" ca="1" si="18"/>
        <v>1771</v>
      </c>
      <c r="B324" s="29"/>
      <c r="C324" s="29"/>
      <c r="D324" s="29"/>
      <c r="E324" s="29"/>
      <c r="F324" s="29">
        <v>2988</v>
      </c>
      <c r="G324" s="39"/>
      <c r="H324" s="40"/>
      <c r="I324" s="52"/>
      <c r="J324" s="53"/>
      <c r="K324" s="17"/>
      <c r="L324" s="39">
        <v>826</v>
      </c>
      <c r="M324" s="43">
        <v>788</v>
      </c>
      <c r="N324" s="45" t="s">
        <v>108</v>
      </c>
      <c r="O324" s="55">
        <v>12</v>
      </c>
      <c r="P324" s="56"/>
      <c r="Q324" s="74"/>
      <c r="R324" s="70">
        <v>0</v>
      </c>
      <c r="S324" s="19"/>
      <c r="T324" s="60"/>
      <c r="U324" s="59"/>
    </row>
    <row r="325" spans="1:21" ht="15" customHeight="1" x14ac:dyDescent="0.25">
      <c r="A325" s="1">
        <f t="shared" ca="1" si="18"/>
        <v>1772</v>
      </c>
      <c r="B325" s="29"/>
      <c r="C325" s="29"/>
      <c r="D325" s="29"/>
      <c r="E325" s="29"/>
      <c r="F325" s="29">
        <v>2990</v>
      </c>
      <c r="G325" s="39"/>
      <c r="H325" s="40"/>
      <c r="I325" s="52"/>
      <c r="J325" s="53"/>
      <c r="K325" s="17"/>
      <c r="L325" s="39">
        <v>835</v>
      </c>
      <c r="M325" s="43">
        <v>787</v>
      </c>
      <c r="N325" s="45" t="s">
        <v>108</v>
      </c>
      <c r="O325" s="55">
        <v>13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1773</v>
      </c>
      <c r="B326" s="29"/>
      <c r="C326" s="29"/>
      <c r="D326" s="29"/>
      <c r="E326" s="29"/>
      <c r="F326" s="29">
        <v>2993</v>
      </c>
      <c r="G326" s="39"/>
      <c r="H326" s="40"/>
      <c r="I326" s="52"/>
      <c r="J326" s="53"/>
      <c r="K326" s="17"/>
      <c r="L326" s="39">
        <v>824</v>
      </c>
      <c r="M326" s="43">
        <v>798</v>
      </c>
      <c r="N326" s="45" t="s">
        <v>108</v>
      </c>
      <c r="O326" s="55">
        <v>20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ca="1" si="18"/>
        <v>1774</v>
      </c>
      <c r="B327" s="29"/>
      <c r="C327" s="29"/>
      <c r="D327" s="29"/>
      <c r="E327" s="29"/>
      <c r="F327" s="29">
        <v>2993</v>
      </c>
      <c r="G327" s="39"/>
      <c r="H327" s="40"/>
      <c r="I327" s="52"/>
      <c r="J327" s="53"/>
      <c r="K327" s="17"/>
      <c r="L327" s="39">
        <v>825</v>
      </c>
      <c r="M327" s="43">
        <v>793</v>
      </c>
      <c r="N327" s="45" t="s">
        <v>108</v>
      </c>
      <c r="O327" s="55">
        <v>16</v>
      </c>
      <c r="P327" s="56"/>
      <c r="Q327" s="74"/>
      <c r="R327" s="70">
        <v>0</v>
      </c>
      <c r="S327" s="19"/>
      <c r="T327" s="60"/>
      <c r="U327" s="59"/>
    </row>
    <row r="328" spans="1:21" ht="15" customHeight="1" x14ac:dyDescent="0.25">
      <c r="A328" s="1">
        <f t="shared" ref="A328:A382" ca="1" si="22">IF(ISTEXT(A327),A326+1,IF(MONTH(A327+1)=MONTH(A327),A327+1,"Totaal"))</f>
        <v>1775</v>
      </c>
      <c r="B328" s="29"/>
      <c r="C328" s="29"/>
      <c r="D328" s="29"/>
      <c r="E328" s="29"/>
      <c r="F328" s="29">
        <v>2990</v>
      </c>
      <c r="G328" s="39"/>
      <c r="H328" s="40"/>
      <c r="I328" s="52"/>
      <c r="J328" s="53"/>
      <c r="K328" s="17"/>
      <c r="L328" s="39">
        <v>820</v>
      </c>
      <c r="M328" s="43">
        <v>780</v>
      </c>
      <c r="N328" s="45" t="s">
        <v>108</v>
      </c>
      <c r="O328" s="55">
        <v>14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1776</v>
      </c>
      <c r="B329" s="29"/>
      <c r="C329" s="29"/>
      <c r="D329" s="29"/>
      <c r="E329" s="29"/>
      <c r="F329" s="29">
        <v>2995</v>
      </c>
      <c r="G329" s="39"/>
      <c r="H329" s="40"/>
      <c r="I329" s="52"/>
      <c r="J329" s="53"/>
      <c r="K329" s="17"/>
      <c r="L329" s="39">
        <v>825</v>
      </c>
      <c r="M329" s="43">
        <v>780</v>
      </c>
      <c r="N329" s="45" t="s">
        <v>108</v>
      </c>
      <c r="O329" s="55">
        <v>14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1777</v>
      </c>
      <c r="B330" s="29"/>
      <c r="C330" s="29"/>
      <c r="D330" s="29"/>
      <c r="E330" s="29"/>
      <c r="F330" s="29">
        <v>2993</v>
      </c>
      <c r="G330" s="39"/>
      <c r="H330" s="40"/>
      <c r="I330" s="52"/>
      <c r="J330" s="53"/>
      <c r="K330" s="17"/>
      <c r="L330" s="39">
        <v>830</v>
      </c>
      <c r="M330" s="43">
        <v>787</v>
      </c>
      <c r="N330" s="45" t="s">
        <v>108</v>
      </c>
      <c r="O330" s="55">
        <v>16</v>
      </c>
      <c r="P330" s="56"/>
      <c r="Q330" s="74"/>
      <c r="R330" s="70" t="s">
        <v>7</v>
      </c>
      <c r="S330" s="19"/>
      <c r="T330" s="60"/>
      <c r="U330" s="59"/>
    </row>
    <row r="331" spans="1:21" ht="15" customHeight="1" x14ac:dyDescent="0.25">
      <c r="A331" s="1">
        <f t="shared" ca="1" si="22"/>
        <v>1778</v>
      </c>
      <c r="B331" s="29"/>
      <c r="C331" s="29"/>
      <c r="D331" s="29"/>
      <c r="E331" s="29"/>
      <c r="F331" s="29">
        <v>2992</v>
      </c>
      <c r="G331" s="39"/>
      <c r="H331" s="40"/>
      <c r="I331" s="52"/>
      <c r="J331" s="53"/>
      <c r="K331" s="17"/>
      <c r="L331" s="39">
        <v>816</v>
      </c>
      <c r="M331" s="43">
        <v>785</v>
      </c>
      <c r="N331" s="45" t="s">
        <v>108</v>
      </c>
      <c r="O331" s="55">
        <v>13</v>
      </c>
      <c r="P331" s="56"/>
      <c r="Q331" s="74"/>
      <c r="R331" s="70">
        <v>0</v>
      </c>
      <c r="S331" s="19"/>
      <c r="T331" s="60"/>
      <c r="U331" s="59"/>
    </row>
    <row r="332" spans="1:21" ht="15" customHeight="1" x14ac:dyDescent="0.25">
      <c r="A332" s="1">
        <f t="shared" ca="1" si="22"/>
        <v>1779</v>
      </c>
      <c r="B332" s="29"/>
      <c r="C332" s="29"/>
      <c r="D332" s="29"/>
      <c r="E332" s="29"/>
      <c r="F332" s="29">
        <v>2992</v>
      </c>
      <c r="G332" s="39"/>
      <c r="H332" s="40"/>
      <c r="I332" s="52"/>
      <c r="J332" s="53"/>
      <c r="K332" s="17"/>
      <c r="L332" s="39">
        <v>820</v>
      </c>
      <c r="M332" s="43">
        <v>774</v>
      </c>
      <c r="N332" s="45" t="s">
        <v>110</v>
      </c>
      <c r="O332" s="55">
        <v>10</v>
      </c>
      <c r="P332" s="56"/>
      <c r="Q332" s="74"/>
      <c r="R332" s="70">
        <v>0</v>
      </c>
      <c r="S332" s="19"/>
      <c r="T332" s="60"/>
      <c r="U332" s="59"/>
    </row>
    <row r="333" spans="1:21" ht="15" customHeight="1" x14ac:dyDescent="0.25">
      <c r="A333" s="1">
        <f t="shared" ca="1" si="22"/>
        <v>1780</v>
      </c>
      <c r="B333" s="29"/>
      <c r="C333" s="29"/>
      <c r="D333" s="29"/>
      <c r="E333" s="29"/>
      <c r="F333" s="29">
        <v>2994</v>
      </c>
      <c r="G333" s="39"/>
      <c r="H333" s="40"/>
      <c r="I333" s="52"/>
      <c r="J333" s="53"/>
      <c r="K333" s="17"/>
      <c r="L333" s="39">
        <v>824</v>
      </c>
      <c r="M333" s="43">
        <v>789</v>
      </c>
      <c r="N333" s="45" t="s">
        <v>108</v>
      </c>
      <c r="O333" s="55">
        <v>15</v>
      </c>
      <c r="P333" s="56"/>
      <c r="Q333" s="74"/>
      <c r="R333" s="70">
        <v>0</v>
      </c>
      <c r="S333" s="19"/>
      <c r="T333" s="60"/>
      <c r="U333" s="59"/>
    </row>
    <row r="334" spans="1:21" ht="15" customHeight="1" x14ac:dyDescent="0.25">
      <c r="A334" s="1">
        <f t="shared" ca="1" si="22"/>
        <v>1781</v>
      </c>
      <c r="B334" s="29"/>
      <c r="C334" s="29"/>
      <c r="D334" s="29"/>
      <c r="E334" s="29"/>
      <c r="F334" s="29">
        <v>3001</v>
      </c>
      <c r="G334" s="39"/>
      <c r="H334" s="40"/>
      <c r="I334" s="52"/>
      <c r="J334" s="53"/>
      <c r="K334" s="17"/>
      <c r="L334" s="39">
        <v>810</v>
      </c>
      <c r="M334" s="43">
        <v>745</v>
      </c>
      <c r="N334" s="45" t="s">
        <v>108</v>
      </c>
      <c r="O334" s="55">
        <v>10</v>
      </c>
      <c r="P334" s="56"/>
      <c r="Q334" s="74"/>
      <c r="R334" s="70">
        <v>8</v>
      </c>
      <c r="S334" s="19"/>
      <c r="T334" s="60"/>
      <c r="U334" s="59"/>
    </row>
    <row r="335" spans="1:21" ht="15" customHeight="1" x14ac:dyDescent="0.25">
      <c r="A335" s="1">
        <f t="shared" ca="1" si="22"/>
        <v>1782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1783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1784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1785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1786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1787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1788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1789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1790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1791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1792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1793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1794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1795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ht="15" customHeight="1" x14ac:dyDescent="0.25">
      <c r="A349" s="1">
        <f t="shared" ca="1" si="22"/>
        <v>1796</v>
      </c>
      <c r="B349" s="29"/>
      <c r="C349" s="29"/>
      <c r="D349" s="29"/>
      <c r="E349" s="29"/>
      <c r="F349" s="29"/>
      <c r="G349" s="39"/>
      <c r="H349" s="40"/>
      <c r="I349" s="52"/>
      <c r="J349" s="53"/>
      <c r="K349" s="17"/>
      <c r="L349" s="39"/>
      <c r="M349" s="43"/>
      <c r="N349" s="45"/>
      <c r="O349" s="55"/>
      <c r="P349" s="56"/>
      <c r="Q349" s="74"/>
      <c r="R349" s="70"/>
      <c r="S349" s="19"/>
      <c r="T349" s="60"/>
      <c r="U349" s="59"/>
    </row>
    <row r="350" spans="1:21" x14ac:dyDescent="0.25">
      <c r="A350" s="1" t="str">
        <f t="shared" ca="1" si="22"/>
        <v>Totaal</v>
      </c>
      <c r="B350" s="61" t="str">
        <f>IF(COUNT(B320:B349)&gt;0,AVERAGE(B320:B349)/10,"")</f>
        <v/>
      </c>
      <c r="C350" s="62" t="str">
        <f>IF(COUNT(C320:C349)&gt;0,AVERAGE(C320:C349)/1000,"")</f>
        <v/>
      </c>
      <c r="D350" s="62" t="str">
        <f>IF(COUNT(D320:D349)&gt;0,AVERAGE(D320:D349)/1000,"")</f>
        <v/>
      </c>
      <c r="E350" s="62" t="str">
        <f>IF(COUNT(E320:E349)&gt;0,AVERAGE(E320:E349)/1000,"")</f>
        <v/>
      </c>
      <c r="F350" s="62">
        <f>IF(COUNT(F320:F349)&gt;0,AVERAGE(F320:F349)/100,"")</f>
        <v>29.919333333333334</v>
      </c>
      <c r="G350" s="41" t="str">
        <f>IF(COUNT(G320:G349)&gt;0,AVERAGE(G320:G349)/10,"")</f>
        <v/>
      </c>
      <c r="H350" s="42" t="str">
        <f>IF(COUNT(H320:H349)&gt;0,AVERAGE(H320:H349)/10,"")</f>
        <v/>
      </c>
      <c r="I350" s="18" t="str">
        <f>IF(COUNT(I320:I349)&gt;0,AVERAGE(I320:I349)/10,"")</f>
        <v/>
      </c>
      <c r="J350" s="54" t="str">
        <f>IF(COUNT(J320:J349)&gt;0,AVERAGE(J320:J349),"")</f>
        <v/>
      </c>
      <c r="K350" s="51" t="str">
        <f>IF(COUNT(K320:K349)&gt;0,AVERAGE(K320:K349)/1000,"")</f>
        <v/>
      </c>
      <c r="L350" s="41">
        <f>IF(COUNT(L320:L349)&gt;0,AVERAGE(L320:L349)/10,"")</f>
        <v>82.5</v>
      </c>
      <c r="M350" s="44">
        <f>IF(COUNT(M320:M349)&gt;0,AVERAGE(M320:M349)/10,"")</f>
        <v>78.193333333333328</v>
      </c>
      <c r="N350" s="46"/>
      <c r="O350" s="57">
        <f>IF(COUNT(O320:O349)&gt;0,AVERAGE(O320:O349),"")</f>
        <v>13.066666666666666</v>
      </c>
      <c r="P350" s="58" t="str">
        <f>IF(COUNT(P320:P349)&gt;0,AVERAGE(P320:P349),"")</f>
        <v/>
      </c>
      <c r="Q350" s="47"/>
      <c r="R350" s="68">
        <f>IF(COUNT(R320:R349)&gt;0,SUM(R320:R349)/100,"")</f>
        <v>0.08</v>
      </c>
      <c r="S350" s="64" t="str">
        <f>IF(COUNT(S320:S349)&gt;0,AVERAGE(S320:S349),"")</f>
        <v/>
      </c>
      <c r="T350" s="65" t="str">
        <f>IF(COUNT(T320:T349)&gt;0,AVERAGE(T320:T349),"")</f>
        <v/>
      </c>
      <c r="U350" s="66" t="str">
        <f>IF(COUNT(U320:U349)&gt;0,AVERAGE(U320:U349),"")</f>
        <v/>
      </c>
    </row>
    <row r="351" spans="1:21" ht="15" customHeight="1" x14ac:dyDescent="0.25">
      <c r="A351" s="1">
        <f t="shared" ca="1" si="22"/>
        <v>1797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1798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1799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1800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1801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1802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1803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1804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1805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1806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1807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1808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1809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1810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1811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1812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1813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1814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1815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1816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1817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1818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1819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1820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1821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1822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1823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1824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1825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1826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ht="15" customHeight="1" x14ac:dyDescent="0.25">
      <c r="A381" s="1">
        <f t="shared" ca="1" si="22"/>
        <v>1827</v>
      </c>
      <c r="B381" s="29"/>
      <c r="C381" s="29"/>
      <c r="D381" s="29"/>
      <c r="E381" s="29"/>
      <c r="F381" s="29"/>
      <c r="G381" s="39"/>
      <c r="H381" s="40"/>
      <c r="I381" s="52"/>
      <c r="J381" s="53"/>
      <c r="K381" s="17"/>
      <c r="L381" s="39"/>
      <c r="M381" s="43"/>
      <c r="N381" s="45"/>
      <c r="O381" s="55"/>
      <c r="P381" s="56"/>
      <c r="Q381" s="74"/>
      <c r="R381" s="70"/>
      <c r="S381" s="19"/>
      <c r="T381" s="60"/>
      <c r="U381" s="59"/>
    </row>
    <row r="382" spans="1:21" x14ac:dyDescent="0.25">
      <c r="A382" s="1" t="str">
        <f t="shared" ca="1" si="22"/>
        <v>Totaal</v>
      </c>
      <c r="B382" s="61" t="str">
        <f>IF(COUNT(B351:B381)&gt;0,AVERAGE(B351:B381)/10,"")</f>
        <v/>
      </c>
      <c r="C382" s="62" t="str">
        <f>IF(COUNT(C351:C381)&gt;0,AVERAGE(C351:C381)/1000,"")</f>
        <v/>
      </c>
      <c r="D382" s="62" t="str">
        <f t="shared" ref="D382" si="23">IF(COUNT(D351:D381)&gt;0,AVERAGE(D351:D381)/1000,"")</f>
        <v/>
      </c>
      <c r="E382" s="62" t="str">
        <f t="shared" ref="E382" si="24">IF(COUNT(E351:E381)&gt;0,AVERAGE(E351:E381)/1000,"")</f>
        <v/>
      </c>
      <c r="F382" s="62" t="str">
        <f>IF(COUNT(F351:F381)&gt;0,AVERAGE(F351:F381)/100,"")</f>
        <v/>
      </c>
      <c r="G382" s="41" t="str">
        <f>IF(COUNT(G351:G381)&gt;0,AVERAGE(G351:G381)/10,"")</f>
        <v/>
      </c>
      <c r="H382" s="42" t="str">
        <f t="shared" ref="H382" si="25">IF(COUNT(H351:H381)&gt;0,AVERAGE(H351:H381)/10,"")</f>
        <v/>
      </c>
      <c r="I382" s="18" t="str">
        <f>IF(COUNT(I351:I381)&gt;0,AVERAGE(I351:I381)/10,"")</f>
        <v/>
      </c>
      <c r="J382" s="54" t="str">
        <f>IF(COUNT(J351:J381)&gt;0,AVERAGE(J351:J381),"")</f>
        <v/>
      </c>
      <c r="K382" s="51" t="str">
        <f>IF(COUNT(K351:K381)&gt;0,AVERAGE(K351:K381)/1000,"")</f>
        <v/>
      </c>
      <c r="L382" s="41" t="str">
        <f>IF(COUNT(L351:L381)&gt;0,AVERAGE(L351:L381)/10,"")</f>
        <v/>
      </c>
      <c r="M382" s="44" t="str">
        <f>IF(COUNT(M351:M381)&gt;0,AVERAGE(M351:M381)/10,"")</f>
        <v/>
      </c>
      <c r="N382" s="46"/>
      <c r="O382" s="57" t="str">
        <f>IF(COUNT(O351:O381)&gt;0,AVERAGE(O351:O381),"")</f>
        <v/>
      </c>
      <c r="P382" s="58" t="str">
        <f>IF(COUNT(P351:P381)&gt;0,AVERAGE(P351:P381),"")</f>
        <v/>
      </c>
      <c r="Q382" s="47"/>
      <c r="R382" s="68" t="str">
        <f>IF(COUNT(R351:R381)&gt;0,SUM(R351:R381)/100,"")</f>
        <v/>
      </c>
      <c r="S382" s="64" t="str">
        <f>IF(COUNT(S351:S381)&gt;0,AVERAGE(S351:S381),"")</f>
        <v/>
      </c>
      <c r="T382" s="65" t="str">
        <f>IF(COUNT(T351:T381)&gt;0,AVERAGE(T351:T381),"")</f>
        <v/>
      </c>
      <c r="U382" s="66" t="str">
        <f>IF(COUNT(U351:U381)&gt;0,AVERAGE(U351:U381),"")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2">
    <cfRule type="expression" dxfId="0" priority="36">
      <formula>ISTEXT($A5)</formula>
    </cfRule>
  </conditionalFormatting>
  <dataValidations count="1">
    <dataValidation type="list" allowBlank="1" showInputMessage="1" showErrorMessage="1" sqref="N5:N35 N37:N65 N67:N97 N99:N128 N130:N160 N162:N191 N193:N223 N225:N255 N257:N286 N288:N318 N320:N349 N351:N381 Q5:Q35 Q37:Q65 Q67:Q97 Q99:Q128 Q130:Q160 Q162:Q191 Q193:Q223 Q225:Q255 Q257:Q286 Q288:Q318 Q320:Q349 Q351:Q381 U5:U35 U37:U65 U67:U97 U99:U128 U130:U160 U162:U191 U193:U223 U225:U255 U257:U286 U288:U318 U320:U349 U351:U381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19040101</v>
      </c>
      <c r="C2" s="5">
        <v>1</v>
      </c>
      <c r="D2" s="69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0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0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19040102</v>
      </c>
      <c r="C3" s="5">
        <v>1</v>
      </c>
      <c r="D3" s="69">
        <f t="shared" ca="1" si="0"/>
        <v>0</v>
      </c>
      <c r="E3" s="10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19040103</v>
      </c>
      <c r="C4" s="5">
        <v>1</v>
      </c>
      <c r="D4" s="69">
        <f t="shared" ca="1" si="0"/>
        <v>0</v>
      </c>
      <c r="E4" s="10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19040104</v>
      </c>
      <c r="C5" s="5">
        <v>1</v>
      </c>
      <c r="D5" s="69">
        <f t="shared" ca="1" si="0"/>
        <v>0</v>
      </c>
      <c r="E5" s="10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19040105</v>
      </c>
      <c r="C6" s="5">
        <v>1</v>
      </c>
      <c r="D6" s="69">
        <f t="shared" ca="1" si="0"/>
        <v>0</v>
      </c>
      <c r="E6" s="10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19040106</v>
      </c>
      <c r="C7" s="5">
        <v>1</v>
      </c>
      <c r="D7" s="69">
        <f t="shared" ca="1" si="0"/>
        <v>0</v>
      </c>
      <c r="E7" s="10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19040107</v>
      </c>
      <c r="C8" s="5">
        <v>1</v>
      </c>
      <c r="D8" s="69">
        <f t="shared" ca="1" si="0"/>
        <v>4.8</v>
      </c>
      <c r="E8" s="10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19040108</v>
      </c>
      <c r="C9" s="5">
        <v>1</v>
      </c>
      <c r="D9" s="69">
        <f t="shared" ca="1" si="0"/>
        <v>0</v>
      </c>
      <c r="E9" s="10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19040109</v>
      </c>
      <c r="C10" s="5">
        <v>1</v>
      </c>
      <c r="D10" s="69">
        <f t="shared" ca="1" si="0"/>
        <v>0</v>
      </c>
      <c r="E10" s="10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19040110</v>
      </c>
      <c r="C11" s="5">
        <v>1</v>
      </c>
      <c r="D11" s="69">
        <f t="shared" ca="1" si="0"/>
        <v>0</v>
      </c>
      <c r="E11" s="10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19040111</v>
      </c>
      <c r="C12" s="5">
        <v>1</v>
      </c>
      <c r="D12" s="69">
        <f t="shared" ca="1" si="0"/>
        <v>22.9</v>
      </c>
      <c r="E12" s="10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19040112</v>
      </c>
      <c r="C13" s="5">
        <v>1</v>
      </c>
      <c r="D13" s="69">
        <f t="shared" ca="1" si="0"/>
        <v>0</v>
      </c>
      <c r="E13" s="10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19040113</v>
      </c>
      <c r="C14" s="5">
        <v>1</v>
      </c>
      <c r="D14" s="69">
        <f t="shared" ca="1" si="0"/>
        <v>0</v>
      </c>
      <c r="E14" s="10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19040114</v>
      </c>
      <c r="C15" s="5">
        <v>1</v>
      </c>
      <c r="D15" s="69" t="str">
        <f t="shared" ca="1" si="0"/>
        <v>T</v>
      </c>
      <c r="E15" s="10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19040115</v>
      </c>
      <c r="C16" s="5">
        <v>1</v>
      </c>
      <c r="D16" s="69" t="str">
        <f t="shared" ca="1" si="0"/>
        <v>T</v>
      </c>
      <c r="E16" s="10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19040116</v>
      </c>
      <c r="C17" s="5">
        <v>1</v>
      </c>
      <c r="D17" s="69">
        <f t="shared" ca="1" si="0"/>
        <v>0</v>
      </c>
      <c r="E17" s="10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19040117</v>
      </c>
      <c r="C18" s="5">
        <v>1</v>
      </c>
      <c r="D18" s="69">
        <f t="shared" ca="1" si="0"/>
        <v>0</v>
      </c>
      <c r="E18" s="10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19040118</v>
      </c>
      <c r="C19" s="5">
        <v>1</v>
      </c>
      <c r="D19" s="69">
        <f t="shared" ca="1" si="0"/>
        <v>0</v>
      </c>
      <c r="E19" s="10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19040119</v>
      </c>
      <c r="C20" s="5">
        <v>1</v>
      </c>
      <c r="D20" s="69">
        <f t="shared" ca="1" si="0"/>
        <v>1</v>
      </c>
      <c r="E20" s="10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19040120</v>
      </c>
      <c r="C21" s="5">
        <v>1</v>
      </c>
      <c r="D21" s="69">
        <f t="shared" ca="1" si="0"/>
        <v>0</v>
      </c>
      <c r="E21" s="10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19040121</v>
      </c>
      <c r="C22" s="5">
        <v>1</v>
      </c>
      <c r="D22" s="69">
        <f t="shared" ca="1" si="0"/>
        <v>17</v>
      </c>
      <c r="E22" s="10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19040122</v>
      </c>
      <c r="C23" s="5">
        <v>1</v>
      </c>
      <c r="D23" s="69" t="str">
        <f t="shared" ca="1" si="0"/>
        <v>T</v>
      </c>
      <c r="E23" s="10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19040123</v>
      </c>
      <c r="C24" s="5">
        <v>1</v>
      </c>
      <c r="D24" s="69">
        <f t="shared" ca="1" si="0"/>
        <v>1.5</v>
      </c>
      <c r="E24" s="10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19040124</v>
      </c>
      <c r="C25" s="5">
        <v>1</v>
      </c>
      <c r="D25" s="69">
        <f t="shared" ca="1" si="0"/>
        <v>0</v>
      </c>
      <c r="E25" s="10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19040125</v>
      </c>
      <c r="C26" s="5">
        <v>1</v>
      </c>
      <c r="D26" s="69">
        <f t="shared" ca="1" si="0"/>
        <v>13.5</v>
      </c>
      <c r="E26" s="10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19040126</v>
      </c>
      <c r="C27" s="5">
        <v>1</v>
      </c>
      <c r="D27" s="69">
        <f t="shared" ca="1" si="0"/>
        <v>5.3</v>
      </c>
      <c r="E27" s="10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19040127</v>
      </c>
      <c r="C28" s="5">
        <v>1</v>
      </c>
      <c r="D28" s="69">
        <f t="shared" ca="1" si="0"/>
        <v>1.8</v>
      </c>
      <c r="E28" s="10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19040128</v>
      </c>
      <c r="C29" s="5">
        <v>1</v>
      </c>
      <c r="D29" s="69">
        <f t="shared" ca="1" si="0"/>
        <v>5.8</v>
      </c>
      <c r="E29" s="10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19040129</v>
      </c>
      <c r="C30" s="5">
        <v>1</v>
      </c>
      <c r="D30" s="69" t="str">
        <f t="shared" ca="1" si="0"/>
        <v>T</v>
      </c>
      <c r="E30" s="10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19040130</v>
      </c>
      <c r="C31" s="5">
        <v>1</v>
      </c>
      <c r="D31" s="69" t="str">
        <f t="shared" ca="1" si="0"/>
        <v>T</v>
      </c>
      <c r="E31" s="10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19040131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19040201</v>
      </c>
      <c r="C33" s="5">
        <v>1</v>
      </c>
      <c r="D33" s="69">
        <f t="shared" ca="1" si="0"/>
        <v>0</v>
      </c>
      <c r="E33" s="10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19040202</v>
      </c>
      <c r="C34" s="5">
        <v>1</v>
      </c>
      <c r="D34" s="69" t="str">
        <f t="shared" ca="1" si="0"/>
        <v>T</v>
      </c>
      <c r="E34" s="10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19040203</v>
      </c>
      <c r="C35" s="5">
        <v>1</v>
      </c>
      <c r="D35" s="69" t="str">
        <f t="shared" ca="1" si="0"/>
        <v>T</v>
      </c>
      <c r="E35" s="10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19040204</v>
      </c>
      <c r="C36" s="5">
        <v>1</v>
      </c>
      <c r="D36" s="69" t="str">
        <f t="shared" ca="1" si="0"/>
        <v>T</v>
      </c>
      <c r="E36" s="10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19040205</v>
      </c>
      <c r="C37" s="5">
        <v>1</v>
      </c>
      <c r="D37" s="69">
        <f t="shared" ca="1" si="0"/>
        <v>0</v>
      </c>
      <c r="E37" s="10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19040206</v>
      </c>
      <c r="C38" s="5">
        <v>1</v>
      </c>
      <c r="D38" s="69">
        <f t="shared" ca="1" si="0"/>
        <v>2</v>
      </c>
      <c r="E38" s="10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19040207</v>
      </c>
      <c r="C39" s="5">
        <v>1</v>
      </c>
      <c r="D39" s="69">
        <f t="shared" ca="1" si="0"/>
        <v>9.6999999999999993</v>
      </c>
      <c r="E39" s="10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19040208</v>
      </c>
      <c r="C40" s="5">
        <v>1</v>
      </c>
      <c r="D40" s="69" t="str">
        <f t="shared" ca="1" si="0"/>
        <v>T</v>
      </c>
      <c r="E40" s="10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19040209</v>
      </c>
      <c r="C41" s="5">
        <v>1</v>
      </c>
      <c r="D41" s="69" t="str">
        <f t="shared" ca="1" si="0"/>
        <v>T</v>
      </c>
      <c r="E41" s="10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19040210</v>
      </c>
      <c r="C42" s="5">
        <v>1</v>
      </c>
      <c r="D42" s="69">
        <f t="shared" ca="1" si="0"/>
        <v>6.6</v>
      </c>
      <c r="E42" s="10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19040211</v>
      </c>
      <c r="C43" s="5">
        <v>1</v>
      </c>
      <c r="D43" s="69">
        <f t="shared" ca="1" si="0"/>
        <v>0</v>
      </c>
      <c r="E43" s="10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19040212</v>
      </c>
      <c r="C44" s="5">
        <v>1</v>
      </c>
      <c r="D44" s="69">
        <f t="shared" ca="1" si="0"/>
        <v>0</v>
      </c>
      <c r="E44" s="10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19040213</v>
      </c>
      <c r="C45" s="5">
        <v>1</v>
      </c>
      <c r="D45" s="69">
        <f t="shared" ca="1" si="0"/>
        <v>0</v>
      </c>
      <c r="E45" s="10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19040214</v>
      </c>
      <c r="C46" s="5">
        <v>1</v>
      </c>
      <c r="D46" s="69">
        <f t="shared" ca="1" si="0"/>
        <v>0</v>
      </c>
      <c r="E46" s="10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19040215</v>
      </c>
      <c r="C47" s="5">
        <v>1</v>
      </c>
      <c r="D47" s="69">
        <f t="shared" ca="1" si="0"/>
        <v>0</v>
      </c>
      <c r="E47" s="10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19040216</v>
      </c>
      <c r="C48" s="5">
        <v>1</v>
      </c>
      <c r="D48" s="69">
        <f t="shared" ca="1" si="0"/>
        <v>0</v>
      </c>
      <c r="E48" s="10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19040217</v>
      </c>
      <c r="C49" s="5">
        <v>1</v>
      </c>
      <c r="D49" s="69">
        <f t="shared" ca="1" si="0"/>
        <v>0</v>
      </c>
      <c r="E49" s="10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19040218</v>
      </c>
      <c r="C50" s="5">
        <v>1</v>
      </c>
      <c r="D50" s="69">
        <f t="shared" ca="1" si="0"/>
        <v>0</v>
      </c>
      <c r="E50" s="10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19040219</v>
      </c>
      <c r="C51" s="5">
        <v>1</v>
      </c>
      <c r="D51" s="69">
        <f t="shared" ca="1" si="0"/>
        <v>0</v>
      </c>
      <c r="E51" s="10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19040220</v>
      </c>
      <c r="C52" s="5">
        <v>1</v>
      </c>
      <c r="D52" s="69">
        <f t="shared" ca="1" si="0"/>
        <v>0</v>
      </c>
      <c r="E52" s="10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19040221</v>
      </c>
      <c r="C53" s="5">
        <v>1</v>
      </c>
      <c r="D53" s="69">
        <f t="shared" ca="1" si="0"/>
        <v>0</v>
      </c>
      <c r="E53" s="10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19040222</v>
      </c>
      <c r="C54" s="5">
        <v>1</v>
      </c>
      <c r="D54" s="69">
        <f t="shared" ca="1" si="0"/>
        <v>1.5</v>
      </c>
      <c r="E54" s="10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19040223</v>
      </c>
      <c r="C55" s="5">
        <v>1</v>
      </c>
      <c r="D55" s="69" t="str">
        <f t="shared" ca="1" si="0"/>
        <v>T</v>
      </c>
      <c r="E55" s="10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19040224</v>
      </c>
      <c r="C56" s="5">
        <v>1</v>
      </c>
      <c r="D56" s="69">
        <f t="shared" ca="1" si="0"/>
        <v>0.3</v>
      </c>
      <c r="E56" s="10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19040225</v>
      </c>
      <c r="C57" s="5">
        <v>1</v>
      </c>
      <c r="D57" s="69" t="str">
        <f t="shared" ca="1" si="0"/>
        <v>T</v>
      </c>
      <c r="E57" s="10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19040226</v>
      </c>
      <c r="C58" s="5">
        <v>1</v>
      </c>
      <c r="D58" s="69" t="str">
        <f t="shared" ca="1" si="0"/>
        <v>T</v>
      </c>
      <c r="E58" s="10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19040227</v>
      </c>
      <c r="C59" s="5">
        <v>1</v>
      </c>
      <c r="D59" s="69">
        <f t="shared" ca="1" si="0"/>
        <v>0.3</v>
      </c>
      <c r="E59" s="10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19040228</v>
      </c>
      <c r="C60" s="5">
        <v>1</v>
      </c>
      <c r="D60" s="69" t="str">
        <f t="shared" ca="1" si="0"/>
        <v>T</v>
      </c>
      <c r="E60" s="10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19040229</v>
      </c>
      <c r="C61" s="5">
        <v>1</v>
      </c>
      <c r="D61" s="69" t="str">
        <f t="shared" ca="1" si="0"/>
        <v>T</v>
      </c>
      <c r="E61" s="10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19040301</v>
      </c>
      <c r="C62" s="5">
        <v>1</v>
      </c>
      <c r="D62" s="69" t="str">
        <f t="shared" ca="1" si="0"/>
        <v>T</v>
      </c>
      <c r="E62" s="10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19040302</v>
      </c>
      <c r="C63" s="5">
        <v>1</v>
      </c>
      <c r="D63" s="69">
        <f t="shared" ca="1" si="0"/>
        <v>0</v>
      </c>
      <c r="E63" s="10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19040303</v>
      </c>
      <c r="C64" s="5">
        <v>1</v>
      </c>
      <c r="D64" s="69" t="str">
        <f t="shared" ca="1" si="0"/>
        <v>T</v>
      </c>
      <c r="E64" s="10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19040304</v>
      </c>
      <c r="C65" s="5">
        <v>1</v>
      </c>
      <c r="D65" s="69" t="str">
        <f t="shared" ca="1" si="0"/>
        <v>T</v>
      </c>
      <c r="E65" s="10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19040305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T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0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19040306</v>
      </c>
      <c r="C67" s="5">
        <v>1</v>
      </c>
      <c r="D67" s="69" t="str">
        <f t="shared" ca="1" si="2"/>
        <v>T</v>
      </c>
      <c r="E67" s="10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19040307</v>
      </c>
      <c r="C68" s="5">
        <v>1</v>
      </c>
      <c r="D68" s="69">
        <f t="shared" ca="1" si="2"/>
        <v>0</v>
      </c>
      <c r="E68" s="10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19040308</v>
      </c>
      <c r="C69" s="5">
        <v>1</v>
      </c>
      <c r="D69" s="69" t="str">
        <f t="shared" ca="1" si="2"/>
        <v>T</v>
      </c>
      <c r="E69" s="10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19040309</v>
      </c>
      <c r="C70" s="5">
        <v>1</v>
      </c>
      <c r="D70" s="69" t="str">
        <f t="shared" ca="1" si="2"/>
        <v>T</v>
      </c>
      <c r="E70" s="10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19040310</v>
      </c>
      <c r="C71" s="5">
        <v>1</v>
      </c>
      <c r="D71" s="69" t="str">
        <f t="shared" ca="1" si="2"/>
        <v>T</v>
      </c>
      <c r="E71" s="10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19040311</v>
      </c>
      <c r="C72" s="5">
        <v>1</v>
      </c>
      <c r="D72" s="69" t="str">
        <f t="shared" ca="1" si="2"/>
        <v>T</v>
      </c>
      <c r="E72" s="10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19040312</v>
      </c>
      <c r="C73" s="5">
        <v>1</v>
      </c>
      <c r="D73" s="69" t="str">
        <f t="shared" ca="1" si="2"/>
        <v>T</v>
      </c>
      <c r="E73" s="10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19040313</v>
      </c>
      <c r="C74" s="5">
        <v>1</v>
      </c>
      <c r="D74" s="69" t="str">
        <f t="shared" ca="1" si="2"/>
        <v>T</v>
      </c>
      <c r="E74" s="10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19040314</v>
      </c>
      <c r="C75" s="5">
        <v>1</v>
      </c>
      <c r="D75" s="69" t="str">
        <f t="shared" ca="1" si="2"/>
        <v>T</v>
      </c>
      <c r="E75" s="10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19040315</v>
      </c>
      <c r="C76" s="5">
        <v>1</v>
      </c>
      <c r="D76" s="69" t="str">
        <f t="shared" ca="1" si="2"/>
        <v>T</v>
      </c>
      <c r="E76" s="10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19040316</v>
      </c>
      <c r="C77" s="5">
        <v>1</v>
      </c>
      <c r="D77" s="69">
        <f t="shared" ca="1" si="2"/>
        <v>0</v>
      </c>
      <c r="E77" s="10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19040317</v>
      </c>
      <c r="C78" s="5">
        <v>1</v>
      </c>
      <c r="D78" s="69">
        <f t="shared" ca="1" si="2"/>
        <v>0</v>
      </c>
      <c r="E78" s="10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19040318</v>
      </c>
      <c r="C79" s="5">
        <v>1</v>
      </c>
      <c r="D79" s="69">
        <f t="shared" ca="1" si="2"/>
        <v>0.3</v>
      </c>
      <c r="E79" s="10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19040319</v>
      </c>
      <c r="C80" s="5">
        <v>1</v>
      </c>
      <c r="D80" s="69" t="str">
        <f t="shared" ca="1" si="2"/>
        <v>T</v>
      </c>
      <c r="E80" s="10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19040320</v>
      </c>
      <c r="C81" s="5">
        <v>1</v>
      </c>
      <c r="D81" s="69">
        <f t="shared" ca="1" si="2"/>
        <v>0</v>
      </c>
      <c r="E81" s="10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19040321</v>
      </c>
      <c r="C82" s="5">
        <v>1</v>
      </c>
      <c r="D82" s="69" t="str">
        <f t="shared" ca="1" si="2"/>
        <v>T</v>
      </c>
      <c r="E82" s="10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19040322</v>
      </c>
      <c r="C83" s="5">
        <v>1</v>
      </c>
      <c r="D83" s="69">
        <f t="shared" ca="1" si="2"/>
        <v>0</v>
      </c>
      <c r="E83" s="10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19040323</v>
      </c>
      <c r="C84" s="5">
        <v>1</v>
      </c>
      <c r="D84" s="69">
        <f t="shared" ca="1" si="2"/>
        <v>0</v>
      </c>
      <c r="E84" s="10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19040324</v>
      </c>
      <c r="C85" s="5">
        <v>1</v>
      </c>
      <c r="D85" s="69" t="str">
        <f t="shared" ca="1" si="2"/>
        <v>T</v>
      </c>
      <c r="E85" s="10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19040325</v>
      </c>
      <c r="C86" s="5">
        <v>1</v>
      </c>
      <c r="D86" s="69">
        <f t="shared" ca="1" si="2"/>
        <v>0</v>
      </c>
      <c r="E86" s="10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19040326</v>
      </c>
      <c r="C87" s="5">
        <v>1</v>
      </c>
      <c r="D87" s="69" t="str">
        <f t="shared" ca="1" si="2"/>
        <v>T</v>
      </c>
      <c r="E87" s="10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19040327</v>
      </c>
      <c r="C88" s="5">
        <v>1</v>
      </c>
      <c r="D88" s="69" t="str">
        <f t="shared" ca="1" si="2"/>
        <v>T</v>
      </c>
      <c r="E88" s="10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19040328</v>
      </c>
      <c r="C89" s="5">
        <v>1</v>
      </c>
      <c r="D89" s="69" t="str">
        <f t="shared" ca="1" si="2"/>
        <v>T</v>
      </c>
      <c r="E89" s="10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19040329</v>
      </c>
      <c r="C90" s="5">
        <v>1</v>
      </c>
      <c r="D90" s="69" t="str">
        <f t="shared" ca="1" si="2"/>
        <v>T</v>
      </c>
      <c r="E90" s="10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19040330</v>
      </c>
      <c r="C91" s="5">
        <v>1</v>
      </c>
      <c r="D91" s="69" t="str">
        <f t="shared" ca="1" si="2"/>
        <v>T</v>
      </c>
      <c r="E91" s="10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19040331</v>
      </c>
      <c r="C92" s="5">
        <v>1</v>
      </c>
      <c r="D92" s="69">
        <f t="shared" ca="1" si="2"/>
        <v>1.5</v>
      </c>
      <c r="E92" s="10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19040401</v>
      </c>
      <c r="C93" s="5">
        <v>1</v>
      </c>
      <c r="D93" s="69">
        <f t="shared" ca="1" si="2"/>
        <v>1.8</v>
      </c>
      <c r="E93" s="10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19040402</v>
      </c>
      <c r="C94" s="5">
        <v>1</v>
      </c>
      <c r="D94" s="69">
        <f t="shared" ca="1" si="2"/>
        <v>27.2</v>
      </c>
      <c r="E94" s="10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19040403</v>
      </c>
      <c r="C95" s="5">
        <v>1</v>
      </c>
      <c r="D95" s="69">
        <f t="shared" ca="1" si="2"/>
        <v>21.1</v>
      </c>
      <c r="E95" s="10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19040404</v>
      </c>
      <c r="C96" s="5">
        <v>1</v>
      </c>
      <c r="D96" s="69">
        <f t="shared" ca="1" si="2"/>
        <v>5.0999999999999996</v>
      </c>
      <c r="E96" s="10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19040405</v>
      </c>
      <c r="C97" s="5">
        <v>1</v>
      </c>
      <c r="D97" s="69">
        <f t="shared" ca="1" si="2"/>
        <v>13.5</v>
      </c>
      <c r="E97" s="10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19040406</v>
      </c>
      <c r="C98" s="5">
        <v>1</v>
      </c>
      <c r="D98" s="69">
        <f t="shared" ca="1" si="2"/>
        <v>1.5</v>
      </c>
      <c r="E98" s="10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19040407</v>
      </c>
      <c r="C99" s="5">
        <v>1</v>
      </c>
      <c r="D99" s="69">
        <f t="shared" ca="1" si="2"/>
        <v>0</v>
      </c>
      <c r="E99" s="10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19040408</v>
      </c>
      <c r="C100" s="5">
        <v>1</v>
      </c>
      <c r="D100" s="69">
        <f t="shared" ca="1" si="2"/>
        <v>0</v>
      </c>
      <c r="E100" s="10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19040409</v>
      </c>
      <c r="C101" s="5">
        <v>1</v>
      </c>
      <c r="D101" s="69">
        <f t="shared" ca="1" si="2"/>
        <v>0</v>
      </c>
      <c r="E101" s="10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19040410</v>
      </c>
      <c r="C102" s="5">
        <v>1</v>
      </c>
      <c r="D102" s="69">
        <f t="shared" ca="1" si="2"/>
        <v>0</v>
      </c>
      <c r="E102" s="10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19040411</v>
      </c>
      <c r="C103" s="5">
        <v>1</v>
      </c>
      <c r="D103" s="69">
        <f t="shared" ca="1" si="2"/>
        <v>0.3</v>
      </c>
      <c r="E103" s="10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19040412</v>
      </c>
      <c r="C104" s="5">
        <v>1</v>
      </c>
      <c r="D104" s="69" t="str">
        <f t="shared" ca="1" si="2"/>
        <v>T</v>
      </c>
      <c r="E104" s="10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19040413</v>
      </c>
      <c r="C105" s="5">
        <v>1</v>
      </c>
      <c r="D105" s="69">
        <f t="shared" ca="1" si="2"/>
        <v>0</v>
      </c>
      <c r="E105" s="10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19040414</v>
      </c>
      <c r="C106" s="5">
        <v>1</v>
      </c>
      <c r="D106" s="69" t="str">
        <f t="shared" ca="1" si="2"/>
        <v>T</v>
      </c>
      <c r="E106" s="10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19040415</v>
      </c>
      <c r="C107" s="5">
        <v>1</v>
      </c>
      <c r="D107" s="69">
        <f t="shared" ca="1" si="2"/>
        <v>1</v>
      </c>
      <c r="E107" s="10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19040416</v>
      </c>
      <c r="C108" s="5">
        <v>1</v>
      </c>
      <c r="D108" s="69" t="str">
        <f t="shared" ca="1" si="2"/>
        <v>T</v>
      </c>
      <c r="E108" s="10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19040417</v>
      </c>
      <c r="C109" s="5">
        <v>1</v>
      </c>
      <c r="D109" s="69" t="str">
        <f t="shared" ca="1" si="2"/>
        <v>T</v>
      </c>
      <c r="E109" s="10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19040418</v>
      </c>
      <c r="C110" s="5">
        <v>1</v>
      </c>
      <c r="D110" s="69" t="str">
        <f t="shared" ca="1" si="2"/>
        <v>T</v>
      </c>
      <c r="E110" s="10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19040419</v>
      </c>
      <c r="C111" s="5">
        <v>1</v>
      </c>
      <c r="D111" s="69">
        <f t="shared" ca="1" si="2"/>
        <v>0.3</v>
      </c>
      <c r="E111" s="10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19040420</v>
      </c>
      <c r="C112" s="5">
        <v>1</v>
      </c>
      <c r="D112" s="69" t="str">
        <f t="shared" ca="1" si="2"/>
        <v>T</v>
      </c>
      <c r="E112" s="10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19040421</v>
      </c>
      <c r="C113" s="5">
        <v>1</v>
      </c>
      <c r="D113" s="69">
        <f t="shared" ca="1" si="2"/>
        <v>0</v>
      </c>
      <c r="E113" s="10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19040422</v>
      </c>
      <c r="C114" s="5">
        <v>1</v>
      </c>
      <c r="D114" s="69">
        <f t="shared" ca="1" si="2"/>
        <v>0</v>
      </c>
      <c r="E114" s="10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19040423</v>
      </c>
      <c r="C115" s="5">
        <v>1</v>
      </c>
      <c r="D115" s="69" t="str">
        <f t="shared" ca="1" si="2"/>
        <v>T</v>
      </c>
      <c r="E115" s="10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19040424</v>
      </c>
      <c r="C116" s="5">
        <v>1</v>
      </c>
      <c r="D116" s="69">
        <f t="shared" ca="1" si="2"/>
        <v>0</v>
      </c>
      <c r="E116" s="10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19040425</v>
      </c>
      <c r="C117" s="5">
        <v>1</v>
      </c>
      <c r="D117" s="69">
        <f t="shared" ca="1" si="2"/>
        <v>0</v>
      </c>
      <c r="E117" s="10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19040426</v>
      </c>
      <c r="C118" s="5">
        <v>1</v>
      </c>
      <c r="D118" s="69">
        <f t="shared" ca="1" si="2"/>
        <v>0</v>
      </c>
      <c r="E118" s="10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19040427</v>
      </c>
      <c r="C119" s="5">
        <v>1</v>
      </c>
      <c r="D119" s="69" t="str">
        <f t="shared" ca="1" si="2"/>
        <v>T</v>
      </c>
      <c r="E119" s="10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19040428</v>
      </c>
      <c r="C120" s="5">
        <v>1</v>
      </c>
      <c r="D120" s="69">
        <f t="shared" ca="1" si="2"/>
        <v>1.5</v>
      </c>
      <c r="E120" s="10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19040429</v>
      </c>
      <c r="C121" s="5">
        <v>1</v>
      </c>
      <c r="D121" s="69">
        <f t="shared" ca="1" si="2"/>
        <v>2.8</v>
      </c>
      <c r="E121" s="10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19040430</v>
      </c>
      <c r="C122" s="5">
        <v>1</v>
      </c>
      <c r="D122" s="69">
        <f t="shared" ca="1" si="2"/>
        <v>0</v>
      </c>
      <c r="E122" s="10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19040501</v>
      </c>
      <c r="C123" s="5">
        <v>1</v>
      </c>
      <c r="D123" s="69">
        <f t="shared" ca="1" si="2"/>
        <v>0</v>
      </c>
      <c r="E123" s="10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19040502</v>
      </c>
      <c r="C124" s="5">
        <v>1</v>
      </c>
      <c r="D124" s="69">
        <f t="shared" ca="1" si="2"/>
        <v>0</v>
      </c>
      <c r="E124" s="10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19040503</v>
      </c>
      <c r="C125" s="5">
        <v>1</v>
      </c>
      <c r="D125" s="69">
        <f t="shared" ca="1" si="2"/>
        <v>0.3</v>
      </c>
      <c r="E125" s="10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19040504</v>
      </c>
      <c r="C126" s="5">
        <v>1</v>
      </c>
      <c r="D126" s="69">
        <f t="shared" ca="1" si="2"/>
        <v>0</v>
      </c>
      <c r="E126" s="10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19040505</v>
      </c>
      <c r="C127" s="5">
        <v>1</v>
      </c>
      <c r="D127" s="69">
        <f t="shared" ca="1" si="2"/>
        <v>0</v>
      </c>
      <c r="E127" s="10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19040506</v>
      </c>
      <c r="C128" s="5">
        <v>1</v>
      </c>
      <c r="D128" s="69">
        <f t="shared" ca="1" si="2"/>
        <v>3.6</v>
      </c>
      <c r="E128" s="10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19040507</v>
      </c>
      <c r="C129" s="5">
        <v>1</v>
      </c>
      <c r="D129" s="69" t="str">
        <f t="shared" ca="1" si="2"/>
        <v>T</v>
      </c>
      <c r="E129" s="10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19040508</v>
      </c>
      <c r="C130" s="5">
        <v>1</v>
      </c>
      <c r="D130" s="69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0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19040509</v>
      </c>
      <c r="C131" s="5">
        <v>1</v>
      </c>
      <c r="D131" s="69">
        <f t="shared" ca="1" si="4"/>
        <v>0</v>
      </c>
      <c r="E131" s="10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19040510</v>
      </c>
      <c r="C132" s="5">
        <v>1</v>
      </c>
      <c r="D132" s="69" t="str">
        <f t="shared" ca="1" si="4"/>
        <v>T</v>
      </c>
      <c r="E132" s="10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19040511</v>
      </c>
      <c r="C133" s="5">
        <v>1</v>
      </c>
      <c r="D133" s="69" t="str">
        <f t="shared" ca="1" si="4"/>
        <v>T</v>
      </c>
      <c r="E133" s="10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19040512</v>
      </c>
      <c r="C134" s="5">
        <v>1</v>
      </c>
      <c r="D134" s="69" t="str">
        <f t="shared" ca="1" si="4"/>
        <v>T</v>
      </c>
      <c r="E134" s="10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19040513</v>
      </c>
      <c r="C135" s="5">
        <v>1</v>
      </c>
      <c r="D135" s="69" t="str">
        <f t="shared" ca="1" si="4"/>
        <v>T</v>
      </c>
      <c r="E135" s="10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19040514</v>
      </c>
      <c r="C136" s="5">
        <v>1</v>
      </c>
      <c r="D136" s="69" t="str">
        <f t="shared" ca="1" si="4"/>
        <v>T</v>
      </c>
      <c r="E136" s="10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19040515</v>
      </c>
      <c r="C137" s="5">
        <v>1</v>
      </c>
      <c r="D137" s="69">
        <f t="shared" ca="1" si="4"/>
        <v>0</v>
      </c>
      <c r="E137" s="10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19040516</v>
      </c>
      <c r="C138" s="5">
        <v>1</v>
      </c>
      <c r="D138" s="69" t="str">
        <f t="shared" ca="1" si="4"/>
        <v>T</v>
      </c>
      <c r="E138" s="10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19040517</v>
      </c>
      <c r="C139" s="5">
        <v>1</v>
      </c>
      <c r="D139" s="69">
        <f t="shared" ca="1" si="4"/>
        <v>0</v>
      </c>
      <c r="E139" s="10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19040518</v>
      </c>
      <c r="C140" s="5">
        <v>1</v>
      </c>
      <c r="D140" s="69" t="str">
        <f t="shared" ca="1" si="4"/>
        <v>T</v>
      </c>
      <c r="E140" s="10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19040519</v>
      </c>
      <c r="C141" s="5">
        <v>1</v>
      </c>
      <c r="D141" s="69" t="str">
        <f t="shared" ca="1" si="4"/>
        <v>T</v>
      </c>
      <c r="E141" s="10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19040520</v>
      </c>
      <c r="C142" s="5">
        <v>1</v>
      </c>
      <c r="D142" s="69" t="str">
        <f t="shared" ca="1" si="4"/>
        <v>T</v>
      </c>
      <c r="E142" s="10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19040521</v>
      </c>
      <c r="C143" s="5">
        <v>1</v>
      </c>
      <c r="D143" s="69">
        <f t="shared" ca="1" si="4"/>
        <v>0</v>
      </c>
      <c r="E143" s="10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19040522</v>
      </c>
      <c r="C144" s="5">
        <v>1</v>
      </c>
      <c r="D144" s="69">
        <f t="shared" ca="1" si="4"/>
        <v>0</v>
      </c>
      <c r="E144" s="10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19040523</v>
      </c>
      <c r="C145" s="5">
        <v>1</v>
      </c>
      <c r="D145" s="69">
        <f t="shared" ca="1" si="4"/>
        <v>0</v>
      </c>
      <c r="E145" s="10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19040524</v>
      </c>
      <c r="C146" s="5">
        <v>1</v>
      </c>
      <c r="D146" s="69" t="str">
        <f t="shared" ca="1" si="4"/>
        <v>T</v>
      </c>
      <c r="E146" s="10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19040525</v>
      </c>
      <c r="C147" s="5">
        <v>1</v>
      </c>
      <c r="D147" s="69" t="str">
        <f t="shared" ca="1" si="4"/>
        <v>T</v>
      </c>
      <c r="E147" s="10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19040526</v>
      </c>
      <c r="C148" s="5">
        <v>1</v>
      </c>
      <c r="D148" s="69" t="str">
        <f t="shared" ca="1" si="4"/>
        <v>T</v>
      </c>
      <c r="E148" s="10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19040527</v>
      </c>
      <c r="C149" s="5">
        <v>1</v>
      </c>
      <c r="D149" s="69" t="str">
        <f t="shared" ca="1" si="4"/>
        <v>T</v>
      </c>
      <c r="E149" s="10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19040528</v>
      </c>
      <c r="C150" s="5">
        <v>1</v>
      </c>
      <c r="D150" s="69" t="str">
        <f t="shared" ca="1" si="4"/>
        <v>T</v>
      </c>
      <c r="E150" s="10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19040529</v>
      </c>
      <c r="C151" s="5">
        <v>1</v>
      </c>
      <c r="D151" s="69">
        <f t="shared" ca="1" si="4"/>
        <v>0.5</v>
      </c>
      <c r="E151" s="10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19040530</v>
      </c>
      <c r="C152" s="5">
        <v>1</v>
      </c>
      <c r="D152" s="69" t="str">
        <f t="shared" ca="1" si="4"/>
        <v>T</v>
      </c>
      <c r="E152" s="10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19040531</v>
      </c>
      <c r="C153" s="5">
        <v>1</v>
      </c>
      <c r="D153" s="69" t="str">
        <f t="shared" ca="1" si="4"/>
        <v>T</v>
      </c>
      <c r="E153" s="10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19040601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19040602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19040603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19040604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19040605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19040606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19040607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19040608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19040609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19040610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19040611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19040612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19040613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19040614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19040615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19040616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19040617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19040618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19040619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19040620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19040621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19040622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19040623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19040624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19040625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19040626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19040627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19040628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19040629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19040630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19040701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19040702</v>
      </c>
      <c r="C185" s="5">
        <v>1</v>
      </c>
      <c r="D185" s="69" t="str">
        <f t="shared" ca="1" si="4"/>
        <v>T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19040703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19040704</v>
      </c>
      <c r="C187" s="5">
        <v>1</v>
      </c>
      <c r="D187" s="69">
        <f t="shared" ca="1" si="4"/>
        <v>2.5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19040705</v>
      </c>
      <c r="C188" s="5">
        <v>1</v>
      </c>
      <c r="D188" s="69" t="str">
        <f t="shared" ca="1" si="4"/>
        <v>T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19040706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19040707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19040708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19040709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19040710</v>
      </c>
      <c r="C193" s="5">
        <v>1</v>
      </c>
      <c r="D193" s="69">
        <f t="shared" ca="1" si="4"/>
        <v>0.5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19040711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T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19040712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19040713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19040714</v>
      </c>
      <c r="C197" s="5">
        <v>1</v>
      </c>
      <c r="D197" s="69">
        <f t="shared" ca="1" si="6"/>
        <v>3.8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19040715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19040716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19040717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19040718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19040719</v>
      </c>
      <c r="C202" s="5">
        <v>1</v>
      </c>
      <c r="D202" s="69">
        <f t="shared" ca="1" si="6"/>
        <v>0.3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19040720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19040721</v>
      </c>
      <c r="C204" s="5">
        <v>1</v>
      </c>
      <c r="D204" s="69">
        <f t="shared" ca="1" si="6"/>
        <v>1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19040722</v>
      </c>
      <c r="C205" s="5">
        <v>1</v>
      </c>
      <c r="D205" s="69">
        <f t="shared" ca="1" si="6"/>
        <v>16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19040723</v>
      </c>
      <c r="C206" s="5">
        <v>1</v>
      </c>
      <c r="D206" s="69">
        <f t="shared" ca="1" si="6"/>
        <v>10.199999999999999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19040724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19040725</v>
      </c>
      <c r="C208" s="5">
        <v>1</v>
      </c>
      <c r="D208" s="69">
        <f t="shared" ca="1" si="6"/>
        <v>0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19040726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19040727</v>
      </c>
      <c r="C210" s="5">
        <v>1</v>
      </c>
      <c r="D210" s="69">
        <f t="shared" ca="1" si="6"/>
        <v>0.3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19040728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19040729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19040730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19040731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19040801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19040802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19040803</v>
      </c>
      <c r="C217" s="5">
        <v>1</v>
      </c>
      <c r="D217" s="69" t="str">
        <f t="shared" ca="1" si="6"/>
        <v>T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19040804</v>
      </c>
      <c r="C218" s="5">
        <v>1</v>
      </c>
      <c r="D218" s="69">
        <f t="shared" ca="1" si="6"/>
        <v>0.5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19040805</v>
      </c>
      <c r="C219" s="5">
        <v>1</v>
      </c>
      <c r="D219" s="69">
        <f t="shared" ca="1" si="6"/>
        <v>0.3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19040806</v>
      </c>
      <c r="C220" s="5">
        <v>1</v>
      </c>
      <c r="D220" s="69">
        <f t="shared" ca="1" si="6"/>
        <v>0.3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19040807</v>
      </c>
      <c r="C221" s="5">
        <v>1</v>
      </c>
      <c r="D221" s="69">
        <f t="shared" ca="1" si="6"/>
        <v>2.5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19040808</v>
      </c>
      <c r="C222" s="5">
        <v>1</v>
      </c>
      <c r="D222" s="69">
        <f t="shared" ca="1" si="6"/>
        <v>0.5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19040809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19040810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19040811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19040812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19040813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19040814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19040815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19040816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19040817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19040818</v>
      </c>
      <c r="C232" s="5">
        <v>1</v>
      </c>
      <c r="D232" s="69">
        <f t="shared" ca="1" si="6"/>
        <v>0.5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19040819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19040820</v>
      </c>
      <c r="C234" s="5">
        <v>1</v>
      </c>
      <c r="D234" s="69">
        <f t="shared" ca="1" si="6"/>
        <v>0.5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19040821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19040822</v>
      </c>
      <c r="C236" s="5">
        <v>1</v>
      </c>
      <c r="D236" s="69">
        <f t="shared" ca="1" si="6"/>
        <v>22.9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19040823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19040824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19040825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19040826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19040827</v>
      </c>
      <c r="C241" s="5">
        <v>1</v>
      </c>
      <c r="D241" s="69">
        <f t="shared" ca="1" si="6"/>
        <v>0.3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19040828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19040829</v>
      </c>
      <c r="C243" s="5">
        <v>1</v>
      </c>
      <c r="D243" s="69" t="str">
        <f t="shared" ca="1" si="6"/>
        <v>T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19040830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19040831</v>
      </c>
      <c r="C245" s="5">
        <v>1</v>
      </c>
      <c r="D245" s="69">
        <f t="shared" ca="1" si="6"/>
        <v>0.3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19040901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19040902</v>
      </c>
      <c r="C247" s="5">
        <v>1</v>
      </c>
      <c r="D247" s="69" t="str">
        <f t="shared" ca="1" si="6"/>
        <v>T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19040903</v>
      </c>
      <c r="C248" s="5">
        <v>1</v>
      </c>
      <c r="D248" s="69">
        <f t="shared" ca="1" si="6"/>
        <v>0.5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19040904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19040905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19040906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19040907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19040908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19040909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19040910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19040911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19040912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19040913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19040914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19040915</v>
      </c>
      <c r="C260" s="5">
        <v>1</v>
      </c>
      <c r="D260" s="69" t="str">
        <f t="shared" ca="1" si="8"/>
        <v>T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19040916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19040917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19040918</v>
      </c>
      <c r="C263" s="5">
        <v>1</v>
      </c>
      <c r="D263" s="69" t="str">
        <f t="shared" ca="1" si="8"/>
        <v>T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19040919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19040920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19040921</v>
      </c>
      <c r="C266" s="5">
        <v>1</v>
      </c>
      <c r="D266" s="69">
        <f t="shared" ca="1" si="8"/>
        <v>0.5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19040922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19040923</v>
      </c>
      <c r="C268" s="5">
        <v>1</v>
      </c>
      <c r="D268" s="69">
        <f t="shared" ca="1" si="8"/>
        <v>1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19040924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19040925</v>
      </c>
      <c r="C270" s="5">
        <v>1</v>
      </c>
      <c r="D270" s="69" t="str">
        <f t="shared" ca="1" si="8"/>
        <v>T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19040926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19040927</v>
      </c>
      <c r="C272" s="5">
        <v>1</v>
      </c>
      <c r="D272" s="69" t="str">
        <f t="shared" ca="1" si="8"/>
        <v>T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19040928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19040929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19040930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19041001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19041002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19041003</v>
      </c>
      <c r="C278" s="5">
        <v>1</v>
      </c>
      <c r="D278" s="69" t="str">
        <f t="shared" ca="1" si="8"/>
        <v>T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19041004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19041005</v>
      </c>
      <c r="C280" s="5">
        <v>1</v>
      </c>
      <c r="D280" s="69">
        <f t="shared" ca="1" si="8"/>
        <v>16.5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19041006</v>
      </c>
      <c r="C281" s="5">
        <v>1</v>
      </c>
      <c r="D281" s="69" t="str">
        <f t="shared" ca="1" si="8"/>
        <v>T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19041007</v>
      </c>
      <c r="C282" s="5">
        <v>1</v>
      </c>
      <c r="D282" s="69">
        <f t="shared" ca="1" si="8"/>
        <v>32.799999999999997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19041008</v>
      </c>
      <c r="C283" s="5">
        <v>1</v>
      </c>
      <c r="D283" s="69">
        <f t="shared" ca="1" si="8"/>
        <v>3.3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19041009</v>
      </c>
      <c r="C284" s="5">
        <v>1</v>
      </c>
      <c r="D284" s="69">
        <f t="shared" ca="1" si="8"/>
        <v>8.6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19041010</v>
      </c>
      <c r="C285" s="5">
        <v>1</v>
      </c>
      <c r="D285" s="69">
        <f t="shared" ca="1" si="8"/>
        <v>0.8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19041011</v>
      </c>
      <c r="C286" s="5">
        <v>1</v>
      </c>
      <c r="D286" s="69">
        <f t="shared" ca="1" si="8"/>
        <v>0.5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19041012</v>
      </c>
      <c r="C287" s="5">
        <v>1</v>
      </c>
      <c r="D287" s="69">
        <f t="shared" ca="1" si="8"/>
        <v>35.299999999999997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19041013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19041014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19041015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19041016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19041017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19041018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19041019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19041020</v>
      </c>
      <c r="C295" s="5">
        <v>1</v>
      </c>
      <c r="D295" s="69" t="str">
        <f t="shared" ca="1" si="8"/>
        <v>T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19041021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19041022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19041023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19041024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19041025</v>
      </c>
      <c r="C300" s="5">
        <v>1</v>
      </c>
      <c r="D300" s="69" t="str">
        <f t="shared" ca="1" si="8"/>
        <v>T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19041026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19041027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19041028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19041029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19041030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19041031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19041101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19041102</v>
      </c>
      <c r="C308" s="5">
        <v>1</v>
      </c>
      <c r="D308" s="69">
        <f t="shared" ca="1" si="8"/>
        <v>0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19041103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19041104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19041105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19041106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19041107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19041108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19041109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19041110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19041111</v>
      </c>
      <c r="C317" s="5">
        <v>1</v>
      </c>
      <c r="D317" s="69" t="str">
        <f t="shared" ca="1" si="8"/>
        <v>T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19041112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19041113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19041114</v>
      </c>
      <c r="C320" s="5">
        <v>1</v>
      </c>
      <c r="D320" s="69">
        <f t="shared" ca="1" si="8"/>
        <v>0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19041115</v>
      </c>
      <c r="C321" s="5">
        <v>1</v>
      </c>
      <c r="D321" s="69">
        <f t="shared" ca="1" si="8"/>
        <v>2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19041116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19041117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19041118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19041119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19041120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19041121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19041122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19041123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19041124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19041125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19041126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19041127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19041128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19041129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19041130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19041201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19041202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19041203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19041204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19041205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19041206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19041207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19041208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19041209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19041210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19041211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19041212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19041213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19041214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19041215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19041216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19041217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19041218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19041219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19041220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19041221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19041222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19041223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19041224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19041225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19041226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19041227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19041228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19041229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19041230</v>
      </c>
      <c r="C366" s="5">
        <v>1</v>
      </c>
      <c r="D366" s="69" t="str">
        <f t="shared" ca="1" si="10"/>
        <v>—</v>
      </c>
      <c r="E366" s="10">
        <f t="shared" ca="1" si="11"/>
        <v>7</v>
      </c>
    </row>
    <row r="367" spans="1:5" x14ac:dyDescent="0.25">
      <c r="A367" s="4">
        <f ca="1">INDEX(Stations,INT((ROWS(A$2:A367)-1)/(DATE(YEAR(Invoer!$A$5),12,31)-DATE(YEAR(Invoer!$A$5),1,1)+1))+2,1)</f>
        <v>78989</v>
      </c>
      <c r="B367" t="str">
        <f ca="1">TEXT(DATE(YEAR(Invoer!$A$5),1,1)+MOD(ROWS(B$2:B367)-1,DATE(YEAR(Invoer!$A$5),12,31)-DATE(YEAR(Invoer!$A$5),1,1)+1),"jjjjmmdd")</f>
        <v>19041231</v>
      </c>
      <c r="C367" s="5">
        <v>1</v>
      </c>
      <c r="D367" s="69" t="str">
        <f t="shared" ref="D367" ca="1" si="12">IF(OR(ISBLANK(VLOOKUP(DATEVALUE(LEFT(B367,4)&amp;"-"&amp;MID(B367,5,2)&amp;"-"&amp;RIGHT(B367,2)),Data,MATCH(LEFT(VLOOKUP(D$1,Parameters,2,FALSE()),3)&amp;"*",OFFSET(Data,0,0,1),0),FALSE())),AND(ISTEXT(VLOOKUP(DATEVALUE(LEFT(B367,4)&amp;"-"&amp;MID(B367,5,2)&amp;"-"&amp;RIGHT(B367,2)),Data,MATCH(LEFT(VLOOKUP(D$1,Parameters,2,FALSE()),3)&amp;"*",OFFSET(Data,0,0,1),0),FALSE())),NOT(EXACT(VLOOKUP(DATEVALUE(LEFT(B367,4)&amp;"-"&amp;MID(B367,5,2)&amp;"-"&amp;RIGHT(B367,2)),Data,MATCH(LEFT(VLOOKUP(D$1,Parameters,2,FALSE()),3)&amp;"*",OFFSET(Data,0,0,1),0),FALSE()),"T")))),"—",IF(ISTEXT(VLOOKUP(DATEVALUE(LEFT(B367,4)&amp;"-"&amp;MID(B367,5,2)&amp;"-"&amp;RIGHT(B367,2)),Data,MATCH(LEFT(VLOOKUP(D$1,Parameters,2,FALSE()),3)&amp;"*",OFFSET(Data,0,0,1),0),FALSE())),VLOOKUP(DATEVALUE(LEFT(B367,4)&amp;"-"&amp;MID(B367,5,2)&amp;"-"&amp;RIGHT(B367,2)),Data,MATCH(LEFT(VLOOKUP(D$1,Parameters,2,FALSE()),3)&amp;"*",OFFSET(Data,0,0,1),0),FALSE()),ROUND(0.254*VLOOKUP(DATEVALUE(LEFT(B367,4)&amp;"-"&amp;MID(B367,5,2)&amp;"-"&amp;RIGHT(B367,2)),Data,MATCH(LEFT(VLOOKUP(D$1,Parameters,2,FALSE()),3)&amp;"*",OFFSET(Data,0,0,1),0),FALSE()),1)))</f>
        <v>—</v>
      </c>
      <c r="E367" s="10">
        <f t="shared" ref="E367" ca="1" si="13">IF(OR(ISBLANK(VLOOKUP(DATEVALUE(LEFT(B367,4)&amp;"-"&amp;MID(B367,5,2)&amp;"-"&amp;RIGHT(B367,2)),Data,MATCH(LEFT(VLOOKUP(MID(E$1,2,LEN(E$1)-1),Parameters,2,FALSE()),3)&amp;"*",OFFSET(Data,0,0,1),0),FALSE())),AND(ISTEXT(VLOOKUP(DATEVALUE(LEFT(B367,4)&amp;"-"&amp;MID(B367,5,2)&amp;"-"&amp;RIGHT(B367,2)),Data,MATCH(LEFT(VLOOKUP(MID(E$1,2,LEN(E$1)-1),Parameters,2,FALSE()),3)&amp;"*",OFFSET(Data,0,0,1),0),FALSE())),NOT(EXACT(VLOOKUP(DATEVALUE(LEFT(B367,4)&amp;"-"&amp;MID(B367,5,2)&amp;"-"&amp;RIGHT(B367,2)),Data,MATCH(LEFT(VLOOKUP(MID(E$1,2,LEN(E$1)-1),Parameters,2,FALSE()),3)&amp;"*",OFFSET(Data,0,0,1),0),FALSE()),"T")))),Lacking,IF(ISNA(MATCH(DATEVALUE(LEFT(B367,4)&amp;"-"&amp;MID(B367,5,2)&amp;"-"&amp;RIGHT(B367,2)),OFFSET(Catalogus,0,0,,1),0)),Ok,VLOOKUP(DATEVALUE(LEFT(B367,4)&amp;"-"&amp;MID(B367,5,2)&amp;"-"&amp;RIGHT(B367,2)),Catalogus,MATCH(LEFT(VLOOKUP(MID(E$1,2,LEN(E$1)-1),Parameters,2,FALSE()),3)&amp;"*",OFFSET(Catalogus,0,0,1),0),FALSE())))</f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7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19040101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759.7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" s="76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6.2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19040102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>
        <f t="shared" ca="1" si="10"/>
        <v>759.7</v>
      </c>
      <c r="M3" s="15">
        <f t="shared" ca="1" si="11"/>
        <v>0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>
        <f t="shared" ca="1" si="26"/>
        <v>90</v>
      </c>
      <c r="AC3" s="15">
        <f t="shared" ca="1" si="27"/>
        <v>0</v>
      </c>
      <c r="AD3" s="76">
        <f t="shared" ca="1" si="28"/>
        <v>4.0999999999999996</v>
      </c>
      <c r="AE3" s="15">
        <f t="shared" ca="1" si="29"/>
        <v>0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19040103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>
        <f t="shared" ca="1" si="10"/>
        <v>760</v>
      </c>
      <c r="M4" s="15">
        <f t="shared" ca="1" si="11"/>
        <v>0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>
        <f t="shared" ca="1" si="26"/>
        <v>90</v>
      </c>
      <c r="AC4" s="15">
        <f t="shared" ca="1" si="27"/>
        <v>0</v>
      </c>
      <c r="AD4" s="76">
        <f t="shared" ca="1" si="28"/>
        <v>5.0999999999999996</v>
      </c>
      <c r="AE4" s="15">
        <f t="shared" ca="1" si="29"/>
        <v>0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19040104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>
        <f t="shared" ca="1" si="10"/>
        <v>761.2</v>
      </c>
      <c r="M5" s="15">
        <f t="shared" ca="1" si="11"/>
        <v>0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>
        <f t="shared" ca="1" si="26"/>
        <v>90</v>
      </c>
      <c r="AC5" s="15">
        <f t="shared" ca="1" si="27"/>
        <v>0</v>
      </c>
      <c r="AD5" s="76">
        <f t="shared" ca="1" si="28"/>
        <v>6.2</v>
      </c>
      <c r="AE5" s="15">
        <f t="shared" ca="1" si="29"/>
        <v>0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19040105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>
        <f t="shared" ca="1" si="10"/>
        <v>762.3</v>
      </c>
      <c r="M6" s="15">
        <f t="shared" ca="1" si="11"/>
        <v>0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>
        <f t="shared" ca="1" si="26"/>
        <v>90</v>
      </c>
      <c r="AC6" s="15">
        <f t="shared" ca="1" si="27"/>
        <v>0</v>
      </c>
      <c r="AD6" s="76">
        <f t="shared" ca="1" si="28"/>
        <v>2.6</v>
      </c>
      <c r="AE6" s="15">
        <f t="shared" ca="1" si="29"/>
        <v>0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19040106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>
        <f t="shared" ca="1" si="10"/>
        <v>762</v>
      </c>
      <c r="M7" s="15">
        <f t="shared" ca="1" si="11"/>
        <v>0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>
        <f t="shared" ca="1" si="26"/>
        <v>90</v>
      </c>
      <c r="AC7" s="15">
        <f t="shared" ca="1" si="27"/>
        <v>0</v>
      </c>
      <c r="AD7" s="76">
        <f t="shared" ca="1" si="28"/>
        <v>4.0999999999999996</v>
      </c>
      <c r="AE7" s="15">
        <f t="shared" ca="1" si="29"/>
        <v>0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19040107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>
        <f t="shared" ca="1" si="10"/>
        <v>761.2</v>
      </c>
      <c r="M8" s="15">
        <f t="shared" ca="1" si="11"/>
        <v>0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>
        <f t="shared" ca="1" si="26"/>
        <v>90</v>
      </c>
      <c r="AC8" s="15">
        <f t="shared" ca="1" si="27"/>
        <v>0</v>
      </c>
      <c r="AD8" s="76">
        <f t="shared" ca="1" si="28"/>
        <v>4.0999999999999996</v>
      </c>
      <c r="AE8" s="15">
        <f t="shared" ca="1" si="29"/>
        <v>0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19040108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>
        <f t="shared" ca="1" si="10"/>
        <v>758.4</v>
      </c>
      <c r="M9" s="15">
        <f t="shared" ca="1" si="11"/>
        <v>0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>
        <f t="shared" ca="1" si="26"/>
        <v>90</v>
      </c>
      <c r="AC9" s="15">
        <f t="shared" ca="1" si="27"/>
        <v>0</v>
      </c>
      <c r="AD9" s="76">
        <f t="shared" ca="1" si="28"/>
        <v>5.0999999999999996</v>
      </c>
      <c r="AE9" s="15">
        <f t="shared" ca="1" si="29"/>
        <v>0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19040109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>
        <f t="shared" ca="1" si="10"/>
        <v>760.2</v>
      </c>
      <c r="M10" s="15">
        <f t="shared" ca="1" si="11"/>
        <v>0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>
        <f t="shared" ca="1" si="26"/>
        <v>90</v>
      </c>
      <c r="AC10" s="15">
        <f t="shared" ca="1" si="27"/>
        <v>0</v>
      </c>
      <c r="AD10" s="76">
        <f t="shared" ca="1" si="28"/>
        <v>6.2</v>
      </c>
      <c r="AE10" s="15">
        <f t="shared" ca="1" si="29"/>
        <v>0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19040110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>
        <f t="shared" ca="1" si="10"/>
        <v>761.7</v>
      </c>
      <c r="M11" s="15">
        <f t="shared" ca="1" si="11"/>
        <v>0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>
        <f t="shared" ca="1" si="26"/>
        <v>90</v>
      </c>
      <c r="AC11" s="15">
        <f t="shared" ca="1" si="27"/>
        <v>0</v>
      </c>
      <c r="AD11" s="76">
        <f t="shared" ca="1" si="28"/>
        <v>6.7</v>
      </c>
      <c r="AE11" s="15">
        <f t="shared" ca="1" si="29"/>
        <v>0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19040111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>
        <f t="shared" ca="1" si="10"/>
        <v>762.3</v>
      </c>
      <c r="M12" s="15">
        <f t="shared" ca="1" si="11"/>
        <v>0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>
        <f t="shared" ca="1" si="26"/>
        <v>90</v>
      </c>
      <c r="AC12" s="15">
        <f t="shared" ca="1" si="27"/>
        <v>0</v>
      </c>
      <c r="AD12" s="76">
        <f t="shared" ca="1" si="28"/>
        <v>7.7</v>
      </c>
      <c r="AE12" s="15">
        <f t="shared" ca="1" si="29"/>
        <v>0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19040112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>
        <f t="shared" ca="1" si="10"/>
        <v>761.2</v>
      </c>
      <c r="M13" s="15">
        <f t="shared" ca="1" si="11"/>
        <v>0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>
        <f t="shared" ca="1" si="26"/>
        <v>90</v>
      </c>
      <c r="AC13" s="15">
        <f t="shared" ca="1" si="27"/>
        <v>0</v>
      </c>
      <c r="AD13" s="76">
        <f t="shared" ca="1" si="28"/>
        <v>6.7</v>
      </c>
      <c r="AE13" s="15">
        <f t="shared" ca="1" si="29"/>
        <v>0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19040113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>
        <f t="shared" ca="1" si="10"/>
        <v>761.7</v>
      </c>
      <c r="M14" s="15">
        <f t="shared" ca="1" si="11"/>
        <v>0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>
        <f t="shared" ca="1" si="26"/>
        <v>90</v>
      </c>
      <c r="AC14" s="15">
        <f t="shared" ca="1" si="27"/>
        <v>0</v>
      </c>
      <c r="AD14" s="76">
        <f t="shared" ca="1" si="28"/>
        <v>7.7</v>
      </c>
      <c r="AE14" s="15">
        <f t="shared" ca="1" si="29"/>
        <v>0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19040114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>
        <f t="shared" ca="1" si="10"/>
        <v>761.5</v>
      </c>
      <c r="M15" s="15">
        <f t="shared" ca="1" si="11"/>
        <v>0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>
        <f t="shared" ca="1" si="26"/>
        <v>90</v>
      </c>
      <c r="AC15" s="15">
        <f t="shared" ca="1" si="27"/>
        <v>0</v>
      </c>
      <c r="AD15" s="76">
        <f t="shared" ca="1" si="28"/>
        <v>7.7</v>
      </c>
      <c r="AE15" s="15">
        <f t="shared" ca="1" si="29"/>
        <v>0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19040115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>
        <f t="shared" ca="1" si="10"/>
        <v>761.2</v>
      </c>
      <c r="M16" s="15">
        <f t="shared" ca="1" si="11"/>
        <v>0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>
        <f t="shared" ca="1" si="26"/>
        <v>90</v>
      </c>
      <c r="AC16" s="15">
        <f t="shared" ca="1" si="27"/>
        <v>0</v>
      </c>
      <c r="AD16" s="76">
        <f t="shared" ca="1" si="28"/>
        <v>6.2</v>
      </c>
      <c r="AE16" s="15">
        <f t="shared" ca="1" si="29"/>
        <v>0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19040116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>
        <f t="shared" ca="1" si="10"/>
        <v>760.5</v>
      </c>
      <c r="M17" s="15">
        <f t="shared" ca="1" si="11"/>
        <v>0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>
        <f t="shared" ca="1" si="26"/>
        <v>90</v>
      </c>
      <c r="AC17" s="15">
        <f t="shared" ca="1" si="27"/>
        <v>0</v>
      </c>
      <c r="AD17" s="76">
        <f t="shared" ca="1" si="28"/>
        <v>5.0999999999999996</v>
      </c>
      <c r="AE17" s="15">
        <f t="shared" ca="1" si="29"/>
        <v>0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19040117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>
        <f t="shared" ca="1" si="10"/>
        <v>760.2</v>
      </c>
      <c r="M18" s="15">
        <f t="shared" ca="1" si="11"/>
        <v>0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>
        <f t="shared" ca="1" si="26"/>
        <v>90</v>
      </c>
      <c r="AC18" s="15">
        <f t="shared" ca="1" si="27"/>
        <v>0</v>
      </c>
      <c r="AD18" s="76">
        <f t="shared" ca="1" si="28"/>
        <v>5.0999999999999996</v>
      </c>
      <c r="AE18" s="15">
        <f t="shared" ca="1" si="29"/>
        <v>0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19040118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>
        <f t="shared" ca="1" si="10"/>
        <v>760</v>
      </c>
      <c r="M19" s="15">
        <f t="shared" ca="1" si="11"/>
        <v>0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>
        <f t="shared" ca="1" si="26"/>
        <v>90</v>
      </c>
      <c r="AC19" s="15">
        <f t="shared" ca="1" si="27"/>
        <v>0</v>
      </c>
      <c r="AD19" s="76">
        <f t="shared" ca="1" si="28"/>
        <v>7.7</v>
      </c>
      <c r="AE19" s="15">
        <f t="shared" ca="1" si="29"/>
        <v>0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19040119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>
        <f t="shared" ca="1" si="10"/>
        <v>760.2</v>
      </c>
      <c r="M20" s="15">
        <f t="shared" ca="1" si="11"/>
        <v>0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>
        <f t="shared" ca="1" si="26"/>
        <v>90</v>
      </c>
      <c r="AC20" s="15">
        <f t="shared" ca="1" si="27"/>
        <v>0</v>
      </c>
      <c r="AD20" s="76">
        <f t="shared" ca="1" si="28"/>
        <v>7.7</v>
      </c>
      <c r="AE20" s="15">
        <f t="shared" ca="1" si="29"/>
        <v>0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19040120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>
        <f t="shared" ca="1" si="10"/>
        <v>761.5</v>
      </c>
      <c r="M21" s="15">
        <f t="shared" ca="1" si="11"/>
        <v>0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>
        <f t="shared" ca="1" si="26"/>
        <v>90</v>
      </c>
      <c r="AC21" s="15">
        <f t="shared" ca="1" si="27"/>
        <v>0</v>
      </c>
      <c r="AD21" s="76">
        <f t="shared" ca="1" si="28"/>
        <v>5.0999999999999996</v>
      </c>
      <c r="AE21" s="15">
        <f t="shared" ca="1" si="29"/>
        <v>0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19040121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>
        <f t="shared" ca="1" si="10"/>
        <v>760.2</v>
      </c>
      <c r="M22" s="15">
        <f t="shared" ca="1" si="11"/>
        <v>0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>
        <f t="shared" ca="1" si="26"/>
        <v>90</v>
      </c>
      <c r="AC22" s="15">
        <f t="shared" ca="1" si="27"/>
        <v>0</v>
      </c>
      <c r="AD22" s="76">
        <f t="shared" ca="1" si="28"/>
        <v>5.0999999999999996</v>
      </c>
      <c r="AE22" s="15">
        <f t="shared" ca="1" si="29"/>
        <v>0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19040122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>
        <f t="shared" ca="1" si="10"/>
        <v>760.7</v>
      </c>
      <c r="M23" s="15">
        <f t="shared" ca="1" si="11"/>
        <v>0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>
        <f t="shared" ca="1" si="26"/>
        <v>90</v>
      </c>
      <c r="AC23" s="15">
        <f t="shared" ca="1" si="27"/>
        <v>0</v>
      </c>
      <c r="AD23" s="76">
        <f t="shared" ca="1" si="28"/>
        <v>6.2</v>
      </c>
      <c r="AE23" s="15">
        <f t="shared" ca="1" si="29"/>
        <v>0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19040123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>
        <f t="shared" ca="1" si="10"/>
        <v>761</v>
      </c>
      <c r="M24" s="15">
        <f t="shared" ca="1" si="11"/>
        <v>0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>
        <f t="shared" ca="1" si="26"/>
        <v>90</v>
      </c>
      <c r="AC24" s="15">
        <f t="shared" ca="1" si="27"/>
        <v>0</v>
      </c>
      <c r="AD24" s="76">
        <f t="shared" ca="1" si="28"/>
        <v>8.1999999999999993</v>
      </c>
      <c r="AE24" s="15">
        <f t="shared" ca="1" si="29"/>
        <v>0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19040124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>
        <f t="shared" ca="1" si="10"/>
        <v>761.7</v>
      </c>
      <c r="M25" s="15">
        <f t="shared" ca="1" si="11"/>
        <v>0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>
        <f t="shared" ca="1" si="26"/>
        <v>90</v>
      </c>
      <c r="AC25" s="15">
        <f t="shared" ca="1" si="27"/>
        <v>0</v>
      </c>
      <c r="AD25" s="76">
        <f t="shared" ca="1" si="28"/>
        <v>7.7</v>
      </c>
      <c r="AE25" s="15">
        <f t="shared" ca="1" si="29"/>
        <v>0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19040125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>
        <f t="shared" ca="1" si="10"/>
        <v>761.2</v>
      </c>
      <c r="M26" s="15">
        <f t="shared" ca="1" si="11"/>
        <v>0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>
        <f t="shared" ca="1" si="26"/>
        <v>90</v>
      </c>
      <c r="AC26" s="15">
        <f t="shared" ca="1" si="27"/>
        <v>0</v>
      </c>
      <c r="AD26" s="76">
        <f t="shared" ca="1" si="28"/>
        <v>7.7</v>
      </c>
      <c r="AE26" s="15">
        <f t="shared" ca="1" si="29"/>
        <v>0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19040126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>
        <f t="shared" ca="1" si="10"/>
        <v>761.2</v>
      </c>
      <c r="M27" s="15">
        <f t="shared" ca="1" si="11"/>
        <v>0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>
        <f t="shared" ca="1" si="26"/>
        <v>90</v>
      </c>
      <c r="AC27" s="15">
        <f t="shared" ca="1" si="27"/>
        <v>0</v>
      </c>
      <c r="AD27" s="76">
        <f t="shared" ca="1" si="28"/>
        <v>7.7</v>
      </c>
      <c r="AE27" s="15">
        <f t="shared" ca="1" si="29"/>
        <v>0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19040127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>
        <f t="shared" ca="1" si="10"/>
        <v>760.7</v>
      </c>
      <c r="M28" s="15">
        <f t="shared" ca="1" si="11"/>
        <v>0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>
        <f t="shared" ca="1" si="26"/>
        <v>90</v>
      </c>
      <c r="AC28" s="15">
        <f t="shared" ca="1" si="27"/>
        <v>0</v>
      </c>
      <c r="AD28" s="76">
        <f t="shared" ca="1" si="28"/>
        <v>5.0999999999999996</v>
      </c>
      <c r="AE28" s="15">
        <f t="shared" ca="1" si="29"/>
        <v>0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19040128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>
        <f t="shared" ca="1" si="10"/>
        <v>761.5</v>
      </c>
      <c r="M29" s="15">
        <f t="shared" ca="1" si="11"/>
        <v>0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>
        <f t="shared" ca="1" si="26"/>
        <v>90</v>
      </c>
      <c r="AC29" s="15">
        <f t="shared" ca="1" si="27"/>
        <v>0</v>
      </c>
      <c r="AD29" s="76">
        <f t="shared" ca="1" si="28"/>
        <v>5.0999999999999996</v>
      </c>
      <c r="AE29" s="15">
        <f t="shared" ca="1" si="29"/>
        <v>0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19040129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>
        <f t="shared" ca="1" si="10"/>
        <v>761</v>
      </c>
      <c r="M30" s="15">
        <f t="shared" ca="1" si="11"/>
        <v>0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>
        <f t="shared" ca="1" si="26"/>
        <v>90</v>
      </c>
      <c r="AC30" s="15">
        <f t="shared" ca="1" si="27"/>
        <v>0</v>
      </c>
      <c r="AD30" s="76">
        <f t="shared" ca="1" si="28"/>
        <v>6.2</v>
      </c>
      <c r="AE30" s="15">
        <f t="shared" ca="1" si="29"/>
        <v>0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19040130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>
        <f t="shared" ca="1" si="10"/>
        <v>761.2</v>
      </c>
      <c r="M31" s="15">
        <f t="shared" ca="1" si="11"/>
        <v>0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>
        <f t="shared" ca="1" si="26"/>
        <v>90</v>
      </c>
      <c r="AC31" s="15">
        <f t="shared" ca="1" si="27"/>
        <v>0</v>
      </c>
      <c r="AD31" s="76">
        <f t="shared" ca="1" si="28"/>
        <v>6.2</v>
      </c>
      <c r="AE31" s="15">
        <f t="shared" ca="1" si="29"/>
        <v>0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19040131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19040201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>
        <f t="shared" ca="1" si="10"/>
        <v>761.7</v>
      </c>
      <c r="M33" s="15">
        <f t="shared" ca="1" si="11"/>
        <v>0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>
        <f t="shared" ca="1" si="26"/>
        <v>90</v>
      </c>
      <c r="AC33" s="15">
        <f t="shared" ca="1" si="27"/>
        <v>0</v>
      </c>
      <c r="AD33" s="76">
        <f t="shared" ca="1" si="28"/>
        <v>5.0999999999999996</v>
      </c>
      <c r="AE33" s="15">
        <f t="shared" ca="1" si="29"/>
        <v>0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19040202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>
        <f t="shared" ca="1" si="10"/>
        <v>761.7</v>
      </c>
      <c r="M34" s="15">
        <f t="shared" ca="1" si="11"/>
        <v>0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>
        <f t="shared" ca="1" si="26"/>
        <v>90</v>
      </c>
      <c r="AC34" s="15">
        <f t="shared" ca="1" si="27"/>
        <v>0</v>
      </c>
      <c r="AD34" s="76">
        <f t="shared" ca="1" si="28"/>
        <v>5.0999999999999996</v>
      </c>
      <c r="AE34" s="15">
        <f t="shared" ca="1" si="29"/>
        <v>0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19040203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>
        <f t="shared" ca="1" si="10"/>
        <v>762</v>
      </c>
      <c r="M35" s="15">
        <f t="shared" ca="1" si="11"/>
        <v>0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>
        <f t="shared" ca="1" si="26"/>
        <v>90</v>
      </c>
      <c r="AC35" s="15">
        <f t="shared" ca="1" si="27"/>
        <v>0</v>
      </c>
      <c r="AD35" s="76">
        <f t="shared" ca="1" si="28"/>
        <v>5.0999999999999996</v>
      </c>
      <c r="AE35" s="15">
        <f t="shared" ca="1" si="29"/>
        <v>0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19040204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>
        <f t="shared" ca="1" si="10"/>
        <v>762.3</v>
      </c>
      <c r="M36" s="15">
        <f t="shared" ca="1" si="11"/>
        <v>0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>
        <f t="shared" ca="1" si="26"/>
        <v>90</v>
      </c>
      <c r="AC36" s="15">
        <f t="shared" ca="1" si="27"/>
        <v>0</v>
      </c>
      <c r="AD36" s="76">
        <f t="shared" ca="1" si="28"/>
        <v>7.7</v>
      </c>
      <c r="AE36" s="15">
        <f t="shared" ca="1" si="29"/>
        <v>0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19040205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>
        <f t="shared" ca="1" si="10"/>
        <v>762.3</v>
      </c>
      <c r="M37" s="15">
        <f t="shared" ca="1" si="11"/>
        <v>0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>
        <f t="shared" ca="1" si="26"/>
        <v>90</v>
      </c>
      <c r="AC37" s="15">
        <f t="shared" ca="1" si="27"/>
        <v>0</v>
      </c>
      <c r="AD37" s="76">
        <f t="shared" ca="1" si="28"/>
        <v>5.0999999999999996</v>
      </c>
      <c r="AE37" s="15">
        <f t="shared" ca="1" si="29"/>
        <v>0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19040206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>
        <f t="shared" ca="1" si="10"/>
        <v>761.5</v>
      </c>
      <c r="M38" s="15">
        <f t="shared" ca="1" si="11"/>
        <v>0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>
        <f t="shared" ca="1" si="26"/>
        <v>90</v>
      </c>
      <c r="AC38" s="15">
        <f t="shared" ca="1" si="27"/>
        <v>0</v>
      </c>
      <c r="AD38" s="76">
        <f t="shared" ca="1" si="28"/>
        <v>4.0999999999999996</v>
      </c>
      <c r="AE38" s="15">
        <f t="shared" ca="1" si="29"/>
        <v>0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19040207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>
        <f t="shared" ca="1" si="10"/>
        <v>762.5</v>
      </c>
      <c r="M39" s="15">
        <f t="shared" ca="1" si="11"/>
        <v>0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>
        <f t="shared" ca="1" si="26"/>
        <v>90</v>
      </c>
      <c r="AC39" s="15">
        <f t="shared" ca="1" si="27"/>
        <v>0</v>
      </c>
      <c r="AD39" s="76">
        <f t="shared" ca="1" si="28"/>
        <v>5.0999999999999996</v>
      </c>
      <c r="AE39" s="15">
        <f t="shared" ca="1" si="29"/>
        <v>0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19040208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>
        <f t="shared" ca="1" si="10"/>
        <v>762.3</v>
      </c>
      <c r="M40" s="15">
        <f t="shared" ca="1" si="11"/>
        <v>0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>
        <f t="shared" ca="1" si="26"/>
        <v>90</v>
      </c>
      <c r="AC40" s="15">
        <f t="shared" ca="1" si="27"/>
        <v>0</v>
      </c>
      <c r="AD40" s="76">
        <f t="shared" ca="1" si="28"/>
        <v>5.0999999999999996</v>
      </c>
      <c r="AE40" s="15">
        <f t="shared" ca="1" si="29"/>
        <v>0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19040209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>
        <f t="shared" ca="1" si="10"/>
        <v>761.5</v>
      </c>
      <c r="M41" s="15">
        <f t="shared" ca="1" si="11"/>
        <v>0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>
        <f t="shared" ca="1" si="26"/>
        <v>90</v>
      </c>
      <c r="AC41" s="15">
        <f t="shared" ca="1" si="27"/>
        <v>0</v>
      </c>
      <c r="AD41" s="76">
        <f t="shared" ca="1" si="28"/>
        <v>5.0999999999999996</v>
      </c>
      <c r="AE41" s="15">
        <f t="shared" ca="1" si="29"/>
        <v>0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19040210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>
        <f t="shared" ca="1" si="10"/>
        <v>763.8</v>
      </c>
      <c r="M42" s="15">
        <f t="shared" ca="1" si="11"/>
        <v>0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>
        <f t="shared" ca="1" si="26"/>
        <v>90</v>
      </c>
      <c r="AC42" s="15">
        <f t="shared" ca="1" si="27"/>
        <v>0</v>
      </c>
      <c r="AD42" s="76">
        <f t="shared" ca="1" si="28"/>
        <v>7.2</v>
      </c>
      <c r="AE42" s="15">
        <f t="shared" ca="1" si="29"/>
        <v>0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19040211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>
        <f t="shared" ca="1" si="10"/>
        <v>760.7</v>
      </c>
      <c r="M43" s="15">
        <f t="shared" ca="1" si="11"/>
        <v>0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>
        <f t="shared" ca="1" si="26"/>
        <v>90</v>
      </c>
      <c r="AC43" s="15">
        <f t="shared" ca="1" si="27"/>
        <v>0</v>
      </c>
      <c r="AD43" s="76">
        <f t="shared" ca="1" si="28"/>
        <v>7.7</v>
      </c>
      <c r="AE43" s="15">
        <f t="shared" ca="1" si="29"/>
        <v>0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19040212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>
        <f t="shared" ca="1" si="10"/>
        <v>760.2</v>
      </c>
      <c r="M44" s="15">
        <f t="shared" ca="1" si="11"/>
        <v>0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>
        <f t="shared" ca="1" si="26"/>
        <v>135</v>
      </c>
      <c r="AC44" s="15">
        <f t="shared" ca="1" si="27"/>
        <v>0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19040213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>
        <f t="shared" ca="1" si="10"/>
        <v>759.7</v>
      </c>
      <c r="M45" s="15">
        <f t="shared" ca="1" si="11"/>
        <v>0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>
        <f t="shared" ca="1" si="26"/>
        <v>135</v>
      </c>
      <c r="AC45" s="15">
        <f t="shared" ca="1" si="27"/>
        <v>0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19040214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>
        <f t="shared" ca="1" si="10"/>
        <v>760.2</v>
      </c>
      <c r="M46" s="15">
        <f t="shared" ca="1" si="11"/>
        <v>0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>
        <f t="shared" ca="1" si="26"/>
        <v>90</v>
      </c>
      <c r="AC46" s="15">
        <f t="shared" ca="1" si="27"/>
        <v>0</v>
      </c>
      <c r="AD46" s="76">
        <f t="shared" ca="1" si="28"/>
        <v>7.7</v>
      </c>
      <c r="AE46" s="15">
        <f t="shared" ca="1" si="29"/>
        <v>0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19040215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>
        <f t="shared" ca="1" si="10"/>
        <v>760.5</v>
      </c>
      <c r="M47" s="15">
        <f t="shared" ca="1" si="11"/>
        <v>0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>
        <f t="shared" ca="1" si="26"/>
        <v>90</v>
      </c>
      <c r="AC47" s="15">
        <f t="shared" ca="1" si="27"/>
        <v>0</v>
      </c>
      <c r="AD47" s="76">
        <f t="shared" ca="1" si="28"/>
        <v>6.2</v>
      </c>
      <c r="AE47" s="15">
        <f t="shared" ca="1" si="29"/>
        <v>0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19040216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>
        <f t="shared" ca="1" si="10"/>
        <v>754.4</v>
      </c>
      <c r="M48" s="15">
        <f t="shared" ca="1" si="11"/>
        <v>0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>
        <f t="shared" ca="1" si="26"/>
        <v>90</v>
      </c>
      <c r="AC48" s="15">
        <f t="shared" ca="1" si="27"/>
        <v>0</v>
      </c>
      <c r="AD48" s="76">
        <f t="shared" ca="1" si="28"/>
        <v>6.2</v>
      </c>
      <c r="AE48" s="15">
        <f t="shared" ca="1" si="29"/>
        <v>0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19040217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>
        <f t="shared" ca="1" si="10"/>
        <v>760.2</v>
      </c>
      <c r="M49" s="15">
        <f t="shared" ca="1" si="11"/>
        <v>0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>
        <f t="shared" ca="1" si="26"/>
        <v>90</v>
      </c>
      <c r="AC49" s="15">
        <f t="shared" ca="1" si="27"/>
        <v>0</v>
      </c>
      <c r="AD49" s="76">
        <f t="shared" ca="1" si="28"/>
        <v>7.7</v>
      </c>
      <c r="AE49" s="15">
        <f t="shared" ca="1" si="29"/>
        <v>0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19040218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>
        <f t="shared" ca="1" si="10"/>
        <v>761.5</v>
      </c>
      <c r="M50" s="15">
        <f t="shared" ca="1" si="11"/>
        <v>0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>
        <f t="shared" ca="1" si="26"/>
        <v>90</v>
      </c>
      <c r="AC50" s="15">
        <f t="shared" ca="1" si="27"/>
        <v>0</v>
      </c>
      <c r="AD50" s="76">
        <f t="shared" ca="1" si="28"/>
        <v>7.2</v>
      </c>
      <c r="AE50" s="15">
        <f t="shared" ca="1" si="29"/>
        <v>0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19040219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>
        <f t="shared" ca="1" si="10"/>
        <v>761.2</v>
      </c>
      <c r="M51" s="15">
        <f t="shared" ca="1" si="11"/>
        <v>0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>
        <f t="shared" ca="1" si="26"/>
        <v>90</v>
      </c>
      <c r="AC51" s="15">
        <f t="shared" ca="1" si="27"/>
        <v>0</v>
      </c>
      <c r="AD51" s="76">
        <f t="shared" ca="1" si="28"/>
        <v>6.7</v>
      </c>
      <c r="AE51" s="15">
        <f t="shared" ca="1" si="29"/>
        <v>0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19040220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>
        <f t="shared" ca="1" si="10"/>
        <v>759.7</v>
      </c>
      <c r="M52" s="15">
        <f t="shared" ca="1" si="11"/>
        <v>0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>
        <f t="shared" ca="1" si="26"/>
        <v>90</v>
      </c>
      <c r="AC52" s="15">
        <f t="shared" ca="1" si="27"/>
        <v>0</v>
      </c>
      <c r="AD52" s="76">
        <f t="shared" ca="1" si="28"/>
        <v>7.2</v>
      </c>
      <c r="AE52" s="15">
        <f t="shared" ca="1" si="29"/>
        <v>0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19040221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>
        <f t="shared" ca="1" si="10"/>
        <v>761.2</v>
      </c>
      <c r="M53" s="15">
        <f t="shared" ca="1" si="11"/>
        <v>0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>
        <f t="shared" ca="1" si="26"/>
        <v>90</v>
      </c>
      <c r="AC53" s="15">
        <f t="shared" ca="1" si="27"/>
        <v>0</v>
      </c>
      <c r="AD53" s="76">
        <f t="shared" ca="1" si="28"/>
        <v>7.7</v>
      </c>
      <c r="AE53" s="15">
        <f t="shared" ca="1" si="29"/>
        <v>0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19040222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>
        <f t="shared" ca="1" si="10"/>
        <v>760.7</v>
      </c>
      <c r="M54" s="15">
        <f t="shared" ca="1" si="11"/>
        <v>0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>
        <f t="shared" ca="1" si="26"/>
        <v>90</v>
      </c>
      <c r="AC54" s="15">
        <f t="shared" ca="1" si="27"/>
        <v>0</v>
      </c>
      <c r="AD54" s="76">
        <f t="shared" ca="1" si="28"/>
        <v>7.7</v>
      </c>
      <c r="AE54" s="15">
        <f t="shared" ca="1" si="29"/>
        <v>0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19040223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>
        <f t="shared" ca="1" si="26"/>
        <v>45</v>
      </c>
      <c r="AC55" s="15">
        <f t="shared" ca="1" si="27"/>
        <v>0</v>
      </c>
      <c r="AD55" s="76">
        <f t="shared" ca="1" si="28"/>
        <v>6.2</v>
      </c>
      <c r="AE55" s="15">
        <f t="shared" ca="1" si="29"/>
        <v>0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19040224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>
        <f t="shared" ca="1" si="10"/>
        <v>761</v>
      </c>
      <c r="M56" s="15">
        <f t="shared" ca="1" si="11"/>
        <v>0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>
        <f t="shared" ca="1" si="26"/>
        <v>90</v>
      </c>
      <c r="AC56" s="15">
        <f t="shared" ca="1" si="27"/>
        <v>0</v>
      </c>
      <c r="AD56" s="76">
        <f t="shared" ca="1" si="28"/>
        <v>6.7</v>
      </c>
      <c r="AE56" s="15">
        <f t="shared" ca="1" si="29"/>
        <v>0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19040225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>
        <f t="shared" ca="1" si="10"/>
        <v>760.2</v>
      </c>
      <c r="M57" s="15">
        <f t="shared" ca="1" si="11"/>
        <v>0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>
        <f t="shared" ca="1" si="26"/>
        <v>90</v>
      </c>
      <c r="AC57" s="15">
        <f t="shared" ca="1" si="27"/>
        <v>0</v>
      </c>
      <c r="AD57" s="76">
        <f t="shared" ca="1" si="28"/>
        <v>5.0999999999999996</v>
      </c>
      <c r="AE57" s="15">
        <f t="shared" ca="1" si="29"/>
        <v>0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19040226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>
        <f t="shared" ca="1" si="10"/>
        <v>761.5</v>
      </c>
      <c r="M58" s="15">
        <f t="shared" ca="1" si="11"/>
        <v>0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>
        <f t="shared" ca="1" si="26"/>
        <v>45</v>
      </c>
      <c r="AC58" s="15">
        <f t="shared" ca="1" si="27"/>
        <v>0</v>
      </c>
      <c r="AD58" s="76">
        <f t="shared" ca="1" si="28"/>
        <v>5.0999999999999996</v>
      </c>
      <c r="AE58" s="15">
        <f t="shared" ca="1" si="29"/>
        <v>0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19040227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>
        <f t="shared" ca="1" si="10"/>
        <v>761.5</v>
      </c>
      <c r="M59" s="15">
        <f t="shared" ca="1" si="11"/>
        <v>0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>
        <f t="shared" ca="1" si="26"/>
        <v>90</v>
      </c>
      <c r="AC59" s="15">
        <f t="shared" ca="1" si="27"/>
        <v>0</v>
      </c>
      <c r="AD59" s="76">
        <f t="shared" ca="1" si="28"/>
        <v>6.2</v>
      </c>
      <c r="AE59" s="15">
        <f t="shared" ca="1" si="29"/>
        <v>0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19040228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>
        <f t="shared" ca="1" si="10"/>
        <v>761.5</v>
      </c>
      <c r="M60" s="15">
        <f t="shared" ca="1" si="11"/>
        <v>0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>
        <f t="shared" ca="1" si="26"/>
        <v>90</v>
      </c>
      <c r="AC60" s="15">
        <f t="shared" ca="1" si="27"/>
        <v>0</v>
      </c>
      <c r="AD60" s="76">
        <f t="shared" ca="1" si="28"/>
        <v>5.0999999999999996</v>
      </c>
      <c r="AE60" s="15">
        <f t="shared" ca="1" si="29"/>
        <v>0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19040229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>
        <f t="shared" ca="1" si="10"/>
        <v>760.5</v>
      </c>
      <c r="M61" s="15">
        <f t="shared" ca="1" si="11"/>
        <v>0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>
        <f t="shared" ca="1" si="26"/>
        <v>90</v>
      </c>
      <c r="AC61" s="15">
        <f t="shared" ca="1" si="27"/>
        <v>0</v>
      </c>
      <c r="AD61" s="76">
        <f t="shared" ca="1" si="28"/>
        <v>6.2</v>
      </c>
      <c r="AE61" s="15">
        <f t="shared" ca="1" si="29"/>
        <v>0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19040301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>
        <f t="shared" ca="1" si="10"/>
        <v>761.2</v>
      </c>
      <c r="M62" s="15">
        <f t="shared" ca="1" si="11"/>
        <v>0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>
        <f t="shared" ca="1" si="26"/>
        <v>90</v>
      </c>
      <c r="AC62" s="15">
        <f t="shared" ca="1" si="27"/>
        <v>0</v>
      </c>
      <c r="AD62" s="76">
        <f t="shared" ca="1" si="28"/>
        <v>6.2</v>
      </c>
      <c r="AE62" s="15">
        <f t="shared" ca="1" si="29"/>
        <v>0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19040302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>
        <f t="shared" ca="1" si="10"/>
        <v>759</v>
      </c>
      <c r="M63" s="15">
        <f t="shared" ca="1" si="11"/>
        <v>0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>
        <f t="shared" ca="1" si="26"/>
        <v>90</v>
      </c>
      <c r="AC63" s="15">
        <f t="shared" ca="1" si="27"/>
        <v>0</v>
      </c>
      <c r="AD63" s="76">
        <f t="shared" ca="1" si="28"/>
        <v>6.7</v>
      </c>
      <c r="AE63" s="15">
        <f t="shared" ca="1" si="29"/>
        <v>0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19040303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>
        <f t="shared" ca="1" si="10"/>
        <v>761</v>
      </c>
      <c r="M64" s="15">
        <f t="shared" ca="1" si="11"/>
        <v>0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>
        <f t="shared" ca="1" si="26"/>
        <v>90</v>
      </c>
      <c r="AC64" s="15">
        <f t="shared" ca="1" si="27"/>
        <v>0</v>
      </c>
      <c r="AD64" s="76">
        <f t="shared" ca="1" si="28"/>
        <v>5.0999999999999996</v>
      </c>
      <c r="AE64" s="15">
        <f t="shared" ca="1" si="29"/>
        <v>0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19040304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>
        <f t="shared" ca="1" si="10"/>
        <v>760</v>
      </c>
      <c r="M65" s="15">
        <f t="shared" ca="1" si="11"/>
        <v>0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>
        <f t="shared" ca="1" si="26"/>
        <v>90</v>
      </c>
      <c r="AC65" s="15">
        <f t="shared" ca="1" si="27"/>
        <v>0</v>
      </c>
      <c r="AD65" s="76">
        <f t="shared" ca="1" si="28"/>
        <v>6.2</v>
      </c>
      <c r="AE65" s="15">
        <f t="shared" ca="1" si="29"/>
        <v>0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19040305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760.2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66" s="76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6.7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19040306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>
        <f t="shared" ca="1" si="50"/>
        <v>760</v>
      </c>
      <c r="M67" s="15">
        <f t="shared" ca="1" si="51"/>
        <v>0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>
        <f t="shared" ca="1" si="66"/>
        <v>90</v>
      </c>
      <c r="AC67" s="15">
        <f t="shared" ca="1" si="67"/>
        <v>0</v>
      </c>
      <c r="AD67" s="76">
        <f t="shared" ca="1" si="68"/>
        <v>6.2</v>
      </c>
      <c r="AE67" s="15">
        <f t="shared" ca="1" si="69"/>
        <v>0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19040307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>
        <f t="shared" ca="1" si="50"/>
        <v>759</v>
      </c>
      <c r="M68" s="15">
        <f t="shared" ca="1" si="51"/>
        <v>0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>
        <f t="shared" ca="1" si="66"/>
        <v>90</v>
      </c>
      <c r="AC68" s="15">
        <f t="shared" ca="1" si="67"/>
        <v>0</v>
      </c>
      <c r="AD68" s="76">
        <f t="shared" ca="1" si="68"/>
        <v>4.0999999999999996</v>
      </c>
      <c r="AE68" s="15">
        <f t="shared" ca="1" si="69"/>
        <v>0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19040308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>
        <f t="shared" ca="1" si="50"/>
        <v>759</v>
      </c>
      <c r="M69" s="15">
        <f t="shared" ca="1" si="51"/>
        <v>0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19040309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>
        <f t="shared" ca="1" si="50"/>
        <v>759.5</v>
      </c>
      <c r="M70" s="15">
        <f t="shared" ca="1" si="51"/>
        <v>0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>
        <f t="shared" ca="1" si="66"/>
        <v>90</v>
      </c>
      <c r="AC70" s="15">
        <f t="shared" ca="1" si="67"/>
        <v>0</v>
      </c>
      <c r="AD70" s="76">
        <f t="shared" ca="1" si="68"/>
        <v>4.0999999999999996</v>
      </c>
      <c r="AE70" s="15">
        <f t="shared" ca="1" si="69"/>
        <v>0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19040310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>
        <f t="shared" ca="1" si="50"/>
        <v>761</v>
      </c>
      <c r="M71" s="15">
        <f t="shared" ca="1" si="51"/>
        <v>0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>
        <f t="shared" ca="1" si="66"/>
        <v>135</v>
      </c>
      <c r="AC71" s="15">
        <f t="shared" ca="1" si="67"/>
        <v>0</v>
      </c>
      <c r="AD71" s="76">
        <f t="shared" ca="1" si="68"/>
        <v>4.0999999999999996</v>
      </c>
      <c r="AE71" s="15">
        <f t="shared" ca="1" si="69"/>
        <v>0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19040311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>
        <f t="shared" ca="1" si="50"/>
        <v>760.2</v>
      </c>
      <c r="M72" s="15">
        <f t="shared" ca="1" si="51"/>
        <v>0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>
        <f t="shared" ca="1" si="66"/>
        <v>90</v>
      </c>
      <c r="AC72" s="15">
        <f t="shared" ca="1" si="67"/>
        <v>0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19040312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>
        <f t="shared" ca="1" si="50"/>
        <v>759</v>
      </c>
      <c r="M73" s="15">
        <f t="shared" ca="1" si="51"/>
        <v>0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>
        <f t="shared" ca="1" si="66"/>
        <v>135</v>
      </c>
      <c r="AC73" s="15">
        <f t="shared" ca="1" si="67"/>
        <v>0</v>
      </c>
      <c r="AD73" s="76">
        <f t="shared" ca="1" si="68"/>
        <v>4.0999999999999996</v>
      </c>
      <c r="AE73" s="15">
        <f t="shared" ca="1" si="69"/>
        <v>0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19040313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>
        <f t="shared" ca="1" si="50"/>
        <v>759</v>
      </c>
      <c r="M74" s="15">
        <f t="shared" ca="1" si="51"/>
        <v>0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>
        <f t="shared" ca="1" si="66"/>
        <v>90</v>
      </c>
      <c r="AC74" s="15">
        <f t="shared" ca="1" si="67"/>
        <v>0</v>
      </c>
      <c r="AD74" s="76">
        <f t="shared" ca="1" si="68"/>
        <v>3.1</v>
      </c>
      <c r="AE74" s="15">
        <f t="shared" ca="1" si="69"/>
        <v>0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19040314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>
        <f t="shared" ca="1" si="50"/>
        <v>759.7</v>
      </c>
      <c r="M75" s="15">
        <f t="shared" ca="1" si="51"/>
        <v>0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>
        <f t="shared" ca="1" si="66"/>
        <v>90</v>
      </c>
      <c r="AC75" s="15">
        <f t="shared" ca="1" si="67"/>
        <v>0</v>
      </c>
      <c r="AD75" s="76">
        <f t="shared" ca="1" si="68"/>
        <v>3.1</v>
      </c>
      <c r="AE75" s="15">
        <f t="shared" ca="1" si="69"/>
        <v>0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19040315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>
        <f t="shared" ca="1" si="50"/>
        <v>760.5</v>
      </c>
      <c r="M76" s="15">
        <f t="shared" ca="1" si="51"/>
        <v>0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>
        <f t="shared" ca="1" si="66"/>
        <v>90</v>
      </c>
      <c r="AC76" s="15">
        <f t="shared" ca="1" si="67"/>
        <v>0</v>
      </c>
      <c r="AD76" s="76">
        <f t="shared" ca="1" si="68"/>
        <v>4.0999999999999996</v>
      </c>
      <c r="AE76" s="15">
        <f t="shared" ca="1" si="69"/>
        <v>0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19040316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>
        <f t="shared" ca="1" si="66"/>
        <v>90</v>
      </c>
      <c r="AC77" s="15">
        <f t="shared" ca="1" si="67"/>
        <v>0</v>
      </c>
      <c r="AD77" s="76">
        <f t="shared" ca="1" si="68"/>
        <v>5.0999999999999996</v>
      </c>
      <c r="AE77" s="15">
        <f t="shared" ca="1" si="69"/>
        <v>0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19040317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>
        <f t="shared" ca="1" si="66"/>
        <v>90</v>
      </c>
      <c r="AC78" s="15">
        <f t="shared" ca="1" si="67"/>
        <v>0</v>
      </c>
      <c r="AD78" s="76">
        <f t="shared" ca="1" si="68"/>
        <v>4.0999999999999996</v>
      </c>
      <c r="AE78" s="15">
        <f t="shared" ca="1" si="69"/>
        <v>0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19040318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>
        <f t="shared" ca="1" si="50"/>
        <v>760.5</v>
      </c>
      <c r="M79" s="15">
        <f t="shared" ca="1" si="51"/>
        <v>0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>
        <f t="shared" ca="1" si="66"/>
        <v>90</v>
      </c>
      <c r="AC79" s="15">
        <f t="shared" ca="1" si="67"/>
        <v>0</v>
      </c>
      <c r="AD79" s="76">
        <f t="shared" ca="1" si="68"/>
        <v>5.0999999999999996</v>
      </c>
      <c r="AE79" s="15">
        <f t="shared" ca="1" si="69"/>
        <v>0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19040319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>
        <f t="shared" ca="1" si="50"/>
        <v>759.7</v>
      </c>
      <c r="M80" s="15">
        <f t="shared" ca="1" si="51"/>
        <v>0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>
        <f t="shared" ca="1" si="66"/>
        <v>90</v>
      </c>
      <c r="AC80" s="15">
        <f t="shared" ca="1" si="67"/>
        <v>0</v>
      </c>
      <c r="AD80" s="76">
        <f t="shared" ca="1" si="68"/>
        <v>5.0999999999999996</v>
      </c>
      <c r="AE80" s="15">
        <f t="shared" ca="1" si="69"/>
        <v>0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19040320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>
        <f t="shared" ca="1" si="50"/>
        <v>760.5</v>
      </c>
      <c r="M81" s="15">
        <f t="shared" ca="1" si="51"/>
        <v>0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>
        <f t="shared" ca="1" si="66"/>
        <v>90</v>
      </c>
      <c r="AC81" s="15">
        <f t="shared" ca="1" si="67"/>
        <v>0</v>
      </c>
      <c r="AD81" s="76">
        <f t="shared" ca="1" si="68"/>
        <v>7.7</v>
      </c>
      <c r="AE81" s="15">
        <f t="shared" ca="1" si="69"/>
        <v>0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19040321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>
        <f t="shared" ca="1" si="50"/>
        <v>759</v>
      </c>
      <c r="M82" s="15">
        <f t="shared" ca="1" si="51"/>
        <v>0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>
        <f t="shared" ca="1" si="66"/>
        <v>90</v>
      </c>
      <c r="AC82" s="15">
        <f t="shared" ca="1" si="67"/>
        <v>0</v>
      </c>
      <c r="AD82" s="76">
        <f t="shared" ca="1" si="68"/>
        <v>5.0999999999999996</v>
      </c>
      <c r="AE82" s="15">
        <f t="shared" ca="1" si="69"/>
        <v>0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19040322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>
        <f t="shared" ca="1" si="50"/>
        <v>760.2</v>
      </c>
      <c r="M83" s="15">
        <f t="shared" ca="1" si="51"/>
        <v>0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>
        <f t="shared" ca="1" si="66"/>
        <v>90</v>
      </c>
      <c r="AC83" s="15">
        <f t="shared" ca="1" si="67"/>
        <v>0</v>
      </c>
      <c r="AD83" s="76">
        <f t="shared" ca="1" si="68"/>
        <v>5.0999999999999996</v>
      </c>
      <c r="AE83" s="15">
        <f t="shared" ca="1" si="69"/>
        <v>0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19040323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>
        <f t="shared" ca="1" si="50"/>
        <v>760.7</v>
      </c>
      <c r="M84" s="15">
        <f t="shared" ca="1" si="51"/>
        <v>0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>
        <f t="shared" ca="1" si="66"/>
        <v>90</v>
      </c>
      <c r="AC84" s="15">
        <f t="shared" ca="1" si="67"/>
        <v>0</v>
      </c>
      <c r="AD84" s="76">
        <f t="shared" ca="1" si="68"/>
        <v>5.0999999999999996</v>
      </c>
      <c r="AE84" s="15">
        <f t="shared" ca="1" si="69"/>
        <v>0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19040324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>
        <f t="shared" ca="1" si="50"/>
        <v>760.7</v>
      </c>
      <c r="M85" s="15">
        <f t="shared" ca="1" si="51"/>
        <v>0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>
        <f t="shared" ca="1" si="66"/>
        <v>90</v>
      </c>
      <c r="AC85" s="15">
        <f t="shared" ca="1" si="67"/>
        <v>0</v>
      </c>
      <c r="AD85" s="76">
        <f t="shared" ca="1" si="68"/>
        <v>4.0999999999999996</v>
      </c>
      <c r="AE85" s="15">
        <f t="shared" ca="1" si="69"/>
        <v>0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19040325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>
        <f t="shared" ca="1" si="50"/>
        <v>760.7</v>
      </c>
      <c r="M86" s="15">
        <f t="shared" ca="1" si="51"/>
        <v>0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>
        <f t="shared" ca="1" si="66"/>
        <v>90</v>
      </c>
      <c r="AC86" s="15">
        <f t="shared" ca="1" si="67"/>
        <v>0</v>
      </c>
      <c r="AD86" s="76">
        <f t="shared" ca="1" si="68"/>
        <v>5.0999999999999996</v>
      </c>
      <c r="AE86" s="15">
        <f t="shared" ca="1" si="69"/>
        <v>0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19040326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>
        <f t="shared" ca="1" si="50"/>
        <v>760.2</v>
      </c>
      <c r="M87" s="15">
        <f t="shared" ca="1" si="51"/>
        <v>0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>
        <f t="shared" ca="1" si="66"/>
        <v>90</v>
      </c>
      <c r="AC87" s="15">
        <f t="shared" ca="1" si="67"/>
        <v>0</v>
      </c>
      <c r="AD87" s="76">
        <f t="shared" ca="1" si="68"/>
        <v>5.0999999999999996</v>
      </c>
      <c r="AE87" s="15">
        <f t="shared" ca="1" si="69"/>
        <v>0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19040327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>
        <f t="shared" ca="1" si="50"/>
        <v>762.3</v>
      </c>
      <c r="M88" s="15">
        <f t="shared" ca="1" si="51"/>
        <v>0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>
        <f t="shared" ca="1" si="66"/>
        <v>90</v>
      </c>
      <c r="AC88" s="15">
        <f t="shared" ca="1" si="67"/>
        <v>0</v>
      </c>
      <c r="AD88" s="76">
        <f t="shared" ca="1" si="68"/>
        <v>7.7</v>
      </c>
      <c r="AE88" s="15">
        <f t="shared" ca="1" si="69"/>
        <v>0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19040328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>
        <f t="shared" ca="1" si="50"/>
        <v>762</v>
      </c>
      <c r="M89" s="15">
        <f t="shared" ca="1" si="51"/>
        <v>0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>
        <f t="shared" ca="1" si="66"/>
        <v>90</v>
      </c>
      <c r="AC89" s="15">
        <f t="shared" ca="1" si="67"/>
        <v>0</v>
      </c>
      <c r="AD89" s="76">
        <f t="shared" ca="1" si="68"/>
        <v>5.0999999999999996</v>
      </c>
      <c r="AE89" s="15">
        <f t="shared" ca="1" si="69"/>
        <v>0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19040329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>
        <f t="shared" ca="1" si="50"/>
        <v>758.7</v>
      </c>
      <c r="M90" s="15">
        <f t="shared" ca="1" si="51"/>
        <v>0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>
        <f t="shared" ca="1" si="66"/>
        <v>135</v>
      </c>
      <c r="AC90" s="15">
        <f t="shared" ca="1" si="67"/>
        <v>0</v>
      </c>
      <c r="AD90" s="76">
        <f t="shared" ca="1" si="68"/>
        <v>2.6</v>
      </c>
      <c r="AE90" s="15">
        <f t="shared" ca="1" si="69"/>
        <v>0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19040330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>
        <f t="shared" ca="1" si="50"/>
        <v>759.5</v>
      </c>
      <c r="M91" s="15">
        <f t="shared" ca="1" si="51"/>
        <v>0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>
        <f t="shared" ca="1" si="66"/>
        <v>135</v>
      </c>
      <c r="AC91" s="15">
        <f t="shared" ca="1" si="67"/>
        <v>0</v>
      </c>
      <c r="AD91" s="76">
        <f t="shared" ca="1" si="68"/>
        <v>4.0999999999999996</v>
      </c>
      <c r="AE91" s="15">
        <f t="shared" ca="1" si="69"/>
        <v>0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19040331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>
        <f t="shared" ca="1" si="50"/>
        <v>759.2</v>
      </c>
      <c r="M92" s="15">
        <f t="shared" ca="1" si="51"/>
        <v>0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>
        <f t="shared" ca="1" si="66"/>
        <v>135</v>
      </c>
      <c r="AC92" s="15">
        <f t="shared" ca="1" si="67"/>
        <v>0</v>
      </c>
      <c r="AD92" s="76">
        <f t="shared" ca="1" si="68"/>
        <v>5.0999999999999996</v>
      </c>
      <c r="AE92" s="15">
        <f t="shared" ca="1" si="69"/>
        <v>0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19040401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>
        <f t="shared" ca="1" si="50"/>
        <v>760</v>
      </c>
      <c r="M93" s="15">
        <f t="shared" ca="1" si="51"/>
        <v>0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>
        <f t="shared" ca="1" si="66"/>
        <v>90</v>
      </c>
      <c r="AC93" s="15">
        <f t="shared" ca="1" si="67"/>
        <v>0</v>
      </c>
      <c r="AD93" s="76">
        <f t="shared" ca="1" si="68"/>
        <v>3.6</v>
      </c>
      <c r="AE93" s="15">
        <f t="shared" ca="1" si="69"/>
        <v>0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19040402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>
        <f t="shared" ca="1" si="50"/>
        <v>760.2</v>
      </c>
      <c r="M94" s="15">
        <f t="shared" ca="1" si="51"/>
        <v>0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>
        <f t="shared" ca="1" si="66"/>
        <v>45</v>
      </c>
      <c r="AC94" s="15">
        <f t="shared" ca="1" si="67"/>
        <v>0</v>
      </c>
      <c r="AD94" s="76">
        <f t="shared" ca="1" si="68"/>
        <v>4.0999999999999996</v>
      </c>
      <c r="AE94" s="15">
        <f t="shared" ca="1" si="69"/>
        <v>0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19040403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>
        <f t="shared" ca="1" si="50"/>
        <v>759.5</v>
      </c>
      <c r="M95" s="15">
        <f t="shared" ca="1" si="51"/>
        <v>0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>
        <f t="shared" ca="1" si="66"/>
        <v>45</v>
      </c>
      <c r="AC95" s="15">
        <f t="shared" ca="1" si="67"/>
        <v>0</v>
      </c>
      <c r="AD95" s="76">
        <f t="shared" ca="1" si="68"/>
        <v>5.0999999999999996</v>
      </c>
      <c r="AE95" s="15">
        <f t="shared" ca="1" si="69"/>
        <v>0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19040404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>
        <f t="shared" ca="1" si="50"/>
        <v>760.2</v>
      </c>
      <c r="M96" s="15">
        <f t="shared" ca="1" si="51"/>
        <v>0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>
        <f t="shared" ca="1" si="66"/>
        <v>135</v>
      </c>
      <c r="AC96" s="15">
        <f t="shared" ca="1" si="67"/>
        <v>0</v>
      </c>
      <c r="AD96" s="76">
        <f t="shared" ca="1" si="68"/>
        <v>2.6</v>
      </c>
      <c r="AE96" s="15">
        <f t="shared" ca="1" si="69"/>
        <v>0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19040405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>
        <f t="shared" ca="1" si="50"/>
        <v>759.7</v>
      </c>
      <c r="M97" s="15">
        <f t="shared" ca="1" si="51"/>
        <v>0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>
        <f t="shared" ca="1" si="66"/>
        <v>45</v>
      </c>
      <c r="AC97" s="15">
        <f t="shared" ca="1" si="67"/>
        <v>0</v>
      </c>
      <c r="AD97" s="76">
        <f t="shared" ca="1" si="68"/>
        <v>3.1</v>
      </c>
      <c r="AE97" s="15">
        <f t="shared" ca="1" si="69"/>
        <v>0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19040406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>
        <f t="shared" ca="1" si="50"/>
        <v>759.2</v>
      </c>
      <c r="M98" s="15">
        <f t="shared" ca="1" si="51"/>
        <v>0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>
        <f t="shared" ca="1" si="66"/>
        <v>90</v>
      </c>
      <c r="AC98" s="15">
        <f t="shared" ca="1" si="67"/>
        <v>0</v>
      </c>
      <c r="AD98" s="76">
        <f t="shared" ca="1" si="68"/>
        <v>5.0999999999999996</v>
      </c>
      <c r="AE98" s="15">
        <f t="shared" ca="1" si="69"/>
        <v>0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19040407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>
        <f t="shared" ca="1" si="50"/>
        <v>758.7</v>
      </c>
      <c r="M99" s="15">
        <f t="shared" ca="1" si="51"/>
        <v>0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>
        <f t="shared" ca="1" si="66"/>
        <v>90</v>
      </c>
      <c r="AC99" s="15">
        <f t="shared" ca="1" si="67"/>
        <v>0</v>
      </c>
      <c r="AD99" s="76">
        <f t="shared" ca="1" si="68"/>
        <v>4.0999999999999996</v>
      </c>
      <c r="AE99" s="15">
        <f t="shared" ca="1" si="69"/>
        <v>0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19040408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>
        <f t="shared" ca="1" si="50"/>
        <v>759.2</v>
      </c>
      <c r="M100" s="15">
        <f t="shared" ca="1" si="51"/>
        <v>0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>
        <f t="shared" ca="1" si="66"/>
        <v>90</v>
      </c>
      <c r="AC100" s="15">
        <f t="shared" ca="1" si="67"/>
        <v>0</v>
      </c>
      <c r="AD100" s="76">
        <f t="shared" ca="1" si="68"/>
        <v>6.2</v>
      </c>
      <c r="AE100" s="15">
        <f t="shared" ca="1" si="69"/>
        <v>0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19040409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>
        <f t="shared" ca="1" si="50"/>
        <v>761</v>
      </c>
      <c r="M101" s="15">
        <f t="shared" ca="1" si="51"/>
        <v>0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>
        <f t="shared" ca="1" si="66"/>
        <v>90</v>
      </c>
      <c r="AC101" s="15">
        <f t="shared" ca="1" si="67"/>
        <v>0</v>
      </c>
      <c r="AD101" s="76">
        <f t="shared" ca="1" si="68"/>
        <v>7.7</v>
      </c>
      <c r="AE101" s="15">
        <f t="shared" ca="1" si="69"/>
        <v>0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19040410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>
        <f t="shared" ca="1" si="50"/>
        <v>761.2</v>
      </c>
      <c r="M102" s="15">
        <f t="shared" ca="1" si="51"/>
        <v>0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>
        <f t="shared" ca="1" si="66"/>
        <v>45</v>
      </c>
      <c r="AC102" s="15">
        <f t="shared" ca="1" si="67"/>
        <v>0</v>
      </c>
      <c r="AD102" s="76">
        <f t="shared" ca="1" si="68"/>
        <v>6.2</v>
      </c>
      <c r="AE102" s="15">
        <f t="shared" ca="1" si="69"/>
        <v>0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19040411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>
        <f t="shared" ca="1" si="50"/>
        <v>761.7</v>
      </c>
      <c r="M103" s="15">
        <f t="shared" ca="1" si="51"/>
        <v>0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>
        <f t="shared" ca="1" si="66"/>
        <v>90</v>
      </c>
      <c r="AC103" s="15">
        <f t="shared" ca="1" si="67"/>
        <v>0</v>
      </c>
      <c r="AD103" s="76">
        <f t="shared" ca="1" si="68"/>
        <v>6.2</v>
      </c>
      <c r="AE103" s="15">
        <f t="shared" ca="1" si="69"/>
        <v>0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19040412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>
        <f t="shared" ca="1" si="50"/>
        <v>760</v>
      </c>
      <c r="M104" s="15">
        <f t="shared" ca="1" si="51"/>
        <v>0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>
        <f t="shared" ca="1" si="66"/>
        <v>90</v>
      </c>
      <c r="AC104" s="15">
        <f t="shared" ca="1" si="67"/>
        <v>0</v>
      </c>
      <c r="AD104" s="76">
        <f t="shared" ca="1" si="68"/>
        <v>6.2</v>
      </c>
      <c r="AE104" s="15">
        <f t="shared" ca="1" si="69"/>
        <v>0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19040413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>
        <f t="shared" ca="1" si="50"/>
        <v>759.2</v>
      </c>
      <c r="M105" s="15">
        <f t="shared" ca="1" si="51"/>
        <v>0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>
        <f t="shared" ca="1" si="66"/>
        <v>90</v>
      </c>
      <c r="AC105" s="15">
        <f t="shared" ca="1" si="67"/>
        <v>0</v>
      </c>
      <c r="AD105" s="76">
        <f t="shared" ca="1" si="68"/>
        <v>6.2</v>
      </c>
      <c r="AE105" s="15">
        <f t="shared" ca="1" si="69"/>
        <v>0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19040414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>
        <f t="shared" ca="1" si="50"/>
        <v>760</v>
      </c>
      <c r="M106" s="15">
        <f t="shared" ca="1" si="51"/>
        <v>0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>
        <f t="shared" ca="1" si="66"/>
        <v>90</v>
      </c>
      <c r="AC106" s="15">
        <f t="shared" ca="1" si="67"/>
        <v>0</v>
      </c>
      <c r="AD106" s="76">
        <f t="shared" ca="1" si="68"/>
        <v>6.2</v>
      </c>
      <c r="AE106" s="15">
        <f t="shared" ca="1" si="69"/>
        <v>0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19040415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>
        <f t="shared" ca="1" si="50"/>
        <v>760.5</v>
      </c>
      <c r="M107" s="15">
        <f t="shared" ca="1" si="51"/>
        <v>0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>
        <f t="shared" ca="1" si="66"/>
        <v>90</v>
      </c>
      <c r="AC107" s="15">
        <f t="shared" ca="1" si="67"/>
        <v>0</v>
      </c>
      <c r="AD107" s="76">
        <f t="shared" ca="1" si="68"/>
        <v>5.0999999999999996</v>
      </c>
      <c r="AE107" s="15">
        <f t="shared" ca="1" si="69"/>
        <v>0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19040416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>
        <f t="shared" ca="1" si="50"/>
        <v>760.7</v>
      </c>
      <c r="M108" s="15">
        <f t="shared" ca="1" si="51"/>
        <v>0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>
        <f t="shared" ca="1" si="66"/>
        <v>90</v>
      </c>
      <c r="AC108" s="15">
        <f t="shared" ca="1" si="67"/>
        <v>0</v>
      </c>
      <c r="AD108" s="76">
        <f t="shared" ca="1" si="68"/>
        <v>7.7</v>
      </c>
      <c r="AE108" s="15">
        <f t="shared" ca="1" si="69"/>
        <v>0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19040417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>
        <f t="shared" ca="1" si="50"/>
        <v>760.5</v>
      </c>
      <c r="M109" s="15">
        <f t="shared" ca="1" si="51"/>
        <v>0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>
        <f t="shared" ca="1" si="66"/>
        <v>90</v>
      </c>
      <c r="AC109" s="15">
        <f t="shared" ca="1" si="67"/>
        <v>0</v>
      </c>
      <c r="AD109" s="76">
        <f t="shared" ca="1" si="68"/>
        <v>5.0999999999999996</v>
      </c>
      <c r="AE109" s="15">
        <f t="shared" ca="1" si="69"/>
        <v>0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19040418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>
        <f t="shared" ca="1" si="50"/>
        <v>761.2</v>
      </c>
      <c r="M110" s="15">
        <f t="shared" ca="1" si="51"/>
        <v>0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>
        <f t="shared" ca="1" si="66"/>
        <v>90</v>
      </c>
      <c r="AC110" s="15">
        <f t="shared" ca="1" si="67"/>
        <v>0</v>
      </c>
      <c r="AD110" s="76">
        <f t="shared" ca="1" si="68"/>
        <v>7.7</v>
      </c>
      <c r="AE110" s="15">
        <f t="shared" ca="1" si="69"/>
        <v>0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19040419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>
        <f t="shared" ca="1" si="50"/>
        <v>760.5</v>
      </c>
      <c r="M111" s="15">
        <f t="shared" ca="1" si="51"/>
        <v>0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>
        <f t="shared" ca="1" si="66"/>
        <v>90</v>
      </c>
      <c r="AC111" s="15">
        <f t="shared" ca="1" si="67"/>
        <v>0</v>
      </c>
      <c r="AD111" s="76">
        <f t="shared" ca="1" si="68"/>
        <v>6.2</v>
      </c>
      <c r="AE111" s="15">
        <f t="shared" ca="1" si="69"/>
        <v>0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19040420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>
        <f t="shared" ca="1" si="50"/>
        <v>760.2</v>
      </c>
      <c r="M112" s="15">
        <f t="shared" ca="1" si="51"/>
        <v>0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>
        <f t="shared" ca="1" si="66"/>
        <v>90</v>
      </c>
      <c r="AC112" s="15">
        <f t="shared" ca="1" si="67"/>
        <v>0</v>
      </c>
      <c r="AD112" s="76">
        <f t="shared" ca="1" si="68"/>
        <v>6.2</v>
      </c>
      <c r="AE112" s="15">
        <f t="shared" ca="1" si="69"/>
        <v>0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19040421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>
        <f t="shared" ca="1" si="50"/>
        <v>760</v>
      </c>
      <c r="M113" s="15">
        <f t="shared" ca="1" si="51"/>
        <v>0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>
        <f t="shared" ca="1" si="66"/>
        <v>45</v>
      </c>
      <c r="AC113" s="15">
        <f t="shared" ca="1" si="67"/>
        <v>0</v>
      </c>
      <c r="AD113" s="76">
        <f t="shared" ca="1" si="68"/>
        <v>4.0999999999999996</v>
      </c>
      <c r="AE113" s="15">
        <f t="shared" ca="1" si="69"/>
        <v>0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19040422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>
        <f t="shared" ca="1" si="50"/>
        <v>759.7</v>
      </c>
      <c r="M114" s="15">
        <f t="shared" ca="1" si="51"/>
        <v>0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>
        <f t="shared" ca="1" si="66"/>
        <v>90</v>
      </c>
      <c r="AC114" s="15">
        <f t="shared" ca="1" si="67"/>
        <v>0</v>
      </c>
      <c r="AD114" s="76">
        <f t="shared" ca="1" si="68"/>
        <v>5.0999999999999996</v>
      </c>
      <c r="AE114" s="15">
        <f t="shared" ca="1" si="69"/>
        <v>0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19040423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>
        <f t="shared" ca="1" si="50"/>
        <v>760</v>
      </c>
      <c r="M115" s="15">
        <f t="shared" ca="1" si="51"/>
        <v>0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>
        <f t="shared" ca="1" si="66"/>
        <v>90</v>
      </c>
      <c r="AC115" s="15">
        <f t="shared" ca="1" si="67"/>
        <v>0</v>
      </c>
      <c r="AD115" s="76">
        <f t="shared" ca="1" si="68"/>
        <v>5.0999999999999996</v>
      </c>
      <c r="AE115" s="15">
        <f t="shared" ca="1" si="69"/>
        <v>0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19040424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>
        <f t="shared" ca="1" si="50"/>
        <v>761</v>
      </c>
      <c r="M116" s="15">
        <f t="shared" ca="1" si="51"/>
        <v>0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>
        <f t="shared" ca="1" si="66"/>
        <v>90</v>
      </c>
      <c r="AC116" s="15">
        <f t="shared" ca="1" si="67"/>
        <v>0</v>
      </c>
      <c r="AD116" s="76">
        <f t="shared" ca="1" si="68"/>
        <v>2.1</v>
      </c>
      <c r="AE116" s="15">
        <f t="shared" ca="1" si="69"/>
        <v>0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19040425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>
        <f t="shared" ca="1" si="50"/>
        <v>759.2</v>
      </c>
      <c r="M117" s="15">
        <f t="shared" ca="1" si="51"/>
        <v>0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>
        <f t="shared" ca="1" si="66"/>
        <v>135</v>
      </c>
      <c r="AC117" s="15">
        <f t="shared" ca="1" si="67"/>
        <v>0</v>
      </c>
      <c r="AD117" s="76">
        <f t="shared" ca="1" si="68"/>
        <v>3.1</v>
      </c>
      <c r="AE117" s="15">
        <f t="shared" ca="1" si="69"/>
        <v>0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19040426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>
        <f t="shared" ca="1" si="50"/>
        <v>759.7</v>
      </c>
      <c r="M118" s="15">
        <f t="shared" ca="1" si="51"/>
        <v>0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>
        <f t="shared" ca="1" si="66"/>
        <v>90</v>
      </c>
      <c r="AC118" s="15">
        <f t="shared" ca="1" si="67"/>
        <v>0</v>
      </c>
      <c r="AD118" s="76">
        <f t="shared" ca="1" si="68"/>
        <v>2.6</v>
      </c>
      <c r="AE118" s="15">
        <f t="shared" ca="1" si="69"/>
        <v>0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19040427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>
        <f t="shared" ca="1" si="50"/>
        <v>760.7</v>
      </c>
      <c r="M119" s="15">
        <f t="shared" ca="1" si="51"/>
        <v>0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>
        <f t="shared" ca="1" si="66"/>
        <v>90</v>
      </c>
      <c r="AC119" s="15">
        <f t="shared" ca="1" si="67"/>
        <v>0</v>
      </c>
      <c r="AD119" s="76">
        <f t="shared" ca="1" si="68"/>
        <v>3.6</v>
      </c>
      <c r="AE119" s="15">
        <f t="shared" ca="1" si="69"/>
        <v>0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19040428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>
        <f t="shared" ca="1" si="50"/>
        <v>761</v>
      </c>
      <c r="M120" s="15">
        <f t="shared" ca="1" si="51"/>
        <v>0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>
        <f t="shared" ca="1" si="66"/>
        <v>90</v>
      </c>
      <c r="AC120" s="15">
        <f t="shared" ca="1" si="67"/>
        <v>0</v>
      </c>
      <c r="AD120" s="76">
        <f t="shared" ca="1" si="68"/>
        <v>6.2</v>
      </c>
      <c r="AE120" s="15">
        <f t="shared" ca="1" si="69"/>
        <v>0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19040429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>
        <f t="shared" ca="1" si="50"/>
        <v>761</v>
      </c>
      <c r="M121" s="15">
        <f t="shared" ca="1" si="51"/>
        <v>0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>
        <f t="shared" ca="1" si="66"/>
        <v>135</v>
      </c>
      <c r="AC121" s="15">
        <f t="shared" ca="1" si="67"/>
        <v>0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19040430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>
        <f t="shared" ca="1" si="50"/>
        <v>761</v>
      </c>
      <c r="M122" s="15">
        <f t="shared" ca="1" si="51"/>
        <v>0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>
        <f t="shared" ca="1" si="66"/>
        <v>135</v>
      </c>
      <c r="AC122" s="15">
        <f t="shared" ca="1" si="67"/>
        <v>0</v>
      </c>
      <c r="AD122" s="76">
        <f t="shared" ca="1" si="68"/>
        <v>6.2</v>
      </c>
      <c r="AE122" s="15">
        <f t="shared" ca="1" si="69"/>
        <v>0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19040501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>
        <f t="shared" ca="1" si="50"/>
        <v>759.5</v>
      </c>
      <c r="M123" s="15">
        <f t="shared" ca="1" si="51"/>
        <v>0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>
        <f t="shared" ca="1" si="66"/>
        <v>90</v>
      </c>
      <c r="AC123" s="15">
        <f t="shared" ca="1" si="67"/>
        <v>0</v>
      </c>
      <c r="AD123" s="76">
        <f t="shared" ca="1" si="68"/>
        <v>5.0999999999999996</v>
      </c>
      <c r="AE123" s="15">
        <f t="shared" ca="1" si="69"/>
        <v>0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19040502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>
        <f t="shared" ca="1" si="50"/>
        <v>759.5</v>
      </c>
      <c r="M124" s="15">
        <f t="shared" ca="1" si="51"/>
        <v>0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>
        <f t="shared" ca="1" si="66"/>
        <v>90</v>
      </c>
      <c r="AC124" s="15">
        <f t="shared" ca="1" si="67"/>
        <v>0</v>
      </c>
      <c r="AD124" s="76">
        <f t="shared" ca="1" si="68"/>
        <v>5.0999999999999996</v>
      </c>
      <c r="AE124" s="15">
        <f t="shared" ca="1" si="69"/>
        <v>0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19040503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>
        <f t="shared" ca="1" si="50"/>
        <v>759.5</v>
      </c>
      <c r="M125" s="15">
        <f t="shared" ca="1" si="51"/>
        <v>0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>
        <f t="shared" ca="1" si="66"/>
        <v>90</v>
      </c>
      <c r="AC125" s="15">
        <f t="shared" ca="1" si="67"/>
        <v>0</v>
      </c>
      <c r="AD125" s="76">
        <f t="shared" ca="1" si="68"/>
        <v>5.0999999999999996</v>
      </c>
      <c r="AE125" s="15">
        <f t="shared" ca="1" si="69"/>
        <v>0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19040504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>
        <f t="shared" ca="1" si="50"/>
        <v>760.5</v>
      </c>
      <c r="M126" s="15">
        <f t="shared" ca="1" si="51"/>
        <v>0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>
        <f t="shared" ca="1" si="66"/>
        <v>90</v>
      </c>
      <c r="AC126" s="15">
        <f t="shared" ca="1" si="67"/>
        <v>0</v>
      </c>
      <c r="AD126" s="76">
        <f t="shared" ca="1" si="68"/>
        <v>5.0999999999999996</v>
      </c>
      <c r="AE126" s="15">
        <f t="shared" ca="1" si="69"/>
        <v>0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19040505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>
        <f t="shared" ca="1" si="50"/>
        <v>760</v>
      </c>
      <c r="M127" s="15">
        <f t="shared" ca="1" si="51"/>
        <v>0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>
        <f t="shared" ca="1" si="66"/>
        <v>90</v>
      </c>
      <c r="AC127" s="15">
        <f t="shared" ca="1" si="67"/>
        <v>0</v>
      </c>
      <c r="AD127" s="76">
        <f t="shared" ca="1" si="68"/>
        <v>5.0999999999999996</v>
      </c>
      <c r="AE127" s="15">
        <f t="shared" ca="1" si="69"/>
        <v>0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19040506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>
        <f t="shared" ca="1" si="50"/>
        <v>760.2</v>
      </c>
      <c r="M128" s="15">
        <f t="shared" ca="1" si="51"/>
        <v>0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>
        <f t="shared" ca="1" si="66"/>
        <v>90</v>
      </c>
      <c r="AC128" s="15">
        <f t="shared" ca="1" si="67"/>
        <v>0</v>
      </c>
      <c r="AD128" s="76">
        <f t="shared" ca="1" si="68"/>
        <v>5.0999999999999996</v>
      </c>
      <c r="AE128" s="15">
        <f t="shared" ca="1" si="69"/>
        <v>0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19040507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>
        <f t="shared" ca="1" si="50"/>
        <v>760</v>
      </c>
      <c r="M129" s="15">
        <f t="shared" ca="1" si="51"/>
        <v>0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>
        <f t="shared" ca="1" si="66"/>
        <v>90</v>
      </c>
      <c r="AC129" s="15">
        <f t="shared" ca="1" si="67"/>
        <v>0</v>
      </c>
      <c r="AD129" s="76">
        <f t="shared" ca="1" si="68"/>
        <v>5.0999999999999996</v>
      </c>
      <c r="AE129" s="15">
        <f t="shared" ca="1" si="69"/>
        <v>0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19040508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758.7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30" s="76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5.0999999999999996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19040509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>
        <f t="shared" ca="1" si="90"/>
        <v>759.2</v>
      </c>
      <c r="M131" s="15">
        <f t="shared" ca="1" si="91"/>
        <v>0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>
        <f t="shared" ca="1" si="106"/>
        <v>90</v>
      </c>
      <c r="AC131" s="15">
        <f t="shared" ca="1" si="107"/>
        <v>0</v>
      </c>
      <c r="AD131" s="76">
        <f t="shared" ca="1" si="108"/>
        <v>7.7</v>
      </c>
      <c r="AE131" s="15">
        <f t="shared" ca="1" si="109"/>
        <v>0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19040510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>
        <f t="shared" ca="1" si="90"/>
        <v>760</v>
      </c>
      <c r="M132" s="15">
        <f t="shared" ca="1" si="91"/>
        <v>0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>
        <f t="shared" ca="1" si="108"/>
        <v>5.0999999999999996</v>
      </c>
      <c r="AE132" s="15">
        <f t="shared" ca="1" si="109"/>
        <v>0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19040511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>
        <f t="shared" ca="1" si="106"/>
        <v>90</v>
      </c>
      <c r="AC133" s="15">
        <f t="shared" ca="1" si="107"/>
        <v>0</v>
      </c>
      <c r="AD133" s="76">
        <f t="shared" ca="1" si="108"/>
        <v>5.0999999999999996</v>
      </c>
      <c r="AE133" s="15">
        <f t="shared" ca="1" si="109"/>
        <v>0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19040512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>
        <f t="shared" ca="1" si="90"/>
        <v>761</v>
      </c>
      <c r="M134" s="15">
        <f t="shared" ca="1" si="91"/>
        <v>0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>
        <f t="shared" ca="1" si="106"/>
        <v>135</v>
      </c>
      <c r="AC134" s="15">
        <f t="shared" ca="1" si="107"/>
        <v>0</v>
      </c>
      <c r="AD134" s="76">
        <f t="shared" ca="1" si="108"/>
        <v>6.2</v>
      </c>
      <c r="AE134" s="15">
        <f t="shared" ca="1" si="109"/>
        <v>0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19040513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>
        <f t="shared" ca="1" si="90"/>
        <v>759.2</v>
      </c>
      <c r="M135" s="15">
        <f t="shared" ca="1" si="91"/>
        <v>0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>
        <f t="shared" ca="1" si="106"/>
        <v>90</v>
      </c>
      <c r="AC135" s="15">
        <f t="shared" ca="1" si="107"/>
        <v>0</v>
      </c>
      <c r="AD135" s="76">
        <f t="shared" ca="1" si="108"/>
        <v>6.2</v>
      </c>
      <c r="AE135" s="15">
        <f t="shared" ca="1" si="109"/>
        <v>0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19040514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>
        <f t="shared" ca="1" si="90"/>
        <v>759.5</v>
      </c>
      <c r="M136" s="15">
        <f t="shared" ca="1" si="91"/>
        <v>0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>
        <f t="shared" ca="1" si="106"/>
        <v>90</v>
      </c>
      <c r="AC136" s="15">
        <f t="shared" ca="1" si="107"/>
        <v>0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19040515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>
        <f t="shared" ca="1" si="90"/>
        <v>759</v>
      </c>
      <c r="M137" s="15">
        <f t="shared" ca="1" si="91"/>
        <v>0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>
        <f t="shared" ca="1" si="106"/>
        <v>90</v>
      </c>
      <c r="AC137" s="15">
        <f t="shared" ca="1" si="107"/>
        <v>0</v>
      </c>
      <c r="AD137" s="76">
        <f t="shared" ca="1" si="108"/>
        <v>7.7</v>
      </c>
      <c r="AE137" s="15">
        <f t="shared" ca="1" si="109"/>
        <v>0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19040516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>
        <f t="shared" ca="1" si="90"/>
        <v>760.5</v>
      </c>
      <c r="M138" s="15">
        <f t="shared" ca="1" si="91"/>
        <v>0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>
        <f t="shared" ca="1" si="106"/>
        <v>90</v>
      </c>
      <c r="AC138" s="15">
        <f t="shared" ca="1" si="107"/>
        <v>0</v>
      </c>
      <c r="AD138" s="76">
        <f t="shared" ca="1" si="108"/>
        <v>7.7</v>
      </c>
      <c r="AE138" s="15">
        <f t="shared" ca="1" si="109"/>
        <v>0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19040517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>
        <f t="shared" ca="1" si="90"/>
        <v>759.7</v>
      </c>
      <c r="M139" s="15">
        <f t="shared" ca="1" si="91"/>
        <v>0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>
        <f t="shared" ca="1" si="106"/>
        <v>90</v>
      </c>
      <c r="AC139" s="15">
        <f t="shared" ca="1" si="107"/>
        <v>0</v>
      </c>
      <c r="AD139" s="76">
        <f t="shared" ca="1" si="108"/>
        <v>7.7</v>
      </c>
      <c r="AE139" s="15">
        <f t="shared" ca="1" si="109"/>
        <v>0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19040518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>
        <f t="shared" ca="1" si="90"/>
        <v>761</v>
      </c>
      <c r="M140" s="15">
        <f t="shared" ca="1" si="91"/>
        <v>0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>
        <f t="shared" ca="1" si="106"/>
        <v>90</v>
      </c>
      <c r="AC140" s="15">
        <f t="shared" ca="1" si="107"/>
        <v>0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19040519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>
        <f t="shared" ca="1" si="90"/>
        <v>761.7</v>
      </c>
      <c r="M141" s="15">
        <f t="shared" ca="1" si="91"/>
        <v>0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19040520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>
        <f t="shared" ca="1" si="90"/>
        <v>760.7</v>
      </c>
      <c r="M142" s="15">
        <f t="shared" ca="1" si="91"/>
        <v>0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>
        <f t="shared" ca="1" si="106"/>
        <v>90</v>
      </c>
      <c r="AC142" s="15">
        <f t="shared" ca="1" si="107"/>
        <v>0</v>
      </c>
      <c r="AD142" s="76">
        <f t="shared" ca="1" si="108"/>
        <v>6.2</v>
      </c>
      <c r="AE142" s="15">
        <f t="shared" ca="1" si="109"/>
        <v>0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19040521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>
        <f t="shared" ca="1" si="90"/>
        <v>760.2</v>
      </c>
      <c r="M143" s="15">
        <f t="shared" ca="1" si="91"/>
        <v>0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>
        <f t="shared" ca="1" si="106"/>
        <v>135</v>
      </c>
      <c r="AC143" s="15">
        <f t="shared" ca="1" si="107"/>
        <v>0</v>
      </c>
      <c r="AD143" s="76">
        <f t="shared" ca="1" si="108"/>
        <v>6.2</v>
      </c>
      <c r="AE143" s="15">
        <f t="shared" ca="1" si="109"/>
        <v>0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19040522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>
        <f t="shared" ca="1" si="90"/>
        <v>759.7</v>
      </c>
      <c r="M144" s="15">
        <f t="shared" ca="1" si="91"/>
        <v>0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>
        <f t="shared" ca="1" si="106"/>
        <v>90</v>
      </c>
      <c r="AC144" s="15">
        <f t="shared" ca="1" si="107"/>
        <v>0</v>
      </c>
      <c r="AD144" s="76">
        <f t="shared" ca="1" si="108"/>
        <v>5.0999999999999996</v>
      </c>
      <c r="AE144" s="15">
        <f t="shared" ca="1" si="109"/>
        <v>0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19040523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>
        <f t="shared" ca="1" si="90"/>
        <v>760</v>
      </c>
      <c r="M145" s="15">
        <f t="shared" ca="1" si="91"/>
        <v>0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>
        <f t="shared" ca="1" si="106"/>
        <v>90</v>
      </c>
      <c r="AC145" s="15">
        <f t="shared" ca="1" si="107"/>
        <v>0</v>
      </c>
      <c r="AD145" s="76">
        <f t="shared" ca="1" si="108"/>
        <v>5.0999999999999996</v>
      </c>
      <c r="AE145" s="15">
        <f t="shared" ca="1" si="109"/>
        <v>0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19040524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>
        <f t="shared" ca="1" si="90"/>
        <v>760.2</v>
      </c>
      <c r="M146" s="15">
        <f t="shared" ca="1" si="91"/>
        <v>0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>
        <f t="shared" ca="1" si="106"/>
        <v>90</v>
      </c>
      <c r="AC146" s="15">
        <f t="shared" ca="1" si="107"/>
        <v>0</v>
      </c>
      <c r="AD146" s="76">
        <f t="shared" ca="1" si="108"/>
        <v>6.2</v>
      </c>
      <c r="AE146" s="15">
        <f t="shared" ca="1" si="109"/>
        <v>0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19040525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>
        <f t="shared" ca="1" si="90"/>
        <v>760.2</v>
      </c>
      <c r="M147" s="15">
        <f t="shared" ca="1" si="91"/>
        <v>0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>
        <f t="shared" ca="1" si="106"/>
        <v>90</v>
      </c>
      <c r="AC147" s="15">
        <f t="shared" ca="1" si="107"/>
        <v>0</v>
      </c>
      <c r="AD147" s="76">
        <f t="shared" ca="1" si="108"/>
        <v>5.0999999999999996</v>
      </c>
      <c r="AE147" s="15">
        <f t="shared" ca="1" si="109"/>
        <v>0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19040526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>
        <f t="shared" ca="1" si="90"/>
        <v>761</v>
      </c>
      <c r="M148" s="15">
        <f t="shared" ca="1" si="91"/>
        <v>0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>
        <f t="shared" ca="1" si="106"/>
        <v>135</v>
      </c>
      <c r="AC148" s="15">
        <f t="shared" ca="1" si="107"/>
        <v>0</v>
      </c>
      <c r="AD148" s="76">
        <f t="shared" ca="1" si="108"/>
        <v>5.0999999999999996</v>
      </c>
      <c r="AE148" s="15">
        <f t="shared" ca="1" si="109"/>
        <v>0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19040527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>
        <f t="shared" ca="1" si="90"/>
        <v>760.2</v>
      </c>
      <c r="M149" s="15">
        <f t="shared" ca="1" si="91"/>
        <v>0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>
        <f t="shared" ca="1" si="106"/>
        <v>135</v>
      </c>
      <c r="AC149" s="15">
        <f t="shared" ca="1" si="107"/>
        <v>0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19040528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>
        <f t="shared" ca="1" si="90"/>
        <v>759.2</v>
      </c>
      <c r="M150" s="15">
        <f t="shared" ca="1" si="91"/>
        <v>0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>
        <f t="shared" ca="1" si="106"/>
        <v>135</v>
      </c>
      <c r="AC150" s="15">
        <f t="shared" ca="1" si="107"/>
        <v>0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19040529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>
        <f t="shared" ca="1" si="90"/>
        <v>759.5</v>
      </c>
      <c r="M151" s="15">
        <f t="shared" ca="1" si="91"/>
        <v>0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>
        <f t="shared" ca="1" si="106"/>
        <v>90</v>
      </c>
      <c r="AC151" s="15">
        <f t="shared" ca="1" si="107"/>
        <v>0</v>
      </c>
      <c r="AD151" s="76">
        <f t="shared" ca="1" si="108"/>
        <v>5.0999999999999996</v>
      </c>
      <c r="AE151" s="15">
        <f t="shared" ca="1" si="109"/>
        <v>0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19040530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>
        <f t="shared" ca="1" si="90"/>
        <v>761</v>
      </c>
      <c r="M152" s="15">
        <f t="shared" ca="1" si="91"/>
        <v>0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>
        <f t="shared" ca="1" si="106"/>
        <v>90</v>
      </c>
      <c r="AC152" s="15">
        <f t="shared" ca="1" si="107"/>
        <v>0</v>
      </c>
      <c r="AD152" s="76">
        <f t="shared" ca="1" si="108"/>
        <v>7.7</v>
      </c>
      <c r="AE152" s="15">
        <f t="shared" ca="1" si="109"/>
        <v>0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19040531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>
        <f t="shared" ca="1" si="90"/>
        <v>759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>
        <f t="shared" ca="1" si="106"/>
        <v>90</v>
      </c>
      <c r="AC153" s="15">
        <f t="shared" ca="1" si="107"/>
        <v>0</v>
      </c>
      <c r="AD153" s="76">
        <f t="shared" ca="1" si="108"/>
        <v>6.2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19040601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>
        <f t="shared" ca="1" si="90"/>
        <v>761.5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>
        <f t="shared" ca="1" si="106"/>
        <v>90</v>
      </c>
      <c r="AC154" s="15">
        <f t="shared" ca="1" si="107"/>
        <v>0</v>
      </c>
      <c r="AD154" s="76">
        <f t="shared" ca="1" si="108"/>
        <v>6.2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19040602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>
        <f t="shared" ca="1" si="90"/>
        <v>761.2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>
        <f t="shared" ca="1" si="106"/>
        <v>90</v>
      </c>
      <c r="AC155" s="15">
        <f t="shared" ca="1" si="107"/>
        <v>0</v>
      </c>
      <c r="AD155" s="76">
        <f t="shared" ca="1" si="108"/>
        <v>7.7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19040603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>
        <f t="shared" ca="1" si="90"/>
        <v>761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>
        <f t="shared" ca="1" si="106"/>
        <v>90</v>
      </c>
      <c r="AC156" s="15">
        <f t="shared" ca="1" si="107"/>
        <v>0</v>
      </c>
      <c r="AD156" s="76">
        <f t="shared" ca="1" si="108"/>
        <v>7.7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19040604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>
        <f t="shared" ca="1" si="90"/>
        <v>760.5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>
        <f t="shared" ca="1" si="106"/>
        <v>90</v>
      </c>
      <c r="AC157" s="15">
        <f t="shared" ca="1" si="107"/>
        <v>0</v>
      </c>
      <c r="AD157" s="76">
        <f t="shared" ca="1" si="108"/>
        <v>6.2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19040605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>
        <f t="shared" ca="1" si="90"/>
        <v>761.5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>
        <f t="shared" ca="1" si="106"/>
        <v>90</v>
      </c>
      <c r="AC158" s="15">
        <f t="shared" ca="1" si="107"/>
        <v>0</v>
      </c>
      <c r="AD158" s="76">
        <f t="shared" ca="1" si="108"/>
        <v>6.2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19040606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>
        <f t="shared" ca="1" si="90"/>
        <v>761.2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>
        <f t="shared" ca="1" si="106"/>
        <v>90</v>
      </c>
      <c r="AC159" s="15">
        <f t="shared" ca="1" si="107"/>
        <v>0</v>
      </c>
      <c r="AD159" s="76">
        <f t="shared" ca="1" si="108"/>
        <v>6.2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19040607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>
        <f t="shared" ca="1" si="90"/>
        <v>761.7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>
        <f t="shared" ca="1" si="106"/>
        <v>90</v>
      </c>
      <c r="AC160" s="15">
        <f t="shared" ca="1" si="107"/>
        <v>0</v>
      </c>
      <c r="AD160" s="76">
        <f t="shared" ca="1" si="108"/>
        <v>6.2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19040608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>
        <f t="shared" ca="1" si="90"/>
        <v>761.2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>
        <f t="shared" ca="1" si="106"/>
        <v>90</v>
      </c>
      <c r="AC161" s="15">
        <f t="shared" ca="1" si="107"/>
        <v>0</v>
      </c>
      <c r="AD161" s="76">
        <f t="shared" ca="1" si="108"/>
        <v>5.0999999999999996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19040609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>
        <f t="shared" ca="1" si="90"/>
        <v>761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>
        <f t="shared" ca="1" si="106"/>
        <v>90</v>
      </c>
      <c r="AC162" s="15">
        <f t="shared" ca="1" si="107"/>
        <v>0</v>
      </c>
      <c r="AD162" s="76">
        <f t="shared" ca="1" si="108"/>
        <v>6.2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19040610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>
        <f t="shared" ca="1" si="90"/>
        <v>760.7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>
        <f t="shared" ca="1" si="106"/>
        <v>135</v>
      </c>
      <c r="AC163" s="15">
        <f t="shared" ca="1" si="107"/>
        <v>0</v>
      </c>
      <c r="AD163" s="76">
        <f t="shared" ca="1" si="108"/>
        <v>5.0999999999999996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19040611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>
        <f t="shared" ca="1" si="90"/>
        <v>760.5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>
        <f t="shared" ca="1" si="106"/>
        <v>135</v>
      </c>
      <c r="AC164" s="15">
        <f t="shared" ca="1" si="107"/>
        <v>0</v>
      </c>
      <c r="AD164" s="76">
        <f t="shared" ca="1" si="108"/>
        <v>4.0999999999999996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19040612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>
        <f t="shared" ca="1" si="90"/>
        <v>760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>
        <f t="shared" ca="1" si="106"/>
        <v>135</v>
      </c>
      <c r="AC165" s="15">
        <f t="shared" ca="1" si="107"/>
        <v>0</v>
      </c>
      <c r="AD165" s="76">
        <f t="shared" ca="1" si="108"/>
        <v>6.2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19040613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>
        <f t="shared" ca="1" si="90"/>
        <v>760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>
        <f t="shared" ca="1" si="106"/>
        <v>135</v>
      </c>
      <c r="AC166" s="15">
        <f t="shared" ca="1" si="107"/>
        <v>0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19040614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>
        <f t="shared" ca="1" si="90"/>
        <v>760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>
        <f t="shared" ca="1" si="106"/>
        <v>135</v>
      </c>
      <c r="AC167" s="15">
        <f t="shared" ca="1" si="107"/>
        <v>0</v>
      </c>
      <c r="AD167" s="76">
        <f t="shared" ca="1" si="108"/>
        <v>5.0999999999999996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19040615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>
        <f t="shared" ca="1" si="90"/>
        <v>761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>
        <f t="shared" ca="1" si="106"/>
        <v>135</v>
      </c>
      <c r="AC168" s="15">
        <f t="shared" ca="1" si="107"/>
        <v>0</v>
      </c>
      <c r="AD168" s="76">
        <f t="shared" ca="1" si="108"/>
        <v>6.2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19040616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>
        <f t="shared" ca="1" si="90"/>
        <v>760.7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>
        <f t="shared" ca="1" si="106"/>
        <v>135</v>
      </c>
      <c r="AC169" s="15">
        <f t="shared" ca="1" si="107"/>
        <v>0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19040617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>
        <f t="shared" ca="1" si="90"/>
        <v>760.5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6.2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19040618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>
        <f t="shared" ca="1" si="90"/>
        <v>761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7.7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19040619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>
        <f t="shared" ca="1" si="90"/>
        <v>761.5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>
        <f t="shared" ca="1" si="106"/>
        <v>90</v>
      </c>
      <c r="AC172" s="15">
        <f t="shared" ca="1" si="107"/>
        <v>0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19040620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>
        <f t="shared" ca="1" si="90"/>
        <v>760.7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>
        <f t="shared" ca="1" si="106"/>
        <v>90</v>
      </c>
      <c r="AC173" s="15">
        <f t="shared" ca="1" si="107"/>
        <v>0</v>
      </c>
      <c r="AD173" s="76">
        <f t="shared" ca="1" si="108"/>
        <v>7.7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19040621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>
        <f t="shared" ca="1" si="90"/>
        <v>760.7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>
        <f t="shared" ca="1" si="106"/>
        <v>90</v>
      </c>
      <c r="AC174" s="15">
        <f t="shared" ca="1" si="107"/>
        <v>0</v>
      </c>
      <c r="AD174" s="76">
        <f t="shared" ca="1" si="108"/>
        <v>7.7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19040622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>
        <f t="shared" ca="1" si="90"/>
        <v>761.5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>
        <f t="shared" ca="1" si="106"/>
        <v>90</v>
      </c>
      <c r="AC175" s="15">
        <f t="shared" ca="1" si="107"/>
        <v>0</v>
      </c>
      <c r="AD175" s="76">
        <f t="shared" ca="1" si="108"/>
        <v>7.7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19040623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>
        <f t="shared" ca="1" si="90"/>
        <v>762.5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>
        <f t="shared" ca="1" si="106"/>
        <v>90</v>
      </c>
      <c r="AC176" s="15">
        <f t="shared" ca="1" si="107"/>
        <v>0</v>
      </c>
      <c r="AD176" s="76">
        <f t="shared" ca="1" si="108"/>
        <v>7.7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19040624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>
        <f t="shared" ca="1" si="90"/>
        <v>762.8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>
        <f t="shared" ca="1" si="106"/>
        <v>90</v>
      </c>
      <c r="AC177" s="15">
        <f t="shared" ca="1" si="107"/>
        <v>0</v>
      </c>
      <c r="AD177" s="76">
        <f t="shared" ca="1" si="108"/>
        <v>6.2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19040625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7.7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19040626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6.2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19040627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>
        <f t="shared" ca="1" si="90"/>
        <v>761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>
        <f t="shared" ca="1" si="106"/>
        <v>135</v>
      </c>
      <c r="AC180" s="15">
        <f t="shared" ca="1" si="107"/>
        <v>0</v>
      </c>
      <c r="AD180" s="76">
        <f t="shared" ca="1" si="108"/>
        <v>6.2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19040628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>
        <f t="shared" ca="1" si="90"/>
        <v>760.7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5.0999999999999996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19040629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>
        <f t="shared" ca="1" si="90"/>
        <v>761.5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>
        <f t="shared" ca="1" si="106"/>
        <v>135</v>
      </c>
      <c r="AC182" s="15">
        <f t="shared" ca="1" si="107"/>
        <v>0</v>
      </c>
      <c r="AD182" s="76">
        <f t="shared" ca="1" si="108"/>
        <v>6.2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19040630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761.2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6.2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19040701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761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6.2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19040702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761.2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6.2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19040703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761.7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6.2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19040704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761.7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>
        <f t="shared" ca="1" si="104"/>
        <v>22.4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6.7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19040705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761.5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26.7</v>
      </c>
      <c r="Y188" s="15">
        <f t="shared" ca="1" si="103"/>
        <v>0</v>
      </c>
      <c r="Z188" s="16">
        <f t="shared" ca="1" si="104"/>
        <v>24.3</v>
      </c>
      <c r="AA188" s="15">
        <f t="shared" ca="1" si="105"/>
        <v>0</v>
      </c>
      <c r="AB188" s="9">
        <f t="shared" ca="1" si="106"/>
        <v>135</v>
      </c>
      <c r="AC188" s="15">
        <f t="shared" ca="1" si="107"/>
        <v>0</v>
      </c>
      <c r="AD188" s="76">
        <f t="shared" ca="1" si="108"/>
        <v>6.2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19040706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760.5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26.7</v>
      </c>
      <c r="Y189" s="15">
        <f t="shared" ca="1" si="103"/>
        <v>0</v>
      </c>
      <c r="Z189" s="16">
        <f t="shared" ca="1" si="104"/>
        <v>24.9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8.1999999999999993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19040707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760.2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26.7</v>
      </c>
      <c r="Y190" s="15">
        <f t="shared" ca="1" si="103"/>
        <v>0</v>
      </c>
      <c r="Z190" s="16">
        <f t="shared" ca="1" si="104"/>
        <v>25.5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4.5999999999999996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19040708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760.2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27.6</v>
      </c>
      <c r="Y191" s="15">
        <f t="shared" ca="1" si="103"/>
        <v>0</v>
      </c>
      <c r="Z191" s="16">
        <f t="shared" ca="1" si="104"/>
        <v>24.9</v>
      </c>
      <c r="AA191" s="15">
        <f t="shared" ca="1" si="105"/>
        <v>0</v>
      </c>
      <c r="AB191" s="9">
        <f t="shared" ca="1" si="106"/>
        <v>135</v>
      </c>
      <c r="AC191" s="15">
        <f t="shared" ca="1" si="107"/>
        <v>0</v>
      </c>
      <c r="AD191" s="76">
        <f t="shared" ca="1" si="108"/>
        <v>8.1999999999999993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19040709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760.5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27.3</v>
      </c>
      <c r="Y192" s="15">
        <f t="shared" ca="1" si="103"/>
        <v>0</v>
      </c>
      <c r="Z192" s="16">
        <f t="shared" ca="1" si="104"/>
        <v>26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19040710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760.7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26.2</v>
      </c>
      <c r="Y193" s="15">
        <f t="shared" ca="1" si="103"/>
        <v>0</v>
      </c>
      <c r="Z193" s="16">
        <f t="shared" ca="1" si="104"/>
        <v>23.7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7.7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19040711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26.6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23.8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10.3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19040712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760.7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26.8</v>
      </c>
      <c r="Y195" s="15">
        <f t="shared" ca="1" si="143"/>
        <v>0</v>
      </c>
      <c r="Z195" s="16">
        <f t="shared" ca="1" si="144"/>
        <v>24.1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9.8000000000000007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19040713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760.2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26.8</v>
      </c>
      <c r="Y196" s="15">
        <f t="shared" ca="1" si="143"/>
        <v>0</v>
      </c>
      <c r="Z196" s="16">
        <f t="shared" ca="1" si="144"/>
        <v>24.8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9.8000000000000007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19040714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762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25.7</v>
      </c>
      <c r="Y197" s="15">
        <f t="shared" ca="1" si="143"/>
        <v>0</v>
      </c>
      <c r="Z197" s="16">
        <f t="shared" ca="1" si="144"/>
        <v>22.9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8.6999999999999993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19040715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761.7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26.8</v>
      </c>
      <c r="Y198" s="15">
        <f t="shared" ca="1" si="143"/>
        <v>0</v>
      </c>
      <c r="Z198" s="16">
        <f t="shared" ca="1" si="144"/>
        <v>25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9.3000000000000007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19040716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761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26.7</v>
      </c>
      <c r="Y199" s="15">
        <f t="shared" ca="1" si="143"/>
        <v>0</v>
      </c>
      <c r="Z199" s="16">
        <f t="shared" ca="1" si="144"/>
        <v>24.7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8.1999999999999993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19040717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760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26.7</v>
      </c>
      <c r="Y200" s="15">
        <f t="shared" ca="1" si="143"/>
        <v>0</v>
      </c>
      <c r="Z200" s="16">
        <f t="shared" ca="1" si="144"/>
        <v>24.7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8.1999999999999993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19040718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26.6</v>
      </c>
      <c r="Y201" s="15">
        <f t="shared" ca="1" si="143"/>
        <v>0</v>
      </c>
      <c r="Z201" s="16">
        <f t="shared" ca="1" si="144"/>
        <v>24.9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9.3000000000000007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19040719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761.2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27.1</v>
      </c>
      <c r="Y202" s="15">
        <f t="shared" ca="1" si="143"/>
        <v>0</v>
      </c>
      <c r="Z202" s="16">
        <f t="shared" ca="1" si="144"/>
        <v>23.4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9.3000000000000007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19040720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761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26.8</v>
      </c>
      <c r="Y203" s="15">
        <f t="shared" ca="1" si="143"/>
        <v>0</v>
      </c>
      <c r="Z203" s="16">
        <f t="shared" ca="1" si="144"/>
        <v>24.6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7.2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19040721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760.5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26.6</v>
      </c>
      <c r="Y204" s="15">
        <f t="shared" ca="1" si="143"/>
        <v>0</v>
      </c>
      <c r="Z204" s="16">
        <f t="shared" ca="1" si="144"/>
        <v>23.9</v>
      </c>
      <c r="AA204" s="15">
        <f t="shared" ca="1" si="145"/>
        <v>0</v>
      </c>
      <c r="AB204" s="9">
        <f t="shared" ca="1" si="146"/>
        <v>135</v>
      </c>
      <c r="AC204" s="15">
        <f t="shared" ca="1" si="147"/>
        <v>0</v>
      </c>
      <c r="AD204" s="76">
        <f t="shared" ca="1" si="148"/>
        <v>6.2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19040722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760.5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26.2</v>
      </c>
      <c r="Y205" s="15">
        <f t="shared" ca="1" si="143"/>
        <v>0</v>
      </c>
      <c r="Z205" s="16">
        <f t="shared" ca="1" si="144"/>
        <v>23.2</v>
      </c>
      <c r="AA205" s="15">
        <f t="shared" ca="1" si="145"/>
        <v>0</v>
      </c>
      <c r="AB205" s="9">
        <f t="shared" ca="1" si="146"/>
        <v>135</v>
      </c>
      <c r="AC205" s="15">
        <f t="shared" ca="1" si="147"/>
        <v>0</v>
      </c>
      <c r="AD205" s="76">
        <f t="shared" ca="1" si="148"/>
        <v>6.2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19040723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760.5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26.1</v>
      </c>
      <c r="Y206" s="15">
        <f t="shared" ca="1" si="143"/>
        <v>0</v>
      </c>
      <c r="Z206" s="16">
        <f t="shared" ca="1" si="144"/>
        <v>22.1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12.3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19040724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760.7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27.2</v>
      </c>
      <c r="Y207" s="15">
        <f t="shared" ca="1" si="143"/>
        <v>0</v>
      </c>
      <c r="Z207" s="16">
        <f t="shared" ca="1" si="144"/>
        <v>26.1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9.3000000000000007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19040725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760.7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27.1</v>
      </c>
      <c r="Y208" s="15">
        <f t="shared" ca="1" si="143"/>
        <v>0</v>
      </c>
      <c r="Z208" s="16">
        <f t="shared" ca="1" si="144"/>
        <v>24.9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8.6999999999999993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19040726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27</v>
      </c>
      <c r="Y209" s="15">
        <f t="shared" ca="1" si="143"/>
        <v>0</v>
      </c>
      <c r="Z209" s="16">
        <f t="shared" ca="1" si="144"/>
        <v>25.1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8.6999999999999993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19040727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26.7</v>
      </c>
      <c r="Y210" s="15">
        <f t="shared" ca="1" si="143"/>
        <v>0</v>
      </c>
      <c r="Z210" s="16">
        <f t="shared" ca="1" si="144"/>
        <v>24.4</v>
      </c>
      <c r="AA210" s="15">
        <f t="shared" ca="1" si="145"/>
        <v>0</v>
      </c>
      <c r="AB210" s="9">
        <f t="shared" ca="1" si="146"/>
        <v>135</v>
      </c>
      <c r="AC210" s="15">
        <f t="shared" ca="1" si="147"/>
        <v>0</v>
      </c>
      <c r="AD210" s="76">
        <f t="shared" ca="1" si="148"/>
        <v>7.7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19040728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760.5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26.8</v>
      </c>
      <c r="Y211" s="15">
        <f t="shared" ca="1" si="143"/>
        <v>0</v>
      </c>
      <c r="Z211" s="16">
        <f t="shared" ca="1" si="144"/>
        <v>24.2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6.2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19040729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761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27.3</v>
      </c>
      <c r="Y212" s="15">
        <f t="shared" ca="1" si="143"/>
        <v>0</v>
      </c>
      <c r="Z212" s="16">
        <f t="shared" ca="1" si="144"/>
        <v>24.6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6.2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19040730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761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27.4</v>
      </c>
      <c r="Y213" s="15">
        <f t="shared" ca="1" si="143"/>
        <v>0</v>
      </c>
      <c r="Z213" s="16">
        <f t="shared" ca="1" si="144"/>
        <v>26.1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9.8000000000000007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19040731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761.2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26.9</v>
      </c>
      <c r="Y214" s="15">
        <f t="shared" ca="1" si="143"/>
        <v>0</v>
      </c>
      <c r="Z214" s="16">
        <f t="shared" ca="1" si="144"/>
        <v>25.6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8.6999999999999993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19040801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761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27.6</v>
      </c>
      <c r="Y215" s="15">
        <f t="shared" ca="1" si="143"/>
        <v>0</v>
      </c>
      <c r="Z215" s="16">
        <f t="shared" ca="1" si="144"/>
        <v>25.7</v>
      </c>
      <c r="AA215" s="15">
        <f t="shared" ca="1" si="145"/>
        <v>0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9.3000000000000007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19040802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761.2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27.7</v>
      </c>
      <c r="Y216" s="15">
        <f t="shared" ca="1" si="143"/>
        <v>0</v>
      </c>
      <c r="Z216" s="16">
        <f t="shared" ca="1" si="144"/>
        <v>26.6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9.3000000000000007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19040803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761.2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27.4</v>
      </c>
      <c r="Y217" s="15">
        <f t="shared" ca="1" si="143"/>
        <v>0</v>
      </c>
      <c r="Z217" s="16">
        <f t="shared" ca="1" si="144"/>
        <v>25.1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7.7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19040804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762.3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27.4</v>
      </c>
      <c r="Y218" s="15">
        <f t="shared" ca="1" si="143"/>
        <v>0</v>
      </c>
      <c r="Z218" s="16">
        <f t="shared" ca="1" si="144"/>
        <v>24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9.3000000000000007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19040805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761.5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26.8</v>
      </c>
      <c r="Y219" s="15">
        <f t="shared" ca="1" si="143"/>
        <v>0</v>
      </c>
      <c r="Z219" s="16">
        <f t="shared" ca="1" si="144"/>
        <v>22.2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7.2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19040806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760.5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26.9</v>
      </c>
      <c r="Y220" s="15">
        <f t="shared" ca="1" si="143"/>
        <v>0</v>
      </c>
      <c r="Z220" s="16">
        <f t="shared" ca="1" si="144"/>
        <v>24</v>
      </c>
      <c r="AA220" s="15">
        <f t="shared" ca="1" si="145"/>
        <v>0</v>
      </c>
      <c r="AB220" s="9">
        <f t="shared" ca="1" si="146"/>
        <v>135</v>
      </c>
      <c r="AC220" s="15">
        <f t="shared" ca="1" si="147"/>
        <v>0</v>
      </c>
      <c r="AD220" s="76">
        <f t="shared" ca="1" si="148"/>
        <v>6.2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19040807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761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27.1</v>
      </c>
      <c r="Y221" s="15">
        <f t="shared" ca="1" si="143"/>
        <v>0</v>
      </c>
      <c r="Z221" s="16">
        <f t="shared" ca="1" si="144"/>
        <v>23.3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6.7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19040808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761.7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27.3</v>
      </c>
      <c r="Y222" s="15">
        <f t="shared" ca="1" si="143"/>
        <v>0</v>
      </c>
      <c r="Z222" s="16">
        <f t="shared" ca="1" si="144"/>
        <v>24.5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8.6999999999999993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19040809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761.7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27.6</v>
      </c>
      <c r="Y223" s="15">
        <f t="shared" ca="1" si="143"/>
        <v>0</v>
      </c>
      <c r="Z223" s="16">
        <f t="shared" ca="1" si="144"/>
        <v>25.3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6.2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19040810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760.5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27.6</v>
      </c>
      <c r="Y224" s="15">
        <f t="shared" ca="1" si="143"/>
        <v>0</v>
      </c>
      <c r="Z224" s="16">
        <f t="shared" ca="1" si="144"/>
        <v>25.4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7.2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19040811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760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28</v>
      </c>
      <c r="Y225" s="15">
        <f t="shared" ca="1" si="143"/>
        <v>0</v>
      </c>
      <c r="Z225" s="16">
        <f t="shared" ca="1" si="144"/>
        <v>25.3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6.7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19040812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760.7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27.9</v>
      </c>
      <c r="Y226" s="15">
        <f t="shared" ca="1" si="143"/>
        <v>0</v>
      </c>
      <c r="Z226" s="16">
        <f t="shared" ca="1" si="144"/>
        <v>25.5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8.1999999999999993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19040813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761.7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28.4</v>
      </c>
      <c r="Y227" s="15">
        <f t="shared" ca="1" si="143"/>
        <v>0</v>
      </c>
      <c r="Z227" s="16">
        <f t="shared" ca="1" si="144"/>
        <v>25.6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6.7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19040814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761.5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28.3</v>
      </c>
      <c r="Y228" s="15">
        <f t="shared" ca="1" si="143"/>
        <v>0</v>
      </c>
      <c r="Z228" s="16">
        <f t="shared" ca="1" si="144"/>
        <v>25.6</v>
      </c>
      <c r="AA228" s="15">
        <f t="shared" ca="1" si="145"/>
        <v>0</v>
      </c>
      <c r="AB228" s="9">
        <f t="shared" ca="1" si="146"/>
        <v>135</v>
      </c>
      <c r="AC228" s="15">
        <f t="shared" ca="1" si="147"/>
        <v>0</v>
      </c>
      <c r="AD228" s="76">
        <f t="shared" ca="1" si="148"/>
        <v>7.2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19040815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760.5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28.1</v>
      </c>
      <c r="Y229" s="15">
        <f t="shared" ca="1" si="143"/>
        <v>0</v>
      </c>
      <c r="Z229" s="16">
        <f t="shared" ca="1" si="144"/>
        <v>25.6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6.7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19040816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761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28</v>
      </c>
      <c r="Y230" s="15">
        <f t="shared" ca="1" si="143"/>
        <v>0</v>
      </c>
      <c r="Z230" s="16">
        <f t="shared" ca="1" si="144"/>
        <v>25.6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7.7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19040817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760.2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27.8</v>
      </c>
      <c r="Y231" s="15">
        <f t="shared" ca="1" si="143"/>
        <v>0</v>
      </c>
      <c r="Z231" s="16">
        <f t="shared" ca="1" si="144"/>
        <v>25.6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6.7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19040818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759.7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27.2</v>
      </c>
      <c r="Y232" s="15">
        <f t="shared" ca="1" si="143"/>
        <v>0</v>
      </c>
      <c r="Z232" s="16">
        <f t="shared" ca="1" si="144"/>
        <v>23.8</v>
      </c>
      <c r="AA232" s="15">
        <f t="shared" ca="1" si="145"/>
        <v>0</v>
      </c>
      <c r="AB232" s="9">
        <f t="shared" ca="1" si="146"/>
        <v>135</v>
      </c>
      <c r="AC232" s="15">
        <f t="shared" ca="1" si="147"/>
        <v>0</v>
      </c>
      <c r="AD232" s="76">
        <f t="shared" ca="1" si="148"/>
        <v>3.1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19040819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760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27.4</v>
      </c>
      <c r="Y233" s="15">
        <f t="shared" ca="1" si="143"/>
        <v>0</v>
      </c>
      <c r="Z233" s="16">
        <f t="shared" ca="1" si="144"/>
        <v>25</v>
      </c>
      <c r="AA233" s="15">
        <f t="shared" ca="1" si="145"/>
        <v>0</v>
      </c>
      <c r="AB233" s="9">
        <f t="shared" ca="1" si="146"/>
        <v>135</v>
      </c>
      <c r="AC233" s="15">
        <f t="shared" ca="1" si="147"/>
        <v>0</v>
      </c>
      <c r="AD233" s="76">
        <f t="shared" ca="1" si="148"/>
        <v>8.1999999999999993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19040820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760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27.8</v>
      </c>
      <c r="Y234" s="15">
        <f t="shared" ca="1" si="143"/>
        <v>0</v>
      </c>
      <c r="Z234" s="16">
        <f t="shared" ca="1" si="144"/>
        <v>24.7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6.2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19040821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759.7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27.8</v>
      </c>
      <c r="Y235" s="15">
        <f t="shared" ca="1" si="143"/>
        <v>0</v>
      </c>
      <c r="Z235" s="16">
        <f t="shared" ca="1" si="144"/>
        <v>25.6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6.7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19040822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760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27.1</v>
      </c>
      <c r="Y236" s="15">
        <f t="shared" ca="1" si="143"/>
        <v>0</v>
      </c>
      <c r="Z236" s="16">
        <f t="shared" ca="1" si="144"/>
        <v>21.1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9.3000000000000007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19040823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760.2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27.3</v>
      </c>
      <c r="Y237" s="15">
        <f t="shared" ca="1" si="143"/>
        <v>0</v>
      </c>
      <c r="Z237" s="16">
        <f t="shared" ca="1" si="144"/>
        <v>25.2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6.2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19040824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27.2</v>
      </c>
      <c r="Y238" s="15">
        <f t="shared" ca="1" si="143"/>
        <v>0</v>
      </c>
      <c r="Z238" s="16">
        <f t="shared" ca="1" si="144"/>
        <v>25.2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6.7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19040825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760.5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27.2</v>
      </c>
      <c r="Y239" s="15">
        <f t="shared" ca="1" si="143"/>
        <v>0</v>
      </c>
      <c r="Z239" s="16">
        <f t="shared" ca="1" si="144"/>
        <v>25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6.2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19040826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760.2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27.8</v>
      </c>
      <c r="Y240" s="15">
        <f t="shared" ca="1" si="143"/>
        <v>0</v>
      </c>
      <c r="Z240" s="16">
        <f t="shared" ca="1" si="144"/>
        <v>25.3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6.2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19040827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760.7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27.8</v>
      </c>
      <c r="Y241" s="15">
        <f t="shared" ca="1" si="143"/>
        <v>0</v>
      </c>
      <c r="Z241" s="16">
        <f t="shared" ca="1" si="144"/>
        <v>24.3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7.7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19040828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760.5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27.8</v>
      </c>
      <c r="Y242" s="15">
        <f t="shared" ca="1" si="143"/>
        <v>0</v>
      </c>
      <c r="Z242" s="16">
        <f t="shared" ca="1" si="144"/>
        <v>25.7</v>
      </c>
      <c r="AA242" s="15">
        <f t="shared" ca="1" si="145"/>
        <v>0</v>
      </c>
      <c r="AB242" s="9">
        <f t="shared" ca="1" si="146"/>
        <v>135</v>
      </c>
      <c r="AC242" s="15">
        <f t="shared" ca="1" si="147"/>
        <v>0</v>
      </c>
      <c r="AD242" s="76">
        <f t="shared" ca="1" si="148"/>
        <v>7.7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19040829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760.2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27.9</v>
      </c>
      <c r="Y243" s="15">
        <f t="shared" ca="1" si="143"/>
        <v>0</v>
      </c>
      <c r="Z243" s="16">
        <f t="shared" ca="1" si="144"/>
        <v>25.3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6.2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19040830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27.1</v>
      </c>
      <c r="Y244" s="15">
        <f t="shared" ca="1" si="143"/>
        <v>0</v>
      </c>
      <c r="Z244" s="16">
        <f t="shared" ca="1" si="144"/>
        <v>25.7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7.2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19040831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760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27.4</v>
      </c>
      <c r="Y245" s="15">
        <f t="shared" ca="1" si="143"/>
        <v>0</v>
      </c>
      <c r="Z245" s="16">
        <f t="shared" ca="1" si="144"/>
        <v>24.5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5.7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19040901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760.5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27.8</v>
      </c>
      <c r="Y246" s="15">
        <f t="shared" ca="1" si="143"/>
        <v>0</v>
      </c>
      <c r="Z246" s="16">
        <f t="shared" ca="1" si="144"/>
        <v>25.7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6.2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19040902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760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27.8</v>
      </c>
      <c r="Y247" s="15">
        <f t="shared" ca="1" si="143"/>
        <v>0</v>
      </c>
      <c r="Z247" s="16">
        <f t="shared" ca="1" si="144"/>
        <v>25.3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5.7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19040903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759.5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27.8</v>
      </c>
      <c r="Y248" s="15">
        <f t="shared" ca="1" si="143"/>
        <v>0</v>
      </c>
      <c r="Z248" s="16">
        <f t="shared" ca="1" si="144"/>
        <v>23.9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4.5999999999999996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19040904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757.9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27.7</v>
      </c>
      <c r="Y249" s="15">
        <f t="shared" ca="1" si="143"/>
        <v>0</v>
      </c>
      <c r="Z249" s="16">
        <f t="shared" ca="1" si="144"/>
        <v>24.9</v>
      </c>
      <c r="AA249" s="15">
        <f t="shared" ca="1" si="145"/>
        <v>0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5.0999999999999996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19040905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758.4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28.4</v>
      </c>
      <c r="Y250" s="15">
        <f t="shared" ca="1" si="143"/>
        <v>0</v>
      </c>
      <c r="Z250" s="16">
        <f t="shared" ca="1" si="144"/>
        <v>26.1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7.7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19040906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759.7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27.9</v>
      </c>
      <c r="Y251" s="15">
        <f t="shared" ca="1" si="143"/>
        <v>0</v>
      </c>
      <c r="Z251" s="16">
        <f t="shared" ca="1" si="144"/>
        <v>25.9</v>
      </c>
      <c r="AA251" s="15">
        <f t="shared" ca="1" si="145"/>
        <v>0</v>
      </c>
      <c r="AB251" s="9">
        <f t="shared" ca="1" si="146"/>
        <v>135</v>
      </c>
      <c r="AC251" s="15">
        <f t="shared" ca="1" si="147"/>
        <v>0</v>
      </c>
      <c r="AD251" s="76">
        <f t="shared" ca="1" si="148"/>
        <v>5.0999999999999996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19040907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761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28.3</v>
      </c>
      <c r="Y252" s="15">
        <f t="shared" ca="1" si="143"/>
        <v>0</v>
      </c>
      <c r="Z252" s="16">
        <f t="shared" ca="1" si="144"/>
        <v>25.5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6.7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19040908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760.2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28.1</v>
      </c>
      <c r="Y253" s="15">
        <f t="shared" ca="1" si="143"/>
        <v>0</v>
      </c>
      <c r="Z253" s="16">
        <f t="shared" ca="1" si="144"/>
        <v>26.5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9.3000000000000007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19040909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760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27.8</v>
      </c>
      <c r="Y254" s="15">
        <f t="shared" ca="1" si="143"/>
        <v>0</v>
      </c>
      <c r="Z254" s="16">
        <f t="shared" ca="1" si="144"/>
        <v>25.7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5.0999999999999996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19040910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759.7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27.7</v>
      </c>
      <c r="Y255" s="15">
        <f t="shared" ca="1" si="143"/>
        <v>0</v>
      </c>
      <c r="Z255" s="16">
        <f t="shared" ca="1" si="144"/>
        <v>25.8</v>
      </c>
      <c r="AA255" s="15">
        <f t="shared" ca="1" si="145"/>
        <v>0</v>
      </c>
      <c r="AB255" s="9">
        <f t="shared" ca="1" si="146"/>
        <v>135</v>
      </c>
      <c r="AC255" s="15">
        <f t="shared" ca="1" si="147"/>
        <v>0</v>
      </c>
      <c r="AD255" s="76">
        <f t="shared" ca="1" si="148"/>
        <v>8.1999999999999993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19040911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760.2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27.9</v>
      </c>
      <c r="Y256" s="15">
        <f t="shared" ca="1" si="143"/>
        <v>0</v>
      </c>
      <c r="Z256" s="16">
        <f t="shared" ca="1" si="144"/>
        <v>26.1</v>
      </c>
      <c r="AA256" s="15">
        <f t="shared" ca="1" si="145"/>
        <v>0</v>
      </c>
      <c r="AB256" s="9">
        <f t="shared" ca="1" si="146"/>
        <v>135</v>
      </c>
      <c r="AC256" s="15">
        <f t="shared" ca="1" si="147"/>
        <v>0</v>
      </c>
      <c r="AD256" s="76">
        <f t="shared" ca="1" si="148"/>
        <v>6.2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19040912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760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28.3</v>
      </c>
      <c r="Y257" s="15">
        <f t="shared" ca="1" si="143"/>
        <v>0</v>
      </c>
      <c r="Z257" s="16">
        <f t="shared" ca="1" si="144"/>
        <v>25.7</v>
      </c>
      <c r="AA257" s="15">
        <f t="shared" ca="1" si="145"/>
        <v>0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8.1999999999999993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19040913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759.2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27.9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25.9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9.3000000000000007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19040914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760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28.4</v>
      </c>
      <c r="Y259" s="15">
        <f t="shared" ca="1" si="183"/>
        <v>0</v>
      </c>
      <c r="Z259" s="16">
        <f t="shared" ca="1" si="184"/>
        <v>26.2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9.3000000000000007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19040915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760.2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27.9</v>
      </c>
      <c r="Y260" s="15">
        <f t="shared" ca="1" si="183"/>
        <v>0</v>
      </c>
      <c r="Z260" s="16">
        <f t="shared" ca="1" si="184"/>
        <v>26.4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5.7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19040916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760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27.8</v>
      </c>
      <c r="Y261" s="15">
        <f t="shared" ca="1" si="183"/>
        <v>0</v>
      </c>
      <c r="Z261" s="16">
        <f t="shared" ca="1" si="184"/>
        <v>25.9</v>
      </c>
      <c r="AA261" s="15">
        <f t="shared" ca="1" si="185"/>
        <v>0</v>
      </c>
      <c r="AB261" s="9">
        <f t="shared" ca="1" si="186"/>
        <v>135</v>
      </c>
      <c r="AC261" s="15">
        <f t="shared" ca="1" si="187"/>
        <v>0</v>
      </c>
      <c r="AD261" s="76">
        <f t="shared" ca="1" si="188"/>
        <v>6.2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19040917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759.2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28.4</v>
      </c>
      <c r="Y262" s="15">
        <f t="shared" ca="1" si="183"/>
        <v>0</v>
      </c>
      <c r="Z262" s="16">
        <f t="shared" ca="1" si="184"/>
        <v>26.1</v>
      </c>
      <c r="AA262" s="15">
        <f t="shared" ca="1" si="185"/>
        <v>0</v>
      </c>
      <c r="AB262" s="9">
        <f t="shared" ca="1" si="186"/>
        <v>135</v>
      </c>
      <c r="AC262" s="15">
        <f t="shared" ca="1" si="187"/>
        <v>0</v>
      </c>
      <c r="AD262" s="76">
        <f t="shared" ca="1" si="188"/>
        <v>8.1999999999999993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19040918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759.5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28.4</v>
      </c>
      <c r="Y263" s="15">
        <f t="shared" ca="1" si="183"/>
        <v>0</v>
      </c>
      <c r="Z263" s="16">
        <f t="shared" ca="1" si="184"/>
        <v>26.9</v>
      </c>
      <c r="AA263" s="15">
        <f t="shared" ca="1" si="185"/>
        <v>0</v>
      </c>
      <c r="AB263" s="9">
        <f t="shared" ca="1" si="186"/>
        <v>135</v>
      </c>
      <c r="AC263" s="15">
        <f t="shared" ca="1" si="187"/>
        <v>0</v>
      </c>
      <c r="AD263" s="76">
        <f t="shared" ca="1" si="188"/>
        <v>9.8000000000000007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19040919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760.5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27.8</v>
      </c>
      <c r="Y264" s="15">
        <f t="shared" ca="1" si="183"/>
        <v>0</v>
      </c>
      <c r="Z264" s="16">
        <f t="shared" ca="1" si="184"/>
        <v>25.1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10.3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19040920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760.2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27.9</v>
      </c>
      <c r="Y265" s="15">
        <f t="shared" ca="1" si="183"/>
        <v>0</v>
      </c>
      <c r="Z265" s="16">
        <f t="shared" ca="1" si="184"/>
        <v>25.7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6.2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19040921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759.2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27.6</v>
      </c>
      <c r="Y266" s="15">
        <f t="shared" ca="1" si="183"/>
        <v>0</v>
      </c>
      <c r="Z266" s="16">
        <f t="shared" ca="1" si="184"/>
        <v>24.2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6.2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19040922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759.2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27.9</v>
      </c>
      <c r="Y267" s="15">
        <f t="shared" ca="1" si="183"/>
        <v>0</v>
      </c>
      <c r="Z267" s="16">
        <f t="shared" ca="1" si="184"/>
        <v>25.6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5.0999999999999996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19040923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760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26.8</v>
      </c>
      <c r="Y268" s="15">
        <f t="shared" ca="1" si="183"/>
        <v>0</v>
      </c>
      <c r="Z268" s="16">
        <f t="shared" ca="1" si="184"/>
        <v>25.3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3.1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19040924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27.2</v>
      </c>
      <c r="Y269" s="15">
        <f t="shared" ca="1" si="183"/>
        <v>0</v>
      </c>
      <c r="Z269" s="16">
        <f t="shared" ca="1" si="184"/>
        <v>25.4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5.7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19040925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759.2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26.7</v>
      </c>
      <c r="Y270" s="15">
        <f t="shared" ca="1" si="183"/>
        <v>0</v>
      </c>
      <c r="Z270" s="16">
        <f t="shared" ca="1" si="184"/>
        <v>24.1</v>
      </c>
      <c r="AA270" s="15">
        <f t="shared" ca="1" si="185"/>
        <v>0</v>
      </c>
      <c r="AB270" s="9">
        <f t="shared" ca="1" si="186"/>
        <v>135</v>
      </c>
      <c r="AC270" s="15">
        <f t="shared" ca="1" si="187"/>
        <v>0</v>
      </c>
      <c r="AD270" s="76">
        <f t="shared" ca="1" si="188"/>
        <v>3.6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19040926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27.1</v>
      </c>
      <c r="Y271" s="15">
        <f t="shared" ca="1" si="183"/>
        <v>0</v>
      </c>
      <c r="Z271" s="16">
        <f t="shared" ca="1" si="184"/>
        <v>25.6</v>
      </c>
      <c r="AA271" s="15">
        <f t="shared" ca="1" si="185"/>
        <v>0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5.0999999999999996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19040927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757.9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27.9</v>
      </c>
      <c r="Y272" s="15">
        <f t="shared" ca="1" si="183"/>
        <v>0</v>
      </c>
      <c r="Z272" s="16">
        <f t="shared" ca="1" si="184"/>
        <v>25.4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7.7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19040928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758.2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28.4</v>
      </c>
      <c r="Y273" s="15">
        <f t="shared" ca="1" si="183"/>
        <v>0</v>
      </c>
      <c r="Z273" s="16">
        <f t="shared" ca="1" si="184"/>
        <v>25.7</v>
      </c>
      <c r="AA273" s="15">
        <f t="shared" ca="1" si="185"/>
        <v>0</v>
      </c>
      <c r="AB273" s="9">
        <f t="shared" ca="1" si="186"/>
        <v>135</v>
      </c>
      <c r="AC273" s="15">
        <f t="shared" ca="1" si="187"/>
        <v>0</v>
      </c>
      <c r="AD273" s="76">
        <f t="shared" ca="1" si="188"/>
        <v>8.1999999999999993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19040929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759.5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28.6</v>
      </c>
      <c r="Y274" s="15">
        <f t="shared" ca="1" si="183"/>
        <v>0</v>
      </c>
      <c r="Z274" s="16">
        <f t="shared" ca="1" si="184"/>
        <v>26.1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6.2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19040930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759.5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28.4</v>
      </c>
      <c r="Y275" s="15">
        <f t="shared" ca="1" si="183"/>
        <v>0</v>
      </c>
      <c r="Z275" s="16">
        <f t="shared" ca="1" si="184"/>
        <v>25.4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3.6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19041001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758.4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26.6</v>
      </c>
      <c r="Y276" s="15">
        <f t="shared" ca="1" si="183"/>
        <v>0</v>
      </c>
      <c r="Z276" s="16">
        <f t="shared" ca="1" si="184"/>
        <v>24.8</v>
      </c>
      <c r="AA276" s="15">
        <f t="shared" ca="1" si="185"/>
        <v>0</v>
      </c>
      <c r="AB276" s="9">
        <f t="shared" ca="1" si="186"/>
        <v>270</v>
      </c>
      <c r="AC276" s="15">
        <f t="shared" ca="1" si="187"/>
        <v>0</v>
      </c>
      <c r="AD276" s="76">
        <f t="shared" ca="1" si="188"/>
        <v>2.6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19041002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758.7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27.9</v>
      </c>
      <c r="Y277" s="15">
        <f t="shared" ca="1" si="183"/>
        <v>0</v>
      </c>
      <c r="Z277" s="16">
        <f t="shared" ca="1" si="184"/>
        <v>24.4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2.6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19041003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759.2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27.6</v>
      </c>
      <c r="Y278" s="15">
        <f t="shared" ca="1" si="183"/>
        <v>0</v>
      </c>
      <c r="Z278" s="16">
        <f t="shared" ca="1" si="184"/>
        <v>25.3</v>
      </c>
      <c r="AA278" s="15">
        <f t="shared" ca="1" si="185"/>
        <v>0</v>
      </c>
      <c r="AB278" s="9">
        <f t="shared" ca="1" si="186"/>
        <v>135</v>
      </c>
      <c r="AC278" s="15">
        <f t="shared" ca="1" si="187"/>
        <v>0</v>
      </c>
      <c r="AD278" s="76">
        <f t="shared" ca="1" si="188"/>
        <v>3.6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19041004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759.2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27.9</v>
      </c>
      <c r="Y279" s="15">
        <f t="shared" ca="1" si="183"/>
        <v>0</v>
      </c>
      <c r="Z279" s="16">
        <f t="shared" ca="1" si="184"/>
        <v>25.1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3.1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19041005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757.9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27.7</v>
      </c>
      <c r="Y280" s="15">
        <f t="shared" ca="1" si="183"/>
        <v>0</v>
      </c>
      <c r="Z280" s="16">
        <f t="shared" ca="1" si="184"/>
        <v>22.9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5.0999999999999996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19041006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756.9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27.8</v>
      </c>
      <c r="Y281" s="15">
        <f t="shared" ca="1" si="183"/>
        <v>0</v>
      </c>
      <c r="Z281" s="16">
        <f t="shared" ca="1" si="184"/>
        <v>25.1</v>
      </c>
      <c r="AA281" s="15">
        <f t="shared" ca="1" si="185"/>
        <v>0</v>
      </c>
      <c r="AB281" s="9">
        <f t="shared" ca="1" si="186"/>
        <v>135</v>
      </c>
      <c r="AC281" s="15">
        <f t="shared" ca="1" si="187"/>
        <v>0</v>
      </c>
      <c r="AD281" s="76">
        <f t="shared" ca="1" si="188"/>
        <v>3.1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19041007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757.9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26.7</v>
      </c>
      <c r="Y282" s="15">
        <f t="shared" ca="1" si="183"/>
        <v>0</v>
      </c>
      <c r="Z282" s="16">
        <f t="shared" ca="1" si="184"/>
        <v>21.2</v>
      </c>
      <c r="AA282" s="15">
        <f t="shared" ca="1" si="185"/>
        <v>0</v>
      </c>
      <c r="AB282" s="9">
        <f t="shared" ca="1" si="186"/>
        <v>180</v>
      </c>
      <c r="AC282" s="15">
        <f t="shared" ca="1" si="187"/>
        <v>0</v>
      </c>
      <c r="AD282" s="76">
        <f t="shared" ca="1" si="188"/>
        <v>5.0999999999999996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19041008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758.4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26.7</v>
      </c>
      <c r="Y283" s="15">
        <f t="shared" ca="1" si="183"/>
        <v>0</v>
      </c>
      <c r="Z283" s="16">
        <f t="shared" ca="1" si="184"/>
        <v>23.6</v>
      </c>
      <c r="AA283" s="15">
        <f t="shared" ca="1" si="185"/>
        <v>0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1.5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19041009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758.2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26.9</v>
      </c>
      <c r="Y284" s="15">
        <f t="shared" ca="1" si="183"/>
        <v>0</v>
      </c>
      <c r="Z284" s="16">
        <f t="shared" ca="1" si="184"/>
        <v>22.8</v>
      </c>
      <c r="AA284" s="15">
        <f t="shared" ca="1" si="185"/>
        <v>0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3.1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19041010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757.9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26.7</v>
      </c>
      <c r="Y285" s="15">
        <f t="shared" ca="1" si="183"/>
        <v>0</v>
      </c>
      <c r="Z285" s="16">
        <f t="shared" ca="1" si="184"/>
        <v>24.2</v>
      </c>
      <c r="AA285" s="15">
        <f t="shared" ca="1" si="185"/>
        <v>0</v>
      </c>
      <c r="AB285" s="9">
        <f t="shared" ca="1" si="186"/>
        <v>135</v>
      </c>
      <c r="AC285" s="15">
        <f t="shared" ca="1" si="187"/>
        <v>0</v>
      </c>
      <c r="AD285" s="76">
        <f t="shared" ca="1" si="188"/>
        <v>2.6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19041011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757.2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26.9</v>
      </c>
      <c r="Y286" s="15">
        <f t="shared" ca="1" si="183"/>
        <v>0</v>
      </c>
      <c r="Z286" s="16">
        <f t="shared" ca="1" si="184"/>
        <v>25.3</v>
      </c>
      <c r="AA286" s="15">
        <f t="shared" ca="1" si="185"/>
        <v>0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3.1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19041012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757.2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27.3</v>
      </c>
      <c r="Y287" s="15">
        <f t="shared" ca="1" si="183"/>
        <v>0</v>
      </c>
      <c r="Z287" s="16">
        <f t="shared" ca="1" si="184"/>
        <v>22.7</v>
      </c>
      <c r="AA287" s="15">
        <f t="shared" ca="1" si="185"/>
        <v>0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5.0999999999999996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19041013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758.2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27.8</v>
      </c>
      <c r="Y288" s="15">
        <f t="shared" ca="1" si="183"/>
        <v>0</v>
      </c>
      <c r="Z288" s="16">
        <f t="shared" ca="1" si="184"/>
        <v>26.3</v>
      </c>
      <c r="AA288" s="15">
        <f t="shared" ca="1" si="185"/>
        <v>0</v>
      </c>
      <c r="AB288" s="9">
        <f t="shared" ca="1" si="186"/>
        <v>135</v>
      </c>
      <c r="AC288" s="15">
        <f t="shared" ca="1" si="187"/>
        <v>0</v>
      </c>
      <c r="AD288" s="76">
        <f t="shared" ca="1" si="188"/>
        <v>6.2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19041014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759.2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27.8</v>
      </c>
      <c r="Y289" s="15">
        <f t="shared" ca="1" si="183"/>
        <v>0</v>
      </c>
      <c r="Z289" s="16">
        <f t="shared" ca="1" si="184"/>
        <v>26</v>
      </c>
      <c r="AA289" s="15">
        <f t="shared" ca="1" si="185"/>
        <v>0</v>
      </c>
      <c r="AB289" s="9">
        <f t="shared" ca="1" si="186"/>
        <v>135</v>
      </c>
      <c r="AC289" s="15">
        <f t="shared" ca="1" si="187"/>
        <v>0</v>
      </c>
      <c r="AD289" s="76">
        <f t="shared" ca="1" si="188"/>
        <v>5.0999999999999996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19041015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757.7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27.8</v>
      </c>
      <c r="Y290" s="15">
        <f t="shared" ca="1" si="183"/>
        <v>0</v>
      </c>
      <c r="Z290" s="16">
        <f t="shared" ca="1" si="184"/>
        <v>25.6</v>
      </c>
      <c r="AA290" s="15">
        <f t="shared" ca="1" si="185"/>
        <v>0</v>
      </c>
      <c r="AB290" s="9">
        <f t="shared" ca="1" si="186"/>
        <v>135</v>
      </c>
      <c r="AC290" s="15">
        <f t="shared" ca="1" si="187"/>
        <v>0</v>
      </c>
      <c r="AD290" s="76">
        <f t="shared" ca="1" si="188"/>
        <v>5.0999999999999996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19041016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758.7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27.8</v>
      </c>
      <c r="Y291" s="15">
        <f t="shared" ca="1" si="183"/>
        <v>0</v>
      </c>
      <c r="Z291" s="16">
        <f t="shared" ca="1" si="184"/>
        <v>25.6</v>
      </c>
      <c r="AA291" s="15">
        <f t="shared" ca="1" si="185"/>
        <v>0</v>
      </c>
      <c r="AB291" s="9">
        <f t="shared" ca="1" si="186"/>
        <v>135</v>
      </c>
      <c r="AC291" s="15">
        <f t="shared" ca="1" si="187"/>
        <v>0</v>
      </c>
      <c r="AD291" s="76">
        <f t="shared" ca="1" si="188"/>
        <v>5.7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19041017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759.5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28.1</v>
      </c>
      <c r="Y292" s="15">
        <f t="shared" ca="1" si="183"/>
        <v>0</v>
      </c>
      <c r="Z292" s="16">
        <f t="shared" ca="1" si="184"/>
        <v>25.8</v>
      </c>
      <c r="AA292" s="15">
        <f t="shared" ca="1" si="185"/>
        <v>0</v>
      </c>
      <c r="AB292" s="9">
        <f t="shared" ca="1" si="186"/>
        <v>135</v>
      </c>
      <c r="AC292" s="15">
        <f t="shared" ca="1" si="187"/>
        <v>0</v>
      </c>
      <c r="AD292" s="76">
        <f t="shared" ca="1" si="188"/>
        <v>7.2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19041018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759.2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27.9</v>
      </c>
      <c r="Y293" s="15">
        <f t="shared" ca="1" si="183"/>
        <v>0</v>
      </c>
      <c r="Z293" s="16">
        <f t="shared" ca="1" si="184"/>
        <v>25.6</v>
      </c>
      <c r="AA293" s="15">
        <f t="shared" ca="1" si="185"/>
        <v>0</v>
      </c>
      <c r="AB293" s="9">
        <f t="shared" ca="1" si="186"/>
        <v>135</v>
      </c>
      <c r="AC293" s="15">
        <f t="shared" ca="1" si="187"/>
        <v>0</v>
      </c>
      <c r="AD293" s="76">
        <f t="shared" ca="1" si="188"/>
        <v>7.2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19041019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758.2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27.5</v>
      </c>
      <c r="Y294" s="15">
        <f t="shared" ca="1" si="183"/>
        <v>0</v>
      </c>
      <c r="Z294" s="16">
        <f t="shared" ca="1" si="184"/>
        <v>25.3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5.0999999999999996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19041020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757.9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26.7</v>
      </c>
      <c r="Y295" s="15">
        <f t="shared" ca="1" si="183"/>
        <v>0</v>
      </c>
      <c r="Z295" s="16">
        <f t="shared" ca="1" si="184"/>
        <v>25</v>
      </c>
      <c r="AA295" s="15">
        <f t="shared" ca="1" si="185"/>
        <v>0</v>
      </c>
      <c r="AB295" s="9">
        <f t="shared" ca="1" si="186"/>
        <v>135</v>
      </c>
      <c r="AC295" s="15">
        <f t="shared" ca="1" si="187"/>
        <v>0</v>
      </c>
      <c r="AD295" s="76">
        <f t="shared" ca="1" si="188"/>
        <v>4.0999999999999996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19041021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758.4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26.7</v>
      </c>
      <c r="Y296" s="15">
        <f t="shared" ca="1" si="183"/>
        <v>0</v>
      </c>
      <c r="Z296" s="16">
        <f t="shared" ca="1" si="184"/>
        <v>24.6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3.6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19041022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758.7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27.3</v>
      </c>
      <c r="Y297" s="15">
        <f t="shared" ca="1" si="183"/>
        <v>0</v>
      </c>
      <c r="Z297" s="16">
        <f t="shared" ca="1" si="184"/>
        <v>24.7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4.0999999999999996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19041023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758.4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27.6</v>
      </c>
      <c r="Y298" s="15">
        <f t="shared" ca="1" si="183"/>
        <v>0</v>
      </c>
      <c r="Z298" s="16">
        <f t="shared" ca="1" si="184"/>
        <v>25.4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5.0999999999999996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19041024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758.4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28</v>
      </c>
      <c r="Y299" s="15">
        <f t="shared" ca="1" si="183"/>
        <v>0</v>
      </c>
      <c r="Z299" s="16">
        <f t="shared" ca="1" si="184"/>
        <v>25.9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7.7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19041025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759.7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28.3</v>
      </c>
      <c r="Y300" s="15">
        <f t="shared" ca="1" si="183"/>
        <v>0</v>
      </c>
      <c r="Z300" s="16">
        <f t="shared" ca="1" si="184"/>
        <v>25.8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7.2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19041026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759.2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27.8</v>
      </c>
      <c r="Y301" s="15">
        <f t="shared" ca="1" si="183"/>
        <v>0</v>
      </c>
      <c r="Z301" s="16">
        <f t="shared" ca="1" si="184"/>
        <v>25.9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7.2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19041027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758.7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27.9</v>
      </c>
      <c r="Y302" s="15">
        <f t="shared" ca="1" si="183"/>
        <v>0</v>
      </c>
      <c r="Z302" s="16">
        <f t="shared" ca="1" si="184"/>
        <v>23.9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5.7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19041028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759.2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28.1</v>
      </c>
      <c r="Y303" s="15">
        <f t="shared" ca="1" si="183"/>
        <v>0</v>
      </c>
      <c r="Z303" s="16">
        <f t="shared" ca="1" si="184"/>
        <v>25.4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6.2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19041029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759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27.8</v>
      </c>
      <c r="Y304" s="15">
        <f t="shared" ca="1" si="183"/>
        <v>0</v>
      </c>
      <c r="Z304" s="16">
        <f t="shared" ca="1" si="184"/>
        <v>26.1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6.2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19041030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758.4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27.8</v>
      </c>
      <c r="Y305" s="15">
        <f t="shared" ca="1" si="183"/>
        <v>0</v>
      </c>
      <c r="Z305" s="16">
        <f t="shared" ca="1" si="184"/>
        <v>26.2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6.2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19041031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759.5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28.2</v>
      </c>
      <c r="Y306" s="15">
        <f t="shared" ca="1" si="183"/>
        <v>0</v>
      </c>
      <c r="Z306" s="16">
        <f t="shared" ca="1" si="184"/>
        <v>25.7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5.0999999999999996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19041101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759.5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28.6</v>
      </c>
      <c r="Y307" s="15">
        <f t="shared" ca="1" si="183"/>
        <v>0</v>
      </c>
      <c r="Z307" s="16">
        <f t="shared" ca="1" si="184"/>
        <v>25.6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4.5999999999999996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19041102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759.2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27.9</v>
      </c>
      <c r="Y308" s="15">
        <f t="shared" ca="1" si="183"/>
        <v>0</v>
      </c>
      <c r="Z308" s="16">
        <f t="shared" ca="1" si="184"/>
        <v>25.2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5.7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19041103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759.7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28.4</v>
      </c>
      <c r="Y309" s="15">
        <f t="shared" ca="1" si="183"/>
        <v>0</v>
      </c>
      <c r="Z309" s="16">
        <f t="shared" ca="1" si="184"/>
        <v>25.5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6.2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19041104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759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28.4</v>
      </c>
      <c r="Y310" s="15">
        <f t="shared" ca="1" si="183"/>
        <v>0</v>
      </c>
      <c r="Z310" s="16">
        <f t="shared" ca="1" si="184"/>
        <v>26.1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5.7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19041105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28.1</v>
      </c>
      <c r="Y311" s="15">
        <f t="shared" ca="1" si="183"/>
        <v>0</v>
      </c>
      <c r="Z311" s="16">
        <f t="shared" ca="1" si="184"/>
        <v>26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6.2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19041106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759.5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28.6</v>
      </c>
      <c r="Y312" s="15">
        <f t="shared" ca="1" si="183"/>
        <v>0</v>
      </c>
      <c r="Z312" s="16">
        <f t="shared" ca="1" si="184"/>
        <v>25.9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6.7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19041107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760.2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28</v>
      </c>
      <c r="Y313" s="15">
        <f t="shared" ca="1" si="183"/>
        <v>0</v>
      </c>
      <c r="Z313" s="16">
        <f t="shared" ca="1" si="184"/>
        <v>26.6</v>
      </c>
      <c r="AA313" s="15">
        <f t="shared" ca="1" si="185"/>
        <v>0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10.3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19041108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760.2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28.1</v>
      </c>
      <c r="Y314" s="15">
        <f t="shared" ca="1" si="183"/>
        <v>0</v>
      </c>
      <c r="Z314" s="16">
        <f t="shared" ca="1" si="184"/>
        <v>26.3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8.1999999999999993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19041109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759.5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27.8</v>
      </c>
      <c r="Y315" s="15">
        <f t="shared" ca="1" si="183"/>
        <v>0</v>
      </c>
      <c r="Z315" s="16">
        <f t="shared" ca="1" si="184"/>
        <v>25.6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7.2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19041110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760.7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28.1</v>
      </c>
      <c r="Y316" s="15">
        <f t="shared" ca="1" si="183"/>
        <v>0</v>
      </c>
      <c r="Z316" s="16">
        <f t="shared" ca="1" si="184"/>
        <v>25.6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7.2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19041111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760.2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28.3</v>
      </c>
      <c r="Y317" s="15">
        <f t="shared" ca="1" si="183"/>
        <v>0</v>
      </c>
      <c r="Z317" s="16">
        <f t="shared" ca="1" si="184"/>
        <v>25.9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8.1999999999999993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19041112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760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27.6</v>
      </c>
      <c r="Y318" s="15">
        <f t="shared" ca="1" si="183"/>
        <v>0</v>
      </c>
      <c r="Z318" s="16">
        <f t="shared" ca="1" si="184"/>
        <v>25.8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6.7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19041113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760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27.8</v>
      </c>
      <c r="Y319" s="15">
        <f t="shared" ca="1" si="183"/>
        <v>0</v>
      </c>
      <c r="Z319" s="16">
        <f t="shared" ca="1" si="184"/>
        <v>25.2</v>
      </c>
      <c r="AA319" s="15">
        <f t="shared" ca="1" si="185"/>
        <v>0</v>
      </c>
      <c r="AB319" s="9">
        <f t="shared" ca="1" si="186"/>
        <v>135</v>
      </c>
      <c r="AC319" s="15">
        <f t="shared" ca="1" si="187"/>
        <v>0</v>
      </c>
      <c r="AD319" s="76">
        <f t="shared" ca="1" si="188"/>
        <v>5.0999999999999996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19041114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760.5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28</v>
      </c>
      <c r="Y320" s="15">
        <f t="shared" ca="1" si="183"/>
        <v>0</v>
      </c>
      <c r="Z320" s="16">
        <f t="shared" ca="1" si="184"/>
        <v>26.1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7.7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19041115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762.3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27.2</v>
      </c>
      <c r="Y321" s="15">
        <f t="shared" ca="1" si="183"/>
        <v>0</v>
      </c>
      <c r="Z321" s="16">
        <f t="shared" ca="1" si="184"/>
        <v>23.6</v>
      </c>
      <c r="AA321" s="15">
        <f t="shared" ca="1" si="185"/>
        <v>0</v>
      </c>
      <c r="AB321" s="9">
        <f t="shared" ca="1" si="186"/>
        <v>90</v>
      </c>
      <c r="AC321" s="15">
        <f t="shared" ca="1" si="187"/>
        <v>0</v>
      </c>
      <c r="AD321" s="76">
        <f t="shared" ca="1" si="188"/>
        <v>5.0999999999999996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7" si="200">INDEX(Stations,2,1)</f>
        <v>78989</v>
      </c>
      <c r="B322" t="str">
        <f ca="1">TEXT(DATE(YEAR(Invoer!$A$5),1,1)+ROWS(B$2:B322)-1,"jjjjmmdd")</f>
        <v>19041116</v>
      </c>
      <c r="C322" s="72">
        <f t="shared" ref="C322:C367" si="201">Tijd</f>
        <v>800</v>
      </c>
      <c r="D322" s="16" t="str">
        <f t="shared" ref="D322:D367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7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7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7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7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7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7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7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7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7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7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7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7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7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7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7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7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7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7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7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7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7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7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7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7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7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7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7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7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7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7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7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7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7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19041117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19041118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19041119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19041120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19041121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19041122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19041123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19041124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19041125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19041126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19041127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19041128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19041129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19041130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19041201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19041202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19041203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19041204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19041205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19041206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19041207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19041208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19041209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19041210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19041211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19041212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19041213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19041214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19041215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19041216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19041217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19041218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19041219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19041220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19041221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19041222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19041223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19041224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19041225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19041226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19041227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19041228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19041229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19041230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  <row r="367" spans="1:41" x14ac:dyDescent="0.25">
      <c r="A367" s="4">
        <f t="shared" si="200"/>
        <v>78989</v>
      </c>
      <c r="B367" t="str">
        <f ca="1">TEXT(DATE(YEAR(Invoer!$A$5),1,1)+ROWS(B$2:B367)-1,"jjjjmmdd")</f>
        <v>19041231</v>
      </c>
      <c r="C367" s="72">
        <f t="shared" si="201"/>
        <v>800</v>
      </c>
      <c r="D367" s="16" t="str">
        <f t="shared" ca="1" si="202"/>
        <v>—</v>
      </c>
      <c r="E367" s="15">
        <f t="shared" ca="1" si="203"/>
        <v>7</v>
      </c>
      <c r="F367" s="73" t="str">
        <f t="shared" ca="1" si="204"/>
        <v>—</v>
      </c>
      <c r="G367" s="15">
        <f t="shared" ca="1" si="205"/>
        <v>7</v>
      </c>
      <c r="H367" s="73" t="str">
        <f t="shared" ca="1" si="206"/>
        <v>—</v>
      </c>
      <c r="I367" s="15">
        <f t="shared" ca="1" si="207"/>
        <v>7</v>
      </c>
      <c r="J367" s="73" t="str">
        <f t="shared" ca="1" si="208"/>
        <v>—</v>
      </c>
      <c r="K367" s="15">
        <f t="shared" ca="1" si="209"/>
        <v>7</v>
      </c>
      <c r="L367" s="16" t="str">
        <f t="shared" ca="1" si="210"/>
        <v>—</v>
      </c>
      <c r="M367" s="15">
        <f t="shared" ca="1" si="211"/>
        <v>7</v>
      </c>
      <c r="N367" s="16" t="str">
        <f t="shared" ca="1" si="212"/>
        <v>—</v>
      </c>
      <c r="O367" s="15">
        <f t="shared" ca="1" si="213"/>
        <v>7</v>
      </c>
      <c r="P367" s="16" t="str">
        <f t="shared" ca="1" si="214"/>
        <v>—</v>
      </c>
      <c r="Q367" s="15">
        <f t="shared" ca="1" si="215"/>
        <v>7</v>
      </c>
      <c r="R367" s="16" t="str">
        <f t="shared" ca="1" si="216"/>
        <v>—</v>
      </c>
      <c r="S367" s="15">
        <f t="shared" ca="1" si="217"/>
        <v>7</v>
      </c>
      <c r="T367" s="9" t="str">
        <f t="shared" ca="1" si="218"/>
        <v>—</v>
      </c>
      <c r="U367" s="15">
        <f t="shared" ca="1" si="219"/>
        <v>7</v>
      </c>
      <c r="V367" s="16" t="str">
        <f t="shared" ca="1" si="220"/>
        <v>—</v>
      </c>
      <c r="W367" s="15">
        <f t="shared" ca="1" si="221"/>
        <v>7</v>
      </c>
      <c r="X367" s="16" t="str">
        <f t="shared" ca="1" si="222"/>
        <v>—</v>
      </c>
      <c r="Y367" s="15">
        <f t="shared" ca="1" si="223"/>
        <v>7</v>
      </c>
      <c r="Z367" s="16" t="str">
        <f t="shared" ca="1" si="224"/>
        <v>—</v>
      </c>
      <c r="AA367" s="15">
        <f t="shared" ca="1" si="225"/>
        <v>7</v>
      </c>
      <c r="AB367" s="9" t="str">
        <f t="shared" ca="1" si="226"/>
        <v>—</v>
      </c>
      <c r="AC367" s="15">
        <f t="shared" ref="AC367" ca="1" si="240">IF(OR(ISBLANK(VLOOKUP(DATEVALUE(LEFT($B367,4)&amp;"-"&amp;MID($B367,5,2)&amp;"-"&amp;RIGHT($B367,2)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ISNA(MATCH(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67" s="76" t="str">
        <f t="shared" ca="1" si="228"/>
        <v>—</v>
      </c>
      <c r="AE367" s="15">
        <f t="shared" ca="1" si="229"/>
        <v>7</v>
      </c>
      <c r="AF367" s="76" t="str">
        <f t="shared" ca="1" si="230"/>
        <v>—</v>
      </c>
      <c r="AG367" s="15">
        <f t="shared" ca="1" si="231"/>
        <v>7</v>
      </c>
      <c r="AH367" s="9" t="str">
        <f t="shared" ca="1" si="232"/>
        <v>—</v>
      </c>
      <c r="AI367" s="15">
        <f t="shared" ref="AI367" ca="1" si="241">IF(OR(ISBLANK(VLOOKUP(DATEVALUE(LEFT($B367,4)&amp;"-"&amp;MID($B367,5,2)&amp;"-"&amp;RIGHT($B367,2)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ISNA(MATCH(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67" s="26" t="str">
        <f t="shared" ca="1" si="234"/>
        <v>—</v>
      </c>
      <c r="AK367" s="15">
        <f t="shared" ca="1" si="235"/>
        <v>7</v>
      </c>
      <c r="AL367" s="9" t="str">
        <f t="shared" ca="1" si="236"/>
        <v>—</v>
      </c>
      <c r="AM367" s="15">
        <f t="shared" ref="AM367" ca="1" si="242">IF(OR(ISBLANK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AND(ISTEX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EXAC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,"—"))),Lacking,IF(ISNA(MATCH(DATEVALUE(LEFT($B367,4)&amp;"-"&amp;MID($B367,5,2)&amp;"-"&amp;RIGHT($B367,2)),OFFSET(Catalogus,0,0,,1),0)),Ok,VLOOKUP(DATEVALUE(LEFT($B367,4)&amp;"-"&amp;MID($B367,5,2)&amp;"-"&amp;RIGHT($B367,2)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67" s="9" t="str">
        <f t="shared" ca="1" si="238"/>
        <v>—</v>
      </c>
      <c r="AO367" s="15">
        <f t="shared" ref="AO367" ca="1" si="243">IF(OR(ISBLANK(VLOOKUP(DATEVALUE(LEFT($B367,4)&amp;"-"&amp;MID($B367,5,2)&amp;"-"&amp;RIGHT($B367,2)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ISNA(MATCH(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 F367:AO36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78989, 19040101, 1,    0, 00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78989, 19040102, 1,    0, 00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78989, 19040103, 1,    0, 00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78989, 19040104, 1,    0, 00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78989, 19040105, 1,    0, 00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78989, 19040106, 1,    0, 00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78989, 19040107, 1,   48, 00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78989, 19040108, 1,    0, 00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78989, 19040109, 1,    0, 00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78989, 19040110, 1,    0, 00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78989, 19040111, 1,  229, 00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78989, 19040112, 1,    0, 00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78989, 19040113, 1,    0, 00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19040114, 1, "tr", 00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19040115, 1, "tr", 00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78989, 19040116, 1,    0, 00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78989, 19040117, 1,    0, 00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78989, 19040118, 1,    0, 00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78989, 19040119, 1,   10, 00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78989, 19040120, 1,    0, 00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78989, 19040121, 1,  170, 00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19040122, 1, "tr", 00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78989, 19040123, 1,   15, 00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78989, 19040124, 1,    0, 00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78989, 19040125, 1,  135, 00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78989, 19040126, 1,   53, 00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78989, 19040127, 1,   18, 00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78989, 19040128, 1,   58, 00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19040129, 1, "tr", 00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19040130, 1, "tr", 00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19040131,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78989, 19040201, 1,    0, 00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19040202, 1, "tr", 00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19040203, 1, "tr", 00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19040204, 1, "tr", 00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78989, 19040205, 1,    0, 00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78989, 19040206, 1,   20, 00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78989, 19040207, 1,   97, 00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19040208, 1, "tr", 00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19040209, 1, "tr", 00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78989, 19040210, 1,   66, 00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78989, 19040211, 1,    0, 00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78989, 19040212, 1,    0, 00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78989, 19040213, 1,    0, 00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78989, 19040214, 1,    0, 00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78989, 19040215, 1,    0, 00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78989, 19040216, 1,    0, 00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78989, 19040217, 1,    0, 00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78989, 19040218, 1,    0, 00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78989, 19040219, 1,    0, 00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78989, 19040220, 1,    0, 00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78989, 19040221, 1,    0, 00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78989, 19040222, 1,   15, 00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19040223, 1, "tr", 00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78989, 19040224, 1,    3, 00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19040225, 1, "tr", 00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19040226, 1, "tr", 00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78989, 19040227, 1,    3, 00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19040228, 1, "tr", 00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19040229, 1, "tr", 00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19040301, 1, "tr", 00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78989, 19040302, 1,    0, 00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19040303, 1, "tr", 00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19040304, 1, "tr", 00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19040305, 1, "tr", 00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19040306, 1, "tr", 00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78989, 19040307, 1,    0, 00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19040308, 1, "tr", 00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19040309, 1, "tr", 00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19040310, 1, "tr", 00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19040311, 1, "tr", 00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19040312, 1, "tr", 00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19040313, 1, "tr", 00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19040314, 1, "tr", 00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19040315, 1, "tr", 00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78989, 19040316, 1,    0, 00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78989, 19040317, 1,    0, 00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78989, 19040318, 1,    3, 00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19040319, 1, "tr", 00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78989, 19040320, 1,    0, 00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19040321, 1, "tr", 00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78989, 19040322, 1,    0, 00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78989, 19040323, 1,    0, 00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19040324, 1, "tr", 00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78989, 19040325, 1,    0, 00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19040326, 1, "tr", 00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19040327, 1, "tr", 00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19040328, 1, "tr", 00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19040329, 1, "tr", 00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19040330, 1, "tr", 00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78989, 19040331, 1,   15, 00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78989, 19040401, 1,   18, 00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78989, 19040402, 1,  272, 00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78989, 19040403, 1,  211, 00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78989, 19040404, 1,   51, 00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78989, 19040405, 1,  135, 00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78989, 19040406, 1,   15, 00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78989, 19040407, 1,    0, 00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78989, 19040408, 1,    0, 00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78989, 19040409, 1,    0, 00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78989, 19040410, 1,    0, 00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78989, 19040411, 1,    3, 00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19040412, 1, "tr", 00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78989, 19040413, 1,    0, 00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19040414, 1, "tr", 00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78989, 19040415, 1,   10, 00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19040416, 1, "tr", 00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19040417, 1, "tr", 00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19040418, 1, "tr", 00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78989, 19040419, 1,    3, 00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19040420, 1, "tr", 00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78989, 19040421, 1,    0, 00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78989, 19040422, 1,    0, 00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19040423, 1, "tr", 00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78989, 19040424, 1,    0, 00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78989, 19040425, 1,    0, 00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78989, 19040426, 1,    0, 00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19040427, 1, "tr", 00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78989, 19040428, 1,   15, 00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78989, 19040429, 1,   28, 00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78989, 19040430, 1,    0, 00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78989, 19040501, 1,    0, 00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78989, 19040502, 1,    0, 00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78989, 19040503, 1,    3, 00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78989, 19040504, 1,    0, 00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78989, 19040505, 1,    0, 00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78989, 19040506, 1,   36, 00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19040507, 1, "tr", 00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78989, 19040508, 1,    0, 00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78989, 19040509, 1,    0, 00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19040510, 1, "tr", 00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19040511, 1, "tr", 00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19040512, 1, "tr", 00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19040513, 1, "tr", 00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19040514, 1, "tr", 00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78989, 19040515, 1,    0, 00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19040516, 1, "tr", 00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78989, 19040517, 1,    0, 00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19040518, 1, "tr", 00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19040519, 1, "tr", 00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19040520, 1, "tr", 00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78989, 19040521, 1,    0, 00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78989, 19040522, 1,    0, 00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78989, 19040523, 1,    0, 00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19040524, 1, "tr", 00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19040525, 1, "tr", 00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19040526, 1, "tr", 00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19040527, 1, "tr", 00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19040528, 1, "tr", 00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78989, 19040529, 1,    5, 00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19040530, 1, "tr", 00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19040531, 1, "tr", 00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19040601,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19040602,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19040603,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19040604,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19040605,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19040606,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19040607,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19040608,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19040609,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19040610,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19040611,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19040612,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19040613,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19040614,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19040615,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19040616,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19040617,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19040618,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19040619,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19040620,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19040621,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19040622,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19040623,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19040624,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19040625,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19040626,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19040627,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19040628,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19040629,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19040630,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78989, 19040701, 1,    0, 00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19040702, 1, "tr",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78989, 19040703, 1,    0, 00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78989, 19040704, 1,   25, 00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19040705, 1, "tr",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78989, 19040706, 1,    0, 00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78989, 19040707, 1,    0, 00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78989, 19040708, 1,    0, 00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78989, 19040709, 1,    0, 00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78989, 19040710, 1,    5, 00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19040711, 1, "tr",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78989, 19040712, 1,    0, 00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78989, 19040713, 1,    0, 00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78989, 19040714, 1,   38, 00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78989, 19040715, 1,    0, 00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78989, 19040716, 1,    0, 00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78989, 19040717, 1,    0, 00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78989, 19040718, 1,    0, 00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78989, 19040719, 1,    3, 00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78989, 19040720, 1,    0, 00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78989, 19040721, 1,   10, 00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78989, 19040722, 1,  160, 00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78989, 19040723, 1,  102, 00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78989, 19040724, 1,    0, 00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78989, 19040725, 1,    0, 00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78989, 19040726, 1,    0, 00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78989, 19040727, 1,    3, 00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78989, 19040728, 1,    0, 00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78989, 19040729, 1,    0, 00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78989, 19040730, 1,    0, 00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78989, 19040731, 1,    0, 00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78989, 19040801, 1,    0, 00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78989, 19040802, 1,    0, 00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19040803, 1, "tr",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78989, 19040804, 1,    5, 00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78989, 19040805, 1,    3, 00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78989, 19040806, 1,    3, 00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78989, 19040807, 1,   25, 00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78989, 19040808, 1,    5, 00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78989, 19040809, 1,    0, 00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78989, 19040810, 1,    0, 00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78989, 19040811, 1,    0, 00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78989, 19040812, 1,    0, 00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78989, 19040813, 1,    0, 00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78989, 19040814, 1,    0, 00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78989, 19040815, 1,    0, 00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78989, 19040816, 1,    0, 00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78989, 19040817, 1,    0, 00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78989, 19040818, 1,    5, 00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78989, 19040819, 1,    0, 00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78989, 19040820, 1,    5, 00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78989, 19040821, 1,    0, 00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78989, 19040822, 1,  229, 00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78989, 19040823, 1,    0, 00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78989, 19040824, 1,    0, 00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78989, 19040825, 1,    0, 00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78989, 19040826, 1,    0, 00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78989, 19040827, 1,    3, 00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78989, 19040828, 1,    0, 00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19040829, 1, "tr",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78989, 19040830, 1,    0, 00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78989, 19040831, 1,    3, 00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78989, 19040901, 1,    0, 00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19040902, 1, "tr",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78989, 19040903, 1,    5, 00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78989, 19040904, 1,    0, 00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78989, 19040905, 1,    0, 00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78989, 19040906, 1,    0, 00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78989, 19040907, 1,    0, 00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78989, 19040908, 1,    0, 00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78989, 19040909, 1,    0, 00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78989, 19040910, 1,    0, 00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78989, 19040911, 1,    0, 00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78989, 19040912, 1,    0, 00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78989, 19040913, 1,    0, 00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78989, 19040914, 1,    0, 00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19040915, 1, "tr",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78989, 19040916, 1,    0, 00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78989, 19040917, 1,    0, 00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19040918, 1, "tr",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78989, 19040919, 1,    0, 00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78989, 19040920, 1,    0, 00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78989, 19040921, 1,    5, 00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78989, 19040922, 1,    0, 00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78989, 19040923, 1,   10, 00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78989, 19040924, 1,    0, 00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19040925, 1, "tr",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78989, 19040926, 1,    0, 00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19040927, 1, "tr",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78989, 19040928, 1,    0, 00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78989, 19040929, 1,    0, 00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78989, 19040930, 1,    0, 00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78989, 19041001, 1,    0, 00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78989, 19041002, 1,    0, 00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19041003, 1, "tr",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78989, 19041004, 1,    0, 00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78989, 19041005, 1,  165, 00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19041006, 1, "tr",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78989, 19041007, 1,  328, 00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78989, 19041008, 1,   33, 00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78989, 19041009, 1,   86, 00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78989, 19041010, 1,    8, 00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78989, 19041011, 1,    5, 00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78989, 19041012, 1,  353, 00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78989, 19041013, 1,    0, 00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78989, 19041014, 1,    0, 00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78989, 19041015, 1,    0, 00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78989, 19041016, 1,    0, 00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78989, 19041017, 1,    0, 00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78989, 19041018, 1,    0, 00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78989, 19041019, 1,    0, 00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19041020, 1, "tr",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78989, 19041021, 1,    0, 00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78989, 19041022, 1,    0, 00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78989, 19041023, 1,    0, 00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78989, 19041024, 1,    0, 00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19041025, 1, "tr",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78989, 19041026, 1,    0, 00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78989, 19041027, 1,    0, 00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78989, 19041028, 1,    0, 00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78989, 19041029, 1,    0, 00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78989, 19041030, 1,    0, 00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78989, 19041031, 1,    0, 00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78989, 19041101, 1,    0, 00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78989, 19041102, 1,    0, 00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78989, 19041103, 1,    0, 00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78989, 19041104, 1,    0, 00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78989, 19041105, 1,    0, 00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78989, 19041106, 1,    0, 00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78989, 19041107, 1,    0, 00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78989, 19041108, 1,    0, 00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78989, 19041109, 1,    0, 00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78989, 19041110, 1,    0, 00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19041111, 1, "tr",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78989, 19041112, 1,    0, 00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78989, 19041113, 1,    0, 00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78989, 19041114, 1,    0, 00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78989, 19041115, 1,   20, 00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19041116,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19041117,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19041118,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19041119,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19041120,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19041121,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19041122,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19041123,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19041124,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19041125,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19041126,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19041127,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19041128,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19041129,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19041130,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19041201,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19041202,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19041203,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19041204,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19041205,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19041206,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19041207,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19041208,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19041209,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19041210,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19041211,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19041212,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19041213,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19041214,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19041215,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19041216,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19041217,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19041218,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19041219,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19041220,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19041221,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19041222,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19041223,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19041224,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19041225,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19041226,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19041227,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19041228,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19041229,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19041230, 1, ////, 07</v>
      </c>
    </row>
    <row r="367" spans="1:1" x14ac:dyDescent="0.25">
      <c r="A367" s="11" t="str">
        <f ca="1">TEXT(Regen!A367,"000\,")&amp;TEXT(Regen!B367,"?00000000")&amp;TEXT(Regen!C367,""",""?0")&amp;IF(EXACT(Regen!D367,"T"),", ""tr""",SUBSTITUTE(TEXT(IF(ISTEXT(Regen!D367),Regen!D367,10*Regen!D367),""",""????0;"",""???-0;"",""????0;"", ////"""),"'",""""))&amp;SUBSTITUTE(TEXT(Regen!E367,""",""?00;"",""?-00;"",""?00;"", //"""),"'","""")</f>
        <v>78989, 19041231,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19040101, 0800, ////, 07, /////, 07, ////, 07, /////, 07, 7597, 00, ////, 07, ////, 07, ////, 07, ///, 07, ///, 07, ////, 07, ////, 07,  90, 00,   62, 00,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19040102, 0800, ////, 07, /////, 07, ////, 07, /////, 07, 7597, 00, ////, 07, ////, 07, ////, 07, ///, 07, ///, 07, ////, 07, ////, 07,  90, 00,   41, 00,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19040103, 0800, ////, 07, /////, 07, ////, 07, /////, 07, 7600, 00, ////, 07, ////, 07, ////, 07, ///, 07, ///, 07, ////, 07, ////, 07,  90, 00,   51, 00,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19040104, 0800, ////, 07, /////, 07, ////, 07, /////, 07, 7612, 00, ////, 07, ////, 07, ////, 07, ///, 07, ///, 07, ////, 07, ////, 07,  90, 00,   62, 00,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19040105, 0800, ////, 07, /////, 07, ////, 07, /////, 07, 7623, 00, ////, 07, ////, 07, ////, 07, ///, 07, ///, 07, ////, 07, ////, 07,  90, 00,   26, 00,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19040106, 0800, ////, 07, /////, 07, ////, 07, /////, 07, 7620, 00, ////, 07, ////, 07, ////, 07, ///, 07, ///, 07, ////, 07, ////, 07,  90, 00,   41, 00,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19040107, 0800, ////, 07, /////, 07, ////, 07, /////, 07, 7612, 00, ////, 07, ////, 07, ////, 07, ///, 07, ///, 07, ////, 07, ////, 07,  90, 00,   41, 00,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19040108, 0800, ////, 07, /////, 07, ////, 07, /////, 07, 7584, 00, ////, 07, ////, 07, ////, 07, ///, 07, ///, 07, ////, 07, ////, 07,  90, 00,   51, 00,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19040109, 0800, ////, 07, /////, 07, ////, 07, /////, 07, 7602, 00, ////, 07, ////, 07, ////, 07, ///, 07, ///, 07, ////, 07, ////, 07,  90, 00,   62, 00,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19040110, 0800, ////, 07, /////, 07, ////, 07, /////, 07, 7617, 00, ////, 07, ////, 07, ////, 07, ///, 07, ///, 07, ////, 07, ////, 07,  90, 00,   67, 00,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19040111, 0800, ////, 07, /////, 07, ////, 07, /////, 07, 7623, 00, ////, 07, ////, 07, ////, 07, ///, 07, ///, 07, ////, 07, ////, 07,  90, 00,   77, 00,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19040112, 0800, ////, 07, /////, 07, ////, 07, /////, 07, 7612, 00, ////, 07, ////, 07, ////, 07, ///, 07, ///, 07, ////, 07, ////, 07,  90, 00,   67, 00,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19040113, 0800, ////, 07, /////, 07, ////, 07, /////, 07, 7617, 00, ////, 07, ////, 07, ////, 07, ///, 07, ///, 07, ////, 07, ////, 07,  90, 00,   77, 00,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19040114, 0800, ////, 07, /////, 07, ////, 07, /////, 07, 7615, 00, ////, 07, ////, 07, ////, 07, ///, 07, ///, 07, ////, 07, ////, 07,  90, 00,   77, 00,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19040115, 0800, ////, 07, /////, 07, ////, 07, /////, 07, 7612, 00, ////, 07, ////, 07, ////, 07, ///, 07, ///, 07, ////, 07, ////, 07,  90, 00,   62, 00,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19040116, 0800, ////, 07, /////, 07, ////, 07, /////, 07, 7605, 00, ////, 07, ////, 07, ////, 07, ///, 07, ///, 07, ////, 07, ////, 07,  90, 00,   51, 00,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19040117, 0800, ////, 07, /////, 07, ////, 07, /////, 07, 7602, 00, ////, 07, ////, 07, ////, 07, ///, 07, ///, 07, ////, 07, ////, 07,  90, 00,   51, 00,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19040118, 0800, ////, 07, /////, 07, ////, 07, /////, 07, 7600, 00, ////, 07, ////, 07, ////, 07, ///, 07, ///, 07, ////, 07, ////, 07,  90, 00,   77, 00,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19040119, 0800, ////, 07, /////, 07, ////, 07, /////, 07, 7602, 00, ////, 07, ////, 07, ////, 07, ///, 07, ///, 07, ////, 07, ////, 07,  90, 00,   77, 00,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19040120, 0800, ////, 07, /////, 07, ////, 07, /////, 07, 7615, 00, ////, 07, ////, 07, ////, 07, ///, 07, ///, 07, ////, 07, ////, 07,  90, 00,   51, 00,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19040121, 0800, ////, 07, /////, 07, ////, 07, /////, 07, 7602, 00, ////, 07, ////, 07, ////, 07, ///, 07, ///, 07, ////, 07, ////, 07,  90, 00,   51, 00,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19040122, 0800, ////, 07, /////, 07, ////, 07, /////, 07, 7607, 00, ////, 07, ////, 07, ////, 07, ///, 07, ///, 07, ////, 07, ////, 07,  90, 00,   62, 00,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19040123, 0800, ////, 07, /////, 07, ////, 07, /////, 07, 7610, 00, ////, 07, ////, 07, ////, 07, ///, 07, ///, 07, ////, 07, ////, 07,  90, 00,   82, 00,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19040124, 0800, ////, 07, /////, 07, ////, 07, /////, 07, 7617, 00, ////, 07, ////, 07, ////, 07, ///, 07, ///, 07, ////, 07, ////, 07,  90, 00,   77, 00,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19040125, 0800, ////, 07, /////, 07, ////, 07, /////, 07, 7612, 00, ////, 07, ////, 07, ////, 07, ///, 07, ///, 07, ////, 07, ////, 07,  90, 00,   77, 00,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19040126, 0800, ////, 07, /////, 07, ////, 07, /////, 07, 7612, 00, ////, 07, ////, 07, ////, 07, ///, 07, ///, 07, ////, 07, ////, 07,  90, 00,   77, 00,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19040127, 0800, ////, 07, /////, 07, ////, 07, /////, 07, 7607, 00, ////, 07, ////, 07, ////, 07, ///, 07, ///, 07, ////, 07, ////, 07,  90, 00,   51, 00,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19040128, 0800, ////, 07, /////, 07, ////, 07, /////, 07, 7615, 00, ////, 07, ////, 07, ////, 07, ///, 07, ///, 07, ////, 07, ////, 07,  90, 00,   51, 00,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19040129, 0800, ////, 07, /////, 07, ////, 07, /////, 07, 7610, 00, ////, 07, ////, 07, ////, 07, ///, 07, ///, 07, ////, 07, ////, 07,  90, 00,   62, 00,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19040130, 0800, ////, 07, /////, 07, ////, 07, /////, 07, 7612, 00, ////, 07, ////, 07, ////, 07, ///, 07, ///, 07, ////, 07, ////, 07,  90, 00,   62, 00,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19040131,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19040201, 0800, ////, 07, /////, 07, ////, 07, /////, 07, 7617, 00, ////, 07, ////, 07, ////, 07, ///, 07, ///, 07, ////, 07, ////, 07,  90, 00,   51, 00,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19040202, 0800, ////, 07, /////, 07, ////, 07, /////, 07, 7617, 00, ////, 07, ////, 07, ////, 07, ///, 07, ///, 07, ////, 07, ////, 07,  90, 00,   51, 00,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19040203, 0800, ////, 07, /////, 07, ////, 07, /////, 07, 7620, 00, ////, 07, ////, 07, ////, 07, ///, 07, ///, 07, ////, 07, ////, 07,  90, 00,   51, 00,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19040204, 0800, ////, 07, /////, 07, ////, 07, /////, 07, 7623, 00, ////, 07, ////, 07, ////, 07, ///, 07, ///, 07, ////, 07, ////, 07,  90, 00,   77, 00,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19040205, 0800, ////, 07, /////, 07, ////, 07, /////, 07, 7623, 00, ////, 07, ////, 07, ////, 07, ///, 07, ///, 07, ////, 07, ////, 07,  90, 00,   51, 00,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19040206, 0800, ////, 07, /////, 07, ////, 07, /////, 07, 7615, 00, ////, 07, ////, 07, ////, 07, ///, 07, ///, 07, ////, 07, ////, 07,  90, 00,   41, 00,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19040207, 0800, ////, 07, /////, 07, ////, 07, /////, 07, 7625, 00, ////, 07, ////, 07, ////, 07, ///, 07, ///, 07, ////, 07, ////, 07,  90, 00,   51, 00,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19040208, 0800, ////, 07, /////, 07, ////, 07, /////, 07, 7623, 00, ////, 07, ////, 07, ////, 07, ///, 07, ///, 07, ////, 07, ////, 07,  90, 00,   51, 00,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19040209, 0800, ////, 07, /////, 07, ////, 07, /////, 07, 7615, 00, ////, 07, ////, 07, ////, 07, ///, 07, ///, 07, ////, 07, ////, 07,  90, 00,   51, 00,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19040210, 0800, ////, 07, /////, 07, ////, 07, /////, 07, 7638, 00, ////, 07, ////, 07, ////, 07, ///, 07, ///, 07, ////, 07, ////, 07,  90, 00,   72, 00,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19040211, 0800, ////, 07, /////, 07, ////, 07, /////, 07, 7607, 00, ////, 07, ////, 07, ////, 07, ///, 07, ///, 07, ////, 07, ////, 07,  90, 00,   77, 00,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19040212, 0800, ////, 07, /////, 07, ////, 07, /////, 07, 7602, 00, ////, 07, ////, 07, ////, 07, ///, 07, ///, 07, ////, 07, ////, 07, 135, 00,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19040213, 0800, ////, 07, /////, 07, ////, 07, /////, 07, 7597, 00, ////, 07, ////, 07, ////, 07, ///, 07, ///, 07, ////, 07, ////, 07, 135, 00,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19040214, 0800, ////, 07, /////, 07, ////, 07, /////, 07, 7602, 00, ////, 07, ////, 07, ////, 07, ///, 07, ///, 07, ////, 07, ////, 07,  90, 00,   77, 00,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19040215, 0800, ////, 07, /////, 07, ////, 07, /////, 07, 7605, 00, ////, 07, ////, 07, ////, 07, ///, 07, ///, 07, ////, 07, ////, 07,  90, 00,   62, 00,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19040216, 0800, ////, 07, /////, 07, ////, 07, /////, 07, 7544, 00, ////, 07, ////, 07, ////, 07, ///, 07, ///, 07, ////, 07, ////, 07,  90, 00,   62, 00,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19040217, 0800, ////, 07, /////, 07, ////, 07, /////, 07, 7602, 00, ////, 07, ////, 07, ////, 07, ///, 07, ///, 07, ////, 07, ////, 07,  90, 00,   77, 00,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19040218, 0800, ////, 07, /////, 07, ////, 07, /////, 07, 7615, 00, ////, 07, ////, 07, ////, 07, ///, 07, ///, 07, ////, 07, ////, 07,  90, 00,   72, 00,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19040219, 0800, ////, 07, /////, 07, ////, 07, /////, 07, 7612, 00, ////, 07, ////, 07, ////, 07, ///, 07, ///, 07, ////, 07, ////, 07,  90, 00,   67, 00,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19040220, 0800, ////, 07, /////, 07, ////, 07, /////, 07, 7597, 00, ////, 07, ////, 07, ////, 07, ///, 07, ///, 07, ////, 07, ////, 07,  90, 00,   72, 00,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19040221, 0800, ////, 07, /////, 07, ////, 07, /////, 07, 7612, 00, ////, 07, ////, 07, ////, 07, ///, 07, ///, 07, ////, 07, ////, 07,  90, 00,   77, 00,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19040222, 0800, ////, 07, /////, 07, ////, 07, /////, 07, 7607, 00, ////, 07, ////, 07, ////, 07, ///, 07, ///, 07, ////, 07, ////, 07,  90, 00,   77, 00,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19040223, 0800, ////, 07, /////, 07, ////, 07, /////, 07, ////, 07, ////, 07, ////, 07, ////, 07, ///, 07, ///, 07, ////, 07, ////, 07,  45, 00,   62, 00,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19040224, 0800, ////, 07, /////, 07, ////, 07, /////, 07, 7610, 00, ////, 07, ////, 07, ////, 07, ///, 07, ///, 07, ////, 07, ////, 07,  90, 00,   67, 00,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19040225, 0800, ////, 07, /////, 07, ////, 07, /////, 07, 7602, 00, ////, 07, ////, 07, ////, 07, ///, 07, ///, 07, ////, 07, ////, 07,  90, 00,   51, 00,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19040226, 0800, ////, 07, /////, 07, ////, 07, /////, 07, 7615, 00, ////, 07, ////, 07, ////, 07, ///, 07, ///, 07, ////, 07, ////, 07,  45, 00,   51, 00,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19040227, 0800, ////, 07, /////, 07, ////, 07, /////, 07, 7615, 00, ////, 07, ////, 07, ////, 07, ///, 07, ///, 07, ////, 07, ////, 07,  90, 00,   62, 00,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19040228, 0800, ////, 07, /////, 07, ////, 07, /////, 07, 7615, 00, ////, 07, ////, 07, ////, 07, ///, 07, ///, 07, ////, 07, ////, 07,  90, 00,   51, 00,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19040229, 0800, ////, 07, /////, 07, ////, 07, /////, 07, 7605, 00, ////, 07, ////, 07, ////, 07, ///, 07, ///, 07, ////, 07, ////, 07,  90, 00,   62, 00,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19040301, 0800, ////, 07, /////, 07, ////, 07, /////, 07, 7612, 00, ////, 07, ////, 07, ////, 07, ///, 07, ///, 07, ////, 07, ////, 07,  90, 00,   62, 00,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19040302, 0800, ////, 07, /////, 07, ////, 07, /////, 07, 7590, 00, ////, 07, ////, 07, ////, 07, ///, 07, ///, 07, ////, 07, ////, 07,  90, 00,   67, 00,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19040303, 0800, ////, 07, /////, 07, ////, 07, /////, 07, 7610, 00, ////, 07, ////, 07, ////, 07, ///, 07, ///, 07, ////, 07, ////, 07,  90, 00,   51, 00,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19040304, 0800, ////, 07, /////, 07, ////, 07, /////, 07, 7600, 00, ////, 07, ////, 07, ////, 07, ///, 07, ///, 07, ////, 07, ////, 07,  90, 00,   62, 00,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19040305, 0800, ////, 07, /////, 07, ////, 07, /////, 07, 7602, 00, ////, 07, ////, 07, ////, 07, ///, 07, ///, 07, ////, 07, ////, 07,  90, 00,   67, 00,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19040306, 0800, ////, 07, /////, 07, ////, 07, /////, 07, 7600, 00, ////, 07, ////, 07, ////, 07, ///, 07, ///, 07, ////, 07, ////, 07,  90, 00,   62, 00,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19040307, 0800, ////, 07, /////, 07, ////, 07, /////, 07, 7590, 00, ////, 07, ////, 07, ////, 07, ///, 07, ///, 07, ////, 07, ////, 07,  90, 00,   41, 00,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19040308, 0800, ////, 07, /////, 07, ////, 07, /////, 07, 7590, 00,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19040309, 0800, ////, 07, /////, 07, ////, 07, /////, 07, 7595, 00, ////, 07, ////, 07, ////, 07, ///, 07, ///, 07, ////, 07, ////, 07,  90, 00,   41, 00,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19040310, 0800, ////, 07, /////, 07, ////, 07, /////, 07, 7610, 00, ////, 07, ////, 07, ////, 07, ///, 07, ///, 07, ////, 07, ////, 07, 135, 00,   41, 00,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19040311, 0800, ////, 07, /////, 07, ////, 07, /////, 07, 7602, 00, ////, 07, ////, 07, ////, 07, ///, 07, ///, 07, ////, 07, ////, 07,  90, 00,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19040312, 0800, ////, 07, /////, 07, ////, 07, /////, 07, 7590, 00, ////, 07, ////, 07, ////, 07, ///, 07, ///, 07, ////, 07, ////, 07, 135, 00,   41, 00,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19040313, 0800, ////, 07, /////, 07, ////, 07, /////, 07, 7590, 00, ////, 07, ////, 07, ////, 07, ///, 07, ///, 07, ////, 07, ////, 07,  90, 00,   31, 00,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19040314, 0800, ////, 07, /////, 07, ////, 07, /////, 07, 7597, 00, ////, 07, ////, 07, ////, 07, ///, 07, ///, 07, ////, 07, ////, 07,  90, 00,   31, 00,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19040315, 0800, ////, 07, /////, 07, ////, 07, /////, 07, 7605, 00, ////, 07, ////, 07, ////, 07, ///, 07, ///, 07, ////, 07, ////, 07,  90, 00,   41, 00,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19040316, 0800, ////, 07, /////, 07, ////, 07, /////, 07, ////, 07, ////, 07, ////, 07, ////, 07, ///, 07, ///, 07, ////, 07, ////, 07,  90, 00,   51, 00,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19040317, 0800, ////, 07, /////, 07, ////, 07, /////, 07, ////, 07, ////, 07, ////, 07, ////, 07, ///, 07, ///, 07, ////, 07, ////, 07,  90, 00,   41, 00,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19040318, 0800, ////, 07, /////, 07, ////, 07, /////, 07, 7605, 00, ////, 07, ////, 07, ////, 07, ///, 07, ///, 07, ////, 07, ////, 07,  90, 00,   51, 00,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19040319, 0800, ////, 07, /////, 07, ////, 07, /////, 07, 7597, 00, ////, 07, ////, 07, ////, 07, ///, 07, ///, 07, ////, 07, ////, 07,  90, 00,   51, 00,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19040320, 0800, ////, 07, /////, 07, ////, 07, /////, 07, 7605, 00, ////, 07, ////, 07, ////, 07, ///, 07, ///, 07, ////, 07, ////, 07,  90, 00,   77, 00,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19040321, 0800, ////, 07, /////, 07, ////, 07, /////, 07, 7590, 00, ////, 07, ////, 07, ////, 07, ///, 07, ///, 07, ////, 07, ////, 07,  90, 00,   51, 00,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19040322, 0800, ////, 07, /////, 07, ////, 07, /////, 07, 7602, 00, ////, 07, ////, 07, ////, 07, ///, 07, ///, 07, ////, 07, ////, 07,  90, 00,   51, 00,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19040323, 0800, ////, 07, /////, 07, ////, 07, /////, 07, 7607, 00, ////, 07, ////, 07, ////, 07, ///, 07, ///, 07, ////, 07, ////, 07,  90, 00,   51, 00,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19040324, 0800, ////, 07, /////, 07, ////, 07, /////, 07, 7607, 00, ////, 07, ////, 07, ////, 07, ///, 07, ///, 07, ////, 07, ////, 07,  90, 00,   41, 00,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19040325, 0800, ////, 07, /////, 07, ////, 07, /////, 07, 7607, 00, ////, 07, ////, 07, ////, 07, ///, 07, ///, 07, ////, 07, ////, 07,  90, 00,   51, 00,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19040326, 0800, ////, 07, /////, 07, ////, 07, /////, 07, 7602, 00, ////, 07, ////, 07, ////, 07, ///, 07, ///, 07, ////, 07, ////, 07,  90, 00,   51, 00,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19040327, 0800, ////, 07, /////, 07, ////, 07, /////, 07, 7623, 00, ////, 07, ////, 07, ////, 07, ///, 07, ///, 07, ////, 07, ////, 07,  90, 00,   77, 00,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19040328, 0800, ////, 07, /////, 07, ////, 07, /////, 07, 7620, 00, ////, 07, ////, 07, ////, 07, ///, 07, ///, 07, ////, 07, ////, 07,  90, 00,   51, 00,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19040329, 0800, ////, 07, /////, 07, ////, 07, /////, 07, 7587, 00, ////, 07, ////, 07, ////, 07, ///, 07, ///, 07, ////, 07, ////, 07, 135, 00,   26, 00,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19040330, 0800, ////, 07, /////, 07, ////, 07, /////, 07, 7595, 00, ////, 07, ////, 07, ////, 07, ///, 07, ///, 07, ////, 07, ////, 07, 135, 00,   41, 00,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19040331, 0800, ////, 07, /////, 07, ////, 07, /////, 07, 7592, 00, ////, 07, ////, 07, ////, 07, ///, 07, ///, 07, ////, 07, ////, 07, 135, 00,   51, 00,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19040401, 0800, ////, 07, /////, 07, ////, 07, /////, 07, 7600, 00, ////, 07, ////, 07, ////, 07, ///, 07, ///, 07, ////, 07, ////, 07,  90, 00,   36, 00,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19040402, 0800, ////, 07, /////, 07, ////, 07, /////, 07, 7602, 00, ////, 07, ////, 07, ////, 07, ///, 07, ///, 07, ////, 07, ////, 07,  45, 00,   41, 00,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19040403, 0800, ////, 07, /////, 07, ////, 07, /////, 07, 7595, 00, ////, 07, ////, 07, ////, 07, ///, 07, ///, 07, ////, 07, ////, 07,  45, 00,   51, 00,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19040404, 0800, ////, 07, /////, 07, ////, 07, /////, 07, 7602, 00, ////, 07, ////, 07, ////, 07, ///, 07, ///, 07, ////, 07, ////, 07, 135, 00,   26, 00,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19040405, 0800, ////, 07, /////, 07, ////, 07, /////, 07, 7597, 00, ////, 07, ////, 07, ////, 07, ///, 07, ///, 07, ////, 07, ////, 07,  45, 00,   31, 00,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19040406, 0800, ////, 07, /////, 07, ////, 07, /////, 07, 7592, 00, ////, 07, ////, 07, ////, 07, ///, 07, ///, 07, ////, 07, ////, 07,  90, 00,   51, 00,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19040407, 0800, ////, 07, /////, 07, ////, 07, /////, 07, 7587, 00, ////, 07, ////, 07, ////, 07, ///, 07, ///, 07, ////, 07, ////, 07,  90, 00,   41, 00,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19040408, 0800, ////, 07, /////, 07, ////, 07, /////, 07, 7592, 00, ////, 07, ////, 07, ////, 07, ///, 07, ///, 07, ////, 07, ////, 07,  90, 00,   62, 00,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19040409, 0800, ////, 07, /////, 07, ////, 07, /////, 07, 7610, 00, ////, 07, ////, 07, ////, 07, ///, 07, ///, 07, ////, 07, ////, 07,  90, 00,   77, 00,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19040410, 0800, ////, 07, /////, 07, ////, 07, /////, 07, 7612, 00, ////, 07, ////, 07, ////, 07, ///, 07, ///, 07, ////, 07, ////, 07,  45, 00,   62, 00,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19040411, 0800, ////, 07, /////, 07, ////, 07, /////, 07, 7617, 00, ////, 07, ////, 07, ////, 07, ///, 07, ///, 07, ////, 07, ////, 07,  90, 00,   62, 00,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19040412, 0800, ////, 07, /////, 07, ////, 07, /////, 07, 7600, 00, ////, 07, ////, 07, ////, 07, ///, 07, ///, 07, ////, 07, ////, 07,  90, 00,   62, 00,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19040413, 0800, ////, 07, /////, 07, ////, 07, /////, 07, 7592, 00, ////, 07, ////, 07, ////, 07, ///, 07, ///, 07, ////, 07, ////, 07,  90, 00,   62, 00,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19040414, 0800, ////, 07, /////, 07, ////, 07, /////, 07, 7600, 00, ////, 07, ////, 07, ////, 07, ///, 07, ///, 07, ////, 07, ////, 07,  90, 00,   62, 00,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19040415, 0800, ////, 07, /////, 07, ////, 07, /////, 07, 7605, 00, ////, 07, ////, 07, ////, 07, ///, 07, ///, 07, ////, 07, ////, 07,  90, 00,   51, 00,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19040416, 0800, ////, 07, /////, 07, ////, 07, /////, 07, 7607, 00, ////, 07, ////, 07, ////, 07, ///, 07, ///, 07, ////, 07, ////, 07,  90, 00,   77, 00,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19040417, 0800, ////, 07, /////, 07, ////, 07, /////, 07, 7605, 00, ////, 07, ////, 07, ////, 07, ///, 07, ///, 07, ////, 07, ////, 07,  90, 00,   51, 00,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19040418, 0800, ////, 07, /////, 07, ////, 07, /////, 07, 7612, 00, ////, 07, ////, 07, ////, 07, ///, 07, ///, 07, ////, 07, ////, 07,  90, 00,   77, 00,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19040419, 0800, ////, 07, /////, 07, ////, 07, /////, 07, 7605, 00, ////, 07, ////, 07, ////, 07, ///, 07, ///, 07, ////, 07, ////, 07,  90, 00,   62, 00,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19040420, 0800, ////, 07, /////, 07, ////, 07, /////, 07, 7602, 00, ////, 07, ////, 07, ////, 07, ///, 07, ///, 07, ////, 07, ////, 07,  90, 00,   62, 00,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19040421, 0800, ////, 07, /////, 07, ////, 07, /////, 07, 7600, 00, ////, 07, ////, 07, ////, 07, ///, 07, ///, 07, ////, 07, ////, 07,  45, 00,   41, 00,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19040422, 0800, ////, 07, /////, 07, ////, 07, /////, 07, 7597, 00, ////, 07, ////, 07, ////, 07, ///, 07, ///, 07, ////, 07, ////, 07,  90, 00,   51, 00,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19040423, 0800, ////, 07, /////, 07, ////, 07, /////, 07, 7600, 00, ////, 07, ////, 07, ////, 07, ///, 07, ///, 07, ////, 07, ////, 07,  90, 00,   51, 00,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19040424, 0800, ////, 07, /////, 07, ////, 07, /////, 07, 7610, 00, ////, 07, ////, 07, ////, 07, ///, 07, ///, 07, ////, 07, ////, 07,  90, 00,   21, 00,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19040425, 0800, ////, 07, /////, 07, ////, 07, /////, 07, 7592, 00, ////, 07, ////, 07, ////, 07, ///, 07, ///, 07, ////, 07, ////, 07, 135, 00,   31, 00,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19040426, 0800, ////, 07, /////, 07, ////, 07, /////, 07, 7597, 00, ////, 07, ////, 07, ////, 07, ///, 07, ///, 07, ////, 07, ////, 07,  90, 00,   26, 00,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19040427, 0800, ////, 07, /////, 07, ////, 07, /////, 07, 7607, 00, ////, 07, ////, 07, ////, 07, ///, 07, ///, 07, ////, 07, ////, 07,  90, 00,   36, 00,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19040428, 0800, ////, 07, /////, 07, ////, 07, /////, 07, 7610, 00, ////, 07, ////, 07, ////, 07, ///, 07, ///, 07, ////, 07, ////, 07,  90, 00,   62, 00,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19040429, 0800, ////, 07, /////, 07, ////, 07, /////, 07, 7610, 00, ////, 07, ////, 07, ////, 07, ///, 07, ///, 07, ////, 07, ////, 07, 135, 00,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19040430, 0800, ////, 07, /////, 07, ////, 07, /////, 07, 7610, 00, ////, 07, ////, 07, ////, 07, ///, 07, ///, 07, ////, 07, ////, 07, 135, 00,   62, 00,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19040501, 0800, ////, 07, /////, 07, ////, 07, /////, 07, 7595, 00, ////, 07, ////, 07, ////, 07, ///, 07, ///, 07, ////, 07, ////, 07,  90, 00,   51, 00,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19040502, 0800, ////, 07, /////, 07, ////, 07, /////, 07, 7595, 00, ////, 07, ////, 07, ////, 07, ///, 07, ///, 07, ////, 07, ////, 07,  90, 00,   51, 00,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19040503, 0800, ////, 07, /////, 07, ////, 07, /////, 07, 7595, 00, ////, 07, ////, 07, ////, 07, ///, 07, ///, 07, ////, 07, ////, 07,  90, 00,   51, 00,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19040504, 0800, ////, 07, /////, 07, ////, 07, /////, 07, 7605, 00, ////, 07, ////, 07, ////, 07, ///, 07, ///, 07, ////, 07, ////, 07,  90, 00,   51, 00,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19040505, 0800, ////, 07, /////, 07, ////, 07, /////, 07, 7600, 00, ////, 07, ////, 07, ////, 07, ///, 07, ///, 07, ////, 07, ////, 07,  90, 00,   51, 00,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19040506, 0800, ////, 07, /////, 07, ////, 07, /////, 07, 7602, 00, ////, 07, ////, 07, ////, 07, ///, 07, ///, 07, ////, 07, ////, 07,  90, 00,   51, 00,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19040507, 0800, ////, 07, /////, 07, ////, 07, /////, 07, 7600, 00, ////, 07, ////, 07, ////, 07, ///, 07, ///, 07, ////, 07, ////, 07,  90, 00,   51, 00,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19040508, 0800, ////, 07, /////, 07, ////, 07, /////, 07, 7587, 00, ////, 07, ////, 07, ////, 07, ///, 07, ///, 07, ////, 07, ////, 07,  90, 00,   51, 00,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19040509, 0800, ////, 07, /////, 07, ////, 07, /////, 07, 7592, 00, ////, 07, ////, 07, ////, 07, ///, 07, ///, 07, ////, 07, ////, 07,  90, 00,   77, 00,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19040510, 0800, ////, 07, /////, 07, ////, 07, /////, 07, 7600, 00, ////, 07, ////, 07, ////, 07, ///, 07, ///, 07, ////, 07, ////, 07, ///, 07,   51, 00,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19040511, 0800, ////, 07, /////, 07, ////, 07, /////, 07, ////, 07, ////, 07, ////, 07, ////, 07, ///, 07, ///, 07, ////, 07, ////, 07,  90, 00,   51, 00,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19040512, 0800, ////, 07, /////, 07, ////, 07, /////, 07, 7610, 00, ////, 07, ////, 07, ////, 07, ///, 07, ///, 07, ////, 07, ////, 07, 135, 00,   62, 00,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19040513, 0800, ////, 07, /////, 07, ////, 07, /////, 07, 7592, 00, ////, 07, ////, 07, ////, 07, ///, 07, ///, 07, ////, 07, ////, 07,  90, 00,   62, 00,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19040514, 0800, ////, 07, /////, 07, ////, 07, /////, 07, 7595, 00, ////, 07, ////, 07, ////, 07, ///, 07, ///, 07, ////, 07, ////, 07,  90, 00,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19040515, 0800, ////, 07, /////, 07, ////, 07, /////, 07, 7590, 00, ////, 07, ////, 07, ////, 07, ///, 07, ///, 07, ////, 07, ////, 07,  90, 00,   77, 00,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19040516, 0800, ////, 07, /////, 07, ////, 07, /////, 07, 7605, 00, ////, 07, ////, 07, ////, 07, ///, 07, ///, 07, ////, 07, ////, 07,  90, 00,   77, 00,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19040517, 0800, ////, 07, /////, 07, ////, 07, /////, 07, 7597, 00, ////, 07, ////, 07, ////, 07, ///, 07, ///, 07, ////, 07, ////, 07,  90, 00,   77, 00,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19040518, 0800, ////, 07, /////, 07, ////, 07, /////, 07, 7610, 00, ////, 07, ////, 07, ////, 07, ///, 07, ///, 07, ////, 07, ////, 07,  90, 00,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19040519, 0800, ////, 07, /////, 07, ////, 07, /////, 07, 7617, 00,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19040520, 0800, ////, 07, /////, 07, ////, 07, /////, 07, 7607, 00, ////, 07, ////, 07, ////, 07, ///, 07, ///, 07, ////, 07, ////, 07,  90, 00,   62, 00,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19040521, 0800, ////, 07, /////, 07, ////, 07, /////, 07, 7602, 00, ////, 07, ////, 07, ////, 07, ///, 07, ///, 07, ////, 07, ////, 07, 135, 00,   62, 00,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19040522, 0800, ////, 07, /////, 07, ////, 07, /////, 07, 7597, 00, ////, 07, ////, 07, ////, 07, ///, 07, ///, 07, ////, 07, ////, 07,  90, 00,   51, 00,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19040523, 0800, ////, 07, /////, 07, ////, 07, /////, 07, 7600, 00, ////, 07, ////, 07, ////, 07, ///, 07, ///, 07, ////, 07, ////, 07,  90, 00,   51, 00,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19040524, 0800, ////, 07, /////, 07, ////, 07, /////, 07, 7602, 00, ////, 07, ////, 07, ////, 07, ///, 07, ///, 07, ////, 07, ////, 07,  90, 00,   62, 00,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19040525, 0800, ////, 07, /////, 07, ////, 07, /////, 07, 7602, 00, ////, 07, ////, 07, ////, 07, ///, 07, ///, 07, ////, 07, ////, 07,  90, 00,   51, 00,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19040526, 0800, ////, 07, /////, 07, ////, 07, /////, 07, 7610, 00, ////, 07, ////, 07, ////, 07, ///, 07, ///, 07, ////, 07, ////, 07, 135, 00,   51, 00,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19040527, 0800, ////, 07, /////, 07, ////, 07, /////, 07, 7602, 00, ////, 07, ////, 07, ////, 07, ///, 07, ///, 07, ////, 07, ////, 07, 135, 00,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19040528, 0800, ////, 07, /////, 07, ////, 07, /////, 07, 7592, 00, ////, 07, ////, 07, ////, 07, ///, 07, ///, 07, ////, 07, ////, 07, 135, 00,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19040529, 0800, ////, 07, /////, 07, ////, 07, /////, 07, 7595, 00, ////, 07, ////, 07, ////, 07, ///, 07, ///, 07, ////, 07, ////, 07,  90, 00,   51, 00,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19040530, 0800, ////, 07, /////, 07, ////, 07, /////, 07, 7610, 00, ////, 07, ////, 07, ////, 07, ///, 07, ///, 07, ////, 07, ////, 07,  90, 00,   77, 00,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19040531, 0800, ////, 07, /////, 07, ////, 07, /////, 07, 7590, 00, ////, 07, ////, 07, ////, 07, ///, 07, ///, 07, ////, 07, ////, 07,  90, 00,   62, 00,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19040601, 0800, ////, 07, /////, 07, ////, 07, /////, 07, 7615, 00, ////, 07, ////, 07, ////, 07, ///, 07, ///, 07, ////, 07, ////, 07,  90, 00,   62, 00,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19040602, 0800, ////, 07, /////, 07, ////, 07, /////, 07, 7612, 00, ////, 07, ////, 07, ////, 07, ///, 07, ///, 07, ////, 07, ////, 07,  90, 00,   77, 00,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19040603, 0800, ////, 07, /////, 07, ////, 07, /////, 07, 7610, 00, ////, 07, ////, 07, ////, 07, ///, 07, ///, 07, ////, 07, ////, 07,  90, 00,   77, 00,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19040604, 0800, ////, 07, /////, 07, ////, 07, /////, 07, 7605, 00, ////, 07, ////, 07, ////, 07, ///, 07, ///, 07, ////, 07, ////, 07,  90, 00,   62, 00,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19040605, 0800, ////, 07, /////, 07, ////, 07, /////, 07, 7615, 00, ////, 07, ////, 07, ////, 07, ///, 07, ///, 07, ////, 07, ////, 07,  90, 00,   62, 00,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19040606, 0800, ////, 07, /////, 07, ////, 07, /////, 07, 7612, 00, ////, 07, ////, 07, ////, 07, ///, 07, ///, 07, ////, 07, ////, 07,  90, 00,   62, 00,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19040607, 0800, ////, 07, /////, 07, ////, 07, /////, 07, 7617, 00, ////, 07, ////, 07, ////, 07, ///, 07, ///, 07, ////, 07, ////, 07,  90, 00,   62, 00,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19040608, 0800, ////, 07, /////, 07, ////, 07, /////, 07, 7612, 00, ////, 07, ////, 07, ////, 07, ///, 07, ///, 07, ////, 07, ////, 07,  90, 00,   51, 00,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19040609, 0800, ////, 07, /////, 07, ////, 07, /////, 07, 7610, 00, ////, 07, ////, 07, ////, 07, ///, 07, ///, 07, ////, 07, ////, 07,  90, 00,   62, 00,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19040610, 0800, ////, 07, /////, 07, ////, 07, /////, 07, 7607, 00, ////, 07, ////, 07, ////, 07, ///, 07, ///, 07, ////, 07, ////, 07, 135, 00,   51, 00,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19040611, 0800, ////, 07, /////, 07, ////, 07, /////, 07, 7605, 00, ////, 07, ////, 07, ////, 07, ///, 07, ///, 07, ////, 07, ////, 07, 135, 00,   41, 00,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19040612, 0800, ////, 07, /////, 07, ////, 07, /////, 07, 7600, 00, ////, 07, ////, 07, ////, 07, ///, 07, ///, 07, ////, 07, ////, 07, 135, 00,   62, 00,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19040613, 0800, ////, 07, /////, 07, ////, 07, /////, 07, 7600, 00, ////, 07, ////, 07, ////, 07, ///, 07, ///, 07, ////, 07, ////, 07, 135, 00,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19040614, 0800, ////, 07, /////, 07, ////, 07, /////, 07, 7600, 00, ////, 07, ////, 07, ////, 07, ///, 07, ///, 07, ////, 07, ////, 07, 135, 00,   51, 00,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19040615, 0800, ////, 07, /////, 07, ////, 07, /////, 07, 7610, 00, ////, 07, ////, 07, ////, 07, ///, 07, ///, 07, ////, 07, ////, 07, 135, 00,   62, 00,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19040616, 0800, ////, 07, /////, 07, ////, 07, /////, 07, 7607, 00, ////, 07, ////, 07, ////, 07, ///, 07, ///, 07, ////, 07, ////, 07, 135, 00,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19040617, 0800, ////, 07, /////, 07, ////, 07, /////, 07, 7605, 00, ////, 07, ////, 07, ////, 07, ///, 07, ///, 07, ////, 07, ////, 07,  90, 00,   62, 00,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19040618, 0800, ////, 07, /////, 07, ////, 07, /////, 07, 7610, 00, ////, 07, ////, 07, ////, 07, ///, 07, ///, 07, ////, 07, ////, 07,  90, 00,   77, 00,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19040619, 0800, ////, 07, /////, 07, ////, 07, /////, 07, 7615, 00, ////, 07, ////, 07, ////, 07, ///, 07, ///, 07, ////, 07, ////, 07,  90, 00,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19040620, 0800, ////, 07, /////, 07, ////, 07, /////, 07, 7607, 00, ////, 07, ////, 07, ////, 07, ///, 07, ///, 07, ////, 07, ////, 07,  90, 00,   77, 00,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19040621, 0800, ////, 07, /////, 07, ////, 07, /////, 07, 7607, 00, ////, 07, ////, 07, ////, 07, ///, 07, ///, 07, ////, 07, ////, 07,  90, 00,   77, 00,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19040622, 0800, ////, 07, /////, 07, ////, 07, /////, 07, 7615, 00, ////, 07, ////, 07, ////, 07, ///, 07, ///, 07, ////, 07, ////, 07,  90, 00,   77, 00,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19040623, 0800, ////, 07, /////, 07, ////, 07, /////, 07, 7625, 00, ////, 07, ////, 07, ////, 07, ///, 07, ///, 07, ////, 07, ////, 07,  90, 00,   77, 00,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19040624, 0800, ////, 07, /////, 07, ////, 07, /////, 07, 7628, 00, ////, 07, ////, 07, ////, 07, ///, 07, ///, 07, ////, 07, ////, 07,  90, 00,   62, 00,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19040625, 0800, ////, 07, /////, 07, ////, 07, /////, 07, ////, 07, ////, 07, ////, 07, ////, 07, ///, 07, ///, 07, ////, 07, ////, 07,  90, 00,   77, 00,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19040626, 0800, ////, 07, /////, 07, ////, 07, /////, 07, ////, 07, ////, 07, ////, 07, ////, 07, ///, 07, ///, 07, ////, 07, ////, 07,  90, 00,   62, 00,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19040627, 0800, ////, 07, /////, 07, ////, 07, /////, 07, 7610, 00, ////, 07, ////, 07, ////, 07, ///, 07, ///, 07, ////, 07, ////, 07, 135, 00,   62, 00,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19040628, 0800, ////, 07, /////, 07, ////, 07, /////, 07, 7607, 00, ////, 07, ////, 07, ////, 07, ///, 07, ///, 07, ////, 07, ////, 07,  90, 00,   51, 00,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19040629, 0800, ////, 07, /////, 07, ////, 07, /////, 07, 7615, 00, ////, 07, ////, 07, ////, 07, ///, 07, ///, 07, ////, 07, ////, 07, 135, 00,   62, 00,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19040630, 0800, ////, 07, /////, 07, ////, 07, /////, 07, 7612, 00, ////, 07, ////, 07, ////, 07, ///, 07, ///, 07, ////, 07, ////, 07,  90, 00,   62,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19040701, 0800, ////, 07, /////, 07, ////, 07, /////, 07, 7610, 00, ////, 07, ////, 07, ////, 07, ///, 07, ///, 07, ////, 07, ////, 07,  90, 00,   62,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19040702, 0800, ////, 07, /////, 07, ////, 07, /////, 07, 7612, 00, ////, 07, ////, 07, ////, 07, ///, 07, ///, 07, ////, 07, ////, 07,  90, 00,   62,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19040703, 0800, ////, 07, /////, 07, ////, 07, /////, 07, 7617, 00, ////, 07, ////, 07, ////, 07, ///, 07, ///, 07, ////, 07, ////, 07,  90, 00,   62,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19040704, 0800, ////, 07, /////, 07, ////, 07, /////, 07, 7617, 00, ////, 07, ////, 07, ////, 07, ///, 07, ///, 07, ////, 07,  224, 00,  90, 00,   67,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19040705, 0800, ////, 07, /////, 07, ////, 07, /////, 07, 7615, 00, ////, 07, ////, 07, ////, 07, ///, 07, ///, 07,  267, 00,  243, 00, 135, 00,   62,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19040706, 0800, ////, 07, /////, 07, ////, 07, /////, 07, 7605, 00, ////, 07, ////, 07, ////, 07, ///, 07, ///, 07,  267, 00,  249, 00,  90, 00,   82,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19040707, 0800, ////, 07, /////, 07, ////, 07, /////, 07, 7602, 00, ////, 07, ////, 07, ////, 07, ///, 07, ///, 07,  267, 00,  255, 00,  90, 00,   46,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19040708, 0800, ////, 07, /////, 07, ////, 07, /////, 07, 7602, 00, ////, 07, ////, 07, ////, 07, ///, 07, ///, 07,  276, 00,  249, 00, 135, 00,   82,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19040709, 0800, ////, 07, /////, 07, ////, 07, /////, 07, 7605, 00, ////, 07, ////, 07, ////, 07, ///, 07, ///, 07,  273, 00,  260, 00,  90,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19040710, 0800, ////, 07, /////, 07, ////, 07, /////, 07, 7607, 00, ////, 07, ////, 07, ////, 07, ///, 07, ///, 07,  262, 00,  237, 00,  90, 00,   77,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19040711, 0800, ////, 07, /////, 07, ////, 07, /////, 07, 7610, 00, ////, 07, ////, 07, ////, 07, ///, 07, ///, 07,  266, 00,  238, 00,  90, 00,  103,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19040712, 0800, ////, 07, /////, 07, ////, 07, /////, 07, 7607, 00, ////, 07, ////, 07, ////, 07, ///, 07, ///, 07,  268, 00,  241, 00,  90, 00,   98,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19040713, 0800, ////, 07, /////, 07, ////, 07, /////, 07, 7602, 00, ////, 07, ////, 07, ////, 07, ///, 07, ///, 07,  268, 00,  248, 00,  90, 00,   98,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19040714, 0800, ////, 07, /////, 07, ////, 07, /////, 07, 7620, 00, ////, 07, ////, 07, ////, 07, ///, 07, ///, 07,  257, 00,  229, 00,  90, 00,   87,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19040715, 0800, ////, 07, /////, 07, ////, 07, /////, 07, 7617, 00, ////, 07, ////, 07, ////, 07, ///, 07, ///, 07,  268, 00,  250, 00,  90, 00,   93,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19040716, 0800, ////, 07, /////, 07, ////, 07, /////, 07, 7610, 00, ////, 07, ////, 07, ////, 07, ///, 07, ///, 07,  267, 00,  247, 00,  90, 00,   82,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19040717, 0800, ////, 07, /////, 07, ////, 07, /////, 07, 7600, 00, ////, 07, ////, 07, ////, 07, ///, 07, ///, 07,  267, 00,  247, 00,  90, 00,   82,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19040718, 0800, ////, 07, /////, 07, ////, 07, /////, 07, 7607, 00, ////, 07, ////, 07, ////, 07, ///, 07, ///, 07,  266, 00,  249, 00,  90, 00,   93,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19040719, 0800, ////, 07, /////, 07, ////, 07, /////, 07, 7612, 00, ////, 07, ////, 07, ////, 07, ///, 07, ///, 07,  271, 00,  234, 00,  90, 00,   93,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19040720, 0800, ////, 07, /////, 07, ////, 07, /////, 07, 7610, 00, ////, 07, ////, 07, ////, 07, ///, 07, ///, 07,  268, 00,  246, 00,  90, 00,   72,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19040721, 0800, ////, 07, /////, 07, ////, 07, /////, 07, 7605, 00, ////, 07, ////, 07, ////, 07, ///, 07, ///, 07,  266, 00,  239, 00, 135, 00,   62,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19040722, 0800, ////, 07, /////, 07, ////, 07, /////, 07, 7605, 00, ////, 07, ////, 07, ////, 07, ///, 07, ///, 07,  262, 00,  232, 00, 135, 00,   62,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19040723, 0800, ////, 07, /////, 07, ////, 07, /////, 07, 7605, 00, ////, 07, ////, 07, ////, 07, ///, 07, ///, 07,  261, 00,  221, 00,  90, 00,  123,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19040724, 0800, ////, 07, /////, 07, ////, 07, /////, 07, 7607, 00, ////, 07, ////, 07, ////, 07, ///, 07, ///, 07,  272, 00,  261, 00,  90, 00,   93,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19040725, 0800, ////, 07, /////, 07, ////, 07, /////, 07, 7607, 00, ////, 07, ////, 07, ////, 07, ///, 07, ///, 07,  271, 00,  249, 00,  90, 00,   87,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19040726, 0800, ////, 07, /////, 07, ////, 07, /////, 07, 7607, 00, ////, 07, ////, 07, ////, 07, ///, 07, ///, 07,  270, 00,  251, 00,  90, 00,   87,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19040727, 0800, ////, 07, /////, 07, ////, 07, /////, 07, 7605, 00, ////, 07, ////, 07, ////, 07, ///, 07, ///, 07,  267, 00,  244, 00, 135, 00,   77,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19040728, 0800, ////, 07, /////, 07, ////, 07, /////, 07, 7605, 00, ////, 07, ////, 07, ////, 07, ///, 07, ///, 07,  268, 00,  242, 00,  90, 00,   62,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19040729, 0800, ////, 07, /////, 07, ////, 07, /////, 07, 7610, 00, ////, 07, ////, 07, ////, 07, ///, 07, ///, 07,  273, 00,  246, 00,  90, 00,   62,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19040730, 0800, ////, 07, /////, 07, ////, 07, /////, 07, 7610, 00, ////, 07, ////, 07, ////, 07, ///, 07, ///, 07,  274, 00,  261, 00,  90, 00,   98,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19040731, 0800, ////, 07, /////, 07, ////, 07, /////, 07, 7612, 00, ////, 07, ////, 07, ////, 07, ///, 07, ///, 07,  269, 00,  256, 00,  90, 00,   87,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19040801, 0800, ////, 07, /////, 07, ////, 07, /////, 07, 7610, 00, ////, 07, ////, 07, ////, 07, ///, 07, ///, 07,  276, 00,  257, 00,  90, 00,   93,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19040802, 0800, ////, 07, /////, 07, ////, 07, /////, 07, 7612, 00, ////, 07, ////, 07, ////, 07, ///, 07, ///, 07,  277, 00,  266, 00,  90, 00,   93,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19040803, 0800, ////, 07, /////, 07, ////, 07, /////, 07, 7612, 00, ////, 07, ////, 07, ////, 07, ///, 07, ///, 07,  274, 00,  251, 00,  90, 00,   77,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19040804, 0800, ////, 07, /////, 07, ////, 07, /////, 07, 7623, 00, ////, 07, ////, 07, ////, 07, ///, 07, ///, 07,  274, 00,  240, 00,  90, 00,   93,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19040805, 0800, ////, 07, /////, 07, ////, 07, /////, 07, 7615, 00, ////, 07, ////, 07, ////, 07, ///, 07, ///, 07,  268, 00,  222, 00,  90, 00,   72,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19040806, 0800, ////, 07, /////, 07, ////, 07, /////, 07, 7605, 00, ////, 07, ////, 07, ////, 07, ///, 07, ///, 07,  269, 00,  240, 00, 135, 00,   62,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19040807, 0800, ////, 07, /////, 07, ////, 07, /////, 07, 7610, 00, ////, 07, ////, 07, ////, 07, ///, 07, ///, 07,  271, 00,  233, 00,  90, 00,   67,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19040808, 0800, ////, 07, /////, 07, ////, 07, /////, 07, 7617, 00, ////, 07, ////, 07, ////, 07, ///, 07, ///, 07,  273, 00,  245, 00,  90, 00,   87,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19040809, 0800, ////, 07, /////, 07, ////, 07, /////, 07, 7617, 00, ////, 07, ////, 07, ////, 07, ///, 07, ///, 07,  276, 00,  253, 00,  90, 00,   62,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19040810, 0800, ////, 07, /////, 07, ////, 07, /////, 07, 7605, 00, ////, 07, ////, 07, ////, 07, ///, 07, ///, 07,  276, 00,  254, 00,  90, 00,   72,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19040811, 0800, ////, 07, /////, 07, ////, 07, /////, 07, 7600, 00, ////, 07, ////, 07, ////, 07, ///, 07, ///, 07,  280, 00,  253, 00,  90, 00,   67,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19040812, 0800, ////, 07, /////, 07, ////, 07, /////, 07, 7607, 00, ////, 07, ////, 07, ////, 07, ///, 07, ///, 07,  279, 00,  255, 00,  90, 00,   82,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19040813, 0800, ////, 07, /////, 07, ////, 07, /////, 07, 7617, 00, ////, 07, ////, 07, ////, 07, ///, 07, ///, 07,  284, 00,  256, 00,  90, 00,   67,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19040814, 0800, ////, 07, /////, 07, ////, 07, /////, 07, 7615, 00, ////, 07, ////, 07, ////, 07, ///, 07, ///, 07,  283, 00,  256, 00, 135, 00,   72,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19040815, 0800, ////, 07, /////, 07, ////, 07, /////, 07, 7605, 00, ////, 07, ////, 07, ////, 07, ///, 07, ///, 07,  281, 00,  256, 00,  90, 00,   67,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19040816, 0800, ////, 07, /////, 07, ////, 07, /////, 07, 7610, 00, ////, 07, ////, 07, ////, 07, ///, 07, ///, 07,  280, 00,  256, 00,  90, 00,   77,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19040817, 0800, ////, 07, /////, 07, ////, 07, /////, 07, 7602, 00, ////, 07, ////, 07, ////, 07, ///, 07, ///, 07,  278, 00,  256, 00,  90, 00,   67,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19040818, 0800, ////, 07, /////, 07, ////, 07, /////, 07, 7597, 00, ////, 07, ////, 07, ////, 07, ///, 07, ///, 07,  272, 00,  238, 00, 135, 00,   31,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19040819, 0800, ////, 07, /////, 07, ////, 07, /////, 07, 7600, 00, ////, 07, ////, 07, ////, 07, ///, 07, ///, 07,  274, 00,  250, 00, 135, 00,   82,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19040820, 0800, ////, 07, /////, 07, ////, 07, /////, 07, 7600, 00, ////, 07, ////, 07, ////, 07, ///, 07, ///, 07,  278, 00,  247, 00,  90, 00,   62,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19040821, 0800, ////, 07, /////, 07, ////, 07, /////, 07, 7597, 00, ////, 07, ////, 07, ////, 07, ///, 07, ///, 07,  278, 00,  256, 00,  90, 00,   67,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19040822, 0800, ////, 07, /////, 07, ////, 07, /////, 07, 7600, 00, ////, 07, ////, 07, ////, 07, ///, 07, ///, 07,  271, 00,  211, 00,  90, 00,   93,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19040823, 0800, ////, 07, /////, 07, ////, 07, /////, 07, 7602, 00, ////, 07, ////, 07, ////, 07, ///, 07, ///, 07,  273, 00,  252, 00,  90, 00,   62,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19040824, 0800, ////, 07, /////, 07, ////, 07, /////, 07, 7600, 00, ////, 07, ////, 07, ////, 07, ///, 07, ///, 07,  272, 00,  252, 00,  90, 00,   67,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19040825, 0800, ////, 07, /////, 07, ////, 07, /////, 07, 7605, 00, ////, 07, ////, 07, ////, 07, ///, 07, ///, 07,  272, 00,  250, 00,  90, 00,   62,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19040826, 0800, ////, 07, /////, 07, ////, 07, /////, 07, 7602, 00, ////, 07, ////, 07, ////, 07, ///, 07, ///, 07,  278, 00,  253, 00,  90, 00,   62,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19040827, 0800, ////, 07, /////, 07, ////, 07, /////, 07, 7607, 00, ////, 07, ////, 07, ////, 07, ///, 07, ///, 07,  278, 00,  243, 00,  90, 00,   77,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19040828, 0800, ////, 07, /////, 07, ////, 07, /////, 07, 7605, 00, ////, 07, ////, 07, ////, 07, ///, 07, ///, 07,  278, 00,  257, 00, 135, 00,   77,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19040829, 0800, ////, 07, /////, 07, ////, 07, /////, 07, 7602, 00, ////, 07, ////, 07, ////, 07, ///, 07, ///, 07,  279, 00,  253, 00,  90, 00,   62,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19040830, 0800, ////, 07, /////, 07, ////, 07, /////, 07, 7600, 00, ////, 07, ////, 07, ////, 07, ///, 07, ///, 07,  271, 00,  257, 00,  90, 00,   72,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19040831, 0800, ////, 07, /////, 07, ////, 07, /////, 07, 7600, 00, ////, 07, ////, 07, ////, 07, ///, 07, ///, 07,  274, 00,  245, 00,  90, 00,   57,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19040901, 0800, ////, 07, /////, 07, ////, 07, /////, 07, 7605, 00, ////, 07, ////, 07, ////, 07, ///, 07, ///, 07,  278, 00,  257, 00,  90, 00,   62,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19040902, 0800, ////, 07, /////, 07, ////, 07, /////, 07, 7600, 00, ////, 07, ////, 07, ////, 07, ///, 07, ///, 07,  278, 00,  253, 00,  90, 00,   57,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19040903, 0800, ////, 07, /////, 07, ////, 07, /////, 07, 7595, 00, ////, 07, ////, 07, ////, 07, ///, 07, ///, 07,  278, 00,  239, 00,  90, 00,   46,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19040904, 0800, ////, 07, /////, 07, ////, 07, /////, 07, 7579, 00, ////, 07, ////, 07, ////, 07, ///, 07, ///, 07,  277, 00,  249, 00, 135, 00,   51,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19040905, 0800, ////, 07, /////, 07, ////, 07, /////, 07, 7584, 00, ////, 07, ////, 07, ////, 07, ///, 07, ///, 07,  284, 00,  261, 00,  90, 00,   77,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19040906, 0800, ////, 07, /////, 07, ////, 07, /////, 07, 7597, 00, ////, 07, ////, 07, ////, 07, ///, 07, ///, 07,  279, 00,  259, 00, 135, 00,   51,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19040907, 0800, ////, 07, /////, 07, ////, 07, /////, 07, 7610, 00, ////, 07, ////, 07, ////, 07, ///, 07, ///, 07,  283, 00,  255, 00,  90, 00,   67,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19040908, 0800, ////, 07, /////, 07, ////, 07, /////, 07, 7602, 00, ////, 07, ////, 07, ////, 07, ///, 07, ///, 07,  281, 00,  265, 00,  90, 00,   93,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19040909, 0800, ////, 07, /////, 07, ////, 07, /////, 07, 7600, 00, ////, 07, ////, 07, ////, 07, ///, 07, ///, 07,  278, 00,  257, 00,  90, 00,   51,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19040910, 0800, ////, 07, /////, 07, ////, 07, /////, 07, 7597, 00, ////, 07, ////, 07, ////, 07, ///, 07, ///, 07,  277, 00,  258, 00, 135, 00,   82,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19040911, 0800, ////, 07, /////, 07, ////, 07, /////, 07, 7602, 00, ////, 07, ////, 07, ////, 07, ///, 07, ///, 07,  279, 00,  261, 00, 135, 00,   62,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19040912, 0800, ////, 07, /////, 07, ////, 07, /////, 07, 7600, 00, ////, 07, ////, 07, ////, 07, ///, 07, ///, 07,  283, 00,  257, 00,  90, 00,   82,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19040913, 0800, ////, 07, /////, 07, ////, 07, /////, 07, 7592, 00, ////, 07, ////, 07, ////, 07, ///, 07, ///, 07,  279, 00,  259, 00,  90, 00,   93,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19040914, 0800, ////, 07, /////, 07, ////, 07, /////, 07, 7600, 00, ////, 07, ////, 07, ////, 07, ///, 07, ///, 07,  284, 00,  262, 00,  90, 00,   93,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19040915, 0800, ////, 07, /////, 07, ////, 07, /////, 07, 7602, 00, ////, 07, ////, 07, ////, 07, ///, 07, ///, 07,  279, 00,  264, 00,  90, 00,   57,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19040916, 0800, ////, 07, /////, 07, ////, 07, /////, 07, 7600, 00, ////, 07, ////, 07, ////, 07, ///, 07, ///, 07,  278, 00,  259, 00, 135, 00,   62,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19040917, 0800, ////, 07, /////, 07, ////, 07, /////, 07, 7592, 00, ////, 07, ////, 07, ////, 07, ///, 07, ///, 07,  284, 00,  261, 00, 135, 00,   82,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19040918, 0800, ////, 07, /////, 07, ////, 07, /////, 07, 7595, 00, ////, 07, ////, 07, ////, 07, ///, 07, ///, 07,  284, 00,  269, 00, 135, 00,   98,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19040919, 0800, ////, 07, /////, 07, ////, 07, /////, 07, 7605, 00, ////, 07, ////, 07, ////, 07, ///, 07, ///, 07,  278, 00,  251, 00,  90, 00,  103,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19040920, 0800, ////, 07, /////, 07, ////, 07, /////, 07, 7602, 00, ////, 07, ////, 07, ////, 07, ///, 07, ///, 07,  279, 00,  257, 00,  90, 00,   62,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19040921, 0800, ////, 07, /////, 07, ////, 07, /////, 07, 7592, 00, ////, 07, ////, 07, ////, 07, ///, 07, ///, 07,  276, 00,  242, 00,  90, 00,   62,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19040922, 0800, ////, 07, /////, 07, ////, 07, /////, 07, 7592, 00, ////, 07, ////, 07, ////, 07, ///, 07, ///, 07,  279, 00,  256, 00, 135, 00,   51,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19040923, 0800, ////, 07, /////, 07, ////, 07, /////, 07, 7600, 00, ////, 07, ////, 07, ////, 07, ///, 07, ///, 07,  268, 00,  253, 00,  90, 00,   31,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19040924, 0800, ////, 07, /////, 07, ////, 07, /////, 07, 7590, 00, ////, 07, ////, 07, ////, 07, ///, 07, ///, 07,  272, 00,  254, 00,  90, 00,   57,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19040925, 0800, ////, 07, /////, 07, ////, 07, /////, 07, 7592, 00, ////, 07, ////, 07, ////, 07, ///, 07, ///, 07,  267, 00,  241, 00, 135, 00,   36,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19040926, 0800, ////, 07, /////, 07, ////, 07, /////, 07, 7590, 00, ////, 07, ////, 07, ////, 07, ///, 07, ///, 07,  271, 00,  256, 00, 135, 00,   51,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19040927, 0800, ////, 07, /////, 07, ////, 07, /////, 07, 7579, 00, ////, 07, ////, 07, ////, 07, ///, 07, ///, 07,  279, 00,  254, 00,  90, 00,   77,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19040928, 0800, ////, 07, /////, 07, ////, 07, /////, 07, 7582, 00, ////, 07, ////, 07, ////, 07, ///, 07, ///, 07,  284, 00,  257, 00, 135, 00,   82,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19040929, 0800, ////, 07, /////, 07, ////, 07, /////, 07, 7595, 00, ////, 07, ////, 07, ////, 07, ///, 07, ///, 07,  286, 00,  261, 00,  90, 00,   62,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19040930, 0800, ////, 07, /////, 07, ////, 07, /////, 07, 7595, 00, ////, 07, ////, 07, ////, 07, ///, 07, ///, 07,  284, 00,  254, 00,  90, 00,   36,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19041001, 0800, ////, 07, /////, 07, ////, 07, /////, 07, 7584, 00, ////, 07, ////, 07, ////, 07, ///, 07, ///, 07,  266, 00,  248, 00, 270, 00,   26,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19041002, 0800, ////, 07, /////, 07, ////, 07, /////, 07, 7587, 00, ////, 07, ////, 07, ////, 07, ///, 07, ///, 07,  279, 00,  244, 00,  90, 00,   26,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19041003, 0800, ////, 07, /////, 07, ////, 07, /////, 07, 7592, 00, ////, 07, ////, 07, ////, 07, ///, 07, ///, 07,  276, 00,  253, 00, 135, 00,   36,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19041004, 0800, ////, 07, /////, 07, ////, 07, /////, 07, 7592, 00, ////, 07, ////, 07, ////, 07, ///, 07, ///, 07,  279, 00,  251, 00,  90, 00,   31,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19041005, 0800, ////, 07, /////, 07, ////, 07, /////, 07, 7579, 00, ////, 07, ////, 07, ////, 07, ///, 07, ///, 07,  277, 00,  229, 00,  90, 00,   51,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19041006, 0800, ////, 07, /////, 07, ////, 07, /////, 07, 7569, 00, ////, 07, ////, 07, ////, 07, ///, 07, ///, 07,  278, 00,  251, 00, 135, 00,   31,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19041007, 0800, ////, 07, /////, 07, ////, 07, /////, 07, 7579, 00, ////, 07, ////, 07, ////, 07, ///, 07, ///, 07,  267, 00,  212, 00, 180, 00,   51,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19041008, 0800, ////, 07, /////, 07, ////, 07, /////, 07, 7584, 00, ////, 07, ////, 07, ////, 07, ///, 07, ///, 07,  267, 00,  236, 00,  90, 00,   15,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19041009, 0800, ////, 07, /////, 07, ////, 07, /////, 07, 7582, 00, ////, 07, ////, 07, ////, 07, ///, 07, ///, 07,  269, 00,  228, 00, 135, 00,   31,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19041010, 0800, ////, 07, /////, 07, ////, 07, /////, 07, 7579, 00, ////, 07, ////, 07, ////, 07, ///, 07, ///, 07,  267, 00,  242, 00, 135, 00,   26,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19041011, 0800, ////, 07, /////, 07, ////, 07, /////, 07, 7572, 00, ////, 07, ////, 07, ////, 07, ///, 07, ///, 07,  269, 00,  253, 00, 135, 00,   31,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19041012, 0800, ////, 07, /////, 07, ////, 07, /////, 07, 7572, 00, ////, 07, ////, 07, ////, 07, ///, 07, ///, 07,  273, 00,  227, 00,  90, 00,   51,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19041013, 0800, ////, 07, /////, 07, ////, 07, /////, 07, 7582, 00, ////, 07, ////, 07, ////, 07, ///, 07, ///, 07,  278, 00,  263, 00, 135, 00,   62,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19041014, 0800, ////, 07, /////, 07, ////, 07, /////, 07, 7592, 00, ////, 07, ////, 07, ////, 07, ///, 07, ///, 07,  278, 00,  260, 00, 135, 00,   51,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19041015, 0800, ////, 07, /////, 07, ////, 07, /////, 07, 7577, 00, ////, 07, ////, 07, ////, 07, ///, 07, ///, 07,  278, 00,  256, 00, 135, 00,   51,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19041016, 0800, ////, 07, /////, 07, ////, 07, /////, 07, 7587, 00, ////, 07, ////, 07, ////, 07, ///, 07, ///, 07,  278, 00,  256, 00, 135, 00,   57,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19041017, 0800, ////, 07, /////, 07, ////, 07, /////, 07, 7595, 00, ////, 07, ////, 07, ////, 07, ///, 07, ///, 07,  281, 00,  258, 00, 135, 00,   72,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19041018, 0800, ////, 07, /////, 07, ////, 07, /////, 07, 7592, 00, ////, 07, ////, 07, ////, 07, ///, 07, ///, 07,  279, 00,  256, 00, 135, 00,   72,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19041019, 0800, ////, 07, /////, 07, ////, 07, /////, 07, 7582, 00, ////, 07, ////, 07, ////, 07, ///, 07, ///, 07,  275, 00,  253, 00,  90, 00,   51,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19041020, 0800, ////, 07, /////, 07, ////, 07, /////, 07, 7579, 00, ////, 07, ////, 07, ////, 07, ///, 07, ///, 07,  267, 00,  250, 00, 135, 00,   41,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19041021, 0800, ////, 07, /////, 07, ////, 07, /////, 07, 7584, 00, ////, 07, ////, 07, ////, 07, ///, 07, ///, 07,  267, 00,  246, 00,  90, 00,   36,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19041022, 0800, ////, 07, /////, 07, ////, 07, /////, 07, 7587, 00, ////, 07, ////, 07, ////, 07, ///, 07, ///, 07,  273, 00,  247, 00,  90, 00,   41,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19041023, 0800, ////, 07, /////, 07, ////, 07, /////, 07, 7584, 00, ////, 07, ////, 07, ////, 07, ///, 07, ///, 07,  276, 00,  254, 00,  90, 00,   51,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19041024, 0800, ////, 07, /////, 07, ////, 07, /////, 07, 7584, 00, ////, 07, ////, 07, ////, 07, ///, 07, ///, 07,  280, 00,  259, 00,  90, 00,   77,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19041025, 0800, ////, 07, /////, 07, ////, 07, /////, 07, 7597, 00, ////, 07, ////, 07, ////, 07, ///, 07, ///, 07,  283, 00,  258, 00,  90, 00,   72,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19041026, 0800, ////, 07, /////, 07, ////, 07, /////, 07, 7592, 00, ////, 07, ////, 07, ////, 07, ///, 07, ///, 07,  278, 00,  259, 00,  90, 00,   72,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19041027, 0800, ////, 07, /////, 07, ////, 07, /////, 07, 7587, 00, ////, 07, ////, 07, ////, 07, ///, 07, ///, 07,  279, 00,  239, 00,  90, 00,   57,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19041028, 0800, ////, 07, /////, 07, ////, 07, /////, 07, 7592, 00, ////, 07, ////, 07, ////, 07, ///, 07, ///, 07,  281, 00,  254, 00,  90, 00,   62,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19041029, 0800, ////, 07, /////, 07, ////, 07, /////, 07, 7590, 00, ////, 07, ////, 07, ////, 07, ///, 07, ///, 07,  278, 00,  261, 00,  90, 00,   62,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19041030, 0800, ////, 07, /////, 07, ////, 07, /////, 07, 7584, 00, ////, 07, ////, 07, ////, 07, ///, 07, ///, 07,  278, 00,  262, 00,  90, 00,   62,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19041031, 0800, ////, 07, /////, 07, ////, 07, /////, 07, 7595, 00, ////, 07, ////, 07, ////, 07, ///, 07, ///, 07,  282, 00,  257, 00,  90, 00,   51,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19041101, 0800, ////, 07, /////, 07, ////, 07, /////, 07, 7595, 00, ////, 07, ////, 07, ////, 07, ///, 07, ///, 07,  286, 00,  256, 00,  90, 00,   46,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19041102, 0800, ////, 07, /////, 07, ////, 07, /////, 07, 7592, 00, ////, 07, ////, 07, ////, 07, ///, 07, ///, 07,  279, 00,  252, 00,  90, 00,   57,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19041103, 0800, ////, 07, /////, 07, ////, 07, /////, 07, 7597, 00, ////, 07, ////, 07, ////, 07, ///, 07, ///, 07,  284, 00,  255, 00,  90, 00,   62,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19041104, 0800, ////, 07, /////, 07, ////, 07, /////, 07, 7590, 00, ////, 07, ////, 07, ////, 07, ///, 07, ///, 07,  284, 00,  261, 00,  90, 00,   57,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19041105, 0800, ////, 07, /////, 07, ////, 07, /////, 07, 7590, 00, ////, 07, ////, 07, ////, 07, ///, 07, ///, 07,  281, 00,  260, 00,  90, 00,   62,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19041106, 0800, ////, 07, /////, 07, ////, 07, /////, 07, 7595, 00, ////, 07, ////, 07, ////, 07, ///, 07, ///, 07,  286, 00,  259, 00,  90, 00,   67,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19041107, 0800, ////, 07, /////, 07, ////, 07, /////, 07, 7602, 00, ////, 07, ////, 07, ////, 07, ///, 07, ///, 07,  280, 00,  266, 00,  90, 00,  103,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19041108, 0800, ////, 07, /////, 07, ////, 07, /////, 07, 7602, 00, ////, 07, ////, 07, ////, 07, ///, 07, ///, 07,  281, 00,  263, 00,  90, 00,   82,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19041109, 0800, ////, 07, /////, 07, ////, 07, /////, 07, 7595, 00, ////, 07, ////, 07, ////, 07, ///, 07, ///, 07,  278, 00,  256, 00,  90, 00,   72,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19041110, 0800, ////, 07, /////, 07, ////, 07, /////, 07, 7607, 00, ////, 07, ////, 07, ////, 07, ///, 07, ///, 07,  281, 00,  256, 00,  90, 00,   72,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19041111, 0800, ////, 07, /////, 07, ////, 07, /////, 07, 7602, 00, ////, 07, ////, 07, ////, 07, ///, 07, ///, 07,  283, 00,  259, 00,  90, 00,   82,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19041112, 0800, ////, 07, /////, 07, ////, 07, /////, 07, 7600, 00, ////, 07, ////, 07, ////, 07, ///, 07, ///, 07,  276, 00,  258, 00,  90, 00,   67,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19041113, 0800, ////, 07, /////, 07, ////, 07, /////, 07, 7600, 00, ////, 07, ////, 07, ////, 07, ///, 07, ///, 07,  278, 00,  252, 00, 135, 00,   51,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19041114, 0800, ////, 07, /////, 07, ////, 07, /////, 07, 7605, 00, ////, 07, ////, 07, ////, 07, ///, 07, ///, 07,  280, 00,  261, 00,  90, 00,   77,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19041115, 0800, ////, 07, /////, 07, ////, 07, /////, 07, 7623, 00, ////, 07, ////, 07, ////, 07, ///, 07, ///, 07,  272, 00,  236, 00,  90, 00,   51,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19041116,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19041117,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19041118,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19041119,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19041120,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19041121,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19041122,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19041123,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19041124,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19041125,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19041126,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19041127,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19041128,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19041129,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19041130,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19041201,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19041202,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19041203,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19041204,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19041205,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19041206,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19041207,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19041208,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19041209,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19041210,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19041211,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19041212,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19041213,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19041214,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19041215,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19041216,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19041217,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19041218,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19041219,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19041220,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19041221,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19041222,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19041223,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19041224,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19041225,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19041226,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19041227,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19041228,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19041229,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19041230, 0800, ////, 07, /////, 07, ////, 07, /////, 07, ////, 07, ////, 07, ////, 07, ////, 07, ///, 07, ///, 07, ////, 07, ////, 07, ///, 07, ////, 07, ////, 07, ///, 07, //, 07, ////////////, 07, ///, 07</v>
      </c>
    </row>
    <row r="367" spans="1:1" x14ac:dyDescent="0.25">
      <c r="A367" s="75" t="str">
        <f ca="1">TEXT(Overig!A367,"000\,")&amp;TEXT(Overig!B367,"?00000000")&amp;TEXT(Overig!C367,""", ""0000")&amp;SUBSTITUTE(TEXT(IF(ISTEXT(Overig!D367),Overig!D367,10*Overig!D367),""",""????0;"",""???-0;"",""????0;"", ////"""),"'","""")&amp;SUBSTITUTE(TEXT(Overig!E367,""",""?00;"",""?-00;"",""?00;"", //"""),"'","""")&amp;SUBSTITUTE(TEXT(IF(ISTEXT(Overig!F367),Overig!F367,100*Overig!F367),""",""?????0;"",""????-0;"",""?????0;"", /////"""),"'","""")&amp;SUBSTITUTE(TEXT(Overig!G367,""",""?00;"",""?-00;"",""?00;"", //"""),"'","""")&amp;SUBSTITUTE(TEXT(IF(ISTEXT(Overig!H367),Overig!H367,100*Overig!H367),""",""????0;"",""???-0;"",""????0;"", ////"""),"'","""")&amp;SUBSTITUTE(TEXT(Overig!I367,""",""?00;"",""?-00;"",""?00;"", //"""),"'","""")&amp;SUBSTITUTE(TEXT(IF(ISTEXT(Overig!J367),Overig!J367,100*Overig!J367),""",""?????0;"",""????-0;"",""?????0;"", /////"""),"'","""")&amp;SUBSTITUTE(TEXT(Overig!K367,""",""?00;"",""?-00;"",""?00;"", //"""),"'","""")&amp;SUBSTITUTE(TEXT(IF(ISTEXT(Overig!L367),Overig!L367,10*Overig!L367),""",""????0;"",""???-0;"",""????0;"", ////"""),"'","""")&amp;SUBSTITUTE(TEXT(Overig!M367,""",""?00;"",""?-00;"",""?00;"",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//"""),"'","""")&amp;SUBSTITUTE(TEXT(IF(ISTEXT(Overig!R367),Overig!R367,10*Overig!R367),""",""????0;"",""???-0;"",""????0;"", ////"""),"'","""")&amp;SUBSTITUTE(TEXT(Overig!S367,""",""?00;"",""?-00;"",""?00;"", //"""),"'","""")&amp;SUBSTITUTE(TEXT(Overig!T367,""",""???0;"",""??-0;"",""???0;"", ///"""),"'","""")&amp;SUBSTITUTE(TEXT(Overig!U367,""",""?00;"",""?-00;"",""?00;"", //"""),"'","""")&amp;SUBSTITUTE(TEXT(IF(ISTEXT(Overig!V367),Overig!V367,10*Overig!V367),""",""???0;"",""??-0;"",""???0;"", ///"""),"'","""")&amp;SUBSTITUTE(TEXT(Overig!W367,""",""?00;"",""?-00;"",""?00;"", //"""),"'","""")&amp;SUBSTITUTE(TEXT(IF(ISTEXT(Overig!X367),Overig!X367,10*Overig!X367),""",""????0;"",""???-0;"",""????0;"", ////"""),"'","""")&amp;SUBSTITUTE(TEXT(Overig!Y367,""",""?00;"",""?-00;"",""?00;"", //"""),"'","""")&amp;SUBSTITUTE(TEXT(IF(ISTEXT(Overig!Z367),Overig!Z367,10*Overig!Z367),""",""????0;"",""???-0;"",""????0;"", ////"""),"'","""")&amp;SUBSTITUTE(TEXT(Overig!AA367,""",""?00;"",""?-00;"",""?00;"", //"""),"'","""")&amp;SUBSTITUTE(TEXT(Overig!AB367,""",""???0;"",""??-0;"",""???0;"", ///"""),"'","""")&amp;SUBSTITUTE(TEXT(Overig!AC367,""",""?00;"",""?-00;"",""?00;"", //"""),"'","""")&amp;SUBSTITUTE(TEXT(IF(ISTEXT(Overig!AD367),Overig!AD367,10*Overig!AD367),""",""????0;"",""???-0;"",""????0;"", ////"""),"'","""")&amp;SUBSTITUTE(TEXT(Overig!AE367,""",""?00;"",""?-00;"",""?00;"", //"""),"'","""")&amp;SUBSTITUTE(TEXT(IF(ISTEXT(Overig!AF367),Overig!AF367,10*Overig!AF367),""",""????0;"",""???-0;"",""????0;"", ////"""),"'","""")&amp;SUBSTITUTE(TEXT(Overig!AG367,""",""?00;"",""?-00;"",""?00;"", //"""),"'","""")&amp;SUBSTITUTE(TEXT(Overig!AH367,""",""???0;"",""??-0;"",""???0;"", ///"""),"'","""")&amp;SUBSTITUTE(TEXT(Overig!AI367,""",""?00;"",""?-00;"",""?00;"", //"""),"'","""")&amp;SUBSTITUTE(TEXT(Overig!AJ367,""",""??0;"",""?-0;"",""??0;"", //"""),"'","""")&amp;SUBSTITUTE(TEXT(Overig!AK367,""",""?00;"",""?-00;"",""?00;"", //"""),"'","""")&amp;SUBSTITUTE(IF(EXACT(Overig!AL367,"—"),TEXT(Overig!AL367,""",""????0;"",""???-0;"",""????0;"", ////////////,"""),TEXT(Overig!AL367,"\, \'@""',""")&amp;REPT(" ",10-LEN(Overig!AL367))),"'","""")&amp;SUBSTITUTE(TEXT(Overig!AM367,"?00;?-00;?00;"" //"""),"'","""")&amp;SUBSTITUTE(TEXT(Overig!AN367,""",""???0;"",""??-0;"",""???0;"", ///"""),"'","""")&amp;SUBSTITUTE(TEXT(Overig!AO367,""",""?00;"",""?-00;"",""?00;"", //"""),"'","""")</f>
        <v>78989, 19041231,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2015-11-26T14:47:12Z</dcterms:modified>
</cp:coreProperties>
</file>