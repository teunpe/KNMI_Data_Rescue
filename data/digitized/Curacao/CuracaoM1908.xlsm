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Invoer!$A$3:$A$382</definedName>
    <definedName name="Catalogus">Info!$M$3:$AG$4</definedName>
    <definedName name="Data">Invoer!$A$3:$U$382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367" i="3" l="1"/>
  <c r="C367" i="3"/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50" i="1" l="1"/>
  <c r="T350" i="1"/>
  <c r="S350" i="1"/>
  <c r="R350" i="1"/>
  <c r="P350" i="1"/>
  <c r="O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U287" i="1"/>
  <c r="T287" i="1"/>
  <c r="S287" i="1"/>
  <c r="R287" i="1"/>
  <c r="P287" i="1"/>
  <c r="O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U192" i="1"/>
  <c r="T192" i="1"/>
  <c r="S192" i="1"/>
  <c r="R192" i="1"/>
  <c r="P192" i="1"/>
  <c r="O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U129" i="1"/>
  <c r="T129" i="1"/>
  <c r="S129" i="1"/>
  <c r="R129" i="1"/>
  <c r="P129" i="1"/>
  <c r="O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U66" i="1"/>
  <c r="T66" i="1"/>
  <c r="S66" i="1"/>
  <c r="R66" i="1"/>
  <c r="P66" i="1"/>
  <c r="O66" i="1"/>
  <c r="M66" i="1"/>
  <c r="L66" i="1"/>
  <c r="K66" i="1"/>
  <c r="J66" i="1"/>
  <c r="I66" i="1"/>
  <c r="H66" i="1"/>
  <c r="G66" i="1"/>
  <c r="F66" i="1"/>
  <c r="E66" i="1"/>
  <c r="D66" i="1"/>
  <c r="C66" i="1"/>
  <c r="B66" i="1"/>
  <c r="U382" i="1"/>
  <c r="T382" i="1"/>
  <c r="S382" i="1"/>
  <c r="R382" i="1"/>
  <c r="P382" i="1"/>
  <c r="O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U319" i="1"/>
  <c r="T319" i="1"/>
  <c r="S319" i="1"/>
  <c r="R319" i="1"/>
  <c r="P319" i="1"/>
  <c r="O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U256" i="1"/>
  <c r="T256" i="1"/>
  <c r="S256" i="1"/>
  <c r="R256" i="1"/>
  <c r="P256" i="1"/>
  <c r="O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U224" i="1"/>
  <c r="T224" i="1"/>
  <c r="S224" i="1"/>
  <c r="R224" i="1"/>
  <c r="P224" i="1"/>
  <c r="O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U161" i="1"/>
  <c r="T161" i="1"/>
  <c r="S161" i="1"/>
  <c r="R161" i="1"/>
  <c r="P161" i="1"/>
  <c r="O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U98" i="1"/>
  <c r="T98" i="1"/>
  <c r="S98" i="1"/>
  <c r="R98" i="1"/>
  <c r="P98" i="1"/>
  <c r="O98" i="1"/>
  <c r="M98" i="1"/>
  <c r="L98" i="1"/>
  <c r="K98" i="1"/>
  <c r="J98" i="1"/>
  <c r="I98" i="1"/>
  <c r="H98" i="1"/>
  <c r="G98" i="1"/>
  <c r="F98" i="1"/>
  <c r="E98" i="1"/>
  <c r="D98" i="1"/>
  <c r="C98" i="1"/>
  <c r="B98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B367" i="3" s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B367" i="2"/>
  <c r="A367" i="2"/>
  <c r="B6" i="3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U367" i="3" l="1"/>
  <c r="AJ367" i="3"/>
  <c r="T367" i="3"/>
  <c r="D367" i="3"/>
  <c r="Q367" i="3"/>
  <c r="AE367" i="3"/>
  <c r="O367" i="3"/>
  <c r="AH367" i="3"/>
  <c r="R367" i="3"/>
  <c r="M367" i="3"/>
  <c r="AF367" i="3"/>
  <c r="P367" i="3"/>
  <c r="AO367" i="3"/>
  <c r="I367" i="3"/>
  <c r="AA367" i="3"/>
  <c r="K367" i="3"/>
  <c r="AD367" i="3"/>
  <c r="N367" i="3"/>
  <c r="AK367" i="3"/>
  <c r="E367" i="3"/>
  <c r="AB367" i="3"/>
  <c r="L367" i="3"/>
  <c r="AG367" i="3"/>
  <c r="AM367" i="3"/>
  <c r="W367" i="3"/>
  <c r="G367" i="3"/>
  <c r="Z367" i="3"/>
  <c r="J367" i="3"/>
  <c r="AC367" i="3"/>
  <c r="AN367" i="3"/>
  <c r="X367" i="3"/>
  <c r="H367" i="3"/>
  <c r="Y367" i="3"/>
  <c r="AI367" i="3"/>
  <c r="S367" i="3"/>
  <c r="AL367" i="3"/>
  <c r="V367" i="3"/>
  <c r="F367" i="3"/>
  <c r="D367" i="2"/>
  <c r="E367" i="2"/>
  <c r="AJ363" i="3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367" i="5" l="1"/>
  <c r="A367" i="6"/>
  <c r="A12" i="6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<sst xmlns="http://schemas.openxmlformats.org/spreadsheetml/2006/main" count="331" uniqueCount="136">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</sst>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2"/>
  <sheetViews>
    <sheetView tabSelected="1" workbookViewId="0">
      <pane xSplit="1" ySplit="4" topLeftCell="B303" activePane="bottomRight" state="frozen"/>
      <selection pane="topRight" activeCell="B1" sqref="B1"/>
      <selection pane="bottomLeft" activeCell="A5" sqref="A5"/>
      <selection pane="bottomRight" activeCell="N334" sqref="N334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2923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1" ca="1" si="0">IF(ISTEXT(A5),A4+1,IF(MONTH(A5+1)=MONTH(A5),A5+1,"Totaal"))</f>
        <v>2924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2925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2926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2927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2928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2929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2930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2931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2932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2933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2934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2935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2936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2937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2938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2939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2940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2941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2942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2943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2944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2945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2946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2947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2948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2949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2950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2951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2952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2953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2954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2955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2956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2957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2958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2959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2960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2961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2962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2963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2964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2965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2966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2967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2968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2969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2970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2971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2972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2973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2974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2975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2976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2977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2978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2979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2980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2981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ht="15" customHeight="1" x14ac:dyDescent="0.25">
      <c r="A65" s="1">
        <f t="shared" ca="1" si="0"/>
        <v>2982</v>
      </c>
      <c r="B65" s="29"/>
      <c r="C65" s="29"/>
      <c r="D65" s="29"/>
      <c r="E65" s="29"/>
      <c r="F65" s="29"/>
      <c r="G65" s="39"/>
      <c r="H65" s="40"/>
      <c r="I65" s="52"/>
      <c r="J65" s="53"/>
      <c r="K65" s="17"/>
      <c r="L65" s="39"/>
      <c r="M65" s="43"/>
      <c r="N65" s="45"/>
      <c r="O65" s="55"/>
      <c r="P65" s="56"/>
      <c r="Q65" s="74"/>
      <c r="R65" s="70"/>
      <c r="S65" s="19"/>
      <c r="T65" s="60"/>
      <c r="U65" s="59"/>
    </row>
    <row r="66" spans="1:21" x14ac:dyDescent="0.25">
      <c r="A66" s="1" t="str">
        <f t="shared" ca="1" si="0"/>
        <v>Totaal</v>
      </c>
      <c r="B66" s="61" t="str">
        <f>IF(COUNT(B37:B65)&gt;0,AVERAGE(B37:B65)/10,"")</f>
        <v/>
      </c>
      <c r="C66" s="62" t="str">
        <f>IF(COUNT(C37:C65)&gt;0,AVERAGE(C37:C65)/1000,"")</f>
        <v/>
      </c>
      <c r="D66" s="62" t="str">
        <f>IF(COUNT(D37:D65)&gt;0,AVERAGE(D37:D65)/1000,"")</f>
        <v/>
      </c>
      <c r="E66" s="62" t="str">
        <f>IF(COUNT(E37:E65)&gt;0,AVERAGE(E37:E65)/1000,"")</f>
        <v/>
      </c>
      <c r="F66" s="62" t="str">
        <f>IF(COUNT(F37:F65)&gt;0,AVERAGE(F37:F65)/100,"")</f>
        <v/>
      </c>
      <c r="G66" s="41" t="str">
        <f>IF(COUNT(G37:G65)&gt;0,AVERAGE(G37:G65)/10,"")</f>
        <v/>
      </c>
      <c r="H66" s="42" t="str">
        <f>IF(COUNT(H37:H65)&gt;0,AVERAGE(H37:H65)/10,"")</f>
        <v/>
      </c>
      <c r="I66" s="18" t="str">
        <f>IF(COUNT(I37:I65)&gt;0,AVERAGE(I37:I65)/10,"")</f>
        <v/>
      </c>
      <c r="J66" s="54" t="str">
        <f>IF(COUNT(J37:J65)&gt;0,AVERAGE(J37:J65),"")</f>
        <v/>
      </c>
      <c r="K66" s="51" t="str">
        <f>IF(COUNT(K37:K65)&gt;0,AVERAGE(K37:K65)/1000,"")</f>
        <v/>
      </c>
      <c r="L66" s="41" t="str">
        <f>IF(COUNT(L37:L65)&gt;0,AVERAGE(L37:L65)/10,"")</f>
        <v/>
      </c>
      <c r="M66" s="44" t="str">
        <f>IF(COUNT(M37:M65)&gt;0,AVERAGE(M37:M65)/10,"")</f>
        <v/>
      </c>
      <c r="N66" s="46"/>
      <c r="O66" s="57" t="str">
        <f>IF(COUNT(O37:O65)&gt;0,AVERAGE(O37:O65),"")</f>
        <v/>
      </c>
      <c r="P66" s="58" t="str">
        <f>IF(COUNT(P37:P65)&gt;0,AVERAGE(P37:P65),"")</f>
        <v/>
      </c>
      <c r="Q66" s="47"/>
      <c r="R66" s="68" t="str">
        <f>IF(COUNT(R37:R65)&gt;0,SUM(R37:R65)/100,"")</f>
        <v/>
      </c>
      <c r="S66" s="64" t="str">
        <f>IF(COUNT(S37:S65)&gt;0,AVERAGE(S37:S65),"")</f>
        <v/>
      </c>
      <c r="T66" s="65" t="str">
        <f>IF(COUNT(T37:T65)&gt;0,AVERAGE(T37:T65),"")</f>
        <v/>
      </c>
      <c r="U66" s="66" t="str">
        <f>IF(COUNT(U37:U65)&gt;0,AVERAGE(U37:U65),"")</f>
        <v/>
      </c>
    </row>
    <row r="67" spans="1:21" ht="15" customHeight="1" x14ac:dyDescent="0.25">
      <c r="A67" s="1">
        <f t="shared" ca="1" si="0"/>
        <v>2983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2984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2985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2986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ca="1" si="0"/>
        <v>2987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ref="A72:A135" ca="1" si="3">IF(ISTEXT(A71),A70+1,IF(MONTH(A71+1)=MONTH(A71),A71+1,"Totaal"))</f>
        <v>2988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2989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2990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2991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2992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2993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2994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2995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2996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2997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2998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2999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3000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3001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3002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3003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3004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3005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3006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3007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3008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3009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3010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3011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3012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ht="15" customHeight="1" x14ac:dyDescent="0.25">
      <c r="A97" s="1">
        <f t="shared" ca="1" si="3"/>
        <v>3013</v>
      </c>
      <c r="B97" s="29"/>
      <c r="C97" s="29"/>
      <c r="D97" s="29"/>
      <c r="E97" s="29"/>
      <c r="F97" s="29"/>
      <c r="G97" s="39"/>
      <c r="H97" s="40"/>
      <c r="I97" s="52"/>
      <c r="J97" s="53"/>
      <c r="K97" s="17"/>
      <c r="L97" s="39"/>
      <c r="M97" s="43"/>
      <c r="N97" s="45"/>
      <c r="O97" s="55"/>
      <c r="P97" s="56"/>
      <c r="Q97" s="74"/>
      <c r="R97" s="70"/>
      <c r="S97" s="19"/>
      <c r="T97" s="60"/>
      <c r="U97" s="59"/>
    </row>
    <row r="98" spans="1:21" x14ac:dyDescent="0.25">
      <c r="A98" s="1" t="str">
        <f t="shared" ca="1" si="3"/>
        <v>Totaal</v>
      </c>
      <c r="B98" s="61" t="str">
        <f>IF(COUNT(B67:B97)&gt;0,AVERAGE(B67:B97)/10,"")</f>
        <v/>
      </c>
      <c r="C98" s="62" t="str">
        <f>IF(COUNT(C67:C97)&gt;0,AVERAGE(C67:C97)/1000,"")</f>
        <v/>
      </c>
      <c r="D98" s="62" t="str">
        <f t="shared" ref="D98" si="4">IF(COUNT(D67:D97)&gt;0,AVERAGE(D67:D97)/1000,"")</f>
        <v/>
      </c>
      <c r="E98" s="62" t="str">
        <f t="shared" ref="E98" si="5">IF(COUNT(E67:E97)&gt;0,AVERAGE(E67:E97)/1000,"")</f>
        <v/>
      </c>
      <c r="F98" s="62" t="str">
        <f>IF(COUNT(F67:F97)&gt;0,AVERAGE(F67:F97)/100,"")</f>
        <v/>
      </c>
      <c r="G98" s="41" t="str">
        <f>IF(COUNT(G67:G97)&gt;0,AVERAGE(G67:G97)/10,"")</f>
        <v/>
      </c>
      <c r="H98" s="42" t="str">
        <f t="shared" ref="H98" si="6">IF(COUNT(H67:H97)&gt;0,AVERAGE(H67:H97)/10,"")</f>
        <v/>
      </c>
      <c r="I98" s="18" t="str">
        <f>IF(COUNT(I67:I97)&gt;0,AVERAGE(I67:I97)/10,"")</f>
        <v/>
      </c>
      <c r="J98" s="54" t="str">
        <f>IF(COUNT(J67:J97)&gt;0,AVERAGE(J67:J97),"")</f>
        <v/>
      </c>
      <c r="K98" s="51" t="str">
        <f>IF(COUNT(K67:K97)&gt;0,AVERAGE(K67:K97)/1000,"")</f>
        <v/>
      </c>
      <c r="L98" s="41" t="str">
        <f>IF(COUNT(L67:L97)&gt;0,AVERAGE(L67:L97)/10,"")</f>
        <v/>
      </c>
      <c r="M98" s="44" t="str">
        <f>IF(COUNT(M67:M97)&gt;0,AVERAGE(M67:M97)/10,"")</f>
        <v/>
      </c>
      <c r="N98" s="46"/>
      <c r="O98" s="57" t="str">
        <f>IF(COUNT(O67:O97)&gt;0,AVERAGE(O67:O97),"")</f>
        <v/>
      </c>
      <c r="P98" s="58" t="str">
        <f>IF(COUNT(P67:P97)&gt;0,AVERAGE(P67:P97),"")</f>
        <v/>
      </c>
      <c r="Q98" s="47"/>
      <c r="R98" s="68" t="str">
        <f>IF(COUNT(R67:R97)&gt;0,SUM(R67:R97)/100,"")</f>
        <v/>
      </c>
      <c r="S98" s="64" t="str">
        <f>IF(COUNT(S67:S97)&gt;0,AVERAGE(S67:S97),"")</f>
        <v/>
      </c>
      <c r="T98" s="65" t="str">
        <f>IF(COUNT(T67:T97)&gt;0,AVERAGE(T67:T97),"")</f>
        <v/>
      </c>
      <c r="U98" s="66" t="str">
        <f>IF(COUNT(U67:U97)&gt;0,AVERAGE(U67:U97),"")</f>
        <v/>
      </c>
    </row>
    <row r="99" spans="1:21" ht="15" customHeight="1" x14ac:dyDescent="0.25">
      <c r="A99" s="1">
        <f t="shared" ca="1" si="3"/>
        <v>3014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3015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3016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3017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3018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3019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3020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3021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3022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3023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3024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3025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3026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3027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3028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3029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3030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3031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3032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3033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3034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3035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3036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3037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3038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3039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3040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3041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3042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ht="15" customHeight="1" x14ac:dyDescent="0.25">
      <c r="A128" s="1">
        <f t="shared" ca="1" si="3"/>
        <v>3043</v>
      </c>
      <c r="B128" s="29"/>
      <c r="C128" s="29"/>
      <c r="D128" s="29"/>
      <c r="E128" s="29"/>
      <c r="F128" s="29"/>
      <c r="G128" s="39"/>
      <c r="H128" s="40"/>
      <c r="I128" s="52"/>
      <c r="J128" s="53"/>
      <c r="K128" s="17"/>
      <c r="L128" s="39"/>
      <c r="M128" s="43"/>
      <c r="N128" s="45"/>
      <c r="O128" s="55"/>
      <c r="P128" s="56"/>
      <c r="Q128" s="74"/>
      <c r="R128" s="70"/>
      <c r="S128" s="19"/>
      <c r="T128" s="60"/>
      <c r="U128" s="59"/>
    </row>
    <row r="129" spans="1:21" x14ac:dyDescent="0.25">
      <c r="A129" s="1" t="str">
        <f t="shared" ca="1" si="3"/>
        <v>Totaal</v>
      </c>
      <c r="B129" s="61" t="str">
        <f>IF(COUNT(B99:B128)&gt;0,AVERAGE(B99:B128)/10,"")</f>
        <v/>
      </c>
      <c r="C129" s="62" t="str">
        <f>IF(COUNT(C99:C128)&gt;0,AVERAGE(C99:C128)/1000,"")</f>
        <v/>
      </c>
      <c r="D129" s="62" t="str">
        <f>IF(COUNT(D99:D128)&gt;0,AVERAGE(D99:D128)/1000,"")</f>
        <v/>
      </c>
      <c r="E129" s="62" t="str">
        <f>IF(COUNT(E99:E128)&gt;0,AVERAGE(E99:E128)/1000,"")</f>
        <v/>
      </c>
      <c r="F129" s="62" t="str">
        <f>IF(COUNT(F99:F128)&gt;0,AVERAGE(F99:F128)/100,"")</f>
        <v/>
      </c>
      <c r="G129" s="41" t="str">
        <f>IF(COUNT(G99:G128)&gt;0,AVERAGE(G99:G128)/10,"")</f>
        <v/>
      </c>
      <c r="H129" s="42" t="str">
        <f>IF(COUNT(H99:H128)&gt;0,AVERAGE(H99:H128)/10,"")</f>
        <v/>
      </c>
      <c r="I129" s="18" t="str">
        <f>IF(COUNT(I99:I128)&gt;0,AVERAGE(I99:I128)/10,"")</f>
        <v/>
      </c>
      <c r="J129" s="54" t="str">
        <f>IF(COUNT(J99:J128)&gt;0,AVERAGE(J99:J128),"")</f>
        <v/>
      </c>
      <c r="K129" s="51" t="str">
        <f>IF(COUNT(K99:K128)&gt;0,AVERAGE(K99:K128)/1000,"")</f>
        <v/>
      </c>
      <c r="L129" s="41" t="str">
        <f>IF(COUNT(L99:L128)&gt;0,AVERAGE(L99:L128)/10,"")</f>
        <v/>
      </c>
      <c r="M129" s="44" t="str">
        <f>IF(COUNT(M99:M128)&gt;0,AVERAGE(M99:M128)/10,"")</f>
        <v/>
      </c>
      <c r="N129" s="46"/>
      <c r="O129" s="57" t="str">
        <f>IF(COUNT(O99:O128)&gt;0,AVERAGE(O99:O128),"")</f>
        <v/>
      </c>
      <c r="P129" s="58" t="str">
        <f>IF(COUNT(P99:P128)&gt;0,AVERAGE(P99:P128),"")</f>
        <v/>
      </c>
      <c r="Q129" s="47"/>
      <c r="R129" s="68" t="str">
        <f>IF(COUNT(R99:R128)&gt;0,SUM(R99:R128)/100,"")</f>
        <v/>
      </c>
      <c r="S129" s="64" t="str">
        <f>IF(COUNT(S99:S128)&gt;0,AVERAGE(S99:S128),"")</f>
        <v/>
      </c>
      <c r="T129" s="65" t="str">
        <f>IF(COUNT(T99:T128)&gt;0,AVERAGE(T99:T128),"")</f>
        <v/>
      </c>
      <c r="U129" s="66" t="str">
        <f>IF(COUNT(U99:U128)&gt;0,AVERAGE(U99:U128),"")</f>
        <v/>
      </c>
    </row>
    <row r="130" spans="1:21" ht="15" customHeight="1" x14ac:dyDescent="0.25">
      <c r="A130" s="1">
        <f t="shared" ca="1" si="3"/>
        <v>3044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3045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3046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3047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3048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ca="1" si="3"/>
        <v>3049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ref="A136:A199" ca="1" si="7">IF(ISTEXT(A135),A134+1,IF(MONTH(A135+1)=MONTH(A135),A135+1,"Totaal"))</f>
        <v>3050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3051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3052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3053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3054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3055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3056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3057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3058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3059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3060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3061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3062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3063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3064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3065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3066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3067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3068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3069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3070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3071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3072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3073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ht="15" customHeight="1" x14ac:dyDescent="0.25">
      <c r="A160" s="1">
        <f t="shared" ca="1" si="7"/>
        <v>3074</v>
      </c>
      <c r="B160" s="29"/>
      <c r="C160" s="29"/>
      <c r="D160" s="29"/>
      <c r="E160" s="29"/>
      <c r="F160" s="29"/>
      <c r="G160" s="39"/>
      <c r="H160" s="40"/>
      <c r="I160" s="52"/>
      <c r="J160" s="53"/>
      <c r="K160" s="17"/>
      <c r="L160" s="39"/>
      <c r="M160" s="43"/>
      <c r="N160" s="45"/>
      <c r="O160" s="55"/>
      <c r="P160" s="56"/>
      <c r="Q160" s="74"/>
      <c r="R160" s="70"/>
      <c r="S160" s="19"/>
      <c r="T160" s="60"/>
      <c r="U160" s="59"/>
    </row>
    <row r="161" spans="1:21" x14ac:dyDescent="0.25">
      <c r="A161" s="1" t="str">
        <f t="shared" ca="1" si="7"/>
        <v>Totaal</v>
      </c>
      <c r="B161" s="61" t="str">
        <f>IF(COUNT(B130:B160)&gt;0,AVERAGE(B130:B160)/10,"")</f>
        <v/>
      </c>
      <c r="C161" s="62" t="str">
        <f>IF(COUNT(C130:C160)&gt;0,AVERAGE(C130:C160)/1000,"")</f>
        <v/>
      </c>
      <c r="D161" s="62" t="str">
        <f t="shared" ref="D161" si="8">IF(COUNT(D130:D160)&gt;0,AVERAGE(D130:D160)/1000,"")</f>
        <v/>
      </c>
      <c r="E161" s="62" t="str">
        <f t="shared" ref="E161" si="9">IF(COUNT(E130:E160)&gt;0,AVERAGE(E130:E160)/1000,"")</f>
        <v/>
      </c>
      <c r="F161" s="62" t="str">
        <f>IF(COUNT(F130:F160)&gt;0,AVERAGE(F130:F160)/100,"")</f>
        <v/>
      </c>
      <c r="G161" s="41" t="str">
        <f>IF(COUNT(G130:G160)&gt;0,AVERAGE(G130:G160)/10,"")</f>
        <v/>
      </c>
      <c r="H161" s="42" t="str">
        <f t="shared" ref="H161" si="10">IF(COUNT(H130:H160)&gt;0,AVERAGE(H130:H160)/10,"")</f>
        <v/>
      </c>
      <c r="I161" s="18" t="str">
        <f>IF(COUNT(I130:I160)&gt;0,AVERAGE(I130:I160)/10,"")</f>
        <v/>
      </c>
      <c r="J161" s="54" t="str">
        <f>IF(COUNT(J130:J160)&gt;0,AVERAGE(J130:J160),"")</f>
        <v/>
      </c>
      <c r="K161" s="51" t="str">
        <f>IF(COUNT(K130:K160)&gt;0,AVERAGE(K130:K160)/1000,"")</f>
        <v/>
      </c>
      <c r="L161" s="41" t="str">
        <f>IF(COUNT(L130:L160)&gt;0,AVERAGE(L130:L160)/10,"")</f>
        <v/>
      </c>
      <c r="M161" s="44" t="str">
        <f>IF(COUNT(M130:M160)&gt;0,AVERAGE(M130:M160)/10,"")</f>
        <v/>
      </c>
      <c r="N161" s="46"/>
      <c r="O161" s="57" t="str">
        <f>IF(COUNT(O130:O160)&gt;0,AVERAGE(O130:O160),"")</f>
        <v/>
      </c>
      <c r="P161" s="58" t="str">
        <f>IF(COUNT(P130:P160)&gt;0,AVERAGE(P130:P160),"")</f>
        <v/>
      </c>
      <c r="Q161" s="47"/>
      <c r="R161" s="68" t="str">
        <f>IF(COUNT(R130:R160)&gt;0,SUM(R130:R160)/100,"")</f>
        <v/>
      </c>
      <c r="S161" s="64" t="str">
        <f>IF(COUNT(S130:S160)&gt;0,AVERAGE(S130:S160),"")</f>
        <v/>
      </c>
      <c r="T161" s="65" t="str">
        <f>IF(COUNT(T130:T160)&gt;0,AVERAGE(T130:T160),"")</f>
        <v/>
      </c>
      <c r="U161" s="66" t="str">
        <f>IF(COUNT(U130:U160)&gt;0,AVERAGE(U130:U160),"")</f>
        <v/>
      </c>
    </row>
    <row r="162" spans="1:21" ht="15" customHeight="1" x14ac:dyDescent="0.25">
      <c r="A162" s="1">
        <f t="shared" ca="1" si="7"/>
        <v>3075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3076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3077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3078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3079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3080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3081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3082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3083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3084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3085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3086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3087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3088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3089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3090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3091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3092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3093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3094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3095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3096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3097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3098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3099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3100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3101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3102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3103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ht="15" customHeight="1" x14ac:dyDescent="0.25">
      <c r="A191" s="1">
        <f t="shared" ca="1" si="7"/>
        <v>3104</v>
      </c>
      <c r="B191" s="29"/>
      <c r="C191" s="29"/>
      <c r="D191" s="29"/>
      <c r="E191" s="29"/>
      <c r="F191" s="29"/>
      <c r="G191" s="39"/>
      <c r="H191" s="40"/>
      <c r="I191" s="52"/>
      <c r="J191" s="53"/>
      <c r="K191" s="17"/>
      <c r="L191" s="39"/>
      <c r="M191" s="43"/>
      <c r="N191" s="45"/>
      <c r="O191" s="55"/>
      <c r="P191" s="56"/>
      <c r="Q191" s="74"/>
      <c r="R191" s="70"/>
      <c r="S191" s="19"/>
      <c r="T191" s="60"/>
      <c r="U191" s="59"/>
    </row>
    <row r="192" spans="1:21" x14ac:dyDescent="0.25">
      <c r="A192" s="1" t="str">
        <f t="shared" ca="1" si="7"/>
        <v>Totaal</v>
      </c>
      <c r="B192" s="61" t="str">
        <f>IF(COUNT(B162:B191)&gt;0,AVERAGE(B162:B191)/10,"")</f>
        <v/>
      </c>
      <c r="C192" s="62" t="str">
        <f>IF(COUNT(C162:C191)&gt;0,AVERAGE(C162:C191)/1000,"")</f>
        <v/>
      </c>
      <c r="D192" s="62" t="str">
        <f>IF(COUNT(D162:D191)&gt;0,AVERAGE(D162:D191)/1000,"")</f>
        <v/>
      </c>
      <c r="E192" s="62" t="str">
        <f>IF(COUNT(E162:E191)&gt;0,AVERAGE(E162:E191)/1000,"")</f>
        <v/>
      </c>
      <c r="F192" s="62" t="str">
        <f>IF(COUNT(F162:F191)&gt;0,AVERAGE(F162:F191)/100,"")</f>
        <v/>
      </c>
      <c r="G192" s="41" t="str">
        <f>IF(COUNT(G162:G191)&gt;0,AVERAGE(G162:G191)/10,"")</f>
        <v/>
      </c>
      <c r="H192" s="42" t="str">
        <f>IF(COUNT(H162:H191)&gt;0,AVERAGE(H162:H191)/10,"")</f>
        <v/>
      </c>
      <c r="I192" s="18" t="str">
        <f>IF(COUNT(I162:I191)&gt;0,AVERAGE(I162:I191)/10,"")</f>
        <v/>
      </c>
      <c r="J192" s="54" t="str">
        <f>IF(COUNT(J162:J191)&gt;0,AVERAGE(J162:J191),"")</f>
        <v/>
      </c>
      <c r="K192" s="51" t="str">
        <f>IF(COUNT(K162:K191)&gt;0,AVERAGE(K162:K191)/1000,"")</f>
        <v/>
      </c>
      <c r="L192" s="41" t="str">
        <f>IF(COUNT(L162:L191)&gt;0,AVERAGE(L162:L191)/10,"")</f>
        <v/>
      </c>
      <c r="M192" s="44" t="str">
        <f>IF(COUNT(M162:M191)&gt;0,AVERAGE(M162:M191)/10,"")</f>
        <v/>
      </c>
      <c r="N192" s="46"/>
      <c r="O192" s="57" t="str">
        <f>IF(COUNT(O162:O191)&gt;0,AVERAGE(O162:O191),"")</f>
        <v/>
      </c>
      <c r="P192" s="58" t="str">
        <f>IF(COUNT(P162:P191)&gt;0,AVERAGE(P162:P191),"")</f>
        <v/>
      </c>
      <c r="Q192" s="47"/>
      <c r="R192" s="68" t="str">
        <f>IF(COUNT(R162:R191)&gt;0,SUM(R162:R191)/100,"")</f>
        <v/>
      </c>
      <c r="S192" s="64" t="str">
        <f>IF(COUNT(S162:S191)&gt;0,AVERAGE(S162:S191),"")</f>
        <v/>
      </c>
      <c r="T192" s="65" t="str">
        <f>IF(COUNT(T162:T191)&gt;0,AVERAGE(T162:T191),"")</f>
        <v/>
      </c>
      <c r="U192" s="66" t="str">
        <f>IF(COUNT(U162:U191)&gt;0,AVERAGE(U162:U191),"")</f>
        <v/>
      </c>
    </row>
    <row r="193" spans="1:21" ht="15" customHeight="1" x14ac:dyDescent="0.25">
      <c r="A193" s="1">
        <f t="shared" ca="1" si="7"/>
        <v>3105</v>
      </c>
      <c r="B193" s="29"/>
      <c r="C193" s="29"/>
      <c r="D193" s="29"/>
      <c r="E193" s="29"/>
      <c r="F193" s="29">
        <v>2986</v>
      </c>
      <c r="G193" s="39"/>
      <c r="H193" s="40"/>
      <c r="I193" s="52"/>
      <c r="J193" s="53"/>
      <c r="K193" s="17"/>
      <c r="L193" s="39"/>
      <c r="M193" s="43"/>
      <c r="N193" s="45" t="s">
        <v>108</v>
      </c>
      <c r="O193" s="55"/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3106</v>
      </c>
      <c r="B194" s="29"/>
      <c r="C194" s="29"/>
      <c r="D194" s="29"/>
      <c r="E194" s="29"/>
      <c r="F194" s="29">
        <v>3002</v>
      </c>
      <c r="G194" s="39"/>
      <c r="H194" s="40"/>
      <c r="I194" s="52"/>
      <c r="J194" s="53"/>
      <c r="K194" s="17"/>
      <c r="L194" s="39"/>
      <c r="M194" s="43"/>
      <c r="N194" s="45" t="s">
        <v>108</v>
      </c>
      <c r="O194" s="55"/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3107</v>
      </c>
      <c r="B195" s="29"/>
      <c r="C195" s="29"/>
      <c r="D195" s="29"/>
      <c r="E195" s="29"/>
      <c r="F195" s="29">
        <v>2998</v>
      </c>
      <c r="G195" s="39"/>
      <c r="H195" s="40"/>
      <c r="I195" s="52"/>
      <c r="J195" s="53"/>
      <c r="K195" s="17"/>
      <c r="L195" s="39"/>
      <c r="M195" s="43"/>
      <c r="N195" s="45" t="s">
        <v>108</v>
      </c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3108</v>
      </c>
      <c r="B196" s="29"/>
      <c r="C196" s="29"/>
      <c r="D196" s="29"/>
      <c r="E196" s="29"/>
      <c r="F196" s="29">
        <v>3000</v>
      </c>
      <c r="G196" s="39"/>
      <c r="H196" s="40"/>
      <c r="I196" s="52"/>
      <c r="J196" s="53"/>
      <c r="K196" s="17"/>
      <c r="L196" s="39"/>
      <c r="M196" s="43"/>
      <c r="N196" s="45" t="s">
        <v>110</v>
      </c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3109</v>
      </c>
      <c r="B197" s="29"/>
      <c r="C197" s="29"/>
      <c r="D197" s="29"/>
      <c r="E197" s="29"/>
      <c r="F197" s="29">
        <v>3000</v>
      </c>
      <c r="G197" s="39"/>
      <c r="H197" s="40"/>
      <c r="I197" s="52"/>
      <c r="J197" s="53"/>
      <c r="K197" s="17"/>
      <c r="L197" s="39"/>
      <c r="M197" s="43"/>
      <c r="N197" s="45" t="s">
        <v>108</v>
      </c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3110</v>
      </c>
      <c r="B198" s="29"/>
      <c r="C198" s="29"/>
      <c r="D198" s="29"/>
      <c r="E198" s="29"/>
      <c r="F198" s="29">
        <v>2998</v>
      </c>
      <c r="G198" s="39"/>
      <c r="H198" s="40"/>
      <c r="I198" s="52"/>
      <c r="J198" s="53"/>
      <c r="K198" s="17"/>
      <c r="L198" s="39"/>
      <c r="M198" s="43"/>
      <c r="N198" s="45" t="s">
        <v>108</v>
      </c>
      <c r="O198" s="55"/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ca="1" si="7"/>
        <v>3111</v>
      </c>
      <c r="B199" s="29"/>
      <c r="C199" s="29"/>
      <c r="D199" s="29"/>
      <c r="E199" s="29"/>
      <c r="F199" s="29">
        <v>2996</v>
      </c>
      <c r="G199" s="39"/>
      <c r="H199" s="40"/>
      <c r="I199" s="52"/>
      <c r="J199" s="53"/>
      <c r="K199" s="17"/>
      <c r="L199" s="39"/>
      <c r="M199" s="43"/>
      <c r="N199" s="45" t="s">
        <v>108</v>
      </c>
      <c r="O199" s="55"/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ref="A200:A263" ca="1" si="11">IF(ISTEXT(A199),A198+1,IF(MONTH(A199+1)=MONTH(A199),A199+1,"Totaal"))</f>
        <v>3112</v>
      </c>
      <c r="B200" s="29"/>
      <c r="C200" s="29"/>
      <c r="D200" s="29"/>
      <c r="E200" s="29"/>
      <c r="F200" s="29">
        <v>2998</v>
      </c>
      <c r="G200" s="39"/>
      <c r="H200" s="40"/>
      <c r="I200" s="52"/>
      <c r="J200" s="53"/>
      <c r="K200" s="17"/>
      <c r="L200" s="39"/>
      <c r="M200" s="43"/>
      <c r="N200" s="45" t="s">
        <v>108</v>
      </c>
      <c r="O200" s="55"/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3113</v>
      </c>
      <c r="B201" s="29"/>
      <c r="C201" s="29"/>
      <c r="D201" s="29"/>
      <c r="E201" s="29"/>
      <c r="F201" s="29">
        <v>3000</v>
      </c>
      <c r="G201" s="39"/>
      <c r="H201" s="40"/>
      <c r="I201" s="52"/>
      <c r="J201" s="53"/>
      <c r="K201" s="17"/>
      <c r="L201" s="39"/>
      <c r="M201" s="43"/>
      <c r="N201" s="45" t="s">
        <v>108</v>
      </c>
      <c r="O201" s="55"/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3114</v>
      </c>
      <c r="B202" s="29"/>
      <c r="C202" s="29"/>
      <c r="D202" s="29"/>
      <c r="E202" s="29"/>
      <c r="F202" s="29">
        <v>3000</v>
      </c>
      <c r="G202" s="39"/>
      <c r="H202" s="40"/>
      <c r="I202" s="52"/>
      <c r="J202" s="53"/>
      <c r="K202" s="17"/>
      <c r="L202" s="39"/>
      <c r="M202" s="43"/>
      <c r="N202" s="45" t="s">
        <v>108</v>
      </c>
      <c r="O202" s="55"/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3115</v>
      </c>
      <c r="B203" s="29"/>
      <c r="C203" s="29"/>
      <c r="D203" s="29"/>
      <c r="E203" s="29"/>
      <c r="F203" s="29">
        <v>3000</v>
      </c>
      <c r="G203" s="39"/>
      <c r="H203" s="40"/>
      <c r="I203" s="52"/>
      <c r="J203" s="53"/>
      <c r="K203" s="17"/>
      <c r="L203" s="39"/>
      <c r="M203" s="43"/>
      <c r="N203" s="45" t="s">
        <v>108</v>
      </c>
      <c r="O203" s="55"/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3116</v>
      </c>
      <c r="B204" s="29"/>
      <c r="C204" s="29"/>
      <c r="D204" s="29"/>
      <c r="E204" s="29"/>
      <c r="F204" s="29">
        <v>3002</v>
      </c>
      <c r="G204" s="39"/>
      <c r="H204" s="40"/>
      <c r="I204" s="52"/>
      <c r="J204" s="53"/>
      <c r="K204" s="17"/>
      <c r="L204" s="39"/>
      <c r="M204" s="43"/>
      <c r="N204" s="45" t="s">
        <v>108</v>
      </c>
      <c r="O204" s="55"/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3117</v>
      </c>
      <c r="B205" s="29"/>
      <c r="C205" s="29"/>
      <c r="D205" s="29"/>
      <c r="E205" s="29"/>
      <c r="F205" s="29">
        <v>2998</v>
      </c>
      <c r="G205" s="39"/>
      <c r="H205" s="40"/>
      <c r="I205" s="52"/>
      <c r="J205" s="53"/>
      <c r="K205" s="17"/>
      <c r="L205" s="39"/>
      <c r="M205" s="43"/>
      <c r="N205" s="45" t="s">
        <v>108</v>
      </c>
      <c r="O205" s="55"/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3118</v>
      </c>
      <c r="B206" s="29"/>
      <c r="C206" s="29"/>
      <c r="D206" s="29"/>
      <c r="E206" s="29"/>
      <c r="F206" s="29">
        <v>2992</v>
      </c>
      <c r="G206" s="39"/>
      <c r="H206" s="40"/>
      <c r="I206" s="52"/>
      <c r="J206" s="53"/>
      <c r="K206" s="17"/>
      <c r="L206" s="39"/>
      <c r="M206" s="43"/>
      <c r="N206" s="45" t="s">
        <v>108</v>
      </c>
      <c r="O206" s="55"/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3119</v>
      </c>
      <c r="B207" s="29"/>
      <c r="C207" s="29"/>
      <c r="D207" s="29"/>
      <c r="E207" s="29"/>
      <c r="F207" s="29">
        <v>2988</v>
      </c>
      <c r="G207" s="39"/>
      <c r="H207" s="40"/>
      <c r="I207" s="52"/>
      <c r="J207" s="53"/>
      <c r="K207" s="17"/>
      <c r="L207" s="39"/>
      <c r="M207" s="43"/>
      <c r="N207" s="45" t="s">
        <v>110</v>
      </c>
      <c r="O207" s="55"/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3120</v>
      </c>
      <c r="B208" s="29"/>
      <c r="C208" s="29"/>
      <c r="D208" s="29"/>
      <c r="E208" s="29"/>
      <c r="F208" s="29">
        <v>2996</v>
      </c>
      <c r="G208" s="39"/>
      <c r="H208" s="40"/>
      <c r="I208" s="52"/>
      <c r="J208" s="53"/>
      <c r="K208" s="17"/>
      <c r="L208" s="39"/>
      <c r="M208" s="43"/>
      <c r="N208" s="45" t="s">
        <v>108</v>
      </c>
      <c r="O208" s="55"/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3121</v>
      </c>
      <c r="B209" s="29"/>
      <c r="C209" s="29"/>
      <c r="D209" s="29"/>
      <c r="E209" s="29"/>
      <c r="F209" s="29">
        <v>2998</v>
      </c>
      <c r="G209" s="39"/>
      <c r="H209" s="40"/>
      <c r="I209" s="52"/>
      <c r="J209" s="53"/>
      <c r="K209" s="17"/>
      <c r="L209" s="39"/>
      <c r="M209" s="43"/>
      <c r="N209" s="45" t="s">
        <v>108</v>
      </c>
      <c r="O209" s="55"/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3122</v>
      </c>
      <c r="B210" s="29"/>
      <c r="C210" s="29"/>
      <c r="D210" s="29"/>
      <c r="E210" s="29"/>
      <c r="F210" s="29">
        <v>3002</v>
      </c>
      <c r="G210" s="39"/>
      <c r="H210" s="40"/>
      <c r="I210" s="52"/>
      <c r="J210" s="53"/>
      <c r="K210" s="17"/>
      <c r="L210" s="39"/>
      <c r="M210" s="43"/>
      <c r="N210" s="45" t="s">
        <v>108</v>
      </c>
      <c r="O210" s="55"/>
      <c r="P210" s="56"/>
      <c r="Q210" s="74"/>
      <c r="R210" s="70"/>
      <c r="S210" s="19"/>
      <c r="T210" s="60"/>
      <c r="U210" s="59"/>
    </row>
    <row r="211" spans="1:21" ht="15" customHeight="1" x14ac:dyDescent="0.25">
      <c r="A211" s="1">
        <f t="shared" ca="1" si="11"/>
        <v>3123</v>
      </c>
      <c r="B211" s="29"/>
      <c r="C211" s="29"/>
      <c r="D211" s="29"/>
      <c r="E211" s="29"/>
      <c r="F211" s="29"/>
      <c r="G211" s="39"/>
      <c r="H211" s="40"/>
      <c r="I211" s="52"/>
      <c r="J211" s="53"/>
      <c r="K211" s="17"/>
      <c r="L211" s="39"/>
      <c r="M211" s="43"/>
      <c r="N211" s="45"/>
      <c r="O211" s="55"/>
      <c r="P211" s="56"/>
      <c r="Q211" s="74"/>
      <c r="R211" s="70"/>
      <c r="S211" s="19"/>
      <c r="T211" s="60"/>
      <c r="U211" s="59"/>
    </row>
    <row r="212" spans="1:21" ht="15" customHeight="1" x14ac:dyDescent="0.25">
      <c r="A212" s="1">
        <f t="shared" ca="1" si="11"/>
        <v>3124</v>
      </c>
      <c r="B212" s="29"/>
      <c r="C212" s="29"/>
      <c r="D212" s="29"/>
      <c r="E212" s="29"/>
      <c r="F212" s="29">
        <v>2998</v>
      </c>
      <c r="G212" s="39"/>
      <c r="H212" s="40"/>
      <c r="I212" s="52"/>
      <c r="J212" s="53"/>
      <c r="K212" s="17"/>
      <c r="L212" s="39"/>
      <c r="M212" s="43"/>
      <c r="N212" s="45" t="s">
        <v>108</v>
      </c>
      <c r="O212" s="55"/>
      <c r="P212" s="56"/>
      <c r="Q212" s="74"/>
      <c r="R212" s="70"/>
      <c r="S212" s="19"/>
      <c r="T212" s="60"/>
      <c r="U212" s="59"/>
    </row>
    <row r="213" spans="1:21" ht="15" customHeight="1" x14ac:dyDescent="0.25">
      <c r="A213" s="1">
        <f t="shared" ca="1" si="11"/>
        <v>3125</v>
      </c>
      <c r="B213" s="29"/>
      <c r="C213" s="29"/>
      <c r="D213" s="29"/>
      <c r="E213" s="29"/>
      <c r="F213" s="29">
        <v>2996</v>
      </c>
      <c r="G213" s="39"/>
      <c r="H213" s="40"/>
      <c r="I213" s="52"/>
      <c r="J213" s="53"/>
      <c r="K213" s="17"/>
      <c r="L213" s="39"/>
      <c r="M213" s="43"/>
      <c r="N213" s="45" t="s">
        <v>108</v>
      </c>
      <c r="O213" s="55"/>
      <c r="P213" s="56"/>
      <c r="Q213" s="74"/>
      <c r="R213" s="70"/>
      <c r="S213" s="19"/>
      <c r="T213" s="60"/>
      <c r="U213" s="59"/>
    </row>
    <row r="214" spans="1:21" ht="15" customHeight="1" x14ac:dyDescent="0.25">
      <c r="A214" s="1">
        <f t="shared" ca="1" si="11"/>
        <v>3126</v>
      </c>
      <c r="B214" s="29"/>
      <c r="C214" s="29"/>
      <c r="D214" s="29"/>
      <c r="E214" s="29"/>
      <c r="F214" s="29">
        <v>2994</v>
      </c>
      <c r="G214" s="39"/>
      <c r="H214" s="40"/>
      <c r="I214" s="52"/>
      <c r="J214" s="53"/>
      <c r="K214" s="17"/>
      <c r="L214" s="39"/>
      <c r="M214" s="43"/>
      <c r="N214" s="45" t="s">
        <v>108</v>
      </c>
      <c r="O214" s="55"/>
      <c r="P214" s="56"/>
      <c r="Q214" s="74"/>
      <c r="R214" s="70"/>
      <c r="S214" s="19"/>
      <c r="T214" s="60"/>
      <c r="U214" s="59"/>
    </row>
    <row r="215" spans="1:21" ht="15" customHeight="1" x14ac:dyDescent="0.25">
      <c r="A215" s="1">
        <f t="shared" ca="1" si="11"/>
        <v>3127</v>
      </c>
      <c r="B215" s="29"/>
      <c r="C215" s="29"/>
      <c r="D215" s="29"/>
      <c r="E215" s="29"/>
      <c r="F215" s="29">
        <v>2994</v>
      </c>
      <c r="G215" s="39"/>
      <c r="H215" s="40"/>
      <c r="I215" s="52"/>
      <c r="J215" s="53"/>
      <c r="K215" s="17"/>
      <c r="L215" s="39"/>
      <c r="M215" s="43"/>
      <c r="N215" s="45" t="s">
        <v>108</v>
      </c>
      <c r="O215" s="55"/>
      <c r="P215" s="56"/>
      <c r="Q215" s="74"/>
      <c r="R215" s="70"/>
      <c r="S215" s="19"/>
      <c r="T215" s="60"/>
      <c r="U215" s="59"/>
    </row>
    <row r="216" spans="1:21" ht="15" customHeight="1" x14ac:dyDescent="0.25">
      <c r="A216" s="1">
        <f t="shared" ca="1" si="11"/>
        <v>3128</v>
      </c>
      <c r="B216" s="29"/>
      <c r="C216" s="29"/>
      <c r="D216" s="29"/>
      <c r="E216" s="29"/>
      <c r="F216" s="29">
        <v>2996</v>
      </c>
      <c r="G216" s="39"/>
      <c r="H216" s="40"/>
      <c r="I216" s="52"/>
      <c r="J216" s="53"/>
      <c r="K216" s="17"/>
      <c r="L216" s="39"/>
      <c r="M216" s="43"/>
      <c r="N216" s="45" t="s">
        <v>108</v>
      </c>
      <c r="O216" s="55"/>
      <c r="P216" s="56"/>
      <c r="Q216" s="74"/>
      <c r="R216" s="70"/>
      <c r="S216" s="19"/>
      <c r="T216" s="60"/>
      <c r="U216" s="59"/>
    </row>
    <row r="217" spans="1:21" ht="15" customHeight="1" x14ac:dyDescent="0.25">
      <c r="A217" s="1">
        <f t="shared" ca="1" si="11"/>
        <v>3129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/>
      <c r="M217" s="43"/>
      <c r="N217" s="45" t="s">
        <v>108</v>
      </c>
      <c r="O217" s="55"/>
      <c r="P217" s="56"/>
      <c r="Q217" s="74"/>
      <c r="R217" s="70"/>
      <c r="S217" s="19"/>
      <c r="T217" s="60"/>
      <c r="U217" s="59"/>
    </row>
    <row r="218" spans="1:21" ht="15" customHeight="1" x14ac:dyDescent="0.25">
      <c r="A218" s="1">
        <f t="shared" ca="1" si="11"/>
        <v>3130</v>
      </c>
      <c r="B218" s="29"/>
      <c r="C218" s="29"/>
      <c r="D218" s="29"/>
      <c r="E218" s="29"/>
      <c r="F218" s="29">
        <v>2992</v>
      </c>
      <c r="G218" s="39"/>
      <c r="H218" s="40"/>
      <c r="I218" s="52"/>
      <c r="J218" s="53"/>
      <c r="K218" s="17"/>
      <c r="L218" s="39"/>
      <c r="M218" s="43"/>
      <c r="N218" s="45" t="s">
        <v>108</v>
      </c>
      <c r="O218" s="55"/>
      <c r="P218" s="56"/>
      <c r="Q218" s="74"/>
      <c r="R218" s="70"/>
      <c r="S218" s="19"/>
      <c r="T218" s="60"/>
      <c r="U218" s="59"/>
    </row>
    <row r="219" spans="1:21" ht="15" customHeight="1" x14ac:dyDescent="0.25">
      <c r="A219" s="1">
        <f t="shared" ca="1" si="11"/>
        <v>3131</v>
      </c>
      <c r="B219" s="29"/>
      <c r="C219" s="29"/>
      <c r="D219" s="29"/>
      <c r="E219" s="29"/>
      <c r="F219" s="29">
        <v>2992</v>
      </c>
      <c r="G219" s="39"/>
      <c r="H219" s="40"/>
      <c r="I219" s="52"/>
      <c r="J219" s="53"/>
      <c r="K219" s="17"/>
      <c r="L219" s="39"/>
      <c r="M219" s="43"/>
      <c r="N219" s="45" t="s">
        <v>108</v>
      </c>
      <c r="O219" s="55"/>
      <c r="P219" s="56"/>
      <c r="Q219" s="74"/>
      <c r="R219" s="70"/>
      <c r="S219" s="19"/>
      <c r="T219" s="60"/>
      <c r="U219" s="59"/>
    </row>
    <row r="220" spans="1:21" ht="15" customHeight="1" x14ac:dyDescent="0.25">
      <c r="A220" s="1">
        <f t="shared" ca="1" si="11"/>
        <v>3132</v>
      </c>
      <c r="B220" s="29"/>
      <c r="C220" s="29"/>
      <c r="D220" s="29"/>
      <c r="E220" s="29"/>
      <c r="F220" s="29">
        <v>2992</v>
      </c>
      <c r="G220" s="39"/>
      <c r="H220" s="40"/>
      <c r="I220" s="52"/>
      <c r="J220" s="53"/>
      <c r="K220" s="17"/>
      <c r="L220" s="39"/>
      <c r="M220" s="43"/>
      <c r="N220" s="45" t="s">
        <v>108</v>
      </c>
      <c r="O220" s="55"/>
      <c r="P220" s="56"/>
      <c r="Q220" s="74"/>
      <c r="R220" s="70"/>
      <c r="S220" s="19"/>
      <c r="T220" s="60"/>
      <c r="U220" s="59"/>
    </row>
    <row r="221" spans="1:21" ht="15" customHeight="1" x14ac:dyDescent="0.25">
      <c r="A221" s="1">
        <f t="shared" ca="1" si="11"/>
        <v>3133</v>
      </c>
      <c r="B221" s="29"/>
      <c r="C221" s="29"/>
      <c r="D221" s="29"/>
      <c r="E221" s="29"/>
      <c r="F221" s="29">
        <v>2990</v>
      </c>
      <c r="G221" s="39"/>
      <c r="H221" s="40"/>
      <c r="I221" s="52"/>
      <c r="J221" s="53"/>
      <c r="K221" s="17"/>
      <c r="L221" s="39"/>
      <c r="M221" s="43"/>
      <c r="N221" s="45" t="s">
        <v>108</v>
      </c>
      <c r="O221" s="55"/>
      <c r="P221" s="56"/>
      <c r="Q221" s="74"/>
      <c r="R221" s="70"/>
      <c r="S221" s="19"/>
      <c r="T221" s="60"/>
      <c r="U221" s="59"/>
    </row>
    <row r="222" spans="1:21" ht="15" customHeight="1" x14ac:dyDescent="0.25">
      <c r="A222" s="1">
        <f t="shared" ca="1" si="11"/>
        <v>3134</v>
      </c>
      <c r="B222" s="29"/>
      <c r="C222" s="29"/>
      <c r="D222" s="29"/>
      <c r="E222" s="29"/>
      <c r="F222" s="29">
        <v>2994</v>
      </c>
      <c r="G222" s="39"/>
      <c r="H222" s="40"/>
      <c r="I222" s="52"/>
      <c r="J222" s="53"/>
      <c r="K222" s="17"/>
      <c r="L222" s="39"/>
      <c r="M222" s="43"/>
      <c r="N222" s="45" t="s">
        <v>108</v>
      </c>
      <c r="O222" s="55"/>
      <c r="P222" s="56"/>
      <c r="Q222" s="74"/>
      <c r="R222" s="70"/>
      <c r="S222" s="19"/>
      <c r="T222" s="60"/>
      <c r="U222" s="59"/>
    </row>
    <row r="223" spans="1:21" ht="15" customHeight="1" x14ac:dyDescent="0.25">
      <c r="A223" s="1">
        <f t="shared" ca="1" si="11"/>
        <v>3135</v>
      </c>
      <c r="B223" s="29"/>
      <c r="C223" s="29"/>
      <c r="D223" s="29"/>
      <c r="E223" s="29"/>
      <c r="F223" s="29">
        <v>2990</v>
      </c>
      <c r="G223" s="39"/>
      <c r="H223" s="40"/>
      <c r="I223" s="52"/>
      <c r="J223" s="53"/>
      <c r="K223" s="17"/>
      <c r="L223" s="39"/>
      <c r="M223" s="43"/>
      <c r="N223" s="45" t="s">
        <v>108</v>
      </c>
      <c r="O223" s="55"/>
      <c r="P223" s="56"/>
      <c r="Q223" s="74"/>
      <c r="R223" s="70"/>
      <c r="S223" s="19"/>
      <c r="T223" s="60"/>
      <c r="U223" s="59"/>
    </row>
    <row r="224" spans="1:21" x14ac:dyDescent="0.25">
      <c r="A224" s="1" t="str">
        <f t="shared" ca="1" si="11"/>
        <v>Totaal</v>
      </c>
      <c r="B224" s="61" t="str">
        <f>IF(COUNT(B193:B223)&gt;0,AVERAGE(B193:B223)/10,"")</f>
        <v/>
      </c>
      <c r="C224" s="62" t="str">
        <f>IF(COUNT(C193:C223)&gt;0,AVERAGE(C193:C223)/1000,"")</f>
        <v/>
      </c>
      <c r="D224" s="62" t="str">
        <f t="shared" ref="D224" si="12">IF(COUNT(D193:D223)&gt;0,AVERAGE(D193:D223)/1000,"")</f>
        <v/>
      </c>
      <c r="E224" s="62" t="str">
        <f t="shared" ref="E224" si="13">IF(COUNT(E193:E223)&gt;0,AVERAGE(E193:E223)/1000,"")</f>
        <v/>
      </c>
      <c r="F224" s="62">
        <f>IF(COUNT(F193:F223)&gt;0,AVERAGE(F193:F223)/100,"")</f>
        <v>29.958666666666669</v>
      </c>
      <c r="G224" s="41" t="str">
        <f>IF(COUNT(G193:G223)&gt;0,AVERAGE(G193:G223)/10,"")</f>
        <v/>
      </c>
      <c r="H224" s="42" t="str">
        <f t="shared" ref="H224" si="14">IF(COUNT(H193:H223)&gt;0,AVERAGE(H193:H223)/10,"")</f>
        <v/>
      </c>
      <c r="I224" s="18" t="str">
        <f>IF(COUNT(I193:I223)&gt;0,AVERAGE(I193:I223)/10,"")</f>
        <v/>
      </c>
      <c r="J224" s="54" t="str">
        <f>IF(COUNT(J193:J223)&gt;0,AVERAGE(J193:J223),"")</f>
        <v/>
      </c>
      <c r="K224" s="51" t="str">
        <f>IF(COUNT(K193:K223)&gt;0,AVERAGE(K193:K223)/1000,"")</f>
        <v/>
      </c>
      <c r="L224" s="41" t="str">
        <f>IF(COUNT(L193:L223)&gt;0,AVERAGE(L193:L223)/10,"")</f>
        <v/>
      </c>
      <c r="M224" s="44" t="str">
        <f>IF(COUNT(M193:M223)&gt;0,AVERAGE(M193:M223)/10,"")</f>
        <v/>
      </c>
      <c r="N224" s="46"/>
      <c r="O224" s="57" t="str">
        <f>IF(COUNT(O193:O223)&gt;0,AVERAGE(O193:O223),"")</f>
        <v/>
      </c>
      <c r="P224" s="58" t="str">
        <f>IF(COUNT(P193:P223)&gt;0,AVERAGE(P193:P223),"")</f>
        <v/>
      </c>
      <c r="Q224" s="47"/>
      <c r="R224" s="68" t="str">
        <f>IF(COUNT(R193:R223)&gt;0,SUM(R193:R223)/100,"")</f>
        <v/>
      </c>
      <c r="S224" s="64" t="str">
        <f>IF(COUNT(S193:S223)&gt;0,AVERAGE(S193:S223),"")</f>
        <v/>
      </c>
      <c r="T224" s="65" t="str">
        <f>IF(COUNT(T193:T223)&gt;0,AVERAGE(T193:T223),"")</f>
        <v/>
      </c>
      <c r="U224" s="66" t="str">
        <f>IF(COUNT(U193:U223)&gt;0,AVERAGE(U193:U223),"")</f>
        <v/>
      </c>
    </row>
    <row r="225" spans="1:21" ht="15" customHeight="1" x14ac:dyDescent="0.25">
      <c r="A225" s="1">
        <f t="shared" ca="1" si="11"/>
        <v>3136</v>
      </c>
      <c r="B225" s="29"/>
      <c r="C225" s="29"/>
      <c r="D225" s="29"/>
      <c r="E225" s="29"/>
      <c r="F225" s="29">
        <v>2992</v>
      </c>
      <c r="G225" s="39"/>
      <c r="H225" s="40"/>
      <c r="I225" s="52"/>
      <c r="J225" s="53"/>
      <c r="K225" s="17"/>
      <c r="L225" s="39"/>
      <c r="M225" s="43"/>
      <c r="N225" s="45" t="s">
        <v>108</v>
      </c>
      <c r="O225" s="55"/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3137</v>
      </c>
      <c r="B226" s="29"/>
      <c r="C226" s="29"/>
      <c r="D226" s="29"/>
      <c r="E226" s="29"/>
      <c r="F226" s="29">
        <v>2994</v>
      </c>
      <c r="G226" s="39"/>
      <c r="H226" s="40"/>
      <c r="I226" s="52"/>
      <c r="J226" s="53"/>
      <c r="K226" s="17"/>
      <c r="L226" s="39"/>
      <c r="M226" s="43"/>
      <c r="N226" s="45" t="s">
        <v>108</v>
      </c>
      <c r="O226" s="55"/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3138</v>
      </c>
      <c r="B227" s="29"/>
      <c r="C227" s="29"/>
      <c r="D227" s="29"/>
      <c r="E227" s="29"/>
      <c r="F227" s="29">
        <v>2992</v>
      </c>
      <c r="G227" s="39"/>
      <c r="H227" s="40"/>
      <c r="I227" s="52"/>
      <c r="J227" s="53"/>
      <c r="K227" s="17"/>
      <c r="L227" s="39"/>
      <c r="M227" s="43"/>
      <c r="N227" s="45" t="s">
        <v>108</v>
      </c>
      <c r="O227" s="55"/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3139</v>
      </c>
      <c r="B228" s="29"/>
      <c r="C228" s="29"/>
      <c r="D228" s="29"/>
      <c r="E228" s="29"/>
      <c r="F228" s="29"/>
      <c r="G228" s="39"/>
      <c r="H228" s="40"/>
      <c r="I228" s="52"/>
      <c r="J228" s="53"/>
      <c r="K228" s="17"/>
      <c r="L228" s="39"/>
      <c r="M228" s="43"/>
      <c r="N228" s="45"/>
      <c r="O228" s="55"/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3140</v>
      </c>
      <c r="B229" s="29"/>
      <c r="C229" s="29"/>
      <c r="D229" s="29"/>
      <c r="E229" s="29"/>
      <c r="F229" s="29">
        <v>2988</v>
      </c>
      <c r="G229" s="39"/>
      <c r="H229" s="40"/>
      <c r="I229" s="52"/>
      <c r="J229" s="53"/>
      <c r="K229" s="17"/>
      <c r="L229" s="39"/>
      <c r="M229" s="43"/>
      <c r="N229" s="45" t="s">
        <v>108</v>
      </c>
      <c r="O229" s="55"/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3141</v>
      </c>
      <c r="B230" s="29"/>
      <c r="C230" s="29"/>
      <c r="D230" s="29"/>
      <c r="E230" s="29"/>
      <c r="F230" s="29">
        <v>2990</v>
      </c>
      <c r="G230" s="39"/>
      <c r="H230" s="40"/>
      <c r="I230" s="52"/>
      <c r="J230" s="53"/>
      <c r="K230" s="17"/>
      <c r="L230" s="39"/>
      <c r="M230" s="43"/>
      <c r="N230" s="45" t="s">
        <v>110</v>
      </c>
      <c r="O230" s="55"/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3142</v>
      </c>
      <c r="B231" s="29"/>
      <c r="C231" s="29"/>
      <c r="D231" s="29"/>
      <c r="E231" s="29"/>
      <c r="F231" s="29">
        <v>2992</v>
      </c>
      <c r="G231" s="39"/>
      <c r="H231" s="40"/>
      <c r="I231" s="52"/>
      <c r="J231" s="53"/>
      <c r="K231" s="17"/>
      <c r="L231" s="39"/>
      <c r="M231" s="43"/>
      <c r="N231" s="45" t="s">
        <v>110</v>
      </c>
      <c r="O231" s="55"/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3143</v>
      </c>
      <c r="B232" s="29"/>
      <c r="C232" s="29"/>
      <c r="D232" s="29"/>
      <c r="E232" s="29"/>
      <c r="F232" s="29">
        <v>2990</v>
      </c>
      <c r="G232" s="39"/>
      <c r="H232" s="40"/>
      <c r="I232" s="52"/>
      <c r="J232" s="53"/>
      <c r="K232" s="17"/>
      <c r="L232" s="39"/>
      <c r="M232" s="43"/>
      <c r="N232" s="45" t="s">
        <v>108</v>
      </c>
      <c r="O232" s="55"/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3144</v>
      </c>
      <c r="B233" s="29"/>
      <c r="C233" s="29"/>
      <c r="D233" s="29"/>
      <c r="E233" s="29"/>
      <c r="F233" s="29">
        <v>2992</v>
      </c>
      <c r="G233" s="39"/>
      <c r="H233" s="40"/>
      <c r="I233" s="52"/>
      <c r="J233" s="53"/>
      <c r="K233" s="17"/>
      <c r="L233" s="39"/>
      <c r="M233" s="43"/>
      <c r="N233" s="45" t="s">
        <v>108</v>
      </c>
      <c r="O233" s="55"/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3145</v>
      </c>
      <c r="B234" s="29"/>
      <c r="C234" s="29"/>
      <c r="D234" s="29"/>
      <c r="E234" s="29"/>
      <c r="F234" s="29">
        <v>2990</v>
      </c>
      <c r="G234" s="39"/>
      <c r="H234" s="40"/>
      <c r="I234" s="52"/>
      <c r="J234" s="53"/>
      <c r="K234" s="17"/>
      <c r="L234" s="39"/>
      <c r="M234" s="43"/>
      <c r="N234" s="45" t="s">
        <v>108</v>
      </c>
      <c r="O234" s="55"/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3146</v>
      </c>
      <c r="B235" s="29"/>
      <c r="C235" s="29"/>
      <c r="D235" s="29"/>
      <c r="E235" s="29"/>
      <c r="F235" s="29">
        <v>2994</v>
      </c>
      <c r="G235" s="39"/>
      <c r="H235" s="40"/>
      <c r="I235" s="52"/>
      <c r="J235" s="53"/>
      <c r="K235" s="17"/>
      <c r="L235" s="39"/>
      <c r="M235" s="43"/>
      <c r="N235" s="45" t="s">
        <v>108</v>
      </c>
      <c r="O235" s="55"/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3147</v>
      </c>
      <c r="B236" s="29"/>
      <c r="C236" s="29"/>
      <c r="D236" s="29"/>
      <c r="E236" s="29"/>
      <c r="F236" s="29">
        <v>2994</v>
      </c>
      <c r="G236" s="39"/>
      <c r="H236" s="40"/>
      <c r="I236" s="52"/>
      <c r="J236" s="53"/>
      <c r="K236" s="17"/>
      <c r="L236" s="39"/>
      <c r="M236" s="43"/>
      <c r="N236" s="45" t="s">
        <v>108</v>
      </c>
      <c r="O236" s="55"/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3148</v>
      </c>
      <c r="B237" s="29"/>
      <c r="C237" s="29"/>
      <c r="D237" s="29"/>
      <c r="E237" s="29"/>
      <c r="F237" s="29">
        <v>2992</v>
      </c>
      <c r="G237" s="39"/>
      <c r="H237" s="40"/>
      <c r="I237" s="52"/>
      <c r="J237" s="53"/>
      <c r="K237" s="17"/>
      <c r="L237" s="39"/>
      <c r="M237" s="43"/>
      <c r="N237" s="45" t="s">
        <v>108</v>
      </c>
      <c r="O237" s="55"/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3149</v>
      </c>
      <c r="B238" s="29"/>
      <c r="C238" s="29"/>
      <c r="D238" s="29"/>
      <c r="E238" s="29"/>
      <c r="F238" s="29"/>
      <c r="G238" s="39"/>
      <c r="H238" s="40"/>
      <c r="I238" s="52"/>
      <c r="J238" s="53"/>
      <c r="K238" s="17"/>
      <c r="L238" s="39"/>
      <c r="M238" s="43"/>
      <c r="N238" s="45"/>
      <c r="O238" s="55"/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3150</v>
      </c>
      <c r="B239" s="29"/>
      <c r="C239" s="29"/>
      <c r="D239" s="29"/>
      <c r="E239" s="29"/>
      <c r="F239" s="29">
        <v>2992</v>
      </c>
      <c r="G239" s="39"/>
      <c r="H239" s="40"/>
      <c r="I239" s="52"/>
      <c r="J239" s="53"/>
      <c r="K239" s="17"/>
      <c r="L239" s="39"/>
      <c r="M239" s="43"/>
      <c r="N239" s="45" t="s">
        <v>108</v>
      </c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3151</v>
      </c>
      <c r="B240" s="29"/>
      <c r="C240" s="29"/>
      <c r="D240" s="29"/>
      <c r="E240" s="29"/>
      <c r="F240" s="29">
        <v>2996</v>
      </c>
      <c r="G240" s="39"/>
      <c r="H240" s="40"/>
      <c r="I240" s="52"/>
      <c r="J240" s="53"/>
      <c r="K240" s="17"/>
      <c r="L240" s="39"/>
      <c r="M240" s="43"/>
      <c r="N240" s="45" t="s">
        <v>108</v>
      </c>
      <c r="O240" s="55"/>
      <c r="P240" s="56"/>
      <c r="Q240" s="74"/>
      <c r="R240" s="70"/>
      <c r="S240" s="19"/>
      <c r="T240" s="60"/>
      <c r="U240" s="59"/>
    </row>
    <row r="241" spans="1:21" ht="15" customHeight="1" x14ac:dyDescent="0.25">
      <c r="A241" s="1">
        <f t="shared" ca="1" si="11"/>
        <v>3152</v>
      </c>
      <c r="B241" s="29"/>
      <c r="C241" s="29"/>
      <c r="D241" s="29"/>
      <c r="E241" s="29"/>
      <c r="F241" s="29">
        <v>2996</v>
      </c>
      <c r="G241" s="39"/>
      <c r="H241" s="40"/>
      <c r="I241" s="52"/>
      <c r="J241" s="53"/>
      <c r="K241" s="17"/>
      <c r="L241" s="39"/>
      <c r="M241" s="43"/>
      <c r="N241" s="45" t="s">
        <v>108</v>
      </c>
      <c r="O241" s="55"/>
      <c r="P241" s="56"/>
      <c r="Q241" s="74"/>
      <c r="R241" s="70"/>
      <c r="S241" s="19"/>
      <c r="T241" s="60"/>
      <c r="U241" s="59"/>
    </row>
    <row r="242" spans="1:21" ht="15" customHeight="1" x14ac:dyDescent="0.25">
      <c r="A242" s="1">
        <f t="shared" ca="1" si="11"/>
        <v>3153</v>
      </c>
      <c r="B242" s="29"/>
      <c r="C242" s="29"/>
      <c r="D242" s="29"/>
      <c r="E242" s="29"/>
      <c r="F242" s="29">
        <v>2994</v>
      </c>
      <c r="G242" s="39"/>
      <c r="H242" s="40"/>
      <c r="I242" s="52"/>
      <c r="J242" s="53"/>
      <c r="K242" s="17"/>
      <c r="L242" s="39"/>
      <c r="M242" s="43"/>
      <c r="N242" s="45" t="s">
        <v>108</v>
      </c>
      <c r="O242" s="55"/>
      <c r="P242" s="56"/>
      <c r="Q242" s="74"/>
      <c r="R242" s="70"/>
      <c r="S242" s="19"/>
      <c r="T242" s="60"/>
      <c r="U242" s="59"/>
    </row>
    <row r="243" spans="1:21" ht="15" customHeight="1" x14ac:dyDescent="0.25">
      <c r="A243" s="1">
        <f t="shared" ca="1" si="11"/>
        <v>3154</v>
      </c>
      <c r="B243" s="29"/>
      <c r="C243" s="29"/>
      <c r="D243" s="29"/>
      <c r="E243" s="29"/>
      <c r="F243" s="29">
        <v>2996</v>
      </c>
      <c r="G243" s="39"/>
      <c r="H243" s="40"/>
      <c r="I243" s="52"/>
      <c r="J243" s="53"/>
      <c r="K243" s="17"/>
      <c r="L243" s="39"/>
      <c r="M243" s="43"/>
      <c r="N243" s="45" t="s">
        <v>108</v>
      </c>
      <c r="O243" s="55"/>
      <c r="P243" s="56"/>
      <c r="Q243" s="74"/>
      <c r="R243" s="70"/>
      <c r="S243" s="19"/>
      <c r="T243" s="60"/>
      <c r="U243" s="59"/>
    </row>
    <row r="244" spans="1:21" ht="15" customHeight="1" x14ac:dyDescent="0.25">
      <c r="A244" s="1">
        <f t="shared" ca="1" si="11"/>
        <v>3155</v>
      </c>
      <c r="B244" s="29"/>
      <c r="C244" s="29"/>
      <c r="D244" s="29"/>
      <c r="E244" s="29"/>
      <c r="F244" s="29">
        <v>3000</v>
      </c>
      <c r="G244" s="39"/>
      <c r="H244" s="40"/>
      <c r="I244" s="52"/>
      <c r="J244" s="53"/>
      <c r="K244" s="17"/>
      <c r="L244" s="39"/>
      <c r="M244" s="43"/>
      <c r="N244" s="45" t="s">
        <v>110</v>
      </c>
      <c r="O244" s="55"/>
      <c r="P244" s="56"/>
      <c r="Q244" s="74"/>
      <c r="R244" s="70"/>
      <c r="S244" s="19"/>
      <c r="T244" s="60"/>
      <c r="U244" s="59"/>
    </row>
    <row r="245" spans="1:21" ht="15" customHeight="1" x14ac:dyDescent="0.25">
      <c r="A245" s="1">
        <f t="shared" ca="1" si="11"/>
        <v>3156</v>
      </c>
      <c r="B245" s="29"/>
      <c r="C245" s="29"/>
      <c r="D245" s="29"/>
      <c r="E245" s="29"/>
      <c r="F245" s="29">
        <v>2992</v>
      </c>
      <c r="G245" s="39"/>
      <c r="H245" s="40"/>
      <c r="I245" s="52"/>
      <c r="J245" s="53"/>
      <c r="K245" s="17"/>
      <c r="L245" s="39"/>
      <c r="M245" s="43"/>
      <c r="N245" s="45" t="s">
        <v>108</v>
      </c>
      <c r="O245" s="55"/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3157</v>
      </c>
      <c r="B246" s="29"/>
      <c r="C246" s="29"/>
      <c r="D246" s="29"/>
      <c r="E246" s="29"/>
      <c r="F246" s="29">
        <v>2996</v>
      </c>
      <c r="G246" s="39"/>
      <c r="H246" s="40"/>
      <c r="I246" s="52"/>
      <c r="J246" s="53"/>
      <c r="K246" s="17"/>
      <c r="L246" s="39"/>
      <c r="M246" s="43"/>
      <c r="N246" s="45" t="s">
        <v>108</v>
      </c>
      <c r="O246" s="55"/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3158</v>
      </c>
      <c r="B247" s="29"/>
      <c r="C247" s="29"/>
      <c r="D247" s="29"/>
      <c r="E247" s="29"/>
      <c r="F247" s="29">
        <v>2994</v>
      </c>
      <c r="G247" s="39"/>
      <c r="H247" s="40"/>
      <c r="I247" s="52"/>
      <c r="J247" s="53"/>
      <c r="K247" s="17"/>
      <c r="L247" s="39"/>
      <c r="M247" s="43"/>
      <c r="N247" s="45" t="s">
        <v>110</v>
      </c>
      <c r="O247" s="55"/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3159</v>
      </c>
      <c r="B248" s="29"/>
      <c r="C248" s="29"/>
      <c r="D248" s="29"/>
      <c r="E248" s="29"/>
      <c r="F248" s="29">
        <v>2996</v>
      </c>
      <c r="G248" s="39"/>
      <c r="H248" s="40"/>
      <c r="I248" s="52"/>
      <c r="J248" s="53"/>
      <c r="K248" s="17"/>
      <c r="L248" s="39"/>
      <c r="M248" s="43"/>
      <c r="N248" s="45" t="s">
        <v>110</v>
      </c>
      <c r="O248" s="55"/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3160</v>
      </c>
      <c r="B249" s="29"/>
      <c r="C249" s="29"/>
      <c r="D249" s="29"/>
      <c r="E249" s="29"/>
      <c r="F249" s="29">
        <v>2992</v>
      </c>
      <c r="G249" s="39"/>
      <c r="H249" s="40"/>
      <c r="I249" s="52"/>
      <c r="J249" s="53"/>
      <c r="K249" s="17"/>
      <c r="L249" s="39"/>
      <c r="M249" s="43"/>
      <c r="N249" s="45" t="s">
        <v>108</v>
      </c>
      <c r="O249" s="55"/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3161</v>
      </c>
      <c r="B250" s="29"/>
      <c r="C250" s="29"/>
      <c r="D250" s="29"/>
      <c r="E250" s="29"/>
      <c r="F250" s="29"/>
      <c r="G250" s="39"/>
      <c r="H250" s="40"/>
      <c r="I250" s="52"/>
      <c r="J250" s="53"/>
      <c r="K250" s="17"/>
      <c r="L250" s="39"/>
      <c r="M250" s="43"/>
      <c r="N250" s="45"/>
      <c r="O250" s="55"/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3162</v>
      </c>
      <c r="B251" s="29"/>
      <c r="C251" s="29"/>
      <c r="D251" s="29"/>
      <c r="E251" s="29"/>
      <c r="F251" s="29">
        <v>2994</v>
      </c>
      <c r="G251" s="39"/>
      <c r="H251" s="40"/>
      <c r="I251" s="52"/>
      <c r="J251" s="53"/>
      <c r="K251" s="17"/>
      <c r="L251" s="39"/>
      <c r="M251" s="43"/>
      <c r="N251" s="45" t="s">
        <v>108</v>
      </c>
      <c r="O251" s="55"/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3163</v>
      </c>
      <c r="B252" s="29"/>
      <c r="C252" s="29"/>
      <c r="D252" s="29"/>
      <c r="E252" s="29"/>
      <c r="F252" s="29">
        <v>2992</v>
      </c>
      <c r="G252" s="39"/>
      <c r="H252" s="40"/>
      <c r="I252" s="52"/>
      <c r="J252" s="53"/>
      <c r="K252" s="17"/>
      <c r="L252" s="39"/>
      <c r="M252" s="43"/>
      <c r="N252" s="45" t="s">
        <v>108</v>
      </c>
      <c r="O252" s="55"/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3164</v>
      </c>
      <c r="B253" s="29"/>
      <c r="C253" s="29"/>
      <c r="D253" s="29"/>
      <c r="E253" s="29"/>
      <c r="F253" s="29">
        <v>2992</v>
      </c>
      <c r="G253" s="39"/>
      <c r="H253" s="40"/>
      <c r="I253" s="52"/>
      <c r="J253" s="53"/>
      <c r="K253" s="17"/>
      <c r="L253" s="39"/>
      <c r="M253" s="43"/>
      <c r="N253" s="45" t="s">
        <v>108</v>
      </c>
      <c r="O253" s="55"/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3165</v>
      </c>
      <c r="B254" s="29"/>
      <c r="C254" s="29"/>
      <c r="D254" s="29"/>
      <c r="E254" s="29"/>
      <c r="F254" s="29">
        <v>2994</v>
      </c>
      <c r="G254" s="39"/>
      <c r="H254" s="40"/>
      <c r="I254" s="52"/>
      <c r="J254" s="53"/>
      <c r="K254" s="17"/>
      <c r="L254" s="39"/>
      <c r="M254" s="43"/>
      <c r="N254" s="45" t="s">
        <v>110</v>
      </c>
      <c r="O254" s="55"/>
      <c r="P254" s="56"/>
      <c r="Q254" s="74"/>
      <c r="R254" s="70"/>
      <c r="S254" s="19"/>
      <c r="T254" s="60"/>
      <c r="U254" s="59"/>
    </row>
    <row r="255" spans="1:21" ht="15" customHeight="1" x14ac:dyDescent="0.25">
      <c r="A255" s="1">
        <f t="shared" ca="1" si="11"/>
        <v>3166</v>
      </c>
      <c r="B255" s="29"/>
      <c r="C255" s="29"/>
      <c r="D255" s="29"/>
      <c r="E255" s="29"/>
      <c r="F255" s="29">
        <v>2998</v>
      </c>
      <c r="G255" s="39"/>
      <c r="H255" s="40"/>
      <c r="I255" s="52"/>
      <c r="J255" s="53"/>
      <c r="K255" s="17"/>
      <c r="L255" s="39"/>
      <c r="M255" s="43"/>
      <c r="N255" s="45" t="s">
        <v>108</v>
      </c>
      <c r="O255" s="55"/>
      <c r="P255" s="56"/>
      <c r="Q255" s="74"/>
      <c r="R255" s="70"/>
      <c r="S255" s="19"/>
      <c r="T255" s="60"/>
      <c r="U255" s="59"/>
    </row>
    <row r="256" spans="1:21" x14ac:dyDescent="0.25">
      <c r="A256" s="1" t="str">
        <f t="shared" ca="1" si="11"/>
        <v>Totaal</v>
      </c>
      <c r="B256" s="61" t="str">
        <f>IF(COUNT(B225:B255)&gt;0,AVERAGE(B225:B255)/10,"")</f>
        <v/>
      </c>
      <c r="C256" s="62" t="str">
        <f>IF(COUNT(C225:C255)&gt;0,AVERAGE(C225:C255)/1000,"")</f>
        <v/>
      </c>
      <c r="D256" s="62" t="str">
        <f t="shared" ref="D256" si="15">IF(COUNT(D225:D255)&gt;0,AVERAGE(D225:D255)/1000,"")</f>
        <v/>
      </c>
      <c r="E256" s="62" t="str">
        <f t="shared" ref="E256" si="16">IF(COUNT(E225:E255)&gt;0,AVERAGE(E225:E255)/1000,"")</f>
        <v/>
      </c>
      <c r="F256" s="62">
        <f>IF(COUNT(F225:F255)&gt;0,AVERAGE(F225:F255)/100,"")</f>
        <v>29.933571428571426</v>
      </c>
      <c r="G256" s="41" t="str">
        <f>IF(COUNT(G225:G255)&gt;0,AVERAGE(G225:G255)/10,"")</f>
        <v/>
      </c>
      <c r="H256" s="42" t="str">
        <f t="shared" ref="H256" si="17">IF(COUNT(H225:H255)&gt;0,AVERAGE(H225:H255)/10,"")</f>
        <v/>
      </c>
      <c r="I256" s="18" t="str">
        <f>IF(COUNT(I225:I255)&gt;0,AVERAGE(I225:I255)/10,"")</f>
        <v/>
      </c>
      <c r="J256" s="54" t="str">
        <f>IF(COUNT(J225:J255)&gt;0,AVERAGE(J225:J255),"")</f>
        <v/>
      </c>
      <c r="K256" s="51" t="str">
        <f>IF(COUNT(K225:K255)&gt;0,AVERAGE(K225:K255)/1000,"")</f>
        <v/>
      </c>
      <c r="L256" s="41" t="str">
        <f>IF(COUNT(L225:L255)&gt;0,AVERAGE(L225:L255)/10,"")</f>
        <v/>
      </c>
      <c r="M256" s="44" t="str">
        <f>IF(COUNT(M225:M255)&gt;0,AVERAGE(M225:M255)/10,"")</f>
        <v/>
      </c>
      <c r="N256" s="46"/>
      <c r="O256" s="57" t="str">
        <f>IF(COUNT(O225:O255)&gt;0,AVERAGE(O225:O255),"")</f>
        <v/>
      </c>
      <c r="P256" s="58" t="str">
        <f>IF(COUNT(P225:P255)&gt;0,AVERAGE(P225:P255),"")</f>
        <v/>
      </c>
      <c r="Q256" s="47"/>
      <c r="R256" s="68" t="str">
        <f>IF(COUNT(R225:R255)&gt;0,SUM(R225:R255)/100,"")</f>
        <v/>
      </c>
      <c r="S256" s="64" t="str">
        <f>IF(COUNT(S225:S255)&gt;0,AVERAGE(S225:S255),"")</f>
        <v/>
      </c>
      <c r="T256" s="65" t="str">
        <f>IF(COUNT(T225:T255)&gt;0,AVERAGE(T225:T255),"")</f>
        <v/>
      </c>
      <c r="U256" s="66" t="str">
        <f>IF(COUNT(U225:U255)&gt;0,AVERAGE(U225:U255),"")</f>
        <v/>
      </c>
    </row>
    <row r="257" spans="1:21" ht="15" customHeight="1" x14ac:dyDescent="0.25">
      <c r="A257" s="1">
        <f t="shared" ca="1" si="11"/>
        <v>3167</v>
      </c>
      <c r="B257" s="29"/>
      <c r="C257" s="29"/>
      <c r="D257" s="29"/>
      <c r="E257" s="29"/>
      <c r="F257" s="29">
        <v>2994</v>
      </c>
      <c r="G257" s="39"/>
      <c r="H257" s="40"/>
      <c r="I257" s="52"/>
      <c r="J257" s="53"/>
      <c r="K257" s="17"/>
      <c r="L257" s="39"/>
      <c r="M257" s="43"/>
      <c r="N257" s="45" t="s">
        <v>108</v>
      </c>
      <c r="O257" s="55"/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3168</v>
      </c>
      <c r="B258" s="29"/>
      <c r="C258" s="29"/>
      <c r="D258" s="29"/>
      <c r="E258" s="29"/>
      <c r="F258" s="29">
        <v>2992</v>
      </c>
      <c r="G258" s="39"/>
      <c r="H258" s="40"/>
      <c r="I258" s="52"/>
      <c r="J258" s="53"/>
      <c r="K258" s="17"/>
      <c r="L258" s="39"/>
      <c r="M258" s="43"/>
      <c r="N258" s="45" t="s">
        <v>108</v>
      </c>
      <c r="O258" s="55"/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3169</v>
      </c>
      <c r="B259" s="29"/>
      <c r="C259" s="29"/>
      <c r="D259" s="29"/>
      <c r="E259" s="29"/>
      <c r="F259" s="29">
        <v>2990</v>
      </c>
      <c r="G259" s="39"/>
      <c r="H259" s="40"/>
      <c r="I259" s="52"/>
      <c r="J259" s="53"/>
      <c r="K259" s="17"/>
      <c r="L259" s="39"/>
      <c r="M259" s="43"/>
      <c r="N259" s="45" t="s">
        <v>108</v>
      </c>
      <c r="O259" s="55"/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3170</v>
      </c>
      <c r="B260" s="29"/>
      <c r="C260" s="29"/>
      <c r="D260" s="29"/>
      <c r="E260" s="29"/>
      <c r="F260" s="29">
        <v>2994</v>
      </c>
      <c r="G260" s="39"/>
      <c r="H260" s="40"/>
      <c r="I260" s="52"/>
      <c r="J260" s="53"/>
      <c r="K260" s="17"/>
      <c r="L260" s="39"/>
      <c r="M260" s="43"/>
      <c r="N260" s="45" t="s">
        <v>108</v>
      </c>
      <c r="O260" s="55"/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3171</v>
      </c>
      <c r="B261" s="29"/>
      <c r="C261" s="29"/>
      <c r="D261" s="29"/>
      <c r="E261" s="29"/>
      <c r="F261" s="29">
        <v>2992</v>
      </c>
      <c r="G261" s="39"/>
      <c r="H261" s="40"/>
      <c r="I261" s="52"/>
      <c r="J261" s="53"/>
      <c r="K261" s="17"/>
      <c r="L261" s="39"/>
      <c r="M261" s="43"/>
      <c r="N261" s="45" t="s">
        <v>110</v>
      </c>
      <c r="O261" s="55"/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3172</v>
      </c>
      <c r="B262" s="29"/>
      <c r="C262" s="29"/>
      <c r="D262" s="29"/>
      <c r="E262" s="29"/>
      <c r="F262" s="29">
        <v>2990</v>
      </c>
      <c r="G262" s="39"/>
      <c r="H262" s="40"/>
      <c r="I262" s="52"/>
      <c r="J262" s="53"/>
      <c r="K262" s="17"/>
      <c r="L262" s="39"/>
      <c r="M262" s="43"/>
      <c r="N262" s="45" t="s">
        <v>108</v>
      </c>
      <c r="O262" s="55"/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ca="1" si="11"/>
        <v>3173</v>
      </c>
      <c r="B263" s="29"/>
      <c r="C263" s="29"/>
      <c r="D263" s="29"/>
      <c r="E263" s="29"/>
      <c r="F263" s="29"/>
      <c r="G263" s="39"/>
      <c r="H263" s="40"/>
      <c r="I263" s="52"/>
      <c r="J263" s="53"/>
      <c r="K263" s="17"/>
      <c r="L263" s="39"/>
      <c r="M263" s="43"/>
      <c r="N263" s="45"/>
      <c r="O263" s="55"/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ref="A264:A327" ca="1" si="18">IF(ISTEXT(A263),A262+1,IF(MONTH(A263+1)=MONTH(A263),A263+1,"Totaal"))</f>
        <v>3174</v>
      </c>
      <c r="B264" s="29"/>
      <c r="C264" s="29"/>
      <c r="D264" s="29"/>
      <c r="E264" s="29"/>
      <c r="F264" s="29">
        <v>2990</v>
      </c>
      <c r="G264" s="39"/>
      <c r="H264" s="40"/>
      <c r="I264" s="52"/>
      <c r="J264" s="53"/>
      <c r="K264" s="17"/>
      <c r="L264" s="39"/>
      <c r="M264" s="43"/>
      <c r="N264" s="45" t="s">
        <v>108</v>
      </c>
      <c r="O264" s="55"/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3175</v>
      </c>
      <c r="B265" s="29"/>
      <c r="C265" s="29"/>
      <c r="D265" s="29"/>
      <c r="E265" s="29"/>
      <c r="F265" s="29">
        <v>2988</v>
      </c>
      <c r="G265" s="39"/>
      <c r="H265" s="40"/>
      <c r="I265" s="52"/>
      <c r="J265" s="53"/>
      <c r="K265" s="17"/>
      <c r="L265" s="39"/>
      <c r="M265" s="43"/>
      <c r="N265" s="45" t="s">
        <v>110</v>
      </c>
      <c r="O265" s="55"/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3176</v>
      </c>
      <c r="B266" s="29"/>
      <c r="C266" s="29"/>
      <c r="D266" s="29"/>
      <c r="E266" s="29"/>
      <c r="F266" s="29">
        <v>2988</v>
      </c>
      <c r="G266" s="39"/>
      <c r="H266" s="40"/>
      <c r="I266" s="52"/>
      <c r="J266" s="53"/>
      <c r="K266" s="17"/>
      <c r="L266" s="39"/>
      <c r="M266" s="43"/>
      <c r="N266" s="45" t="s">
        <v>112</v>
      </c>
      <c r="O266" s="55"/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3177</v>
      </c>
      <c r="B267" s="29"/>
      <c r="C267" s="29"/>
      <c r="D267" s="29"/>
      <c r="E267" s="29"/>
      <c r="F267" s="29"/>
      <c r="G267" s="39"/>
      <c r="H267" s="40"/>
      <c r="I267" s="52"/>
      <c r="J267" s="53"/>
      <c r="K267" s="17"/>
      <c r="L267" s="39"/>
      <c r="M267" s="43"/>
      <c r="N267" s="45"/>
      <c r="O267" s="55"/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3178</v>
      </c>
      <c r="B268" s="29"/>
      <c r="C268" s="29"/>
      <c r="D268" s="29"/>
      <c r="E268" s="29"/>
      <c r="F268" s="29">
        <v>2990</v>
      </c>
      <c r="G268" s="39"/>
      <c r="H268" s="40"/>
      <c r="I268" s="52"/>
      <c r="J268" s="53"/>
      <c r="K268" s="17"/>
      <c r="L268" s="39"/>
      <c r="M268" s="43"/>
      <c r="N268" s="45" t="s">
        <v>110</v>
      </c>
      <c r="O268" s="55"/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3179</v>
      </c>
      <c r="B269" s="29"/>
      <c r="C269" s="29"/>
      <c r="D269" s="29"/>
      <c r="E269" s="29"/>
      <c r="F269" s="29">
        <v>2986</v>
      </c>
      <c r="G269" s="39"/>
      <c r="H269" s="40"/>
      <c r="I269" s="52"/>
      <c r="J269" s="53"/>
      <c r="K269" s="17"/>
      <c r="L269" s="39"/>
      <c r="M269" s="43"/>
      <c r="N269" s="45" t="s">
        <v>110</v>
      </c>
      <c r="O269" s="55"/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3180</v>
      </c>
      <c r="B270" s="29"/>
      <c r="C270" s="29"/>
      <c r="D270" s="29"/>
      <c r="E270" s="29"/>
      <c r="F270" s="29">
        <v>2986</v>
      </c>
      <c r="G270" s="39"/>
      <c r="H270" s="40"/>
      <c r="I270" s="52"/>
      <c r="J270" s="53"/>
      <c r="K270" s="17"/>
      <c r="L270" s="39"/>
      <c r="M270" s="43"/>
      <c r="N270" s="45" t="s">
        <v>110</v>
      </c>
      <c r="O270" s="55"/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3181</v>
      </c>
      <c r="B271" s="29"/>
      <c r="C271" s="29"/>
      <c r="D271" s="29"/>
      <c r="E271" s="29"/>
      <c r="F271" s="29">
        <v>2990</v>
      </c>
      <c r="G271" s="39"/>
      <c r="H271" s="40"/>
      <c r="I271" s="52"/>
      <c r="J271" s="53"/>
      <c r="K271" s="17"/>
      <c r="L271" s="39"/>
      <c r="M271" s="43"/>
      <c r="N271" s="45" t="s">
        <v>110</v>
      </c>
      <c r="O271" s="55"/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3182</v>
      </c>
      <c r="B272" s="29"/>
      <c r="C272" s="29"/>
      <c r="D272" s="29"/>
      <c r="E272" s="29"/>
      <c r="F272" s="29">
        <v>2990</v>
      </c>
      <c r="G272" s="39"/>
      <c r="H272" s="40"/>
      <c r="I272" s="52"/>
      <c r="J272" s="53"/>
      <c r="K272" s="17"/>
      <c r="L272" s="39"/>
      <c r="M272" s="43"/>
      <c r="N272" s="45" t="s">
        <v>108</v>
      </c>
      <c r="O272" s="55"/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3183</v>
      </c>
      <c r="B273" s="29"/>
      <c r="C273" s="29"/>
      <c r="D273" s="29"/>
      <c r="E273" s="29"/>
      <c r="F273" s="29">
        <v>2990</v>
      </c>
      <c r="G273" s="39"/>
      <c r="H273" s="40"/>
      <c r="I273" s="52"/>
      <c r="J273" s="53"/>
      <c r="K273" s="17"/>
      <c r="L273" s="39"/>
      <c r="M273" s="43"/>
      <c r="N273" s="45" t="s">
        <v>110</v>
      </c>
      <c r="O273" s="55"/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3184</v>
      </c>
      <c r="B274" s="29"/>
      <c r="C274" s="29"/>
      <c r="D274" s="29"/>
      <c r="E274" s="29"/>
      <c r="F274" s="29">
        <v>2988</v>
      </c>
      <c r="G274" s="39"/>
      <c r="H274" s="40"/>
      <c r="I274" s="52"/>
      <c r="J274" s="53"/>
      <c r="K274" s="17"/>
      <c r="L274" s="39"/>
      <c r="M274" s="43"/>
      <c r="N274" s="45" t="s">
        <v>110</v>
      </c>
      <c r="O274" s="55"/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3185</v>
      </c>
      <c r="B275" s="29"/>
      <c r="C275" s="29"/>
      <c r="D275" s="29"/>
      <c r="E275" s="29"/>
      <c r="F275" s="29">
        <v>2990</v>
      </c>
      <c r="G275" s="39"/>
      <c r="H275" s="40"/>
      <c r="I275" s="52"/>
      <c r="J275" s="53"/>
      <c r="K275" s="17"/>
      <c r="L275" s="39"/>
      <c r="M275" s="43"/>
      <c r="N275" s="45" t="s">
        <v>108</v>
      </c>
      <c r="O275" s="55"/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3186</v>
      </c>
      <c r="B276" s="29"/>
      <c r="C276" s="29"/>
      <c r="D276" s="29"/>
      <c r="E276" s="29"/>
      <c r="F276" s="29">
        <v>2992</v>
      </c>
      <c r="G276" s="39"/>
      <c r="H276" s="40"/>
      <c r="I276" s="52"/>
      <c r="J276" s="53"/>
      <c r="K276" s="17"/>
      <c r="L276" s="39"/>
      <c r="M276" s="43"/>
      <c r="N276" s="45" t="s">
        <v>108</v>
      </c>
      <c r="O276" s="55"/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3187</v>
      </c>
      <c r="B277" s="29"/>
      <c r="C277" s="29"/>
      <c r="D277" s="29"/>
      <c r="E277" s="29"/>
      <c r="F277" s="29">
        <v>2988</v>
      </c>
      <c r="G277" s="39"/>
      <c r="H277" s="40"/>
      <c r="I277" s="52"/>
      <c r="J277" s="53"/>
      <c r="K277" s="17"/>
      <c r="L277" s="39"/>
      <c r="M277" s="43"/>
      <c r="N277" s="45" t="s">
        <v>110</v>
      </c>
      <c r="O277" s="55"/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3188</v>
      </c>
      <c r="B278" s="29"/>
      <c r="C278" s="29"/>
      <c r="D278" s="29"/>
      <c r="E278" s="29"/>
      <c r="F278" s="29">
        <v>2988</v>
      </c>
      <c r="G278" s="39"/>
      <c r="H278" s="40"/>
      <c r="I278" s="52"/>
      <c r="J278" s="53"/>
      <c r="K278" s="17"/>
      <c r="L278" s="39"/>
      <c r="M278" s="43"/>
      <c r="N278" s="45" t="s">
        <v>108</v>
      </c>
      <c r="O278" s="55"/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3189</v>
      </c>
      <c r="B279" s="29"/>
      <c r="C279" s="29"/>
      <c r="D279" s="29"/>
      <c r="E279" s="29"/>
      <c r="F279" s="29">
        <v>2988</v>
      </c>
      <c r="G279" s="39"/>
      <c r="H279" s="40"/>
      <c r="I279" s="52"/>
      <c r="J279" s="53"/>
      <c r="K279" s="17"/>
      <c r="L279" s="39"/>
      <c r="M279" s="43"/>
      <c r="N279" s="45" t="s">
        <v>108</v>
      </c>
      <c r="O279" s="55"/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3190</v>
      </c>
      <c r="B280" s="29"/>
      <c r="C280" s="29"/>
      <c r="D280" s="29"/>
      <c r="E280" s="29"/>
      <c r="F280" s="29">
        <v>2988</v>
      </c>
      <c r="G280" s="39"/>
      <c r="H280" s="40"/>
      <c r="I280" s="52"/>
      <c r="J280" s="53"/>
      <c r="K280" s="17"/>
      <c r="L280" s="39"/>
      <c r="M280" s="43"/>
      <c r="N280" s="45" t="s">
        <v>108</v>
      </c>
      <c r="O280" s="55"/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3191</v>
      </c>
      <c r="B281" s="29"/>
      <c r="C281" s="29"/>
      <c r="D281" s="29"/>
      <c r="E281" s="29"/>
      <c r="F281" s="29">
        <v>2984</v>
      </c>
      <c r="G281" s="39"/>
      <c r="H281" s="40"/>
      <c r="I281" s="52"/>
      <c r="J281" s="53"/>
      <c r="K281" s="17"/>
      <c r="L281" s="39"/>
      <c r="M281" s="43"/>
      <c r="N281" s="45" t="s">
        <v>108</v>
      </c>
      <c r="O281" s="55"/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3192</v>
      </c>
      <c r="B282" s="29"/>
      <c r="C282" s="29"/>
      <c r="D282" s="29"/>
      <c r="E282" s="29"/>
      <c r="F282" s="29">
        <v>2986</v>
      </c>
      <c r="G282" s="39"/>
      <c r="H282" s="40"/>
      <c r="I282" s="52"/>
      <c r="J282" s="53"/>
      <c r="K282" s="17"/>
      <c r="L282" s="39"/>
      <c r="M282" s="43"/>
      <c r="N282" s="45" t="s">
        <v>114</v>
      </c>
      <c r="O282" s="55"/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3193</v>
      </c>
      <c r="B283" s="29"/>
      <c r="C283" s="29"/>
      <c r="D283" s="29"/>
      <c r="E283" s="29"/>
      <c r="F283" s="29">
        <v>2988</v>
      </c>
      <c r="G283" s="39"/>
      <c r="H283" s="40"/>
      <c r="I283" s="52"/>
      <c r="J283" s="53"/>
      <c r="K283" s="17"/>
      <c r="L283" s="39"/>
      <c r="M283" s="43"/>
      <c r="N283" s="45" t="s">
        <v>114</v>
      </c>
      <c r="O283" s="55"/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3194</v>
      </c>
      <c r="B284" s="29"/>
      <c r="C284" s="29"/>
      <c r="D284" s="29"/>
      <c r="E284" s="29"/>
      <c r="F284" s="29">
        <v>2986</v>
      </c>
      <c r="G284" s="39"/>
      <c r="H284" s="40"/>
      <c r="I284" s="52"/>
      <c r="J284" s="53"/>
      <c r="K284" s="17"/>
      <c r="L284" s="39"/>
      <c r="M284" s="43"/>
      <c r="N284" s="45" t="s">
        <v>110</v>
      </c>
      <c r="O284" s="55"/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3195</v>
      </c>
      <c r="B285" s="29"/>
      <c r="C285" s="29"/>
      <c r="D285" s="29"/>
      <c r="E285" s="29"/>
      <c r="F285" s="29"/>
      <c r="G285" s="39"/>
      <c r="H285" s="40"/>
      <c r="I285" s="52"/>
      <c r="J285" s="53"/>
      <c r="K285" s="17"/>
      <c r="L285" s="39"/>
      <c r="M285" s="43"/>
      <c r="N285" s="45"/>
      <c r="O285" s="55"/>
      <c r="P285" s="56"/>
      <c r="Q285" s="74"/>
      <c r="R285" s="70"/>
      <c r="S285" s="19"/>
      <c r="T285" s="60"/>
      <c r="U285" s="59"/>
    </row>
    <row r="286" spans="1:21" ht="15" customHeight="1" x14ac:dyDescent="0.25">
      <c r="A286" s="1">
        <f t="shared" ca="1" si="18"/>
        <v>3196</v>
      </c>
      <c r="B286" s="29"/>
      <c r="C286" s="29"/>
      <c r="D286" s="29"/>
      <c r="E286" s="29"/>
      <c r="F286" s="29"/>
      <c r="G286" s="39"/>
      <c r="H286" s="40"/>
      <c r="I286" s="52"/>
      <c r="J286" s="53"/>
      <c r="K286" s="17"/>
      <c r="L286" s="39"/>
      <c r="M286" s="43"/>
      <c r="N286" s="45"/>
      <c r="O286" s="55"/>
      <c r="P286" s="56"/>
      <c r="Q286" s="74"/>
      <c r="R286" s="70"/>
      <c r="S286" s="19"/>
      <c r="T286" s="60"/>
      <c r="U286" s="59"/>
    </row>
    <row r="287" spans="1:21" x14ac:dyDescent="0.25">
      <c r="A287" s="1" t="str">
        <f t="shared" ca="1" si="18"/>
        <v>Totaal</v>
      </c>
      <c r="B287" s="61" t="str">
        <f>IF(COUNT(B257:B286)&gt;0,AVERAGE(B257:B286)/10,"")</f>
        <v/>
      </c>
      <c r="C287" s="62" t="str">
        <f>IF(COUNT(C257:C286)&gt;0,AVERAGE(C257:C286)/1000,"")</f>
        <v/>
      </c>
      <c r="D287" s="62" t="str">
        <f>IF(COUNT(D257:D286)&gt;0,AVERAGE(D257:D286)/1000,"")</f>
        <v/>
      </c>
      <c r="E287" s="62" t="str">
        <f>IF(COUNT(E257:E286)&gt;0,AVERAGE(E257:E286)/1000,"")</f>
        <v/>
      </c>
      <c r="F287" s="62">
        <f>IF(COUNT(F257:F286)&gt;0,AVERAGE(F257:F286)/100,"")</f>
        <v>29.89076923076923</v>
      </c>
      <c r="G287" s="41" t="str">
        <f>IF(COUNT(G257:G286)&gt;0,AVERAGE(G257:G286)/10,"")</f>
        <v/>
      </c>
      <c r="H287" s="42" t="str">
        <f>IF(COUNT(H257:H286)&gt;0,AVERAGE(H257:H286)/10,"")</f>
        <v/>
      </c>
      <c r="I287" s="18" t="str">
        <f>IF(COUNT(I257:I286)&gt;0,AVERAGE(I257:I286)/10,"")</f>
        <v/>
      </c>
      <c r="J287" s="54" t="str">
        <f>IF(COUNT(J257:J286)&gt;0,AVERAGE(J257:J286),"")</f>
        <v/>
      </c>
      <c r="K287" s="51" t="str">
        <f>IF(COUNT(K257:K286)&gt;0,AVERAGE(K257:K286)/1000,"")</f>
        <v/>
      </c>
      <c r="L287" s="41" t="str">
        <f>IF(COUNT(L257:L286)&gt;0,AVERAGE(L257:L286)/10,"")</f>
        <v/>
      </c>
      <c r="M287" s="44" t="str">
        <f>IF(COUNT(M257:M286)&gt;0,AVERAGE(M257:M286)/10,"")</f>
        <v/>
      </c>
      <c r="N287" s="46"/>
      <c r="O287" s="57" t="str">
        <f>IF(COUNT(O257:O286)&gt;0,AVERAGE(O257:O286),"")</f>
        <v/>
      </c>
      <c r="P287" s="58" t="str">
        <f>IF(COUNT(P257:P286)&gt;0,AVERAGE(P257:P286),"")</f>
        <v/>
      </c>
      <c r="Q287" s="47"/>
      <c r="R287" s="68" t="str">
        <f>IF(COUNT(R257:R286)&gt;0,SUM(R257:R286)/100,"")</f>
        <v/>
      </c>
      <c r="S287" s="64" t="str">
        <f>IF(COUNT(S257:S286)&gt;0,AVERAGE(S257:S286),"")</f>
        <v/>
      </c>
      <c r="T287" s="65" t="str">
        <f>IF(COUNT(T257:T286)&gt;0,AVERAGE(T257:T286),"")</f>
        <v/>
      </c>
      <c r="U287" s="66" t="str">
        <f>IF(COUNT(U257:U286)&gt;0,AVERAGE(U257:U286),"")</f>
        <v/>
      </c>
    </row>
    <row r="288" spans="1:21" ht="15" customHeight="1" x14ac:dyDescent="0.25">
      <c r="A288" s="1">
        <f t="shared" ca="1" si="18"/>
        <v>3197</v>
      </c>
      <c r="B288" s="29"/>
      <c r="C288" s="29"/>
      <c r="D288" s="29"/>
      <c r="E288" s="29"/>
      <c r="F288" s="29"/>
      <c r="G288" s="39"/>
      <c r="H288" s="40"/>
      <c r="I288" s="52"/>
      <c r="J288" s="53"/>
      <c r="K288" s="17"/>
      <c r="L288" s="39"/>
      <c r="M288" s="43"/>
      <c r="N288" s="45"/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3198</v>
      </c>
      <c r="B289" s="29"/>
      <c r="C289" s="29"/>
      <c r="D289" s="29"/>
      <c r="E289" s="29"/>
      <c r="F289" s="29"/>
      <c r="G289" s="39"/>
      <c r="H289" s="40"/>
      <c r="I289" s="52"/>
      <c r="J289" s="53"/>
      <c r="K289" s="17"/>
      <c r="L289" s="39"/>
      <c r="M289" s="43"/>
      <c r="N289" s="45"/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3199</v>
      </c>
      <c r="B290" s="29"/>
      <c r="C290" s="29"/>
      <c r="D290" s="29"/>
      <c r="E290" s="29"/>
      <c r="F290" s="29">
        <v>2988</v>
      </c>
      <c r="G290" s="39"/>
      <c r="H290" s="40"/>
      <c r="I290" s="52"/>
      <c r="J290" s="53"/>
      <c r="K290" s="17"/>
      <c r="L290" s="39"/>
      <c r="M290" s="43"/>
      <c r="N290" s="45" t="s">
        <v>108</v>
      </c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3200</v>
      </c>
      <c r="B291" s="29"/>
      <c r="C291" s="29"/>
      <c r="D291" s="29"/>
      <c r="E291" s="29"/>
      <c r="F291" s="29">
        <v>2986</v>
      </c>
      <c r="G291" s="39"/>
      <c r="H291" s="40"/>
      <c r="I291" s="52"/>
      <c r="J291" s="53"/>
      <c r="K291" s="17"/>
      <c r="L291" s="39"/>
      <c r="M291" s="43"/>
      <c r="N291" s="45" t="s">
        <v>108</v>
      </c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3201</v>
      </c>
      <c r="B292" s="29"/>
      <c r="C292" s="29"/>
      <c r="D292" s="29"/>
      <c r="E292" s="29"/>
      <c r="F292" s="29">
        <v>2988</v>
      </c>
      <c r="G292" s="39"/>
      <c r="H292" s="40"/>
      <c r="I292" s="52"/>
      <c r="J292" s="53"/>
      <c r="K292" s="17"/>
      <c r="L292" s="39"/>
      <c r="M292" s="43"/>
      <c r="N292" s="45" t="s">
        <v>108</v>
      </c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3202</v>
      </c>
      <c r="B293" s="29"/>
      <c r="C293" s="29"/>
      <c r="D293" s="29"/>
      <c r="E293" s="29"/>
      <c r="F293" s="29">
        <v>2984</v>
      </c>
      <c r="G293" s="39"/>
      <c r="H293" s="40"/>
      <c r="I293" s="52"/>
      <c r="J293" s="53"/>
      <c r="K293" s="17"/>
      <c r="L293" s="39"/>
      <c r="M293" s="43"/>
      <c r="N293" s="45" t="s">
        <v>110</v>
      </c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3203</v>
      </c>
      <c r="B294" s="29"/>
      <c r="C294" s="29"/>
      <c r="D294" s="29"/>
      <c r="E294" s="29"/>
      <c r="F294" s="29">
        <v>2984</v>
      </c>
      <c r="G294" s="39"/>
      <c r="H294" s="40"/>
      <c r="I294" s="52"/>
      <c r="J294" s="53"/>
      <c r="K294" s="17"/>
      <c r="L294" s="39"/>
      <c r="M294" s="43"/>
      <c r="N294" s="45" t="s">
        <v>110</v>
      </c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3204</v>
      </c>
      <c r="B295" s="29"/>
      <c r="C295" s="29"/>
      <c r="D295" s="29"/>
      <c r="E295" s="29"/>
      <c r="F295" s="29">
        <v>2988</v>
      </c>
      <c r="G295" s="39"/>
      <c r="H295" s="40"/>
      <c r="I295" s="52"/>
      <c r="J295" s="53"/>
      <c r="K295" s="17"/>
      <c r="L295" s="39"/>
      <c r="M295" s="43"/>
      <c r="N295" s="45" t="s">
        <v>108</v>
      </c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3205</v>
      </c>
      <c r="B296" s="29"/>
      <c r="C296" s="29"/>
      <c r="D296" s="29"/>
      <c r="E296" s="29"/>
      <c r="F296" s="29">
        <v>2990</v>
      </c>
      <c r="G296" s="39"/>
      <c r="H296" s="40"/>
      <c r="I296" s="52"/>
      <c r="J296" s="53"/>
      <c r="K296" s="17"/>
      <c r="L296" s="39"/>
      <c r="M296" s="43"/>
      <c r="N296" s="45" t="s">
        <v>108</v>
      </c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3206</v>
      </c>
      <c r="B297" s="29"/>
      <c r="C297" s="29"/>
      <c r="D297" s="29"/>
      <c r="E297" s="29"/>
      <c r="F297" s="29">
        <v>2986</v>
      </c>
      <c r="G297" s="39"/>
      <c r="H297" s="40"/>
      <c r="I297" s="52"/>
      <c r="J297" s="53"/>
      <c r="K297" s="17"/>
      <c r="L297" s="39"/>
      <c r="M297" s="43"/>
      <c r="N297" s="45" t="s">
        <v>108</v>
      </c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3207</v>
      </c>
      <c r="B298" s="29"/>
      <c r="C298" s="29"/>
      <c r="D298" s="29"/>
      <c r="E298" s="29"/>
      <c r="F298" s="29">
        <v>2988</v>
      </c>
      <c r="G298" s="39"/>
      <c r="H298" s="40"/>
      <c r="I298" s="52"/>
      <c r="J298" s="53"/>
      <c r="K298" s="17"/>
      <c r="L298" s="39"/>
      <c r="M298" s="43"/>
      <c r="N298" s="45" t="s">
        <v>108</v>
      </c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3208</v>
      </c>
      <c r="B299" s="29"/>
      <c r="C299" s="29"/>
      <c r="D299" s="29"/>
      <c r="E299" s="29"/>
      <c r="F299" s="29">
        <v>2992</v>
      </c>
      <c r="G299" s="39"/>
      <c r="H299" s="40"/>
      <c r="I299" s="52"/>
      <c r="J299" s="53"/>
      <c r="K299" s="17"/>
      <c r="L299" s="39"/>
      <c r="M299" s="43"/>
      <c r="N299" s="45" t="s">
        <v>108</v>
      </c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3209</v>
      </c>
      <c r="B300" s="29"/>
      <c r="C300" s="29"/>
      <c r="D300" s="29"/>
      <c r="E300" s="29"/>
      <c r="F300" s="29">
        <v>2990</v>
      </c>
      <c r="G300" s="39"/>
      <c r="H300" s="40"/>
      <c r="I300" s="52"/>
      <c r="J300" s="53"/>
      <c r="K300" s="17"/>
      <c r="L300" s="39"/>
      <c r="M300" s="43"/>
      <c r="N300" s="45" t="s">
        <v>108</v>
      </c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3210</v>
      </c>
      <c r="B301" s="29"/>
      <c r="C301" s="29"/>
      <c r="D301" s="29"/>
      <c r="E301" s="29"/>
      <c r="F301" s="29">
        <v>2992</v>
      </c>
      <c r="G301" s="39"/>
      <c r="H301" s="40"/>
      <c r="I301" s="52"/>
      <c r="J301" s="53"/>
      <c r="K301" s="17"/>
      <c r="L301" s="39"/>
      <c r="M301" s="43"/>
      <c r="N301" s="45" t="s">
        <v>108</v>
      </c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3211</v>
      </c>
      <c r="B302" s="29"/>
      <c r="C302" s="29"/>
      <c r="D302" s="29"/>
      <c r="E302" s="29"/>
      <c r="F302" s="29">
        <v>2990</v>
      </c>
      <c r="G302" s="39"/>
      <c r="H302" s="40"/>
      <c r="I302" s="52"/>
      <c r="J302" s="53"/>
      <c r="K302" s="17"/>
      <c r="L302" s="39"/>
      <c r="M302" s="43"/>
      <c r="N302" s="45" t="s">
        <v>110</v>
      </c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3212</v>
      </c>
      <c r="B303" s="29"/>
      <c r="C303" s="29"/>
      <c r="D303" s="29"/>
      <c r="E303" s="29"/>
      <c r="F303" s="29">
        <v>2988</v>
      </c>
      <c r="G303" s="39"/>
      <c r="H303" s="40"/>
      <c r="I303" s="52"/>
      <c r="J303" s="53"/>
      <c r="K303" s="17"/>
      <c r="L303" s="39"/>
      <c r="M303" s="43"/>
      <c r="N303" s="45" t="s">
        <v>110</v>
      </c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3213</v>
      </c>
      <c r="B304" s="29"/>
      <c r="C304" s="29"/>
      <c r="D304" s="29"/>
      <c r="E304" s="29"/>
      <c r="F304" s="29">
        <v>2988</v>
      </c>
      <c r="G304" s="39"/>
      <c r="H304" s="40"/>
      <c r="I304" s="52"/>
      <c r="J304" s="53"/>
      <c r="K304" s="17"/>
      <c r="L304" s="39"/>
      <c r="M304" s="43"/>
      <c r="N304" s="45" t="s">
        <v>108</v>
      </c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3214</v>
      </c>
      <c r="B305" s="29"/>
      <c r="C305" s="29"/>
      <c r="D305" s="29"/>
      <c r="E305" s="29"/>
      <c r="F305" s="29">
        <v>2986</v>
      </c>
      <c r="G305" s="39"/>
      <c r="H305" s="40"/>
      <c r="I305" s="52"/>
      <c r="J305" s="53"/>
      <c r="K305" s="17"/>
      <c r="L305" s="39"/>
      <c r="M305" s="43"/>
      <c r="N305" s="45" t="s">
        <v>110</v>
      </c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3215</v>
      </c>
      <c r="B306" s="29"/>
      <c r="C306" s="29"/>
      <c r="D306" s="29"/>
      <c r="E306" s="29"/>
      <c r="F306" s="29">
        <v>2984</v>
      </c>
      <c r="G306" s="39"/>
      <c r="H306" s="40"/>
      <c r="I306" s="52"/>
      <c r="J306" s="53"/>
      <c r="K306" s="17"/>
      <c r="L306" s="39"/>
      <c r="M306" s="43"/>
      <c r="N306" s="45" t="s">
        <v>110</v>
      </c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3216</v>
      </c>
      <c r="B307" s="29"/>
      <c r="C307" s="29"/>
      <c r="D307" s="29"/>
      <c r="E307" s="29"/>
      <c r="F307" s="29">
        <v>2984</v>
      </c>
      <c r="G307" s="39"/>
      <c r="H307" s="40"/>
      <c r="I307" s="52"/>
      <c r="J307" s="53"/>
      <c r="K307" s="17"/>
      <c r="L307" s="39"/>
      <c r="M307" s="43"/>
      <c r="N307" s="45" t="s">
        <v>108</v>
      </c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3217</v>
      </c>
      <c r="B308" s="29"/>
      <c r="C308" s="29"/>
      <c r="D308" s="29"/>
      <c r="E308" s="29"/>
      <c r="F308" s="29">
        <v>2988</v>
      </c>
      <c r="G308" s="39"/>
      <c r="H308" s="40"/>
      <c r="I308" s="52"/>
      <c r="J308" s="53"/>
      <c r="K308" s="17"/>
      <c r="L308" s="39"/>
      <c r="M308" s="43"/>
      <c r="N308" s="45" t="s">
        <v>112</v>
      </c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3218</v>
      </c>
      <c r="B309" s="29"/>
      <c r="C309" s="29"/>
      <c r="D309" s="29"/>
      <c r="E309" s="29"/>
      <c r="F309" s="29">
        <v>2988</v>
      </c>
      <c r="G309" s="39"/>
      <c r="H309" s="40"/>
      <c r="I309" s="52"/>
      <c r="J309" s="53"/>
      <c r="K309" s="17"/>
      <c r="L309" s="39"/>
      <c r="M309" s="43"/>
      <c r="N309" s="45" t="s">
        <v>110</v>
      </c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3219</v>
      </c>
      <c r="B310" s="29"/>
      <c r="C310" s="29"/>
      <c r="D310" s="29"/>
      <c r="E310" s="29"/>
      <c r="F310" s="29">
        <v>2988</v>
      </c>
      <c r="G310" s="39"/>
      <c r="H310" s="40"/>
      <c r="I310" s="52"/>
      <c r="J310" s="53"/>
      <c r="K310" s="17"/>
      <c r="L310" s="39"/>
      <c r="M310" s="43"/>
      <c r="N310" s="45" t="s">
        <v>110</v>
      </c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3220</v>
      </c>
      <c r="B311" s="29"/>
      <c r="C311" s="29"/>
      <c r="D311" s="29"/>
      <c r="E311" s="29"/>
      <c r="F311" s="29">
        <v>2988</v>
      </c>
      <c r="G311" s="39"/>
      <c r="H311" s="40"/>
      <c r="I311" s="52"/>
      <c r="J311" s="53"/>
      <c r="K311" s="17"/>
      <c r="L311" s="39"/>
      <c r="M311" s="43"/>
      <c r="N311" s="45" t="s">
        <v>108</v>
      </c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3221</v>
      </c>
      <c r="B312" s="29"/>
      <c r="C312" s="29"/>
      <c r="D312" s="29"/>
      <c r="E312" s="29"/>
      <c r="F312" s="29">
        <v>2984</v>
      </c>
      <c r="G312" s="39"/>
      <c r="H312" s="40"/>
      <c r="I312" s="52"/>
      <c r="J312" s="53"/>
      <c r="K312" s="17"/>
      <c r="L312" s="39"/>
      <c r="M312" s="43"/>
      <c r="N312" s="45" t="s">
        <v>110</v>
      </c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3222</v>
      </c>
      <c r="B313" s="29"/>
      <c r="C313" s="29"/>
      <c r="D313" s="29"/>
      <c r="E313" s="29"/>
      <c r="F313" s="29">
        <v>2984</v>
      </c>
      <c r="G313" s="39"/>
      <c r="H313" s="40"/>
      <c r="I313" s="52"/>
      <c r="J313" s="53"/>
      <c r="K313" s="17"/>
      <c r="L313" s="39"/>
      <c r="M313" s="43"/>
      <c r="N313" s="45" t="s">
        <v>108</v>
      </c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3223</v>
      </c>
      <c r="B314" s="29"/>
      <c r="C314" s="29"/>
      <c r="D314" s="29"/>
      <c r="E314" s="29"/>
      <c r="F314" s="29">
        <v>2986</v>
      </c>
      <c r="G314" s="39"/>
      <c r="H314" s="40"/>
      <c r="I314" s="52"/>
      <c r="J314" s="53"/>
      <c r="K314" s="17"/>
      <c r="L314" s="39"/>
      <c r="M314" s="43"/>
      <c r="N314" s="45" t="s">
        <v>108</v>
      </c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3224</v>
      </c>
      <c r="B315" s="29"/>
      <c r="C315" s="29"/>
      <c r="D315" s="29"/>
      <c r="E315" s="29"/>
      <c r="F315" s="29">
        <v>2986</v>
      </c>
      <c r="G315" s="39"/>
      <c r="H315" s="40"/>
      <c r="I315" s="52"/>
      <c r="J315" s="53"/>
      <c r="K315" s="17"/>
      <c r="L315" s="39"/>
      <c r="M315" s="43"/>
      <c r="N315" s="45" t="s">
        <v>108</v>
      </c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3225</v>
      </c>
      <c r="B316" s="29"/>
      <c r="C316" s="29"/>
      <c r="D316" s="29"/>
      <c r="E316" s="29"/>
      <c r="F316" s="29">
        <v>2986</v>
      </c>
      <c r="G316" s="39"/>
      <c r="H316" s="40"/>
      <c r="I316" s="52"/>
      <c r="J316" s="53"/>
      <c r="K316" s="17"/>
      <c r="L316" s="39"/>
      <c r="M316" s="43"/>
      <c r="N316" s="45" t="s">
        <v>106</v>
      </c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3226</v>
      </c>
      <c r="B317" s="29"/>
      <c r="C317" s="29"/>
      <c r="D317" s="29"/>
      <c r="E317" s="29"/>
      <c r="F317" s="29">
        <v>2984</v>
      </c>
      <c r="G317" s="39"/>
      <c r="H317" s="40"/>
      <c r="I317" s="52"/>
      <c r="J317" s="53"/>
      <c r="K317" s="17"/>
      <c r="L317" s="39"/>
      <c r="M317" s="43"/>
      <c r="N317" s="45" t="s">
        <v>106</v>
      </c>
      <c r="O317" s="55"/>
      <c r="P317" s="56"/>
      <c r="Q317" s="74"/>
      <c r="R317" s="70"/>
      <c r="S317" s="19"/>
      <c r="T317" s="60"/>
      <c r="U317" s="59"/>
    </row>
    <row r="318" spans="1:21" ht="15" customHeight="1" x14ac:dyDescent="0.25">
      <c r="A318" s="1">
        <f t="shared" ca="1" si="18"/>
        <v>3227</v>
      </c>
      <c r="B318" s="29"/>
      <c r="C318" s="29"/>
      <c r="D318" s="29"/>
      <c r="E318" s="29"/>
      <c r="F318" s="29">
        <v>2988</v>
      </c>
      <c r="G318" s="39"/>
      <c r="H318" s="40"/>
      <c r="I318" s="52"/>
      <c r="J318" s="53"/>
      <c r="K318" s="17"/>
      <c r="L318" s="39"/>
      <c r="M318" s="43"/>
      <c r="N318" s="45" t="s">
        <v>108</v>
      </c>
      <c r="O318" s="55"/>
      <c r="P318" s="56"/>
      <c r="Q318" s="74"/>
      <c r="R318" s="70"/>
      <c r="S318" s="19"/>
      <c r="T318" s="60"/>
      <c r="U318" s="59"/>
    </row>
    <row r="319" spans="1:21" x14ac:dyDescent="0.25">
      <c r="A319" s="1" t="str">
        <f t="shared" ca="1" si="18"/>
        <v>Totaal</v>
      </c>
      <c r="B319" s="61" t="str">
        <f>IF(COUNT(B288:B318)&gt;0,AVERAGE(B288:B318)/10,"")</f>
        <v/>
      </c>
      <c r="C319" s="62" t="str">
        <f>IF(COUNT(C288:C318)&gt;0,AVERAGE(C288:C318)/1000,"")</f>
        <v/>
      </c>
      <c r="D319" s="62" t="str">
        <f t="shared" ref="D319" si="19">IF(COUNT(D288:D318)&gt;0,AVERAGE(D288:D318)/1000,"")</f>
        <v/>
      </c>
      <c r="E319" s="62" t="str">
        <f t="shared" ref="E319" si="20">IF(COUNT(E288:E318)&gt;0,AVERAGE(E288:E318)/1000,"")</f>
        <v/>
      </c>
      <c r="F319" s="62">
        <f>IF(COUNT(F288:F318)&gt;0,AVERAGE(F288:F318)/100,"")</f>
        <v>29.871034482758617</v>
      </c>
      <c r="G319" s="41" t="str">
        <f>IF(COUNT(G288:G318)&gt;0,AVERAGE(G288:G318)/10,"")</f>
        <v/>
      </c>
      <c r="H319" s="42" t="str">
        <f t="shared" ref="H319" si="21">IF(COUNT(H288:H318)&gt;0,AVERAGE(H288:H318)/10,"")</f>
        <v/>
      </c>
      <c r="I319" s="18" t="str">
        <f>IF(COUNT(I288:I318)&gt;0,AVERAGE(I288:I318)/10,"")</f>
        <v/>
      </c>
      <c r="J319" s="54" t="str">
        <f>IF(COUNT(J288:J318)&gt;0,AVERAGE(J288:J318),"")</f>
        <v/>
      </c>
      <c r="K319" s="51" t="str">
        <f>IF(COUNT(K288:K318)&gt;0,AVERAGE(K288:K318)/1000,"")</f>
        <v/>
      </c>
      <c r="L319" s="41" t="str">
        <f>IF(COUNT(L288:L318)&gt;0,AVERAGE(L288:L318)/10,"")</f>
        <v/>
      </c>
      <c r="M319" s="44" t="str">
        <f>IF(COUNT(M288:M318)&gt;0,AVERAGE(M288:M318)/10,"")</f>
        <v/>
      </c>
      <c r="N319" s="46"/>
      <c r="O319" s="57" t="str">
        <f>IF(COUNT(O288:O318)&gt;0,AVERAGE(O288:O318),"")</f>
        <v/>
      </c>
      <c r="P319" s="58" t="str">
        <f>IF(COUNT(P288:P318)&gt;0,AVERAGE(P288:P318),"")</f>
        <v/>
      </c>
      <c r="Q319" s="47"/>
      <c r="R319" s="68" t="str">
        <f>IF(COUNT(R288:R318)&gt;0,SUM(R288:R318)/100,"")</f>
        <v/>
      </c>
      <c r="S319" s="64" t="str">
        <f>IF(COUNT(S288:S318)&gt;0,AVERAGE(S288:S318),"")</f>
        <v/>
      </c>
      <c r="T319" s="65" t="str">
        <f>IF(COUNT(T288:T318)&gt;0,AVERAGE(T288:T318),"")</f>
        <v/>
      </c>
      <c r="U319" s="66" t="str">
        <f>IF(COUNT(U288:U318)&gt;0,AVERAGE(U288:U318),"")</f>
        <v/>
      </c>
    </row>
    <row r="320" spans="1:21" ht="15" customHeight="1" x14ac:dyDescent="0.25">
      <c r="A320" s="1">
        <f t="shared" ca="1" si="18"/>
        <v>3228</v>
      </c>
      <c r="B320" s="29"/>
      <c r="C320" s="29"/>
      <c r="D320" s="29"/>
      <c r="E320" s="29"/>
      <c r="F320" s="29">
        <v>2990</v>
      </c>
      <c r="G320" s="39"/>
      <c r="H320" s="40"/>
      <c r="I320" s="52"/>
      <c r="J320" s="53"/>
      <c r="K320" s="17"/>
      <c r="L320" s="39"/>
      <c r="M320" s="43"/>
      <c r="N320" s="45" t="s">
        <v>108</v>
      </c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3229</v>
      </c>
      <c r="B321" s="29"/>
      <c r="C321" s="29"/>
      <c r="D321" s="29"/>
      <c r="E321" s="29"/>
      <c r="F321" s="29">
        <v>2988</v>
      </c>
      <c r="G321" s="39"/>
      <c r="H321" s="40"/>
      <c r="I321" s="52"/>
      <c r="J321" s="53"/>
      <c r="K321" s="17"/>
      <c r="L321" s="39"/>
      <c r="M321" s="43"/>
      <c r="N321" s="45" t="s">
        <v>108</v>
      </c>
      <c r="O321" s="55"/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3230</v>
      </c>
      <c r="B322" s="29"/>
      <c r="C322" s="29"/>
      <c r="D322" s="29"/>
      <c r="E322" s="29"/>
      <c r="F322" s="29">
        <v>2986</v>
      </c>
      <c r="G322" s="39"/>
      <c r="H322" s="40"/>
      <c r="I322" s="52"/>
      <c r="J322" s="53"/>
      <c r="K322" s="17"/>
      <c r="L322" s="39"/>
      <c r="M322" s="43"/>
      <c r="N322" s="45" t="s">
        <v>108</v>
      </c>
      <c r="O322" s="55"/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3231</v>
      </c>
      <c r="B323" s="29"/>
      <c r="C323" s="29"/>
      <c r="D323" s="29"/>
      <c r="E323" s="29"/>
      <c r="F323" s="29">
        <v>2984</v>
      </c>
      <c r="G323" s="39"/>
      <c r="H323" s="40"/>
      <c r="I323" s="52"/>
      <c r="J323" s="53"/>
      <c r="K323" s="17"/>
      <c r="L323" s="39"/>
      <c r="M323" s="43"/>
      <c r="N323" s="45" t="s">
        <v>110</v>
      </c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3232</v>
      </c>
      <c r="B324" s="29"/>
      <c r="C324" s="29"/>
      <c r="D324" s="29"/>
      <c r="E324" s="29"/>
      <c r="F324" s="29">
        <v>2988</v>
      </c>
      <c r="G324" s="39"/>
      <c r="H324" s="40"/>
      <c r="I324" s="52"/>
      <c r="J324" s="53"/>
      <c r="K324" s="17"/>
      <c r="L324" s="39"/>
      <c r="M324" s="43"/>
      <c r="N324" s="45" t="s">
        <v>110</v>
      </c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3233</v>
      </c>
      <c r="B325" s="29"/>
      <c r="C325" s="29"/>
      <c r="D325" s="29"/>
      <c r="E325" s="29"/>
      <c r="F325" s="29">
        <v>2992</v>
      </c>
      <c r="G325" s="39"/>
      <c r="H325" s="40"/>
      <c r="I325" s="52"/>
      <c r="J325" s="53"/>
      <c r="K325" s="17"/>
      <c r="L325" s="39"/>
      <c r="M325" s="43"/>
      <c r="N325" s="45" t="s">
        <v>108</v>
      </c>
      <c r="O325" s="55"/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3234</v>
      </c>
      <c r="B326" s="29"/>
      <c r="C326" s="29"/>
      <c r="D326" s="29"/>
      <c r="E326" s="29"/>
      <c r="F326" s="29">
        <v>2988</v>
      </c>
      <c r="G326" s="39"/>
      <c r="H326" s="40"/>
      <c r="I326" s="52"/>
      <c r="J326" s="53"/>
      <c r="K326" s="17"/>
      <c r="L326" s="39"/>
      <c r="M326" s="43"/>
      <c r="N326" s="45" t="s">
        <v>110</v>
      </c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ca="1" si="18"/>
        <v>3235</v>
      </c>
      <c r="B327" s="29"/>
      <c r="C327" s="29"/>
      <c r="D327" s="29"/>
      <c r="E327" s="29"/>
      <c r="F327" s="29">
        <v>2986</v>
      </c>
      <c r="G327" s="39"/>
      <c r="H327" s="40"/>
      <c r="I327" s="52"/>
      <c r="J327" s="53"/>
      <c r="K327" s="17"/>
      <c r="L327" s="39"/>
      <c r="M327" s="43"/>
      <c r="N327" s="45" t="s">
        <v>108</v>
      </c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ref="A328:A382" ca="1" si="22">IF(ISTEXT(A327),A326+1,IF(MONTH(A327+1)=MONTH(A327),A327+1,"Totaal"))</f>
        <v>3236</v>
      </c>
      <c r="B328" s="29"/>
      <c r="C328" s="29"/>
      <c r="D328" s="29"/>
      <c r="E328" s="29"/>
      <c r="F328" s="29">
        <v>2988</v>
      </c>
      <c r="G328" s="39"/>
      <c r="H328" s="40"/>
      <c r="I328" s="52"/>
      <c r="J328" s="53"/>
      <c r="K328" s="17"/>
      <c r="L328" s="39"/>
      <c r="M328" s="43"/>
      <c r="N328" s="45" t="s">
        <v>108</v>
      </c>
      <c r="O328" s="55"/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3237</v>
      </c>
      <c r="B329" s="29"/>
      <c r="C329" s="29"/>
      <c r="D329" s="29"/>
      <c r="E329" s="29"/>
      <c r="F329" s="29">
        <v>2988</v>
      </c>
      <c r="G329" s="39"/>
      <c r="H329" s="40"/>
      <c r="I329" s="52"/>
      <c r="J329" s="53"/>
      <c r="K329" s="17"/>
      <c r="L329" s="39"/>
      <c r="M329" s="43"/>
      <c r="N329" s="45" t="s">
        <v>108</v>
      </c>
      <c r="O329" s="55"/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3238</v>
      </c>
      <c r="B330" s="29"/>
      <c r="C330" s="29"/>
      <c r="D330" s="29"/>
      <c r="E330" s="29"/>
      <c r="F330" s="29">
        <v>2992</v>
      </c>
      <c r="G330" s="39"/>
      <c r="H330" s="40"/>
      <c r="I330" s="52"/>
      <c r="J330" s="53"/>
      <c r="K330" s="17"/>
      <c r="L330" s="39"/>
      <c r="M330" s="43"/>
      <c r="N330" s="45" t="s">
        <v>110</v>
      </c>
      <c r="O330" s="55"/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3239</v>
      </c>
      <c r="B331" s="29"/>
      <c r="C331" s="29"/>
      <c r="D331" s="29"/>
      <c r="E331" s="29"/>
      <c r="F331" s="29">
        <v>2992</v>
      </c>
      <c r="G331" s="39"/>
      <c r="H331" s="40"/>
      <c r="I331" s="52"/>
      <c r="J331" s="53"/>
      <c r="K331" s="17"/>
      <c r="L331" s="39"/>
      <c r="M331" s="43"/>
      <c r="N331" s="45" t="s">
        <v>106</v>
      </c>
      <c r="O331" s="55"/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3240</v>
      </c>
      <c r="B332" s="29"/>
      <c r="C332" s="29"/>
      <c r="D332" s="29"/>
      <c r="E332" s="29"/>
      <c r="F332" s="29">
        <v>2992</v>
      </c>
      <c r="G332" s="39"/>
      <c r="H332" s="40"/>
      <c r="I332" s="52"/>
      <c r="J332" s="53"/>
      <c r="K332" s="17"/>
      <c r="L332" s="39"/>
      <c r="M332" s="43"/>
      <c r="N332" s="45" t="s">
        <v>108</v>
      </c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3241</v>
      </c>
      <c r="B333" s="29"/>
      <c r="C333" s="29"/>
      <c r="D333" s="29"/>
      <c r="E333" s="29"/>
      <c r="F333" s="29">
        <v>2996</v>
      </c>
      <c r="G333" s="39"/>
      <c r="H333" s="40"/>
      <c r="I333" s="52"/>
      <c r="J333" s="53"/>
      <c r="K333" s="17"/>
      <c r="L333" s="39"/>
      <c r="M333" s="43"/>
      <c r="N333" s="45" t="s">
        <v>108</v>
      </c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3242</v>
      </c>
      <c r="B334" s="29"/>
      <c r="C334" s="29"/>
      <c r="D334" s="29"/>
      <c r="E334" s="29"/>
      <c r="F334" s="29">
        <v>3000</v>
      </c>
      <c r="G334" s="39"/>
      <c r="H334" s="40"/>
      <c r="I334" s="52"/>
      <c r="J334" s="53"/>
      <c r="K334" s="17"/>
      <c r="L334" s="39"/>
      <c r="M334" s="43"/>
      <c r="N334" s="45" t="s">
        <v>108</v>
      </c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3243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3244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3245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3246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3247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3248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3249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3250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3251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3252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3253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3254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3255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3256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ht="15" customHeight="1" x14ac:dyDescent="0.25">
      <c r="A349" s="1">
        <f t="shared" ca="1" si="22"/>
        <v>3257</v>
      </c>
      <c r="B349" s="29"/>
      <c r="C349" s="29"/>
      <c r="D349" s="29"/>
      <c r="E349" s="29"/>
      <c r="F349" s="29"/>
      <c r="G349" s="39"/>
      <c r="H349" s="40"/>
      <c r="I349" s="52"/>
      <c r="J349" s="53"/>
      <c r="K349" s="17"/>
      <c r="L349" s="39"/>
      <c r="M349" s="43"/>
      <c r="N349" s="45"/>
      <c r="O349" s="55"/>
      <c r="P349" s="56"/>
      <c r="Q349" s="74"/>
      <c r="R349" s="70"/>
      <c r="S349" s="19"/>
      <c r="T349" s="60"/>
      <c r="U349" s="59"/>
    </row>
    <row r="350" spans="1:21" x14ac:dyDescent="0.25">
      <c r="A350" s="1" t="str">
        <f t="shared" ca="1" si="22"/>
        <v>Totaal</v>
      </c>
      <c r="B350" s="61" t="str">
        <f>IF(COUNT(B320:B349)&gt;0,AVERAGE(B320:B349)/10,"")</f>
        <v/>
      </c>
      <c r="C350" s="62" t="str">
        <f>IF(COUNT(C320:C349)&gt;0,AVERAGE(C320:C349)/1000,"")</f>
        <v/>
      </c>
      <c r="D350" s="62" t="str">
        <f>IF(COUNT(D320:D349)&gt;0,AVERAGE(D320:D349)/1000,"")</f>
        <v/>
      </c>
      <c r="E350" s="62" t="str">
        <f>IF(COUNT(E320:E349)&gt;0,AVERAGE(E320:E349)/1000,"")</f>
        <v/>
      </c>
      <c r="F350" s="62">
        <f>IF(COUNT(F320:F349)&gt;0,AVERAGE(F320:F349)/100,"")</f>
        <v>29.9</v>
      </c>
      <c r="G350" s="41" t="str">
        <f>IF(COUNT(G320:G349)&gt;0,AVERAGE(G320:G349)/10,"")</f>
        <v/>
      </c>
      <c r="H350" s="42" t="str">
        <f>IF(COUNT(H320:H349)&gt;0,AVERAGE(H320:H349)/10,"")</f>
        <v/>
      </c>
      <c r="I350" s="18" t="str">
        <f>IF(COUNT(I320:I349)&gt;0,AVERAGE(I320:I349)/10,"")</f>
        <v/>
      </c>
      <c r="J350" s="54" t="str">
        <f>IF(COUNT(J320:J349)&gt;0,AVERAGE(J320:J349),"")</f>
        <v/>
      </c>
      <c r="K350" s="51" t="str">
        <f>IF(COUNT(K320:K349)&gt;0,AVERAGE(K320:K349)/1000,"")</f>
        <v/>
      </c>
      <c r="L350" s="41" t="str">
        <f>IF(COUNT(L320:L349)&gt;0,AVERAGE(L320:L349)/10,"")</f>
        <v/>
      </c>
      <c r="M350" s="44" t="str">
        <f>IF(COUNT(M320:M349)&gt;0,AVERAGE(M320:M349)/10,"")</f>
        <v/>
      </c>
      <c r="N350" s="46"/>
      <c r="O350" s="57" t="str">
        <f>IF(COUNT(O320:O349)&gt;0,AVERAGE(O320:O349),"")</f>
        <v/>
      </c>
      <c r="P350" s="58" t="str">
        <f>IF(COUNT(P320:P349)&gt;0,AVERAGE(P320:P349),"")</f>
        <v/>
      </c>
      <c r="Q350" s="47"/>
      <c r="R350" s="68" t="str">
        <f>IF(COUNT(R320:R349)&gt;0,SUM(R320:R349)/100,"")</f>
        <v/>
      </c>
      <c r="S350" s="64" t="str">
        <f>IF(COUNT(S320:S349)&gt;0,AVERAGE(S320:S349),"")</f>
        <v/>
      </c>
      <c r="T350" s="65" t="str">
        <f>IF(COUNT(T320:T349)&gt;0,AVERAGE(T320:T349),"")</f>
        <v/>
      </c>
      <c r="U350" s="66" t="str">
        <f>IF(COUNT(U320:U349)&gt;0,AVERAGE(U320:U349),"")</f>
        <v/>
      </c>
    </row>
    <row r="351" spans="1:21" ht="15" customHeight="1" x14ac:dyDescent="0.25">
      <c r="A351" s="1">
        <f t="shared" ca="1" si="22"/>
        <v>3258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3259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3260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3261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3262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3263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3264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3265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3266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3267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3268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3269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3270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3271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3272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3273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3274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3275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3276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3277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3278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3279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3280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3281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3282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3283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3284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3285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3286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3287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ht="15" customHeight="1" x14ac:dyDescent="0.25">
      <c r="A381" s="1">
        <f t="shared" ca="1" si="22"/>
        <v>3288</v>
      </c>
      <c r="B381" s="29"/>
      <c r="C381" s="29"/>
      <c r="D381" s="29"/>
      <c r="E381" s="29"/>
      <c r="F381" s="29"/>
      <c r="G381" s="39"/>
      <c r="H381" s="40"/>
      <c r="I381" s="52"/>
      <c r="J381" s="53"/>
      <c r="K381" s="17"/>
      <c r="L381" s="39"/>
      <c r="M381" s="43"/>
      <c r="N381" s="45"/>
      <c r="O381" s="55"/>
      <c r="P381" s="56"/>
      <c r="Q381" s="74"/>
      <c r="R381" s="70"/>
      <c r="S381" s="19"/>
      <c r="T381" s="60"/>
      <c r="U381" s="59"/>
    </row>
    <row r="382" spans="1:21" x14ac:dyDescent="0.25">
      <c r="A382" s="1" t="str">
        <f t="shared" ca="1" si="22"/>
        <v>Totaal</v>
      </c>
      <c r="B382" s="61" t="str">
        <f>IF(COUNT(B351:B381)&gt;0,AVERAGE(B351:B381)/10,"")</f>
        <v/>
      </c>
      <c r="C382" s="62" t="str">
        <f>IF(COUNT(C351:C381)&gt;0,AVERAGE(C351:C381)/1000,"")</f>
        <v/>
      </c>
      <c r="D382" s="62" t="str">
        <f t="shared" ref="D382" si="23">IF(COUNT(D351:D381)&gt;0,AVERAGE(D351:D381)/1000,"")</f>
        <v/>
      </c>
      <c r="E382" s="62" t="str">
        <f t="shared" ref="E382" si="24">IF(COUNT(E351:E381)&gt;0,AVERAGE(E351:E381)/1000,"")</f>
        <v/>
      </c>
      <c r="F382" s="62" t="str">
        <f>IF(COUNT(F351:F381)&gt;0,AVERAGE(F351:F381)/100,"")</f>
        <v/>
      </c>
      <c r="G382" s="41" t="str">
        <f>IF(COUNT(G351:G381)&gt;0,AVERAGE(G351:G381)/10,"")</f>
        <v/>
      </c>
      <c r="H382" s="42" t="str">
        <f t="shared" ref="H382" si="25">IF(COUNT(H351:H381)&gt;0,AVERAGE(H351:H381)/10,"")</f>
        <v/>
      </c>
      <c r="I382" s="18" t="str">
        <f>IF(COUNT(I351:I381)&gt;0,AVERAGE(I351:I381)/10,"")</f>
        <v/>
      </c>
      <c r="J382" s="54" t="str">
        <f>IF(COUNT(J351:J381)&gt;0,AVERAGE(J351:J381),"")</f>
        <v/>
      </c>
      <c r="K382" s="51" t="str">
        <f>IF(COUNT(K351:K381)&gt;0,AVERAGE(K351:K381)/1000,"")</f>
        <v/>
      </c>
      <c r="L382" s="41" t="str">
        <f>IF(COUNT(L351:L381)&gt;0,AVERAGE(L351:L381)/10,"")</f>
        <v/>
      </c>
      <c r="M382" s="44" t="str">
        <f>IF(COUNT(M351:M381)&gt;0,AVERAGE(M351:M381)/10,"")</f>
        <v/>
      </c>
      <c r="N382" s="46"/>
      <c r="O382" s="57" t="str">
        <f>IF(COUNT(O351:O381)&gt;0,AVERAGE(O351:O381),"")</f>
        <v/>
      </c>
      <c r="P382" s="58" t="str">
        <f>IF(COUNT(P351:P381)&gt;0,AVERAGE(P351:P381),"")</f>
        <v/>
      </c>
      <c r="Q382" s="47"/>
      <c r="R382" s="68" t="str">
        <f>IF(COUNT(R351:R381)&gt;0,SUM(R351:R381)/100,"")</f>
        <v/>
      </c>
      <c r="S382" s="64" t="str">
        <f>IF(COUNT(S351:S381)&gt;0,AVERAGE(S351:S381),"")</f>
        <v/>
      </c>
      <c r="T382" s="65" t="str">
        <f>IF(COUNT(T351:T381)&gt;0,AVERAGE(T351:T381),"")</f>
        <v/>
      </c>
      <c r="U382" s="66" t="str">
        <f>IF(COUNT(U351:U381)&gt;0,AVERAGE(U351:U381),"")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2">
    <cfRule type="expression" dxfId="0" priority="36">
      <formula>ISTEXT($A5)</formula>
    </cfRule>
  </conditionalFormatting>
  <dataValidations count="1">
    <dataValidation type="list" allowBlank="1" showInputMessage="1" showErrorMessage="1" sqref="N5:N35 N37:N65 N67:N97 N99:N128 N130:N160 N162:N191 N193:N223 N225:N255 N257:N286 N288:N318 N320:N349 N351:N381 Q5:Q35 Q37:Q65 Q67:Q97 Q99:Q128 Q130:Q160 Q162:Q191 Q193:Q223 Q225:Q255 Q257:Q286 Q288:Q318 Q320:Q349 Q351:Q381 U5:U35 U37:U65 U67:U97 U99:U128 U130:U160 U162:U191 U193:U223 U225:U255 U257:U286 U288:U318 U320:U349 U351:U381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19080101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19080102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19080103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19080104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19080105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19080106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19080107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19080108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19080109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19080110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19080111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19080112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19080113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19080114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19080115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19080116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19080117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19080118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19080119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19080120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19080121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19080122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19080123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19080124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19080125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19080126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19080127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19080128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19080129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19080130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19080131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19080201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19080202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19080203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19080204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19080205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19080206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19080207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19080208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19080209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19080210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19080211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19080212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19080213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19080214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19080215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19080216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19080217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19080218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19080219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19080220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19080221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19080222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19080223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19080224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19080225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19080226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19080227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19080228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19080229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19080301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19080302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19080303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19080304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19080305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19080306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19080307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19080308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19080309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19080310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19080311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19080312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19080313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19080314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19080315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19080316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19080317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19080318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19080319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19080320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19080321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19080322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19080323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19080324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19080325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19080326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19080327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19080328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19080329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19080330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19080331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19080401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19080402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19080403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19080404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19080405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19080406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19080407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19080408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19080409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19080410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19080411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19080412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19080413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19080414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19080415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19080416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19080417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19080418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19080419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19080420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19080421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19080422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19080423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19080424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19080425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19080426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19080427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19080428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19080429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19080430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19080501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19080502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19080503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19080504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19080505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19080506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19080507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19080508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19080509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19080510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19080511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19080512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19080513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19080514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19080515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19080516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19080517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19080518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19080519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19080520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19080521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19080522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19080523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19080524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19080525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19080526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19080527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19080528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19080529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19080530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19080531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19080601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19080602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19080603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19080604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19080605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19080606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19080607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19080608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19080609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19080610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19080611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19080612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19080613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19080614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19080615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19080616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19080617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19080618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19080619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19080620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19080621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19080622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19080623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19080624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19080625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19080626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19080627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19080628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19080629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19080630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19080701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19080702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19080703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19080704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19080705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19080706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19080707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19080708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19080709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19080710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19080711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19080712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19080713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19080714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19080715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19080716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19080717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19080718</v>
      </c>
      <c r="C201" s="5">
        <v>1</v>
      </c>
      <c r="D201" s="69" t="str">
        <f t="shared" ca="1" si="6"/>
        <v>—</v>
      </c>
      <c r="E201" s="10">
        <f t="shared" ca="1" si="7"/>
        <v>7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19080719</v>
      </c>
      <c r="C202" s="5">
        <v>1</v>
      </c>
      <c r="D202" s="69" t="str">
        <f t="shared" ca="1" si="6"/>
        <v>—</v>
      </c>
      <c r="E202" s="10">
        <f t="shared" ca="1" si="7"/>
        <v>7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19080720</v>
      </c>
      <c r="C203" s="5">
        <v>1</v>
      </c>
      <c r="D203" s="69" t="str">
        <f t="shared" ca="1" si="6"/>
        <v>—</v>
      </c>
      <c r="E203" s="10">
        <f t="shared" ca="1" si="7"/>
        <v>7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19080721</v>
      </c>
      <c r="C204" s="5">
        <v>1</v>
      </c>
      <c r="D204" s="69" t="str">
        <f t="shared" ca="1" si="6"/>
        <v>—</v>
      </c>
      <c r="E204" s="10">
        <f t="shared" ca="1" si="7"/>
        <v>7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19080722</v>
      </c>
      <c r="C205" s="5">
        <v>1</v>
      </c>
      <c r="D205" s="69" t="str">
        <f t="shared" ca="1" si="6"/>
        <v>—</v>
      </c>
      <c r="E205" s="10">
        <f t="shared" ca="1" si="7"/>
        <v>7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19080723</v>
      </c>
      <c r="C206" s="5">
        <v>1</v>
      </c>
      <c r="D206" s="69" t="str">
        <f t="shared" ca="1" si="6"/>
        <v>—</v>
      </c>
      <c r="E206" s="10">
        <f t="shared" ca="1" si="7"/>
        <v>7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19080724</v>
      </c>
      <c r="C207" s="5">
        <v>1</v>
      </c>
      <c r="D207" s="69" t="str">
        <f t="shared" ca="1" si="6"/>
        <v>—</v>
      </c>
      <c r="E207" s="10">
        <f t="shared" ca="1" si="7"/>
        <v>7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19080725</v>
      </c>
      <c r="C208" s="5">
        <v>1</v>
      </c>
      <c r="D208" s="69" t="str">
        <f t="shared" ca="1" si="6"/>
        <v>—</v>
      </c>
      <c r="E208" s="10">
        <f t="shared" ca="1" si="7"/>
        <v>7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19080726</v>
      </c>
      <c r="C209" s="5">
        <v>1</v>
      </c>
      <c r="D209" s="69" t="str">
        <f t="shared" ca="1" si="6"/>
        <v>—</v>
      </c>
      <c r="E209" s="10">
        <f t="shared" ca="1" si="7"/>
        <v>7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19080727</v>
      </c>
      <c r="C210" s="5">
        <v>1</v>
      </c>
      <c r="D210" s="69" t="str">
        <f t="shared" ca="1" si="6"/>
        <v>—</v>
      </c>
      <c r="E210" s="10">
        <f t="shared" ca="1" si="7"/>
        <v>7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19080728</v>
      </c>
      <c r="C211" s="5">
        <v>1</v>
      </c>
      <c r="D211" s="69" t="str">
        <f t="shared" ca="1" si="6"/>
        <v>—</v>
      </c>
      <c r="E211" s="10">
        <f t="shared" ca="1" si="7"/>
        <v>7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19080729</v>
      </c>
      <c r="C212" s="5">
        <v>1</v>
      </c>
      <c r="D212" s="69" t="str">
        <f t="shared" ca="1" si="6"/>
        <v>—</v>
      </c>
      <c r="E212" s="10">
        <f t="shared" ca="1" si="7"/>
        <v>7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19080730</v>
      </c>
      <c r="C213" s="5">
        <v>1</v>
      </c>
      <c r="D213" s="69" t="str">
        <f t="shared" ca="1" si="6"/>
        <v>—</v>
      </c>
      <c r="E213" s="10">
        <f t="shared" ca="1" si="7"/>
        <v>7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19080731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19080801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19080802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19080803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19080804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19080805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19080806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19080807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19080808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19080809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19080810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19080811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19080812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19080813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19080814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19080815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19080816</v>
      </c>
      <c r="C230" s="5">
        <v>1</v>
      </c>
      <c r="D230" s="69" t="str">
        <f t="shared" ca="1" si="6"/>
        <v>—</v>
      </c>
      <c r="E230" s="10">
        <f t="shared" ca="1" si="7"/>
        <v>7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19080817</v>
      </c>
      <c r="C231" s="5">
        <v>1</v>
      </c>
      <c r="D231" s="69" t="str">
        <f t="shared" ca="1" si="6"/>
        <v>—</v>
      </c>
      <c r="E231" s="10">
        <f t="shared" ca="1" si="7"/>
        <v>7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19080818</v>
      </c>
      <c r="C232" s="5">
        <v>1</v>
      </c>
      <c r="D232" s="69" t="str">
        <f t="shared" ca="1" si="6"/>
        <v>—</v>
      </c>
      <c r="E232" s="10">
        <f t="shared" ca="1" si="7"/>
        <v>7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19080819</v>
      </c>
      <c r="C233" s="5">
        <v>1</v>
      </c>
      <c r="D233" s="69" t="str">
        <f t="shared" ca="1" si="6"/>
        <v>—</v>
      </c>
      <c r="E233" s="10">
        <f t="shared" ca="1" si="7"/>
        <v>7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19080820</v>
      </c>
      <c r="C234" s="5">
        <v>1</v>
      </c>
      <c r="D234" s="69" t="str">
        <f t="shared" ca="1" si="6"/>
        <v>—</v>
      </c>
      <c r="E234" s="10">
        <f t="shared" ca="1" si="7"/>
        <v>7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19080821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19080822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19080823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19080824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19080825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19080826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19080827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19080828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19080829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19080830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19080831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19080901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19080902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19080903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19080904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19080905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19080906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19080907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19080908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19080909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19080910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19080911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19080912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19080913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19080914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19080915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19080916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19080917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19080918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19080919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19080920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19080921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19080922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19080923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19080924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19080925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19080926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19080927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19080928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19080929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19080930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19081001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19081002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19081003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19081004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19081005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19081006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19081007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19081008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19081009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19081010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19081011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19081012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19081013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19081014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19081015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19081016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19081017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19081018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19081019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19081020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19081021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19081022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19081023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19081024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19081025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19081026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19081027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19081028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19081029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19081030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19081031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19081101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19081102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19081103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19081104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19081105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19081106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19081107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19081108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19081109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19081110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19081111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19081112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19081113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19081114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19081115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19081116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19081117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19081118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19081119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19081120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19081121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19081122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19081123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19081124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19081125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19081126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19081127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19081128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19081129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19081130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19081201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19081202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19081203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19081204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19081205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19081206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19081207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19081208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19081209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19081210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19081211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19081212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19081213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19081214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19081215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19081216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19081217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19081218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19081219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19081220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19081221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19081222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19081223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19081224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19081225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19081226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19081227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19081228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19081229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19081230</v>
      </c>
      <c r="C366" s="5">
        <v>1</v>
      </c>
      <c r="D366" s="69" t="str">
        <f t="shared" ca="1" si="10"/>
        <v>—</v>
      </c>
      <c r="E366" s="10">
        <f t="shared" ca="1" si="11"/>
        <v>7</v>
      </c>
    </row>
    <row r="367" spans="1:5" x14ac:dyDescent="0.25">
      <c r="A367" s="4">
        <f ca="1">INDEX(Stations,INT((ROWS(A$2:A367)-1)/(DATE(YEAR(Invoer!$A$5),12,31)-DATE(YEAR(Invoer!$A$5),1,1)+1))+2,1)</f>
        <v>78989</v>
      </c>
      <c r="B367" t="str">
        <f ca="1">TEXT(DATE(YEAR(Invoer!$A$5),1,1)+MOD(ROWS(B$2:B367)-1,DATE(YEAR(Invoer!$A$5),12,31)-DATE(YEAR(Invoer!$A$5),1,1)+1),"jjjjmmdd")</f>
        <v>19081231</v>
      </c>
      <c r="C367" s="5">
        <v>1</v>
      </c>
      <c r="D367" s="69" t="str">
        <f t="shared" ref="D367" ca="1" si="12">IF(OR(ISBLANK(VLOOKUP(DATEVALUE(LEFT(B367,4)&amp;"-"&amp;MID(B367,5,2)&amp;"-"&amp;RIGHT(B367,2)),Data,MATCH(LEFT(VLOOKUP(D$1,Parameters,2,FALSE()),3)&amp;"*",OFFSET(Data,0,0,1),0),FALSE())),AND(ISTEXT(VLOOKUP(DATEVALUE(LEFT(B367,4)&amp;"-"&amp;MID(B367,5,2)&amp;"-"&amp;RIGHT(B367,2)),Data,MATCH(LEFT(VLOOKUP(D$1,Parameters,2,FALSE()),3)&amp;"*",OFFSET(Data,0,0,1),0),FALSE())),NOT(EXACT(VLOOKUP(DATEVALUE(LEFT(B367,4)&amp;"-"&amp;MID(B367,5,2)&amp;"-"&amp;RIGHT(B367,2)),Data,MATCH(LEFT(VLOOKUP(D$1,Parameters,2,FALSE()),3)&amp;"*",OFFSET(Data,0,0,1),0),FALSE()),"T")))),"—",IF(ISTEXT(VLOOKUP(DATEVALUE(LEFT(B367,4)&amp;"-"&amp;MID(B367,5,2)&amp;"-"&amp;RIGHT(B367,2)),Data,MATCH(LEFT(VLOOKUP(D$1,Parameters,2,FALSE()),3)&amp;"*",OFFSET(Data,0,0,1),0),FALSE())),VLOOKUP(DATEVALUE(LEFT(B367,4)&amp;"-"&amp;MID(B367,5,2)&amp;"-"&amp;RIGHT(B367,2)),Data,MATCH(LEFT(VLOOKUP(D$1,Parameters,2,FALSE()),3)&amp;"*",OFFSET(Data,0,0,1),0),FALSE()),ROUND(0.254*VLOOKUP(DATEVALUE(LEFT(B367,4)&amp;"-"&amp;MID(B367,5,2)&amp;"-"&amp;RIGHT(B367,2)),Data,MATCH(LEFT(VLOOKUP(D$1,Parameters,2,FALSE()),3)&amp;"*",OFFSET(Data,0,0,1),0),FALSE()),1)))</f>
        <v>—</v>
      </c>
      <c r="E367" s="10">
        <f t="shared" ref="E367" ca="1" si="13">IF(OR(ISBLANK(VLOOKUP(DATEVALUE(LEFT(B367,4)&amp;"-"&amp;MID(B367,5,2)&amp;"-"&amp;RIGHT(B367,2)),Data,MATCH(LEFT(VLOOKUP(MID(E$1,2,LEN(E$1)-1),Parameters,2,FALSE()),3)&amp;"*",OFFSET(Data,0,0,1),0),FALSE())),AND(ISTEXT(VLOOKUP(DATEVALUE(LEFT(B367,4)&amp;"-"&amp;MID(B367,5,2)&amp;"-"&amp;RIGHT(B367,2)),Data,MATCH(LEFT(VLOOKUP(MID(E$1,2,LEN(E$1)-1),Parameters,2,FALSE()),3)&amp;"*",OFFSET(Data,0,0,1),0),FALSE())),NOT(EXACT(VLOOKUP(DATEVALUE(LEFT(B367,4)&amp;"-"&amp;MID(B367,5,2)&amp;"-"&amp;RIGHT(B367,2)),Data,MATCH(LEFT(VLOOKUP(MID(E$1,2,LEN(E$1)-1),Parameters,2,FALSE()),3)&amp;"*",OFFSET(Data,0,0,1),0),FALSE()),"T")))),Lacking,IF(ISNA(MATCH(DATEVALUE(LEFT(B367,4)&amp;"-"&amp;MID(B367,5,2)&amp;"-"&amp;RIGHT(B367,2)),OFFSET(Catalogus,0,0,,1),0)),Ok,VLOOKUP(DATEVALUE(LEFT(B367,4)&amp;"-"&amp;MID(B367,5,2)&amp;"-"&amp;RIGHT(B367,2)),Catalogus,MATCH(LEFT(VLOOKUP(MID(E$1,2,LEN(E$1)-1),Parameters,2,FALSE()),3)&amp;"*",OFFSET(Catalogus,0,0,1)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7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19080101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19080102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19080103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19080104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19080105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19080106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19080107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19080108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19080109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19080110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19080111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19080112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19080113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19080114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19080115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19080116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19080117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19080118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19080119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19080120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19080121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19080122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19080123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19080124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19080125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19080126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19080127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19080128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19080129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19080130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19080131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19080201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19080202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19080203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19080204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19080205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19080206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19080207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19080208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19080209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19080210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19080211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19080212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19080213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19080214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19080215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19080216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19080217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19080218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19080219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19080220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19080221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19080222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19080223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19080224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19080225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19080226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19080227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19080228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19080229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19080301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19080302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19080303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19080304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19080305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19080306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19080307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19080308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19080309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19080310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19080311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19080312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19080313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19080314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19080315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19080316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19080317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19080318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19080319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19080320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19080321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19080322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19080323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19080324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19080325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19080326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19080327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19080328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19080329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19080330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19080331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19080401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19080402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19080403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19080404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19080405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19080406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19080407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19080408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19080409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19080410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19080411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19080412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19080413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19080414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19080415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19080416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19080417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19080418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19080419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19080420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19080421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19080422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19080423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19080424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19080425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19080426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19080427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19080428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19080429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19080430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19080501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19080502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19080503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19080504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19080505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19080506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19080507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19080508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19080509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19080510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19080511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19080512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19080513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19080514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19080515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19080516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19080517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19080518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19080519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19080520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19080521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19080522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19080523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19080524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19080525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19080526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19080527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19080528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19080529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19080530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19080531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19080601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19080602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19080603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19080604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19080605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19080606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19080607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19080608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19080609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19080610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19080611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19080612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19080613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19080614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19080615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19080616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19080617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19080618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19080619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19080620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19080621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19080622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19080623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19080624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19080625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19080626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19080627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19080628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19080629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19080630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 t="str">
        <f t="shared" ca="1" si="106"/>
        <v>—</v>
      </c>
      <c r="AC183" s="15">
        <f t="shared" ca="1" si="107"/>
        <v>7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19080701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758.4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 t="str">
        <f t="shared" ca="1" si="108"/>
        <v>—</v>
      </c>
      <c r="AE184" s="15">
        <f t="shared" ca="1" si="109"/>
        <v>7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19080702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762.5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 t="str">
        <f t="shared" ca="1" si="108"/>
        <v>—</v>
      </c>
      <c r="AE185" s="15">
        <f t="shared" ca="1" si="109"/>
        <v>7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19080703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761.5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19080704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762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135</v>
      </c>
      <c r="AC187" s="15">
        <f t="shared" ca="1" si="107"/>
        <v>0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19080705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762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19080706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90</v>
      </c>
      <c r="AC189" s="15">
        <f t="shared" ca="1" si="107"/>
        <v>0</v>
      </c>
      <c r="AD189" s="76" t="str">
        <f t="shared" ca="1" si="108"/>
        <v>—</v>
      </c>
      <c r="AE189" s="15">
        <f t="shared" ca="1" si="109"/>
        <v>7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19080707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761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 t="str">
        <f t="shared" ca="1" si="108"/>
        <v>—</v>
      </c>
      <c r="AE190" s="15">
        <f t="shared" ca="1" si="109"/>
        <v>7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19080708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761.5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 t="str">
        <f t="shared" ca="1" si="108"/>
        <v>—</v>
      </c>
      <c r="AE191" s="15">
        <f t="shared" ca="1" si="109"/>
        <v>7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19080709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 t="str">
        <f t="shared" ca="1" si="108"/>
        <v>—</v>
      </c>
      <c r="AE192" s="15">
        <f t="shared" ca="1" si="109"/>
        <v>7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19080710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762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 t="str">
        <f t="shared" ca="1" si="108"/>
        <v>—</v>
      </c>
      <c r="AE193" s="15">
        <f t="shared" ca="1" si="109"/>
        <v>7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19080711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762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 t="str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—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19080712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762.5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90</v>
      </c>
      <c r="AC195" s="15">
        <f t="shared" ca="1" si="147"/>
        <v>0</v>
      </c>
      <c r="AD195" s="76" t="str">
        <f t="shared" ca="1" si="148"/>
        <v>—</v>
      </c>
      <c r="AE195" s="15">
        <f t="shared" ca="1" si="149"/>
        <v>7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19080713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761.5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90</v>
      </c>
      <c r="AC196" s="15">
        <f t="shared" ca="1" si="147"/>
        <v>0</v>
      </c>
      <c r="AD196" s="76" t="str">
        <f t="shared" ca="1" si="148"/>
        <v>—</v>
      </c>
      <c r="AE196" s="15">
        <f t="shared" ca="1" si="149"/>
        <v>7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19080714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760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 t="str">
        <f t="shared" ca="1" si="148"/>
        <v>—</v>
      </c>
      <c r="AE197" s="15">
        <f t="shared" ca="1" si="149"/>
        <v>7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19080715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135</v>
      </c>
      <c r="AC198" s="15">
        <f t="shared" ca="1" si="147"/>
        <v>0</v>
      </c>
      <c r="AD198" s="76" t="str">
        <f t="shared" ca="1" si="148"/>
        <v>—</v>
      </c>
      <c r="AE198" s="15">
        <f t="shared" ca="1" si="149"/>
        <v>7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19080716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761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 t="str">
        <f t="shared" ca="1" si="148"/>
        <v>—</v>
      </c>
      <c r="AE199" s="15">
        <f t="shared" ca="1" si="149"/>
        <v>7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19080717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761.5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 t="str">
        <f t="shared" ca="1" si="148"/>
        <v>—</v>
      </c>
      <c r="AE200" s="15">
        <f t="shared" ca="1" si="149"/>
        <v>7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19080718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762.5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90</v>
      </c>
      <c r="AC201" s="15">
        <f t="shared" ca="1" si="147"/>
        <v>0</v>
      </c>
      <c r="AD201" s="76" t="str">
        <f t="shared" ca="1" si="148"/>
        <v>—</v>
      </c>
      <c r="AE201" s="15">
        <f t="shared" ca="1" si="149"/>
        <v>7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19080719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 t="str">
        <f t="shared" ca="1" si="130"/>
        <v>—</v>
      </c>
      <c r="M202" s="15">
        <f t="shared" ca="1" si="131"/>
        <v>7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 t="str">
        <f t="shared" ca="1" si="146"/>
        <v>—</v>
      </c>
      <c r="AC202" s="15">
        <f t="shared" ca="1" si="147"/>
        <v>7</v>
      </c>
      <c r="AD202" s="76" t="str">
        <f t="shared" ca="1" si="148"/>
        <v>—</v>
      </c>
      <c r="AE202" s="15">
        <f t="shared" ca="1" si="149"/>
        <v>7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19080720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761.5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90</v>
      </c>
      <c r="AC203" s="15">
        <f t="shared" ca="1" si="147"/>
        <v>0</v>
      </c>
      <c r="AD203" s="76" t="str">
        <f t="shared" ca="1" si="148"/>
        <v>—</v>
      </c>
      <c r="AE203" s="15">
        <f t="shared" ca="1" si="149"/>
        <v>7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19080721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90</v>
      </c>
      <c r="AC204" s="15">
        <f t="shared" ca="1" si="147"/>
        <v>0</v>
      </c>
      <c r="AD204" s="76" t="str">
        <f t="shared" ca="1" si="148"/>
        <v>—</v>
      </c>
      <c r="AE204" s="15">
        <f t="shared" ca="1" si="149"/>
        <v>7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19080722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760.5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 t="str">
        <f t="shared" ca="1" si="148"/>
        <v>—</v>
      </c>
      <c r="AE205" s="15">
        <f t="shared" ca="1" si="149"/>
        <v>7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19080723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760.5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90</v>
      </c>
      <c r="AC206" s="15">
        <f t="shared" ca="1" si="147"/>
        <v>0</v>
      </c>
      <c r="AD206" s="76" t="str">
        <f t="shared" ca="1" si="148"/>
        <v>—</v>
      </c>
      <c r="AE206" s="15">
        <f t="shared" ca="1" si="149"/>
        <v>7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19080724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 t="str">
        <f t="shared" ca="1" si="148"/>
        <v>—</v>
      </c>
      <c r="AE207" s="15">
        <f t="shared" ca="1" si="149"/>
        <v>7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19080725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90</v>
      </c>
      <c r="AC208" s="15">
        <f t="shared" ca="1" si="147"/>
        <v>0</v>
      </c>
      <c r="AD208" s="76" t="str">
        <f t="shared" ca="1" si="148"/>
        <v>—</v>
      </c>
      <c r="AE208" s="15">
        <f t="shared" ca="1" si="149"/>
        <v>7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19080726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90</v>
      </c>
      <c r="AC209" s="15">
        <f t="shared" ca="1" si="147"/>
        <v>0</v>
      </c>
      <c r="AD209" s="76" t="str">
        <f t="shared" ca="1" si="148"/>
        <v>—</v>
      </c>
      <c r="AE209" s="15">
        <f t="shared" ca="1" si="149"/>
        <v>7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19080727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 t="str">
        <f t="shared" ca="1" si="148"/>
        <v>—</v>
      </c>
      <c r="AE210" s="15">
        <f t="shared" ca="1" si="149"/>
        <v>7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19080728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 t="str">
        <f t="shared" ca="1" si="148"/>
        <v>—</v>
      </c>
      <c r="AE211" s="15">
        <f t="shared" ca="1" si="149"/>
        <v>7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19080729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759.5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 t="str">
        <f t="shared" ca="1" si="148"/>
        <v>—</v>
      </c>
      <c r="AE212" s="15">
        <f t="shared" ca="1" si="149"/>
        <v>7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19080730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 t="str">
        <f t="shared" ca="1" si="148"/>
        <v>—</v>
      </c>
      <c r="AE213" s="15">
        <f t="shared" ca="1" si="149"/>
        <v>7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19080731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759.5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90</v>
      </c>
      <c r="AC214" s="15">
        <f t="shared" ca="1" si="147"/>
        <v>0</v>
      </c>
      <c r="AD214" s="76" t="str">
        <f t="shared" ca="1" si="148"/>
        <v>—</v>
      </c>
      <c r="AE214" s="15">
        <f t="shared" ca="1" si="149"/>
        <v>7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19080801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 t="str">
        <f t="shared" ca="1" si="148"/>
        <v>—</v>
      </c>
      <c r="AE215" s="15">
        <f t="shared" ca="1" si="149"/>
        <v>7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19080802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90</v>
      </c>
      <c r="AC216" s="15">
        <f t="shared" ca="1" si="147"/>
        <v>0</v>
      </c>
      <c r="AD216" s="76" t="str">
        <f t="shared" ca="1" si="148"/>
        <v>—</v>
      </c>
      <c r="AE216" s="15">
        <f t="shared" ca="1" si="149"/>
        <v>7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19080803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90</v>
      </c>
      <c r="AC217" s="15">
        <f t="shared" ca="1" si="147"/>
        <v>0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19080804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 t="str">
        <f t="shared" ca="1" si="130"/>
        <v>—</v>
      </c>
      <c r="M218" s="15">
        <f t="shared" ca="1" si="131"/>
        <v>7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 t="str">
        <f t="shared" ca="1" si="146"/>
        <v>—</v>
      </c>
      <c r="AC218" s="15">
        <f t="shared" ca="1" si="147"/>
        <v>7</v>
      </c>
      <c r="AD218" s="76" t="str">
        <f t="shared" ca="1" si="148"/>
        <v>—</v>
      </c>
      <c r="AE218" s="15">
        <f t="shared" ca="1" si="149"/>
        <v>7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19080805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759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90</v>
      </c>
      <c r="AC219" s="15">
        <f t="shared" ca="1" si="147"/>
        <v>0</v>
      </c>
      <c r="AD219" s="76" t="str">
        <f t="shared" ca="1" si="148"/>
        <v>—</v>
      </c>
      <c r="AE219" s="15">
        <f t="shared" ca="1" si="149"/>
        <v>7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19080806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759.5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135</v>
      </c>
      <c r="AC220" s="15">
        <f t="shared" ca="1" si="147"/>
        <v>0</v>
      </c>
      <c r="AD220" s="76" t="str">
        <f t="shared" ca="1" si="148"/>
        <v>—</v>
      </c>
      <c r="AE220" s="15">
        <f t="shared" ca="1" si="149"/>
        <v>7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19080807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760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135</v>
      </c>
      <c r="AC221" s="15">
        <f t="shared" ca="1" si="147"/>
        <v>0</v>
      </c>
      <c r="AD221" s="76" t="str">
        <f t="shared" ca="1" si="148"/>
        <v>—</v>
      </c>
      <c r="AE221" s="15">
        <f t="shared" ca="1" si="149"/>
        <v>7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19080808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759.5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90</v>
      </c>
      <c r="AC222" s="15">
        <f t="shared" ca="1" si="147"/>
        <v>0</v>
      </c>
      <c r="AD222" s="76" t="str">
        <f t="shared" ca="1" si="148"/>
        <v>—</v>
      </c>
      <c r="AE222" s="15">
        <f t="shared" ca="1" si="149"/>
        <v>7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19080809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90</v>
      </c>
      <c r="AC223" s="15">
        <f t="shared" ca="1" si="147"/>
        <v>0</v>
      </c>
      <c r="AD223" s="76" t="str">
        <f t="shared" ca="1" si="148"/>
        <v>—</v>
      </c>
      <c r="AE223" s="15">
        <f t="shared" ca="1" si="149"/>
        <v>7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19080810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759.5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 t="str">
        <f t="shared" ca="1" si="148"/>
        <v>—</v>
      </c>
      <c r="AE224" s="15">
        <f t="shared" ca="1" si="149"/>
        <v>7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19080811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 t="str">
        <f t="shared" ca="1" si="148"/>
        <v>—</v>
      </c>
      <c r="AE225" s="15">
        <f t="shared" ca="1" si="149"/>
        <v>7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19080812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760.5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90</v>
      </c>
      <c r="AC226" s="15">
        <f t="shared" ca="1" si="147"/>
        <v>0</v>
      </c>
      <c r="AD226" s="76" t="str">
        <f t="shared" ca="1" si="148"/>
        <v>—</v>
      </c>
      <c r="AE226" s="15">
        <f t="shared" ca="1" si="149"/>
        <v>7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19080813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760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90</v>
      </c>
      <c r="AC227" s="15">
        <f t="shared" ca="1" si="147"/>
        <v>0</v>
      </c>
      <c r="AD227" s="76" t="str">
        <f t="shared" ca="1" si="148"/>
        <v>—</v>
      </c>
      <c r="AE227" s="15">
        <f t="shared" ca="1" si="149"/>
        <v>7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19080814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 t="str">
        <f t="shared" ca="1" si="130"/>
        <v>—</v>
      </c>
      <c r="M228" s="15">
        <f t="shared" ca="1" si="131"/>
        <v>7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 t="str">
        <f t="shared" ca="1" si="146"/>
        <v>—</v>
      </c>
      <c r="AC228" s="15">
        <f t="shared" ca="1" si="147"/>
        <v>7</v>
      </c>
      <c r="AD228" s="76" t="str">
        <f t="shared" ca="1" si="148"/>
        <v>—</v>
      </c>
      <c r="AE228" s="15">
        <f t="shared" ca="1" si="149"/>
        <v>7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19080815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90</v>
      </c>
      <c r="AC229" s="15">
        <f t="shared" ca="1" si="147"/>
        <v>0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19080816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761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90</v>
      </c>
      <c r="AC230" s="15">
        <f t="shared" ca="1" si="147"/>
        <v>0</v>
      </c>
      <c r="AD230" s="76" t="str">
        <f t="shared" ca="1" si="148"/>
        <v>—</v>
      </c>
      <c r="AE230" s="15">
        <f t="shared" ca="1" si="149"/>
        <v>7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19080817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761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90</v>
      </c>
      <c r="AC231" s="15">
        <f t="shared" ca="1" si="147"/>
        <v>0</v>
      </c>
      <c r="AD231" s="76" t="str">
        <f t="shared" ca="1" si="148"/>
        <v>—</v>
      </c>
      <c r="AE231" s="15">
        <f t="shared" ca="1" si="149"/>
        <v>7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19080818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760.5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 t="str">
        <f t="shared" ca="1" si="148"/>
        <v>—</v>
      </c>
      <c r="AE232" s="15">
        <f t="shared" ca="1" si="149"/>
        <v>7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19080819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761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90</v>
      </c>
      <c r="AC233" s="15">
        <f t="shared" ca="1" si="147"/>
        <v>0</v>
      </c>
      <c r="AD233" s="76" t="str">
        <f t="shared" ca="1" si="148"/>
        <v>—</v>
      </c>
      <c r="AE233" s="15">
        <f t="shared" ca="1" si="149"/>
        <v>7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19080820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762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135</v>
      </c>
      <c r="AC234" s="15">
        <f t="shared" ca="1" si="147"/>
        <v>0</v>
      </c>
      <c r="AD234" s="76" t="str">
        <f t="shared" ca="1" si="148"/>
        <v>—</v>
      </c>
      <c r="AE234" s="15">
        <f t="shared" ca="1" si="149"/>
        <v>7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19080821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760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 t="str">
        <f t="shared" ca="1" si="148"/>
        <v>—</v>
      </c>
      <c r="AE235" s="15">
        <f t="shared" ca="1" si="149"/>
        <v>7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19080822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761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 t="str">
        <f t="shared" ca="1" si="148"/>
        <v>—</v>
      </c>
      <c r="AE236" s="15">
        <f t="shared" ca="1" si="149"/>
        <v>7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19080823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760.5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135</v>
      </c>
      <c r="AC237" s="15">
        <f t="shared" ca="1" si="147"/>
        <v>0</v>
      </c>
      <c r="AD237" s="76" t="str">
        <f t="shared" ca="1" si="148"/>
        <v>—</v>
      </c>
      <c r="AE237" s="15">
        <f t="shared" ca="1" si="149"/>
        <v>7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19080824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761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135</v>
      </c>
      <c r="AC238" s="15">
        <f t="shared" ca="1" si="147"/>
        <v>0</v>
      </c>
      <c r="AD238" s="76" t="str">
        <f t="shared" ca="1" si="148"/>
        <v>—</v>
      </c>
      <c r="AE238" s="15">
        <f t="shared" ca="1" si="149"/>
        <v>7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19080825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90</v>
      </c>
      <c r="AC239" s="15">
        <f t="shared" ca="1" si="147"/>
        <v>0</v>
      </c>
      <c r="AD239" s="76" t="str">
        <f t="shared" ca="1" si="148"/>
        <v>—</v>
      </c>
      <c r="AE239" s="15">
        <f t="shared" ca="1" si="149"/>
        <v>7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19080826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 t="str">
        <f t="shared" ca="1" si="130"/>
        <v>—</v>
      </c>
      <c r="M240" s="15">
        <f t="shared" ca="1" si="131"/>
        <v>7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 t="str">
        <f t="shared" ca="1" si="146"/>
        <v>—</v>
      </c>
      <c r="AC240" s="15">
        <f t="shared" ca="1" si="147"/>
        <v>7</v>
      </c>
      <c r="AD240" s="76" t="str">
        <f t="shared" ca="1" si="148"/>
        <v>—</v>
      </c>
      <c r="AE240" s="15">
        <f t="shared" ca="1" si="149"/>
        <v>7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19080827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760.5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90</v>
      </c>
      <c r="AC241" s="15">
        <f t="shared" ca="1" si="147"/>
        <v>0</v>
      </c>
      <c r="AD241" s="76" t="str">
        <f t="shared" ca="1" si="148"/>
        <v>—</v>
      </c>
      <c r="AE241" s="15">
        <f t="shared" ca="1" si="149"/>
        <v>7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19080828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 t="str">
        <f t="shared" ca="1" si="148"/>
        <v>—</v>
      </c>
      <c r="AE242" s="15">
        <f t="shared" ca="1" si="149"/>
        <v>7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19080829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 t="str">
        <f t="shared" ca="1" si="148"/>
        <v>—</v>
      </c>
      <c r="AE243" s="15">
        <f t="shared" ca="1" si="149"/>
        <v>7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19080830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760.5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135</v>
      </c>
      <c r="AC244" s="15">
        <f t="shared" ca="1" si="147"/>
        <v>0</v>
      </c>
      <c r="AD244" s="76" t="str">
        <f t="shared" ca="1" si="148"/>
        <v>—</v>
      </c>
      <c r="AE244" s="15">
        <f t="shared" ca="1" si="149"/>
        <v>7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19080831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761.5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90</v>
      </c>
      <c r="AC245" s="15">
        <f t="shared" ca="1" si="147"/>
        <v>0</v>
      </c>
      <c r="AD245" s="76" t="str">
        <f t="shared" ca="1" si="148"/>
        <v>—</v>
      </c>
      <c r="AE245" s="15">
        <f t="shared" ca="1" si="149"/>
        <v>7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19080901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760.5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 t="str">
        <f t="shared" ca="1" si="148"/>
        <v>—</v>
      </c>
      <c r="AE246" s="15">
        <f t="shared" ca="1" si="149"/>
        <v>7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19080902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760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90</v>
      </c>
      <c r="AC247" s="15">
        <f t="shared" ca="1" si="147"/>
        <v>0</v>
      </c>
      <c r="AD247" s="76" t="str">
        <f t="shared" ca="1" si="148"/>
        <v>—</v>
      </c>
      <c r="AE247" s="15">
        <f t="shared" ca="1" si="149"/>
        <v>7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19080903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759.5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 t="str">
        <f t="shared" ca="1" si="148"/>
        <v>—</v>
      </c>
      <c r="AE248" s="15">
        <f t="shared" ca="1" si="149"/>
        <v>7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19080904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760.5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90</v>
      </c>
      <c r="AC249" s="15">
        <f t="shared" ca="1" si="147"/>
        <v>0</v>
      </c>
      <c r="AD249" s="76" t="str">
        <f t="shared" ca="1" si="148"/>
        <v>—</v>
      </c>
      <c r="AE249" s="15">
        <f t="shared" ca="1" si="149"/>
        <v>7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19080905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760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135</v>
      </c>
      <c r="AC250" s="15">
        <f t="shared" ca="1" si="147"/>
        <v>0</v>
      </c>
      <c r="AD250" s="76" t="str">
        <f t="shared" ca="1" si="148"/>
        <v>—</v>
      </c>
      <c r="AE250" s="15">
        <f t="shared" ca="1" si="149"/>
        <v>7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19080906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90</v>
      </c>
      <c r="AC251" s="15">
        <f t="shared" ca="1" si="147"/>
        <v>0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19080907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 t="str">
        <f t="shared" ca="1" si="130"/>
        <v>—</v>
      </c>
      <c r="M252" s="15">
        <f t="shared" ca="1" si="131"/>
        <v>7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 t="str">
        <f t="shared" ca="1" si="146"/>
        <v>—</v>
      </c>
      <c r="AC252" s="15">
        <f t="shared" ca="1" si="147"/>
        <v>7</v>
      </c>
      <c r="AD252" s="76" t="str">
        <f t="shared" ca="1" si="148"/>
        <v>—</v>
      </c>
      <c r="AE252" s="15">
        <f t="shared" ca="1" si="149"/>
        <v>7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19080908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759.5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90</v>
      </c>
      <c r="AC253" s="15">
        <f t="shared" ca="1" si="147"/>
        <v>0</v>
      </c>
      <c r="AD253" s="76" t="str">
        <f t="shared" ca="1" si="148"/>
        <v>—</v>
      </c>
      <c r="AE253" s="15">
        <f t="shared" ca="1" si="149"/>
        <v>7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19080909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759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135</v>
      </c>
      <c r="AC254" s="15">
        <f t="shared" ca="1" si="147"/>
        <v>0</v>
      </c>
      <c r="AD254" s="76" t="str">
        <f t="shared" ca="1" si="148"/>
        <v>—</v>
      </c>
      <c r="AE254" s="15">
        <f t="shared" ca="1" si="149"/>
        <v>7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19080910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759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180</v>
      </c>
      <c r="AC255" s="15">
        <f t="shared" ca="1" si="147"/>
        <v>0</v>
      </c>
      <c r="AD255" s="76" t="str">
        <f t="shared" ca="1" si="148"/>
        <v>—</v>
      </c>
      <c r="AE255" s="15">
        <f t="shared" ca="1" si="149"/>
        <v>7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19080911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 t="str">
        <f t="shared" ca="1" si="130"/>
        <v>—</v>
      </c>
      <c r="M256" s="15">
        <f t="shared" ca="1" si="131"/>
        <v>7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 t="str">
        <f t="shared" ca="1" si="146"/>
        <v>—</v>
      </c>
      <c r="AC256" s="15">
        <f t="shared" ca="1" si="147"/>
        <v>7</v>
      </c>
      <c r="AD256" s="76" t="str">
        <f t="shared" ca="1" si="148"/>
        <v>—</v>
      </c>
      <c r="AE256" s="15">
        <f t="shared" ca="1" si="149"/>
        <v>7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19080912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759.5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135</v>
      </c>
      <c r="AC257" s="15">
        <f t="shared" ca="1" si="147"/>
        <v>0</v>
      </c>
      <c r="AD257" s="76" t="str">
        <f t="shared" ca="1" si="148"/>
        <v>—</v>
      </c>
      <c r="AE257" s="15">
        <f t="shared" ca="1" si="149"/>
        <v>7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19080913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758.4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 t="str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—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19080914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758.4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135</v>
      </c>
      <c r="AC259" s="15">
        <f t="shared" ca="1" si="187"/>
        <v>0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19080915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759.5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135</v>
      </c>
      <c r="AC260" s="15">
        <f t="shared" ca="1" si="187"/>
        <v>0</v>
      </c>
      <c r="AD260" s="76" t="str">
        <f t="shared" ca="1" si="188"/>
        <v>—</v>
      </c>
      <c r="AE260" s="15">
        <f t="shared" ca="1" si="189"/>
        <v>7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19080916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759.5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90</v>
      </c>
      <c r="AC261" s="15">
        <f t="shared" ca="1" si="187"/>
        <v>0</v>
      </c>
      <c r="AD261" s="76" t="str">
        <f t="shared" ca="1" si="188"/>
        <v>—</v>
      </c>
      <c r="AE261" s="15">
        <f t="shared" ca="1" si="189"/>
        <v>7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19080917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759.5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135</v>
      </c>
      <c r="AC262" s="15">
        <f t="shared" ca="1" si="187"/>
        <v>0</v>
      </c>
      <c r="AD262" s="76" t="str">
        <f t="shared" ca="1" si="188"/>
        <v>—</v>
      </c>
      <c r="AE262" s="15">
        <f t="shared" ca="1" si="189"/>
        <v>7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19080918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135</v>
      </c>
      <c r="AC263" s="15">
        <f t="shared" ca="1" si="187"/>
        <v>0</v>
      </c>
      <c r="AD263" s="76" t="str">
        <f t="shared" ca="1" si="188"/>
        <v>—</v>
      </c>
      <c r="AE263" s="15">
        <f t="shared" ca="1" si="189"/>
        <v>7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19080919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759.5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90</v>
      </c>
      <c r="AC264" s="15">
        <f t="shared" ca="1" si="187"/>
        <v>0</v>
      </c>
      <c r="AD264" s="76" t="str">
        <f t="shared" ca="1" si="188"/>
        <v>—</v>
      </c>
      <c r="AE264" s="15">
        <f t="shared" ca="1" si="189"/>
        <v>7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19080920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760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90</v>
      </c>
      <c r="AC265" s="15">
        <f t="shared" ca="1" si="187"/>
        <v>0</v>
      </c>
      <c r="AD265" s="76" t="str">
        <f t="shared" ca="1" si="188"/>
        <v>—</v>
      </c>
      <c r="AE265" s="15">
        <f t="shared" ca="1" si="189"/>
        <v>7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19080921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135</v>
      </c>
      <c r="AC266" s="15">
        <f t="shared" ca="1" si="187"/>
        <v>0</v>
      </c>
      <c r="AD266" s="76" t="str">
        <f t="shared" ca="1" si="188"/>
        <v>—</v>
      </c>
      <c r="AE266" s="15">
        <f t="shared" ca="1" si="189"/>
        <v>7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19080922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90</v>
      </c>
      <c r="AC267" s="15">
        <f t="shared" ca="1" si="187"/>
        <v>0</v>
      </c>
      <c r="AD267" s="76" t="str">
        <f t="shared" ca="1" si="188"/>
        <v>—</v>
      </c>
      <c r="AE267" s="15">
        <f t="shared" ca="1" si="189"/>
        <v>7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19080923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90</v>
      </c>
      <c r="AC268" s="15">
        <f t="shared" ca="1" si="187"/>
        <v>0</v>
      </c>
      <c r="AD268" s="76" t="str">
        <f t="shared" ca="1" si="188"/>
        <v>—</v>
      </c>
      <c r="AE268" s="15">
        <f t="shared" ca="1" si="189"/>
        <v>7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19080924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90</v>
      </c>
      <c r="AC269" s="15">
        <f t="shared" ca="1" si="187"/>
        <v>0</v>
      </c>
      <c r="AD269" s="76" t="str">
        <f t="shared" ca="1" si="188"/>
        <v>—</v>
      </c>
      <c r="AE269" s="15">
        <f t="shared" ca="1" si="189"/>
        <v>7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19080925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757.9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90</v>
      </c>
      <c r="AC270" s="15">
        <f t="shared" ca="1" si="187"/>
        <v>0</v>
      </c>
      <c r="AD270" s="76" t="str">
        <f t="shared" ca="1" si="188"/>
        <v>—</v>
      </c>
      <c r="AE270" s="15">
        <f t="shared" ca="1" si="189"/>
        <v>7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19080926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758.4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235</v>
      </c>
      <c r="AC271" s="15">
        <f t="shared" ca="1" si="187"/>
        <v>0</v>
      </c>
      <c r="AD271" s="76" t="str">
        <f t="shared" ca="1" si="188"/>
        <v>—</v>
      </c>
      <c r="AE271" s="15">
        <f t="shared" ca="1" si="189"/>
        <v>7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19080927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235</v>
      </c>
      <c r="AC272" s="15">
        <f t="shared" ca="1" si="187"/>
        <v>0</v>
      </c>
      <c r="AD272" s="76" t="str">
        <f t="shared" ca="1" si="188"/>
        <v>—</v>
      </c>
      <c r="AE272" s="15">
        <f t="shared" ca="1" si="189"/>
        <v>7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19080928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758.4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135</v>
      </c>
      <c r="AC273" s="15">
        <f t="shared" ca="1" si="187"/>
        <v>0</v>
      </c>
      <c r="AD273" s="76" t="str">
        <f t="shared" ca="1" si="188"/>
        <v>—</v>
      </c>
      <c r="AE273" s="15">
        <f t="shared" ca="1" si="189"/>
        <v>7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19080929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 t="str">
        <f t="shared" ca="1" si="170"/>
        <v>—</v>
      </c>
      <c r="M274" s="15">
        <f t="shared" ca="1" si="171"/>
        <v>7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 t="str">
        <f t="shared" ca="1" si="186"/>
        <v>—</v>
      </c>
      <c r="AC274" s="15">
        <f t="shared" ca="1" si="187"/>
        <v>7</v>
      </c>
      <c r="AD274" s="76" t="str">
        <f t="shared" ca="1" si="188"/>
        <v>—</v>
      </c>
      <c r="AE274" s="15">
        <f t="shared" ca="1" si="189"/>
        <v>7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19080930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 t="str">
        <f t="shared" ca="1" si="170"/>
        <v>—</v>
      </c>
      <c r="M275" s="15">
        <f t="shared" ca="1" si="171"/>
        <v>7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 t="str">
        <f t="shared" ca="1" si="186"/>
        <v>—</v>
      </c>
      <c r="AC275" s="15">
        <f t="shared" ca="1" si="187"/>
        <v>7</v>
      </c>
      <c r="AD275" s="76" t="str">
        <f t="shared" ca="1" si="188"/>
        <v>—</v>
      </c>
      <c r="AE275" s="15">
        <f t="shared" ca="1" si="189"/>
        <v>7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19081001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 t="str">
        <f t="shared" ca="1" si="170"/>
        <v>—</v>
      </c>
      <c r="M276" s="15">
        <f t="shared" ca="1" si="171"/>
        <v>7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 t="str">
        <f t="shared" ca="1" si="186"/>
        <v>—</v>
      </c>
      <c r="AC276" s="15">
        <f t="shared" ca="1" si="187"/>
        <v>7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19081002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 t="str">
        <f t="shared" ca="1" si="170"/>
        <v>—</v>
      </c>
      <c r="M277" s="15">
        <f t="shared" ca="1" si="171"/>
        <v>7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 t="str">
        <f t="shared" ca="1" si="186"/>
        <v>—</v>
      </c>
      <c r="AC277" s="15">
        <f t="shared" ca="1" si="187"/>
        <v>7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19081003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759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90</v>
      </c>
      <c r="AC278" s="15">
        <f t="shared" ca="1" si="187"/>
        <v>0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19081004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758.4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19081005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19081006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757.9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135</v>
      </c>
      <c r="AC281" s="15">
        <f t="shared" ca="1" si="187"/>
        <v>0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19081007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757.9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135</v>
      </c>
      <c r="AC282" s="15">
        <f t="shared" ca="1" si="187"/>
        <v>0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19081008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19081009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759.5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90</v>
      </c>
      <c r="AC284" s="15">
        <f t="shared" ca="1" si="187"/>
        <v>0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19081010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758.4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90</v>
      </c>
      <c r="AC285" s="15">
        <f t="shared" ca="1" si="187"/>
        <v>0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19081011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90</v>
      </c>
      <c r="AC286" s="15">
        <f t="shared" ca="1" si="187"/>
        <v>0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19081012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760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19081013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759.5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90</v>
      </c>
      <c r="AC288" s="15">
        <f t="shared" ca="1" si="187"/>
        <v>0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19081014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760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19081015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759.5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135</v>
      </c>
      <c r="AC290" s="15">
        <f t="shared" ca="1" si="187"/>
        <v>0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19081016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135</v>
      </c>
      <c r="AC291" s="15">
        <f t="shared" ca="1" si="187"/>
        <v>0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19081017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90</v>
      </c>
      <c r="AC292" s="15">
        <f t="shared" ca="1" si="187"/>
        <v>0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19081018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758.4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135</v>
      </c>
      <c r="AC293" s="15">
        <f t="shared" ca="1" si="187"/>
        <v>0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19081019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757.9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135</v>
      </c>
      <c r="AC294" s="15">
        <f t="shared" ca="1" si="187"/>
        <v>0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19081020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757.9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90</v>
      </c>
      <c r="AC295" s="15">
        <f t="shared" ca="1" si="187"/>
        <v>0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19081021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759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180</v>
      </c>
      <c r="AC296" s="15">
        <f t="shared" ca="1" si="187"/>
        <v>0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19081022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759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135</v>
      </c>
      <c r="AC297" s="15">
        <f t="shared" ca="1" si="187"/>
        <v>0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19081023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135</v>
      </c>
      <c r="AC298" s="15">
        <f t="shared" ca="1" si="187"/>
        <v>0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19081024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759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90</v>
      </c>
      <c r="AC299" s="15">
        <f t="shared" ca="1" si="187"/>
        <v>0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19081025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757.9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135</v>
      </c>
      <c r="AC300" s="15">
        <f t="shared" ca="1" si="187"/>
        <v>0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19081026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757.9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90</v>
      </c>
      <c r="AC301" s="15">
        <f t="shared" ca="1" si="187"/>
        <v>0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19081027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758.4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90</v>
      </c>
      <c r="AC302" s="15">
        <f t="shared" ca="1" si="187"/>
        <v>0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19081028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758.4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90</v>
      </c>
      <c r="AC303" s="15">
        <f t="shared" ca="1" si="187"/>
        <v>0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19081029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758.4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45</v>
      </c>
      <c r="AC304" s="15">
        <f t="shared" ca="1" si="187"/>
        <v>0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19081030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757.9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45</v>
      </c>
      <c r="AC305" s="15">
        <f t="shared" ca="1" si="187"/>
        <v>0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19081031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90</v>
      </c>
      <c r="AC306" s="15">
        <f t="shared" ca="1" si="187"/>
        <v>0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19081101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759.5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19081102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759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90</v>
      </c>
      <c r="AC308" s="15">
        <f t="shared" ca="1" si="187"/>
        <v>0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19081103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758.4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90</v>
      </c>
      <c r="AC309" s="15">
        <f t="shared" ca="1" si="187"/>
        <v>0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19081104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757.9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135</v>
      </c>
      <c r="AC310" s="15">
        <f t="shared" ca="1" si="187"/>
        <v>0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19081105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135</v>
      </c>
      <c r="AC311" s="15">
        <f t="shared" ca="1" si="187"/>
        <v>0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19081106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760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90</v>
      </c>
      <c r="AC312" s="15">
        <f t="shared" ca="1" si="187"/>
        <v>0</v>
      </c>
      <c r="AD312" s="76" t="str">
        <f t="shared" ca="1" si="188"/>
        <v>—</v>
      </c>
      <c r="AE312" s="15">
        <f t="shared" ca="1" si="189"/>
        <v>7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19081107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759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135</v>
      </c>
      <c r="AC313" s="15">
        <f t="shared" ca="1" si="187"/>
        <v>0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19081108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758.4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90</v>
      </c>
      <c r="AC314" s="15">
        <f t="shared" ca="1" si="187"/>
        <v>0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19081109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759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90</v>
      </c>
      <c r="AC315" s="15">
        <f t="shared" ca="1" si="187"/>
        <v>0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19081110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759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90</v>
      </c>
      <c r="AC316" s="15">
        <f t="shared" ca="1" si="187"/>
        <v>0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19081111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760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135</v>
      </c>
      <c r="AC317" s="15">
        <f t="shared" ca="1" si="187"/>
        <v>0</v>
      </c>
      <c r="AD317" s="76" t="str">
        <f t="shared" ca="1" si="188"/>
        <v>—</v>
      </c>
      <c r="AE317" s="15">
        <f t="shared" ca="1" si="189"/>
        <v>7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19081112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760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45</v>
      </c>
      <c r="AC318" s="15">
        <f t="shared" ca="1" si="187"/>
        <v>0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19081113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760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90</v>
      </c>
      <c r="AC319" s="15">
        <f t="shared" ca="1" si="187"/>
        <v>0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19081114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761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90</v>
      </c>
      <c r="AC320" s="15">
        <f t="shared" ca="1" si="187"/>
        <v>0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19081115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762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>
        <f t="shared" ca="1" si="186"/>
        <v>90</v>
      </c>
      <c r="AC321" s="15">
        <f t="shared" ca="1" si="187"/>
        <v>0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7" si="200">INDEX(Stations,2,1)</f>
        <v>78989</v>
      </c>
      <c r="B322" t="str">
        <f ca="1">TEXT(DATE(YEAR(Invoer!$A$5),1,1)+ROWS(B$2:B322)-1,"jjjjmmdd")</f>
        <v>19081116</v>
      </c>
      <c r="C322" s="72">
        <f t="shared" ref="C322:C367" si="201">Tijd</f>
        <v>800</v>
      </c>
      <c r="D322" s="16" t="str">
        <f t="shared" ref="D322:D367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7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7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7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7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7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7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7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7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7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7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7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7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7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7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7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7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7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7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7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7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7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7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7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7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7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7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7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7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7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7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7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7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7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19081117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19081118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19081119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19081120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19081121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19081122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19081123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19081124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19081125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19081126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19081127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19081128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19081129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19081130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19081201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19081202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19081203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19081204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19081205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19081206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19081207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19081208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19081209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19081210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19081211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19081212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19081213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19081214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19081215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19081216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19081217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19081218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19081219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19081220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19081221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19081222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19081223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19081224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19081225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19081226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19081227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19081228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19081229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19081230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  <row r="367" spans="1:41" x14ac:dyDescent="0.25">
      <c r="A367" s="4">
        <f t="shared" si="200"/>
        <v>78989</v>
      </c>
      <c r="B367" t="str">
        <f ca="1">TEXT(DATE(YEAR(Invoer!$A$5),1,1)+ROWS(B$2:B367)-1,"jjjjmmdd")</f>
        <v>19081231</v>
      </c>
      <c r="C367" s="72">
        <f t="shared" si="201"/>
        <v>800</v>
      </c>
      <c r="D367" s="16" t="str">
        <f t="shared" ca="1" si="202"/>
        <v>—</v>
      </c>
      <c r="E367" s="15">
        <f t="shared" ca="1" si="203"/>
        <v>7</v>
      </c>
      <c r="F367" s="73" t="str">
        <f t="shared" ca="1" si="204"/>
        <v>—</v>
      </c>
      <c r="G367" s="15">
        <f t="shared" ca="1" si="205"/>
        <v>7</v>
      </c>
      <c r="H367" s="73" t="str">
        <f t="shared" ca="1" si="206"/>
        <v>—</v>
      </c>
      <c r="I367" s="15">
        <f t="shared" ca="1" si="207"/>
        <v>7</v>
      </c>
      <c r="J367" s="73" t="str">
        <f t="shared" ca="1" si="208"/>
        <v>—</v>
      </c>
      <c r="K367" s="15">
        <f t="shared" ca="1" si="209"/>
        <v>7</v>
      </c>
      <c r="L367" s="16" t="str">
        <f t="shared" ca="1" si="210"/>
        <v>—</v>
      </c>
      <c r="M367" s="15">
        <f t="shared" ca="1" si="211"/>
        <v>7</v>
      </c>
      <c r="N367" s="16" t="str">
        <f t="shared" ca="1" si="212"/>
        <v>—</v>
      </c>
      <c r="O367" s="15">
        <f t="shared" ca="1" si="213"/>
        <v>7</v>
      </c>
      <c r="P367" s="16" t="str">
        <f t="shared" ca="1" si="214"/>
        <v>—</v>
      </c>
      <c r="Q367" s="15">
        <f t="shared" ca="1" si="215"/>
        <v>7</v>
      </c>
      <c r="R367" s="16" t="str">
        <f t="shared" ca="1" si="216"/>
        <v>—</v>
      </c>
      <c r="S367" s="15">
        <f t="shared" ca="1" si="217"/>
        <v>7</v>
      </c>
      <c r="T367" s="9" t="str">
        <f t="shared" ca="1" si="218"/>
        <v>—</v>
      </c>
      <c r="U367" s="15">
        <f t="shared" ca="1" si="219"/>
        <v>7</v>
      </c>
      <c r="V367" s="16" t="str">
        <f t="shared" ca="1" si="220"/>
        <v>—</v>
      </c>
      <c r="W367" s="15">
        <f t="shared" ca="1" si="221"/>
        <v>7</v>
      </c>
      <c r="X367" s="16" t="str">
        <f t="shared" ca="1" si="222"/>
        <v>—</v>
      </c>
      <c r="Y367" s="15">
        <f t="shared" ca="1" si="223"/>
        <v>7</v>
      </c>
      <c r="Z367" s="16" t="str">
        <f t="shared" ca="1" si="224"/>
        <v>—</v>
      </c>
      <c r="AA367" s="15">
        <f t="shared" ca="1" si="225"/>
        <v>7</v>
      </c>
      <c r="AB367" s="9" t="str">
        <f t="shared" ca="1" si="226"/>
        <v>—</v>
      </c>
      <c r="AC367" s="15">
        <f t="shared" ref="AC367" ca="1" si="240">IF(OR(ISBLANK(VLOOKUP(DATEVALUE(LEFT($B367,4)&amp;"-"&amp;MID($B367,5,2)&amp;"-"&amp;RIGHT($B367,2)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ISNA(MATCH(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67" s="76" t="str">
        <f t="shared" ca="1" si="228"/>
        <v>—</v>
      </c>
      <c r="AE367" s="15">
        <f t="shared" ca="1" si="229"/>
        <v>7</v>
      </c>
      <c r="AF367" s="76" t="str">
        <f t="shared" ca="1" si="230"/>
        <v>—</v>
      </c>
      <c r="AG367" s="15">
        <f t="shared" ca="1" si="231"/>
        <v>7</v>
      </c>
      <c r="AH367" s="9" t="str">
        <f t="shared" ca="1" si="232"/>
        <v>—</v>
      </c>
      <c r="AI367" s="15">
        <f t="shared" ref="AI367" ca="1" si="241">IF(OR(ISBLANK(VLOOKUP(DATEVALUE(LEFT($B367,4)&amp;"-"&amp;MID($B367,5,2)&amp;"-"&amp;RIGHT($B367,2)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ISNA(MATCH(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67" s="26" t="str">
        <f t="shared" ca="1" si="234"/>
        <v>—</v>
      </c>
      <c r="AK367" s="15">
        <f t="shared" ca="1" si="235"/>
        <v>7</v>
      </c>
      <c r="AL367" s="9" t="str">
        <f t="shared" ca="1" si="236"/>
        <v>—</v>
      </c>
      <c r="AM367" s="15">
        <f t="shared" ref="AM367" ca="1" si="242">IF(OR(ISBLANK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AND(ISTEX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EXAC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,"—"))),Lacking,IF(ISNA(MATCH(DATEVALUE(LEFT($B367,4)&amp;"-"&amp;MID($B367,5,2)&amp;"-"&amp;RIGHT($B367,2)),OFFSET(Catalogus,0,0,,1),0)),Ok,VLOOKUP(DATEVALUE(LEFT($B367,4)&amp;"-"&amp;MID($B367,5,2)&amp;"-"&amp;RIGHT($B367,2)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67" s="9" t="str">
        <f t="shared" ca="1" si="238"/>
        <v>—</v>
      </c>
      <c r="AO367" s="15">
        <f t="shared" ref="AO367" ca="1" si="243">IF(OR(ISBLANK(VLOOKUP(DATEVALUE(LEFT($B367,4)&amp;"-"&amp;MID($B367,5,2)&amp;"-"&amp;RIGHT($B367,2)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ISNA(MATCH(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 F367:AO36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19080101,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19080102,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19080103,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19080104,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19080105,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19080106,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19080107,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19080108,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19080109,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19080110,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19080111,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19080112,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19080113,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19080114,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19080115,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19080116,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19080117,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19080118,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19080119,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19080120,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19080121,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19080122,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19080123,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19080124,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19080125,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19080126,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19080127,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19080128,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19080129,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19080130,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19080131,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19080201,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19080202,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19080203,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19080204,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19080205,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19080206,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19080207,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19080208,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19080209,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19080210,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19080211,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19080212,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19080213,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19080214,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19080215,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19080216,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19080217,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19080218,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19080219,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19080220,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19080221,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19080222,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19080223,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19080224,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19080225,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19080226,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19080227,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19080228,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19080229,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19080301,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19080302,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19080303,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19080304,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19080305,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19080306,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19080307,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19080308,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19080309,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19080310,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19080311,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19080312,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19080313,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19080314,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19080315,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19080316,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19080317,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19080318,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19080319,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19080320,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19080321,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19080322,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19080323,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19080324,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19080325,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19080326,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19080327,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19080328,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19080329,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19080330,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19080331,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19080401,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19080402,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19080403,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19080404,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19080405,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19080406,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19080407,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19080408,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19080409,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19080410,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19080411,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19080412,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19080413,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19080414,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19080415,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19080416,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19080417,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19080418,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19080419,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19080420,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19080421,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19080422,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19080423,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19080424,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19080425,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19080426,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19080427,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19080428,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19080429,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19080430,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19080501,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19080502,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19080503,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19080504,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19080505,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19080506,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19080507,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19080508,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19080509,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19080510,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19080511,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19080512,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19080513,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19080514,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19080515,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19080516,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19080517,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19080518,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19080519,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19080520,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19080521,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19080522,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19080523,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19080524,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19080525,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19080526,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19080527,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19080528,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19080529,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19080530,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19080531,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19080601,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19080602,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19080603,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19080604,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19080605,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19080606,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19080607,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19080608,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19080609,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19080610,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19080611,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19080612,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19080613,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19080614,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19080615,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19080616,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19080617,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19080618,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19080619,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19080620,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19080621,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19080622,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19080623,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19080624,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19080625,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19080626,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19080627,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19080628,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19080629,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19080630,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19080701,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19080702,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19080703,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19080704,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19080705,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19080706,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19080707,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19080708,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19080709,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19080710,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19080711,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19080712,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19080713,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19080714,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19080715,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19080716,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19080717,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19080718, 1, ////, 07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19080719, 1, ////, 07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19080720, 1, ////, 07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19080721, 1, ////, 07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19080722, 1, ////, 07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19080723, 1, ////, 07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19080724, 1, ////, 07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19080725, 1, ////, 07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19080726, 1, ////, 07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19080727, 1, ////, 07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19080728, 1, ////, 07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19080729, 1, ////, 07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19080730, 1, ////, 07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19080731,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19080801,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19080802,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19080803,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19080804,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19080805,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19080806,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19080807,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19080808,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19080809,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19080810,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19080811,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19080812,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19080813,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19080814,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19080815,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19080816, 1, ////, 07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19080817, 1, ////, 07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19080818, 1, ////, 07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19080819, 1, ////, 07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19080820, 1, ////, 07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19080821,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19080822,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19080823,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19080824,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19080825,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19080826,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19080827,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19080828,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19080829,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19080830,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19080831,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19080901,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19080902,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19080903,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19080904,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19080905,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19080906,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19080907,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19080908,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19080909,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19080910,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19080911,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19080912,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19080913,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19080914,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19080915,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19080916,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19080917,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19080918,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19080919,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19080920,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19080921,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19080922,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19080923,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19080924,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19080925,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19080926,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19080927,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19080928,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19080929,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19080930,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19081001,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19081002,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19081003,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19081004,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19081005,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19081006,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19081007,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19081008,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19081009,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19081010,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19081011,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19081012,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19081013,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19081014,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19081015,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19081016,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19081017,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19081018,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19081019,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19081020,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19081021,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19081022,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19081023,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19081024,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19081025,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19081026,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19081027,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19081028,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19081029,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19081030,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19081031,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19081101,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19081102,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19081103,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19081104,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19081105,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19081106,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19081107,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19081108,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19081109,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19081110,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19081111,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19081112,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19081113,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19081114,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19081115,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19081116,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19081117,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19081118,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19081119,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19081120,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19081121,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19081122,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19081123,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19081124,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19081125,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19081126,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19081127,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19081128,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19081129,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19081130,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19081201,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19081202,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19081203,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19081204,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19081205,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19081206,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19081207,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19081208,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19081209,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19081210,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19081211,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19081212,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19081213,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19081214,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19081215,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19081216,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19081217,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19081218,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19081219,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19081220,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19081221,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19081222,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19081223,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19081224,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19081225,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19081226,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19081227,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19081228,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19081229,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19081230, 1, ////, 07</v>
      </c>
    </row>
    <row r="367" spans="1:1" x14ac:dyDescent="0.25">
      <c r="A367" s="11" t="str">
        <f ca="1">TEXT(Regen!A367,"000\,")&amp;TEXT(Regen!B367,"?00000000")&amp;TEXT(Regen!C367,""",""?0")&amp;IF(EXACT(Regen!D367,"T"),", ""tr""",SUBSTITUTE(TEXT(IF(ISTEXT(Regen!D367),Regen!D367,10*Regen!D367),""",""????0;"",""???-0;"",""????0;"", ////"""),"'",""""))&amp;SUBSTITUTE(TEXT(Regen!E367,""",""?00;"",""?-00;"",""?00;"", //"""),"'","""")</f>
        <v>78989, 19081231,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19080101,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19080102,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19080103,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19080104,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19080105,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19080106,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19080107,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19080108,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19080109,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19080110,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19080111,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19080112,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19080113,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19080114,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19080115,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19080116,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19080117,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19080118,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19080119,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19080120,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19080121,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19080122,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19080123,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19080124,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19080125,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19080126,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19080127,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19080128,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19080129,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19080130,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19080131,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19080201,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19080202,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19080203,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19080204,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19080205,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19080206,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19080207,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19080208,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19080209,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19080210,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19080211,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19080212,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19080213,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19080214,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19080215,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19080216,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19080217,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19080218,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19080219,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19080220,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19080221,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19080222,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19080223,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19080224,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19080225,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19080226,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19080227,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19080228,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19080229,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19080301,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19080302,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19080303,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19080304,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19080305,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19080306,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19080307,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19080308,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19080309,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19080310,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19080311,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19080312,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19080313,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19080314,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19080315,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19080316,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19080317,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19080318,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19080319,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19080320,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19080321,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19080322,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19080323,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19080324,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19080325,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19080326,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19080327,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19080328,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19080329,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19080330,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19080331,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19080401,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19080402,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19080403,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19080404,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19080405,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19080406,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19080407,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19080408,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19080409,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19080410,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19080411,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19080412,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19080413,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19080414,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19080415,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19080416,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19080417,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19080418,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19080419,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19080420,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19080421,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19080422,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19080423,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19080424,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19080425,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19080426,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19080427,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19080428,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19080429,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19080430,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19080501,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19080502,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19080503,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19080504,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19080505,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19080506,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19080507,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19080508,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19080509,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19080510,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19080511,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19080512,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19080513,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19080514,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19080515,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19080516,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19080517,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19080518,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19080519,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19080520,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19080521,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19080522,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19080523,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19080524,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19080525,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19080526,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19080527,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19080528,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19080529,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19080530,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19080531,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19080601,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19080602,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19080603,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19080604,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19080605,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19080606,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19080607,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19080608,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19080609,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19080610,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19080611,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19080612,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19080613,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19080614,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19080615,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19080616,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19080617,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19080618,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19080619,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19080620,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19080621,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19080622,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19080623,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19080624,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19080625,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19080626,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19080627,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19080628,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19080629,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19080630, 0800, ////, 07, /////, 07, ////, 07, /////, 07, ////, 07, ////, 07, ////, 07, ////, 07, ///, 07, ///, 07, ////, 07, ////, 07, ///, 07,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19080701, 0800, ////, 07, /////, 07, ////, 07, /////, 07, 7584, 00, ////, 07, ////, 07, ////, 07, ///, 07, ///, 07, ////, 07, ////, 07,  90, 00, ////, 07,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19080702, 0800, ////, 07, /////, 07, ////, 07, /////, 07, 7625, 00, ////, 07, ////, 07, ////, 07, ///, 07, ///, 07, ////, 07, ////, 07,  90, 00, ////, 07,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19080703, 0800, ////, 07, /////, 07, ////, 07, /////, 07, 7615, 00, ////, 07, ////, 07, ////, 07, ///, 07, ///, 07, ////, 07, ////, 07,  90, 00,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19080704, 0800, ////, 07, /////, 07, ////, 07, /////, 07, 7620, 00, ////, 07, ////, 07, ////, 07, ///, 07, ///, 07, ////, 07, ////, 07, 135, 00,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19080705, 0800, ////, 07, /////, 07, ////, 07, /////, 07, 7620, 00, ////, 07, ////, 07, ////, 07, ///, 07, ///, 07, ////, 07, ////, 07,  90, 00,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19080706, 0800, ////, 07, /////, 07, ////, 07, /////, 07, 7615, 00, ////, 07, ////, 07, ////, 07, ///, 07, ///, 07, ////, 07, ////, 07,  90, 00, ////, 07,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19080707, 0800, ////, 07, /////, 07, ////, 07, /////, 07, 7610, 00, ////, 07, ////, 07, ////, 07, ///, 07, ///, 07, ////, 07, ////, 07,  90, 00, ////, 07,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19080708, 0800, ////, 07, /////, 07, ////, 07, /////, 07, 7615, 00, ////, 07, ////, 07, ////, 07, ///, 07, ///, 07, ////, 07, ////, 07,  90, 00, ////, 07,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19080709, 0800, ////, 07, /////, 07, ////, 07, /////, 07, 7620, 00, ////, 07, ////, 07, ////, 07, ///, 07, ///, 07, ////, 07, ////, 07,  90, 00, ////, 07,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19080710, 0800, ////, 07, /////, 07, ////, 07, /////, 07, 7620, 00, ////, 07, ////, 07, ////, 07, ///, 07, ///, 07, ////, 07, ////, 07,  90, 00, ////, 07,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19080711, 0800, ////, 07, /////, 07, ////, 07, /////, 07, 7620, 00, ////, 07, ////, 07, ////, 07, ///, 07, ///, 07, ////, 07, ////, 07,  90, 00, ////, 07,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19080712, 0800, ////, 07, /////, 07, ////, 07, /////, 07, 7625, 00, ////, 07, ////, 07, ////, 07, ///, 07, ///, 07, ////, 07, ////, 07,  90, 00, ////, 07,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19080713, 0800, ////, 07, /////, 07, ////, 07, /////, 07, 7615, 00, ////, 07, ////, 07, ////, 07, ///, 07, ///, 07, ////, 07, ////, 07,  90, 00, ////, 07,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19080714, 0800, ////, 07, /////, 07, ////, 07, /////, 07, 7600, 00, ////, 07, ////, 07, ////, 07, ///, 07, ///, 07, ////, 07, ////, 07,  90, 00, ////, 07,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19080715, 0800, ////, 07, /////, 07, ////, 07, /////, 07, 7590, 00, ////, 07, ////, 07, ////, 07, ///, 07, ///, 07, ////, 07, ////, 07, 135, 00, ////, 07,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19080716, 0800, ////, 07, /////, 07, ////, 07, /////, 07, 7610, 00, ////, 07, ////, 07, ////, 07, ///, 07, ///, 07, ////, 07, ////, 07,  90, 00, ////, 07,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19080717, 0800, ////, 07, /////, 07, ////, 07, /////, 07, 7615, 00, ////, 07, ////, 07, ////, 07, ///, 07, ///, 07, ////, 07, ////, 07,  90, 00, ////, 07,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19080718, 0800, ////, 07, /////, 07, ////, 07, /////, 07, 7625, 00, ////, 07, ////, 07, ////, 07, ///, 07, ///, 07, ////, 07, ////, 07,  90, 00, ////, 07,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19080719, 0800, ////, 07, /////, 07, ////, 07, /////, 07, ////, 07, ////, 07, ////, 07, ////, 07, ///, 07, ///, 07, ////, 07, ////, 07, ///, 07, ////, 07,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19080720, 0800, ////, 07, /////, 07, ////, 07, /////, 07, 7615, 00, ////, 07, ////, 07, ////, 07, ///, 07, ///, 07, ////, 07, ////, 07,  90, 00, ////, 07,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19080721, 0800, ////, 07, /////, 07, ////, 07, /////, 07, 7610, 00, ////, 07, ////, 07, ////, 07, ///, 07, ///, 07, ////, 07, ////, 07,  90, 00, ////, 07,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19080722, 0800, ////, 07, /////, 07, ////, 07, /////, 07, 7605, 00, ////, 07, ////, 07, ////, 07, ///, 07, ///, 07, ////, 07, ////, 07,  90, 00, ////, 07,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19080723, 0800, ////, 07, /////, 07, ////, 07, /////, 07, 7605, 00, ////, 07, ////, 07, ////, 07, ///, 07, ///, 07, ////, 07, ////, 07,  90, 00, ////, 07,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19080724, 0800, ////, 07, /////, 07, ////, 07, /////, 07, 7610, 00, ////, 07, ////, 07, ////, 07, ///, 07, ///, 07, ////, 07, ////, 07,  90, 00, ////, 07,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19080725, 0800, ////, 07, /////, 07, ////, 07, /////, 07, 7605, 00, ////, 07, ////, 07, ////, 07, ///, 07, ///, 07, ////, 07, ////, 07,  90, 00, ////, 07,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19080726, 0800, ////, 07, /////, 07, ////, 07, /////, 07, 7600, 00, ////, 07, ////, 07, ////, 07, ///, 07, ///, 07, ////, 07, ////, 07,  90, 00, ////, 07,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19080727, 0800, ////, 07, /////, 07, ////, 07, /////, 07, 7600, 00, ////, 07, ////, 07, ////, 07, ///, 07, ///, 07, ////, 07, ////, 07,  90, 00, ////, 07,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19080728, 0800, ////, 07, /////, 07, ////, 07, /////, 07, 7600, 00, ////, 07, ////, 07, ////, 07, ///, 07, ///, 07, ////, 07, ////, 07,  90, 00, ////, 07,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19080729, 0800, ////, 07, /////, 07, ////, 07, /////, 07, 7595, 00, ////, 07, ////, 07, ////, 07, ///, 07, ///, 07, ////, 07, ////, 07,  90, 00, ////, 07,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19080730, 0800, ////, 07, /////, 07, ////, 07, /////, 07, 7605, 00, ////, 07, ////, 07, ////, 07, ///, 07, ///, 07, ////, 07, ////, 07,  90, 00, ////, 07,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19080731, 0800, ////, 07, /////, 07, ////, 07, /////, 07, 7595, 00, ////, 07, ////, 07, ////, 07, ///, 07, ///, 07, ////, 07, ////, 07,  90, 00, ////, 07,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19080801, 0800, ////, 07, /////, 07, ////, 07, /////, 07, 7600, 00, ////, 07, ////, 07, ////, 07, ///, 07, ///, 07, ////, 07, ////, 07,  90, 00, ////, 07,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19080802, 0800, ////, 07, /////, 07, ////, 07, /////, 07, 7605, 00, ////, 07, ////, 07, ////, 07, ///, 07, ///, 07, ////, 07, ////, 07,  90, 00, ////, 07,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19080803, 0800, ////, 07, /////, 07, ////, 07, /////, 07, 7600, 00, ////, 07, ////, 07, ////, 07, ///, 07, ///, 07, ////, 07, ////, 07,  90, 00,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19080804, 0800, ////, 07, /////, 07, ////, 07, /////, 07, ////, 07, ////, 07, ////, 07, ////, 07, ///, 07, ///, 07, ////, 07, ////, 07, ///, 07, ////, 07,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19080805, 0800, ////, 07, /////, 07, ////, 07, /////, 07, 7590, 00, ////, 07, ////, 07, ////, 07, ///, 07, ///, 07, ////, 07, ////, 07,  90, 00, ////, 07,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19080806, 0800, ////, 07, /////, 07, ////, 07, /////, 07, 7595, 00, ////, 07, ////, 07, ////, 07, ///, 07, ///, 07, ////, 07, ////, 07, 135, 00, ////, 07,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19080807, 0800, ////, 07, /////, 07, ////, 07, /////, 07, 7600, 00, ////, 07, ////, 07, ////, 07, ///, 07, ///, 07, ////, 07, ////, 07, 135, 00, ////, 07,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19080808, 0800, ////, 07, /////, 07, ////, 07, /////, 07, 7595, 00, ////, 07, ////, 07, ////, 07, ///, 07, ///, 07, ////, 07, ////, 07,  90, 00, ////, 07,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19080809, 0800, ////, 07, /////, 07, ////, 07, /////, 07, 7600, 00, ////, 07, ////, 07, ////, 07, ///, 07, ///, 07, ////, 07, ////, 07,  90, 00, ////, 07,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19080810, 0800, ////, 07, /////, 07, ////, 07, /////, 07, 7595, 00, ////, 07, ////, 07, ////, 07, ///, 07, ///, 07, ////, 07, ////, 07,  90, 00, ////, 07,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19080811, 0800, ////, 07, /////, 07, ////, 07, /////, 07, 7605, 00, ////, 07, ////, 07, ////, 07, ///, 07, ///, 07, ////, 07, ////, 07,  90, 00, ////, 07,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19080812, 0800, ////, 07, /////, 07, ////, 07, /////, 07, 7605, 00, ////, 07, ////, 07, ////, 07, ///, 07, ///, 07, ////, 07, ////, 07,  90, 00, ////, 07,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19080813, 0800, ////, 07, /////, 07, ////, 07, /////, 07, 7600, 00, ////, 07, ////, 07, ////, 07, ///, 07, ///, 07, ////, 07, ////, 07,  90, 00, ////, 07,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19080814, 0800, ////, 07, /////, 07, ////, 07, /////, 07, ////, 07, ////, 07, ////, 07, ////, 07, ///, 07, ///, 07, ////, 07, ////, 07, ///, 07, ////, 07,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19080815, 0800, ////, 07, /////, 07, ////, 07, /////, 07, 7600, 00, ////, 07, ////, 07, ////, 07, ///, 07, ///, 07, ////, 07, ////, 07,  90, 00,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19080816, 0800, ////, 07, /////, 07, ////, 07, /////, 07, 7610, 00, ////, 07, ////, 07, ////, 07, ///, 07, ///, 07, ////, 07, ////, 07,  90, 00, ////, 07,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19080817, 0800, ////, 07, /////, 07, ////, 07, /////, 07, 7610, 00, ////, 07, ////, 07, ////, 07, ///, 07, ///, 07, ////, 07, ////, 07,  90, 00, ////, 07,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19080818, 0800, ////, 07, /////, 07, ////, 07, /////, 07, 7605, 00, ////, 07, ////, 07, ////, 07, ///, 07, ///, 07, ////, 07, ////, 07,  90, 00, ////, 07,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19080819, 0800, ////, 07, /////, 07, ////, 07, /////, 07, 7610, 00, ////, 07, ////, 07, ////, 07, ///, 07, ///, 07, ////, 07, ////, 07,  90, 00, ////, 07,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19080820, 0800, ////, 07, /////, 07, ////, 07, /////, 07, 7620, 00, ////, 07, ////, 07, ////, 07, ///, 07, ///, 07, ////, 07, ////, 07, 135, 00, ////, 07,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19080821, 0800, ////, 07, /////, 07, ////, 07, /////, 07, 7600, 00, ////, 07, ////, 07, ////, 07, ///, 07, ///, 07, ////, 07, ////, 07,  90, 00, ////, 07,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19080822, 0800, ////, 07, /////, 07, ////, 07, /////, 07, 7610, 00, ////, 07, ////, 07, ////, 07, ///, 07, ///, 07, ////, 07, ////, 07,  90, 00, ////, 07,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19080823, 0800, ////, 07, /////, 07, ////, 07, /////, 07, 7605, 00, ////, 07, ////, 07, ////, 07, ///, 07, ///, 07, ////, 07, ////, 07, 135, 00, ////, 07,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19080824, 0800, ////, 07, /////, 07, ////, 07, /////, 07, 7610, 00, ////, 07, ////, 07, ////, 07, ///, 07, ///, 07, ////, 07, ////, 07, 135, 00, ////, 07,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19080825, 0800, ////, 07, /////, 07, ////, 07, /////, 07, 7600, 00, ////, 07, ////, 07, ////, 07, ///, 07, ///, 07, ////, 07, ////, 07,  90, 00, ////, 07,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19080826, 0800, ////, 07, /////, 07, ////, 07, /////, 07, ////, 07, ////, 07, ////, 07, ////, 07, ///, 07, ///, 07, ////, 07, ////, 07, ///, 07, ////, 07,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19080827, 0800, ////, 07, /////, 07, ////, 07, /////, 07, 7605, 00, ////, 07, ////, 07, ////, 07, ///, 07, ///, 07, ////, 07, ////, 07,  90, 00, ////, 07,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19080828, 0800, ////, 07, /////, 07, ////, 07, /////, 07, 7600, 00, ////, 07, ////, 07, ////, 07, ///, 07, ///, 07, ////, 07, ////, 07,  90, 00, ////, 07,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19080829, 0800, ////, 07, /////, 07, ////, 07, /////, 07, 7600, 00, ////, 07, ////, 07, ////, 07, ///, 07, ///, 07, ////, 07, ////, 07,  90, 00, ////, 07,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19080830, 0800, ////, 07, /////, 07, ////, 07, /////, 07, 7605, 00, ////, 07, ////, 07, ////, 07, ///, 07, ///, 07, ////, 07, ////, 07, 135, 00, ////, 07,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19080831, 0800, ////, 07, /////, 07, ////, 07, /////, 07, 7615, 00, ////, 07, ////, 07, ////, 07, ///, 07, ///, 07, ////, 07, ////, 07,  90, 00, ////, 07,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19080901, 0800, ////, 07, /////, 07, ////, 07, /////, 07, 7605, 00, ////, 07, ////, 07, ////, 07, ///, 07, ///, 07, ////, 07, ////, 07,  90, 00, ////, 07,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19080902, 0800, ////, 07, /////, 07, ////, 07, /////, 07, 7600, 00, ////, 07, ////, 07, ////, 07, ///, 07, ///, 07, ////, 07, ////, 07,  90, 00, ////, 07,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19080903, 0800, ////, 07, /////, 07, ////, 07, /////, 07, 7595, 00, ////, 07, ////, 07, ////, 07, ///, 07, ///, 07, ////, 07, ////, 07,  90, 00, ////, 07,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19080904, 0800, ////, 07, /////, 07, ////, 07, /////, 07, 7605, 00, ////, 07, ////, 07, ////, 07, ///, 07, ///, 07, ////, 07, ////, 07,  90, 00, ////, 07,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19080905, 0800, ////, 07, /////, 07, ////, 07, /////, 07, 7600, 00, ////, 07, ////, 07, ////, 07, ///, 07, ///, 07, ////, 07, ////, 07, 135, 00, ////, 07,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19080906, 0800, ////, 07, /////, 07, ////, 07, /////, 07, 7595, 00, ////, 07, ////, 07, ////, 07, ///, 07, ///, 07, ////, 07, ////, 07,  90, 00,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19080907, 0800, ////, 07, /////, 07, ////, 07, /////, 07, ////, 07, ////, 07, ////, 07, ////, 07, ///, 07, ///, 07, ////, 07, ////, 07, ///, 07, ////, 07,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19080908, 0800, ////, 07, /////, 07, ////, 07, /////, 07, 7595, 00, ////, 07, ////, 07, ////, 07, ///, 07, ///, 07, ////, 07, ////, 07,  90, 00, ////, 07,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19080909, 0800, ////, 07, /////, 07, ////, 07, /////, 07, 7590, 00, ////, 07, ////, 07, ////, 07, ///, 07, ///, 07, ////, 07, ////, 07, 135, 00, ////, 07,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19080910, 0800, ////, 07, /////, 07, ////, 07, /////, 07, 7590, 00, ////, 07, ////, 07, ////, 07, ///, 07, ///, 07, ////, 07, ////, 07, 180, 00, ////, 07,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19080911, 0800, ////, 07, /////, 07, ////, 07, /////, 07, ////, 07, ////, 07, ////, 07, ////, 07, ///, 07, ///, 07, ////, 07, ////, 07, ///, 07, ////, 07,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19080912, 0800, ////, 07, /////, 07, ////, 07, /////, 07, 7595, 00, ////, 07, ////, 07, ////, 07, ///, 07, ///, 07, ////, 07, ////, 07, 135, 00, ////, 07,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19080913, 0800, ////, 07, /////, 07, ////, 07, /////, 07, 7584, 00, ////, 07, ////, 07, ////, 07, ///, 07, ///, 07, ////, 07, ////, 07, 135, 00, ////, 07,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19080914, 0800, ////, 07, /////, 07, ////, 07, /////, 07, 7584, 00, ////, 07, ////, 07, ////, 07, ///, 07, ///, 07, ////, 07, ////, 07, 135, 00,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19080915, 0800, ////, 07, /////, 07, ////, 07, /////, 07, 7595, 00, ////, 07, ////, 07, ////, 07, ///, 07, ///, 07, ////, 07, ////, 07, 135, 00, ////, 07,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19080916, 0800, ////, 07, /////, 07, ////, 07, /////, 07, 7595, 00, ////, 07, ////, 07, ////, 07, ///, 07, ///, 07, ////, 07, ////, 07,  90, 00, ////, 07,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19080917, 0800, ////, 07, /////, 07, ////, 07, /////, 07, 7595, 00, ////, 07, ////, 07, ////, 07, ///, 07, ///, 07, ////, 07, ////, 07, 135, 00, ////, 07,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19080918, 0800, ////, 07, /////, 07, ////, 07, /////, 07, 7590, 00, ////, 07, ////, 07, ////, 07, ///, 07, ///, 07, ////, 07, ////, 07, 135, 00, ////, 07,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19080919, 0800, ////, 07, /////, 07, ////, 07, /////, 07, 7595, 00, ////, 07, ////, 07, ////, 07, ///, 07, ///, 07, ////, 07, ////, 07,  90, 00, ////, 07,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19080920, 0800, ////, 07, /////, 07, ////, 07, /////, 07, 7600, 00, ////, 07, ////, 07, ////, 07, ///, 07, ///, 07, ////, 07, ////, 07,  90, 00, ////, 07,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19080921, 0800, ////, 07, /////, 07, ////, 07, /////, 07, 7590, 00, ////, 07, ////, 07, ////, 07, ///, 07, ///, 07, ////, 07, ////, 07, 135, 00, ////, 07,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19080922, 0800, ////, 07, /////, 07, ////, 07, /////, 07, 7590, 00, ////, 07, ////, 07, ////, 07, ///, 07, ///, 07, ////, 07, ////, 07,  90, 00, ////, 07,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19080923, 0800, ////, 07, /////, 07, ////, 07, /////, 07, 7590, 00, ////, 07, ////, 07, ////, 07, ///, 07, ///, 07, ////, 07, ////, 07,  90, 00, ////, 07,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19080924, 0800, ////, 07, /////, 07, ////, 07, /////, 07, 7590, 00, ////, 07, ////, 07, ////, 07, ///, 07, ///, 07, ////, 07, ////, 07,  90, 00, ////, 07,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19080925, 0800, ////, 07, /////, 07, ////, 07, /////, 07, 7579, 00, ////, 07, ////, 07, ////, 07, ///, 07, ///, 07, ////, 07, ////, 07,  90, 00, ////, 07,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19080926, 0800, ////, 07, /////, 07, ////, 07, /////, 07, 7584, 00, ////, 07, ////, 07, ////, 07, ///, 07, ///, 07, ////, 07, ////, 07, 235, 00, ////, 07,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19080927, 0800, ////, 07, /////, 07, ////, 07, /////, 07, 7590, 00, ////, 07, ////, 07, ////, 07, ///, 07, ///, 07, ////, 07, ////, 07, 235, 00, ////, 07,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19080928, 0800, ////, 07, /////, 07, ////, 07, /////, 07, 7584, 00, ////, 07, ////, 07, ////, 07, ///, 07, ///, 07, ////, 07, ////, 07, 135, 00, ////, 07,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19080929, 0800, ////, 07, /////, 07, ////, 07, /////, 07, ////, 07, ////, 07, ////, 07, ////, 07, ///, 07, ///, 07, ////, 07, ////, 07, ///, 07, ////, 07,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19080930, 0800, ////, 07, /////, 07, ////, 07, /////, 07, ////, 07, ////, 07, ////, 07, ////, 07, ///, 07, ///, 07, ////, 07, ////, 07, ///, 07, ////, 07,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19081001, 0800, ////, 07, /////, 07, ////, 07, /////, 07, ////, 07, ////, 07, ////, 07, ////, 07, ///, 07, ///, 07, ////, 07, ////, 07, ///, 07,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19081002, 0800, ////, 07, /////, 07, ////, 07, /////, 07, ////, 07, ////, 07, ////, 07, ////, 07, ///, 07, ///, 07, ////, 07, ////, 07, ///, 07,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19081003, 0800, ////, 07, /////, 07, ////, 07, /////, 07, 7590, 00, ////, 07, ////, 07, ////, 07, ///, 07, ///, 07, ////, 07, ////, 07,  90, 00,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19081004, 0800, ////, 07, /////, 07, ////, 07, /////, 07, 7584, 00, ////, 07, ////, 07, ////, 07, ///, 07, ///, 07, ////, 07, ////, 07,  90, 00,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19081005, 0800, ////, 07, /////, 07, ////, 07, /////, 07, 7590, 00, ////, 07, ////, 07, ////, 07, ///, 07, ///, 07, ////, 07, ////, 07,  90, 00,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19081006, 0800, ////, 07, /////, 07, ////, 07, /////, 07, 7579, 00, ////, 07, ////, 07, ////, 07, ///, 07, ///, 07, ////, 07, ////, 07, 135, 00,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19081007, 0800, ////, 07, /////, 07, ////, 07, /////, 07, 7579, 00, ////, 07, ////, 07, ////, 07, ///, 07, ///, 07, ////, 07, ////, 07, 135, 00,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19081008, 0800, ////, 07, /////, 07, ////, 07, /////, 07, 7590, 00, ////, 07, ////, 07, ////, 07, ///, 07, ///, 07, ////, 07, ////, 07,  90, 00,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19081009, 0800, ////, 07, /////, 07, ////, 07, /////, 07, 7595, 00, ////, 07, ////, 07, ////, 07, ///, 07, ///, 07, ////, 07, ////, 07,  90, 00,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19081010, 0800, ////, 07, /////, 07, ////, 07, /////, 07, 7584, 00, ////, 07, ////, 07, ////, 07, ///, 07, ///, 07, ////, 07, ////, 07,  90, 00,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19081011, 0800, ////, 07, /////, 07, ////, 07, /////, 07, 7590, 00, ////, 07, ////, 07, ////, 07, ///, 07, ///, 07, ////, 07, ////, 07,  90, 00,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19081012, 0800, ////, 07, /////, 07, ////, 07, /////, 07, 7600, 00, ////, 07, ////, 07, ////, 07, ///, 07, ///, 07, ////, 07, ////, 07,  90, 00,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19081013, 0800, ////, 07, /////, 07, ////, 07, /////, 07, 7595, 00, ////, 07, ////, 07, ////, 07, ///, 07, ///, 07, ////, 07, ////, 07,  90, 00,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19081014, 0800, ////, 07, /////, 07, ////, 07, /////, 07, 7600, 00, ////, 07, ////, 07, ////, 07, ///, 07, ///, 07, ////, 07, ////, 07,  90, 00,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19081015, 0800, ////, 07, /////, 07, ////, 07, /////, 07, 7595, 00, ////, 07, ////, 07, ////, 07, ///, 07, ///, 07, ////, 07, ////, 07, 135, 00,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19081016, 0800, ////, 07, /////, 07, ////, 07, /////, 07, 7590, 00, ////, 07, ////, 07, ////, 07, ///, 07, ///, 07, ////, 07, ////, 07, 135, 00,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19081017, 0800, ////, 07, /////, 07, ////, 07, /////, 07, 7590, 00, ////, 07, ////, 07, ////, 07, ///, 07, ///, 07, ////, 07, ////, 07,  90, 00,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19081018, 0800, ////, 07, /////, 07, ////, 07, /////, 07, 7584, 00, ////, 07, ////, 07, ////, 07, ///, 07, ///, 07, ////, 07, ////, 07, 135, 00,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19081019, 0800, ////, 07, /////, 07, ////, 07, /////, 07, 7579, 00, ////, 07, ////, 07, ////, 07, ///, 07, ///, 07, ////, 07, ////, 07, 135, 00,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19081020, 0800, ////, 07, /////, 07, ////, 07, /////, 07, 7579, 00, ////, 07, ////, 07, ////, 07, ///, 07, ///, 07, ////, 07, ////, 07,  90, 00,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19081021, 0800, ////, 07, /////, 07, ////, 07, /////, 07, 7590, 00, ////, 07, ////, 07, ////, 07, ///, 07, ///, 07, ////, 07, ////, 07, 180, 00,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19081022, 0800, ////, 07, /////, 07, ////, 07, /////, 07, 7590, 00, ////, 07, ////, 07, ////, 07, ///, 07, ///, 07, ////, 07, ////, 07, 135, 00,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19081023, 0800, ////, 07, /////, 07, ////, 07, /////, 07, 7590, 00, ////, 07, ////, 07, ////, 07, ///, 07, ///, 07, ////, 07, ////, 07, 135, 00,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19081024, 0800, ////, 07, /////, 07, ////, 07, /////, 07, 7590, 00, ////, 07, ////, 07, ////, 07, ///, 07, ///, 07, ////, 07, ////, 07,  90, 00,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19081025, 0800, ////, 07, /////, 07, ////, 07, /////, 07, 7579, 00, ////, 07, ////, 07, ////, 07, ///, 07, ///, 07, ////, 07, ////, 07, 135, 00,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19081026, 0800, ////, 07, /////, 07, ////, 07, /////, 07, 7579, 00, ////, 07, ////, 07, ////, 07, ///, 07, ///, 07, ////, 07, ////, 07,  90, 00,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19081027, 0800, ////, 07, /////, 07, ////, 07, /////, 07, 7584, 00, ////, 07, ////, 07, ////, 07, ///, 07, ///, 07, ////, 07, ////, 07,  90, 00,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19081028, 0800, ////, 07, /////, 07, ////, 07, /////, 07, 7584, 00, ////, 07, ////, 07, ////, 07, ///, 07, ///, 07, ////, 07, ////, 07,  90, 00,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19081029, 0800, ////, 07, /////, 07, ////, 07, /////, 07, 7584, 00, ////, 07, ////, 07, ////, 07, ///, 07, ///, 07, ////, 07, ////, 07,  45, 00,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19081030, 0800, ////, 07, /////, 07, ////, 07, /////, 07, 7579, 00, ////, 07, ////, 07, ////, 07, ///, 07, ///, 07, ////, 07, ////, 07,  45, 00,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19081031, 0800, ////, 07, /////, 07, ////, 07, /////, 07, 7590, 00, ////, 07, ////, 07, ////, 07, ///, 07, ///, 07, ////, 07, ////, 07,  90, 00,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19081101, 0800, ////, 07, /////, 07, ////, 07, /////, 07, 7595, 00, ////, 07, ////, 07, ////, 07, ///, 07, ///, 07, ////, 07, ////, 07,  90, 00,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19081102, 0800, ////, 07, /////, 07, ////, 07, /////, 07, 7590, 00, ////, 07, ////, 07, ////, 07, ///, 07, ///, 07, ////, 07, ////, 07,  90, 00,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19081103, 0800, ////, 07, /////, 07, ////, 07, /////, 07, 7584, 00, ////, 07, ////, 07, ////, 07, ///, 07, ///, 07, ////, 07, ////, 07,  90, 00,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19081104, 0800, ////, 07, /////, 07, ////, 07, /////, 07, 7579, 00, ////, 07, ////, 07, ////, 07, ///, 07, ///, 07, ////, 07, ////, 07, 135, 00,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19081105, 0800, ////, 07, /////, 07, ////, 07, /////, 07, 7590, 00, ////, 07, ////, 07, ////, 07, ///, 07, ///, 07, ////, 07, ////, 07, 135, 00,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19081106, 0800, ////, 07, /////, 07, ////, 07, /////, 07, 7600, 00, ////, 07, ////, 07, ////, 07, ///, 07, ///, 07, ////, 07, ////, 07,  90, 00, ////, 07,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19081107, 0800, ////, 07, /////, 07, ////, 07, /////, 07, 7590, 00, ////, 07, ////, 07, ////, 07, ///, 07, ///, 07, ////, 07, ////, 07, 135, 00,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19081108, 0800, ////, 07, /////, 07, ////, 07, /////, 07, 7584, 00, ////, 07, ////, 07, ////, 07, ///, 07, ///, 07, ////, 07, ////, 07,  90, 00,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19081109, 0800, ////, 07, /////, 07, ////, 07, /////, 07, 7590, 00, ////, 07, ////, 07, ////, 07, ///, 07, ///, 07, ////, 07, ////, 07,  90, 00,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19081110, 0800, ////, 07, /////, 07, ////, 07, /////, 07, 7590, 00, ////, 07, ////, 07, ////, 07, ///, 07, ///, 07, ////, 07, ////, 07,  90, 00,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19081111, 0800, ////, 07, /////, 07, ////, 07, /////, 07, 7600, 00, ////, 07, ////, 07, ////, 07, ///, 07, ///, 07, ////, 07, ////, 07, 135, 00, ////, 07,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19081112, 0800, ////, 07, /////, 07, ////, 07, /////, 07, 7600, 00, ////, 07, ////, 07, ////, 07, ///, 07, ///, 07, ////, 07, ////, 07,  45, 00,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19081113, 0800, ////, 07, /////, 07, ////, 07, /////, 07, 7600, 00, ////, 07, ////, 07, ////, 07, ///, 07, ///, 07, ////, 07, ////, 07,  90, 00,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19081114, 0800, ////, 07, /////, 07, ////, 07, /////, 07, 7610, 00, ////, 07, ////, 07, ////, 07, ///, 07, ///, 07, ////, 07, ////, 07,  90, 00,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19081115, 0800, ////, 07, /////, 07, ////, 07, /////, 07, 7620, 00, ////, 07, ////, 07, ////, 07, ///, 07, ///, 07, ////, 07, ////, 07,  90, 00,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19081116,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19081117,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19081118,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19081119,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19081120,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19081121,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19081122,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19081123,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19081124,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19081125,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19081126,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19081127,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19081128,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19081129,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19081130,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19081201,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19081202,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19081203,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19081204,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19081205,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19081206,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19081207,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19081208,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19081209,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19081210,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19081211,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19081212,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19081213,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19081214,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19081215,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19081216,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19081217,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19081218,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19081219,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19081220,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19081221,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19081222,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19081223,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19081224,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19081225,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19081226,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19081227,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19081228,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19081229,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19081230, 0800, ////, 07, /////, 07, ////, 07, /////, 07, ////, 07, ////, 07, ////, 07, ////, 07, ///, 07, ///, 07, ////, 07, ////, 07, ///, 07, ////, 07, ////, 07, ///, 07, //, 07, ////////////, 07, ///, 07</v>
      </c>
    </row>
    <row r="367" spans="1:1" x14ac:dyDescent="0.25">
      <c r="A367" s="75" t="str">
        <f ca="1">TEXT(Overig!A367,"000\,")&amp;TEXT(Overig!B367,"?00000000")&amp;TEXT(Overig!C367,""", ""0000")&amp;SUBSTITUTE(TEXT(IF(ISTEXT(Overig!D367),Overig!D367,10*Overig!D367),""",""????0;"",""???-0;"",""????0;"", ////"""),"'","""")&amp;SUBSTITUTE(TEXT(Overig!E367,""",""?00;"",""?-00;"",""?00;"", //"""),"'","""")&amp;SUBSTITUTE(TEXT(IF(ISTEXT(Overig!F367),Overig!F367,100*Overig!F367),""",""?????0;"",""????-0;"",""?????0;"", /////"""),"'","""")&amp;SUBSTITUTE(TEXT(Overig!G367,""",""?00;"",""?-00;"",""?00;"", //"""),"'","""")&amp;SUBSTITUTE(TEXT(IF(ISTEXT(Overig!H367),Overig!H367,100*Overig!H367),""",""????0;"",""???-0;"",""????0;"", ////"""),"'","""")&amp;SUBSTITUTE(TEXT(Overig!I367,""",""?00;"",""?-00;"",""?00;"", //"""),"'","""")&amp;SUBSTITUTE(TEXT(IF(ISTEXT(Overig!J367),Overig!J367,100*Overig!J367),""",""?????0;"",""????-0;"",""?????0;"", /////"""),"'","""")&amp;SUBSTITUTE(TEXT(Overig!K367,""",""?00;"",""?-00;"",""?00;"", //"""),"'","""")&amp;SUBSTITUTE(TEXT(IF(ISTEXT(Overig!L367),Overig!L367,10*Overig!L367),""",""????0;"",""???-0;"",""????0;"", ////"""),"'","""")&amp;SUBSTITUTE(TEXT(Overig!M367,""",""?00;"",""?-00;"",""?00;"",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//"""),"'","""")&amp;SUBSTITUTE(TEXT(IF(ISTEXT(Overig!R367),Overig!R367,10*Overig!R367),""",""????0;"",""???-0;"",""????0;"", ////"""),"'","""")&amp;SUBSTITUTE(TEXT(Overig!S367,""",""?00;"",""?-00;"",""?00;"", //"""),"'","""")&amp;SUBSTITUTE(TEXT(Overig!T367,""",""???0;"",""??-0;"",""???0;"", ///"""),"'","""")&amp;SUBSTITUTE(TEXT(Overig!U367,""",""?00;"",""?-00;"",""?00;"", //"""),"'","""")&amp;SUBSTITUTE(TEXT(IF(ISTEXT(Overig!V367),Overig!V367,10*Overig!V367),""",""???0;"",""??-0;"",""???0;"", ///"""),"'","""")&amp;SUBSTITUTE(TEXT(Overig!W367,""",""?00;"",""?-00;"",""?00;"", //"""),"'","""")&amp;SUBSTITUTE(TEXT(IF(ISTEXT(Overig!X367),Overig!X367,10*Overig!X367),""",""????0;"",""???-0;"",""????0;"", ////"""),"'","""")&amp;SUBSTITUTE(TEXT(Overig!Y367,""",""?00;"",""?-00;"",""?00;"", //"""),"'","""")&amp;SUBSTITUTE(TEXT(IF(ISTEXT(Overig!Z367),Overig!Z367,10*Overig!Z367),""",""????0;"",""???-0;"",""????0;"", ////"""),"'","""")&amp;SUBSTITUTE(TEXT(Overig!AA367,""",""?00;"",""?-00;"",""?00;"", //"""),"'","""")&amp;SUBSTITUTE(TEXT(Overig!AB367,""",""???0;"",""??-0;"",""???0;"", ///"""),"'","""")&amp;SUBSTITUTE(TEXT(Overig!AC367,""",""?00;"",""?-00;"",""?00;"", //"""),"'","""")&amp;SUBSTITUTE(TEXT(IF(ISTEXT(Overig!AD367),Overig!AD367,10*Overig!AD367),""",""????0;"",""???-0;"",""????0;"", ////"""),"'","""")&amp;SUBSTITUTE(TEXT(Overig!AE367,""",""?00;"",""?-00;"",""?00;"", //"""),"'","""")&amp;SUBSTITUTE(TEXT(IF(ISTEXT(Overig!AF367),Overig!AF367,10*Overig!AF367),""",""????0;"",""???-0;"",""????0;"", ////"""),"'","""")&amp;SUBSTITUTE(TEXT(Overig!AG367,""",""?00;"",""?-00;"",""?00;"", //"""),"'","""")&amp;SUBSTITUTE(TEXT(Overig!AH367,""",""???0;"",""??-0;"",""???0;"", ///"""),"'","""")&amp;SUBSTITUTE(TEXT(Overig!AI367,""",""?00;"",""?-00;"",""?00;"", //"""),"'","""")&amp;SUBSTITUTE(TEXT(Overig!AJ367,""",""??0;"",""?-0;"",""??0;"", //"""),"'","""")&amp;SUBSTITUTE(TEXT(Overig!AK367,""",""?00;"",""?-00;"",""?00;"", //"""),"'","""")&amp;SUBSTITUTE(IF(EXACT(Overig!AL367,"—"),TEXT(Overig!AL367,""",""????0;"",""???-0;"",""????0;"", ////////////,"""),TEXT(Overig!AL367,"\, \'@""',""")&amp;REPT(" ",10-LEN(Overig!AL367))),"'","""")&amp;SUBSTITUTE(TEXT(Overig!AM367,"?00;?-00;?00;"" //"""),"'","""")&amp;SUBSTITUTE(TEXT(Overig!AN367,""",""???0;"",""??-0;"",""???0;"", ///"""),"'","""")&amp;SUBSTITUTE(TEXT(Overig!AO367,""",""?00;"",""?-00;"",""?00;"", //"""),"'","""")</f>
        <v>78989, 19081231,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2015-11-30T12:10:08Z</dcterms:modified>
</cp:coreProperties>
</file>