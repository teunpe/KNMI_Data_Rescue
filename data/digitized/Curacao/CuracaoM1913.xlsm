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8195" windowHeight="11760"/>
  </bookViews>
  <sheets>
    <sheet name="Invoer" sheetId="1" r:id="rId1"/>
    <sheet name="Info" sheetId="4" r:id="rId2"/>
    <sheet name="Regen" sheetId="2" r:id="rId3"/>
    <sheet name="Overig" sheetId="3" r:id="rId4"/>
    <sheet name="RegenASCII" sheetId="5" r:id="rId5"/>
    <sheet name="OverigASCII" sheetId="6" r:id="rId6"/>
  </sheets>
  <definedNames>
    <definedName name="_xlnm._FilterDatabase" localSheetId="0" hidden="1">Invoer!$A$3:$A$381</definedName>
    <definedName name="Catalogus">Info!$M$3:$AG$4</definedName>
    <definedName name="Data">Invoer!$A$3:$U$381</definedName>
    <definedName name="Est">Info!$H$9</definedName>
    <definedName name="Kts">Info!$H$13</definedName>
    <definedName name="Lacking">Info!$H$10</definedName>
    <definedName name="ME">Info!$H$7</definedName>
    <definedName name="MS">Info!$H$8</definedName>
    <definedName name="Ok">Info!$H$6</definedName>
    <definedName name="Parameters">Info!$D$5:$E$25</definedName>
    <definedName name="Stations">Info!$A$5:$B$12</definedName>
    <definedName name="Tijd">Info!$H$12</definedName>
    <definedName name="Windrichting">Info!$J$5:$K$22</definedName>
  </definedNames>
  <calcPr calcId="145621"/>
</workbook>
</file>

<file path=xl/calcChain.xml><?xml version="1.0" encoding="utf-8"?>
<calcChain xmlns="http://schemas.openxmlformats.org/spreadsheetml/2006/main">
  <c r="A1" i="6" l="1"/>
  <c r="A3" i="3"/>
  <c r="C3" i="3"/>
  <c r="A4" i="3"/>
  <c r="C4" i="3"/>
  <c r="A5" i="3"/>
  <c r="C5" i="3"/>
  <c r="A6" i="3"/>
  <c r="C6" i="3"/>
  <c r="A7" i="3"/>
  <c r="C7" i="3"/>
  <c r="A8" i="3"/>
  <c r="C8" i="3"/>
  <c r="A9" i="3"/>
  <c r="C9" i="3"/>
  <c r="A10" i="3"/>
  <c r="C10" i="3"/>
  <c r="A11" i="3"/>
  <c r="C11" i="3"/>
  <c r="A12" i="3"/>
  <c r="C12" i="3"/>
  <c r="A13" i="3"/>
  <c r="C13" i="3"/>
  <c r="A14" i="3"/>
  <c r="C14" i="3"/>
  <c r="A15" i="3"/>
  <c r="C15" i="3"/>
  <c r="A16" i="3"/>
  <c r="C16" i="3"/>
  <c r="A17" i="3"/>
  <c r="C17" i="3"/>
  <c r="A18" i="3"/>
  <c r="C18" i="3"/>
  <c r="A19" i="3"/>
  <c r="C19" i="3"/>
  <c r="A20" i="3"/>
  <c r="C20" i="3"/>
  <c r="A21" i="3"/>
  <c r="C21" i="3"/>
  <c r="A22" i="3"/>
  <c r="C22" i="3"/>
  <c r="A23" i="3"/>
  <c r="C23" i="3"/>
  <c r="A24" i="3"/>
  <c r="C24" i="3"/>
  <c r="A25" i="3"/>
  <c r="C25" i="3"/>
  <c r="A26" i="3"/>
  <c r="C26" i="3"/>
  <c r="A27" i="3"/>
  <c r="C27" i="3"/>
  <c r="A28" i="3"/>
  <c r="C28" i="3"/>
  <c r="A29" i="3"/>
  <c r="C29" i="3"/>
  <c r="A30" i="3"/>
  <c r="C30" i="3"/>
  <c r="A31" i="3"/>
  <c r="C31" i="3"/>
  <c r="A32" i="3"/>
  <c r="C32" i="3"/>
  <c r="A33" i="3"/>
  <c r="C33" i="3"/>
  <c r="A34" i="3"/>
  <c r="C34" i="3"/>
  <c r="A35" i="3"/>
  <c r="C35" i="3"/>
  <c r="A36" i="3"/>
  <c r="C36" i="3"/>
  <c r="A37" i="3"/>
  <c r="C37" i="3"/>
  <c r="A38" i="3"/>
  <c r="C38" i="3"/>
  <c r="A39" i="3"/>
  <c r="C39" i="3"/>
  <c r="A40" i="3"/>
  <c r="C40" i="3"/>
  <c r="A41" i="3"/>
  <c r="C41" i="3"/>
  <c r="A42" i="3"/>
  <c r="C42" i="3"/>
  <c r="A43" i="3"/>
  <c r="C43" i="3"/>
  <c r="A44" i="3"/>
  <c r="C44" i="3"/>
  <c r="A45" i="3"/>
  <c r="C45" i="3"/>
  <c r="A46" i="3"/>
  <c r="C46" i="3"/>
  <c r="A47" i="3"/>
  <c r="C47" i="3"/>
  <c r="A48" i="3"/>
  <c r="C48" i="3"/>
  <c r="A49" i="3"/>
  <c r="C49" i="3"/>
  <c r="A50" i="3"/>
  <c r="C50" i="3"/>
  <c r="A51" i="3"/>
  <c r="C51" i="3"/>
  <c r="A52" i="3"/>
  <c r="C52" i="3"/>
  <c r="A53" i="3"/>
  <c r="C53" i="3"/>
  <c r="A54" i="3"/>
  <c r="C54" i="3"/>
  <c r="A55" i="3"/>
  <c r="C55" i="3"/>
  <c r="A56" i="3"/>
  <c r="C56" i="3"/>
  <c r="A57" i="3"/>
  <c r="C57" i="3"/>
  <c r="A58" i="3"/>
  <c r="C58" i="3"/>
  <c r="A59" i="3"/>
  <c r="C59" i="3"/>
  <c r="A60" i="3"/>
  <c r="C60" i="3"/>
  <c r="A61" i="3"/>
  <c r="C61" i="3"/>
  <c r="A62" i="3"/>
  <c r="C62" i="3"/>
  <c r="A63" i="3"/>
  <c r="C63" i="3"/>
  <c r="A64" i="3"/>
  <c r="C64" i="3"/>
  <c r="A65" i="3"/>
  <c r="C65" i="3"/>
  <c r="A66" i="3"/>
  <c r="C66" i="3"/>
  <c r="A67" i="3"/>
  <c r="C67" i="3"/>
  <c r="A68" i="3"/>
  <c r="C68" i="3"/>
  <c r="A69" i="3"/>
  <c r="C69" i="3"/>
  <c r="A70" i="3"/>
  <c r="C70" i="3"/>
  <c r="A71" i="3"/>
  <c r="C71" i="3"/>
  <c r="A72" i="3"/>
  <c r="C72" i="3"/>
  <c r="A73" i="3"/>
  <c r="C73" i="3"/>
  <c r="A74" i="3"/>
  <c r="C74" i="3"/>
  <c r="A75" i="3"/>
  <c r="C75" i="3"/>
  <c r="A76" i="3"/>
  <c r="C76" i="3"/>
  <c r="A77" i="3"/>
  <c r="C77" i="3"/>
  <c r="A78" i="3"/>
  <c r="C78" i="3"/>
  <c r="A79" i="3"/>
  <c r="C79" i="3"/>
  <c r="A80" i="3"/>
  <c r="C80" i="3"/>
  <c r="A81" i="3"/>
  <c r="C81" i="3"/>
  <c r="A82" i="3"/>
  <c r="C82" i="3"/>
  <c r="A83" i="3"/>
  <c r="C83" i="3"/>
  <c r="A84" i="3"/>
  <c r="C84" i="3"/>
  <c r="A85" i="3"/>
  <c r="C85" i="3"/>
  <c r="A86" i="3"/>
  <c r="C86" i="3"/>
  <c r="A87" i="3"/>
  <c r="C87" i="3"/>
  <c r="A88" i="3"/>
  <c r="C88" i="3"/>
  <c r="A89" i="3"/>
  <c r="C89" i="3"/>
  <c r="A90" i="3"/>
  <c r="C90" i="3"/>
  <c r="A91" i="3"/>
  <c r="C91" i="3"/>
  <c r="A92" i="3"/>
  <c r="C92" i="3"/>
  <c r="A93" i="3"/>
  <c r="C93" i="3"/>
  <c r="A94" i="3"/>
  <c r="C94" i="3"/>
  <c r="A95" i="3"/>
  <c r="C95" i="3"/>
  <c r="A96" i="3"/>
  <c r="C96" i="3"/>
  <c r="A97" i="3"/>
  <c r="C97" i="3"/>
  <c r="A98" i="3"/>
  <c r="C98" i="3"/>
  <c r="A99" i="3"/>
  <c r="C99" i="3"/>
  <c r="A100" i="3"/>
  <c r="C100" i="3"/>
  <c r="A101" i="3"/>
  <c r="C101" i="3"/>
  <c r="A102" i="3"/>
  <c r="C102" i="3"/>
  <c r="A103" i="3"/>
  <c r="C103" i="3"/>
  <c r="A104" i="3"/>
  <c r="C104" i="3"/>
  <c r="A105" i="3"/>
  <c r="C105" i="3"/>
  <c r="A106" i="3"/>
  <c r="C106" i="3"/>
  <c r="A107" i="3"/>
  <c r="C107" i="3"/>
  <c r="A108" i="3"/>
  <c r="C108" i="3"/>
  <c r="A109" i="3"/>
  <c r="C109" i="3"/>
  <c r="A110" i="3"/>
  <c r="C110" i="3"/>
  <c r="A111" i="3"/>
  <c r="C111" i="3"/>
  <c r="A112" i="3"/>
  <c r="C112" i="3"/>
  <c r="A113" i="3"/>
  <c r="C113" i="3"/>
  <c r="A114" i="3"/>
  <c r="C114" i="3"/>
  <c r="A115" i="3"/>
  <c r="C115" i="3"/>
  <c r="A116" i="3"/>
  <c r="C116" i="3"/>
  <c r="A117" i="3"/>
  <c r="C117" i="3"/>
  <c r="A118" i="3"/>
  <c r="C118" i="3"/>
  <c r="A119" i="3"/>
  <c r="C119" i="3"/>
  <c r="A120" i="3"/>
  <c r="C120" i="3"/>
  <c r="A121" i="3"/>
  <c r="C121" i="3"/>
  <c r="A122" i="3"/>
  <c r="C122" i="3"/>
  <c r="A123" i="3"/>
  <c r="C123" i="3"/>
  <c r="A124" i="3"/>
  <c r="C124" i="3"/>
  <c r="A125" i="3"/>
  <c r="C125" i="3"/>
  <c r="A126" i="3"/>
  <c r="C126" i="3"/>
  <c r="A127" i="3"/>
  <c r="C127" i="3"/>
  <c r="A128" i="3"/>
  <c r="C128" i="3"/>
  <c r="A129" i="3"/>
  <c r="C129" i="3"/>
  <c r="A130" i="3"/>
  <c r="C130" i="3"/>
  <c r="A131" i="3"/>
  <c r="C131" i="3"/>
  <c r="A132" i="3"/>
  <c r="C132" i="3"/>
  <c r="A133" i="3"/>
  <c r="C133" i="3"/>
  <c r="A134" i="3"/>
  <c r="C134" i="3"/>
  <c r="A135" i="3"/>
  <c r="C135" i="3"/>
  <c r="A136" i="3"/>
  <c r="C136" i="3"/>
  <c r="A137" i="3"/>
  <c r="C137" i="3"/>
  <c r="A138" i="3"/>
  <c r="C138" i="3"/>
  <c r="A139" i="3"/>
  <c r="C139" i="3"/>
  <c r="A140" i="3"/>
  <c r="C140" i="3"/>
  <c r="A141" i="3"/>
  <c r="C141" i="3"/>
  <c r="A142" i="3"/>
  <c r="C142" i="3"/>
  <c r="A143" i="3"/>
  <c r="C143" i="3"/>
  <c r="A144" i="3"/>
  <c r="C144" i="3"/>
  <c r="A145" i="3"/>
  <c r="C145" i="3"/>
  <c r="A146" i="3"/>
  <c r="C146" i="3"/>
  <c r="A147" i="3"/>
  <c r="C147" i="3"/>
  <c r="A148" i="3"/>
  <c r="C148" i="3"/>
  <c r="A149" i="3"/>
  <c r="C149" i="3"/>
  <c r="A150" i="3"/>
  <c r="C150" i="3"/>
  <c r="A151" i="3"/>
  <c r="C151" i="3"/>
  <c r="A152" i="3"/>
  <c r="C152" i="3"/>
  <c r="A153" i="3"/>
  <c r="C153" i="3"/>
  <c r="A154" i="3"/>
  <c r="C154" i="3"/>
  <c r="A155" i="3"/>
  <c r="C155" i="3"/>
  <c r="A156" i="3"/>
  <c r="C156" i="3"/>
  <c r="A157" i="3"/>
  <c r="C157" i="3"/>
  <c r="A158" i="3"/>
  <c r="C158" i="3"/>
  <c r="A159" i="3"/>
  <c r="C159" i="3"/>
  <c r="A160" i="3"/>
  <c r="C160" i="3"/>
  <c r="A161" i="3"/>
  <c r="C161" i="3"/>
  <c r="A162" i="3"/>
  <c r="C162" i="3"/>
  <c r="A163" i="3"/>
  <c r="C163" i="3"/>
  <c r="A164" i="3"/>
  <c r="C164" i="3"/>
  <c r="A165" i="3"/>
  <c r="C165" i="3"/>
  <c r="A166" i="3"/>
  <c r="C166" i="3"/>
  <c r="A167" i="3"/>
  <c r="C167" i="3"/>
  <c r="A168" i="3"/>
  <c r="C168" i="3"/>
  <c r="A169" i="3"/>
  <c r="C169" i="3"/>
  <c r="A170" i="3"/>
  <c r="C170" i="3"/>
  <c r="A171" i="3"/>
  <c r="C171" i="3"/>
  <c r="A172" i="3"/>
  <c r="C172" i="3"/>
  <c r="A173" i="3"/>
  <c r="C173" i="3"/>
  <c r="A174" i="3"/>
  <c r="C174" i="3"/>
  <c r="A175" i="3"/>
  <c r="C175" i="3"/>
  <c r="A176" i="3"/>
  <c r="C176" i="3"/>
  <c r="A177" i="3"/>
  <c r="C177" i="3"/>
  <c r="A178" i="3"/>
  <c r="C178" i="3"/>
  <c r="A179" i="3"/>
  <c r="C179" i="3"/>
  <c r="A180" i="3"/>
  <c r="C180" i="3"/>
  <c r="A181" i="3"/>
  <c r="C181" i="3"/>
  <c r="A182" i="3"/>
  <c r="C182" i="3"/>
  <c r="A183" i="3"/>
  <c r="C183" i="3"/>
  <c r="A184" i="3"/>
  <c r="C184" i="3"/>
  <c r="A185" i="3"/>
  <c r="C185" i="3"/>
  <c r="A186" i="3"/>
  <c r="C186" i="3"/>
  <c r="A187" i="3"/>
  <c r="C187" i="3"/>
  <c r="A188" i="3"/>
  <c r="C188" i="3"/>
  <c r="A189" i="3"/>
  <c r="C189" i="3"/>
  <c r="A190" i="3"/>
  <c r="C190" i="3"/>
  <c r="A191" i="3"/>
  <c r="C191" i="3"/>
  <c r="A192" i="3"/>
  <c r="C192" i="3"/>
  <c r="A193" i="3"/>
  <c r="C193" i="3"/>
  <c r="A194" i="3"/>
  <c r="C194" i="3"/>
  <c r="A195" i="3"/>
  <c r="C195" i="3"/>
  <c r="A196" i="3"/>
  <c r="C196" i="3"/>
  <c r="A197" i="3"/>
  <c r="C197" i="3"/>
  <c r="A198" i="3"/>
  <c r="C198" i="3"/>
  <c r="A199" i="3"/>
  <c r="C199" i="3"/>
  <c r="A200" i="3"/>
  <c r="C200" i="3"/>
  <c r="A201" i="3"/>
  <c r="C201" i="3"/>
  <c r="A202" i="3"/>
  <c r="C202" i="3"/>
  <c r="A203" i="3"/>
  <c r="C203" i="3"/>
  <c r="A204" i="3"/>
  <c r="C204" i="3"/>
  <c r="A205" i="3"/>
  <c r="C205" i="3"/>
  <c r="A206" i="3"/>
  <c r="C206" i="3"/>
  <c r="A207" i="3"/>
  <c r="C207" i="3"/>
  <c r="A208" i="3"/>
  <c r="C208" i="3"/>
  <c r="A209" i="3"/>
  <c r="C209" i="3"/>
  <c r="A210" i="3"/>
  <c r="C210" i="3"/>
  <c r="A211" i="3"/>
  <c r="C211" i="3"/>
  <c r="A212" i="3"/>
  <c r="C212" i="3"/>
  <c r="A213" i="3"/>
  <c r="C213" i="3"/>
  <c r="A214" i="3"/>
  <c r="C214" i="3"/>
  <c r="A215" i="3"/>
  <c r="C215" i="3"/>
  <c r="A216" i="3"/>
  <c r="C216" i="3"/>
  <c r="A217" i="3"/>
  <c r="C217" i="3"/>
  <c r="A218" i="3"/>
  <c r="C218" i="3"/>
  <c r="A219" i="3"/>
  <c r="C219" i="3"/>
  <c r="A220" i="3"/>
  <c r="C220" i="3"/>
  <c r="A221" i="3"/>
  <c r="C221" i="3"/>
  <c r="A222" i="3"/>
  <c r="C222" i="3"/>
  <c r="A223" i="3"/>
  <c r="C223" i="3"/>
  <c r="A224" i="3"/>
  <c r="C224" i="3"/>
  <c r="A225" i="3"/>
  <c r="C225" i="3"/>
  <c r="A226" i="3"/>
  <c r="C226" i="3"/>
  <c r="A227" i="3"/>
  <c r="C227" i="3"/>
  <c r="A228" i="3"/>
  <c r="C228" i="3"/>
  <c r="A229" i="3"/>
  <c r="C229" i="3"/>
  <c r="A230" i="3"/>
  <c r="C230" i="3"/>
  <c r="A231" i="3"/>
  <c r="C231" i="3"/>
  <c r="A232" i="3"/>
  <c r="C232" i="3"/>
  <c r="A233" i="3"/>
  <c r="C233" i="3"/>
  <c r="A234" i="3"/>
  <c r="C234" i="3"/>
  <c r="A235" i="3"/>
  <c r="C235" i="3"/>
  <c r="A236" i="3"/>
  <c r="C236" i="3"/>
  <c r="A237" i="3"/>
  <c r="C237" i="3"/>
  <c r="A238" i="3"/>
  <c r="C238" i="3"/>
  <c r="A239" i="3"/>
  <c r="C239" i="3"/>
  <c r="A240" i="3"/>
  <c r="C240" i="3"/>
  <c r="A241" i="3"/>
  <c r="C241" i="3"/>
  <c r="A242" i="3"/>
  <c r="C242" i="3"/>
  <c r="A243" i="3"/>
  <c r="C243" i="3"/>
  <c r="A244" i="3"/>
  <c r="C244" i="3"/>
  <c r="A245" i="3"/>
  <c r="C245" i="3"/>
  <c r="A246" i="3"/>
  <c r="C246" i="3"/>
  <c r="A247" i="3"/>
  <c r="C247" i="3"/>
  <c r="A248" i="3"/>
  <c r="C248" i="3"/>
  <c r="A249" i="3"/>
  <c r="C249" i="3"/>
  <c r="A250" i="3"/>
  <c r="C250" i="3"/>
  <c r="A251" i="3"/>
  <c r="C251" i="3"/>
  <c r="A252" i="3"/>
  <c r="C252" i="3"/>
  <c r="A253" i="3"/>
  <c r="C253" i="3"/>
  <c r="A254" i="3"/>
  <c r="C254" i="3"/>
  <c r="A255" i="3"/>
  <c r="C255" i="3"/>
  <c r="A256" i="3"/>
  <c r="C256" i="3"/>
  <c r="A257" i="3"/>
  <c r="C257" i="3"/>
  <c r="A258" i="3"/>
  <c r="C258" i="3"/>
  <c r="A259" i="3"/>
  <c r="C259" i="3"/>
  <c r="A260" i="3"/>
  <c r="C260" i="3"/>
  <c r="A261" i="3"/>
  <c r="C261" i="3"/>
  <c r="A262" i="3"/>
  <c r="C262" i="3"/>
  <c r="A263" i="3"/>
  <c r="C263" i="3"/>
  <c r="A264" i="3"/>
  <c r="C264" i="3"/>
  <c r="A265" i="3"/>
  <c r="C265" i="3"/>
  <c r="A266" i="3"/>
  <c r="C266" i="3"/>
  <c r="A267" i="3"/>
  <c r="C267" i="3"/>
  <c r="A268" i="3"/>
  <c r="C268" i="3"/>
  <c r="A269" i="3"/>
  <c r="C269" i="3"/>
  <c r="A270" i="3"/>
  <c r="C270" i="3"/>
  <c r="A271" i="3"/>
  <c r="C271" i="3"/>
  <c r="A272" i="3"/>
  <c r="C272" i="3"/>
  <c r="A273" i="3"/>
  <c r="C273" i="3"/>
  <c r="A274" i="3"/>
  <c r="C274" i="3"/>
  <c r="A275" i="3"/>
  <c r="C275" i="3"/>
  <c r="A276" i="3"/>
  <c r="C276" i="3"/>
  <c r="A277" i="3"/>
  <c r="C277" i="3"/>
  <c r="A278" i="3"/>
  <c r="C278" i="3"/>
  <c r="A279" i="3"/>
  <c r="C279" i="3"/>
  <c r="A280" i="3"/>
  <c r="C280" i="3"/>
  <c r="A281" i="3"/>
  <c r="C281" i="3"/>
  <c r="A282" i="3"/>
  <c r="C282" i="3"/>
  <c r="A283" i="3"/>
  <c r="C283" i="3"/>
  <c r="A284" i="3"/>
  <c r="C284" i="3"/>
  <c r="A285" i="3"/>
  <c r="C285" i="3"/>
  <c r="A286" i="3"/>
  <c r="C286" i="3"/>
  <c r="A287" i="3"/>
  <c r="C287" i="3"/>
  <c r="A288" i="3"/>
  <c r="C288" i="3"/>
  <c r="A289" i="3"/>
  <c r="C289" i="3"/>
  <c r="A290" i="3"/>
  <c r="C290" i="3"/>
  <c r="A291" i="3"/>
  <c r="C291" i="3"/>
  <c r="A292" i="3"/>
  <c r="C292" i="3"/>
  <c r="A293" i="3"/>
  <c r="C293" i="3"/>
  <c r="A294" i="3"/>
  <c r="C294" i="3"/>
  <c r="A295" i="3"/>
  <c r="C295" i="3"/>
  <c r="A296" i="3"/>
  <c r="C296" i="3"/>
  <c r="A297" i="3"/>
  <c r="C297" i="3"/>
  <c r="A298" i="3"/>
  <c r="C298" i="3"/>
  <c r="A299" i="3"/>
  <c r="C299" i="3"/>
  <c r="A300" i="3"/>
  <c r="C300" i="3"/>
  <c r="A301" i="3"/>
  <c r="C301" i="3"/>
  <c r="A302" i="3"/>
  <c r="C302" i="3"/>
  <c r="A303" i="3"/>
  <c r="C303" i="3"/>
  <c r="A304" i="3"/>
  <c r="C304" i="3"/>
  <c r="A305" i="3"/>
  <c r="C305" i="3"/>
  <c r="A306" i="3"/>
  <c r="C306" i="3"/>
  <c r="A307" i="3"/>
  <c r="C307" i="3"/>
  <c r="A308" i="3"/>
  <c r="C308" i="3"/>
  <c r="A309" i="3"/>
  <c r="C309" i="3"/>
  <c r="A310" i="3"/>
  <c r="C310" i="3"/>
  <c r="A311" i="3"/>
  <c r="C311" i="3"/>
  <c r="A312" i="3"/>
  <c r="C312" i="3"/>
  <c r="A313" i="3"/>
  <c r="C313" i="3"/>
  <c r="A314" i="3"/>
  <c r="C314" i="3"/>
  <c r="A315" i="3"/>
  <c r="C315" i="3"/>
  <c r="A316" i="3"/>
  <c r="C316" i="3"/>
  <c r="A317" i="3"/>
  <c r="C317" i="3"/>
  <c r="A318" i="3"/>
  <c r="C318" i="3"/>
  <c r="A319" i="3"/>
  <c r="C319" i="3"/>
  <c r="A320" i="3"/>
  <c r="C320" i="3"/>
  <c r="A321" i="3"/>
  <c r="C321" i="3"/>
  <c r="A322" i="3"/>
  <c r="C322" i="3"/>
  <c r="A323" i="3"/>
  <c r="C323" i="3"/>
  <c r="A324" i="3"/>
  <c r="C324" i="3"/>
  <c r="A325" i="3"/>
  <c r="C325" i="3"/>
  <c r="A326" i="3"/>
  <c r="C326" i="3"/>
  <c r="A327" i="3"/>
  <c r="C327" i="3"/>
  <c r="A328" i="3"/>
  <c r="C328" i="3"/>
  <c r="A329" i="3"/>
  <c r="C329" i="3"/>
  <c r="A330" i="3"/>
  <c r="C330" i="3"/>
  <c r="A331" i="3"/>
  <c r="C331" i="3"/>
  <c r="A332" i="3"/>
  <c r="C332" i="3"/>
  <c r="A333" i="3"/>
  <c r="C333" i="3"/>
  <c r="A334" i="3"/>
  <c r="C334" i="3"/>
  <c r="A335" i="3"/>
  <c r="C335" i="3"/>
  <c r="A336" i="3"/>
  <c r="C336" i="3"/>
  <c r="A337" i="3"/>
  <c r="C337" i="3"/>
  <c r="A338" i="3"/>
  <c r="C338" i="3"/>
  <c r="A339" i="3"/>
  <c r="C339" i="3"/>
  <c r="A340" i="3"/>
  <c r="C340" i="3"/>
  <c r="A341" i="3"/>
  <c r="C341" i="3"/>
  <c r="A342" i="3"/>
  <c r="C342" i="3"/>
  <c r="A343" i="3"/>
  <c r="C343" i="3"/>
  <c r="A344" i="3"/>
  <c r="C344" i="3"/>
  <c r="A345" i="3"/>
  <c r="C345" i="3"/>
  <c r="A346" i="3"/>
  <c r="C346" i="3"/>
  <c r="A347" i="3"/>
  <c r="C347" i="3"/>
  <c r="A348" i="3"/>
  <c r="C348" i="3"/>
  <c r="A349" i="3"/>
  <c r="C349" i="3"/>
  <c r="A350" i="3"/>
  <c r="C350" i="3"/>
  <c r="A351" i="3"/>
  <c r="C351" i="3"/>
  <c r="A352" i="3"/>
  <c r="C352" i="3"/>
  <c r="A353" i="3"/>
  <c r="C353" i="3"/>
  <c r="A354" i="3"/>
  <c r="C354" i="3"/>
  <c r="A355" i="3"/>
  <c r="C355" i="3"/>
  <c r="A356" i="3"/>
  <c r="C356" i="3"/>
  <c r="A357" i="3"/>
  <c r="C357" i="3"/>
  <c r="A358" i="3"/>
  <c r="C358" i="3"/>
  <c r="A359" i="3"/>
  <c r="C359" i="3"/>
  <c r="A360" i="3"/>
  <c r="C360" i="3"/>
  <c r="A361" i="3"/>
  <c r="C361" i="3"/>
  <c r="A362" i="3"/>
  <c r="C362" i="3"/>
  <c r="A363" i="3"/>
  <c r="C363" i="3"/>
  <c r="A364" i="3"/>
  <c r="C364" i="3"/>
  <c r="A365" i="3"/>
  <c r="C365" i="3"/>
  <c r="A366" i="3"/>
  <c r="C366" i="3"/>
  <c r="H13" i="4"/>
  <c r="C2" i="3"/>
  <c r="U349" i="1" l="1"/>
  <c r="T349" i="1"/>
  <c r="S349" i="1"/>
  <c r="R349" i="1"/>
  <c r="P349" i="1"/>
  <c r="O349" i="1"/>
  <c r="M349" i="1"/>
  <c r="L349" i="1"/>
  <c r="K349" i="1"/>
  <c r="J349" i="1"/>
  <c r="I349" i="1"/>
  <c r="H349" i="1"/>
  <c r="G349" i="1"/>
  <c r="F349" i="1"/>
  <c r="E349" i="1"/>
  <c r="D349" i="1"/>
  <c r="C349" i="1"/>
  <c r="B349" i="1"/>
  <c r="U286" i="1"/>
  <c r="T286" i="1"/>
  <c r="S286" i="1"/>
  <c r="R286" i="1"/>
  <c r="P286" i="1"/>
  <c r="O286" i="1"/>
  <c r="M286" i="1"/>
  <c r="L286" i="1"/>
  <c r="K286" i="1"/>
  <c r="J286" i="1"/>
  <c r="I286" i="1"/>
  <c r="H286" i="1"/>
  <c r="G286" i="1"/>
  <c r="F286" i="1"/>
  <c r="E286" i="1"/>
  <c r="D286" i="1"/>
  <c r="C286" i="1"/>
  <c r="B286" i="1"/>
  <c r="U191" i="1"/>
  <c r="T191" i="1"/>
  <c r="S191" i="1"/>
  <c r="R191" i="1"/>
  <c r="P191" i="1"/>
  <c r="O191" i="1"/>
  <c r="M191" i="1"/>
  <c r="L191" i="1"/>
  <c r="K191" i="1"/>
  <c r="J191" i="1"/>
  <c r="I191" i="1"/>
  <c r="H191" i="1"/>
  <c r="G191" i="1"/>
  <c r="F191" i="1"/>
  <c r="E191" i="1"/>
  <c r="D191" i="1"/>
  <c r="C191" i="1"/>
  <c r="B191" i="1"/>
  <c r="U128" i="1"/>
  <c r="T128" i="1"/>
  <c r="S128" i="1"/>
  <c r="R128" i="1"/>
  <c r="P128" i="1"/>
  <c r="O128" i="1"/>
  <c r="M128" i="1"/>
  <c r="L128" i="1"/>
  <c r="K128" i="1"/>
  <c r="J128" i="1"/>
  <c r="I128" i="1"/>
  <c r="H128" i="1"/>
  <c r="G128" i="1"/>
  <c r="F128" i="1"/>
  <c r="E128" i="1"/>
  <c r="D128" i="1"/>
  <c r="C128" i="1"/>
  <c r="B128" i="1"/>
  <c r="U65" i="1"/>
  <c r="T65" i="1"/>
  <c r="S65" i="1"/>
  <c r="R65" i="1"/>
  <c r="P65" i="1"/>
  <c r="O65" i="1"/>
  <c r="M65" i="1"/>
  <c r="L65" i="1"/>
  <c r="K65" i="1"/>
  <c r="J65" i="1"/>
  <c r="I65" i="1"/>
  <c r="H65" i="1"/>
  <c r="G65" i="1"/>
  <c r="F65" i="1"/>
  <c r="E65" i="1"/>
  <c r="D65" i="1"/>
  <c r="C65" i="1"/>
  <c r="B65" i="1"/>
  <c r="U381" i="1"/>
  <c r="T381" i="1"/>
  <c r="S381" i="1"/>
  <c r="R381" i="1"/>
  <c r="P381" i="1"/>
  <c r="O381" i="1"/>
  <c r="M381" i="1"/>
  <c r="L381" i="1"/>
  <c r="K381" i="1"/>
  <c r="J381" i="1"/>
  <c r="I381" i="1"/>
  <c r="H381" i="1"/>
  <c r="G381" i="1"/>
  <c r="F381" i="1"/>
  <c r="E381" i="1"/>
  <c r="D381" i="1"/>
  <c r="C381" i="1"/>
  <c r="B381" i="1"/>
  <c r="U318" i="1"/>
  <c r="T318" i="1"/>
  <c r="S318" i="1"/>
  <c r="R318" i="1"/>
  <c r="P318" i="1"/>
  <c r="O318" i="1"/>
  <c r="M318" i="1"/>
  <c r="L318" i="1"/>
  <c r="K318" i="1"/>
  <c r="J318" i="1"/>
  <c r="I318" i="1"/>
  <c r="H318" i="1"/>
  <c r="G318" i="1"/>
  <c r="F318" i="1"/>
  <c r="E318" i="1"/>
  <c r="D318" i="1"/>
  <c r="C318" i="1"/>
  <c r="B318" i="1"/>
  <c r="U255" i="1"/>
  <c r="T255" i="1"/>
  <c r="S255" i="1"/>
  <c r="R255" i="1"/>
  <c r="P255" i="1"/>
  <c r="O255" i="1"/>
  <c r="M255" i="1"/>
  <c r="L255" i="1"/>
  <c r="K255" i="1"/>
  <c r="J255" i="1"/>
  <c r="I255" i="1"/>
  <c r="H255" i="1"/>
  <c r="G255" i="1"/>
  <c r="F255" i="1"/>
  <c r="E255" i="1"/>
  <c r="D255" i="1"/>
  <c r="C255" i="1"/>
  <c r="B255" i="1"/>
  <c r="U223" i="1"/>
  <c r="T223" i="1"/>
  <c r="S223" i="1"/>
  <c r="R223" i="1"/>
  <c r="P223" i="1"/>
  <c r="O223" i="1"/>
  <c r="M223" i="1"/>
  <c r="L223" i="1"/>
  <c r="K223" i="1"/>
  <c r="J223" i="1"/>
  <c r="I223" i="1"/>
  <c r="H223" i="1"/>
  <c r="G223" i="1"/>
  <c r="F223" i="1"/>
  <c r="E223" i="1"/>
  <c r="D223" i="1"/>
  <c r="C223" i="1"/>
  <c r="B223" i="1"/>
  <c r="U160" i="1"/>
  <c r="T160" i="1"/>
  <c r="S160" i="1"/>
  <c r="R160" i="1"/>
  <c r="P160" i="1"/>
  <c r="O160" i="1"/>
  <c r="M160" i="1"/>
  <c r="L160" i="1"/>
  <c r="K160" i="1"/>
  <c r="J160" i="1"/>
  <c r="I160" i="1"/>
  <c r="H160" i="1"/>
  <c r="G160" i="1"/>
  <c r="F160" i="1"/>
  <c r="E160" i="1"/>
  <c r="D160" i="1"/>
  <c r="C160" i="1"/>
  <c r="B160" i="1"/>
  <c r="U97" i="1"/>
  <c r="T97" i="1"/>
  <c r="S97" i="1"/>
  <c r="R97" i="1"/>
  <c r="P97" i="1"/>
  <c r="O97" i="1"/>
  <c r="M97" i="1"/>
  <c r="L97" i="1"/>
  <c r="K97" i="1"/>
  <c r="J97" i="1"/>
  <c r="I97" i="1"/>
  <c r="H97" i="1"/>
  <c r="G97" i="1"/>
  <c r="F97" i="1"/>
  <c r="E97" i="1"/>
  <c r="D97" i="1"/>
  <c r="C97" i="1"/>
  <c r="B97" i="1"/>
  <c r="R36" i="1"/>
  <c r="P36" i="1"/>
  <c r="O36" i="1"/>
  <c r="K36" i="1"/>
  <c r="J36" i="1"/>
  <c r="I36" i="1"/>
  <c r="F36" i="1"/>
  <c r="D36" i="1"/>
  <c r="C36" i="1"/>
  <c r="E36" i="1" l="1"/>
  <c r="U36" i="1" l="1"/>
  <c r="T36" i="1"/>
  <c r="S36" i="1"/>
  <c r="B36" i="1"/>
  <c r="M36" i="1" l="1"/>
  <c r="L36" i="1"/>
  <c r="H36" i="1"/>
  <c r="G36" i="1" l="1"/>
  <c r="A2" i="3" l="1"/>
  <c r="A1" i="5" l="1"/>
  <c r="A5" i="1" l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B6" i="3" l="1"/>
  <c r="B3" i="3"/>
  <c r="B7" i="3"/>
  <c r="B11" i="3"/>
  <c r="B4" i="3"/>
  <c r="B8" i="3"/>
  <c r="B5" i="3"/>
  <c r="B9" i="3"/>
  <c r="B10" i="3"/>
  <c r="B15" i="3"/>
  <c r="B13" i="3"/>
  <c r="B17" i="3"/>
  <c r="B14" i="3"/>
  <c r="B19" i="3"/>
  <c r="B23" i="3"/>
  <c r="B12" i="3"/>
  <c r="B20" i="3"/>
  <c r="B24" i="3"/>
  <c r="B18" i="3"/>
  <c r="B21" i="3"/>
  <c r="B16" i="3"/>
  <c r="B22" i="3"/>
  <c r="B25" i="3"/>
  <c r="B29" i="3"/>
  <c r="B33" i="3"/>
  <c r="B26" i="3"/>
  <c r="B30" i="3"/>
  <c r="B34" i="3"/>
  <c r="B38" i="3"/>
  <c r="B27" i="3"/>
  <c r="B31" i="3"/>
  <c r="B28" i="3"/>
  <c r="B32" i="3"/>
  <c r="B36" i="3"/>
  <c r="B35" i="3"/>
  <c r="B39" i="3"/>
  <c r="B43" i="3"/>
  <c r="B47" i="3"/>
  <c r="B40" i="3"/>
  <c r="B44" i="3"/>
  <c r="B48" i="3"/>
  <c r="B52" i="3"/>
  <c r="B41" i="3"/>
  <c r="B45" i="3"/>
  <c r="B37" i="3"/>
  <c r="B42" i="3"/>
  <c r="B46" i="3"/>
  <c r="B50" i="3"/>
  <c r="B54" i="3"/>
  <c r="B58" i="3"/>
  <c r="B53" i="3"/>
  <c r="B55" i="3"/>
  <c r="B59" i="3"/>
  <c r="B63" i="3"/>
  <c r="B67" i="3"/>
  <c r="B51" i="3"/>
  <c r="B56" i="3"/>
  <c r="B49" i="3"/>
  <c r="B57" i="3"/>
  <c r="B61" i="3"/>
  <c r="B65" i="3"/>
  <c r="B60" i="3"/>
  <c r="B69" i="3"/>
  <c r="B73" i="3"/>
  <c r="B77" i="3"/>
  <c r="B66" i="3"/>
  <c r="B70" i="3"/>
  <c r="B74" i="3"/>
  <c r="B78" i="3"/>
  <c r="B82" i="3"/>
  <c r="B86" i="3"/>
  <c r="B64" i="3"/>
  <c r="B71" i="3"/>
  <c r="B75" i="3"/>
  <c r="B79" i="3"/>
  <c r="B62" i="3"/>
  <c r="B68" i="3"/>
  <c r="B72" i="3"/>
  <c r="B76" i="3"/>
  <c r="B80" i="3"/>
  <c r="B84" i="3"/>
  <c r="B81" i="3"/>
  <c r="B88" i="3"/>
  <c r="B92" i="3"/>
  <c r="B96" i="3"/>
  <c r="B100" i="3"/>
  <c r="B87" i="3"/>
  <c r="B89" i="3"/>
  <c r="B93" i="3"/>
  <c r="B97" i="3"/>
  <c r="B101" i="3"/>
  <c r="B105" i="3"/>
  <c r="B109" i="3"/>
  <c r="B85" i="3"/>
  <c r="B90" i="3"/>
  <c r="B94" i="3"/>
  <c r="B98" i="3"/>
  <c r="B83" i="3"/>
  <c r="B91" i="3"/>
  <c r="B95" i="3"/>
  <c r="B99" i="3"/>
  <c r="B103" i="3"/>
  <c r="B107" i="3"/>
  <c r="B106" i="3"/>
  <c r="B112" i="3"/>
  <c r="B116" i="3"/>
  <c r="B120" i="3"/>
  <c r="B124" i="3"/>
  <c r="B128" i="3"/>
  <c r="B104" i="3"/>
  <c r="B113" i="3"/>
  <c r="B117" i="3"/>
  <c r="B121" i="3"/>
  <c r="B125" i="3"/>
  <c r="B129" i="3"/>
  <c r="B133" i="3"/>
  <c r="B137" i="3"/>
  <c r="B102" i="3"/>
  <c r="B110" i="3"/>
  <c r="B114" i="3"/>
  <c r="B118" i="3"/>
  <c r="B122" i="3"/>
  <c r="B126" i="3"/>
  <c r="B130" i="3"/>
  <c r="B108" i="3"/>
  <c r="B111" i="3"/>
  <c r="B115" i="3"/>
  <c r="B119" i="3"/>
  <c r="B123" i="3"/>
  <c r="B127" i="3"/>
  <c r="B131" i="3"/>
  <c r="B135" i="3"/>
  <c r="B139" i="3"/>
  <c r="B140" i="3"/>
  <c r="B142" i="3"/>
  <c r="B146" i="3"/>
  <c r="B150" i="3"/>
  <c r="B154" i="3"/>
  <c r="B158" i="3"/>
  <c r="B162" i="3"/>
  <c r="B138" i="3"/>
  <c r="B143" i="3"/>
  <c r="B147" i="3"/>
  <c r="B151" i="3"/>
  <c r="B155" i="3"/>
  <c r="B159" i="3"/>
  <c r="B163" i="3"/>
  <c r="B167" i="3"/>
  <c r="B171" i="3"/>
  <c r="B132" i="3"/>
  <c r="B136" i="3"/>
  <c r="B144" i="3"/>
  <c r="B148" i="3"/>
  <c r="B152" i="3"/>
  <c r="B156" i="3"/>
  <c r="B160" i="3"/>
  <c r="B134" i="3"/>
  <c r="B141" i="3"/>
  <c r="B145" i="3"/>
  <c r="B149" i="3"/>
  <c r="B153" i="3"/>
  <c r="B157" i="3"/>
  <c r="B161" i="3"/>
  <c r="B165" i="3"/>
  <c r="B169" i="3"/>
  <c r="B170" i="3"/>
  <c r="B175" i="3"/>
  <c r="B179" i="3"/>
  <c r="B183" i="3"/>
  <c r="B187" i="3"/>
  <c r="B191" i="3"/>
  <c r="B195" i="3"/>
  <c r="B199" i="3"/>
  <c r="B168" i="3"/>
  <c r="B172" i="3"/>
  <c r="B176" i="3"/>
  <c r="B180" i="3"/>
  <c r="B184" i="3"/>
  <c r="B188" i="3"/>
  <c r="B192" i="3"/>
  <c r="B196" i="3"/>
  <c r="B200" i="3"/>
  <c r="B204" i="3"/>
  <c r="B166" i="3"/>
  <c r="B173" i="3"/>
  <c r="B177" i="3"/>
  <c r="B181" i="3"/>
  <c r="B185" i="3"/>
  <c r="B189" i="3"/>
  <c r="B193" i="3"/>
  <c r="B197" i="3"/>
  <c r="B201" i="3"/>
  <c r="B164" i="3"/>
  <c r="B174" i="3"/>
  <c r="B178" i="3"/>
  <c r="B182" i="3"/>
  <c r="B186" i="3"/>
  <c r="B190" i="3"/>
  <c r="B194" i="3"/>
  <c r="B198" i="3"/>
  <c r="B202" i="3"/>
  <c r="B207" i="3"/>
  <c r="B211" i="3"/>
  <c r="B215" i="3"/>
  <c r="B219" i="3"/>
  <c r="B223" i="3"/>
  <c r="B227" i="3"/>
  <c r="B231" i="3"/>
  <c r="B235" i="3"/>
  <c r="B208" i="3"/>
  <c r="B212" i="3"/>
  <c r="B216" i="3"/>
  <c r="B220" i="3"/>
  <c r="B224" i="3"/>
  <c r="B228" i="3"/>
  <c r="B232" i="3"/>
  <c r="B236" i="3"/>
  <c r="B240" i="3"/>
  <c r="B205" i="3"/>
  <c r="B209" i="3"/>
  <c r="B213" i="3"/>
  <c r="B217" i="3"/>
  <c r="B221" i="3"/>
  <c r="B225" i="3"/>
  <c r="B229" i="3"/>
  <c r="B233" i="3"/>
  <c r="B237" i="3"/>
  <c r="B203" i="3"/>
  <c r="B206" i="3"/>
  <c r="B210" i="3"/>
  <c r="B214" i="3"/>
  <c r="B218" i="3"/>
  <c r="B222" i="3"/>
  <c r="B226" i="3"/>
  <c r="B230" i="3"/>
  <c r="B234" i="3"/>
  <c r="B238" i="3"/>
  <c r="B242" i="3"/>
  <c r="B243" i="3"/>
  <c r="B247" i="3"/>
  <c r="B251" i="3"/>
  <c r="B255" i="3"/>
  <c r="B259" i="3"/>
  <c r="B263" i="3"/>
  <c r="B267" i="3"/>
  <c r="B271" i="3"/>
  <c r="B275" i="3"/>
  <c r="B279" i="3"/>
  <c r="B283" i="3"/>
  <c r="B287" i="3"/>
  <c r="B291" i="3"/>
  <c r="B295" i="3"/>
  <c r="B299" i="3"/>
  <c r="B303" i="3"/>
  <c r="B307" i="3"/>
  <c r="B241" i="3"/>
  <c r="B244" i="3"/>
  <c r="B248" i="3"/>
  <c r="B252" i="3"/>
  <c r="B256" i="3"/>
  <c r="B260" i="3"/>
  <c r="B264" i="3"/>
  <c r="B268" i="3"/>
  <c r="B272" i="3"/>
  <c r="B276" i="3"/>
  <c r="B280" i="3"/>
  <c r="B284" i="3"/>
  <c r="B288" i="3"/>
  <c r="B292" i="3"/>
  <c r="B296" i="3"/>
  <c r="B300" i="3"/>
  <c r="B304" i="3"/>
  <c r="B308" i="3"/>
  <c r="B239" i="3"/>
  <c r="B245" i="3"/>
  <c r="B249" i="3"/>
  <c r="B253" i="3"/>
  <c r="B257" i="3"/>
  <c r="B261" i="3"/>
  <c r="B265" i="3"/>
  <c r="B269" i="3"/>
  <c r="B273" i="3"/>
  <c r="B277" i="3"/>
  <c r="B281" i="3"/>
  <c r="B285" i="3"/>
  <c r="B289" i="3"/>
  <c r="B293" i="3"/>
  <c r="B297" i="3"/>
  <c r="B301" i="3"/>
  <c r="B305" i="3"/>
  <c r="B246" i="3"/>
  <c r="B250" i="3"/>
  <c r="B254" i="3"/>
  <c r="B258" i="3"/>
  <c r="B262" i="3"/>
  <c r="B266" i="3"/>
  <c r="B270" i="3"/>
  <c r="B274" i="3"/>
  <c r="B278" i="3"/>
  <c r="B282" i="3"/>
  <c r="B286" i="3"/>
  <c r="B290" i="3"/>
  <c r="B294" i="3"/>
  <c r="B298" i="3"/>
  <c r="B302" i="3"/>
  <c r="B306" i="3"/>
  <c r="B310" i="3"/>
  <c r="B312" i="3"/>
  <c r="B316" i="3"/>
  <c r="B320" i="3"/>
  <c r="B324" i="3"/>
  <c r="B328" i="3"/>
  <c r="B332" i="3"/>
  <c r="B336" i="3"/>
  <c r="B340" i="3"/>
  <c r="B344" i="3"/>
  <c r="B348" i="3"/>
  <c r="B352" i="3"/>
  <c r="B356" i="3"/>
  <c r="B360" i="3"/>
  <c r="B364" i="3"/>
  <c r="B313" i="3"/>
  <c r="B317" i="3"/>
  <c r="B321" i="3"/>
  <c r="B325" i="3"/>
  <c r="B329" i="3"/>
  <c r="B333" i="3"/>
  <c r="B337" i="3"/>
  <c r="B341" i="3"/>
  <c r="B345" i="3"/>
  <c r="B349" i="3"/>
  <c r="B353" i="3"/>
  <c r="B357" i="3"/>
  <c r="B361" i="3"/>
  <c r="B365" i="3"/>
  <c r="B314" i="3"/>
  <c r="B318" i="3"/>
  <c r="B322" i="3"/>
  <c r="B326" i="3"/>
  <c r="B330" i="3"/>
  <c r="B334" i="3"/>
  <c r="B338" i="3"/>
  <c r="B342" i="3"/>
  <c r="B346" i="3"/>
  <c r="B350" i="3"/>
  <c r="B354" i="3"/>
  <c r="B358" i="3"/>
  <c r="B362" i="3"/>
  <c r="B366" i="3"/>
  <c r="B309" i="3"/>
  <c r="B311" i="3"/>
  <c r="B315" i="3"/>
  <c r="B319" i="3"/>
  <c r="B323" i="3"/>
  <c r="B327" i="3"/>
  <c r="B331" i="3"/>
  <c r="B335" i="3"/>
  <c r="B339" i="3"/>
  <c r="B343" i="3"/>
  <c r="B347" i="3"/>
  <c r="B351" i="3"/>
  <c r="B355" i="3"/>
  <c r="B359" i="3"/>
  <c r="B363" i="3"/>
  <c r="B2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34" i="2"/>
  <c r="A35" i="2"/>
  <c r="A36" i="2"/>
  <c r="A37" i="2"/>
  <c r="A38" i="2"/>
  <c r="A39" i="2"/>
  <c r="A40" i="2"/>
  <c r="A41" i="2"/>
  <c r="A42" i="2"/>
  <c r="A43" i="2"/>
  <c r="A44" i="2"/>
  <c r="A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B2" i="2"/>
  <c r="D2" i="2" s="1"/>
  <c r="A2" i="2"/>
  <c r="AJ363" i="3" l="1"/>
  <c r="AJ347" i="3"/>
  <c r="AJ331" i="3"/>
  <c r="AJ315" i="3"/>
  <c r="AJ362" i="3"/>
  <c r="AJ346" i="3"/>
  <c r="AJ359" i="3"/>
  <c r="AJ343" i="3"/>
  <c r="AJ327" i="3"/>
  <c r="AJ311" i="3"/>
  <c r="AJ358" i="3"/>
  <c r="AJ342" i="3"/>
  <c r="AJ355" i="3"/>
  <c r="AJ339" i="3"/>
  <c r="AJ323" i="3"/>
  <c r="AJ309" i="3"/>
  <c r="AJ354" i="3"/>
  <c r="AJ338" i="3"/>
  <c r="AJ351" i="3"/>
  <c r="AJ335" i="3"/>
  <c r="AJ319" i="3"/>
  <c r="AJ366" i="3"/>
  <c r="AJ350" i="3"/>
  <c r="AJ334" i="3"/>
  <c r="AJ330" i="3"/>
  <c r="AJ314" i="3"/>
  <c r="AJ353" i="3"/>
  <c r="AJ337" i="3"/>
  <c r="AJ321" i="3"/>
  <c r="AJ360" i="3"/>
  <c r="AJ344" i="3"/>
  <c r="AJ328" i="3"/>
  <c r="AJ312" i="3"/>
  <c r="AJ298" i="3"/>
  <c r="AJ282" i="3"/>
  <c r="AJ266" i="3"/>
  <c r="AJ250" i="3"/>
  <c r="AJ297" i="3"/>
  <c r="AJ281" i="3"/>
  <c r="AJ265" i="3"/>
  <c r="AJ249" i="3"/>
  <c r="AJ304" i="3"/>
  <c r="AJ288" i="3"/>
  <c r="AJ272" i="3"/>
  <c r="AJ256" i="3"/>
  <c r="AJ241" i="3"/>
  <c r="AJ295" i="3"/>
  <c r="AJ279" i="3"/>
  <c r="AJ263" i="3"/>
  <c r="AJ247" i="3"/>
  <c r="AJ234" i="3"/>
  <c r="AJ218" i="3"/>
  <c r="AJ203" i="3"/>
  <c r="AJ225" i="3"/>
  <c r="AJ209" i="3"/>
  <c r="AJ232" i="3"/>
  <c r="AJ216" i="3"/>
  <c r="AJ231" i="3"/>
  <c r="AJ215" i="3"/>
  <c r="AJ198" i="3"/>
  <c r="AJ182" i="3"/>
  <c r="AJ201" i="3"/>
  <c r="AJ185" i="3"/>
  <c r="AJ166" i="3"/>
  <c r="AJ192" i="3"/>
  <c r="AJ176" i="3"/>
  <c r="AJ195" i="3"/>
  <c r="AJ179" i="3"/>
  <c r="AJ165" i="3"/>
  <c r="AJ149" i="3"/>
  <c r="AJ160" i="3"/>
  <c r="AJ144" i="3"/>
  <c r="AJ167" i="3"/>
  <c r="AJ151" i="3"/>
  <c r="AJ162" i="3"/>
  <c r="AJ146" i="3"/>
  <c r="AJ135" i="3"/>
  <c r="AJ119" i="3"/>
  <c r="AJ130" i="3"/>
  <c r="AJ114" i="3"/>
  <c r="AJ133" i="3"/>
  <c r="AJ117" i="3"/>
  <c r="AJ124" i="3"/>
  <c r="AJ106" i="3"/>
  <c r="AJ95" i="3"/>
  <c r="AJ94" i="3"/>
  <c r="AJ105" i="3"/>
  <c r="AJ89" i="3"/>
  <c r="AJ92" i="3"/>
  <c r="AJ80" i="3"/>
  <c r="AJ62" i="3"/>
  <c r="AJ64" i="3"/>
  <c r="AJ74" i="3"/>
  <c r="AJ73" i="3"/>
  <c r="AJ61" i="3"/>
  <c r="AJ51" i="3"/>
  <c r="AJ55" i="3"/>
  <c r="AJ50" i="3"/>
  <c r="AJ45" i="3"/>
  <c r="AJ44" i="3"/>
  <c r="AJ39" i="3"/>
  <c r="AJ28" i="3"/>
  <c r="AJ34" i="3"/>
  <c r="AJ29" i="3"/>
  <c r="AJ21" i="3"/>
  <c r="AJ12" i="3"/>
  <c r="AJ17" i="3"/>
  <c r="AJ9" i="3"/>
  <c r="AJ11" i="3"/>
  <c r="AJ326" i="3"/>
  <c r="AJ365" i="3"/>
  <c r="AJ349" i="3"/>
  <c r="AJ333" i="3"/>
  <c r="AJ317" i="3"/>
  <c r="AJ356" i="3"/>
  <c r="AJ340" i="3"/>
  <c r="AJ324" i="3"/>
  <c r="AJ310" i="3"/>
  <c r="AJ294" i="3"/>
  <c r="AJ278" i="3"/>
  <c r="AJ262" i="3"/>
  <c r="AJ246" i="3"/>
  <c r="AJ293" i="3"/>
  <c r="AJ277" i="3"/>
  <c r="AJ261" i="3"/>
  <c r="AJ245" i="3"/>
  <c r="AJ300" i="3"/>
  <c r="AJ284" i="3"/>
  <c r="AJ268" i="3"/>
  <c r="AJ252" i="3"/>
  <c r="AJ307" i="3"/>
  <c r="AJ291" i="3"/>
  <c r="AJ275" i="3"/>
  <c r="AJ259" i="3"/>
  <c r="AJ243" i="3"/>
  <c r="AJ230" i="3"/>
  <c r="AJ214" i="3"/>
  <c r="AJ237" i="3"/>
  <c r="AJ221" i="3"/>
  <c r="AJ205" i="3"/>
  <c r="AJ228" i="3"/>
  <c r="AJ212" i="3"/>
  <c r="AJ227" i="3"/>
  <c r="AJ211" i="3"/>
  <c r="AJ194" i="3"/>
  <c r="AJ178" i="3"/>
  <c r="AJ197" i="3"/>
  <c r="AJ181" i="3"/>
  <c r="AJ204" i="3"/>
  <c r="AJ188" i="3"/>
  <c r="AJ172" i="3"/>
  <c r="AJ191" i="3"/>
  <c r="AJ175" i="3"/>
  <c r="AJ161" i="3"/>
  <c r="AJ145" i="3"/>
  <c r="AJ156" i="3"/>
  <c r="AJ136" i="3"/>
  <c r="AJ163" i="3"/>
  <c r="AJ147" i="3"/>
  <c r="AJ158" i="3"/>
  <c r="AJ142" i="3"/>
  <c r="AJ131" i="3"/>
  <c r="AJ115" i="3"/>
  <c r="AJ126" i="3"/>
  <c r="AJ110" i="3"/>
  <c r="AJ129" i="3"/>
  <c r="AJ113" i="3"/>
  <c r="AJ120" i="3"/>
  <c r="AJ107" i="3"/>
  <c r="AJ91" i="3"/>
  <c r="AJ90" i="3"/>
  <c r="AJ101" i="3"/>
  <c r="AJ87" i="3"/>
  <c r="AJ88" i="3"/>
  <c r="AJ76" i="3"/>
  <c r="AJ79" i="3"/>
  <c r="AJ86" i="3"/>
  <c r="AJ70" i="3"/>
  <c r="AJ69" i="3"/>
  <c r="AJ57" i="3"/>
  <c r="AJ67" i="3"/>
  <c r="AJ53" i="3"/>
  <c r="AJ46" i="3"/>
  <c r="AJ41" i="3"/>
  <c r="AJ40" i="3"/>
  <c r="AJ35" i="3"/>
  <c r="AJ31" i="3"/>
  <c r="AJ30" i="3"/>
  <c r="AJ25" i="3"/>
  <c r="AJ18" i="3"/>
  <c r="AJ23" i="3"/>
  <c r="AJ13" i="3"/>
  <c r="AJ5" i="3"/>
  <c r="AJ7" i="3"/>
  <c r="AJ322" i="3"/>
  <c r="AJ361" i="3"/>
  <c r="AJ345" i="3"/>
  <c r="AJ329" i="3"/>
  <c r="AJ313" i="3"/>
  <c r="AJ352" i="3"/>
  <c r="AJ336" i="3"/>
  <c r="AJ320" i="3"/>
  <c r="AJ306" i="3"/>
  <c r="AJ290" i="3"/>
  <c r="AJ274" i="3"/>
  <c r="AJ258" i="3"/>
  <c r="AJ305" i="3"/>
  <c r="AJ289" i="3"/>
  <c r="AJ273" i="3"/>
  <c r="AJ257" i="3"/>
  <c r="AJ239" i="3"/>
  <c r="AJ296" i="3"/>
  <c r="AJ280" i="3"/>
  <c r="AJ264" i="3"/>
  <c r="AJ248" i="3"/>
  <c r="AJ303" i="3"/>
  <c r="AJ287" i="3"/>
  <c r="AJ271" i="3"/>
  <c r="AJ255" i="3"/>
  <c r="AJ242" i="3"/>
  <c r="AJ226" i="3"/>
  <c r="AJ210" i="3"/>
  <c r="AJ233" i="3"/>
  <c r="AJ217" i="3"/>
  <c r="AJ240" i="3"/>
  <c r="AJ224" i="3"/>
  <c r="AJ208" i="3"/>
  <c r="AJ223" i="3"/>
  <c r="AJ207" i="3"/>
  <c r="AJ190" i="3"/>
  <c r="AJ174" i="3"/>
  <c r="AJ193" i="3"/>
  <c r="AJ177" i="3"/>
  <c r="AJ200" i="3"/>
  <c r="AJ184" i="3"/>
  <c r="AJ168" i="3"/>
  <c r="AJ187" i="3"/>
  <c r="AJ170" i="3"/>
  <c r="AJ157" i="3"/>
  <c r="AJ141" i="3"/>
  <c r="AJ152" i="3"/>
  <c r="AJ132" i="3"/>
  <c r="AJ159" i="3"/>
  <c r="AJ143" i="3"/>
  <c r="AJ154" i="3"/>
  <c r="AJ140" i="3"/>
  <c r="AJ127" i="3"/>
  <c r="AJ111" i="3"/>
  <c r="AJ122" i="3"/>
  <c r="AJ102" i="3"/>
  <c r="AJ125" i="3"/>
  <c r="AJ104" i="3"/>
  <c r="AJ116" i="3"/>
  <c r="AJ103" i="3"/>
  <c r="AJ83" i="3"/>
  <c r="AJ85" i="3"/>
  <c r="AJ97" i="3"/>
  <c r="AJ100" i="3"/>
  <c r="AJ81" i="3"/>
  <c r="AJ72" i="3"/>
  <c r="AJ75" i="3"/>
  <c r="AJ82" i="3"/>
  <c r="AJ66" i="3"/>
  <c r="AJ60" i="3"/>
  <c r="AJ49" i="3"/>
  <c r="AJ63" i="3"/>
  <c r="AJ58" i="3"/>
  <c r="AJ42" i="3"/>
  <c r="AJ52" i="3"/>
  <c r="AJ47" i="3"/>
  <c r="AJ36" i="3"/>
  <c r="AJ27" i="3"/>
  <c r="AJ26" i="3"/>
  <c r="AJ22" i="3"/>
  <c r="AJ24" i="3"/>
  <c r="AJ19" i="3"/>
  <c r="AJ15" i="3"/>
  <c r="AJ8" i="3"/>
  <c r="AJ3" i="3"/>
  <c r="AJ318" i="3"/>
  <c r="AJ357" i="3"/>
  <c r="AJ341" i="3"/>
  <c r="AJ325" i="3"/>
  <c r="AJ364" i="3"/>
  <c r="AJ348" i="3"/>
  <c r="AJ332" i="3"/>
  <c r="AJ316" i="3"/>
  <c r="AJ302" i="3"/>
  <c r="AJ286" i="3"/>
  <c r="AJ270" i="3"/>
  <c r="AJ254" i="3"/>
  <c r="AJ301" i="3"/>
  <c r="AJ285" i="3"/>
  <c r="AJ269" i="3"/>
  <c r="AJ253" i="3"/>
  <c r="AJ308" i="3"/>
  <c r="AJ292" i="3"/>
  <c r="AJ276" i="3"/>
  <c r="AJ260" i="3"/>
  <c r="AJ244" i="3"/>
  <c r="AJ299" i="3"/>
  <c r="AJ283" i="3"/>
  <c r="AJ267" i="3"/>
  <c r="AJ251" i="3"/>
  <c r="AJ238" i="3"/>
  <c r="AJ222" i="3"/>
  <c r="AJ206" i="3"/>
  <c r="AJ229" i="3"/>
  <c r="AJ213" i="3"/>
  <c r="AJ236" i="3"/>
  <c r="AJ220" i="3"/>
  <c r="AJ235" i="3"/>
  <c r="AJ219" i="3"/>
  <c r="AJ202" i="3"/>
  <c r="AJ186" i="3"/>
  <c r="AJ164" i="3"/>
  <c r="AJ189" i="3"/>
  <c r="AJ173" i="3"/>
  <c r="AJ196" i="3"/>
  <c r="AJ180" i="3"/>
  <c r="AJ199" i="3"/>
  <c r="AJ183" i="3"/>
  <c r="AJ169" i="3"/>
  <c r="AJ153" i="3"/>
  <c r="AJ134" i="3"/>
  <c r="AJ148" i="3"/>
  <c r="AJ171" i="3"/>
  <c r="AJ155" i="3"/>
  <c r="AJ138" i="3"/>
  <c r="AJ150" i="3"/>
  <c r="AJ139" i="3"/>
  <c r="AJ123" i="3"/>
  <c r="AJ108" i="3"/>
  <c r="AJ118" i="3"/>
  <c r="AJ137" i="3"/>
  <c r="AJ121" i="3"/>
  <c r="AJ128" i="3"/>
  <c r="AJ112" i="3"/>
  <c r="AJ99" i="3"/>
  <c r="AJ98" i="3"/>
  <c r="AJ109" i="3"/>
  <c r="AJ93" i="3"/>
  <c r="AJ96" i="3"/>
  <c r="AJ84" i="3"/>
  <c r="AJ68" i="3"/>
  <c r="AJ71" i="3"/>
  <c r="AJ78" i="3"/>
  <c r="AJ77" i="3"/>
  <c r="AJ65" i="3"/>
  <c r="AJ56" i="3"/>
  <c r="AJ59" i="3"/>
  <c r="AJ54" i="3"/>
  <c r="AJ37" i="3"/>
  <c r="AJ48" i="3"/>
  <c r="AJ43" i="3"/>
  <c r="AJ32" i="3"/>
  <c r="AJ38" i="3"/>
  <c r="AJ33" i="3"/>
  <c r="AJ16" i="3"/>
  <c r="AJ20" i="3"/>
  <c r="AJ14" i="3"/>
  <c r="AJ10" i="3"/>
  <c r="AJ4" i="3"/>
  <c r="AJ6" i="3"/>
  <c r="AF363" i="3"/>
  <c r="AF347" i="3"/>
  <c r="AF331" i="3"/>
  <c r="AF315" i="3"/>
  <c r="AF362" i="3"/>
  <c r="AF346" i="3"/>
  <c r="AF359" i="3"/>
  <c r="AF343" i="3"/>
  <c r="AF327" i="3"/>
  <c r="AF311" i="3"/>
  <c r="AF358" i="3"/>
  <c r="AF342" i="3"/>
  <c r="AF355" i="3"/>
  <c r="AF339" i="3"/>
  <c r="AF323" i="3"/>
  <c r="AF309" i="3"/>
  <c r="AF354" i="3"/>
  <c r="AF338" i="3"/>
  <c r="AF351" i="3"/>
  <c r="AF335" i="3"/>
  <c r="AF319" i="3"/>
  <c r="AF366" i="3"/>
  <c r="AF350" i="3"/>
  <c r="AF334" i="3"/>
  <c r="AF330" i="3"/>
  <c r="AF314" i="3"/>
  <c r="AF353" i="3"/>
  <c r="AF337" i="3"/>
  <c r="AF321" i="3"/>
  <c r="AF360" i="3"/>
  <c r="AF344" i="3"/>
  <c r="AF328" i="3"/>
  <c r="AF312" i="3"/>
  <c r="AF298" i="3"/>
  <c r="AF282" i="3"/>
  <c r="AF266" i="3"/>
  <c r="AF250" i="3"/>
  <c r="AF297" i="3"/>
  <c r="AF281" i="3"/>
  <c r="AF265" i="3"/>
  <c r="AF249" i="3"/>
  <c r="AF304" i="3"/>
  <c r="AF288" i="3"/>
  <c r="AF272" i="3"/>
  <c r="AF256" i="3"/>
  <c r="AF241" i="3"/>
  <c r="AF295" i="3"/>
  <c r="AF279" i="3"/>
  <c r="AF263" i="3"/>
  <c r="AF247" i="3"/>
  <c r="AF234" i="3"/>
  <c r="AF218" i="3"/>
  <c r="AF203" i="3"/>
  <c r="AF225" i="3"/>
  <c r="AF209" i="3"/>
  <c r="AF232" i="3"/>
  <c r="AF216" i="3"/>
  <c r="AF231" i="3"/>
  <c r="AF215" i="3"/>
  <c r="AF198" i="3"/>
  <c r="AF182" i="3"/>
  <c r="AF201" i="3"/>
  <c r="AF185" i="3"/>
  <c r="AF166" i="3"/>
  <c r="AF192" i="3"/>
  <c r="AF176" i="3"/>
  <c r="AF195" i="3"/>
  <c r="AF179" i="3"/>
  <c r="AF165" i="3"/>
  <c r="AF149" i="3"/>
  <c r="AF160" i="3"/>
  <c r="AF144" i="3"/>
  <c r="AF167" i="3"/>
  <c r="AF151" i="3"/>
  <c r="AF162" i="3"/>
  <c r="AF146" i="3"/>
  <c r="AF135" i="3"/>
  <c r="AF119" i="3"/>
  <c r="AF130" i="3"/>
  <c r="AF114" i="3"/>
  <c r="AF133" i="3"/>
  <c r="AF117" i="3"/>
  <c r="AF124" i="3"/>
  <c r="AF106" i="3"/>
  <c r="AF95" i="3"/>
  <c r="AF94" i="3"/>
  <c r="AF105" i="3"/>
  <c r="AF89" i="3"/>
  <c r="AF92" i="3"/>
  <c r="AF80" i="3"/>
  <c r="AF62" i="3"/>
  <c r="AF64" i="3"/>
  <c r="AF74" i="3"/>
  <c r="AF73" i="3"/>
  <c r="AF61" i="3"/>
  <c r="AF51" i="3"/>
  <c r="AF55" i="3"/>
  <c r="AF50" i="3"/>
  <c r="AF45" i="3"/>
  <c r="AF44" i="3"/>
  <c r="AF39" i="3"/>
  <c r="AF28" i="3"/>
  <c r="AF34" i="3"/>
  <c r="AF29" i="3"/>
  <c r="AF21" i="3"/>
  <c r="AF12" i="3"/>
  <c r="AF17" i="3"/>
  <c r="AF9" i="3"/>
  <c r="AF11" i="3"/>
  <c r="AF326" i="3"/>
  <c r="AF365" i="3"/>
  <c r="AF349" i="3"/>
  <c r="AF333" i="3"/>
  <c r="AF317" i="3"/>
  <c r="AF356" i="3"/>
  <c r="AF340" i="3"/>
  <c r="AF324" i="3"/>
  <c r="AF310" i="3"/>
  <c r="AF294" i="3"/>
  <c r="AF278" i="3"/>
  <c r="AF262" i="3"/>
  <c r="AF246" i="3"/>
  <c r="AF293" i="3"/>
  <c r="AF277" i="3"/>
  <c r="AF261" i="3"/>
  <c r="AF245" i="3"/>
  <c r="AF300" i="3"/>
  <c r="AF284" i="3"/>
  <c r="AF268" i="3"/>
  <c r="AF252" i="3"/>
  <c r="AF307" i="3"/>
  <c r="AF291" i="3"/>
  <c r="AF275" i="3"/>
  <c r="AF259" i="3"/>
  <c r="AF243" i="3"/>
  <c r="AF230" i="3"/>
  <c r="AF214" i="3"/>
  <c r="AF237" i="3"/>
  <c r="AF221" i="3"/>
  <c r="AF205" i="3"/>
  <c r="AF228" i="3"/>
  <c r="AF212" i="3"/>
  <c r="AF227" i="3"/>
  <c r="AF211" i="3"/>
  <c r="AF194" i="3"/>
  <c r="AF178" i="3"/>
  <c r="AF197" i="3"/>
  <c r="AF181" i="3"/>
  <c r="AF204" i="3"/>
  <c r="AF188" i="3"/>
  <c r="AF172" i="3"/>
  <c r="AF191" i="3"/>
  <c r="AF175" i="3"/>
  <c r="AF161" i="3"/>
  <c r="AF145" i="3"/>
  <c r="AF156" i="3"/>
  <c r="AF136" i="3"/>
  <c r="AF163" i="3"/>
  <c r="AF147" i="3"/>
  <c r="AF158" i="3"/>
  <c r="AF142" i="3"/>
  <c r="AF131" i="3"/>
  <c r="AF115" i="3"/>
  <c r="AF126" i="3"/>
  <c r="AF110" i="3"/>
  <c r="AF129" i="3"/>
  <c r="AF113" i="3"/>
  <c r="AF120" i="3"/>
  <c r="AF107" i="3"/>
  <c r="AF91" i="3"/>
  <c r="AF90" i="3"/>
  <c r="AF101" i="3"/>
  <c r="AF87" i="3"/>
  <c r="AF88" i="3"/>
  <c r="AF76" i="3"/>
  <c r="AF79" i="3"/>
  <c r="AF86" i="3"/>
  <c r="AF70" i="3"/>
  <c r="AF69" i="3"/>
  <c r="AF57" i="3"/>
  <c r="AF67" i="3"/>
  <c r="AF53" i="3"/>
  <c r="AF46" i="3"/>
  <c r="AF41" i="3"/>
  <c r="AF40" i="3"/>
  <c r="AF35" i="3"/>
  <c r="AF31" i="3"/>
  <c r="AF30" i="3"/>
  <c r="AF25" i="3"/>
  <c r="AF18" i="3"/>
  <c r="AF23" i="3"/>
  <c r="AF13" i="3"/>
  <c r="AF5" i="3"/>
  <c r="AF7" i="3"/>
  <c r="AF322" i="3"/>
  <c r="AF361" i="3"/>
  <c r="AF345" i="3"/>
  <c r="AF329" i="3"/>
  <c r="AF313" i="3"/>
  <c r="AF352" i="3"/>
  <c r="AF336" i="3"/>
  <c r="AF320" i="3"/>
  <c r="AF306" i="3"/>
  <c r="AF290" i="3"/>
  <c r="AF274" i="3"/>
  <c r="AF258" i="3"/>
  <c r="AF305" i="3"/>
  <c r="AF289" i="3"/>
  <c r="AF273" i="3"/>
  <c r="AF257" i="3"/>
  <c r="AF239" i="3"/>
  <c r="AF296" i="3"/>
  <c r="AF280" i="3"/>
  <c r="AF264" i="3"/>
  <c r="AF248" i="3"/>
  <c r="AF303" i="3"/>
  <c r="AF287" i="3"/>
  <c r="AF271" i="3"/>
  <c r="AF255" i="3"/>
  <c r="AF242" i="3"/>
  <c r="AF226" i="3"/>
  <c r="AF210" i="3"/>
  <c r="AF233" i="3"/>
  <c r="AF217" i="3"/>
  <c r="AF240" i="3"/>
  <c r="AF224" i="3"/>
  <c r="AF208" i="3"/>
  <c r="AF223" i="3"/>
  <c r="AF207" i="3"/>
  <c r="AF190" i="3"/>
  <c r="AF174" i="3"/>
  <c r="AF193" i="3"/>
  <c r="AF177" i="3"/>
  <c r="AF200" i="3"/>
  <c r="AF184" i="3"/>
  <c r="AF168" i="3"/>
  <c r="AF187" i="3"/>
  <c r="AF170" i="3"/>
  <c r="AF157" i="3"/>
  <c r="AF141" i="3"/>
  <c r="AF152" i="3"/>
  <c r="AF132" i="3"/>
  <c r="AF159" i="3"/>
  <c r="AF143" i="3"/>
  <c r="AF154" i="3"/>
  <c r="AF140" i="3"/>
  <c r="AF127" i="3"/>
  <c r="AF111" i="3"/>
  <c r="AF122" i="3"/>
  <c r="AF102" i="3"/>
  <c r="AF125" i="3"/>
  <c r="AF104" i="3"/>
  <c r="AF116" i="3"/>
  <c r="AF103" i="3"/>
  <c r="AF83" i="3"/>
  <c r="AF85" i="3"/>
  <c r="AF97" i="3"/>
  <c r="AF100" i="3"/>
  <c r="AF81" i="3"/>
  <c r="AF72" i="3"/>
  <c r="AF75" i="3"/>
  <c r="AF82" i="3"/>
  <c r="AF66" i="3"/>
  <c r="AF60" i="3"/>
  <c r="AF49" i="3"/>
  <c r="AF63" i="3"/>
  <c r="AF58" i="3"/>
  <c r="AF42" i="3"/>
  <c r="AF52" i="3"/>
  <c r="AF47" i="3"/>
  <c r="AF36" i="3"/>
  <c r="AF27" i="3"/>
  <c r="AF26" i="3"/>
  <c r="AF22" i="3"/>
  <c r="AF24" i="3"/>
  <c r="AF19" i="3"/>
  <c r="AF15" i="3"/>
  <c r="AF8" i="3"/>
  <c r="AF3" i="3"/>
  <c r="AF318" i="3"/>
  <c r="AF357" i="3"/>
  <c r="AF341" i="3"/>
  <c r="AF325" i="3"/>
  <c r="AF364" i="3"/>
  <c r="AF348" i="3"/>
  <c r="AF332" i="3"/>
  <c r="AF316" i="3"/>
  <c r="AF302" i="3"/>
  <c r="AF286" i="3"/>
  <c r="AF270" i="3"/>
  <c r="AF254" i="3"/>
  <c r="AF301" i="3"/>
  <c r="AF285" i="3"/>
  <c r="AF269" i="3"/>
  <c r="AF253" i="3"/>
  <c r="AF308" i="3"/>
  <c r="AF292" i="3"/>
  <c r="AF276" i="3"/>
  <c r="AF260" i="3"/>
  <c r="AF244" i="3"/>
  <c r="AF299" i="3"/>
  <c r="AF283" i="3"/>
  <c r="AF267" i="3"/>
  <c r="AF251" i="3"/>
  <c r="AF238" i="3"/>
  <c r="AF222" i="3"/>
  <c r="AF206" i="3"/>
  <c r="AF229" i="3"/>
  <c r="AF213" i="3"/>
  <c r="AF236" i="3"/>
  <c r="AF220" i="3"/>
  <c r="AF235" i="3"/>
  <c r="AF219" i="3"/>
  <c r="AF202" i="3"/>
  <c r="AF186" i="3"/>
  <c r="AF164" i="3"/>
  <c r="AF189" i="3"/>
  <c r="AF173" i="3"/>
  <c r="AF196" i="3"/>
  <c r="AF180" i="3"/>
  <c r="AF199" i="3"/>
  <c r="AF183" i="3"/>
  <c r="AF169" i="3"/>
  <c r="AF153" i="3"/>
  <c r="AF134" i="3"/>
  <c r="AF148" i="3"/>
  <c r="AF171" i="3"/>
  <c r="AF155" i="3"/>
  <c r="AF138" i="3"/>
  <c r="AF150" i="3"/>
  <c r="AF139" i="3"/>
  <c r="AF123" i="3"/>
  <c r="AF108" i="3"/>
  <c r="AF118" i="3"/>
  <c r="AF137" i="3"/>
  <c r="AF121" i="3"/>
  <c r="AF128" i="3"/>
  <c r="AF112" i="3"/>
  <c r="AF99" i="3"/>
  <c r="AF98" i="3"/>
  <c r="AF109" i="3"/>
  <c r="AF93" i="3"/>
  <c r="AF96" i="3"/>
  <c r="AF84" i="3"/>
  <c r="AF68" i="3"/>
  <c r="AF71" i="3"/>
  <c r="AF78" i="3"/>
  <c r="AF77" i="3"/>
  <c r="AF65" i="3"/>
  <c r="AF56" i="3"/>
  <c r="AF59" i="3"/>
  <c r="AF54" i="3"/>
  <c r="AF37" i="3"/>
  <c r="AF48" i="3"/>
  <c r="AF43" i="3"/>
  <c r="AF32" i="3"/>
  <c r="AF38" i="3"/>
  <c r="AF33" i="3"/>
  <c r="AF16" i="3"/>
  <c r="AF20" i="3"/>
  <c r="AF14" i="3"/>
  <c r="AF10" i="3"/>
  <c r="AF4" i="3"/>
  <c r="AF6" i="3"/>
  <c r="AD363" i="3"/>
  <c r="AD347" i="3"/>
  <c r="AD331" i="3"/>
  <c r="AD315" i="3"/>
  <c r="AD362" i="3"/>
  <c r="AD346" i="3"/>
  <c r="AD359" i="3"/>
  <c r="AD343" i="3"/>
  <c r="AD327" i="3"/>
  <c r="AD311" i="3"/>
  <c r="AD358" i="3"/>
  <c r="AD342" i="3"/>
  <c r="AD355" i="3"/>
  <c r="AD339" i="3"/>
  <c r="AD323" i="3"/>
  <c r="AD309" i="3"/>
  <c r="AD354" i="3"/>
  <c r="AD338" i="3"/>
  <c r="AD351" i="3"/>
  <c r="AD335" i="3"/>
  <c r="AD319" i="3"/>
  <c r="AD366" i="3"/>
  <c r="AD350" i="3"/>
  <c r="AD334" i="3"/>
  <c r="AD318" i="3"/>
  <c r="AD330" i="3"/>
  <c r="AD314" i="3"/>
  <c r="AD353" i="3"/>
  <c r="AD337" i="3"/>
  <c r="AD321" i="3"/>
  <c r="AD360" i="3"/>
  <c r="AD344" i="3"/>
  <c r="AD328" i="3"/>
  <c r="AD312" i="3"/>
  <c r="AD298" i="3"/>
  <c r="AD282" i="3"/>
  <c r="AD266" i="3"/>
  <c r="AD250" i="3"/>
  <c r="AD297" i="3"/>
  <c r="AD281" i="3"/>
  <c r="AD265" i="3"/>
  <c r="AD249" i="3"/>
  <c r="AD304" i="3"/>
  <c r="AD288" i="3"/>
  <c r="AD272" i="3"/>
  <c r="AD256" i="3"/>
  <c r="AD241" i="3"/>
  <c r="AD295" i="3"/>
  <c r="AD279" i="3"/>
  <c r="AD263" i="3"/>
  <c r="AD247" i="3"/>
  <c r="AD234" i="3"/>
  <c r="AD218" i="3"/>
  <c r="AD203" i="3"/>
  <c r="AD225" i="3"/>
  <c r="AD209" i="3"/>
  <c r="AD232" i="3"/>
  <c r="AD216" i="3"/>
  <c r="AD231" i="3"/>
  <c r="AD215" i="3"/>
  <c r="AD198" i="3"/>
  <c r="AD182" i="3"/>
  <c r="AD201" i="3"/>
  <c r="AD185" i="3"/>
  <c r="AD166" i="3"/>
  <c r="AD192" i="3"/>
  <c r="AD176" i="3"/>
  <c r="AD195" i="3"/>
  <c r="AD179" i="3"/>
  <c r="AD165" i="3"/>
  <c r="AD149" i="3"/>
  <c r="AD160" i="3"/>
  <c r="AD144" i="3"/>
  <c r="AD167" i="3"/>
  <c r="AD151" i="3"/>
  <c r="AD162" i="3"/>
  <c r="AD146" i="3"/>
  <c r="AD135" i="3"/>
  <c r="AD119" i="3"/>
  <c r="AD130" i="3"/>
  <c r="AD114" i="3"/>
  <c r="AD133" i="3"/>
  <c r="AD117" i="3"/>
  <c r="AD124" i="3"/>
  <c r="AD106" i="3"/>
  <c r="AD95" i="3"/>
  <c r="AD94" i="3"/>
  <c r="AD105" i="3"/>
  <c r="AD89" i="3"/>
  <c r="AD92" i="3"/>
  <c r="AD80" i="3"/>
  <c r="AD62" i="3"/>
  <c r="AD64" i="3"/>
  <c r="AD74" i="3"/>
  <c r="AD73" i="3"/>
  <c r="AD61" i="3"/>
  <c r="AD51" i="3"/>
  <c r="AD55" i="3"/>
  <c r="AD50" i="3"/>
  <c r="AD45" i="3"/>
  <c r="AD44" i="3"/>
  <c r="AD39" i="3"/>
  <c r="AD28" i="3"/>
  <c r="AD34" i="3"/>
  <c r="AD29" i="3"/>
  <c r="AD21" i="3"/>
  <c r="AD12" i="3"/>
  <c r="AD17" i="3"/>
  <c r="AD9" i="3"/>
  <c r="AD11" i="3"/>
  <c r="AD326" i="3"/>
  <c r="AD365" i="3"/>
  <c r="AD349" i="3"/>
  <c r="AD333" i="3"/>
  <c r="AD317" i="3"/>
  <c r="AD356" i="3"/>
  <c r="AD340" i="3"/>
  <c r="AD324" i="3"/>
  <c r="AD310" i="3"/>
  <c r="AD294" i="3"/>
  <c r="AD278" i="3"/>
  <c r="AD262" i="3"/>
  <c r="AD246" i="3"/>
  <c r="AD293" i="3"/>
  <c r="AD277" i="3"/>
  <c r="AD261" i="3"/>
  <c r="AD245" i="3"/>
  <c r="AD300" i="3"/>
  <c r="AD284" i="3"/>
  <c r="AD268" i="3"/>
  <c r="AD252" i="3"/>
  <c r="AD307" i="3"/>
  <c r="AD291" i="3"/>
  <c r="AD275" i="3"/>
  <c r="AD259" i="3"/>
  <c r="AD243" i="3"/>
  <c r="AD230" i="3"/>
  <c r="AD214" i="3"/>
  <c r="AD237" i="3"/>
  <c r="AD221" i="3"/>
  <c r="AD205" i="3"/>
  <c r="AD228" i="3"/>
  <c r="AD212" i="3"/>
  <c r="AD227" i="3"/>
  <c r="AD211" i="3"/>
  <c r="AD194" i="3"/>
  <c r="AD178" i="3"/>
  <c r="AD197" i="3"/>
  <c r="AD181" i="3"/>
  <c r="AD204" i="3"/>
  <c r="AD188" i="3"/>
  <c r="AD172" i="3"/>
  <c r="AD191" i="3"/>
  <c r="AD175" i="3"/>
  <c r="AD161" i="3"/>
  <c r="AD145" i="3"/>
  <c r="AD156" i="3"/>
  <c r="AD136" i="3"/>
  <c r="AD163" i="3"/>
  <c r="AD147" i="3"/>
  <c r="AD158" i="3"/>
  <c r="AD142" i="3"/>
  <c r="AD131" i="3"/>
  <c r="AD115" i="3"/>
  <c r="AD126" i="3"/>
  <c r="AD110" i="3"/>
  <c r="AD129" i="3"/>
  <c r="AD113" i="3"/>
  <c r="AD120" i="3"/>
  <c r="AD107" i="3"/>
  <c r="AD91" i="3"/>
  <c r="AD90" i="3"/>
  <c r="AD101" i="3"/>
  <c r="AD87" i="3"/>
  <c r="AD88" i="3"/>
  <c r="AD76" i="3"/>
  <c r="AD79" i="3"/>
  <c r="AD86" i="3"/>
  <c r="AD70" i="3"/>
  <c r="AD69" i="3"/>
  <c r="AD57" i="3"/>
  <c r="AD67" i="3"/>
  <c r="AD53" i="3"/>
  <c r="AD46" i="3"/>
  <c r="AD41" i="3"/>
  <c r="AD40" i="3"/>
  <c r="AD35" i="3"/>
  <c r="AD31" i="3"/>
  <c r="AD30" i="3"/>
  <c r="AD25" i="3"/>
  <c r="AD18" i="3"/>
  <c r="AD23" i="3"/>
  <c r="AD13" i="3"/>
  <c r="AD5" i="3"/>
  <c r="AD7" i="3"/>
  <c r="AD322" i="3"/>
  <c r="AD361" i="3"/>
  <c r="AD345" i="3"/>
  <c r="AD329" i="3"/>
  <c r="AD313" i="3"/>
  <c r="AD352" i="3"/>
  <c r="AD336" i="3"/>
  <c r="AD320" i="3"/>
  <c r="AD306" i="3"/>
  <c r="AD290" i="3"/>
  <c r="AD274" i="3"/>
  <c r="AD258" i="3"/>
  <c r="AD305" i="3"/>
  <c r="AD289" i="3"/>
  <c r="AD273" i="3"/>
  <c r="AD257" i="3"/>
  <c r="AD239" i="3"/>
  <c r="AD296" i="3"/>
  <c r="AD280" i="3"/>
  <c r="AD264" i="3"/>
  <c r="AD248" i="3"/>
  <c r="AD303" i="3"/>
  <c r="AD287" i="3"/>
  <c r="AD271" i="3"/>
  <c r="AD255" i="3"/>
  <c r="AD242" i="3"/>
  <c r="AD226" i="3"/>
  <c r="AD210" i="3"/>
  <c r="AD233" i="3"/>
  <c r="AD217" i="3"/>
  <c r="AD240" i="3"/>
  <c r="AD224" i="3"/>
  <c r="AD208" i="3"/>
  <c r="AD223" i="3"/>
  <c r="AD207" i="3"/>
  <c r="AD190" i="3"/>
  <c r="AD174" i="3"/>
  <c r="AD193" i="3"/>
  <c r="AD177" i="3"/>
  <c r="AD200" i="3"/>
  <c r="AD184" i="3"/>
  <c r="AD168" i="3"/>
  <c r="AD187" i="3"/>
  <c r="AD170" i="3"/>
  <c r="AD157" i="3"/>
  <c r="AD141" i="3"/>
  <c r="AD152" i="3"/>
  <c r="AD132" i="3"/>
  <c r="AD159" i="3"/>
  <c r="AD143" i="3"/>
  <c r="AD154" i="3"/>
  <c r="AD140" i="3"/>
  <c r="AD127" i="3"/>
  <c r="AD111" i="3"/>
  <c r="AD122" i="3"/>
  <c r="AD102" i="3"/>
  <c r="AD125" i="3"/>
  <c r="AD104" i="3"/>
  <c r="AD116" i="3"/>
  <c r="AD103" i="3"/>
  <c r="AD83" i="3"/>
  <c r="AD85" i="3"/>
  <c r="AD97" i="3"/>
  <c r="AD100" i="3"/>
  <c r="AD81" i="3"/>
  <c r="AD72" i="3"/>
  <c r="AD75" i="3"/>
  <c r="AD82" i="3"/>
  <c r="AD66" i="3"/>
  <c r="AD60" i="3"/>
  <c r="AD49" i="3"/>
  <c r="AD63" i="3"/>
  <c r="AD58" i="3"/>
  <c r="AD42" i="3"/>
  <c r="AD52" i="3"/>
  <c r="AD47" i="3"/>
  <c r="AD36" i="3"/>
  <c r="AD27" i="3"/>
  <c r="AD26" i="3"/>
  <c r="AD22" i="3"/>
  <c r="AD24" i="3"/>
  <c r="AD19" i="3"/>
  <c r="AD15" i="3"/>
  <c r="AD8" i="3"/>
  <c r="AD3" i="3"/>
  <c r="AD357" i="3"/>
  <c r="AD341" i="3"/>
  <c r="AD325" i="3"/>
  <c r="AD364" i="3"/>
  <c r="AD348" i="3"/>
  <c r="AD332" i="3"/>
  <c r="AD316" i="3"/>
  <c r="AD302" i="3"/>
  <c r="AD286" i="3"/>
  <c r="AD270" i="3"/>
  <c r="AD254" i="3"/>
  <c r="AD301" i="3"/>
  <c r="AD285" i="3"/>
  <c r="AD269" i="3"/>
  <c r="AD253" i="3"/>
  <c r="AD308" i="3"/>
  <c r="AD292" i="3"/>
  <c r="AD276" i="3"/>
  <c r="AD260" i="3"/>
  <c r="AD244" i="3"/>
  <c r="AD299" i="3"/>
  <c r="AD283" i="3"/>
  <c r="AD267" i="3"/>
  <c r="AD251" i="3"/>
  <c r="AD238" i="3"/>
  <c r="AD222" i="3"/>
  <c r="AD206" i="3"/>
  <c r="AD229" i="3"/>
  <c r="AD213" i="3"/>
  <c r="AD236" i="3"/>
  <c r="AD220" i="3"/>
  <c r="AD235" i="3"/>
  <c r="AD219" i="3"/>
  <c r="AD202" i="3"/>
  <c r="AD186" i="3"/>
  <c r="AD164" i="3"/>
  <c r="AD189" i="3"/>
  <c r="AD173" i="3"/>
  <c r="AD196" i="3"/>
  <c r="AD180" i="3"/>
  <c r="AD199" i="3"/>
  <c r="AD183" i="3"/>
  <c r="AD169" i="3"/>
  <c r="AD153" i="3"/>
  <c r="AD134" i="3"/>
  <c r="AD148" i="3"/>
  <c r="AD171" i="3"/>
  <c r="AD155" i="3"/>
  <c r="AD138" i="3"/>
  <c r="AD150" i="3"/>
  <c r="AD139" i="3"/>
  <c r="AD123" i="3"/>
  <c r="AD108" i="3"/>
  <c r="AD118" i="3"/>
  <c r="AD137" i="3"/>
  <c r="AD121" i="3"/>
  <c r="AD128" i="3"/>
  <c r="AD112" i="3"/>
  <c r="AD99" i="3"/>
  <c r="AD98" i="3"/>
  <c r="AD109" i="3"/>
  <c r="AD93" i="3"/>
  <c r="AD96" i="3"/>
  <c r="AD84" i="3"/>
  <c r="AD68" i="3"/>
  <c r="AD71" i="3"/>
  <c r="AD78" i="3"/>
  <c r="AD77" i="3"/>
  <c r="AD65" i="3"/>
  <c r="AD56" i="3"/>
  <c r="AD59" i="3"/>
  <c r="AD54" i="3"/>
  <c r="AD37" i="3"/>
  <c r="AD48" i="3"/>
  <c r="AD43" i="3"/>
  <c r="AD32" i="3"/>
  <c r="AD38" i="3"/>
  <c r="AD33" i="3"/>
  <c r="AD16" i="3"/>
  <c r="AD20" i="3"/>
  <c r="AD14" i="3"/>
  <c r="AD10" i="3"/>
  <c r="AD4" i="3"/>
  <c r="AD6" i="3"/>
  <c r="O363" i="3"/>
  <c r="S363" i="3"/>
  <c r="AA363" i="3"/>
  <c r="AI363" i="3"/>
  <c r="D363" i="3"/>
  <c r="H363" i="3"/>
  <c r="L363" i="3"/>
  <c r="P363" i="3"/>
  <c r="T363" i="3"/>
  <c r="X363" i="3"/>
  <c r="AB363" i="3"/>
  <c r="AN363" i="3"/>
  <c r="Q363" i="3"/>
  <c r="Y363" i="3"/>
  <c r="AG363" i="3"/>
  <c r="AO363" i="3"/>
  <c r="E363" i="3"/>
  <c r="I363" i="3"/>
  <c r="M363" i="3"/>
  <c r="U363" i="3"/>
  <c r="AC363" i="3"/>
  <c r="AK363" i="3"/>
  <c r="F363" i="3"/>
  <c r="J363" i="3"/>
  <c r="N363" i="3"/>
  <c r="R363" i="3"/>
  <c r="V363" i="3"/>
  <c r="Z363" i="3"/>
  <c r="AH363" i="3"/>
  <c r="AL363" i="3"/>
  <c r="G363" i="3"/>
  <c r="K363" i="3"/>
  <c r="W363" i="3"/>
  <c r="AE363" i="3"/>
  <c r="AM363" i="3"/>
  <c r="G347" i="3"/>
  <c r="K347" i="3"/>
  <c r="O347" i="3"/>
  <c r="S347" i="3"/>
  <c r="W347" i="3"/>
  <c r="AA347" i="3"/>
  <c r="AE347" i="3"/>
  <c r="AI347" i="3"/>
  <c r="AM347" i="3"/>
  <c r="D347" i="3"/>
  <c r="H347" i="3"/>
  <c r="L347" i="3"/>
  <c r="P347" i="3"/>
  <c r="T347" i="3"/>
  <c r="X347" i="3"/>
  <c r="AB347" i="3"/>
  <c r="AN347" i="3"/>
  <c r="E347" i="3"/>
  <c r="I347" i="3"/>
  <c r="M347" i="3"/>
  <c r="Q347" i="3"/>
  <c r="U347" i="3"/>
  <c r="Y347" i="3"/>
  <c r="AC347" i="3"/>
  <c r="AG347" i="3"/>
  <c r="AK347" i="3"/>
  <c r="AO347" i="3"/>
  <c r="F347" i="3"/>
  <c r="J347" i="3"/>
  <c r="N347" i="3"/>
  <c r="R347" i="3"/>
  <c r="V347" i="3"/>
  <c r="Z347" i="3"/>
  <c r="AH347" i="3"/>
  <c r="AL347" i="3"/>
  <c r="G331" i="3"/>
  <c r="K331" i="3"/>
  <c r="O331" i="3"/>
  <c r="S331" i="3"/>
  <c r="W331" i="3"/>
  <c r="AA331" i="3"/>
  <c r="AE331" i="3"/>
  <c r="AI331" i="3"/>
  <c r="AM331" i="3"/>
  <c r="D331" i="3"/>
  <c r="H331" i="3"/>
  <c r="L331" i="3"/>
  <c r="P331" i="3"/>
  <c r="T331" i="3"/>
  <c r="X331" i="3"/>
  <c r="AB331" i="3"/>
  <c r="AN331" i="3"/>
  <c r="E331" i="3"/>
  <c r="I331" i="3"/>
  <c r="M331" i="3"/>
  <c r="Q331" i="3"/>
  <c r="U331" i="3"/>
  <c r="Y331" i="3"/>
  <c r="AC331" i="3"/>
  <c r="AG331" i="3"/>
  <c r="AK331" i="3"/>
  <c r="AO331" i="3"/>
  <c r="F331" i="3"/>
  <c r="J331" i="3"/>
  <c r="N331" i="3"/>
  <c r="R331" i="3"/>
  <c r="V331" i="3"/>
  <c r="Z331" i="3"/>
  <c r="AH331" i="3"/>
  <c r="AL331" i="3"/>
  <c r="G315" i="3"/>
  <c r="K315" i="3"/>
  <c r="O315" i="3"/>
  <c r="S315" i="3"/>
  <c r="W315" i="3"/>
  <c r="AA315" i="3"/>
  <c r="AE315" i="3"/>
  <c r="AI315" i="3"/>
  <c r="AM315" i="3"/>
  <c r="D315" i="3"/>
  <c r="H315" i="3"/>
  <c r="L315" i="3"/>
  <c r="P315" i="3"/>
  <c r="T315" i="3"/>
  <c r="X315" i="3"/>
  <c r="AB315" i="3"/>
  <c r="AN315" i="3"/>
  <c r="E315" i="3"/>
  <c r="I315" i="3"/>
  <c r="M315" i="3"/>
  <c r="Q315" i="3"/>
  <c r="U315" i="3"/>
  <c r="Y315" i="3"/>
  <c r="AC315" i="3"/>
  <c r="AG315" i="3"/>
  <c r="AK315" i="3"/>
  <c r="AO315" i="3"/>
  <c r="F315" i="3"/>
  <c r="J315" i="3"/>
  <c r="N315" i="3"/>
  <c r="R315" i="3"/>
  <c r="V315" i="3"/>
  <c r="Z315" i="3"/>
  <c r="AH315" i="3"/>
  <c r="AL315" i="3"/>
  <c r="H362" i="3"/>
  <c r="P362" i="3"/>
  <c r="X362" i="3"/>
  <c r="E362" i="3"/>
  <c r="I362" i="3"/>
  <c r="M362" i="3"/>
  <c r="Q362" i="3"/>
  <c r="U362" i="3"/>
  <c r="Y362" i="3"/>
  <c r="AC362" i="3"/>
  <c r="AG362" i="3"/>
  <c r="AK362" i="3"/>
  <c r="AO362" i="3"/>
  <c r="F362" i="3"/>
  <c r="N362" i="3"/>
  <c r="V362" i="3"/>
  <c r="AL362" i="3"/>
  <c r="J362" i="3"/>
  <c r="R362" i="3"/>
  <c r="Z362" i="3"/>
  <c r="AH362" i="3"/>
  <c r="G362" i="3"/>
  <c r="K362" i="3"/>
  <c r="O362" i="3"/>
  <c r="S362" i="3"/>
  <c r="W362" i="3"/>
  <c r="AA362" i="3"/>
  <c r="AE362" i="3"/>
  <c r="AI362" i="3"/>
  <c r="AM362" i="3"/>
  <c r="D362" i="3"/>
  <c r="L362" i="3"/>
  <c r="T362" i="3"/>
  <c r="AB362" i="3"/>
  <c r="AN362" i="3"/>
  <c r="D346" i="3"/>
  <c r="H346" i="3"/>
  <c r="L346" i="3"/>
  <c r="P346" i="3"/>
  <c r="T346" i="3"/>
  <c r="X346" i="3"/>
  <c r="AB346" i="3"/>
  <c r="AN346" i="3"/>
  <c r="E346" i="3"/>
  <c r="I346" i="3"/>
  <c r="M346" i="3"/>
  <c r="Q346" i="3"/>
  <c r="U346" i="3"/>
  <c r="Y346" i="3"/>
  <c r="AC346" i="3"/>
  <c r="AG346" i="3"/>
  <c r="AK346" i="3"/>
  <c r="AO346" i="3"/>
  <c r="F346" i="3"/>
  <c r="J346" i="3"/>
  <c r="N346" i="3"/>
  <c r="R346" i="3"/>
  <c r="V346" i="3"/>
  <c r="Z346" i="3"/>
  <c r="AH346" i="3"/>
  <c r="AL346" i="3"/>
  <c r="G346" i="3"/>
  <c r="K346" i="3"/>
  <c r="O346" i="3"/>
  <c r="S346" i="3"/>
  <c r="W346" i="3"/>
  <c r="AA346" i="3"/>
  <c r="AE346" i="3"/>
  <c r="AI346" i="3"/>
  <c r="AM346" i="3"/>
  <c r="D330" i="3"/>
  <c r="H330" i="3"/>
  <c r="L330" i="3"/>
  <c r="P330" i="3"/>
  <c r="T330" i="3"/>
  <c r="X330" i="3"/>
  <c r="AB330" i="3"/>
  <c r="AN330" i="3"/>
  <c r="E330" i="3"/>
  <c r="I330" i="3"/>
  <c r="M330" i="3"/>
  <c r="Q330" i="3"/>
  <c r="U330" i="3"/>
  <c r="Y330" i="3"/>
  <c r="AC330" i="3"/>
  <c r="AG330" i="3"/>
  <c r="AK330" i="3"/>
  <c r="AO330" i="3"/>
  <c r="F330" i="3"/>
  <c r="J330" i="3"/>
  <c r="N330" i="3"/>
  <c r="R330" i="3"/>
  <c r="V330" i="3"/>
  <c r="Z330" i="3"/>
  <c r="AH330" i="3"/>
  <c r="AL330" i="3"/>
  <c r="G330" i="3"/>
  <c r="K330" i="3"/>
  <c r="O330" i="3"/>
  <c r="S330" i="3"/>
  <c r="W330" i="3"/>
  <c r="AA330" i="3"/>
  <c r="AE330" i="3"/>
  <c r="AI330" i="3"/>
  <c r="AM330" i="3"/>
  <c r="D314" i="3"/>
  <c r="H314" i="3"/>
  <c r="L314" i="3"/>
  <c r="P314" i="3"/>
  <c r="T314" i="3"/>
  <c r="X314" i="3"/>
  <c r="AB314" i="3"/>
  <c r="AN314" i="3"/>
  <c r="E314" i="3"/>
  <c r="I314" i="3"/>
  <c r="M314" i="3"/>
  <c r="Q314" i="3"/>
  <c r="U314" i="3"/>
  <c r="Y314" i="3"/>
  <c r="AC314" i="3"/>
  <c r="AG314" i="3"/>
  <c r="AK314" i="3"/>
  <c r="AO314" i="3"/>
  <c r="F314" i="3"/>
  <c r="J314" i="3"/>
  <c r="N314" i="3"/>
  <c r="R314" i="3"/>
  <c r="V314" i="3"/>
  <c r="Z314" i="3"/>
  <c r="AH314" i="3"/>
  <c r="AL314" i="3"/>
  <c r="G314" i="3"/>
  <c r="K314" i="3"/>
  <c r="O314" i="3"/>
  <c r="S314" i="3"/>
  <c r="W314" i="3"/>
  <c r="AA314" i="3"/>
  <c r="AE314" i="3"/>
  <c r="AI314" i="3"/>
  <c r="AM314" i="3"/>
  <c r="E353" i="3"/>
  <c r="I353" i="3"/>
  <c r="M353" i="3"/>
  <c r="Q353" i="3"/>
  <c r="U353" i="3"/>
  <c r="Y353" i="3"/>
  <c r="AC353" i="3"/>
  <c r="AG353" i="3"/>
  <c r="AK353" i="3"/>
  <c r="AO353" i="3"/>
  <c r="F353" i="3"/>
  <c r="J353" i="3"/>
  <c r="N353" i="3"/>
  <c r="R353" i="3"/>
  <c r="V353" i="3"/>
  <c r="Z353" i="3"/>
  <c r="AH353" i="3"/>
  <c r="AL353" i="3"/>
  <c r="G353" i="3"/>
  <c r="K353" i="3"/>
  <c r="O353" i="3"/>
  <c r="S353" i="3"/>
  <c r="W353" i="3"/>
  <c r="AA353" i="3"/>
  <c r="AE353" i="3"/>
  <c r="AI353" i="3"/>
  <c r="AM353" i="3"/>
  <c r="D353" i="3"/>
  <c r="H353" i="3"/>
  <c r="L353" i="3"/>
  <c r="P353" i="3"/>
  <c r="T353" i="3"/>
  <c r="X353" i="3"/>
  <c r="AB353" i="3"/>
  <c r="AN353" i="3"/>
  <c r="E337" i="3"/>
  <c r="I337" i="3"/>
  <c r="M337" i="3"/>
  <c r="Q337" i="3"/>
  <c r="U337" i="3"/>
  <c r="Y337" i="3"/>
  <c r="AC337" i="3"/>
  <c r="AG337" i="3"/>
  <c r="AK337" i="3"/>
  <c r="AO337" i="3"/>
  <c r="F337" i="3"/>
  <c r="J337" i="3"/>
  <c r="N337" i="3"/>
  <c r="R337" i="3"/>
  <c r="V337" i="3"/>
  <c r="Z337" i="3"/>
  <c r="AH337" i="3"/>
  <c r="AL337" i="3"/>
  <c r="G337" i="3"/>
  <c r="K337" i="3"/>
  <c r="O337" i="3"/>
  <c r="S337" i="3"/>
  <c r="W337" i="3"/>
  <c r="AA337" i="3"/>
  <c r="AE337" i="3"/>
  <c r="AI337" i="3"/>
  <c r="AM337" i="3"/>
  <c r="D337" i="3"/>
  <c r="H337" i="3"/>
  <c r="L337" i="3"/>
  <c r="P337" i="3"/>
  <c r="T337" i="3"/>
  <c r="X337" i="3"/>
  <c r="AB337" i="3"/>
  <c r="AN337" i="3"/>
  <c r="E321" i="3"/>
  <c r="I321" i="3"/>
  <c r="M321" i="3"/>
  <c r="Q321" i="3"/>
  <c r="U321" i="3"/>
  <c r="Y321" i="3"/>
  <c r="AC321" i="3"/>
  <c r="AG321" i="3"/>
  <c r="AK321" i="3"/>
  <c r="AO321" i="3"/>
  <c r="F321" i="3"/>
  <c r="J321" i="3"/>
  <c r="N321" i="3"/>
  <c r="R321" i="3"/>
  <c r="V321" i="3"/>
  <c r="Z321" i="3"/>
  <c r="AH321" i="3"/>
  <c r="AL321" i="3"/>
  <c r="G321" i="3"/>
  <c r="K321" i="3"/>
  <c r="O321" i="3"/>
  <c r="S321" i="3"/>
  <c r="W321" i="3"/>
  <c r="AA321" i="3"/>
  <c r="AE321" i="3"/>
  <c r="AI321" i="3"/>
  <c r="AM321" i="3"/>
  <c r="D321" i="3"/>
  <c r="H321" i="3"/>
  <c r="L321" i="3"/>
  <c r="P321" i="3"/>
  <c r="T321" i="3"/>
  <c r="X321" i="3"/>
  <c r="AB321" i="3"/>
  <c r="AN321" i="3"/>
  <c r="F360" i="3"/>
  <c r="J360" i="3"/>
  <c r="N360" i="3"/>
  <c r="R360" i="3"/>
  <c r="V360" i="3"/>
  <c r="Z360" i="3"/>
  <c r="AL360" i="3"/>
  <c r="G360" i="3"/>
  <c r="K360" i="3"/>
  <c r="O360" i="3"/>
  <c r="S360" i="3"/>
  <c r="W360" i="3"/>
  <c r="AA360" i="3"/>
  <c r="AE360" i="3"/>
  <c r="AI360" i="3"/>
  <c r="AM360" i="3"/>
  <c r="D360" i="3"/>
  <c r="H360" i="3"/>
  <c r="L360" i="3"/>
  <c r="P360" i="3"/>
  <c r="T360" i="3"/>
  <c r="X360" i="3"/>
  <c r="AB360" i="3"/>
  <c r="AN360" i="3"/>
  <c r="E360" i="3"/>
  <c r="I360" i="3"/>
  <c r="M360" i="3"/>
  <c r="Q360" i="3"/>
  <c r="U360" i="3"/>
  <c r="Y360" i="3"/>
  <c r="AC360" i="3"/>
  <c r="AG360" i="3"/>
  <c r="AK360" i="3"/>
  <c r="AO360" i="3"/>
  <c r="AH360" i="3"/>
  <c r="F344" i="3"/>
  <c r="J344" i="3"/>
  <c r="N344" i="3"/>
  <c r="R344" i="3"/>
  <c r="V344" i="3"/>
  <c r="Z344" i="3"/>
  <c r="AH344" i="3"/>
  <c r="AL344" i="3"/>
  <c r="G344" i="3"/>
  <c r="K344" i="3"/>
  <c r="O344" i="3"/>
  <c r="S344" i="3"/>
  <c r="W344" i="3"/>
  <c r="AA344" i="3"/>
  <c r="AE344" i="3"/>
  <c r="AI344" i="3"/>
  <c r="AM344" i="3"/>
  <c r="D344" i="3"/>
  <c r="H344" i="3"/>
  <c r="L344" i="3"/>
  <c r="P344" i="3"/>
  <c r="T344" i="3"/>
  <c r="X344" i="3"/>
  <c r="AB344" i="3"/>
  <c r="AN344" i="3"/>
  <c r="E344" i="3"/>
  <c r="I344" i="3"/>
  <c r="M344" i="3"/>
  <c r="Q344" i="3"/>
  <c r="U344" i="3"/>
  <c r="Y344" i="3"/>
  <c r="AC344" i="3"/>
  <c r="AG344" i="3"/>
  <c r="AK344" i="3"/>
  <c r="AO344" i="3"/>
  <c r="F328" i="3"/>
  <c r="J328" i="3"/>
  <c r="N328" i="3"/>
  <c r="R328" i="3"/>
  <c r="V328" i="3"/>
  <c r="Z328" i="3"/>
  <c r="AH328" i="3"/>
  <c r="AL328" i="3"/>
  <c r="G328" i="3"/>
  <c r="K328" i="3"/>
  <c r="O328" i="3"/>
  <c r="S328" i="3"/>
  <c r="W328" i="3"/>
  <c r="AA328" i="3"/>
  <c r="AE328" i="3"/>
  <c r="AI328" i="3"/>
  <c r="AM328" i="3"/>
  <c r="D328" i="3"/>
  <c r="H328" i="3"/>
  <c r="L328" i="3"/>
  <c r="P328" i="3"/>
  <c r="T328" i="3"/>
  <c r="X328" i="3"/>
  <c r="AB328" i="3"/>
  <c r="AN328" i="3"/>
  <c r="E328" i="3"/>
  <c r="I328" i="3"/>
  <c r="M328" i="3"/>
  <c r="Q328" i="3"/>
  <c r="U328" i="3"/>
  <c r="Y328" i="3"/>
  <c r="AC328" i="3"/>
  <c r="AG328" i="3"/>
  <c r="AK328" i="3"/>
  <c r="AO328" i="3"/>
  <c r="F312" i="3"/>
  <c r="J312" i="3"/>
  <c r="N312" i="3"/>
  <c r="R312" i="3"/>
  <c r="V312" i="3"/>
  <c r="Z312" i="3"/>
  <c r="AH312" i="3"/>
  <c r="AL312" i="3"/>
  <c r="G312" i="3"/>
  <c r="K312" i="3"/>
  <c r="O312" i="3"/>
  <c r="S312" i="3"/>
  <c r="W312" i="3"/>
  <c r="AA312" i="3"/>
  <c r="AE312" i="3"/>
  <c r="AI312" i="3"/>
  <c r="AM312" i="3"/>
  <c r="D312" i="3"/>
  <c r="H312" i="3"/>
  <c r="L312" i="3"/>
  <c r="P312" i="3"/>
  <c r="T312" i="3"/>
  <c r="X312" i="3"/>
  <c r="AB312" i="3"/>
  <c r="AN312" i="3"/>
  <c r="E312" i="3"/>
  <c r="I312" i="3"/>
  <c r="M312" i="3"/>
  <c r="Q312" i="3"/>
  <c r="U312" i="3"/>
  <c r="Y312" i="3"/>
  <c r="AC312" i="3"/>
  <c r="AG312" i="3"/>
  <c r="AK312" i="3"/>
  <c r="AO312" i="3"/>
  <c r="G298" i="3"/>
  <c r="K298" i="3"/>
  <c r="O298" i="3"/>
  <c r="S298" i="3"/>
  <c r="W298" i="3"/>
  <c r="AA298" i="3"/>
  <c r="AE298" i="3"/>
  <c r="AI298" i="3"/>
  <c r="AM298" i="3"/>
  <c r="D298" i="3"/>
  <c r="H298" i="3"/>
  <c r="L298" i="3"/>
  <c r="P298" i="3"/>
  <c r="T298" i="3"/>
  <c r="X298" i="3"/>
  <c r="AB298" i="3"/>
  <c r="AN298" i="3"/>
  <c r="E298" i="3"/>
  <c r="I298" i="3"/>
  <c r="M298" i="3"/>
  <c r="Q298" i="3"/>
  <c r="U298" i="3"/>
  <c r="Y298" i="3"/>
  <c r="AC298" i="3"/>
  <c r="AG298" i="3"/>
  <c r="AK298" i="3"/>
  <c r="AO298" i="3"/>
  <c r="F298" i="3"/>
  <c r="J298" i="3"/>
  <c r="N298" i="3"/>
  <c r="R298" i="3"/>
  <c r="V298" i="3"/>
  <c r="Z298" i="3"/>
  <c r="AH298" i="3"/>
  <c r="AL298" i="3"/>
  <c r="G282" i="3"/>
  <c r="K282" i="3"/>
  <c r="O282" i="3"/>
  <c r="S282" i="3"/>
  <c r="W282" i="3"/>
  <c r="AA282" i="3"/>
  <c r="AE282" i="3"/>
  <c r="AI282" i="3"/>
  <c r="AM282" i="3"/>
  <c r="D282" i="3"/>
  <c r="H282" i="3"/>
  <c r="L282" i="3"/>
  <c r="P282" i="3"/>
  <c r="T282" i="3"/>
  <c r="X282" i="3"/>
  <c r="AB282" i="3"/>
  <c r="AN282" i="3"/>
  <c r="E282" i="3"/>
  <c r="I282" i="3"/>
  <c r="M282" i="3"/>
  <c r="Q282" i="3"/>
  <c r="U282" i="3"/>
  <c r="Y282" i="3"/>
  <c r="AC282" i="3"/>
  <c r="AG282" i="3"/>
  <c r="AK282" i="3"/>
  <c r="AO282" i="3"/>
  <c r="F282" i="3"/>
  <c r="J282" i="3"/>
  <c r="N282" i="3"/>
  <c r="R282" i="3"/>
  <c r="V282" i="3"/>
  <c r="Z282" i="3"/>
  <c r="AH282" i="3"/>
  <c r="AL282" i="3"/>
  <c r="G266" i="3"/>
  <c r="K266" i="3"/>
  <c r="O266" i="3"/>
  <c r="S266" i="3"/>
  <c r="W266" i="3"/>
  <c r="AA266" i="3"/>
  <c r="AE266" i="3"/>
  <c r="AI266" i="3"/>
  <c r="AM266" i="3"/>
  <c r="D266" i="3"/>
  <c r="H266" i="3"/>
  <c r="L266" i="3"/>
  <c r="P266" i="3"/>
  <c r="T266" i="3"/>
  <c r="X266" i="3"/>
  <c r="AB266" i="3"/>
  <c r="AN266" i="3"/>
  <c r="E266" i="3"/>
  <c r="I266" i="3"/>
  <c r="M266" i="3"/>
  <c r="Q266" i="3"/>
  <c r="U266" i="3"/>
  <c r="Y266" i="3"/>
  <c r="AC266" i="3"/>
  <c r="AG266" i="3"/>
  <c r="AK266" i="3"/>
  <c r="AO266" i="3"/>
  <c r="F266" i="3"/>
  <c r="J266" i="3"/>
  <c r="N266" i="3"/>
  <c r="R266" i="3"/>
  <c r="V266" i="3"/>
  <c r="Z266" i="3"/>
  <c r="AH266" i="3"/>
  <c r="AL266" i="3"/>
  <c r="G250" i="3"/>
  <c r="K250" i="3"/>
  <c r="O250" i="3"/>
  <c r="S250" i="3"/>
  <c r="W250" i="3"/>
  <c r="AA250" i="3"/>
  <c r="AE250" i="3"/>
  <c r="AI250" i="3"/>
  <c r="AM250" i="3"/>
  <c r="D250" i="3"/>
  <c r="H250" i="3"/>
  <c r="L250" i="3"/>
  <c r="P250" i="3"/>
  <c r="T250" i="3"/>
  <c r="X250" i="3"/>
  <c r="AB250" i="3"/>
  <c r="AN250" i="3"/>
  <c r="E250" i="3"/>
  <c r="I250" i="3"/>
  <c r="M250" i="3"/>
  <c r="Q250" i="3"/>
  <c r="U250" i="3"/>
  <c r="Y250" i="3"/>
  <c r="AC250" i="3"/>
  <c r="AG250" i="3"/>
  <c r="AK250" i="3"/>
  <c r="AO250" i="3"/>
  <c r="F250" i="3"/>
  <c r="J250" i="3"/>
  <c r="N250" i="3"/>
  <c r="R250" i="3"/>
  <c r="V250" i="3"/>
  <c r="Z250" i="3"/>
  <c r="AH250" i="3"/>
  <c r="AL250" i="3"/>
  <c r="D297" i="3"/>
  <c r="H297" i="3"/>
  <c r="L297" i="3"/>
  <c r="P297" i="3"/>
  <c r="T297" i="3"/>
  <c r="X297" i="3"/>
  <c r="AB297" i="3"/>
  <c r="AN297" i="3"/>
  <c r="E297" i="3"/>
  <c r="I297" i="3"/>
  <c r="M297" i="3"/>
  <c r="Q297" i="3"/>
  <c r="U297" i="3"/>
  <c r="Y297" i="3"/>
  <c r="AC297" i="3"/>
  <c r="AG297" i="3"/>
  <c r="AK297" i="3"/>
  <c r="AO297" i="3"/>
  <c r="F297" i="3"/>
  <c r="J297" i="3"/>
  <c r="N297" i="3"/>
  <c r="R297" i="3"/>
  <c r="V297" i="3"/>
  <c r="Z297" i="3"/>
  <c r="AH297" i="3"/>
  <c r="AL297" i="3"/>
  <c r="G297" i="3"/>
  <c r="K297" i="3"/>
  <c r="O297" i="3"/>
  <c r="S297" i="3"/>
  <c r="W297" i="3"/>
  <c r="AA297" i="3"/>
  <c r="AE297" i="3"/>
  <c r="AI297" i="3"/>
  <c r="AM297" i="3"/>
  <c r="D281" i="3"/>
  <c r="H281" i="3"/>
  <c r="L281" i="3"/>
  <c r="P281" i="3"/>
  <c r="T281" i="3"/>
  <c r="X281" i="3"/>
  <c r="AB281" i="3"/>
  <c r="AN281" i="3"/>
  <c r="E281" i="3"/>
  <c r="I281" i="3"/>
  <c r="M281" i="3"/>
  <c r="Q281" i="3"/>
  <c r="U281" i="3"/>
  <c r="Y281" i="3"/>
  <c r="AC281" i="3"/>
  <c r="AG281" i="3"/>
  <c r="AK281" i="3"/>
  <c r="AO281" i="3"/>
  <c r="F281" i="3"/>
  <c r="J281" i="3"/>
  <c r="N281" i="3"/>
  <c r="R281" i="3"/>
  <c r="V281" i="3"/>
  <c r="Z281" i="3"/>
  <c r="AH281" i="3"/>
  <c r="AL281" i="3"/>
  <c r="G281" i="3"/>
  <c r="K281" i="3"/>
  <c r="O281" i="3"/>
  <c r="S281" i="3"/>
  <c r="W281" i="3"/>
  <c r="AA281" i="3"/>
  <c r="AE281" i="3"/>
  <c r="AI281" i="3"/>
  <c r="AM281" i="3"/>
  <c r="D265" i="3"/>
  <c r="H265" i="3"/>
  <c r="L265" i="3"/>
  <c r="P265" i="3"/>
  <c r="T265" i="3"/>
  <c r="X265" i="3"/>
  <c r="AB265" i="3"/>
  <c r="AN265" i="3"/>
  <c r="E265" i="3"/>
  <c r="I265" i="3"/>
  <c r="M265" i="3"/>
  <c r="Q265" i="3"/>
  <c r="U265" i="3"/>
  <c r="Y265" i="3"/>
  <c r="AC265" i="3"/>
  <c r="AG265" i="3"/>
  <c r="AK265" i="3"/>
  <c r="AO265" i="3"/>
  <c r="F265" i="3"/>
  <c r="J265" i="3"/>
  <c r="N265" i="3"/>
  <c r="R265" i="3"/>
  <c r="V265" i="3"/>
  <c r="Z265" i="3"/>
  <c r="AH265" i="3"/>
  <c r="AL265" i="3"/>
  <c r="G265" i="3"/>
  <c r="K265" i="3"/>
  <c r="O265" i="3"/>
  <c r="S265" i="3"/>
  <c r="W265" i="3"/>
  <c r="AA265" i="3"/>
  <c r="AE265" i="3"/>
  <c r="AI265" i="3"/>
  <c r="AM265" i="3"/>
  <c r="D249" i="3"/>
  <c r="H249" i="3"/>
  <c r="L249" i="3"/>
  <c r="P249" i="3"/>
  <c r="T249" i="3"/>
  <c r="X249" i="3"/>
  <c r="AB249" i="3"/>
  <c r="AN249" i="3"/>
  <c r="E249" i="3"/>
  <c r="I249" i="3"/>
  <c r="M249" i="3"/>
  <c r="Q249" i="3"/>
  <c r="U249" i="3"/>
  <c r="Y249" i="3"/>
  <c r="AC249" i="3"/>
  <c r="AG249" i="3"/>
  <c r="AK249" i="3"/>
  <c r="AO249" i="3"/>
  <c r="F249" i="3"/>
  <c r="J249" i="3"/>
  <c r="N249" i="3"/>
  <c r="R249" i="3"/>
  <c r="V249" i="3"/>
  <c r="Z249" i="3"/>
  <c r="AH249" i="3"/>
  <c r="AL249" i="3"/>
  <c r="G249" i="3"/>
  <c r="K249" i="3"/>
  <c r="O249" i="3"/>
  <c r="S249" i="3"/>
  <c r="W249" i="3"/>
  <c r="AA249" i="3"/>
  <c r="AE249" i="3"/>
  <c r="AI249" i="3"/>
  <c r="AM249" i="3"/>
  <c r="E304" i="3"/>
  <c r="I304" i="3"/>
  <c r="M304" i="3"/>
  <c r="Q304" i="3"/>
  <c r="U304" i="3"/>
  <c r="Y304" i="3"/>
  <c r="AC304" i="3"/>
  <c r="AG304" i="3"/>
  <c r="AK304" i="3"/>
  <c r="AO304" i="3"/>
  <c r="F304" i="3"/>
  <c r="J304" i="3"/>
  <c r="N304" i="3"/>
  <c r="R304" i="3"/>
  <c r="V304" i="3"/>
  <c r="Z304" i="3"/>
  <c r="AH304" i="3"/>
  <c r="AL304" i="3"/>
  <c r="G304" i="3"/>
  <c r="K304" i="3"/>
  <c r="O304" i="3"/>
  <c r="S304" i="3"/>
  <c r="W304" i="3"/>
  <c r="AA304" i="3"/>
  <c r="AE304" i="3"/>
  <c r="AI304" i="3"/>
  <c r="AM304" i="3"/>
  <c r="D304" i="3"/>
  <c r="H304" i="3"/>
  <c r="L304" i="3"/>
  <c r="P304" i="3"/>
  <c r="T304" i="3"/>
  <c r="X304" i="3"/>
  <c r="AB304" i="3"/>
  <c r="AN304" i="3"/>
  <c r="E288" i="3"/>
  <c r="I288" i="3"/>
  <c r="M288" i="3"/>
  <c r="Q288" i="3"/>
  <c r="U288" i="3"/>
  <c r="Y288" i="3"/>
  <c r="AC288" i="3"/>
  <c r="AG288" i="3"/>
  <c r="AK288" i="3"/>
  <c r="AO288" i="3"/>
  <c r="F288" i="3"/>
  <c r="J288" i="3"/>
  <c r="N288" i="3"/>
  <c r="R288" i="3"/>
  <c r="V288" i="3"/>
  <c r="Z288" i="3"/>
  <c r="AH288" i="3"/>
  <c r="AL288" i="3"/>
  <c r="G288" i="3"/>
  <c r="K288" i="3"/>
  <c r="O288" i="3"/>
  <c r="S288" i="3"/>
  <c r="W288" i="3"/>
  <c r="AA288" i="3"/>
  <c r="AE288" i="3"/>
  <c r="AI288" i="3"/>
  <c r="AM288" i="3"/>
  <c r="D288" i="3"/>
  <c r="H288" i="3"/>
  <c r="L288" i="3"/>
  <c r="P288" i="3"/>
  <c r="T288" i="3"/>
  <c r="X288" i="3"/>
  <c r="AB288" i="3"/>
  <c r="AN288" i="3"/>
  <c r="E272" i="3"/>
  <c r="I272" i="3"/>
  <c r="M272" i="3"/>
  <c r="Q272" i="3"/>
  <c r="U272" i="3"/>
  <c r="Y272" i="3"/>
  <c r="AC272" i="3"/>
  <c r="AG272" i="3"/>
  <c r="AK272" i="3"/>
  <c r="AO272" i="3"/>
  <c r="F272" i="3"/>
  <c r="J272" i="3"/>
  <c r="N272" i="3"/>
  <c r="R272" i="3"/>
  <c r="V272" i="3"/>
  <c r="Z272" i="3"/>
  <c r="AH272" i="3"/>
  <c r="AL272" i="3"/>
  <c r="G272" i="3"/>
  <c r="K272" i="3"/>
  <c r="O272" i="3"/>
  <c r="S272" i="3"/>
  <c r="W272" i="3"/>
  <c r="AA272" i="3"/>
  <c r="AE272" i="3"/>
  <c r="AI272" i="3"/>
  <c r="AM272" i="3"/>
  <c r="D272" i="3"/>
  <c r="H272" i="3"/>
  <c r="L272" i="3"/>
  <c r="P272" i="3"/>
  <c r="T272" i="3"/>
  <c r="X272" i="3"/>
  <c r="AB272" i="3"/>
  <c r="AN272" i="3"/>
  <c r="E256" i="3"/>
  <c r="I256" i="3"/>
  <c r="M256" i="3"/>
  <c r="Q256" i="3"/>
  <c r="U256" i="3"/>
  <c r="Y256" i="3"/>
  <c r="AC256" i="3"/>
  <c r="AG256" i="3"/>
  <c r="AK256" i="3"/>
  <c r="AO256" i="3"/>
  <c r="F256" i="3"/>
  <c r="J256" i="3"/>
  <c r="N256" i="3"/>
  <c r="R256" i="3"/>
  <c r="V256" i="3"/>
  <c r="Z256" i="3"/>
  <c r="AH256" i="3"/>
  <c r="AL256" i="3"/>
  <c r="G256" i="3"/>
  <c r="K256" i="3"/>
  <c r="O256" i="3"/>
  <c r="S256" i="3"/>
  <c r="W256" i="3"/>
  <c r="AA256" i="3"/>
  <c r="AE256" i="3"/>
  <c r="AI256" i="3"/>
  <c r="AM256" i="3"/>
  <c r="D256" i="3"/>
  <c r="H256" i="3"/>
  <c r="L256" i="3"/>
  <c r="P256" i="3"/>
  <c r="T256" i="3"/>
  <c r="X256" i="3"/>
  <c r="AB256" i="3"/>
  <c r="AN256" i="3"/>
  <c r="E241" i="3"/>
  <c r="I241" i="3"/>
  <c r="M241" i="3"/>
  <c r="Q241" i="3"/>
  <c r="U241" i="3"/>
  <c r="Y241" i="3"/>
  <c r="AC241" i="3"/>
  <c r="AG241" i="3"/>
  <c r="AK241" i="3"/>
  <c r="AO241" i="3"/>
  <c r="G241" i="3"/>
  <c r="K241" i="3"/>
  <c r="O241" i="3"/>
  <c r="S241" i="3"/>
  <c r="W241" i="3"/>
  <c r="AA241" i="3"/>
  <c r="AE241" i="3"/>
  <c r="AI241" i="3"/>
  <c r="AM241" i="3"/>
  <c r="F241" i="3"/>
  <c r="N241" i="3"/>
  <c r="V241" i="3"/>
  <c r="AL241" i="3"/>
  <c r="H241" i="3"/>
  <c r="P241" i="3"/>
  <c r="X241" i="3"/>
  <c r="AN241" i="3"/>
  <c r="J241" i="3"/>
  <c r="R241" i="3"/>
  <c r="Z241" i="3"/>
  <c r="AH241" i="3"/>
  <c r="D241" i="3"/>
  <c r="L241" i="3"/>
  <c r="T241" i="3"/>
  <c r="AB241" i="3"/>
  <c r="F295" i="3"/>
  <c r="J295" i="3"/>
  <c r="N295" i="3"/>
  <c r="R295" i="3"/>
  <c r="V295" i="3"/>
  <c r="Z295" i="3"/>
  <c r="AH295" i="3"/>
  <c r="AL295" i="3"/>
  <c r="G295" i="3"/>
  <c r="K295" i="3"/>
  <c r="O295" i="3"/>
  <c r="S295" i="3"/>
  <c r="W295" i="3"/>
  <c r="AA295" i="3"/>
  <c r="AE295" i="3"/>
  <c r="AI295" i="3"/>
  <c r="AM295" i="3"/>
  <c r="D295" i="3"/>
  <c r="H295" i="3"/>
  <c r="L295" i="3"/>
  <c r="P295" i="3"/>
  <c r="T295" i="3"/>
  <c r="X295" i="3"/>
  <c r="AB295" i="3"/>
  <c r="AN295" i="3"/>
  <c r="E295" i="3"/>
  <c r="I295" i="3"/>
  <c r="M295" i="3"/>
  <c r="Q295" i="3"/>
  <c r="U295" i="3"/>
  <c r="Y295" i="3"/>
  <c r="AC295" i="3"/>
  <c r="AG295" i="3"/>
  <c r="AK295" i="3"/>
  <c r="AO295" i="3"/>
  <c r="F279" i="3"/>
  <c r="J279" i="3"/>
  <c r="N279" i="3"/>
  <c r="R279" i="3"/>
  <c r="V279" i="3"/>
  <c r="Z279" i="3"/>
  <c r="AH279" i="3"/>
  <c r="AL279" i="3"/>
  <c r="G279" i="3"/>
  <c r="K279" i="3"/>
  <c r="O279" i="3"/>
  <c r="S279" i="3"/>
  <c r="W279" i="3"/>
  <c r="AA279" i="3"/>
  <c r="AE279" i="3"/>
  <c r="AI279" i="3"/>
  <c r="AM279" i="3"/>
  <c r="D279" i="3"/>
  <c r="H279" i="3"/>
  <c r="L279" i="3"/>
  <c r="P279" i="3"/>
  <c r="T279" i="3"/>
  <c r="X279" i="3"/>
  <c r="AB279" i="3"/>
  <c r="AN279" i="3"/>
  <c r="E279" i="3"/>
  <c r="I279" i="3"/>
  <c r="M279" i="3"/>
  <c r="Q279" i="3"/>
  <c r="U279" i="3"/>
  <c r="Y279" i="3"/>
  <c r="AC279" i="3"/>
  <c r="AG279" i="3"/>
  <c r="AK279" i="3"/>
  <c r="AO279" i="3"/>
  <c r="F263" i="3"/>
  <c r="J263" i="3"/>
  <c r="N263" i="3"/>
  <c r="R263" i="3"/>
  <c r="V263" i="3"/>
  <c r="Z263" i="3"/>
  <c r="AH263" i="3"/>
  <c r="AL263" i="3"/>
  <c r="G263" i="3"/>
  <c r="K263" i="3"/>
  <c r="O263" i="3"/>
  <c r="S263" i="3"/>
  <c r="W263" i="3"/>
  <c r="AA263" i="3"/>
  <c r="AE263" i="3"/>
  <c r="AI263" i="3"/>
  <c r="AM263" i="3"/>
  <c r="D263" i="3"/>
  <c r="H263" i="3"/>
  <c r="L263" i="3"/>
  <c r="P263" i="3"/>
  <c r="T263" i="3"/>
  <c r="X263" i="3"/>
  <c r="AB263" i="3"/>
  <c r="AN263" i="3"/>
  <c r="E263" i="3"/>
  <c r="I263" i="3"/>
  <c r="M263" i="3"/>
  <c r="Q263" i="3"/>
  <c r="U263" i="3"/>
  <c r="Y263" i="3"/>
  <c r="AC263" i="3"/>
  <c r="AG263" i="3"/>
  <c r="AK263" i="3"/>
  <c r="AO263" i="3"/>
  <c r="F247" i="3"/>
  <c r="J247" i="3"/>
  <c r="N247" i="3"/>
  <c r="R247" i="3"/>
  <c r="V247" i="3"/>
  <c r="Z247" i="3"/>
  <c r="AH247" i="3"/>
  <c r="AL247" i="3"/>
  <c r="G247" i="3"/>
  <c r="K247" i="3"/>
  <c r="O247" i="3"/>
  <c r="S247" i="3"/>
  <c r="W247" i="3"/>
  <c r="AA247" i="3"/>
  <c r="AE247" i="3"/>
  <c r="AI247" i="3"/>
  <c r="AM247" i="3"/>
  <c r="D247" i="3"/>
  <c r="H247" i="3"/>
  <c r="L247" i="3"/>
  <c r="P247" i="3"/>
  <c r="T247" i="3"/>
  <c r="X247" i="3"/>
  <c r="AB247" i="3"/>
  <c r="AN247" i="3"/>
  <c r="E247" i="3"/>
  <c r="I247" i="3"/>
  <c r="M247" i="3"/>
  <c r="Q247" i="3"/>
  <c r="U247" i="3"/>
  <c r="Y247" i="3"/>
  <c r="AC247" i="3"/>
  <c r="AG247" i="3"/>
  <c r="AK247" i="3"/>
  <c r="AO247" i="3"/>
  <c r="G234" i="3"/>
  <c r="K234" i="3"/>
  <c r="O234" i="3"/>
  <c r="S234" i="3"/>
  <c r="W234" i="3"/>
  <c r="AA234" i="3"/>
  <c r="AE234" i="3"/>
  <c r="AI234" i="3"/>
  <c r="AM234" i="3"/>
  <c r="D234" i="3"/>
  <c r="H234" i="3"/>
  <c r="L234" i="3"/>
  <c r="P234" i="3"/>
  <c r="T234" i="3"/>
  <c r="X234" i="3"/>
  <c r="AB234" i="3"/>
  <c r="AN234" i="3"/>
  <c r="E234" i="3"/>
  <c r="I234" i="3"/>
  <c r="M234" i="3"/>
  <c r="Q234" i="3"/>
  <c r="U234" i="3"/>
  <c r="Y234" i="3"/>
  <c r="AC234" i="3"/>
  <c r="AG234" i="3"/>
  <c r="AK234" i="3"/>
  <c r="AO234" i="3"/>
  <c r="F234" i="3"/>
  <c r="J234" i="3"/>
  <c r="N234" i="3"/>
  <c r="R234" i="3"/>
  <c r="V234" i="3"/>
  <c r="Z234" i="3"/>
  <c r="AH234" i="3"/>
  <c r="AL234" i="3"/>
  <c r="G218" i="3"/>
  <c r="K218" i="3"/>
  <c r="O218" i="3"/>
  <c r="S218" i="3"/>
  <c r="W218" i="3"/>
  <c r="AA218" i="3"/>
  <c r="AE218" i="3"/>
  <c r="AI218" i="3"/>
  <c r="AM218" i="3"/>
  <c r="D218" i="3"/>
  <c r="H218" i="3"/>
  <c r="L218" i="3"/>
  <c r="P218" i="3"/>
  <c r="T218" i="3"/>
  <c r="X218" i="3"/>
  <c r="AB218" i="3"/>
  <c r="AN218" i="3"/>
  <c r="E218" i="3"/>
  <c r="I218" i="3"/>
  <c r="M218" i="3"/>
  <c r="Q218" i="3"/>
  <c r="U218" i="3"/>
  <c r="Y218" i="3"/>
  <c r="AC218" i="3"/>
  <c r="AG218" i="3"/>
  <c r="AK218" i="3"/>
  <c r="AO218" i="3"/>
  <c r="F218" i="3"/>
  <c r="J218" i="3"/>
  <c r="N218" i="3"/>
  <c r="R218" i="3"/>
  <c r="V218" i="3"/>
  <c r="Z218" i="3"/>
  <c r="AH218" i="3"/>
  <c r="AL218" i="3"/>
  <c r="G203" i="3"/>
  <c r="K203" i="3"/>
  <c r="O203" i="3"/>
  <c r="S203" i="3"/>
  <c r="W203" i="3"/>
  <c r="AA203" i="3"/>
  <c r="AE203" i="3"/>
  <c r="AI203" i="3"/>
  <c r="AM203" i="3"/>
  <c r="E203" i="3"/>
  <c r="I203" i="3"/>
  <c r="M203" i="3"/>
  <c r="Q203" i="3"/>
  <c r="U203" i="3"/>
  <c r="Y203" i="3"/>
  <c r="AC203" i="3"/>
  <c r="AG203" i="3"/>
  <c r="AK203" i="3"/>
  <c r="AO203" i="3"/>
  <c r="J203" i="3"/>
  <c r="R203" i="3"/>
  <c r="Z203" i="3"/>
  <c r="AH203" i="3"/>
  <c r="D203" i="3"/>
  <c r="L203" i="3"/>
  <c r="T203" i="3"/>
  <c r="AB203" i="3"/>
  <c r="F203" i="3"/>
  <c r="N203" i="3"/>
  <c r="V203" i="3"/>
  <c r="AL203" i="3"/>
  <c r="H203" i="3"/>
  <c r="P203" i="3"/>
  <c r="X203" i="3"/>
  <c r="AN203" i="3"/>
  <c r="D225" i="3"/>
  <c r="H225" i="3"/>
  <c r="L225" i="3"/>
  <c r="P225" i="3"/>
  <c r="T225" i="3"/>
  <c r="X225" i="3"/>
  <c r="AB225" i="3"/>
  <c r="AN225" i="3"/>
  <c r="E225" i="3"/>
  <c r="I225" i="3"/>
  <c r="M225" i="3"/>
  <c r="Q225" i="3"/>
  <c r="U225" i="3"/>
  <c r="Y225" i="3"/>
  <c r="AC225" i="3"/>
  <c r="AG225" i="3"/>
  <c r="AK225" i="3"/>
  <c r="AO225" i="3"/>
  <c r="F225" i="3"/>
  <c r="J225" i="3"/>
  <c r="N225" i="3"/>
  <c r="R225" i="3"/>
  <c r="V225" i="3"/>
  <c r="Z225" i="3"/>
  <c r="AH225" i="3"/>
  <c r="AL225" i="3"/>
  <c r="G225" i="3"/>
  <c r="K225" i="3"/>
  <c r="O225" i="3"/>
  <c r="S225" i="3"/>
  <c r="W225" i="3"/>
  <c r="AA225" i="3"/>
  <c r="AE225" i="3"/>
  <c r="AI225" i="3"/>
  <c r="AM225" i="3"/>
  <c r="D209" i="3"/>
  <c r="H209" i="3"/>
  <c r="L209" i="3"/>
  <c r="P209" i="3"/>
  <c r="T209" i="3"/>
  <c r="X209" i="3"/>
  <c r="AB209" i="3"/>
  <c r="AN209" i="3"/>
  <c r="E209" i="3"/>
  <c r="I209" i="3"/>
  <c r="M209" i="3"/>
  <c r="Q209" i="3"/>
  <c r="U209" i="3"/>
  <c r="Y209" i="3"/>
  <c r="AC209" i="3"/>
  <c r="AG209" i="3"/>
  <c r="AK209" i="3"/>
  <c r="AO209" i="3"/>
  <c r="F209" i="3"/>
  <c r="J209" i="3"/>
  <c r="N209" i="3"/>
  <c r="R209" i="3"/>
  <c r="V209" i="3"/>
  <c r="Z209" i="3"/>
  <c r="AH209" i="3"/>
  <c r="AL209" i="3"/>
  <c r="G209" i="3"/>
  <c r="K209" i="3"/>
  <c r="O209" i="3"/>
  <c r="S209" i="3"/>
  <c r="W209" i="3"/>
  <c r="AA209" i="3"/>
  <c r="AE209" i="3"/>
  <c r="AI209" i="3"/>
  <c r="AM209" i="3"/>
  <c r="E232" i="3"/>
  <c r="I232" i="3"/>
  <c r="M232" i="3"/>
  <c r="Q232" i="3"/>
  <c r="U232" i="3"/>
  <c r="Y232" i="3"/>
  <c r="AC232" i="3"/>
  <c r="AG232" i="3"/>
  <c r="AK232" i="3"/>
  <c r="AO232" i="3"/>
  <c r="F232" i="3"/>
  <c r="J232" i="3"/>
  <c r="N232" i="3"/>
  <c r="R232" i="3"/>
  <c r="V232" i="3"/>
  <c r="Z232" i="3"/>
  <c r="AH232" i="3"/>
  <c r="AL232" i="3"/>
  <c r="G232" i="3"/>
  <c r="K232" i="3"/>
  <c r="O232" i="3"/>
  <c r="S232" i="3"/>
  <c r="W232" i="3"/>
  <c r="AA232" i="3"/>
  <c r="AE232" i="3"/>
  <c r="AI232" i="3"/>
  <c r="AM232" i="3"/>
  <c r="D232" i="3"/>
  <c r="H232" i="3"/>
  <c r="L232" i="3"/>
  <c r="P232" i="3"/>
  <c r="T232" i="3"/>
  <c r="X232" i="3"/>
  <c r="AB232" i="3"/>
  <c r="AN232" i="3"/>
  <c r="E216" i="3"/>
  <c r="I216" i="3"/>
  <c r="M216" i="3"/>
  <c r="Q216" i="3"/>
  <c r="U216" i="3"/>
  <c r="Y216" i="3"/>
  <c r="AC216" i="3"/>
  <c r="AG216" i="3"/>
  <c r="AK216" i="3"/>
  <c r="AO216" i="3"/>
  <c r="F216" i="3"/>
  <c r="J216" i="3"/>
  <c r="N216" i="3"/>
  <c r="R216" i="3"/>
  <c r="V216" i="3"/>
  <c r="Z216" i="3"/>
  <c r="AH216" i="3"/>
  <c r="AL216" i="3"/>
  <c r="G216" i="3"/>
  <c r="K216" i="3"/>
  <c r="O216" i="3"/>
  <c r="S216" i="3"/>
  <c r="W216" i="3"/>
  <c r="AA216" i="3"/>
  <c r="AE216" i="3"/>
  <c r="AI216" i="3"/>
  <c r="AM216" i="3"/>
  <c r="D216" i="3"/>
  <c r="H216" i="3"/>
  <c r="L216" i="3"/>
  <c r="P216" i="3"/>
  <c r="T216" i="3"/>
  <c r="X216" i="3"/>
  <c r="AB216" i="3"/>
  <c r="AN216" i="3"/>
  <c r="F231" i="3"/>
  <c r="J231" i="3"/>
  <c r="N231" i="3"/>
  <c r="R231" i="3"/>
  <c r="V231" i="3"/>
  <c r="Z231" i="3"/>
  <c r="AH231" i="3"/>
  <c r="AL231" i="3"/>
  <c r="G231" i="3"/>
  <c r="K231" i="3"/>
  <c r="O231" i="3"/>
  <c r="S231" i="3"/>
  <c r="W231" i="3"/>
  <c r="AA231" i="3"/>
  <c r="AE231" i="3"/>
  <c r="AI231" i="3"/>
  <c r="AM231" i="3"/>
  <c r="D231" i="3"/>
  <c r="H231" i="3"/>
  <c r="L231" i="3"/>
  <c r="P231" i="3"/>
  <c r="T231" i="3"/>
  <c r="X231" i="3"/>
  <c r="AB231" i="3"/>
  <c r="AN231" i="3"/>
  <c r="E231" i="3"/>
  <c r="I231" i="3"/>
  <c r="M231" i="3"/>
  <c r="Q231" i="3"/>
  <c r="U231" i="3"/>
  <c r="Y231" i="3"/>
  <c r="AC231" i="3"/>
  <c r="AG231" i="3"/>
  <c r="AK231" i="3"/>
  <c r="AO231" i="3"/>
  <c r="F215" i="3"/>
  <c r="J215" i="3"/>
  <c r="N215" i="3"/>
  <c r="R215" i="3"/>
  <c r="V215" i="3"/>
  <c r="Z215" i="3"/>
  <c r="AH215" i="3"/>
  <c r="AL215" i="3"/>
  <c r="G215" i="3"/>
  <c r="K215" i="3"/>
  <c r="O215" i="3"/>
  <c r="S215" i="3"/>
  <c r="W215" i="3"/>
  <c r="AA215" i="3"/>
  <c r="AE215" i="3"/>
  <c r="AI215" i="3"/>
  <c r="AM215" i="3"/>
  <c r="D215" i="3"/>
  <c r="H215" i="3"/>
  <c r="L215" i="3"/>
  <c r="P215" i="3"/>
  <c r="T215" i="3"/>
  <c r="X215" i="3"/>
  <c r="AB215" i="3"/>
  <c r="AN215" i="3"/>
  <c r="E215" i="3"/>
  <c r="I215" i="3"/>
  <c r="M215" i="3"/>
  <c r="Q215" i="3"/>
  <c r="U215" i="3"/>
  <c r="Y215" i="3"/>
  <c r="AC215" i="3"/>
  <c r="AG215" i="3"/>
  <c r="AK215" i="3"/>
  <c r="AO215" i="3"/>
  <c r="G198" i="3"/>
  <c r="K198" i="3"/>
  <c r="O198" i="3"/>
  <c r="S198" i="3"/>
  <c r="W198" i="3"/>
  <c r="AA198" i="3"/>
  <c r="AE198" i="3"/>
  <c r="AI198" i="3"/>
  <c r="AM198" i="3"/>
  <c r="D198" i="3"/>
  <c r="H198" i="3"/>
  <c r="L198" i="3"/>
  <c r="P198" i="3"/>
  <c r="T198" i="3"/>
  <c r="X198" i="3"/>
  <c r="AB198" i="3"/>
  <c r="AN198" i="3"/>
  <c r="E198" i="3"/>
  <c r="I198" i="3"/>
  <c r="M198" i="3"/>
  <c r="Q198" i="3"/>
  <c r="U198" i="3"/>
  <c r="Y198" i="3"/>
  <c r="AC198" i="3"/>
  <c r="AG198" i="3"/>
  <c r="AK198" i="3"/>
  <c r="AO198" i="3"/>
  <c r="F198" i="3"/>
  <c r="J198" i="3"/>
  <c r="N198" i="3"/>
  <c r="R198" i="3"/>
  <c r="V198" i="3"/>
  <c r="Z198" i="3"/>
  <c r="AH198" i="3"/>
  <c r="AL198" i="3"/>
  <c r="G182" i="3"/>
  <c r="K182" i="3"/>
  <c r="O182" i="3"/>
  <c r="S182" i="3"/>
  <c r="W182" i="3"/>
  <c r="AA182" i="3"/>
  <c r="AE182" i="3"/>
  <c r="AI182" i="3"/>
  <c r="AM182" i="3"/>
  <c r="D182" i="3"/>
  <c r="H182" i="3"/>
  <c r="L182" i="3"/>
  <c r="P182" i="3"/>
  <c r="T182" i="3"/>
  <c r="X182" i="3"/>
  <c r="AB182" i="3"/>
  <c r="AN182" i="3"/>
  <c r="E182" i="3"/>
  <c r="I182" i="3"/>
  <c r="M182" i="3"/>
  <c r="Q182" i="3"/>
  <c r="U182" i="3"/>
  <c r="Y182" i="3"/>
  <c r="AC182" i="3"/>
  <c r="AG182" i="3"/>
  <c r="AK182" i="3"/>
  <c r="AO182" i="3"/>
  <c r="F182" i="3"/>
  <c r="J182" i="3"/>
  <c r="N182" i="3"/>
  <c r="R182" i="3"/>
  <c r="V182" i="3"/>
  <c r="Z182" i="3"/>
  <c r="AH182" i="3"/>
  <c r="AL182" i="3"/>
  <c r="D201" i="3"/>
  <c r="H201" i="3"/>
  <c r="L201" i="3"/>
  <c r="P201" i="3"/>
  <c r="T201" i="3"/>
  <c r="X201" i="3"/>
  <c r="E201" i="3"/>
  <c r="I201" i="3"/>
  <c r="M201" i="3"/>
  <c r="Q201" i="3"/>
  <c r="U201" i="3"/>
  <c r="Y201" i="3"/>
  <c r="AC201" i="3"/>
  <c r="AG201" i="3"/>
  <c r="AK201" i="3"/>
  <c r="AO201" i="3"/>
  <c r="F201" i="3"/>
  <c r="J201" i="3"/>
  <c r="N201" i="3"/>
  <c r="R201" i="3"/>
  <c r="V201" i="3"/>
  <c r="Z201" i="3"/>
  <c r="G201" i="3"/>
  <c r="K201" i="3"/>
  <c r="O201" i="3"/>
  <c r="S201" i="3"/>
  <c r="W201" i="3"/>
  <c r="AA201" i="3"/>
  <c r="AE201" i="3"/>
  <c r="AI201" i="3"/>
  <c r="AM201" i="3"/>
  <c r="AN201" i="3"/>
  <c r="AH201" i="3"/>
  <c r="AB201" i="3"/>
  <c r="AL201" i="3"/>
  <c r="D185" i="3"/>
  <c r="H185" i="3"/>
  <c r="L185" i="3"/>
  <c r="P185" i="3"/>
  <c r="T185" i="3"/>
  <c r="X185" i="3"/>
  <c r="AB185" i="3"/>
  <c r="AN185" i="3"/>
  <c r="E185" i="3"/>
  <c r="I185" i="3"/>
  <c r="M185" i="3"/>
  <c r="Q185" i="3"/>
  <c r="U185" i="3"/>
  <c r="Y185" i="3"/>
  <c r="AC185" i="3"/>
  <c r="AG185" i="3"/>
  <c r="AK185" i="3"/>
  <c r="AO185" i="3"/>
  <c r="F185" i="3"/>
  <c r="J185" i="3"/>
  <c r="N185" i="3"/>
  <c r="R185" i="3"/>
  <c r="V185" i="3"/>
  <c r="Z185" i="3"/>
  <c r="AH185" i="3"/>
  <c r="AL185" i="3"/>
  <c r="G185" i="3"/>
  <c r="K185" i="3"/>
  <c r="O185" i="3"/>
  <c r="S185" i="3"/>
  <c r="W185" i="3"/>
  <c r="AA185" i="3"/>
  <c r="AE185" i="3"/>
  <c r="AI185" i="3"/>
  <c r="AM185" i="3"/>
  <c r="G166" i="3"/>
  <c r="K166" i="3"/>
  <c r="O166" i="3"/>
  <c r="S166" i="3"/>
  <c r="W166" i="3"/>
  <c r="AA166" i="3"/>
  <c r="AE166" i="3"/>
  <c r="AI166" i="3"/>
  <c r="AM166" i="3"/>
  <c r="E166" i="3"/>
  <c r="I166" i="3"/>
  <c r="M166" i="3"/>
  <c r="Q166" i="3"/>
  <c r="U166" i="3"/>
  <c r="Y166" i="3"/>
  <c r="AC166" i="3"/>
  <c r="AG166" i="3"/>
  <c r="AK166" i="3"/>
  <c r="AO166" i="3"/>
  <c r="D166" i="3"/>
  <c r="L166" i="3"/>
  <c r="T166" i="3"/>
  <c r="AB166" i="3"/>
  <c r="F166" i="3"/>
  <c r="N166" i="3"/>
  <c r="V166" i="3"/>
  <c r="AL166" i="3"/>
  <c r="H166" i="3"/>
  <c r="P166" i="3"/>
  <c r="X166" i="3"/>
  <c r="AN166" i="3"/>
  <c r="J166" i="3"/>
  <c r="R166" i="3"/>
  <c r="Z166" i="3"/>
  <c r="AH166" i="3"/>
  <c r="E192" i="3"/>
  <c r="I192" i="3"/>
  <c r="M192" i="3"/>
  <c r="Q192" i="3"/>
  <c r="U192" i="3"/>
  <c r="Y192" i="3"/>
  <c r="AC192" i="3"/>
  <c r="AG192" i="3"/>
  <c r="AK192" i="3"/>
  <c r="AO192" i="3"/>
  <c r="F192" i="3"/>
  <c r="J192" i="3"/>
  <c r="N192" i="3"/>
  <c r="R192" i="3"/>
  <c r="V192" i="3"/>
  <c r="Z192" i="3"/>
  <c r="AH192" i="3"/>
  <c r="AL192" i="3"/>
  <c r="G192" i="3"/>
  <c r="K192" i="3"/>
  <c r="O192" i="3"/>
  <c r="S192" i="3"/>
  <c r="W192" i="3"/>
  <c r="AA192" i="3"/>
  <c r="AE192" i="3"/>
  <c r="AI192" i="3"/>
  <c r="AM192" i="3"/>
  <c r="D192" i="3"/>
  <c r="H192" i="3"/>
  <c r="L192" i="3"/>
  <c r="P192" i="3"/>
  <c r="T192" i="3"/>
  <c r="X192" i="3"/>
  <c r="AB192" i="3"/>
  <c r="AN192" i="3"/>
  <c r="E176" i="3"/>
  <c r="I176" i="3"/>
  <c r="M176" i="3"/>
  <c r="Q176" i="3"/>
  <c r="U176" i="3"/>
  <c r="Y176" i="3"/>
  <c r="AC176" i="3"/>
  <c r="AG176" i="3"/>
  <c r="AK176" i="3"/>
  <c r="AO176" i="3"/>
  <c r="F176" i="3"/>
  <c r="J176" i="3"/>
  <c r="N176" i="3"/>
  <c r="R176" i="3"/>
  <c r="V176" i="3"/>
  <c r="Z176" i="3"/>
  <c r="AH176" i="3"/>
  <c r="AL176" i="3"/>
  <c r="G176" i="3"/>
  <c r="K176" i="3"/>
  <c r="O176" i="3"/>
  <c r="S176" i="3"/>
  <c r="W176" i="3"/>
  <c r="AA176" i="3"/>
  <c r="AE176" i="3"/>
  <c r="AI176" i="3"/>
  <c r="AM176" i="3"/>
  <c r="D176" i="3"/>
  <c r="H176" i="3"/>
  <c r="L176" i="3"/>
  <c r="P176" i="3"/>
  <c r="T176" i="3"/>
  <c r="X176" i="3"/>
  <c r="AB176" i="3"/>
  <c r="AN176" i="3"/>
  <c r="F195" i="3"/>
  <c r="J195" i="3"/>
  <c r="N195" i="3"/>
  <c r="R195" i="3"/>
  <c r="V195" i="3"/>
  <c r="Z195" i="3"/>
  <c r="AH195" i="3"/>
  <c r="AL195" i="3"/>
  <c r="G195" i="3"/>
  <c r="K195" i="3"/>
  <c r="O195" i="3"/>
  <c r="S195" i="3"/>
  <c r="W195" i="3"/>
  <c r="AA195" i="3"/>
  <c r="AE195" i="3"/>
  <c r="AI195" i="3"/>
  <c r="AM195" i="3"/>
  <c r="D195" i="3"/>
  <c r="H195" i="3"/>
  <c r="L195" i="3"/>
  <c r="P195" i="3"/>
  <c r="T195" i="3"/>
  <c r="X195" i="3"/>
  <c r="AB195" i="3"/>
  <c r="AN195" i="3"/>
  <c r="E195" i="3"/>
  <c r="I195" i="3"/>
  <c r="M195" i="3"/>
  <c r="Q195" i="3"/>
  <c r="U195" i="3"/>
  <c r="Y195" i="3"/>
  <c r="AC195" i="3"/>
  <c r="AG195" i="3"/>
  <c r="AK195" i="3"/>
  <c r="AO195" i="3"/>
  <c r="F179" i="3"/>
  <c r="J179" i="3"/>
  <c r="N179" i="3"/>
  <c r="R179" i="3"/>
  <c r="V179" i="3"/>
  <c r="Z179" i="3"/>
  <c r="AH179" i="3"/>
  <c r="AL179" i="3"/>
  <c r="G179" i="3"/>
  <c r="K179" i="3"/>
  <c r="O179" i="3"/>
  <c r="S179" i="3"/>
  <c r="W179" i="3"/>
  <c r="AA179" i="3"/>
  <c r="AE179" i="3"/>
  <c r="AI179" i="3"/>
  <c r="AM179" i="3"/>
  <c r="D179" i="3"/>
  <c r="H179" i="3"/>
  <c r="L179" i="3"/>
  <c r="P179" i="3"/>
  <c r="T179" i="3"/>
  <c r="X179" i="3"/>
  <c r="AB179" i="3"/>
  <c r="AN179" i="3"/>
  <c r="E179" i="3"/>
  <c r="I179" i="3"/>
  <c r="M179" i="3"/>
  <c r="Q179" i="3"/>
  <c r="U179" i="3"/>
  <c r="Y179" i="3"/>
  <c r="AC179" i="3"/>
  <c r="AG179" i="3"/>
  <c r="AK179" i="3"/>
  <c r="AO179" i="3"/>
  <c r="D165" i="3"/>
  <c r="H165" i="3"/>
  <c r="L165" i="3"/>
  <c r="P165" i="3"/>
  <c r="T165" i="3"/>
  <c r="X165" i="3"/>
  <c r="AB165" i="3"/>
  <c r="AN165" i="3"/>
  <c r="F165" i="3"/>
  <c r="J165" i="3"/>
  <c r="N165" i="3"/>
  <c r="R165" i="3"/>
  <c r="V165" i="3"/>
  <c r="Z165" i="3"/>
  <c r="AH165" i="3"/>
  <c r="AL165" i="3"/>
  <c r="I165" i="3"/>
  <c r="Q165" i="3"/>
  <c r="Y165" i="3"/>
  <c r="AG165" i="3"/>
  <c r="AO165" i="3"/>
  <c r="K165" i="3"/>
  <c r="S165" i="3"/>
  <c r="AA165" i="3"/>
  <c r="AI165" i="3"/>
  <c r="E165" i="3"/>
  <c r="M165" i="3"/>
  <c r="U165" i="3"/>
  <c r="AC165" i="3"/>
  <c r="AK165" i="3"/>
  <c r="G165" i="3"/>
  <c r="O165" i="3"/>
  <c r="W165" i="3"/>
  <c r="AE165" i="3"/>
  <c r="AM165" i="3"/>
  <c r="G149" i="3"/>
  <c r="K149" i="3"/>
  <c r="O149" i="3"/>
  <c r="S149" i="3"/>
  <c r="W149" i="3"/>
  <c r="AA149" i="3"/>
  <c r="AE149" i="3"/>
  <c r="AI149" i="3"/>
  <c r="AM149" i="3"/>
  <c r="D149" i="3"/>
  <c r="H149" i="3"/>
  <c r="L149" i="3"/>
  <c r="P149" i="3"/>
  <c r="T149" i="3"/>
  <c r="X149" i="3"/>
  <c r="AB149" i="3"/>
  <c r="AN149" i="3"/>
  <c r="E149" i="3"/>
  <c r="I149" i="3"/>
  <c r="M149" i="3"/>
  <c r="Q149" i="3"/>
  <c r="U149" i="3"/>
  <c r="Y149" i="3"/>
  <c r="AC149" i="3"/>
  <c r="AG149" i="3"/>
  <c r="AK149" i="3"/>
  <c r="AO149" i="3"/>
  <c r="F149" i="3"/>
  <c r="J149" i="3"/>
  <c r="N149" i="3"/>
  <c r="R149" i="3"/>
  <c r="V149" i="3"/>
  <c r="Z149" i="3"/>
  <c r="AH149" i="3"/>
  <c r="AL149" i="3"/>
  <c r="D160" i="3"/>
  <c r="H160" i="3"/>
  <c r="L160" i="3"/>
  <c r="P160" i="3"/>
  <c r="T160" i="3"/>
  <c r="X160" i="3"/>
  <c r="AB160" i="3"/>
  <c r="AN160" i="3"/>
  <c r="E160" i="3"/>
  <c r="I160" i="3"/>
  <c r="M160" i="3"/>
  <c r="Q160" i="3"/>
  <c r="U160" i="3"/>
  <c r="Y160" i="3"/>
  <c r="AC160" i="3"/>
  <c r="AG160" i="3"/>
  <c r="AK160" i="3"/>
  <c r="AO160" i="3"/>
  <c r="F160" i="3"/>
  <c r="J160" i="3"/>
  <c r="N160" i="3"/>
  <c r="R160" i="3"/>
  <c r="V160" i="3"/>
  <c r="Z160" i="3"/>
  <c r="AH160" i="3"/>
  <c r="AL160" i="3"/>
  <c r="G160" i="3"/>
  <c r="K160" i="3"/>
  <c r="O160" i="3"/>
  <c r="S160" i="3"/>
  <c r="W160" i="3"/>
  <c r="AA160" i="3"/>
  <c r="AE160" i="3"/>
  <c r="AI160" i="3"/>
  <c r="AM160" i="3"/>
  <c r="D144" i="3"/>
  <c r="H144" i="3"/>
  <c r="L144" i="3"/>
  <c r="P144" i="3"/>
  <c r="T144" i="3"/>
  <c r="X144" i="3"/>
  <c r="AB144" i="3"/>
  <c r="AN144" i="3"/>
  <c r="E144" i="3"/>
  <c r="I144" i="3"/>
  <c r="M144" i="3"/>
  <c r="Q144" i="3"/>
  <c r="U144" i="3"/>
  <c r="Y144" i="3"/>
  <c r="AC144" i="3"/>
  <c r="AG144" i="3"/>
  <c r="AK144" i="3"/>
  <c r="AO144" i="3"/>
  <c r="F144" i="3"/>
  <c r="J144" i="3"/>
  <c r="N144" i="3"/>
  <c r="R144" i="3"/>
  <c r="V144" i="3"/>
  <c r="Z144" i="3"/>
  <c r="AH144" i="3"/>
  <c r="AL144" i="3"/>
  <c r="G144" i="3"/>
  <c r="K144" i="3"/>
  <c r="O144" i="3"/>
  <c r="S144" i="3"/>
  <c r="W144" i="3"/>
  <c r="AA144" i="3"/>
  <c r="AE144" i="3"/>
  <c r="AI144" i="3"/>
  <c r="AM144" i="3"/>
  <c r="F167" i="3"/>
  <c r="J167" i="3"/>
  <c r="N167" i="3"/>
  <c r="R167" i="3"/>
  <c r="V167" i="3"/>
  <c r="Z167" i="3"/>
  <c r="AH167" i="3"/>
  <c r="AL167" i="3"/>
  <c r="D167" i="3"/>
  <c r="H167" i="3"/>
  <c r="L167" i="3"/>
  <c r="P167" i="3"/>
  <c r="T167" i="3"/>
  <c r="X167" i="3"/>
  <c r="AB167" i="3"/>
  <c r="AN167" i="3"/>
  <c r="K167" i="3"/>
  <c r="S167" i="3"/>
  <c r="AA167" i="3"/>
  <c r="AI167" i="3"/>
  <c r="E167" i="3"/>
  <c r="M167" i="3"/>
  <c r="U167" i="3"/>
  <c r="AC167" i="3"/>
  <c r="AK167" i="3"/>
  <c r="G167" i="3"/>
  <c r="O167" i="3"/>
  <c r="W167" i="3"/>
  <c r="AE167" i="3"/>
  <c r="AM167" i="3"/>
  <c r="I167" i="3"/>
  <c r="Q167" i="3"/>
  <c r="Y167" i="3"/>
  <c r="AG167" i="3"/>
  <c r="AO167" i="3"/>
  <c r="E151" i="3"/>
  <c r="I151" i="3"/>
  <c r="M151" i="3"/>
  <c r="Q151" i="3"/>
  <c r="U151" i="3"/>
  <c r="Y151" i="3"/>
  <c r="AC151" i="3"/>
  <c r="AG151" i="3"/>
  <c r="AK151" i="3"/>
  <c r="AO151" i="3"/>
  <c r="F151" i="3"/>
  <c r="J151" i="3"/>
  <c r="N151" i="3"/>
  <c r="R151" i="3"/>
  <c r="V151" i="3"/>
  <c r="Z151" i="3"/>
  <c r="AH151" i="3"/>
  <c r="AL151" i="3"/>
  <c r="G151" i="3"/>
  <c r="K151" i="3"/>
  <c r="O151" i="3"/>
  <c r="S151" i="3"/>
  <c r="W151" i="3"/>
  <c r="AA151" i="3"/>
  <c r="AE151" i="3"/>
  <c r="AI151" i="3"/>
  <c r="AM151" i="3"/>
  <c r="D151" i="3"/>
  <c r="H151" i="3"/>
  <c r="L151" i="3"/>
  <c r="P151" i="3"/>
  <c r="T151" i="3"/>
  <c r="X151" i="3"/>
  <c r="AB151" i="3"/>
  <c r="AN151" i="3"/>
  <c r="F162" i="3"/>
  <c r="J162" i="3"/>
  <c r="N162" i="3"/>
  <c r="G162" i="3"/>
  <c r="K162" i="3"/>
  <c r="O162" i="3"/>
  <c r="S162" i="3"/>
  <c r="W162" i="3"/>
  <c r="AA162" i="3"/>
  <c r="AE162" i="3"/>
  <c r="AI162" i="3"/>
  <c r="AM162" i="3"/>
  <c r="D162" i="3"/>
  <c r="H162" i="3"/>
  <c r="L162" i="3"/>
  <c r="E162" i="3"/>
  <c r="I162" i="3"/>
  <c r="M162" i="3"/>
  <c r="Q162" i="3"/>
  <c r="U162" i="3"/>
  <c r="Y162" i="3"/>
  <c r="AC162" i="3"/>
  <c r="AG162" i="3"/>
  <c r="AK162" i="3"/>
  <c r="AO162" i="3"/>
  <c r="P162" i="3"/>
  <c r="X162" i="3"/>
  <c r="AN162" i="3"/>
  <c r="R162" i="3"/>
  <c r="Z162" i="3"/>
  <c r="AH162" i="3"/>
  <c r="T162" i="3"/>
  <c r="AB162" i="3"/>
  <c r="V162" i="3"/>
  <c r="AL162" i="3"/>
  <c r="F146" i="3"/>
  <c r="J146" i="3"/>
  <c r="N146" i="3"/>
  <c r="R146" i="3"/>
  <c r="V146" i="3"/>
  <c r="Z146" i="3"/>
  <c r="AH146" i="3"/>
  <c r="AL146" i="3"/>
  <c r="G146" i="3"/>
  <c r="K146" i="3"/>
  <c r="O146" i="3"/>
  <c r="S146" i="3"/>
  <c r="W146" i="3"/>
  <c r="AA146" i="3"/>
  <c r="AE146" i="3"/>
  <c r="AI146" i="3"/>
  <c r="AM146" i="3"/>
  <c r="D146" i="3"/>
  <c r="H146" i="3"/>
  <c r="L146" i="3"/>
  <c r="P146" i="3"/>
  <c r="T146" i="3"/>
  <c r="X146" i="3"/>
  <c r="AB146" i="3"/>
  <c r="AN146" i="3"/>
  <c r="E146" i="3"/>
  <c r="I146" i="3"/>
  <c r="M146" i="3"/>
  <c r="Q146" i="3"/>
  <c r="U146" i="3"/>
  <c r="Y146" i="3"/>
  <c r="AC146" i="3"/>
  <c r="AG146" i="3"/>
  <c r="AK146" i="3"/>
  <c r="AO146" i="3"/>
  <c r="D135" i="3"/>
  <c r="H135" i="3"/>
  <c r="L135" i="3"/>
  <c r="P135" i="3"/>
  <c r="T135" i="3"/>
  <c r="X135" i="3"/>
  <c r="AB135" i="3"/>
  <c r="AN135" i="3"/>
  <c r="F135" i="3"/>
  <c r="J135" i="3"/>
  <c r="N135" i="3"/>
  <c r="R135" i="3"/>
  <c r="V135" i="3"/>
  <c r="Z135" i="3"/>
  <c r="AH135" i="3"/>
  <c r="AL135" i="3"/>
  <c r="I135" i="3"/>
  <c r="Q135" i="3"/>
  <c r="Y135" i="3"/>
  <c r="AG135" i="3"/>
  <c r="AO135" i="3"/>
  <c r="K135" i="3"/>
  <c r="S135" i="3"/>
  <c r="AA135" i="3"/>
  <c r="AI135" i="3"/>
  <c r="E135" i="3"/>
  <c r="M135" i="3"/>
  <c r="U135" i="3"/>
  <c r="AC135" i="3"/>
  <c r="AK135" i="3"/>
  <c r="G135" i="3"/>
  <c r="O135" i="3"/>
  <c r="W135" i="3"/>
  <c r="AE135" i="3"/>
  <c r="AM135" i="3"/>
  <c r="G119" i="3"/>
  <c r="K119" i="3"/>
  <c r="O119" i="3"/>
  <c r="S119" i="3"/>
  <c r="W119" i="3"/>
  <c r="AA119" i="3"/>
  <c r="AE119" i="3"/>
  <c r="AI119" i="3"/>
  <c r="AM119" i="3"/>
  <c r="D119" i="3"/>
  <c r="H119" i="3"/>
  <c r="L119" i="3"/>
  <c r="P119" i="3"/>
  <c r="T119" i="3"/>
  <c r="X119" i="3"/>
  <c r="AB119" i="3"/>
  <c r="AN119" i="3"/>
  <c r="E119" i="3"/>
  <c r="I119" i="3"/>
  <c r="M119" i="3"/>
  <c r="Q119" i="3"/>
  <c r="U119" i="3"/>
  <c r="Y119" i="3"/>
  <c r="AC119" i="3"/>
  <c r="AG119" i="3"/>
  <c r="AK119" i="3"/>
  <c r="AO119" i="3"/>
  <c r="F119" i="3"/>
  <c r="J119" i="3"/>
  <c r="N119" i="3"/>
  <c r="R119" i="3"/>
  <c r="V119" i="3"/>
  <c r="Z119" i="3"/>
  <c r="AH119" i="3"/>
  <c r="AL119" i="3"/>
  <c r="D130" i="3"/>
  <c r="H130" i="3"/>
  <c r="L130" i="3"/>
  <c r="P130" i="3"/>
  <c r="T130" i="3"/>
  <c r="X130" i="3"/>
  <c r="AB130" i="3"/>
  <c r="E130" i="3"/>
  <c r="I130" i="3"/>
  <c r="M130" i="3"/>
  <c r="Q130" i="3"/>
  <c r="U130" i="3"/>
  <c r="Y130" i="3"/>
  <c r="AC130" i="3"/>
  <c r="AG130" i="3"/>
  <c r="AK130" i="3"/>
  <c r="AO130" i="3"/>
  <c r="F130" i="3"/>
  <c r="J130" i="3"/>
  <c r="N130" i="3"/>
  <c r="R130" i="3"/>
  <c r="V130" i="3"/>
  <c r="Z130" i="3"/>
  <c r="AH130" i="3"/>
  <c r="AL130" i="3"/>
  <c r="G130" i="3"/>
  <c r="K130" i="3"/>
  <c r="O130" i="3"/>
  <c r="S130" i="3"/>
  <c r="W130" i="3"/>
  <c r="AA130" i="3"/>
  <c r="AE130" i="3"/>
  <c r="AI130" i="3"/>
  <c r="AM130" i="3"/>
  <c r="AN130" i="3"/>
  <c r="D114" i="3"/>
  <c r="H114" i="3"/>
  <c r="L114" i="3"/>
  <c r="P114" i="3"/>
  <c r="T114" i="3"/>
  <c r="X114" i="3"/>
  <c r="AB114" i="3"/>
  <c r="AN114" i="3"/>
  <c r="E114" i="3"/>
  <c r="I114" i="3"/>
  <c r="M114" i="3"/>
  <c r="Q114" i="3"/>
  <c r="U114" i="3"/>
  <c r="Y114" i="3"/>
  <c r="AC114" i="3"/>
  <c r="AG114" i="3"/>
  <c r="AK114" i="3"/>
  <c r="AO114" i="3"/>
  <c r="F114" i="3"/>
  <c r="J114" i="3"/>
  <c r="N114" i="3"/>
  <c r="R114" i="3"/>
  <c r="V114" i="3"/>
  <c r="Z114" i="3"/>
  <c r="AH114" i="3"/>
  <c r="AL114" i="3"/>
  <c r="G114" i="3"/>
  <c r="K114" i="3"/>
  <c r="O114" i="3"/>
  <c r="S114" i="3"/>
  <c r="W114" i="3"/>
  <c r="AA114" i="3"/>
  <c r="AE114" i="3"/>
  <c r="AI114" i="3"/>
  <c r="AM114" i="3"/>
  <c r="F133" i="3"/>
  <c r="J133" i="3"/>
  <c r="N133" i="3"/>
  <c r="R133" i="3"/>
  <c r="V133" i="3"/>
  <c r="Z133" i="3"/>
  <c r="AH133" i="3"/>
  <c r="AL133" i="3"/>
  <c r="D133" i="3"/>
  <c r="H133" i="3"/>
  <c r="L133" i="3"/>
  <c r="P133" i="3"/>
  <c r="T133" i="3"/>
  <c r="X133" i="3"/>
  <c r="AB133" i="3"/>
  <c r="AN133" i="3"/>
  <c r="G133" i="3"/>
  <c r="O133" i="3"/>
  <c r="W133" i="3"/>
  <c r="AE133" i="3"/>
  <c r="AM133" i="3"/>
  <c r="I133" i="3"/>
  <c r="Q133" i="3"/>
  <c r="Y133" i="3"/>
  <c r="AG133" i="3"/>
  <c r="AO133" i="3"/>
  <c r="K133" i="3"/>
  <c r="S133" i="3"/>
  <c r="AA133" i="3"/>
  <c r="AI133" i="3"/>
  <c r="E133" i="3"/>
  <c r="M133" i="3"/>
  <c r="U133" i="3"/>
  <c r="AC133" i="3"/>
  <c r="AK133" i="3"/>
  <c r="E117" i="3"/>
  <c r="I117" i="3"/>
  <c r="M117" i="3"/>
  <c r="Q117" i="3"/>
  <c r="U117" i="3"/>
  <c r="Y117" i="3"/>
  <c r="AC117" i="3"/>
  <c r="AG117" i="3"/>
  <c r="AK117" i="3"/>
  <c r="AO117" i="3"/>
  <c r="F117" i="3"/>
  <c r="J117" i="3"/>
  <c r="N117" i="3"/>
  <c r="R117" i="3"/>
  <c r="V117" i="3"/>
  <c r="Z117" i="3"/>
  <c r="AH117" i="3"/>
  <c r="AL117" i="3"/>
  <c r="G117" i="3"/>
  <c r="K117" i="3"/>
  <c r="O117" i="3"/>
  <c r="S117" i="3"/>
  <c r="W117" i="3"/>
  <c r="AA117" i="3"/>
  <c r="AE117" i="3"/>
  <c r="AI117" i="3"/>
  <c r="AM117" i="3"/>
  <c r="D117" i="3"/>
  <c r="H117" i="3"/>
  <c r="L117" i="3"/>
  <c r="P117" i="3"/>
  <c r="T117" i="3"/>
  <c r="X117" i="3"/>
  <c r="AB117" i="3"/>
  <c r="AN117" i="3"/>
  <c r="F124" i="3"/>
  <c r="J124" i="3"/>
  <c r="N124" i="3"/>
  <c r="R124" i="3"/>
  <c r="V124" i="3"/>
  <c r="Z124" i="3"/>
  <c r="AH124" i="3"/>
  <c r="AL124" i="3"/>
  <c r="G124" i="3"/>
  <c r="K124" i="3"/>
  <c r="O124" i="3"/>
  <c r="S124" i="3"/>
  <c r="W124" i="3"/>
  <c r="AA124" i="3"/>
  <c r="AE124" i="3"/>
  <c r="AI124" i="3"/>
  <c r="AM124" i="3"/>
  <c r="D124" i="3"/>
  <c r="H124" i="3"/>
  <c r="L124" i="3"/>
  <c r="P124" i="3"/>
  <c r="T124" i="3"/>
  <c r="X124" i="3"/>
  <c r="AB124" i="3"/>
  <c r="AN124" i="3"/>
  <c r="E124" i="3"/>
  <c r="I124" i="3"/>
  <c r="M124" i="3"/>
  <c r="Q124" i="3"/>
  <c r="U124" i="3"/>
  <c r="Y124" i="3"/>
  <c r="AC124" i="3"/>
  <c r="AG124" i="3"/>
  <c r="AK124" i="3"/>
  <c r="AO124" i="3"/>
  <c r="E106" i="3"/>
  <c r="I106" i="3"/>
  <c r="M106" i="3"/>
  <c r="Q106" i="3"/>
  <c r="U106" i="3"/>
  <c r="Y106" i="3"/>
  <c r="AC106" i="3"/>
  <c r="AG106" i="3"/>
  <c r="AK106" i="3"/>
  <c r="AO106" i="3"/>
  <c r="G106" i="3"/>
  <c r="K106" i="3"/>
  <c r="O106" i="3"/>
  <c r="S106" i="3"/>
  <c r="W106" i="3"/>
  <c r="AA106" i="3"/>
  <c r="AE106" i="3"/>
  <c r="AI106" i="3"/>
  <c r="AM106" i="3"/>
  <c r="H106" i="3"/>
  <c r="P106" i="3"/>
  <c r="X106" i="3"/>
  <c r="AN106" i="3"/>
  <c r="J106" i="3"/>
  <c r="R106" i="3"/>
  <c r="Z106" i="3"/>
  <c r="AH106" i="3"/>
  <c r="D106" i="3"/>
  <c r="L106" i="3"/>
  <c r="T106" i="3"/>
  <c r="AB106" i="3"/>
  <c r="F106" i="3"/>
  <c r="N106" i="3"/>
  <c r="V106" i="3"/>
  <c r="AL106" i="3"/>
  <c r="G95" i="3"/>
  <c r="K95" i="3"/>
  <c r="O95" i="3"/>
  <c r="S95" i="3"/>
  <c r="W95" i="3"/>
  <c r="AA95" i="3"/>
  <c r="AE95" i="3"/>
  <c r="AI95" i="3"/>
  <c r="AM95" i="3"/>
  <c r="D95" i="3"/>
  <c r="H95" i="3"/>
  <c r="L95" i="3"/>
  <c r="P95" i="3"/>
  <c r="T95" i="3"/>
  <c r="X95" i="3"/>
  <c r="AB95" i="3"/>
  <c r="AN95" i="3"/>
  <c r="E95" i="3"/>
  <c r="I95" i="3"/>
  <c r="M95" i="3"/>
  <c r="Q95" i="3"/>
  <c r="U95" i="3"/>
  <c r="Y95" i="3"/>
  <c r="AC95" i="3"/>
  <c r="AG95" i="3"/>
  <c r="AK95" i="3"/>
  <c r="AO95" i="3"/>
  <c r="F95" i="3"/>
  <c r="J95" i="3"/>
  <c r="N95" i="3"/>
  <c r="R95" i="3"/>
  <c r="V95" i="3"/>
  <c r="Z95" i="3"/>
  <c r="AH95" i="3"/>
  <c r="AL95" i="3"/>
  <c r="D94" i="3"/>
  <c r="H94" i="3"/>
  <c r="L94" i="3"/>
  <c r="P94" i="3"/>
  <c r="T94" i="3"/>
  <c r="X94" i="3"/>
  <c r="AB94" i="3"/>
  <c r="AN94" i="3"/>
  <c r="E94" i="3"/>
  <c r="I94" i="3"/>
  <c r="M94" i="3"/>
  <c r="Q94" i="3"/>
  <c r="U94" i="3"/>
  <c r="Y94" i="3"/>
  <c r="AC94" i="3"/>
  <c r="AG94" i="3"/>
  <c r="AK94" i="3"/>
  <c r="AO94" i="3"/>
  <c r="F94" i="3"/>
  <c r="J94" i="3"/>
  <c r="N94" i="3"/>
  <c r="R94" i="3"/>
  <c r="V94" i="3"/>
  <c r="Z94" i="3"/>
  <c r="AH94" i="3"/>
  <c r="AL94" i="3"/>
  <c r="G94" i="3"/>
  <c r="K94" i="3"/>
  <c r="O94" i="3"/>
  <c r="S94" i="3"/>
  <c r="W94" i="3"/>
  <c r="AA94" i="3"/>
  <c r="AE94" i="3"/>
  <c r="AI94" i="3"/>
  <c r="AM94" i="3"/>
  <c r="F105" i="3"/>
  <c r="J105" i="3"/>
  <c r="N105" i="3"/>
  <c r="R105" i="3"/>
  <c r="V105" i="3"/>
  <c r="Z105" i="3"/>
  <c r="AH105" i="3"/>
  <c r="AL105" i="3"/>
  <c r="D105" i="3"/>
  <c r="H105" i="3"/>
  <c r="L105" i="3"/>
  <c r="P105" i="3"/>
  <c r="T105" i="3"/>
  <c r="X105" i="3"/>
  <c r="AB105" i="3"/>
  <c r="AN105" i="3"/>
  <c r="E105" i="3"/>
  <c r="M105" i="3"/>
  <c r="U105" i="3"/>
  <c r="AC105" i="3"/>
  <c r="AK105" i="3"/>
  <c r="G105" i="3"/>
  <c r="O105" i="3"/>
  <c r="W105" i="3"/>
  <c r="AE105" i="3"/>
  <c r="AM105" i="3"/>
  <c r="I105" i="3"/>
  <c r="Q105" i="3"/>
  <c r="Y105" i="3"/>
  <c r="AG105" i="3"/>
  <c r="AO105" i="3"/>
  <c r="K105" i="3"/>
  <c r="S105" i="3"/>
  <c r="AA105" i="3"/>
  <c r="AI105" i="3"/>
  <c r="E89" i="3"/>
  <c r="I89" i="3"/>
  <c r="M89" i="3"/>
  <c r="Q89" i="3"/>
  <c r="U89" i="3"/>
  <c r="Y89" i="3"/>
  <c r="AC89" i="3"/>
  <c r="AG89" i="3"/>
  <c r="AK89" i="3"/>
  <c r="AO89" i="3"/>
  <c r="F89" i="3"/>
  <c r="J89" i="3"/>
  <c r="N89" i="3"/>
  <c r="R89" i="3"/>
  <c r="V89" i="3"/>
  <c r="Z89" i="3"/>
  <c r="AH89" i="3"/>
  <c r="AL89" i="3"/>
  <c r="G89" i="3"/>
  <c r="K89" i="3"/>
  <c r="O89" i="3"/>
  <c r="S89" i="3"/>
  <c r="W89" i="3"/>
  <c r="AA89" i="3"/>
  <c r="AE89" i="3"/>
  <c r="AI89" i="3"/>
  <c r="AM89" i="3"/>
  <c r="D89" i="3"/>
  <c r="H89" i="3"/>
  <c r="L89" i="3"/>
  <c r="P89" i="3"/>
  <c r="T89" i="3"/>
  <c r="X89" i="3"/>
  <c r="AB89" i="3"/>
  <c r="AN89" i="3"/>
  <c r="F92" i="3"/>
  <c r="J92" i="3"/>
  <c r="N92" i="3"/>
  <c r="R92" i="3"/>
  <c r="V92" i="3"/>
  <c r="Z92" i="3"/>
  <c r="AH92" i="3"/>
  <c r="AL92" i="3"/>
  <c r="G92" i="3"/>
  <c r="K92" i="3"/>
  <c r="O92" i="3"/>
  <c r="S92" i="3"/>
  <c r="W92" i="3"/>
  <c r="AA92" i="3"/>
  <c r="AE92" i="3"/>
  <c r="AI92" i="3"/>
  <c r="AM92" i="3"/>
  <c r="D92" i="3"/>
  <c r="H92" i="3"/>
  <c r="L92" i="3"/>
  <c r="P92" i="3"/>
  <c r="T92" i="3"/>
  <c r="X92" i="3"/>
  <c r="AB92" i="3"/>
  <c r="AN92" i="3"/>
  <c r="E92" i="3"/>
  <c r="I92" i="3"/>
  <c r="M92" i="3"/>
  <c r="Q92" i="3"/>
  <c r="U92" i="3"/>
  <c r="Y92" i="3"/>
  <c r="AC92" i="3"/>
  <c r="AG92" i="3"/>
  <c r="AK92" i="3"/>
  <c r="AO92" i="3"/>
  <c r="G80" i="3"/>
  <c r="K80" i="3"/>
  <c r="O80" i="3"/>
  <c r="S80" i="3"/>
  <c r="W80" i="3"/>
  <c r="AA80" i="3"/>
  <c r="AE80" i="3"/>
  <c r="AI80" i="3"/>
  <c r="D80" i="3"/>
  <c r="H80" i="3"/>
  <c r="L80" i="3"/>
  <c r="P80" i="3"/>
  <c r="T80" i="3"/>
  <c r="X80" i="3"/>
  <c r="AB80" i="3"/>
  <c r="AN80" i="3"/>
  <c r="E80" i="3"/>
  <c r="I80" i="3"/>
  <c r="M80" i="3"/>
  <c r="Q80" i="3"/>
  <c r="U80" i="3"/>
  <c r="Y80" i="3"/>
  <c r="AC80" i="3"/>
  <c r="AG80" i="3"/>
  <c r="F80" i="3"/>
  <c r="J80" i="3"/>
  <c r="N80" i="3"/>
  <c r="R80" i="3"/>
  <c r="V80" i="3"/>
  <c r="Z80" i="3"/>
  <c r="AH80" i="3"/>
  <c r="AL80" i="3"/>
  <c r="AK80" i="3"/>
  <c r="AM80" i="3"/>
  <c r="AO80" i="3"/>
  <c r="G62" i="3"/>
  <c r="K62" i="3"/>
  <c r="O62" i="3"/>
  <c r="S62" i="3"/>
  <c r="W62" i="3"/>
  <c r="AA62" i="3"/>
  <c r="AE62" i="3"/>
  <c r="AI62" i="3"/>
  <c r="AM62" i="3"/>
  <c r="E62" i="3"/>
  <c r="I62" i="3"/>
  <c r="M62" i="3"/>
  <c r="Q62" i="3"/>
  <c r="U62" i="3"/>
  <c r="Y62" i="3"/>
  <c r="AC62" i="3"/>
  <c r="AG62" i="3"/>
  <c r="AK62" i="3"/>
  <c r="AO62" i="3"/>
  <c r="J62" i="3"/>
  <c r="R62" i="3"/>
  <c r="Z62" i="3"/>
  <c r="AH62" i="3"/>
  <c r="D62" i="3"/>
  <c r="L62" i="3"/>
  <c r="T62" i="3"/>
  <c r="AB62" i="3"/>
  <c r="F62" i="3"/>
  <c r="N62" i="3"/>
  <c r="V62" i="3"/>
  <c r="AL62" i="3"/>
  <c r="H62" i="3"/>
  <c r="P62" i="3"/>
  <c r="X62" i="3"/>
  <c r="AN62" i="3"/>
  <c r="E64" i="3"/>
  <c r="I64" i="3"/>
  <c r="M64" i="3"/>
  <c r="Q64" i="3"/>
  <c r="U64" i="3"/>
  <c r="Y64" i="3"/>
  <c r="AC64" i="3"/>
  <c r="AG64" i="3"/>
  <c r="AK64" i="3"/>
  <c r="AO64" i="3"/>
  <c r="G64" i="3"/>
  <c r="K64" i="3"/>
  <c r="O64" i="3"/>
  <c r="S64" i="3"/>
  <c r="W64" i="3"/>
  <c r="AA64" i="3"/>
  <c r="AE64" i="3"/>
  <c r="AI64" i="3"/>
  <c r="AM64" i="3"/>
  <c r="D64" i="3"/>
  <c r="L64" i="3"/>
  <c r="T64" i="3"/>
  <c r="AB64" i="3"/>
  <c r="F64" i="3"/>
  <c r="N64" i="3"/>
  <c r="V64" i="3"/>
  <c r="AL64" i="3"/>
  <c r="H64" i="3"/>
  <c r="P64" i="3"/>
  <c r="X64" i="3"/>
  <c r="AN64" i="3"/>
  <c r="J64" i="3"/>
  <c r="R64" i="3"/>
  <c r="Z64" i="3"/>
  <c r="AH64" i="3"/>
  <c r="E74" i="3"/>
  <c r="I74" i="3"/>
  <c r="M74" i="3"/>
  <c r="Q74" i="3"/>
  <c r="U74" i="3"/>
  <c r="Y74" i="3"/>
  <c r="AC74" i="3"/>
  <c r="AG74" i="3"/>
  <c r="AK74" i="3"/>
  <c r="AO74" i="3"/>
  <c r="F74" i="3"/>
  <c r="J74" i="3"/>
  <c r="N74" i="3"/>
  <c r="R74" i="3"/>
  <c r="V74" i="3"/>
  <c r="Z74" i="3"/>
  <c r="AH74" i="3"/>
  <c r="AL74" i="3"/>
  <c r="G74" i="3"/>
  <c r="K74" i="3"/>
  <c r="O74" i="3"/>
  <c r="S74" i="3"/>
  <c r="W74" i="3"/>
  <c r="AA74" i="3"/>
  <c r="AE74" i="3"/>
  <c r="AI74" i="3"/>
  <c r="AM74" i="3"/>
  <c r="D74" i="3"/>
  <c r="H74" i="3"/>
  <c r="L74" i="3"/>
  <c r="P74" i="3"/>
  <c r="T74" i="3"/>
  <c r="X74" i="3"/>
  <c r="AB74" i="3"/>
  <c r="AN74" i="3"/>
  <c r="F73" i="3"/>
  <c r="J73" i="3"/>
  <c r="N73" i="3"/>
  <c r="R73" i="3"/>
  <c r="V73" i="3"/>
  <c r="Z73" i="3"/>
  <c r="AH73" i="3"/>
  <c r="AL73" i="3"/>
  <c r="G73" i="3"/>
  <c r="K73" i="3"/>
  <c r="O73" i="3"/>
  <c r="S73" i="3"/>
  <c r="W73" i="3"/>
  <c r="AA73" i="3"/>
  <c r="AE73" i="3"/>
  <c r="AI73" i="3"/>
  <c r="AM73" i="3"/>
  <c r="D73" i="3"/>
  <c r="H73" i="3"/>
  <c r="L73" i="3"/>
  <c r="P73" i="3"/>
  <c r="T73" i="3"/>
  <c r="X73" i="3"/>
  <c r="AB73" i="3"/>
  <c r="AN73" i="3"/>
  <c r="E73" i="3"/>
  <c r="I73" i="3"/>
  <c r="M73" i="3"/>
  <c r="Q73" i="3"/>
  <c r="U73" i="3"/>
  <c r="Y73" i="3"/>
  <c r="AC73" i="3"/>
  <c r="AG73" i="3"/>
  <c r="AK73" i="3"/>
  <c r="AO73" i="3"/>
  <c r="D61" i="3"/>
  <c r="H61" i="3"/>
  <c r="L61" i="3"/>
  <c r="P61" i="3"/>
  <c r="T61" i="3"/>
  <c r="X61" i="3"/>
  <c r="AB61" i="3"/>
  <c r="AN61" i="3"/>
  <c r="F61" i="3"/>
  <c r="J61" i="3"/>
  <c r="N61" i="3"/>
  <c r="R61" i="3"/>
  <c r="V61" i="3"/>
  <c r="Z61" i="3"/>
  <c r="AH61" i="3"/>
  <c r="AL61" i="3"/>
  <c r="G61" i="3"/>
  <c r="O61" i="3"/>
  <c r="W61" i="3"/>
  <c r="AE61" i="3"/>
  <c r="AM61" i="3"/>
  <c r="I61" i="3"/>
  <c r="Q61" i="3"/>
  <c r="Y61" i="3"/>
  <c r="AG61" i="3"/>
  <c r="AO61" i="3"/>
  <c r="K61" i="3"/>
  <c r="S61" i="3"/>
  <c r="AA61" i="3"/>
  <c r="AI61" i="3"/>
  <c r="E61" i="3"/>
  <c r="M61" i="3"/>
  <c r="U61" i="3"/>
  <c r="AC61" i="3"/>
  <c r="AK61" i="3"/>
  <c r="G51" i="3"/>
  <c r="K51" i="3"/>
  <c r="O51" i="3"/>
  <c r="S51" i="3"/>
  <c r="W51" i="3"/>
  <c r="AA51" i="3"/>
  <c r="AE51" i="3"/>
  <c r="AI51" i="3"/>
  <c r="AM51" i="3"/>
  <c r="E51" i="3"/>
  <c r="I51" i="3"/>
  <c r="M51" i="3"/>
  <c r="Q51" i="3"/>
  <c r="U51" i="3"/>
  <c r="Y51" i="3"/>
  <c r="AC51" i="3"/>
  <c r="AG51" i="3"/>
  <c r="AK51" i="3"/>
  <c r="AO51" i="3"/>
  <c r="D51" i="3"/>
  <c r="L51" i="3"/>
  <c r="T51" i="3"/>
  <c r="AB51" i="3"/>
  <c r="F51" i="3"/>
  <c r="N51" i="3"/>
  <c r="V51" i="3"/>
  <c r="AL51" i="3"/>
  <c r="H51" i="3"/>
  <c r="P51" i="3"/>
  <c r="X51" i="3"/>
  <c r="AN51" i="3"/>
  <c r="J51" i="3"/>
  <c r="R51" i="3"/>
  <c r="Z51" i="3"/>
  <c r="AH51" i="3"/>
  <c r="E55" i="3"/>
  <c r="I55" i="3"/>
  <c r="M55" i="3"/>
  <c r="Q55" i="3"/>
  <c r="U55" i="3"/>
  <c r="Y55" i="3"/>
  <c r="AC55" i="3"/>
  <c r="AG55" i="3"/>
  <c r="AK55" i="3"/>
  <c r="AO55" i="3"/>
  <c r="F55" i="3"/>
  <c r="J55" i="3"/>
  <c r="N55" i="3"/>
  <c r="R55" i="3"/>
  <c r="V55" i="3"/>
  <c r="Z55" i="3"/>
  <c r="AH55" i="3"/>
  <c r="AL55" i="3"/>
  <c r="G55" i="3"/>
  <c r="K55" i="3"/>
  <c r="O55" i="3"/>
  <c r="S55" i="3"/>
  <c r="W55" i="3"/>
  <c r="AA55" i="3"/>
  <c r="AE55" i="3"/>
  <c r="AI55" i="3"/>
  <c r="AM55" i="3"/>
  <c r="D55" i="3"/>
  <c r="H55" i="3"/>
  <c r="L55" i="3"/>
  <c r="P55" i="3"/>
  <c r="T55" i="3"/>
  <c r="X55" i="3"/>
  <c r="AB55" i="3"/>
  <c r="AN55" i="3"/>
  <c r="D50" i="3"/>
  <c r="H50" i="3"/>
  <c r="L50" i="3"/>
  <c r="P50" i="3"/>
  <c r="T50" i="3"/>
  <c r="X50" i="3"/>
  <c r="AB50" i="3"/>
  <c r="AN50" i="3"/>
  <c r="F50" i="3"/>
  <c r="J50" i="3"/>
  <c r="N50" i="3"/>
  <c r="R50" i="3"/>
  <c r="V50" i="3"/>
  <c r="Z50" i="3"/>
  <c r="AH50" i="3"/>
  <c r="AL50" i="3"/>
  <c r="I50" i="3"/>
  <c r="Q50" i="3"/>
  <c r="Y50" i="3"/>
  <c r="AG50" i="3"/>
  <c r="AO50" i="3"/>
  <c r="K50" i="3"/>
  <c r="S50" i="3"/>
  <c r="AA50" i="3"/>
  <c r="AI50" i="3"/>
  <c r="E50" i="3"/>
  <c r="M50" i="3"/>
  <c r="U50" i="3"/>
  <c r="AC50" i="3"/>
  <c r="AK50" i="3"/>
  <c r="G50" i="3"/>
  <c r="O50" i="3"/>
  <c r="W50" i="3"/>
  <c r="AE50" i="3"/>
  <c r="AM50" i="3"/>
  <c r="D45" i="3"/>
  <c r="H45" i="3"/>
  <c r="L45" i="3"/>
  <c r="P45" i="3"/>
  <c r="T45" i="3"/>
  <c r="X45" i="3"/>
  <c r="AB45" i="3"/>
  <c r="AN45" i="3"/>
  <c r="E45" i="3"/>
  <c r="I45" i="3"/>
  <c r="M45" i="3"/>
  <c r="Q45" i="3"/>
  <c r="U45" i="3"/>
  <c r="Y45" i="3"/>
  <c r="AC45" i="3"/>
  <c r="AG45" i="3"/>
  <c r="AK45" i="3"/>
  <c r="AO45" i="3"/>
  <c r="F45" i="3"/>
  <c r="J45" i="3"/>
  <c r="N45" i="3"/>
  <c r="R45" i="3"/>
  <c r="V45" i="3"/>
  <c r="Z45" i="3"/>
  <c r="AH45" i="3"/>
  <c r="AL45" i="3"/>
  <c r="G45" i="3"/>
  <c r="K45" i="3"/>
  <c r="O45" i="3"/>
  <c r="S45" i="3"/>
  <c r="W45" i="3"/>
  <c r="AA45" i="3"/>
  <c r="AE45" i="3"/>
  <c r="AI45" i="3"/>
  <c r="AM45" i="3"/>
  <c r="E44" i="3"/>
  <c r="I44" i="3"/>
  <c r="M44" i="3"/>
  <c r="Q44" i="3"/>
  <c r="U44" i="3"/>
  <c r="Y44" i="3"/>
  <c r="AC44" i="3"/>
  <c r="AG44" i="3"/>
  <c r="AK44" i="3"/>
  <c r="AO44" i="3"/>
  <c r="F44" i="3"/>
  <c r="J44" i="3"/>
  <c r="N44" i="3"/>
  <c r="R44" i="3"/>
  <c r="V44" i="3"/>
  <c r="Z44" i="3"/>
  <c r="AH44" i="3"/>
  <c r="AL44" i="3"/>
  <c r="G44" i="3"/>
  <c r="K44" i="3"/>
  <c r="O44" i="3"/>
  <c r="S44" i="3"/>
  <c r="W44" i="3"/>
  <c r="AA44" i="3"/>
  <c r="AE44" i="3"/>
  <c r="AI44" i="3"/>
  <c r="AM44" i="3"/>
  <c r="D44" i="3"/>
  <c r="H44" i="3"/>
  <c r="L44" i="3"/>
  <c r="P44" i="3"/>
  <c r="T44" i="3"/>
  <c r="X44" i="3"/>
  <c r="AB44" i="3"/>
  <c r="AN44" i="3"/>
  <c r="F39" i="3"/>
  <c r="J39" i="3"/>
  <c r="N39" i="3"/>
  <c r="R39" i="3"/>
  <c r="V39" i="3"/>
  <c r="Z39" i="3"/>
  <c r="AH39" i="3"/>
  <c r="AL39" i="3"/>
  <c r="G39" i="3"/>
  <c r="K39" i="3"/>
  <c r="O39" i="3"/>
  <c r="S39" i="3"/>
  <c r="W39" i="3"/>
  <c r="AA39" i="3"/>
  <c r="AE39" i="3"/>
  <c r="AI39" i="3"/>
  <c r="AM39" i="3"/>
  <c r="D39" i="3"/>
  <c r="H39" i="3"/>
  <c r="L39" i="3"/>
  <c r="P39" i="3"/>
  <c r="T39" i="3"/>
  <c r="X39" i="3"/>
  <c r="AB39" i="3"/>
  <c r="AN39" i="3"/>
  <c r="E39" i="3"/>
  <c r="I39" i="3"/>
  <c r="M39" i="3"/>
  <c r="Q39" i="3"/>
  <c r="U39" i="3"/>
  <c r="Y39" i="3"/>
  <c r="AC39" i="3"/>
  <c r="AG39" i="3"/>
  <c r="AK39" i="3"/>
  <c r="AO39" i="3"/>
  <c r="G28" i="3"/>
  <c r="K28" i="3"/>
  <c r="O28" i="3"/>
  <c r="S28" i="3"/>
  <c r="W28" i="3"/>
  <c r="AA28" i="3"/>
  <c r="AE28" i="3"/>
  <c r="AI28" i="3"/>
  <c r="AM28" i="3"/>
  <c r="D28" i="3"/>
  <c r="H28" i="3"/>
  <c r="L28" i="3"/>
  <c r="P28" i="3"/>
  <c r="T28" i="3"/>
  <c r="X28" i="3"/>
  <c r="AB28" i="3"/>
  <c r="AN28" i="3"/>
  <c r="E28" i="3"/>
  <c r="I28" i="3"/>
  <c r="M28" i="3"/>
  <c r="Q28" i="3"/>
  <c r="U28" i="3"/>
  <c r="Y28" i="3"/>
  <c r="AC28" i="3"/>
  <c r="AG28" i="3"/>
  <c r="AK28" i="3"/>
  <c r="AO28" i="3"/>
  <c r="F28" i="3"/>
  <c r="J28" i="3"/>
  <c r="N28" i="3"/>
  <c r="R28" i="3"/>
  <c r="V28" i="3"/>
  <c r="Z28" i="3"/>
  <c r="AH28" i="3"/>
  <c r="AL28" i="3"/>
  <c r="F34" i="3"/>
  <c r="J34" i="3"/>
  <c r="N34" i="3"/>
  <c r="R34" i="3"/>
  <c r="V34" i="3"/>
  <c r="Z34" i="3"/>
  <c r="AH34" i="3"/>
  <c r="AL34" i="3"/>
  <c r="D34" i="3"/>
  <c r="H34" i="3"/>
  <c r="L34" i="3"/>
  <c r="P34" i="3"/>
  <c r="T34" i="3"/>
  <c r="X34" i="3"/>
  <c r="AB34" i="3"/>
  <c r="AN34" i="3"/>
  <c r="E34" i="3"/>
  <c r="M34" i="3"/>
  <c r="U34" i="3"/>
  <c r="AC34" i="3"/>
  <c r="AK34" i="3"/>
  <c r="G34" i="3"/>
  <c r="O34" i="3"/>
  <c r="W34" i="3"/>
  <c r="AE34" i="3"/>
  <c r="AM34" i="3"/>
  <c r="I34" i="3"/>
  <c r="Q34" i="3"/>
  <c r="Y34" i="3"/>
  <c r="AG34" i="3"/>
  <c r="AO34" i="3"/>
  <c r="K34" i="3"/>
  <c r="S34" i="3"/>
  <c r="AA34" i="3"/>
  <c r="AI34" i="3"/>
  <c r="F29" i="3"/>
  <c r="J29" i="3"/>
  <c r="N29" i="3"/>
  <c r="R29" i="3"/>
  <c r="V29" i="3"/>
  <c r="Z29" i="3"/>
  <c r="AH29" i="3"/>
  <c r="AL29" i="3"/>
  <c r="G29" i="3"/>
  <c r="K29" i="3"/>
  <c r="O29" i="3"/>
  <c r="S29" i="3"/>
  <c r="W29" i="3"/>
  <c r="AA29" i="3"/>
  <c r="AE29" i="3"/>
  <c r="AI29" i="3"/>
  <c r="AM29" i="3"/>
  <c r="D29" i="3"/>
  <c r="H29" i="3"/>
  <c r="L29" i="3"/>
  <c r="P29" i="3"/>
  <c r="T29" i="3"/>
  <c r="X29" i="3"/>
  <c r="AB29" i="3"/>
  <c r="AN29" i="3"/>
  <c r="E29" i="3"/>
  <c r="I29" i="3"/>
  <c r="M29" i="3"/>
  <c r="Q29" i="3"/>
  <c r="U29" i="3"/>
  <c r="Y29" i="3"/>
  <c r="AC29" i="3"/>
  <c r="AG29" i="3"/>
  <c r="AK29" i="3"/>
  <c r="AO29" i="3"/>
  <c r="D21" i="3"/>
  <c r="H21" i="3"/>
  <c r="L21" i="3"/>
  <c r="P21" i="3"/>
  <c r="T21" i="3"/>
  <c r="X21" i="3"/>
  <c r="AB21" i="3"/>
  <c r="AN21" i="3"/>
  <c r="E21" i="3"/>
  <c r="I21" i="3"/>
  <c r="M21" i="3"/>
  <c r="Q21" i="3"/>
  <c r="U21" i="3"/>
  <c r="Y21" i="3"/>
  <c r="AC21" i="3"/>
  <c r="AG21" i="3"/>
  <c r="AK21" i="3"/>
  <c r="AO21" i="3"/>
  <c r="F21" i="3"/>
  <c r="J21" i="3"/>
  <c r="N21" i="3"/>
  <c r="R21" i="3"/>
  <c r="V21" i="3"/>
  <c r="Z21" i="3"/>
  <c r="AH21" i="3"/>
  <c r="AL21" i="3"/>
  <c r="G21" i="3"/>
  <c r="K21" i="3"/>
  <c r="O21" i="3"/>
  <c r="S21" i="3"/>
  <c r="W21" i="3"/>
  <c r="AA21" i="3"/>
  <c r="AE21" i="3"/>
  <c r="AI21" i="3"/>
  <c r="AM21" i="3"/>
  <c r="E12" i="3"/>
  <c r="I12" i="3"/>
  <c r="M12" i="3"/>
  <c r="Q12" i="3"/>
  <c r="U12" i="3"/>
  <c r="Y12" i="3"/>
  <c r="AC12" i="3"/>
  <c r="AG12" i="3"/>
  <c r="AK12" i="3"/>
  <c r="AO12" i="3"/>
  <c r="G12" i="3"/>
  <c r="K12" i="3"/>
  <c r="O12" i="3"/>
  <c r="S12" i="3"/>
  <c r="W12" i="3"/>
  <c r="AA12" i="3"/>
  <c r="AE12" i="3"/>
  <c r="AI12" i="3"/>
  <c r="AM12" i="3"/>
  <c r="F12" i="3"/>
  <c r="N12" i="3"/>
  <c r="V12" i="3"/>
  <c r="AL12" i="3"/>
  <c r="H12" i="3"/>
  <c r="P12" i="3"/>
  <c r="X12" i="3"/>
  <c r="AN12" i="3"/>
  <c r="J12" i="3"/>
  <c r="R12" i="3"/>
  <c r="Z12" i="3"/>
  <c r="AH12" i="3"/>
  <c r="D12" i="3"/>
  <c r="L12" i="3"/>
  <c r="T12" i="3"/>
  <c r="AB12" i="3"/>
  <c r="D17" i="3"/>
  <c r="H17" i="3"/>
  <c r="L17" i="3"/>
  <c r="P17" i="3"/>
  <c r="T17" i="3"/>
  <c r="X17" i="3"/>
  <c r="AB17" i="3"/>
  <c r="AN17" i="3"/>
  <c r="F17" i="3"/>
  <c r="J17" i="3"/>
  <c r="N17" i="3"/>
  <c r="R17" i="3"/>
  <c r="V17" i="3"/>
  <c r="Z17" i="3"/>
  <c r="AH17" i="3"/>
  <c r="AL17" i="3"/>
  <c r="I17" i="3"/>
  <c r="Q17" i="3"/>
  <c r="Y17" i="3"/>
  <c r="AG17" i="3"/>
  <c r="AO17" i="3"/>
  <c r="K17" i="3"/>
  <c r="S17" i="3"/>
  <c r="AA17" i="3"/>
  <c r="AI17" i="3"/>
  <c r="E17" i="3"/>
  <c r="M17" i="3"/>
  <c r="U17" i="3"/>
  <c r="AC17" i="3"/>
  <c r="AK17" i="3"/>
  <c r="G17" i="3"/>
  <c r="O17" i="3"/>
  <c r="W17" i="3"/>
  <c r="AE17" i="3"/>
  <c r="AM17" i="3"/>
  <c r="D9" i="3"/>
  <c r="H9" i="3"/>
  <c r="L9" i="3"/>
  <c r="P9" i="3"/>
  <c r="T9" i="3"/>
  <c r="X9" i="3"/>
  <c r="AB9" i="3"/>
  <c r="AN9" i="3"/>
  <c r="F9" i="3"/>
  <c r="J9" i="3"/>
  <c r="N9" i="3"/>
  <c r="R9" i="3"/>
  <c r="V9" i="3"/>
  <c r="Z9" i="3"/>
  <c r="AH9" i="3"/>
  <c r="AL9" i="3"/>
  <c r="K9" i="3"/>
  <c r="S9" i="3"/>
  <c r="AA9" i="3"/>
  <c r="AI9" i="3"/>
  <c r="E9" i="3"/>
  <c r="M9" i="3"/>
  <c r="U9" i="3"/>
  <c r="AC9" i="3"/>
  <c r="AK9" i="3"/>
  <c r="G9" i="3"/>
  <c r="O9" i="3"/>
  <c r="W9" i="3"/>
  <c r="AE9" i="3"/>
  <c r="AM9" i="3"/>
  <c r="I9" i="3"/>
  <c r="Q9" i="3"/>
  <c r="Y9" i="3"/>
  <c r="AG9" i="3"/>
  <c r="AO9" i="3"/>
  <c r="F11" i="3"/>
  <c r="J11" i="3"/>
  <c r="N11" i="3"/>
  <c r="R11" i="3"/>
  <c r="V11" i="3"/>
  <c r="Z11" i="3"/>
  <c r="D11" i="3"/>
  <c r="H11" i="3"/>
  <c r="L11" i="3"/>
  <c r="P11" i="3"/>
  <c r="T11" i="3"/>
  <c r="X11" i="3"/>
  <c r="AB11" i="3"/>
  <c r="G11" i="3"/>
  <c r="O11" i="3"/>
  <c r="W11" i="3"/>
  <c r="AH11" i="3"/>
  <c r="AL11" i="3"/>
  <c r="K11" i="3"/>
  <c r="S11" i="3"/>
  <c r="AA11" i="3"/>
  <c r="AN11" i="3"/>
  <c r="I11" i="3"/>
  <c r="Y11" i="3"/>
  <c r="AI11" i="3"/>
  <c r="M11" i="3"/>
  <c r="AC11" i="3"/>
  <c r="AK11" i="3"/>
  <c r="Q11" i="3"/>
  <c r="AE11" i="3"/>
  <c r="AM11" i="3"/>
  <c r="E11" i="3"/>
  <c r="U11" i="3"/>
  <c r="AG11" i="3"/>
  <c r="AO11" i="3"/>
  <c r="G359" i="3"/>
  <c r="K359" i="3"/>
  <c r="O359" i="3"/>
  <c r="S359" i="3"/>
  <c r="W359" i="3"/>
  <c r="AA359" i="3"/>
  <c r="AE359" i="3"/>
  <c r="AI359" i="3"/>
  <c r="AM359" i="3"/>
  <c r="D359" i="3"/>
  <c r="H359" i="3"/>
  <c r="L359" i="3"/>
  <c r="P359" i="3"/>
  <c r="T359" i="3"/>
  <c r="X359" i="3"/>
  <c r="AB359" i="3"/>
  <c r="AN359" i="3"/>
  <c r="E359" i="3"/>
  <c r="I359" i="3"/>
  <c r="M359" i="3"/>
  <c r="Q359" i="3"/>
  <c r="U359" i="3"/>
  <c r="Y359" i="3"/>
  <c r="AC359" i="3"/>
  <c r="AG359" i="3"/>
  <c r="AK359" i="3"/>
  <c r="AO359" i="3"/>
  <c r="F359" i="3"/>
  <c r="J359" i="3"/>
  <c r="N359" i="3"/>
  <c r="R359" i="3"/>
  <c r="V359" i="3"/>
  <c r="Z359" i="3"/>
  <c r="AH359" i="3"/>
  <c r="AL359" i="3"/>
  <c r="G343" i="3"/>
  <c r="K343" i="3"/>
  <c r="O343" i="3"/>
  <c r="S343" i="3"/>
  <c r="W343" i="3"/>
  <c r="AA343" i="3"/>
  <c r="AE343" i="3"/>
  <c r="AI343" i="3"/>
  <c r="AM343" i="3"/>
  <c r="D343" i="3"/>
  <c r="H343" i="3"/>
  <c r="L343" i="3"/>
  <c r="P343" i="3"/>
  <c r="T343" i="3"/>
  <c r="X343" i="3"/>
  <c r="AB343" i="3"/>
  <c r="AN343" i="3"/>
  <c r="E343" i="3"/>
  <c r="I343" i="3"/>
  <c r="M343" i="3"/>
  <c r="Q343" i="3"/>
  <c r="U343" i="3"/>
  <c r="Y343" i="3"/>
  <c r="AC343" i="3"/>
  <c r="AG343" i="3"/>
  <c r="AK343" i="3"/>
  <c r="AO343" i="3"/>
  <c r="F343" i="3"/>
  <c r="J343" i="3"/>
  <c r="N343" i="3"/>
  <c r="R343" i="3"/>
  <c r="V343" i="3"/>
  <c r="Z343" i="3"/>
  <c r="AH343" i="3"/>
  <c r="AL343" i="3"/>
  <c r="G327" i="3"/>
  <c r="K327" i="3"/>
  <c r="O327" i="3"/>
  <c r="S327" i="3"/>
  <c r="W327" i="3"/>
  <c r="AA327" i="3"/>
  <c r="AE327" i="3"/>
  <c r="AI327" i="3"/>
  <c r="AM327" i="3"/>
  <c r="D327" i="3"/>
  <c r="H327" i="3"/>
  <c r="L327" i="3"/>
  <c r="P327" i="3"/>
  <c r="T327" i="3"/>
  <c r="X327" i="3"/>
  <c r="AB327" i="3"/>
  <c r="AN327" i="3"/>
  <c r="E327" i="3"/>
  <c r="I327" i="3"/>
  <c r="M327" i="3"/>
  <c r="Q327" i="3"/>
  <c r="U327" i="3"/>
  <c r="Y327" i="3"/>
  <c r="AC327" i="3"/>
  <c r="AG327" i="3"/>
  <c r="AK327" i="3"/>
  <c r="AO327" i="3"/>
  <c r="F327" i="3"/>
  <c r="J327" i="3"/>
  <c r="N327" i="3"/>
  <c r="R327" i="3"/>
  <c r="V327" i="3"/>
  <c r="Z327" i="3"/>
  <c r="AH327" i="3"/>
  <c r="AL327" i="3"/>
  <c r="G311" i="3"/>
  <c r="K311" i="3"/>
  <c r="O311" i="3"/>
  <c r="S311" i="3"/>
  <c r="W311" i="3"/>
  <c r="AA311" i="3"/>
  <c r="AE311" i="3"/>
  <c r="AI311" i="3"/>
  <c r="AM311" i="3"/>
  <c r="D311" i="3"/>
  <c r="H311" i="3"/>
  <c r="L311" i="3"/>
  <c r="P311" i="3"/>
  <c r="T311" i="3"/>
  <c r="X311" i="3"/>
  <c r="AB311" i="3"/>
  <c r="AN311" i="3"/>
  <c r="E311" i="3"/>
  <c r="I311" i="3"/>
  <c r="M311" i="3"/>
  <c r="Q311" i="3"/>
  <c r="U311" i="3"/>
  <c r="Y311" i="3"/>
  <c r="AC311" i="3"/>
  <c r="AG311" i="3"/>
  <c r="AK311" i="3"/>
  <c r="AO311" i="3"/>
  <c r="F311" i="3"/>
  <c r="J311" i="3"/>
  <c r="N311" i="3"/>
  <c r="R311" i="3"/>
  <c r="V311" i="3"/>
  <c r="Z311" i="3"/>
  <c r="AH311" i="3"/>
  <c r="AL311" i="3"/>
  <c r="D358" i="3"/>
  <c r="H358" i="3"/>
  <c r="L358" i="3"/>
  <c r="P358" i="3"/>
  <c r="T358" i="3"/>
  <c r="X358" i="3"/>
  <c r="AB358" i="3"/>
  <c r="AN358" i="3"/>
  <c r="E358" i="3"/>
  <c r="I358" i="3"/>
  <c r="M358" i="3"/>
  <c r="Q358" i="3"/>
  <c r="U358" i="3"/>
  <c r="Y358" i="3"/>
  <c r="AC358" i="3"/>
  <c r="AG358" i="3"/>
  <c r="AK358" i="3"/>
  <c r="AO358" i="3"/>
  <c r="F358" i="3"/>
  <c r="J358" i="3"/>
  <c r="N358" i="3"/>
  <c r="R358" i="3"/>
  <c r="V358" i="3"/>
  <c r="Z358" i="3"/>
  <c r="AH358" i="3"/>
  <c r="AL358" i="3"/>
  <c r="G358" i="3"/>
  <c r="K358" i="3"/>
  <c r="O358" i="3"/>
  <c r="S358" i="3"/>
  <c r="W358" i="3"/>
  <c r="AA358" i="3"/>
  <c r="AE358" i="3"/>
  <c r="AI358" i="3"/>
  <c r="AM358" i="3"/>
  <c r="D342" i="3"/>
  <c r="H342" i="3"/>
  <c r="L342" i="3"/>
  <c r="P342" i="3"/>
  <c r="T342" i="3"/>
  <c r="X342" i="3"/>
  <c r="AB342" i="3"/>
  <c r="AN342" i="3"/>
  <c r="E342" i="3"/>
  <c r="I342" i="3"/>
  <c r="M342" i="3"/>
  <c r="Q342" i="3"/>
  <c r="U342" i="3"/>
  <c r="Y342" i="3"/>
  <c r="AC342" i="3"/>
  <c r="AG342" i="3"/>
  <c r="AK342" i="3"/>
  <c r="AO342" i="3"/>
  <c r="F342" i="3"/>
  <c r="J342" i="3"/>
  <c r="N342" i="3"/>
  <c r="R342" i="3"/>
  <c r="V342" i="3"/>
  <c r="Z342" i="3"/>
  <c r="AH342" i="3"/>
  <c r="AL342" i="3"/>
  <c r="G342" i="3"/>
  <c r="K342" i="3"/>
  <c r="O342" i="3"/>
  <c r="S342" i="3"/>
  <c r="W342" i="3"/>
  <c r="AA342" i="3"/>
  <c r="AE342" i="3"/>
  <c r="AI342" i="3"/>
  <c r="AM342" i="3"/>
  <c r="D326" i="3"/>
  <c r="H326" i="3"/>
  <c r="L326" i="3"/>
  <c r="P326" i="3"/>
  <c r="T326" i="3"/>
  <c r="X326" i="3"/>
  <c r="AB326" i="3"/>
  <c r="AN326" i="3"/>
  <c r="E326" i="3"/>
  <c r="I326" i="3"/>
  <c r="M326" i="3"/>
  <c r="Q326" i="3"/>
  <c r="U326" i="3"/>
  <c r="Y326" i="3"/>
  <c r="AC326" i="3"/>
  <c r="AG326" i="3"/>
  <c r="AK326" i="3"/>
  <c r="AO326" i="3"/>
  <c r="F326" i="3"/>
  <c r="J326" i="3"/>
  <c r="N326" i="3"/>
  <c r="R326" i="3"/>
  <c r="V326" i="3"/>
  <c r="Z326" i="3"/>
  <c r="AH326" i="3"/>
  <c r="AL326" i="3"/>
  <c r="G326" i="3"/>
  <c r="K326" i="3"/>
  <c r="O326" i="3"/>
  <c r="S326" i="3"/>
  <c r="W326" i="3"/>
  <c r="AA326" i="3"/>
  <c r="AE326" i="3"/>
  <c r="AI326" i="3"/>
  <c r="AM326" i="3"/>
  <c r="E365" i="3"/>
  <c r="I365" i="3"/>
  <c r="Q365" i="3"/>
  <c r="Y365" i="3"/>
  <c r="AG365" i="3"/>
  <c r="AO365" i="3"/>
  <c r="F365" i="3"/>
  <c r="J365" i="3"/>
  <c r="N365" i="3"/>
  <c r="R365" i="3"/>
  <c r="V365" i="3"/>
  <c r="Z365" i="3"/>
  <c r="AH365" i="3"/>
  <c r="AL365" i="3"/>
  <c r="O365" i="3"/>
  <c r="W365" i="3"/>
  <c r="AE365" i="3"/>
  <c r="AM365" i="3"/>
  <c r="G365" i="3"/>
  <c r="K365" i="3"/>
  <c r="S365" i="3"/>
  <c r="AA365" i="3"/>
  <c r="AI365" i="3"/>
  <c r="D365" i="3"/>
  <c r="H365" i="3"/>
  <c r="L365" i="3"/>
  <c r="P365" i="3"/>
  <c r="T365" i="3"/>
  <c r="X365" i="3"/>
  <c r="AB365" i="3"/>
  <c r="AN365" i="3"/>
  <c r="M365" i="3"/>
  <c r="U365" i="3"/>
  <c r="AC365" i="3"/>
  <c r="AK365" i="3"/>
  <c r="E349" i="3"/>
  <c r="I349" i="3"/>
  <c r="M349" i="3"/>
  <c r="Q349" i="3"/>
  <c r="U349" i="3"/>
  <c r="Y349" i="3"/>
  <c r="AC349" i="3"/>
  <c r="AG349" i="3"/>
  <c r="AK349" i="3"/>
  <c r="AO349" i="3"/>
  <c r="F349" i="3"/>
  <c r="J349" i="3"/>
  <c r="N349" i="3"/>
  <c r="R349" i="3"/>
  <c r="V349" i="3"/>
  <c r="Z349" i="3"/>
  <c r="AH349" i="3"/>
  <c r="AL349" i="3"/>
  <c r="G349" i="3"/>
  <c r="K349" i="3"/>
  <c r="O349" i="3"/>
  <c r="S349" i="3"/>
  <c r="W349" i="3"/>
  <c r="AA349" i="3"/>
  <c r="AE349" i="3"/>
  <c r="AI349" i="3"/>
  <c r="AM349" i="3"/>
  <c r="D349" i="3"/>
  <c r="H349" i="3"/>
  <c r="L349" i="3"/>
  <c r="P349" i="3"/>
  <c r="T349" i="3"/>
  <c r="X349" i="3"/>
  <c r="AB349" i="3"/>
  <c r="AN349" i="3"/>
  <c r="E333" i="3"/>
  <c r="I333" i="3"/>
  <c r="M333" i="3"/>
  <c r="Q333" i="3"/>
  <c r="U333" i="3"/>
  <c r="Y333" i="3"/>
  <c r="AC333" i="3"/>
  <c r="AG333" i="3"/>
  <c r="AK333" i="3"/>
  <c r="AO333" i="3"/>
  <c r="F333" i="3"/>
  <c r="J333" i="3"/>
  <c r="N333" i="3"/>
  <c r="R333" i="3"/>
  <c r="V333" i="3"/>
  <c r="Z333" i="3"/>
  <c r="AH333" i="3"/>
  <c r="AL333" i="3"/>
  <c r="G333" i="3"/>
  <c r="K333" i="3"/>
  <c r="O333" i="3"/>
  <c r="S333" i="3"/>
  <c r="W333" i="3"/>
  <c r="AA333" i="3"/>
  <c r="AE333" i="3"/>
  <c r="AI333" i="3"/>
  <c r="AM333" i="3"/>
  <c r="D333" i="3"/>
  <c r="H333" i="3"/>
  <c r="L333" i="3"/>
  <c r="P333" i="3"/>
  <c r="T333" i="3"/>
  <c r="X333" i="3"/>
  <c r="AB333" i="3"/>
  <c r="AN333" i="3"/>
  <c r="E317" i="3"/>
  <c r="I317" i="3"/>
  <c r="M317" i="3"/>
  <c r="Q317" i="3"/>
  <c r="U317" i="3"/>
  <c r="Y317" i="3"/>
  <c r="AC317" i="3"/>
  <c r="AG317" i="3"/>
  <c r="AK317" i="3"/>
  <c r="AO317" i="3"/>
  <c r="F317" i="3"/>
  <c r="J317" i="3"/>
  <c r="N317" i="3"/>
  <c r="R317" i="3"/>
  <c r="V317" i="3"/>
  <c r="Z317" i="3"/>
  <c r="AH317" i="3"/>
  <c r="AL317" i="3"/>
  <c r="G317" i="3"/>
  <c r="K317" i="3"/>
  <c r="O317" i="3"/>
  <c r="S317" i="3"/>
  <c r="W317" i="3"/>
  <c r="AA317" i="3"/>
  <c r="AE317" i="3"/>
  <c r="AI317" i="3"/>
  <c r="AM317" i="3"/>
  <c r="D317" i="3"/>
  <c r="H317" i="3"/>
  <c r="L317" i="3"/>
  <c r="P317" i="3"/>
  <c r="T317" i="3"/>
  <c r="X317" i="3"/>
  <c r="AB317" i="3"/>
  <c r="AN317" i="3"/>
  <c r="F356" i="3"/>
  <c r="J356" i="3"/>
  <c r="N356" i="3"/>
  <c r="R356" i="3"/>
  <c r="V356" i="3"/>
  <c r="Z356" i="3"/>
  <c r="AH356" i="3"/>
  <c r="AL356" i="3"/>
  <c r="G356" i="3"/>
  <c r="K356" i="3"/>
  <c r="O356" i="3"/>
  <c r="S356" i="3"/>
  <c r="W356" i="3"/>
  <c r="AA356" i="3"/>
  <c r="AE356" i="3"/>
  <c r="AI356" i="3"/>
  <c r="AM356" i="3"/>
  <c r="D356" i="3"/>
  <c r="H356" i="3"/>
  <c r="L356" i="3"/>
  <c r="P356" i="3"/>
  <c r="T356" i="3"/>
  <c r="X356" i="3"/>
  <c r="AB356" i="3"/>
  <c r="AN356" i="3"/>
  <c r="E356" i="3"/>
  <c r="I356" i="3"/>
  <c r="M356" i="3"/>
  <c r="Q356" i="3"/>
  <c r="U356" i="3"/>
  <c r="Y356" i="3"/>
  <c r="AC356" i="3"/>
  <c r="AG356" i="3"/>
  <c r="AK356" i="3"/>
  <c r="AO356" i="3"/>
  <c r="F340" i="3"/>
  <c r="J340" i="3"/>
  <c r="N340" i="3"/>
  <c r="R340" i="3"/>
  <c r="V340" i="3"/>
  <c r="Z340" i="3"/>
  <c r="AH340" i="3"/>
  <c r="AL340" i="3"/>
  <c r="G340" i="3"/>
  <c r="K340" i="3"/>
  <c r="O340" i="3"/>
  <c r="S340" i="3"/>
  <c r="W340" i="3"/>
  <c r="AA340" i="3"/>
  <c r="AE340" i="3"/>
  <c r="AI340" i="3"/>
  <c r="AM340" i="3"/>
  <c r="D340" i="3"/>
  <c r="H340" i="3"/>
  <c r="L340" i="3"/>
  <c r="P340" i="3"/>
  <c r="T340" i="3"/>
  <c r="X340" i="3"/>
  <c r="AB340" i="3"/>
  <c r="AN340" i="3"/>
  <c r="E340" i="3"/>
  <c r="I340" i="3"/>
  <c r="M340" i="3"/>
  <c r="Q340" i="3"/>
  <c r="U340" i="3"/>
  <c r="Y340" i="3"/>
  <c r="AC340" i="3"/>
  <c r="AG340" i="3"/>
  <c r="AK340" i="3"/>
  <c r="AO340" i="3"/>
  <c r="F324" i="3"/>
  <c r="J324" i="3"/>
  <c r="N324" i="3"/>
  <c r="R324" i="3"/>
  <c r="V324" i="3"/>
  <c r="Z324" i="3"/>
  <c r="AH324" i="3"/>
  <c r="AL324" i="3"/>
  <c r="G324" i="3"/>
  <c r="K324" i="3"/>
  <c r="O324" i="3"/>
  <c r="S324" i="3"/>
  <c r="W324" i="3"/>
  <c r="AA324" i="3"/>
  <c r="AE324" i="3"/>
  <c r="AI324" i="3"/>
  <c r="AM324" i="3"/>
  <c r="D324" i="3"/>
  <c r="H324" i="3"/>
  <c r="L324" i="3"/>
  <c r="P324" i="3"/>
  <c r="T324" i="3"/>
  <c r="X324" i="3"/>
  <c r="AB324" i="3"/>
  <c r="AN324" i="3"/>
  <c r="E324" i="3"/>
  <c r="I324" i="3"/>
  <c r="M324" i="3"/>
  <c r="Q324" i="3"/>
  <c r="U324" i="3"/>
  <c r="Y324" i="3"/>
  <c r="AC324" i="3"/>
  <c r="AG324" i="3"/>
  <c r="AK324" i="3"/>
  <c r="AO324" i="3"/>
  <c r="D310" i="3"/>
  <c r="H310" i="3"/>
  <c r="L310" i="3"/>
  <c r="P310" i="3"/>
  <c r="T310" i="3"/>
  <c r="X310" i="3"/>
  <c r="AB310" i="3"/>
  <c r="F310" i="3"/>
  <c r="J310" i="3"/>
  <c r="N310" i="3"/>
  <c r="R310" i="3"/>
  <c r="V310" i="3"/>
  <c r="Z310" i="3"/>
  <c r="I310" i="3"/>
  <c r="Q310" i="3"/>
  <c r="Y310" i="3"/>
  <c r="AN310" i="3"/>
  <c r="K310" i="3"/>
  <c r="S310" i="3"/>
  <c r="AA310" i="3"/>
  <c r="AG310" i="3"/>
  <c r="AK310" i="3"/>
  <c r="AO310" i="3"/>
  <c r="E310" i="3"/>
  <c r="M310" i="3"/>
  <c r="U310" i="3"/>
  <c r="AC310" i="3"/>
  <c r="AH310" i="3"/>
  <c r="AL310" i="3"/>
  <c r="G310" i="3"/>
  <c r="O310" i="3"/>
  <c r="W310" i="3"/>
  <c r="AE310" i="3"/>
  <c r="AI310" i="3"/>
  <c r="AM310" i="3"/>
  <c r="G294" i="3"/>
  <c r="K294" i="3"/>
  <c r="O294" i="3"/>
  <c r="S294" i="3"/>
  <c r="W294" i="3"/>
  <c r="AA294" i="3"/>
  <c r="AE294" i="3"/>
  <c r="AI294" i="3"/>
  <c r="AM294" i="3"/>
  <c r="D294" i="3"/>
  <c r="H294" i="3"/>
  <c r="L294" i="3"/>
  <c r="P294" i="3"/>
  <c r="T294" i="3"/>
  <c r="X294" i="3"/>
  <c r="AB294" i="3"/>
  <c r="AN294" i="3"/>
  <c r="E294" i="3"/>
  <c r="I294" i="3"/>
  <c r="M294" i="3"/>
  <c r="Q294" i="3"/>
  <c r="U294" i="3"/>
  <c r="Y294" i="3"/>
  <c r="AC294" i="3"/>
  <c r="AG294" i="3"/>
  <c r="AK294" i="3"/>
  <c r="AO294" i="3"/>
  <c r="F294" i="3"/>
  <c r="J294" i="3"/>
  <c r="N294" i="3"/>
  <c r="R294" i="3"/>
  <c r="V294" i="3"/>
  <c r="Z294" i="3"/>
  <c r="AH294" i="3"/>
  <c r="AL294" i="3"/>
  <c r="G278" i="3"/>
  <c r="K278" i="3"/>
  <c r="O278" i="3"/>
  <c r="S278" i="3"/>
  <c r="W278" i="3"/>
  <c r="AA278" i="3"/>
  <c r="AE278" i="3"/>
  <c r="AI278" i="3"/>
  <c r="AM278" i="3"/>
  <c r="D278" i="3"/>
  <c r="H278" i="3"/>
  <c r="L278" i="3"/>
  <c r="P278" i="3"/>
  <c r="T278" i="3"/>
  <c r="X278" i="3"/>
  <c r="AB278" i="3"/>
  <c r="AN278" i="3"/>
  <c r="E278" i="3"/>
  <c r="I278" i="3"/>
  <c r="M278" i="3"/>
  <c r="Q278" i="3"/>
  <c r="U278" i="3"/>
  <c r="Y278" i="3"/>
  <c r="AC278" i="3"/>
  <c r="AG278" i="3"/>
  <c r="AK278" i="3"/>
  <c r="AO278" i="3"/>
  <c r="F278" i="3"/>
  <c r="J278" i="3"/>
  <c r="N278" i="3"/>
  <c r="R278" i="3"/>
  <c r="V278" i="3"/>
  <c r="Z278" i="3"/>
  <c r="AH278" i="3"/>
  <c r="AL278" i="3"/>
  <c r="G262" i="3"/>
  <c r="K262" i="3"/>
  <c r="O262" i="3"/>
  <c r="S262" i="3"/>
  <c r="W262" i="3"/>
  <c r="AA262" i="3"/>
  <c r="AE262" i="3"/>
  <c r="AI262" i="3"/>
  <c r="AM262" i="3"/>
  <c r="D262" i="3"/>
  <c r="H262" i="3"/>
  <c r="L262" i="3"/>
  <c r="P262" i="3"/>
  <c r="T262" i="3"/>
  <c r="X262" i="3"/>
  <c r="AB262" i="3"/>
  <c r="AN262" i="3"/>
  <c r="E262" i="3"/>
  <c r="I262" i="3"/>
  <c r="M262" i="3"/>
  <c r="Q262" i="3"/>
  <c r="U262" i="3"/>
  <c r="Y262" i="3"/>
  <c r="AC262" i="3"/>
  <c r="AG262" i="3"/>
  <c r="AK262" i="3"/>
  <c r="AO262" i="3"/>
  <c r="F262" i="3"/>
  <c r="J262" i="3"/>
  <c r="N262" i="3"/>
  <c r="R262" i="3"/>
  <c r="V262" i="3"/>
  <c r="Z262" i="3"/>
  <c r="AH262" i="3"/>
  <c r="AL262" i="3"/>
  <c r="G246" i="3"/>
  <c r="K246" i="3"/>
  <c r="O246" i="3"/>
  <c r="S246" i="3"/>
  <c r="W246" i="3"/>
  <c r="AA246" i="3"/>
  <c r="AE246" i="3"/>
  <c r="AI246" i="3"/>
  <c r="AM246" i="3"/>
  <c r="D246" i="3"/>
  <c r="H246" i="3"/>
  <c r="L246" i="3"/>
  <c r="P246" i="3"/>
  <c r="T246" i="3"/>
  <c r="X246" i="3"/>
  <c r="AB246" i="3"/>
  <c r="AN246" i="3"/>
  <c r="E246" i="3"/>
  <c r="I246" i="3"/>
  <c r="M246" i="3"/>
  <c r="Q246" i="3"/>
  <c r="U246" i="3"/>
  <c r="Y246" i="3"/>
  <c r="AC246" i="3"/>
  <c r="AG246" i="3"/>
  <c r="AK246" i="3"/>
  <c r="AO246" i="3"/>
  <c r="F246" i="3"/>
  <c r="J246" i="3"/>
  <c r="N246" i="3"/>
  <c r="R246" i="3"/>
  <c r="V246" i="3"/>
  <c r="Z246" i="3"/>
  <c r="AH246" i="3"/>
  <c r="AL246" i="3"/>
  <c r="D293" i="3"/>
  <c r="H293" i="3"/>
  <c r="L293" i="3"/>
  <c r="P293" i="3"/>
  <c r="T293" i="3"/>
  <c r="X293" i="3"/>
  <c r="AB293" i="3"/>
  <c r="AN293" i="3"/>
  <c r="E293" i="3"/>
  <c r="I293" i="3"/>
  <c r="M293" i="3"/>
  <c r="Q293" i="3"/>
  <c r="U293" i="3"/>
  <c r="Y293" i="3"/>
  <c r="AC293" i="3"/>
  <c r="AG293" i="3"/>
  <c r="AK293" i="3"/>
  <c r="AO293" i="3"/>
  <c r="F293" i="3"/>
  <c r="J293" i="3"/>
  <c r="N293" i="3"/>
  <c r="R293" i="3"/>
  <c r="V293" i="3"/>
  <c r="Z293" i="3"/>
  <c r="AH293" i="3"/>
  <c r="AL293" i="3"/>
  <c r="G293" i="3"/>
  <c r="K293" i="3"/>
  <c r="O293" i="3"/>
  <c r="S293" i="3"/>
  <c r="W293" i="3"/>
  <c r="AA293" i="3"/>
  <c r="AE293" i="3"/>
  <c r="AI293" i="3"/>
  <c r="AM293" i="3"/>
  <c r="D277" i="3"/>
  <c r="H277" i="3"/>
  <c r="L277" i="3"/>
  <c r="P277" i="3"/>
  <c r="T277" i="3"/>
  <c r="X277" i="3"/>
  <c r="AB277" i="3"/>
  <c r="AN277" i="3"/>
  <c r="E277" i="3"/>
  <c r="I277" i="3"/>
  <c r="M277" i="3"/>
  <c r="Q277" i="3"/>
  <c r="U277" i="3"/>
  <c r="Y277" i="3"/>
  <c r="AC277" i="3"/>
  <c r="AG277" i="3"/>
  <c r="AK277" i="3"/>
  <c r="AO277" i="3"/>
  <c r="F277" i="3"/>
  <c r="J277" i="3"/>
  <c r="N277" i="3"/>
  <c r="R277" i="3"/>
  <c r="V277" i="3"/>
  <c r="Z277" i="3"/>
  <c r="AH277" i="3"/>
  <c r="AL277" i="3"/>
  <c r="G277" i="3"/>
  <c r="K277" i="3"/>
  <c r="O277" i="3"/>
  <c r="S277" i="3"/>
  <c r="W277" i="3"/>
  <c r="AA277" i="3"/>
  <c r="AE277" i="3"/>
  <c r="AI277" i="3"/>
  <c r="AM277" i="3"/>
  <c r="D261" i="3"/>
  <c r="H261" i="3"/>
  <c r="L261" i="3"/>
  <c r="P261" i="3"/>
  <c r="T261" i="3"/>
  <c r="X261" i="3"/>
  <c r="AB261" i="3"/>
  <c r="AN261" i="3"/>
  <c r="E261" i="3"/>
  <c r="I261" i="3"/>
  <c r="M261" i="3"/>
  <c r="Q261" i="3"/>
  <c r="U261" i="3"/>
  <c r="Y261" i="3"/>
  <c r="AC261" i="3"/>
  <c r="AG261" i="3"/>
  <c r="AK261" i="3"/>
  <c r="AO261" i="3"/>
  <c r="F261" i="3"/>
  <c r="J261" i="3"/>
  <c r="N261" i="3"/>
  <c r="R261" i="3"/>
  <c r="V261" i="3"/>
  <c r="Z261" i="3"/>
  <c r="AH261" i="3"/>
  <c r="AL261" i="3"/>
  <c r="G261" i="3"/>
  <c r="K261" i="3"/>
  <c r="O261" i="3"/>
  <c r="S261" i="3"/>
  <c r="W261" i="3"/>
  <c r="AA261" i="3"/>
  <c r="AE261" i="3"/>
  <c r="AI261" i="3"/>
  <c r="AM261" i="3"/>
  <c r="D245" i="3"/>
  <c r="H245" i="3"/>
  <c r="L245" i="3"/>
  <c r="P245" i="3"/>
  <c r="T245" i="3"/>
  <c r="X245" i="3"/>
  <c r="AB245" i="3"/>
  <c r="AN245" i="3"/>
  <c r="E245" i="3"/>
  <c r="I245" i="3"/>
  <c r="M245" i="3"/>
  <c r="Q245" i="3"/>
  <c r="U245" i="3"/>
  <c r="Y245" i="3"/>
  <c r="AC245" i="3"/>
  <c r="AG245" i="3"/>
  <c r="AK245" i="3"/>
  <c r="AO245" i="3"/>
  <c r="F245" i="3"/>
  <c r="J245" i="3"/>
  <c r="N245" i="3"/>
  <c r="R245" i="3"/>
  <c r="V245" i="3"/>
  <c r="Z245" i="3"/>
  <c r="AH245" i="3"/>
  <c r="AL245" i="3"/>
  <c r="G245" i="3"/>
  <c r="K245" i="3"/>
  <c r="O245" i="3"/>
  <c r="S245" i="3"/>
  <c r="W245" i="3"/>
  <c r="AA245" i="3"/>
  <c r="AE245" i="3"/>
  <c r="AI245" i="3"/>
  <c r="AM245" i="3"/>
  <c r="E300" i="3"/>
  <c r="I300" i="3"/>
  <c r="M300" i="3"/>
  <c r="Q300" i="3"/>
  <c r="U300" i="3"/>
  <c r="Y300" i="3"/>
  <c r="AC300" i="3"/>
  <c r="AG300" i="3"/>
  <c r="AK300" i="3"/>
  <c r="AO300" i="3"/>
  <c r="F300" i="3"/>
  <c r="J300" i="3"/>
  <c r="N300" i="3"/>
  <c r="R300" i="3"/>
  <c r="V300" i="3"/>
  <c r="Z300" i="3"/>
  <c r="AH300" i="3"/>
  <c r="AL300" i="3"/>
  <c r="G300" i="3"/>
  <c r="K300" i="3"/>
  <c r="O300" i="3"/>
  <c r="S300" i="3"/>
  <c r="W300" i="3"/>
  <c r="AA300" i="3"/>
  <c r="AE300" i="3"/>
  <c r="AI300" i="3"/>
  <c r="AM300" i="3"/>
  <c r="D300" i="3"/>
  <c r="H300" i="3"/>
  <c r="L300" i="3"/>
  <c r="P300" i="3"/>
  <c r="T300" i="3"/>
  <c r="X300" i="3"/>
  <c r="AB300" i="3"/>
  <c r="AN300" i="3"/>
  <c r="E284" i="3"/>
  <c r="I284" i="3"/>
  <c r="M284" i="3"/>
  <c r="Q284" i="3"/>
  <c r="U284" i="3"/>
  <c r="Y284" i="3"/>
  <c r="AC284" i="3"/>
  <c r="AG284" i="3"/>
  <c r="AK284" i="3"/>
  <c r="AO284" i="3"/>
  <c r="F284" i="3"/>
  <c r="J284" i="3"/>
  <c r="N284" i="3"/>
  <c r="R284" i="3"/>
  <c r="V284" i="3"/>
  <c r="Z284" i="3"/>
  <c r="AH284" i="3"/>
  <c r="AL284" i="3"/>
  <c r="G284" i="3"/>
  <c r="K284" i="3"/>
  <c r="O284" i="3"/>
  <c r="S284" i="3"/>
  <c r="W284" i="3"/>
  <c r="AA284" i="3"/>
  <c r="AE284" i="3"/>
  <c r="AI284" i="3"/>
  <c r="AM284" i="3"/>
  <c r="D284" i="3"/>
  <c r="H284" i="3"/>
  <c r="L284" i="3"/>
  <c r="P284" i="3"/>
  <c r="T284" i="3"/>
  <c r="X284" i="3"/>
  <c r="AB284" i="3"/>
  <c r="AN284" i="3"/>
  <c r="E268" i="3"/>
  <c r="I268" i="3"/>
  <c r="M268" i="3"/>
  <c r="Q268" i="3"/>
  <c r="U268" i="3"/>
  <c r="Y268" i="3"/>
  <c r="AC268" i="3"/>
  <c r="AG268" i="3"/>
  <c r="AK268" i="3"/>
  <c r="AO268" i="3"/>
  <c r="F268" i="3"/>
  <c r="J268" i="3"/>
  <c r="N268" i="3"/>
  <c r="R268" i="3"/>
  <c r="V268" i="3"/>
  <c r="Z268" i="3"/>
  <c r="AH268" i="3"/>
  <c r="AL268" i="3"/>
  <c r="G268" i="3"/>
  <c r="K268" i="3"/>
  <c r="O268" i="3"/>
  <c r="S268" i="3"/>
  <c r="W268" i="3"/>
  <c r="AA268" i="3"/>
  <c r="AE268" i="3"/>
  <c r="AI268" i="3"/>
  <c r="AM268" i="3"/>
  <c r="D268" i="3"/>
  <c r="H268" i="3"/>
  <c r="L268" i="3"/>
  <c r="P268" i="3"/>
  <c r="T268" i="3"/>
  <c r="X268" i="3"/>
  <c r="AB268" i="3"/>
  <c r="AN268" i="3"/>
  <c r="E252" i="3"/>
  <c r="I252" i="3"/>
  <c r="M252" i="3"/>
  <c r="Q252" i="3"/>
  <c r="U252" i="3"/>
  <c r="Y252" i="3"/>
  <c r="AC252" i="3"/>
  <c r="AG252" i="3"/>
  <c r="AK252" i="3"/>
  <c r="AO252" i="3"/>
  <c r="F252" i="3"/>
  <c r="J252" i="3"/>
  <c r="N252" i="3"/>
  <c r="R252" i="3"/>
  <c r="V252" i="3"/>
  <c r="Z252" i="3"/>
  <c r="AH252" i="3"/>
  <c r="AL252" i="3"/>
  <c r="G252" i="3"/>
  <c r="K252" i="3"/>
  <c r="O252" i="3"/>
  <c r="S252" i="3"/>
  <c r="W252" i="3"/>
  <c r="AA252" i="3"/>
  <c r="AE252" i="3"/>
  <c r="AI252" i="3"/>
  <c r="AM252" i="3"/>
  <c r="D252" i="3"/>
  <c r="H252" i="3"/>
  <c r="L252" i="3"/>
  <c r="P252" i="3"/>
  <c r="T252" i="3"/>
  <c r="X252" i="3"/>
  <c r="AB252" i="3"/>
  <c r="AN252" i="3"/>
  <c r="G307" i="3"/>
  <c r="K307" i="3"/>
  <c r="O307" i="3"/>
  <c r="S307" i="3"/>
  <c r="W307" i="3"/>
  <c r="AA307" i="3"/>
  <c r="AE307" i="3"/>
  <c r="AI307" i="3"/>
  <c r="AM307" i="3"/>
  <c r="E307" i="3"/>
  <c r="I307" i="3"/>
  <c r="M307" i="3"/>
  <c r="Q307" i="3"/>
  <c r="U307" i="3"/>
  <c r="Y307" i="3"/>
  <c r="AC307" i="3"/>
  <c r="AG307" i="3"/>
  <c r="AK307" i="3"/>
  <c r="AO307" i="3"/>
  <c r="H307" i="3"/>
  <c r="P307" i="3"/>
  <c r="X307" i="3"/>
  <c r="AN307" i="3"/>
  <c r="J307" i="3"/>
  <c r="R307" i="3"/>
  <c r="Z307" i="3"/>
  <c r="AH307" i="3"/>
  <c r="D307" i="3"/>
  <c r="L307" i="3"/>
  <c r="T307" i="3"/>
  <c r="AB307" i="3"/>
  <c r="F307" i="3"/>
  <c r="N307" i="3"/>
  <c r="V307" i="3"/>
  <c r="AL307" i="3"/>
  <c r="F291" i="3"/>
  <c r="J291" i="3"/>
  <c r="N291" i="3"/>
  <c r="R291" i="3"/>
  <c r="V291" i="3"/>
  <c r="Z291" i="3"/>
  <c r="AH291" i="3"/>
  <c r="AL291" i="3"/>
  <c r="G291" i="3"/>
  <c r="K291" i="3"/>
  <c r="O291" i="3"/>
  <c r="S291" i="3"/>
  <c r="W291" i="3"/>
  <c r="AA291" i="3"/>
  <c r="AE291" i="3"/>
  <c r="AI291" i="3"/>
  <c r="AM291" i="3"/>
  <c r="D291" i="3"/>
  <c r="H291" i="3"/>
  <c r="L291" i="3"/>
  <c r="P291" i="3"/>
  <c r="T291" i="3"/>
  <c r="X291" i="3"/>
  <c r="AB291" i="3"/>
  <c r="AN291" i="3"/>
  <c r="E291" i="3"/>
  <c r="I291" i="3"/>
  <c r="M291" i="3"/>
  <c r="Q291" i="3"/>
  <c r="U291" i="3"/>
  <c r="Y291" i="3"/>
  <c r="AC291" i="3"/>
  <c r="AG291" i="3"/>
  <c r="AK291" i="3"/>
  <c r="AO291" i="3"/>
  <c r="F275" i="3"/>
  <c r="J275" i="3"/>
  <c r="N275" i="3"/>
  <c r="R275" i="3"/>
  <c r="V275" i="3"/>
  <c r="Z275" i="3"/>
  <c r="AH275" i="3"/>
  <c r="AL275" i="3"/>
  <c r="G275" i="3"/>
  <c r="K275" i="3"/>
  <c r="O275" i="3"/>
  <c r="S275" i="3"/>
  <c r="W275" i="3"/>
  <c r="AA275" i="3"/>
  <c r="AE275" i="3"/>
  <c r="AI275" i="3"/>
  <c r="AM275" i="3"/>
  <c r="D275" i="3"/>
  <c r="H275" i="3"/>
  <c r="L275" i="3"/>
  <c r="P275" i="3"/>
  <c r="T275" i="3"/>
  <c r="X275" i="3"/>
  <c r="AB275" i="3"/>
  <c r="AN275" i="3"/>
  <c r="E275" i="3"/>
  <c r="I275" i="3"/>
  <c r="M275" i="3"/>
  <c r="Q275" i="3"/>
  <c r="U275" i="3"/>
  <c r="Y275" i="3"/>
  <c r="AC275" i="3"/>
  <c r="AG275" i="3"/>
  <c r="AK275" i="3"/>
  <c r="AO275" i="3"/>
  <c r="F259" i="3"/>
  <c r="J259" i="3"/>
  <c r="N259" i="3"/>
  <c r="R259" i="3"/>
  <c r="V259" i="3"/>
  <c r="Z259" i="3"/>
  <c r="AH259" i="3"/>
  <c r="AL259" i="3"/>
  <c r="G259" i="3"/>
  <c r="K259" i="3"/>
  <c r="O259" i="3"/>
  <c r="S259" i="3"/>
  <c r="W259" i="3"/>
  <c r="AA259" i="3"/>
  <c r="AE259" i="3"/>
  <c r="AI259" i="3"/>
  <c r="AM259" i="3"/>
  <c r="D259" i="3"/>
  <c r="H259" i="3"/>
  <c r="L259" i="3"/>
  <c r="P259" i="3"/>
  <c r="T259" i="3"/>
  <c r="X259" i="3"/>
  <c r="AB259" i="3"/>
  <c r="AN259" i="3"/>
  <c r="E259" i="3"/>
  <c r="I259" i="3"/>
  <c r="M259" i="3"/>
  <c r="Q259" i="3"/>
  <c r="U259" i="3"/>
  <c r="Y259" i="3"/>
  <c r="AC259" i="3"/>
  <c r="AG259" i="3"/>
  <c r="AK259" i="3"/>
  <c r="AO259" i="3"/>
  <c r="F243" i="3"/>
  <c r="J243" i="3"/>
  <c r="N243" i="3"/>
  <c r="R243" i="3"/>
  <c r="V243" i="3"/>
  <c r="Z243" i="3"/>
  <c r="AH243" i="3"/>
  <c r="AL243" i="3"/>
  <c r="G243" i="3"/>
  <c r="K243" i="3"/>
  <c r="O243" i="3"/>
  <c r="S243" i="3"/>
  <c r="W243" i="3"/>
  <c r="AA243" i="3"/>
  <c r="AE243" i="3"/>
  <c r="AI243" i="3"/>
  <c r="AM243" i="3"/>
  <c r="D243" i="3"/>
  <c r="H243" i="3"/>
  <c r="L243" i="3"/>
  <c r="P243" i="3"/>
  <c r="T243" i="3"/>
  <c r="X243" i="3"/>
  <c r="AB243" i="3"/>
  <c r="AN243" i="3"/>
  <c r="E243" i="3"/>
  <c r="I243" i="3"/>
  <c r="M243" i="3"/>
  <c r="Q243" i="3"/>
  <c r="U243" i="3"/>
  <c r="Y243" i="3"/>
  <c r="AC243" i="3"/>
  <c r="AG243" i="3"/>
  <c r="AK243" i="3"/>
  <c r="AO243" i="3"/>
  <c r="G230" i="3"/>
  <c r="K230" i="3"/>
  <c r="O230" i="3"/>
  <c r="S230" i="3"/>
  <c r="W230" i="3"/>
  <c r="AA230" i="3"/>
  <c r="AE230" i="3"/>
  <c r="AI230" i="3"/>
  <c r="AM230" i="3"/>
  <c r="D230" i="3"/>
  <c r="H230" i="3"/>
  <c r="L230" i="3"/>
  <c r="P230" i="3"/>
  <c r="T230" i="3"/>
  <c r="X230" i="3"/>
  <c r="AB230" i="3"/>
  <c r="AN230" i="3"/>
  <c r="E230" i="3"/>
  <c r="I230" i="3"/>
  <c r="M230" i="3"/>
  <c r="Q230" i="3"/>
  <c r="U230" i="3"/>
  <c r="Y230" i="3"/>
  <c r="AC230" i="3"/>
  <c r="AG230" i="3"/>
  <c r="AK230" i="3"/>
  <c r="AO230" i="3"/>
  <c r="F230" i="3"/>
  <c r="J230" i="3"/>
  <c r="N230" i="3"/>
  <c r="R230" i="3"/>
  <c r="V230" i="3"/>
  <c r="Z230" i="3"/>
  <c r="AH230" i="3"/>
  <c r="AL230" i="3"/>
  <c r="G214" i="3"/>
  <c r="K214" i="3"/>
  <c r="O214" i="3"/>
  <c r="S214" i="3"/>
  <c r="W214" i="3"/>
  <c r="AA214" i="3"/>
  <c r="AE214" i="3"/>
  <c r="AI214" i="3"/>
  <c r="AM214" i="3"/>
  <c r="D214" i="3"/>
  <c r="H214" i="3"/>
  <c r="L214" i="3"/>
  <c r="P214" i="3"/>
  <c r="T214" i="3"/>
  <c r="X214" i="3"/>
  <c r="AB214" i="3"/>
  <c r="AN214" i="3"/>
  <c r="E214" i="3"/>
  <c r="I214" i="3"/>
  <c r="M214" i="3"/>
  <c r="Q214" i="3"/>
  <c r="U214" i="3"/>
  <c r="Y214" i="3"/>
  <c r="AC214" i="3"/>
  <c r="AG214" i="3"/>
  <c r="AK214" i="3"/>
  <c r="AO214" i="3"/>
  <c r="F214" i="3"/>
  <c r="J214" i="3"/>
  <c r="N214" i="3"/>
  <c r="R214" i="3"/>
  <c r="V214" i="3"/>
  <c r="Z214" i="3"/>
  <c r="AH214" i="3"/>
  <c r="AL214" i="3"/>
  <c r="D237" i="3"/>
  <c r="H237" i="3"/>
  <c r="L237" i="3"/>
  <c r="P237" i="3"/>
  <c r="T237" i="3"/>
  <c r="X237" i="3"/>
  <c r="AB237" i="3"/>
  <c r="AN237" i="3"/>
  <c r="E237" i="3"/>
  <c r="I237" i="3"/>
  <c r="M237" i="3"/>
  <c r="Q237" i="3"/>
  <c r="U237" i="3"/>
  <c r="Y237" i="3"/>
  <c r="AC237" i="3"/>
  <c r="AG237" i="3"/>
  <c r="AK237" i="3"/>
  <c r="AO237" i="3"/>
  <c r="F237" i="3"/>
  <c r="J237" i="3"/>
  <c r="N237" i="3"/>
  <c r="R237" i="3"/>
  <c r="V237" i="3"/>
  <c r="Z237" i="3"/>
  <c r="AH237" i="3"/>
  <c r="AL237" i="3"/>
  <c r="G237" i="3"/>
  <c r="K237" i="3"/>
  <c r="O237" i="3"/>
  <c r="S237" i="3"/>
  <c r="W237" i="3"/>
  <c r="AA237" i="3"/>
  <c r="AE237" i="3"/>
  <c r="AI237" i="3"/>
  <c r="AM237" i="3"/>
  <c r="D221" i="3"/>
  <c r="H221" i="3"/>
  <c r="L221" i="3"/>
  <c r="P221" i="3"/>
  <c r="T221" i="3"/>
  <c r="X221" i="3"/>
  <c r="AB221" i="3"/>
  <c r="AN221" i="3"/>
  <c r="E221" i="3"/>
  <c r="I221" i="3"/>
  <c r="M221" i="3"/>
  <c r="Q221" i="3"/>
  <c r="U221" i="3"/>
  <c r="Y221" i="3"/>
  <c r="AC221" i="3"/>
  <c r="AG221" i="3"/>
  <c r="AK221" i="3"/>
  <c r="AO221" i="3"/>
  <c r="F221" i="3"/>
  <c r="J221" i="3"/>
  <c r="N221" i="3"/>
  <c r="R221" i="3"/>
  <c r="V221" i="3"/>
  <c r="Z221" i="3"/>
  <c r="AH221" i="3"/>
  <c r="AL221" i="3"/>
  <c r="G221" i="3"/>
  <c r="K221" i="3"/>
  <c r="O221" i="3"/>
  <c r="S221" i="3"/>
  <c r="W221" i="3"/>
  <c r="AA221" i="3"/>
  <c r="AE221" i="3"/>
  <c r="AI221" i="3"/>
  <c r="AM221" i="3"/>
  <c r="E205" i="3"/>
  <c r="I205" i="3"/>
  <c r="M205" i="3"/>
  <c r="Q205" i="3"/>
  <c r="U205" i="3"/>
  <c r="Y205" i="3"/>
  <c r="AC205" i="3"/>
  <c r="AG205" i="3"/>
  <c r="G205" i="3"/>
  <c r="K205" i="3"/>
  <c r="O205" i="3"/>
  <c r="S205" i="3"/>
  <c r="W205" i="3"/>
  <c r="AA205" i="3"/>
  <c r="AE205" i="3"/>
  <c r="AI205" i="3"/>
  <c r="D205" i="3"/>
  <c r="L205" i="3"/>
  <c r="T205" i="3"/>
  <c r="AB205" i="3"/>
  <c r="AN205" i="3"/>
  <c r="F205" i="3"/>
  <c r="N205" i="3"/>
  <c r="V205" i="3"/>
  <c r="AK205" i="3"/>
  <c r="AO205" i="3"/>
  <c r="H205" i="3"/>
  <c r="P205" i="3"/>
  <c r="X205" i="3"/>
  <c r="AL205" i="3"/>
  <c r="J205" i="3"/>
  <c r="R205" i="3"/>
  <c r="Z205" i="3"/>
  <c r="AH205" i="3"/>
  <c r="AM205" i="3"/>
  <c r="E228" i="3"/>
  <c r="I228" i="3"/>
  <c r="M228" i="3"/>
  <c r="Q228" i="3"/>
  <c r="U228" i="3"/>
  <c r="Y228" i="3"/>
  <c r="AC228" i="3"/>
  <c r="AG228" i="3"/>
  <c r="AK228" i="3"/>
  <c r="AO228" i="3"/>
  <c r="F228" i="3"/>
  <c r="J228" i="3"/>
  <c r="N228" i="3"/>
  <c r="R228" i="3"/>
  <c r="V228" i="3"/>
  <c r="Z228" i="3"/>
  <c r="AH228" i="3"/>
  <c r="AL228" i="3"/>
  <c r="G228" i="3"/>
  <c r="K228" i="3"/>
  <c r="O228" i="3"/>
  <c r="S228" i="3"/>
  <c r="W228" i="3"/>
  <c r="AA228" i="3"/>
  <c r="AE228" i="3"/>
  <c r="AI228" i="3"/>
  <c r="AM228" i="3"/>
  <c r="D228" i="3"/>
  <c r="H228" i="3"/>
  <c r="L228" i="3"/>
  <c r="P228" i="3"/>
  <c r="T228" i="3"/>
  <c r="X228" i="3"/>
  <c r="AB228" i="3"/>
  <c r="AN228" i="3"/>
  <c r="E212" i="3"/>
  <c r="I212" i="3"/>
  <c r="M212" i="3"/>
  <c r="Q212" i="3"/>
  <c r="U212" i="3"/>
  <c r="Y212" i="3"/>
  <c r="AC212" i="3"/>
  <c r="AG212" i="3"/>
  <c r="AK212" i="3"/>
  <c r="AO212" i="3"/>
  <c r="F212" i="3"/>
  <c r="J212" i="3"/>
  <c r="N212" i="3"/>
  <c r="R212" i="3"/>
  <c r="V212" i="3"/>
  <c r="Z212" i="3"/>
  <c r="AH212" i="3"/>
  <c r="AL212" i="3"/>
  <c r="G212" i="3"/>
  <c r="K212" i="3"/>
  <c r="O212" i="3"/>
  <c r="S212" i="3"/>
  <c r="W212" i="3"/>
  <c r="AA212" i="3"/>
  <c r="AE212" i="3"/>
  <c r="AI212" i="3"/>
  <c r="AM212" i="3"/>
  <c r="D212" i="3"/>
  <c r="H212" i="3"/>
  <c r="L212" i="3"/>
  <c r="P212" i="3"/>
  <c r="T212" i="3"/>
  <c r="X212" i="3"/>
  <c r="AB212" i="3"/>
  <c r="AN212" i="3"/>
  <c r="F227" i="3"/>
  <c r="J227" i="3"/>
  <c r="N227" i="3"/>
  <c r="R227" i="3"/>
  <c r="V227" i="3"/>
  <c r="Z227" i="3"/>
  <c r="AH227" i="3"/>
  <c r="AL227" i="3"/>
  <c r="G227" i="3"/>
  <c r="K227" i="3"/>
  <c r="O227" i="3"/>
  <c r="S227" i="3"/>
  <c r="W227" i="3"/>
  <c r="AA227" i="3"/>
  <c r="AE227" i="3"/>
  <c r="AI227" i="3"/>
  <c r="AM227" i="3"/>
  <c r="D227" i="3"/>
  <c r="H227" i="3"/>
  <c r="L227" i="3"/>
  <c r="P227" i="3"/>
  <c r="T227" i="3"/>
  <c r="X227" i="3"/>
  <c r="AB227" i="3"/>
  <c r="AN227" i="3"/>
  <c r="E227" i="3"/>
  <c r="I227" i="3"/>
  <c r="M227" i="3"/>
  <c r="Q227" i="3"/>
  <c r="U227" i="3"/>
  <c r="Y227" i="3"/>
  <c r="AC227" i="3"/>
  <c r="AG227" i="3"/>
  <c r="AK227" i="3"/>
  <c r="AO227" i="3"/>
  <c r="F211" i="3"/>
  <c r="J211" i="3"/>
  <c r="N211" i="3"/>
  <c r="R211" i="3"/>
  <c r="V211" i="3"/>
  <c r="Z211" i="3"/>
  <c r="AH211" i="3"/>
  <c r="AL211" i="3"/>
  <c r="G211" i="3"/>
  <c r="K211" i="3"/>
  <c r="O211" i="3"/>
  <c r="S211" i="3"/>
  <c r="W211" i="3"/>
  <c r="AA211" i="3"/>
  <c r="AE211" i="3"/>
  <c r="AI211" i="3"/>
  <c r="AM211" i="3"/>
  <c r="D211" i="3"/>
  <c r="H211" i="3"/>
  <c r="L211" i="3"/>
  <c r="P211" i="3"/>
  <c r="T211" i="3"/>
  <c r="X211" i="3"/>
  <c r="AB211" i="3"/>
  <c r="AN211" i="3"/>
  <c r="E211" i="3"/>
  <c r="I211" i="3"/>
  <c r="M211" i="3"/>
  <c r="Q211" i="3"/>
  <c r="U211" i="3"/>
  <c r="Y211" i="3"/>
  <c r="AC211" i="3"/>
  <c r="AG211" i="3"/>
  <c r="AK211" i="3"/>
  <c r="AO211" i="3"/>
  <c r="G194" i="3"/>
  <c r="K194" i="3"/>
  <c r="O194" i="3"/>
  <c r="S194" i="3"/>
  <c r="W194" i="3"/>
  <c r="AA194" i="3"/>
  <c r="AE194" i="3"/>
  <c r="AI194" i="3"/>
  <c r="AM194" i="3"/>
  <c r="D194" i="3"/>
  <c r="H194" i="3"/>
  <c r="L194" i="3"/>
  <c r="P194" i="3"/>
  <c r="T194" i="3"/>
  <c r="X194" i="3"/>
  <c r="AB194" i="3"/>
  <c r="AN194" i="3"/>
  <c r="E194" i="3"/>
  <c r="I194" i="3"/>
  <c r="M194" i="3"/>
  <c r="Q194" i="3"/>
  <c r="U194" i="3"/>
  <c r="Y194" i="3"/>
  <c r="AC194" i="3"/>
  <c r="AG194" i="3"/>
  <c r="AK194" i="3"/>
  <c r="AO194" i="3"/>
  <c r="F194" i="3"/>
  <c r="J194" i="3"/>
  <c r="N194" i="3"/>
  <c r="R194" i="3"/>
  <c r="V194" i="3"/>
  <c r="Z194" i="3"/>
  <c r="AH194" i="3"/>
  <c r="AL194" i="3"/>
  <c r="G178" i="3"/>
  <c r="K178" i="3"/>
  <c r="O178" i="3"/>
  <c r="S178" i="3"/>
  <c r="W178" i="3"/>
  <c r="AA178" i="3"/>
  <c r="AE178" i="3"/>
  <c r="AI178" i="3"/>
  <c r="AM178" i="3"/>
  <c r="D178" i="3"/>
  <c r="H178" i="3"/>
  <c r="L178" i="3"/>
  <c r="P178" i="3"/>
  <c r="T178" i="3"/>
  <c r="X178" i="3"/>
  <c r="AB178" i="3"/>
  <c r="AN178" i="3"/>
  <c r="E178" i="3"/>
  <c r="I178" i="3"/>
  <c r="M178" i="3"/>
  <c r="Q178" i="3"/>
  <c r="U178" i="3"/>
  <c r="Y178" i="3"/>
  <c r="AC178" i="3"/>
  <c r="AG178" i="3"/>
  <c r="AK178" i="3"/>
  <c r="AO178" i="3"/>
  <c r="F178" i="3"/>
  <c r="J178" i="3"/>
  <c r="N178" i="3"/>
  <c r="R178" i="3"/>
  <c r="V178" i="3"/>
  <c r="Z178" i="3"/>
  <c r="AH178" i="3"/>
  <c r="AL178" i="3"/>
  <c r="D197" i="3"/>
  <c r="H197" i="3"/>
  <c r="L197" i="3"/>
  <c r="P197" i="3"/>
  <c r="T197" i="3"/>
  <c r="X197" i="3"/>
  <c r="AB197" i="3"/>
  <c r="AN197" i="3"/>
  <c r="E197" i="3"/>
  <c r="I197" i="3"/>
  <c r="M197" i="3"/>
  <c r="Q197" i="3"/>
  <c r="U197" i="3"/>
  <c r="Y197" i="3"/>
  <c r="AC197" i="3"/>
  <c r="AG197" i="3"/>
  <c r="AK197" i="3"/>
  <c r="AO197" i="3"/>
  <c r="F197" i="3"/>
  <c r="J197" i="3"/>
  <c r="N197" i="3"/>
  <c r="R197" i="3"/>
  <c r="V197" i="3"/>
  <c r="Z197" i="3"/>
  <c r="AH197" i="3"/>
  <c r="AL197" i="3"/>
  <c r="G197" i="3"/>
  <c r="K197" i="3"/>
  <c r="O197" i="3"/>
  <c r="S197" i="3"/>
  <c r="W197" i="3"/>
  <c r="AA197" i="3"/>
  <c r="AE197" i="3"/>
  <c r="AI197" i="3"/>
  <c r="AM197" i="3"/>
  <c r="D181" i="3"/>
  <c r="H181" i="3"/>
  <c r="L181" i="3"/>
  <c r="P181" i="3"/>
  <c r="T181" i="3"/>
  <c r="X181" i="3"/>
  <c r="AB181" i="3"/>
  <c r="AN181" i="3"/>
  <c r="E181" i="3"/>
  <c r="I181" i="3"/>
  <c r="M181" i="3"/>
  <c r="Q181" i="3"/>
  <c r="U181" i="3"/>
  <c r="Y181" i="3"/>
  <c r="AC181" i="3"/>
  <c r="AG181" i="3"/>
  <c r="AK181" i="3"/>
  <c r="AO181" i="3"/>
  <c r="F181" i="3"/>
  <c r="J181" i="3"/>
  <c r="N181" i="3"/>
  <c r="R181" i="3"/>
  <c r="V181" i="3"/>
  <c r="Z181" i="3"/>
  <c r="AH181" i="3"/>
  <c r="AL181" i="3"/>
  <c r="G181" i="3"/>
  <c r="K181" i="3"/>
  <c r="O181" i="3"/>
  <c r="S181" i="3"/>
  <c r="W181" i="3"/>
  <c r="AA181" i="3"/>
  <c r="AE181" i="3"/>
  <c r="AI181" i="3"/>
  <c r="AM181" i="3"/>
  <c r="F204" i="3"/>
  <c r="J204" i="3"/>
  <c r="N204" i="3"/>
  <c r="R204" i="3"/>
  <c r="V204" i="3"/>
  <c r="Z204" i="3"/>
  <c r="AH204" i="3"/>
  <c r="AL204" i="3"/>
  <c r="D204" i="3"/>
  <c r="H204" i="3"/>
  <c r="L204" i="3"/>
  <c r="P204" i="3"/>
  <c r="T204" i="3"/>
  <c r="X204" i="3"/>
  <c r="AB204" i="3"/>
  <c r="AN204" i="3"/>
  <c r="I204" i="3"/>
  <c r="Q204" i="3"/>
  <c r="Y204" i="3"/>
  <c r="AG204" i="3"/>
  <c r="AO204" i="3"/>
  <c r="K204" i="3"/>
  <c r="S204" i="3"/>
  <c r="AA204" i="3"/>
  <c r="AI204" i="3"/>
  <c r="E204" i="3"/>
  <c r="M204" i="3"/>
  <c r="U204" i="3"/>
  <c r="AC204" i="3"/>
  <c r="AK204" i="3"/>
  <c r="G204" i="3"/>
  <c r="O204" i="3"/>
  <c r="W204" i="3"/>
  <c r="AE204" i="3"/>
  <c r="AM204" i="3"/>
  <c r="E188" i="3"/>
  <c r="I188" i="3"/>
  <c r="M188" i="3"/>
  <c r="Q188" i="3"/>
  <c r="U188" i="3"/>
  <c r="Y188" i="3"/>
  <c r="AC188" i="3"/>
  <c r="AG188" i="3"/>
  <c r="AK188" i="3"/>
  <c r="AO188" i="3"/>
  <c r="F188" i="3"/>
  <c r="J188" i="3"/>
  <c r="N188" i="3"/>
  <c r="R188" i="3"/>
  <c r="V188" i="3"/>
  <c r="Z188" i="3"/>
  <c r="AH188" i="3"/>
  <c r="AL188" i="3"/>
  <c r="G188" i="3"/>
  <c r="K188" i="3"/>
  <c r="O188" i="3"/>
  <c r="S188" i="3"/>
  <c r="W188" i="3"/>
  <c r="AA188" i="3"/>
  <c r="AE188" i="3"/>
  <c r="AI188" i="3"/>
  <c r="AM188" i="3"/>
  <c r="D188" i="3"/>
  <c r="H188" i="3"/>
  <c r="L188" i="3"/>
  <c r="P188" i="3"/>
  <c r="T188" i="3"/>
  <c r="X188" i="3"/>
  <c r="AB188" i="3"/>
  <c r="AN188" i="3"/>
  <c r="E172" i="3"/>
  <c r="I172" i="3"/>
  <c r="M172" i="3"/>
  <c r="Q172" i="3"/>
  <c r="U172" i="3"/>
  <c r="Y172" i="3"/>
  <c r="AC172" i="3"/>
  <c r="AG172" i="3"/>
  <c r="AK172" i="3"/>
  <c r="AO172" i="3"/>
  <c r="F172" i="3"/>
  <c r="J172" i="3"/>
  <c r="N172" i="3"/>
  <c r="R172" i="3"/>
  <c r="V172" i="3"/>
  <c r="Z172" i="3"/>
  <c r="AH172" i="3"/>
  <c r="AL172" i="3"/>
  <c r="G172" i="3"/>
  <c r="K172" i="3"/>
  <c r="O172" i="3"/>
  <c r="S172" i="3"/>
  <c r="W172" i="3"/>
  <c r="AA172" i="3"/>
  <c r="AE172" i="3"/>
  <c r="AI172" i="3"/>
  <c r="AM172" i="3"/>
  <c r="D172" i="3"/>
  <c r="H172" i="3"/>
  <c r="L172" i="3"/>
  <c r="P172" i="3"/>
  <c r="T172" i="3"/>
  <c r="X172" i="3"/>
  <c r="AB172" i="3"/>
  <c r="AN172" i="3"/>
  <c r="F191" i="3"/>
  <c r="J191" i="3"/>
  <c r="N191" i="3"/>
  <c r="R191" i="3"/>
  <c r="V191" i="3"/>
  <c r="Z191" i="3"/>
  <c r="AH191" i="3"/>
  <c r="AL191" i="3"/>
  <c r="G191" i="3"/>
  <c r="K191" i="3"/>
  <c r="O191" i="3"/>
  <c r="S191" i="3"/>
  <c r="W191" i="3"/>
  <c r="AA191" i="3"/>
  <c r="AE191" i="3"/>
  <c r="AI191" i="3"/>
  <c r="AM191" i="3"/>
  <c r="D191" i="3"/>
  <c r="H191" i="3"/>
  <c r="L191" i="3"/>
  <c r="P191" i="3"/>
  <c r="T191" i="3"/>
  <c r="X191" i="3"/>
  <c r="AB191" i="3"/>
  <c r="AN191" i="3"/>
  <c r="E191" i="3"/>
  <c r="I191" i="3"/>
  <c r="M191" i="3"/>
  <c r="Q191" i="3"/>
  <c r="U191" i="3"/>
  <c r="Y191" i="3"/>
  <c r="AC191" i="3"/>
  <c r="AG191" i="3"/>
  <c r="AK191" i="3"/>
  <c r="AO191" i="3"/>
  <c r="F175" i="3"/>
  <c r="J175" i="3"/>
  <c r="N175" i="3"/>
  <c r="R175" i="3"/>
  <c r="V175" i="3"/>
  <c r="Z175" i="3"/>
  <c r="AH175" i="3"/>
  <c r="AL175" i="3"/>
  <c r="G175" i="3"/>
  <c r="K175" i="3"/>
  <c r="O175" i="3"/>
  <c r="S175" i="3"/>
  <c r="W175" i="3"/>
  <c r="AA175" i="3"/>
  <c r="AE175" i="3"/>
  <c r="AI175" i="3"/>
  <c r="AM175" i="3"/>
  <c r="D175" i="3"/>
  <c r="H175" i="3"/>
  <c r="L175" i="3"/>
  <c r="P175" i="3"/>
  <c r="T175" i="3"/>
  <c r="X175" i="3"/>
  <c r="AB175" i="3"/>
  <c r="AN175" i="3"/>
  <c r="E175" i="3"/>
  <c r="I175" i="3"/>
  <c r="M175" i="3"/>
  <c r="Q175" i="3"/>
  <c r="U175" i="3"/>
  <c r="Y175" i="3"/>
  <c r="AC175" i="3"/>
  <c r="AG175" i="3"/>
  <c r="AK175" i="3"/>
  <c r="AO175" i="3"/>
  <c r="G161" i="3"/>
  <c r="K161" i="3"/>
  <c r="O161" i="3"/>
  <c r="S161" i="3"/>
  <c r="W161" i="3"/>
  <c r="AA161" i="3"/>
  <c r="AE161" i="3"/>
  <c r="AI161" i="3"/>
  <c r="AM161" i="3"/>
  <c r="D161" i="3"/>
  <c r="H161" i="3"/>
  <c r="L161" i="3"/>
  <c r="P161" i="3"/>
  <c r="T161" i="3"/>
  <c r="X161" i="3"/>
  <c r="AB161" i="3"/>
  <c r="AN161" i="3"/>
  <c r="E161" i="3"/>
  <c r="I161" i="3"/>
  <c r="M161" i="3"/>
  <c r="Q161" i="3"/>
  <c r="U161" i="3"/>
  <c r="Y161" i="3"/>
  <c r="AC161" i="3"/>
  <c r="AG161" i="3"/>
  <c r="AK161" i="3"/>
  <c r="AO161" i="3"/>
  <c r="F161" i="3"/>
  <c r="J161" i="3"/>
  <c r="N161" i="3"/>
  <c r="R161" i="3"/>
  <c r="V161" i="3"/>
  <c r="Z161" i="3"/>
  <c r="AH161" i="3"/>
  <c r="AL161" i="3"/>
  <c r="G145" i="3"/>
  <c r="K145" i="3"/>
  <c r="O145" i="3"/>
  <c r="S145" i="3"/>
  <c r="W145" i="3"/>
  <c r="AA145" i="3"/>
  <c r="AE145" i="3"/>
  <c r="AI145" i="3"/>
  <c r="AM145" i="3"/>
  <c r="D145" i="3"/>
  <c r="H145" i="3"/>
  <c r="L145" i="3"/>
  <c r="P145" i="3"/>
  <c r="T145" i="3"/>
  <c r="X145" i="3"/>
  <c r="AB145" i="3"/>
  <c r="AN145" i="3"/>
  <c r="E145" i="3"/>
  <c r="I145" i="3"/>
  <c r="M145" i="3"/>
  <c r="Q145" i="3"/>
  <c r="U145" i="3"/>
  <c r="Y145" i="3"/>
  <c r="AC145" i="3"/>
  <c r="AG145" i="3"/>
  <c r="AK145" i="3"/>
  <c r="AO145" i="3"/>
  <c r="F145" i="3"/>
  <c r="J145" i="3"/>
  <c r="N145" i="3"/>
  <c r="R145" i="3"/>
  <c r="V145" i="3"/>
  <c r="Z145" i="3"/>
  <c r="AH145" i="3"/>
  <c r="AL145" i="3"/>
  <c r="D156" i="3"/>
  <c r="H156" i="3"/>
  <c r="L156" i="3"/>
  <c r="P156" i="3"/>
  <c r="T156" i="3"/>
  <c r="X156" i="3"/>
  <c r="AB156" i="3"/>
  <c r="AN156" i="3"/>
  <c r="E156" i="3"/>
  <c r="I156" i="3"/>
  <c r="M156" i="3"/>
  <c r="Q156" i="3"/>
  <c r="U156" i="3"/>
  <c r="Y156" i="3"/>
  <c r="AC156" i="3"/>
  <c r="AG156" i="3"/>
  <c r="AK156" i="3"/>
  <c r="AO156" i="3"/>
  <c r="F156" i="3"/>
  <c r="J156" i="3"/>
  <c r="N156" i="3"/>
  <c r="R156" i="3"/>
  <c r="V156" i="3"/>
  <c r="Z156" i="3"/>
  <c r="AH156" i="3"/>
  <c r="AL156" i="3"/>
  <c r="G156" i="3"/>
  <c r="K156" i="3"/>
  <c r="O156" i="3"/>
  <c r="S156" i="3"/>
  <c r="W156" i="3"/>
  <c r="AA156" i="3"/>
  <c r="AE156" i="3"/>
  <c r="AI156" i="3"/>
  <c r="AM156" i="3"/>
  <c r="G136" i="3"/>
  <c r="K136" i="3"/>
  <c r="O136" i="3"/>
  <c r="S136" i="3"/>
  <c r="W136" i="3"/>
  <c r="AA136" i="3"/>
  <c r="AE136" i="3"/>
  <c r="AI136" i="3"/>
  <c r="AM136" i="3"/>
  <c r="E136" i="3"/>
  <c r="I136" i="3"/>
  <c r="M136" i="3"/>
  <c r="Q136" i="3"/>
  <c r="U136" i="3"/>
  <c r="Y136" i="3"/>
  <c r="AC136" i="3"/>
  <c r="AG136" i="3"/>
  <c r="AK136" i="3"/>
  <c r="AO136" i="3"/>
  <c r="D136" i="3"/>
  <c r="L136" i="3"/>
  <c r="T136" i="3"/>
  <c r="AB136" i="3"/>
  <c r="F136" i="3"/>
  <c r="N136" i="3"/>
  <c r="V136" i="3"/>
  <c r="AL136" i="3"/>
  <c r="H136" i="3"/>
  <c r="P136" i="3"/>
  <c r="X136" i="3"/>
  <c r="AN136" i="3"/>
  <c r="J136" i="3"/>
  <c r="R136" i="3"/>
  <c r="Z136" i="3"/>
  <c r="AH136" i="3"/>
  <c r="F163" i="3"/>
  <c r="J163" i="3"/>
  <c r="N163" i="3"/>
  <c r="R163" i="3"/>
  <c r="V163" i="3"/>
  <c r="Z163" i="3"/>
  <c r="AH163" i="3"/>
  <c r="AL163" i="3"/>
  <c r="D163" i="3"/>
  <c r="H163" i="3"/>
  <c r="L163" i="3"/>
  <c r="P163" i="3"/>
  <c r="T163" i="3"/>
  <c r="X163" i="3"/>
  <c r="AB163" i="3"/>
  <c r="AN163" i="3"/>
  <c r="G163" i="3"/>
  <c r="O163" i="3"/>
  <c r="W163" i="3"/>
  <c r="AE163" i="3"/>
  <c r="AM163" i="3"/>
  <c r="I163" i="3"/>
  <c r="Q163" i="3"/>
  <c r="Y163" i="3"/>
  <c r="AG163" i="3"/>
  <c r="AO163" i="3"/>
  <c r="K163" i="3"/>
  <c r="S163" i="3"/>
  <c r="AA163" i="3"/>
  <c r="AI163" i="3"/>
  <c r="E163" i="3"/>
  <c r="M163" i="3"/>
  <c r="U163" i="3"/>
  <c r="AC163" i="3"/>
  <c r="AK163" i="3"/>
  <c r="E147" i="3"/>
  <c r="I147" i="3"/>
  <c r="M147" i="3"/>
  <c r="Q147" i="3"/>
  <c r="U147" i="3"/>
  <c r="Y147" i="3"/>
  <c r="AC147" i="3"/>
  <c r="AG147" i="3"/>
  <c r="AK147" i="3"/>
  <c r="AO147" i="3"/>
  <c r="F147" i="3"/>
  <c r="J147" i="3"/>
  <c r="N147" i="3"/>
  <c r="R147" i="3"/>
  <c r="V147" i="3"/>
  <c r="Z147" i="3"/>
  <c r="AH147" i="3"/>
  <c r="AL147" i="3"/>
  <c r="G147" i="3"/>
  <c r="K147" i="3"/>
  <c r="O147" i="3"/>
  <c r="S147" i="3"/>
  <c r="W147" i="3"/>
  <c r="AA147" i="3"/>
  <c r="AE147" i="3"/>
  <c r="AI147" i="3"/>
  <c r="AM147" i="3"/>
  <c r="D147" i="3"/>
  <c r="H147" i="3"/>
  <c r="L147" i="3"/>
  <c r="P147" i="3"/>
  <c r="T147" i="3"/>
  <c r="X147" i="3"/>
  <c r="AB147" i="3"/>
  <c r="AN147" i="3"/>
  <c r="F158" i="3"/>
  <c r="J158" i="3"/>
  <c r="N158" i="3"/>
  <c r="R158" i="3"/>
  <c r="V158" i="3"/>
  <c r="Z158" i="3"/>
  <c r="AH158" i="3"/>
  <c r="AL158" i="3"/>
  <c r="G158" i="3"/>
  <c r="K158" i="3"/>
  <c r="O158" i="3"/>
  <c r="S158" i="3"/>
  <c r="W158" i="3"/>
  <c r="AA158" i="3"/>
  <c r="AE158" i="3"/>
  <c r="AI158" i="3"/>
  <c r="AM158" i="3"/>
  <c r="D158" i="3"/>
  <c r="H158" i="3"/>
  <c r="L158" i="3"/>
  <c r="P158" i="3"/>
  <c r="T158" i="3"/>
  <c r="X158" i="3"/>
  <c r="AB158" i="3"/>
  <c r="AN158" i="3"/>
  <c r="E158" i="3"/>
  <c r="I158" i="3"/>
  <c r="M158" i="3"/>
  <c r="Q158" i="3"/>
  <c r="U158" i="3"/>
  <c r="Y158" i="3"/>
  <c r="AC158" i="3"/>
  <c r="AG158" i="3"/>
  <c r="AK158" i="3"/>
  <c r="AO158" i="3"/>
  <c r="F142" i="3"/>
  <c r="J142" i="3"/>
  <c r="N142" i="3"/>
  <c r="R142" i="3"/>
  <c r="V142" i="3"/>
  <c r="Z142" i="3"/>
  <c r="AH142" i="3"/>
  <c r="AL142" i="3"/>
  <c r="G142" i="3"/>
  <c r="K142" i="3"/>
  <c r="O142" i="3"/>
  <c r="S142" i="3"/>
  <c r="W142" i="3"/>
  <c r="AA142" i="3"/>
  <c r="AE142" i="3"/>
  <c r="AI142" i="3"/>
  <c r="AM142" i="3"/>
  <c r="D142" i="3"/>
  <c r="H142" i="3"/>
  <c r="L142" i="3"/>
  <c r="P142" i="3"/>
  <c r="T142" i="3"/>
  <c r="X142" i="3"/>
  <c r="AB142" i="3"/>
  <c r="AN142" i="3"/>
  <c r="E142" i="3"/>
  <c r="I142" i="3"/>
  <c r="M142" i="3"/>
  <c r="Q142" i="3"/>
  <c r="U142" i="3"/>
  <c r="Y142" i="3"/>
  <c r="AC142" i="3"/>
  <c r="AG142" i="3"/>
  <c r="AK142" i="3"/>
  <c r="AO142" i="3"/>
  <c r="D131" i="3"/>
  <c r="H131" i="3"/>
  <c r="L131" i="3"/>
  <c r="P131" i="3"/>
  <c r="T131" i="3"/>
  <c r="X131" i="3"/>
  <c r="AB131" i="3"/>
  <c r="AN131" i="3"/>
  <c r="E131" i="3"/>
  <c r="I131" i="3"/>
  <c r="M131" i="3"/>
  <c r="Q131" i="3"/>
  <c r="U131" i="3"/>
  <c r="Y131" i="3"/>
  <c r="AC131" i="3"/>
  <c r="AG131" i="3"/>
  <c r="AK131" i="3"/>
  <c r="AO131" i="3"/>
  <c r="F131" i="3"/>
  <c r="J131" i="3"/>
  <c r="N131" i="3"/>
  <c r="R131" i="3"/>
  <c r="V131" i="3"/>
  <c r="Z131" i="3"/>
  <c r="AH131" i="3"/>
  <c r="AL131" i="3"/>
  <c r="G131" i="3"/>
  <c r="W131" i="3"/>
  <c r="AM131" i="3"/>
  <c r="K131" i="3"/>
  <c r="AA131" i="3"/>
  <c r="O131" i="3"/>
  <c r="AE131" i="3"/>
  <c r="S131" i="3"/>
  <c r="AI131" i="3"/>
  <c r="G115" i="3"/>
  <c r="K115" i="3"/>
  <c r="O115" i="3"/>
  <c r="S115" i="3"/>
  <c r="W115" i="3"/>
  <c r="AA115" i="3"/>
  <c r="AE115" i="3"/>
  <c r="AI115" i="3"/>
  <c r="AM115" i="3"/>
  <c r="D115" i="3"/>
  <c r="H115" i="3"/>
  <c r="L115" i="3"/>
  <c r="P115" i="3"/>
  <c r="T115" i="3"/>
  <c r="X115" i="3"/>
  <c r="AB115" i="3"/>
  <c r="AN115" i="3"/>
  <c r="E115" i="3"/>
  <c r="I115" i="3"/>
  <c r="M115" i="3"/>
  <c r="Q115" i="3"/>
  <c r="U115" i="3"/>
  <c r="Y115" i="3"/>
  <c r="AC115" i="3"/>
  <c r="AG115" i="3"/>
  <c r="AK115" i="3"/>
  <c r="AO115" i="3"/>
  <c r="F115" i="3"/>
  <c r="J115" i="3"/>
  <c r="N115" i="3"/>
  <c r="R115" i="3"/>
  <c r="V115" i="3"/>
  <c r="Z115" i="3"/>
  <c r="AH115" i="3"/>
  <c r="AL115" i="3"/>
  <c r="D126" i="3"/>
  <c r="H126" i="3"/>
  <c r="L126" i="3"/>
  <c r="P126" i="3"/>
  <c r="T126" i="3"/>
  <c r="X126" i="3"/>
  <c r="AB126" i="3"/>
  <c r="AN126" i="3"/>
  <c r="E126" i="3"/>
  <c r="I126" i="3"/>
  <c r="M126" i="3"/>
  <c r="Q126" i="3"/>
  <c r="U126" i="3"/>
  <c r="Y126" i="3"/>
  <c r="AC126" i="3"/>
  <c r="AG126" i="3"/>
  <c r="AK126" i="3"/>
  <c r="AO126" i="3"/>
  <c r="F126" i="3"/>
  <c r="J126" i="3"/>
  <c r="N126" i="3"/>
  <c r="R126" i="3"/>
  <c r="V126" i="3"/>
  <c r="Z126" i="3"/>
  <c r="AH126" i="3"/>
  <c r="AL126" i="3"/>
  <c r="G126" i="3"/>
  <c r="K126" i="3"/>
  <c r="O126" i="3"/>
  <c r="S126" i="3"/>
  <c r="W126" i="3"/>
  <c r="AA126" i="3"/>
  <c r="AE126" i="3"/>
  <c r="AI126" i="3"/>
  <c r="AM126" i="3"/>
  <c r="D110" i="3"/>
  <c r="H110" i="3"/>
  <c r="L110" i="3"/>
  <c r="P110" i="3"/>
  <c r="T110" i="3"/>
  <c r="X110" i="3"/>
  <c r="AB110" i="3"/>
  <c r="AN110" i="3"/>
  <c r="E110" i="3"/>
  <c r="I110" i="3"/>
  <c r="M110" i="3"/>
  <c r="Q110" i="3"/>
  <c r="U110" i="3"/>
  <c r="Y110" i="3"/>
  <c r="AC110" i="3"/>
  <c r="AG110" i="3"/>
  <c r="AK110" i="3"/>
  <c r="AO110" i="3"/>
  <c r="F110" i="3"/>
  <c r="J110" i="3"/>
  <c r="N110" i="3"/>
  <c r="R110" i="3"/>
  <c r="V110" i="3"/>
  <c r="Z110" i="3"/>
  <c r="AH110" i="3"/>
  <c r="AL110" i="3"/>
  <c r="G110" i="3"/>
  <c r="K110" i="3"/>
  <c r="O110" i="3"/>
  <c r="S110" i="3"/>
  <c r="W110" i="3"/>
  <c r="AA110" i="3"/>
  <c r="AE110" i="3"/>
  <c r="AI110" i="3"/>
  <c r="AM110" i="3"/>
  <c r="E129" i="3"/>
  <c r="I129" i="3"/>
  <c r="M129" i="3"/>
  <c r="Q129" i="3"/>
  <c r="U129" i="3"/>
  <c r="Y129" i="3"/>
  <c r="AC129" i="3"/>
  <c r="AG129" i="3"/>
  <c r="AK129" i="3"/>
  <c r="AO129" i="3"/>
  <c r="F129" i="3"/>
  <c r="J129" i="3"/>
  <c r="N129" i="3"/>
  <c r="R129" i="3"/>
  <c r="V129" i="3"/>
  <c r="Z129" i="3"/>
  <c r="AH129" i="3"/>
  <c r="AL129" i="3"/>
  <c r="G129" i="3"/>
  <c r="K129" i="3"/>
  <c r="O129" i="3"/>
  <c r="S129" i="3"/>
  <c r="W129" i="3"/>
  <c r="AA129" i="3"/>
  <c r="AE129" i="3"/>
  <c r="AI129" i="3"/>
  <c r="AM129" i="3"/>
  <c r="D129" i="3"/>
  <c r="H129" i="3"/>
  <c r="L129" i="3"/>
  <c r="P129" i="3"/>
  <c r="T129" i="3"/>
  <c r="X129" i="3"/>
  <c r="AB129" i="3"/>
  <c r="AN129" i="3"/>
  <c r="E113" i="3"/>
  <c r="I113" i="3"/>
  <c r="M113" i="3"/>
  <c r="Q113" i="3"/>
  <c r="U113" i="3"/>
  <c r="Y113" i="3"/>
  <c r="AC113" i="3"/>
  <c r="AG113" i="3"/>
  <c r="AK113" i="3"/>
  <c r="AO113" i="3"/>
  <c r="F113" i="3"/>
  <c r="J113" i="3"/>
  <c r="N113" i="3"/>
  <c r="R113" i="3"/>
  <c r="V113" i="3"/>
  <c r="Z113" i="3"/>
  <c r="AH113" i="3"/>
  <c r="AL113" i="3"/>
  <c r="G113" i="3"/>
  <c r="K113" i="3"/>
  <c r="O113" i="3"/>
  <c r="S113" i="3"/>
  <c r="W113" i="3"/>
  <c r="AA113" i="3"/>
  <c r="AE113" i="3"/>
  <c r="AI113" i="3"/>
  <c r="AM113" i="3"/>
  <c r="D113" i="3"/>
  <c r="H113" i="3"/>
  <c r="L113" i="3"/>
  <c r="P113" i="3"/>
  <c r="T113" i="3"/>
  <c r="X113" i="3"/>
  <c r="AB113" i="3"/>
  <c r="AN113" i="3"/>
  <c r="F120" i="3"/>
  <c r="J120" i="3"/>
  <c r="N120" i="3"/>
  <c r="R120" i="3"/>
  <c r="V120" i="3"/>
  <c r="Z120" i="3"/>
  <c r="AH120" i="3"/>
  <c r="AL120" i="3"/>
  <c r="G120" i="3"/>
  <c r="K120" i="3"/>
  <c r="O120" i="3"/>
  <c r="S120" i="3"/>
  <c r="W120" i="3"/>
  <c r="AA120" i="3"/>
  <c r="AE120" i="3"/>
  <c r="AI120" i="3"/>
  <c r="AM120" i="3"/>
  <c r="D120" i="3"/>
  <c r="H120" i="3"/>
  <c r="L120" i="3"/>
  <c r="P120" i="3"/>
  <c r="T120" i="3"/>
  <c r="X120" i="3"/>
  <c r="AB120" i="3"/>
  <c r="AN120" i="3"/>
  <c r="E120" i="3"/>
  <c r="I120" i="3"/>
  <c r="M120" i="3"/>
  <c r="Q120" i="3"/>
  <c r="U120" i="3"/>
  <c r="Y120" i="3"/>
  <c r="AC120" i="3"/>
  <c r="AG120" i="3"/>
  <c r="AK120" i="3"/>
  <c r="AO120" i="3"/>
  <c r="D107" i="3"/>
  <c r="H107" i="3"/>
  <c r="L107" i="3"/>
  <c r="P107" i="3"/>
  <c r="T107" i="3"/>
  <c r="X107" i="3"/>
  <c r="AB107" i="3"/>
  <c r="AN107" i="3"/>
  <c r="F107" i="3"/>
  <c r="J107" i="3"/>
  <c r="N107" i="3"/>
  <c r="R107" i="3"/>
  <c r="V107" i="3"/>
  <c r="Z107" i="3"/>
  <c r="AH107" i="3"/>
  <c r="AL107" i="3"/>
  <c r="G107" i="3"/>
  <c r="O107" i="3"/>
  <c r="W107" i="3"/>
  <c r="AE107" i="3"/>
  <c r="AM107" i="3"/>
  <c r="I107" i="3"/>
  <c r="Q107" i="3"/>
  <c r="Y107" i="3"/>
  <c r="AG107" i="3"/>
  <c r="AO107" i="3"/>
  <c r="K107" i="3"/>
  <c r="S107" i="3"/>
  <c r="AA107" i="3"/>
  <c r="AI107" i="3"/>
  <c r="E107" i="3"/>
  <c r="M107" i="3"/>
  <c r="U107" i="3"/>
  <c r="AC107" i="3"/>
  <c r="AK107" i="3"/>
  <c r="G91" i="3"/>
  <c r="K91" i="3"/>
  <c r="O91" i="3"/>
  <c r="S91" i="3"/>
  <c r="W91" i="3"/>
  <c r="AA91" i="3"/>
  <c r="AE91" i="3"/>
  <c r="AI91" i="3"/>
  <c r="AM91" i="3"/>
  <c r="D91" i="3"/>
  <c r="H91" i="3"/>
  <c r="L91" i="3"/>
  <c r="P91" i="3"/>
  <c r="T91" i="3"/>
  <c r="X91" i="3"/>
  <c r="AB91" i="3"/>
  <c r="AN91" i="3"/>
  <c r="E91" i="3"/>
  <c r="I91" i="3"/>
  <c r="M91" i="3"/>
  <c r="Q91" i="3"/>
  <c r="U91" i="3"/>
  <c r="Y91" i="3"/>
  <c r="AC91" i="3"/>
  <c r="AG91" i="3"/>
  <c r="AK91" i="3"/>
  <c r="AO91" i="3"/>
  <c r="F91" i="3"/>
  <c r="J91" i="3"/>
  <c r="N91" i="3"/>
  <c r="R91" i="3"/>
  <c r="V91" i="3"/>
  <c r="Z91" i="3"/>
  <c r="AH91" i="3"/>
  <c r="AL91" i="3"/>
  <c r="D90" i="3"/>
  <c r="H90" i="3"/>
  <c r="L90" i="3"/>
  <c r="P90" i="3"/>
  <c r="T90" i="3"/>
  <c r="X90" i="3"/>
  <c r="AB90" i="3"/>
  <c r="AN90" i="3"/>
  <c r="E90" i="3"/>
  <c r="I90" i="3"/>
  <c r="M90" i="3"/>
  <c r="Q90" i="3"/>
  <c r="U90" i="3"/>
  <c r="Y90" i="3"/>
  <c r="AC90" i="3"/>
  <c r="AG90" i="3"/>
  <c r="AK90" i="3"/>
  <c r="AO90" i="3"/>
  <c r="F90" i="3"/>
  <c r="J90" i="3"/>
  <c r="N90" i="3"/>
  <c r="R90" i="3"/>
  <c r="V90" i="3"/>
  <c r="Z90" i="3"/>
  <c r="AH90" i="3"/>
  <c r="AL90" i="3"/>
  <c r="G90" i="3"/>
  <c r="K90" i="3"/>
  <c r="O90" i="3"/>
  <c r="S90" i="3"/>
  <c r="W90" i="3"/>
  <c r="AA90" i="3"/>
  <c r="AE90" i="3"/>
  <c r="AI90" i="3"/>
  <c r="AM90" i="3"/>
  <c r="E101" i="3"/>
  <c r="I101" i="3"/>
  <c r="M101" i="3"/>
  <c r="Q101" i="3"/>
  <c r="F101" i="3"/>
  <c r="J101" i="3"/>
  <c r="N101" i="3"/>
  <c r="R101" i="3"/>
  <c r="V101" i="3"/>
  <c r="Z101" i="3"/>
  <c r="AH101" i="3"/>
  <c r="AL101" i="3"/>
  <c r="G101" i="3"/>
  <c r="K101" i="3"/>
  <c r="O101" i="3"/>
  <c r="S101" i="3"/>
  <c r="D101" i="3"/>
  <c r="H101" i="3"/>
  <c r="L101" i="3"/>
  <c r="P101" i="3"/>
  <c r="T101" i="3"/>
  <c r="X101" i="3"/>
  <c r="AB101" i="3"/>
  <c r="AN101" i="3"/>
  <c r="Y101" i="3"/>
  <c r="AG101" i="3"/>
  <c r="AO101" i="3"/>
  <c r="AA101" i="3"/>
  <c r="AI101" i="3"/>
  <c r="U101" i="3"/>
  <c r="AC101" i="3"/>
  <c r="AK101" i="3"/>
  <c r="W101" i="3"/>
  <c r="AE101" i="3"/>
  <c r="AM101" i="3"/>
  <c r="E87" i="3"/>
  <c r="G87" i="3"/>
  <c r="F87" i="3"/>
  <c r="K87" i="3"/>
  <c r="O87" i="3"/>
  <c r="S87" i="3"/>
  <c r="W87" i="3"/>
  <c r="AA87" i="3"/>
  <c r="AE87" i="3"/>
  <c r="AI87" i="3"/>
  <c r="AM87" i="3"/>
  <c r="H87" i="3"/>
  <c r="L87" i="3"/>
  <c r="P87" i="3"/>
  <c r="T87" i="3"/>
  <c r="X87" i="3"/>
  <c r="AB87" i="3"/>
  <c r="AN87" i="3"/>
  <c r="I87" i="3"/>
  <c r="M87" i="3"/>
  <c r="Q87" i="3"/>
  <c r="U87" i="3"/>
  <c r="Y87" i="3"/>
  <c r="AC87" i="3"/>
  <c r="AG87" i="3"/>
  <c r="AK87" i="3"/>
  <c r="AO87" i="3"/>
  <c r="D87" i="3"/>
  <c r="J87" i="3"/>
  <c r="N87" i="3"/>
  <c r="R87" i="3"/>
  <c r="V87" i="3"/>
  <c r="Z87" i="3"/>
  <c r="AH87" i="3"/>
  <c r="AL87" i="3"/>
  <c r="F88" i="3"/>
  <c r="J88" i="3"/>
  <c r="N88" i="3"/>
  <c r="R88" i="3"/>
  <c r="V88" i="3"/>
  <c r="Z88" i="3"/>
  <c r="AH88" i="3"/>
  <c r="AL88" i="3"/>
  <c r="G88" i="3"/>
  <c r="K88" i="3"/>
  <c r="O88" i="3"/>
  <c r="S88" i="3"/>
  <c r="W88" i="3"/>
  <c r="AA88" i="3"/>
  <c r="AE88" i="3"/>
  <c r="AI88" i="3"/>
  <c r="AM88" i="3"/>
  <c r="D88" i="3"/>
  <c r="H88" i="3"/>
  <c r="L88" i="3"/>
  <c r="P88" i="3"/>
  <c r="T88" i="3"/>
  <c r="X88" i="3"/>
  <c r="AB88" i="3"/>
  <c r="AN88" i="3"/>
  <c r="E88" i="3"/>
  <c r="I88" i="3"/>
  <c r="M88" i="3"/>
  <c r="Q88" i="3"/>
  <c r="U88" i="3"/>
  <c r="Y88" i="3"/>
  <c r="AC88" i="3"/>
  <c r="AG88" i="3"/>
  <c r="AK88" i="3"/>
  <c r="AO88" i="3"/>
  <c r="G76" i="3"/>
  <c r="K76" i="3"/>
  <c r="O76" i="3"/>
  <c r="S76" i="3"/>
  <c r="W76" i="3"/>
  <c r="AA76" i="3"/>
  <c r="AE76" i="3"/>
  <c r="AI76" i="3"/>
  <c r="AM76" i="3"/>
  <c r="D76" i="3"/>
  <c r="H76" i="3"/>
  <c r="L76" i="3"/>
  <c r="P76" i="3"/>
  <c r="T76" i="3"/>
  <c r="X76" i="3"/>
  <c r="AB76" i="3"/>
  <c r="AN76" i="3"/>
  <c r="E76" i="3"/>
  <c r="I76" i="3"/>
  <c r="M76" i="3"/>
  <c r="Q76" i="3"/>
  <c r="U76" i="3"/>
  <c r="Y76" i="3"/>
  <c r="AC76" i="3"/>
  <c r="AG76" i="3"/>
  <c r="AK76" i="3"/>
  <c r="AO76" i="3"/>
  <c r="F76" i="3"/>
  <c r="J76" i="3"/>
  <c r="N76" i="3"/>
  <c r="R76" i="3"/>
  <c r="V76" i="3"/>
  <c r="Z76" i="3"/>
  <c r="AH76" i="3"/>
  <c r="AL76" i="3"/>
  <c r="D79" i="3"/>
  <c r="H79" i="3"/>
  <c r="L79" i="3"/>
  <c r="P79" i="3"/>
  <c r="T79" i="3"/>
  <c r="X79" i="3"/>
  <c r="AB79" i="3"/>
  <c r="AN79" i="3"/>
  <c r="E79" i="3"/>
  <c r="I79" i="3"/>
  <c r="M79" i="3"/>
  <c r="Q79" i="3"/>
  <c r="U79" i="3"/>
  <c r="Y79" i="3"/>
  <c r="AC79" i="3"/>
  <c r="AG79" i="3"/>
  <c r="AK79" i="3"/>
  <c r="AO79" i="3"/>
  <c r="F79" i="3"/>
  <c r="J79" i="3"/>
  <c r="N79" i="3"/>
  <c r="R79" i="3"/>
  <c r="V79" i="3"/>
  <c r="Z79" i="3"/>
  <c r="AH79" i="3"/>
  <c r="AL79" i="3"/>
  <c r="G79" i="3"/>
  <c r="K79" i="3"/>
  <c r="O79" i="3"/>
  <c r="S79" i="3"/>
  <c r="W79" i="3"/>
  <c r="AA79" i="3"/>
  <c r="AE79" i="3"/>
  <c r="AI79" i="3"/>
  <c r="AM79" i="3"/>
  <c r="F86" i="3"/>
  <c r="J86" i="3"/>
  <c r="N86" i="3"/>
  <c r="R86" i="3"/>
  <c r="V86" i="3"/>
  <c r="Z86" i="3"/>
  <c r="AH86" i="3"/>
  <c r="AL86" i="3"/>
  <c r="D86" i="3"/>
  <c r="H86" i="3"/>
  <c r="L86" i="3"/>
  <c r="P86" i="3"/>
  <c r="T86" i="3"/>
  <c r="X86" i="3"/>
  <c r="AB86" i="3"/>
  <c r="AN86" i="3"/>
  <c r="K86" i="3"/>
  <c r="S86" i="3"/>
  <c r="AA86" i="3"/>
  <c r="AI86" i="3"/>
  <c r="E86" i="3"/>
  <c r="M86" i="3"/>
  <c r="U86" i="3"/>
  <c r="AC86" i="3"/>
  <c r="AK86" i="3"/>
  <c r="G86" i="3"/>
  <c r="O86" i="3"/>
  <c r="W86" i="3"/>
  <c r="AE86" i="3"/>
  <c r="AM86" i="3"/>
  <c r="I86" i="3"/>
  <c r="Q86" i="3"/>
  <c r="Y86" i="3"/>
  <c r="AG86" i="3"/>
  <c r="AO86" i="3"/>
  <c r="E70" i="3"/>
  <c r="I70" i="3"/>
  <c r="M70" i="3"/>
  <c r="Q70" i="3"/>
  <c r="U70" i="3"/>
  <c r="Y70" i="3"/>
  <c r="AC70" i="3"/>
  <c r="AG70" i="3"/>
  <c r="AK70" i="3"/>
  <c r="AO70" i="3"/>
  <c r="F70" i="3"/>
  <c r="J70" i="3"/>
  <c r="N70" i="3"/>
  <c r="R70" i="3"/>
  <c r="V70" i="3"/>
  <c r="Z70" i="3"/>
  <c r="AH70" i="3"/>
  <c r="AL70" i="3"/>
  <c r="G70" i="3"/>
  <c r="K70" i="3"/>
  <c r="O70" i="3"/>
  <c r="S70" i="3"/>
  <c r="W70" i="3"/>
  <c r="AA70" i="3"/>
  <c r="AE70" i="3"/>
  <c r="AI70" i="3"/>
  <c r="AM70" i="3"/>
  <c r="D70" i="3"/>
  <c r="H70" i="3"/>
  <c r="L70" i="3"/>
  <c r="P70" i="3"/>
  <c r="T70" i="3"/>
  <c r="X70" i="3"/>
  <c r="AB70" i="3"/>
  <c r="AN70" i="3"/>
  <c r="F69" i="3"/>
  <c r="J69" i="3"/>
  <c r="N69" i="3"/>
  <c r="R69" i="3"/>
  <c r="V69" i="3"/>
  <c r="Z69" i="3"/>
  <c r="AH69" i="3"/>
  <c r="AL69" i="3"/>
  <c r="G69" i="3"/>
  <c r="K69" i="3"/>
  <c r="O69" i="3"/>
  <c r="S69" i="3"/>
  <c r="W69" i="3"/>
  <c r="AA69" i="3"/>
  <c r="AE69" i="3"/>
  <c r="AI69" i="3"/>
  <c r="AM69" i="3"/>
  <c r="D69" i="3"/>
  <c r="H69" i="3"/>
  <c r="L69" i="3"/>
  <c r="P69" i="3"/>
  <c r="T69" i="3"/>
  <c r="X69" i="3"/>
  <c r="AB69" i="3"/>
  <c r="AN69" i="3"/>
  <c r="E69" i="3"/>
  <c r="I69" i="3"/>
  <c r="M69" i="3"/>
  <c r="Q69" i="3"/>
  <c r="U69" i="3"/>
  <c r="Y69" i="3"/>
  <c r="AC69" i="3"/>
  <c r="AG69" i="3"/>
  <c r="AK69" i="3"/>
  <c r="AO69" i="3"/>
  <c r="G57" i="3"/>
  <c r="K57" i="3"/>
  <c r="O57" i="3"/>
  <c r="S57" i="3"/>
  <c r="W57" i="3"/>
  <c r="AA57" i="3"/>
  <c r="AE57" i="3"/>
  <c r="AI57" i="3"/>
  <c r="AM57" i="3"/>
  <c r="D57" i="3"/>
  <c r="H57" i="3"/>
  <c r="L57" i="3"/>
  <c r="P57" i="3"/>
  <c r="T57" i="3"/>
  <c r="X57" i="3"/>
  <c r="AB57" i="3"/>
  <c r="AN57" i="3"/>
  <c r="E57" i="3"/>
  <c r="I57" i="3"/>
  <c r="M57" i="3"/>
  <c r="Q57" i="3"/>
  <c r="U57" i="3"/>
  <c r="Y57" i="3"/>
  <c r="AC57" i="3"/>
  <c r="AG57" i="3"/>
  <c r="AK57" i="3"/>
  <c r="AO57" i="3"/>
  <c r="F57" i="3"/>
  <c r="J57" i="3"/>
  <c r="N57" i="3"/>
  <c r="R57" i="3"/>
  <c r="V57" i="3"/>
  <c r="Z57" i="3"/>
  <c r="AH57" i="3"/>
  <c r="AL57" i="3"/>
  <c r="F67" i="3"/>
  <c r="J67" i="3"/>
  <c r="N67" i="3"/>
  <c r="R67" i="3"/>
  <c r="V67" i="3"/>
  <c r="Z67" i="3"/>
  <c r="D67" i="3"/>
  <c r="H67" i="3"/>
  <c r="L67" i="3"/>
  <c r="P67" i="3"/>
  <c r="T67" i="3"/>
  <c r="X67" i="3"/>
  <c r="E67" i="3"/>
  <c r="M67" i="3"/>
  <c r="U67" i="3"/>
  <c r="AB67" i="3"/>
  <c r="AN67" i="3"/>
  <c r="G67" i="3"/>
  <c r="O67" i="3"/>
  <c r="W67" i="3"/>
  <c r="AC67" i="3"/>
  <c r="AG67" i="3"/>
  <c r="AK67" i="3"/>
  <c r="AO67" i="3"/>
  <c r="I67" i="3"/>
  <c r="Q67" i="3"/>
  <c r="Y67" i="3"/>
  <c r="AH67" i="3"/>
  <c r="AL67" i="3"/>
  <c r="K67" i="3"/>
  <c r="S67" i="3"/>
  <c r="AA67" i="3"/>
  <c r="AE67" i="3"/>
  <c r="AI67" i="3"/>
  <c r="AM67" i="3"/>
  <c r="E53" i="3"/>
  <c r="I53" i="3"/>
  <c r="M53" i="3"/>
  <c r="G53" i="3"/>
  <c r="K53" i="3"/>
  <c r="O53" i="3"/>
  <c r="F53" i="3"/>
  <c r="N53" i="3"/>
  <c r="S53" i="3"/>
  <c r="W53" i="3"/>
  <c r="AA53" i="3"/>
  <c r="AE53" i="3"/>
  <c r="AI53" i="3"/>
  <c r="AM53" i="3"/>
  <c r="H53" i="3"/>
  <c r="P53" i="3"/>
  <c r="T53" i="3"/>
  <c r="X53" i="3"/>
  <c r="AB53" i="3"/>
  <c r="AN53" i="3"/>
  <c r="J53" i="3"/>
  <c r="Q53" i="3"/>
  <c r="U53" i="3"/>
  <c r="Y53" i="3"/>
  <c r="AC53" i="3"/>
  <c r="AG53" i="3"/>
  <c r="AK53" i="3"/>
  <c r="AO53" i="3"/>
  <c r="D53" i="3"/>
  <c r="L53" i="3"/>
  <c r="R53" i="3"/>
  <c r="V53" i="3"/>
  <c r="Z53" i="3"/>
  <c r="AH53" i="3"/>
  <c r="AL53" i="3"/>
  <c r="G46" i="3"/>
  <c r="K46" i="3"/>
  <c r="O46" i="3"/>
  <c r="S46" i="3"/>
  <c r="W46" i="3"/>
  <c r="AA46" i="3"/>
  <c r="AE46" i="3"/>
  <c r="AI46" i="3"/>
  <c r="AM46" i="3"/>
  <c r="D46" i="3"/>
  <c r="H46" i="3"/>
  <c r="L46" i="3"/>
  <c r="P46" i="3"/>
  <c r="T46" i="3"/>
  <c r="X46" i="3"/>
  <c r="AB46" i="3"/>
  <c r="AN46" i="3"/>
  <c r="E46" i="3"/>
  <c r="I46" i="3"/>
  <c r="M46" i="3"/>
  <c r="Q46" i="3"/>
  <c r="U46" i="3"/>
  <c r="Y46" i="3"/>
  <c r="AC46" i="3"/>
  <c r="AG46" i="3"/>
  <c r="AK46" i="3"/>
  <c r="AO46" i="3"/>
  <c r="F46" i="3"/>
  <c r="J46" i="3"/>
  <c r="N46" i="3"/>
  <c r="R46" i="3"/>
  <c r="V46" i="3"/>
  <c r="Z46" i="3"/>
  <c r="AH46" i="3"/>
  <c r="AL46" i="3"/>
  <c r="D41" i="3"/>
  <c r="H41" i="3"/>
  <c r="L41" i="3"/>
  <c r="P41" i="3"/>
  <c r="T41" i="3"/>
  <c r="X41" i="3"/>
  <c r="AB41" i="3"/>
  <c r="AN41" i="3"/>
  <c r="E41" i="3"/>
  <c r="I41" i="3"/>
  <c r="M41" i="3"/>
  <c r="Q41" i="3"/>
  <c r="U41" i="3"/>
  <c r="Y41" i="3"/>
  <c r="AC41" i="3"/>
  <c r="AG41" i="3"/>
  <c r="AK41" i="3"/>
  <c r="AO41" i="3"/>
  <c r="F41" i="3"/>
  <c r="J41" i="3"/>
  <c r="N41" i="3"/>
  <c r="R41" i="3"/>
  <c r="V41" i="3"/>
  <c r="Z41" i="3"/>
  <c r="AH41" i="3"/>
  <c r="AL41" i="3"/>
  <c r="G41" i="3"/>
  <c r="K41" i="3"/>
  <c r="O41" i="3"/>
  <c r="S41" i="3"/>
  <c r="W41" i="3"/>
  <c r="AA41" i="3"/>
  <c r="AE41" i="3"/>
  <c r="AI41" i="3"/>
  <c r="AM41" i="3"/>
  <c r="E40" i="3"/>
  <c r="I40" i="3"/>
  <c r="M40" i="3"/>
  <c r="Q40" i="3"/>
  <c r="U40" i="3"/>
  <c r="Y40" i="3"/>
  <c r="AC40" i="3"/>
  <c r="AG40" i="3"/>
  <c r="AK40" i="3"/>
  <c r="AO40" i="3"/>
  <c r="F40" i="3"/>
  <c r="J40" i="3"/>
  <c r="N40" i="3"/>
  <c r="R40" i="3"/>
  <c r="V40" i="3"/>
  <c r="Z40" i="3"/>
  <c r="AH40" i="3"/>
  <c r="AL40" i="3"/>
  <c r="G40" i="3"/>
  <c r="K40" i="3"/>
  <c r="O40" i="3"/>
  <c r="S40" i="3"/>
  <c r="W40" i="3"/>
  <c r="AA40" i="3"/>
  <c r="AE40" i="3"/>
  <c r="AI40" i="3"/>
  <c r="AM40" i="3"/>
  <c r="D40" i="3"/>
  <c r="H40" i="3"/>
  <c r="L40" i="3"/>
  <c r="P40" i="3"/>
  <c r="T40" i="3"/>
  <c r="X40" i="3"/>
  <c r="AB40" i="3"/>
  <c r="AN40" i="3"/>
  <c r="E35" i="3"/>
  <c r="I35" i="3"/>
  <c r="M35" i="3"/>
  <c r="Q35" i="3"/>
  <c r="U35" i="3"/>
  <c r="Y35" i="3"/>
  <c r="AC35" i="3"/>
  <c r="AG35" i="3"/>
  <c r="AK35" i="3"/>
  <c r="AO35" i="3"/>
  <c r="G35" i="3"/>
  <c r="K35" i="3"/>
  <c r="O35" i="3"/>
  <c r="S35" i="3"/>
  <c r="W35" i="3"/>
  <c r="AA35" i="3"/>
  <c r="AE35" i="3"/>
  <c r="AI35" i="3"/>
  <c r="AM35" i="3"/>
  <c r="H35" i="3"/>
  <c r="P35" i="3"/>
  <c r="X35" i="3"/>
  <c r="AN35" i="3"/>
  <c r="J35" i="3"/>
  <c r="R35" i="3"/>
  <c r="Z35" i="3"/>
  <c r="AH35" i="3"/>
  <c r="D35" i="3"/>
  <c r="L35" i="3"/>
  <c r="T35" i="3"/>
  <c r="AB35" i="3"/>
  <c r="F35" i="3"/>
  <c r="N35" i="3"/>
  <c r="V35" i="3"/>
  <c r="AL35" i="3"/>
  <c r="D31" i="3"/>
  <c r="H31" i="3"/>
  <c r="L31" i="3"/>
  <c r="P31" i="3"/>
  <c r="T31" i="3"/>
  <c r="X31" i="3"/>
  <c r="AB31" i="3"/>
  <c r="AN31" i="3"/>
  <c r="E31" i="3"/>
  <c r="I31" i="3"/>
  <c r="M31" i="3"/>
  <c r="Q31" i="3"/>
  <c r="U31" i="3"/>
  <c r="Y31" i="3"/>
  <c r="AC31" i="3"/>
  <c r="AG31" i="3"/>
  <c r="AK31" i="3"/>
  <c r="AO31" i="3"/>
  <c r="F31" i="3"/>
  <c r="J31" i="3"/>
  <c r="N31" i="3"/>
  <c r="R31" i="3"/>
  <c r="V31" i="3"/>
  <c r="Z31" i="3"/>
  <c r="AH31" i="3"/>
  <c r="AL31" i="3"/>
  <c r="G31" i="3"/>
  <c r="K31" i="3"/>
  <c r="O31" i="3"/>
  <c r="S31" i="3"/>
  <c r="W31" i="3"/>
  <c r="AA31" i="3"/>
  <c r="AE31" i="3"/>
  <c r="AI31" i="3"/>
  <c r="AM31" i="3"/>
  <c r="E30" i="3"/>
  <c r="I30" i="3"/>
  <c r="M30" i="3"/>
  <c r="Q30" i="3"/>
  <c r="U30" i="3"/>
  <c r="Y30" i="3"/>
  <c r="AC30" i="3"/>
  <c r="AG30" i="3"/>
  <c r="AK30" i="3"/>
  <c r="AO30" i="3"/>
  <c r="F30" i="3"/>
  <c r="J30" i="3"/>
  <c r="N30" i="3"/>
  <c r="R30" i="3"/>
  <c r="V30" i="3"/>
  <c r="Z30" i="3"/>
  <c r="AH30" i="3"/>
  <c r="AL30" i="3"/>
  <c r="G30" i="3"/>
  <c r="K30" i="3"/>
  <c r="O30" i="3"/>
  <c r="S30" i="3"/>
  <c r="W30" i="3"/>
  <c r="AA30" i="3"/>
  <c r="AE30" i="3"/>
  <c r="AI30" i="3"/>
  <c r="AM30" i="3"/>
  <c r="D30" i="3"/>
  <c r="H30" i="3"/>
  <c r="L30" i="3"/>
  <c r="P30" i="3"/>
  <c r="T30" i="3"/>
  <c r="X30" i="3"/>
  <c r="AB30" i="3"/>
  <c r="AN30" i="3"/>
  <c r="F25" i="3"/>
  <c r="J25" i="3"/>
  <c r="N25" i="3"/>
  <c r="R25" i="3"/>
  <c r="V25" i="3"/>
  <c r="Z25" i="3"/>
  <c r="AH25" i="3"/>
  <c r="AL25" i="3"/>
  <c r="G25" i="3"/>
  <c r="K25" i="3"/>
  <c r="O25" i="3"/>
  <c r="S25" i="3"/>
  <c r="W25" i="3"/>
  <c r="AA25" i="3"/>
  <c r="AE25" i="3"/>
  <c r="AI25" i="3"/>
  <c r="AM25" i="3"/>
  <c r="D25" i="3"/>
  <c r="H25" i="3"/>
  <c r="L25" i="3"/>
  <c r="P25" i="3"/>
  <c r="T25" i="3"/>
  <c r="X25" i="3"/>
  <c r="AB25" i="3"/>
  <c r="AN25" i="3"/>
  <c r="E25" i="3"/>
  <c r="I25" i="3"/>
  <c r="M25" i="3"/>
  <c r="Q25" i="3"/>
  <c r="U25" i="3"/>
  <c r="Y25" i="3"/>
  <c r="AC25" i="3"/>
  <c r="AG25" i="3"/>
  <c r="AK25" i="3"/>
  <c r="AO25" i="3"/>
  <c r="G18" i="3"/>
  <c r="K18" i="3"/>
  <c r="O18" i="3"/>
  <c r="S18" i="3"/>
  <c r="W18" i="3"/>
  <c r="AA18" i="3"/>
  <c r="AE18" i="3"/>
  <c r="E18" i="3"/>
  <c r="I18" i="3"/>
  <c r="M18" i="3"/>
  <c r="Q18" i="3"/>
  <c r="U18" i="3"/>
  <c r="Y18" i="3"/>
  <c r="AC18" i="3"/>
  <c r="AG18" i="3"/>
  <c r="D18" i="3"/>
  <c r="L18" i="3"/>
  <c r="T18" i="3"/>
  <c r="AB18" i="3"/>
  <c r="AI18" i="3"/>
  <c r="AM18" i="3"/>
  <c r="F18" i="3"/>
  <c r="N18" i="3"/>
  <c r="V18" i="3"/>
  <c r="AN18" i="3"/>
  <c r="H18" i="3"/>
  <c r="P18" i="3"/>
  <c r="X18" i="3"/>
  <c r="AK18" i="3"/>
  <c r="AO18" i="3"/>
  <c r="J18" i="3"/>
  <c r="R18" i="3"/>
  <c r="Z18" i="3"/>
  <c r="AH18" i="3"/>
  <c r="AL18" i="3"/>
  <c r="F23" i="3"/>
  <c r="J23" i="3"/>
  <c r="N23" i="3"/>
  <c r="R23" i="3"/>
  <c r="V23" i="3"/>
  <c r="G23" i="3"/>
  <c r="K23" i="3"/>
  <c r="O23" i="3"/>
  <c r="S23" i="3"/>
  <c r="W23" i="3"/>
  <c r="AA23" i="3"/>
  <c r="AE23" i="3"/>
  <c r="AI23" i="3"/>
  <c r="AM23" i="3"/>
  <c r="D23" i="3"/>
  <c r="H23" i="3"/>
  <c r="L23" i="3"/>
  <c r="P23" i="3"/>
  <c r="T23" i="3"/>
  <c r="X23" i="3"/>
  <c r="E23" i="3"/>
  <c r="I23" i="3"/>
  <c r="M23" i="3"/>
  <c r="Q23" i="3"/>
  <c r="U23" i="3"/>
  <c r="Y23" i="3"/>
  <c r="AC23" i="3"/>
  <c r="AG23" i="3"/>
  <c r="AK23" i="3"/>
  <c r="AO23" i="3"/>
  <c r="AL23" i="3"/>
  <c r="AN23" i="3"/>
  <c r="Z23" i="3"/>
  <c r="AH23" i="3"/>
  <c r="AB23" i="3"/>
  <c r="D13" i="3"/>
  <c r="H13" i="3"/>
  <c r="L13" i="3"/>
  <c r="P13" i="3"/>
  <c r="T13" i="3"/>
  <c r="X13" i="3"/>
  <c r="AB13" i="3"/>
  <c r="AN13" i="3"/>
  <c r="F13" i="3"/>
  <c r="J13" i="3"/>
  <c r="N13" i="3"/>
  <c r="R13" i="3"/>
  <c r="V13" i="3"/>
  <c r="Z13" i="3"/>
  <c r="AH13" i="3"/>
  <c r="AL13" i="3"/>
  <c r="E13" i="3"/>
  <c r="M13" i="3"/>
  <c r="U13" i="3"/>
  <c r="AC13" i="3"/>
  <c r="AK13" i="3"/>
  <c r="G13" i="3"/>
  <c r="O13" i="3"/>
  <c r="W13" i="3"/>
  <c r="AE13" i="3"/>
  <c r="AM13" i="3"/>
  <c r="I13" i="3"/>
  <c r="Q13" i="3"/>
  <c r="Y13" i="3"/>
  <c r="AG13" i="3"/>
  <c r="AO13" i="3"/>
  <c r="K13" i="3"/>
  <c r="S13" i="3"/>
  <c r="AA13" i="3"/>
  <c r="AI13" i="3"/>
  <c r="G5" i="3"/>
  <c r="K5" i="3"/>
  <c r="O5" i="3"/>
  <c r="S5" i="3"/>
  <c r="W5" i="3"/>
  <c r="AA5" i="3"/>
  <c r="AE5" i="3"/>
  <c r="AI5" i="3"/>
  <c r="AM5" i="3"/>
  <c r="D5" i="3"/>
  <c r="H5" i="3"/>
  <c r="L5" i="3"/>
  <c r="P5" i="3"/>
  <c r="T5" i="3"/>
  <c r="X5" i="3"/>
  <c r="AB5" i="3"/>
  <c r="AN5" i="3"/>
  <c r="E5" i="3"/>
  <c r="I5" i="3"/>
  <c r="M5" i="3"/>
  <c r="Q5" i="3"/>
  <c r="U5" i="3"/>
  <c r="Y5" i="3"/>
  <c r="AC5" i="3"/>
  <c r="AG5" i="3"/>
  <c r="AK5" i="3"/>
  <c r="AO5" i="3"/>
  <c r="F5" i="3"/>
  <c r="J5" i="3"/>
  <c r="N5" i="3"/>
  <c r="R5" i="3"/>
  <c r="V5" i="3"/>
  <c r="Z5" i="3"/>
  <c r="AH5" i="3"/>
  <c r="AL5" i="3"/>
  <c r="E7" i="3"/>
  <c r="I7" i="3"/>
  <c r="M7" i="3"/>
  <c r="Q7" i="3"/>
  <c r="U7" i="3"/>
  <c r="Y7" i="3"/>
  <c r="AC7" i="3"/>
  <c r="AG7" i="3"/>
  <c r="AK7" i="3"/>
  <c r="AO7" i="3"/>
  <c r="F7" i="3"/>
  <c r="J7" i="3"/>
  <c r="N7" i="3"/>
  <c r="R7" i="3"/>
  <c r="V7" i="3"/>
  <c r="Z7" i="3"/>
  <c r="AH7" i="3"/>
  <c r="AL7" i="3"/>
  <c r="G7" i="3"/>
  <c r="K7" i="3"/>
  <c r="O7" i="3"/>
  <c r="S7" i="3"/>
  <c r="W7" i="3"/>
  <c r="AA7" i="3"/>
  <c r="AE7" i="3"/>
  <c r="AI7" i="3"/>
  <c r="AM7" i="3"/>
  <c r="D7" i="3"/>
  <c r="H7" i="3"/>
  <c r="L7" i="3"/>
  <c r="P7" i="3"/>
  <c r="T7" i="3"/>
  <c r="X7" i="3"/>
  <c r="AB7" i="3"/>
  <c r="AN7" i="3"/>
  <c r="G355" i="3"/>
  <c r="K355" i="3"/>
  <c r="O355" i="3"/>
  <c r="S355" i="3"/>
  <c r="W355" i="3"/>
  <c r="AA355" i="3"/>
  <c r="AE355" i="3"/>
  <c r="AI355" i="3"/>
  <c r="AM355" i="3"/>
  <c r="D355" i="3"/>
  <c r="H355" i="3"/>
  <c r="L355" i="3"/>
  <c r="P355" i="3"/>
  <c r="T355" i="3"/>
  <c r="X355" i="3"/>
  <c r="AB355" i="3"/>
  <c r="AN355" i="3"/>
  <c r="E355" i="3"/>
  <c r="I355" i="3"/>
  <c r="M355" i="3"/>
  <c r="Q355" i="3"/>
  <c r="U355" i="3"/>
  <c r="Y355" i="3"/>
  <c r="AC355" i="3"/>
  <c r="AG355" i="3"/>
  <c r="AK355" i="3"/>
  <c r="AO355" i="3"/>
  <c r="F355" i="3"/>
  <c r="J355" i="3"/>
  <c r="N355" i="3"/>
  <c r="R355" i="3"/>
  <c r="V355" i="3"/>
  <c r="Z355" i="3"/>
  <c r="AH355" i="3"/>
  <c r="AL355" i="3"/>
  <c r="G339" i="3"/>
  <c r="K339" i="3"/>
  <c r="O339" i="3"/>
  <c r="S339" i="3"/>
  <c r="W339" i="3"/>
  <c r="AA339" i="3"/>
  <c r="AE339" i="3"/>
  <c r="AI339" i="3"/>
  <c r="AM339" i="3"/>
  <c r="D339" i="3"/>
  <c r="H339" i="3"/>
  <c r="L339" i="3"/>
  <c r="P339" i="3"/>
  <c r="T339" i="3"/>
  <c r="X339" i="3"/>
  <c r="AB339" i="3"/>
  <c r="AN339" i="3"/>
  <c r="E339" i="3"/>
  <c r="I339" i="3"/>
  <c r="M339" i="3"/>
  <c r="Q339" i="3"/>
  <c r="U339" i="3"/>
  <c r="Y339" i="3"/>
  <c r="AC339" i="3"/>
  <c r="AG339" i="3"/>
  <c r="AK339" i="3"/>
  <c r="AO339" i="3"/>
  <c r="F339" i="3"/>
  <c r="J339" i="3"/>
  <c r="N339" i="3"/>
  <c r="R339" i="3"/>
  <c r="V339" i="3"/>
  <c r="Z339" i="3"/>
  <c r="AH339" i="3"/>
  <c r="AL339" i="3"/>
  <c r="G323" i="3"/>
  <c r="K323" i="3"/>
  <c r="O323" i="3"/>
  <c r="S323" i="3"/>
  <c r="W323" i="3"/>
  <c r="AA323" i="3"/>
  <c r="AE323" i="3"/>
  <c r="AI323" i="3"/>
  <c r="AM323" i="3"/>
  <c r="D323" i="3"/>
  <c r="H323" i="3"/>
  <c r="L323" i="3"/>
  <c r="P323" i="3"/>
  <c r="T323" i="3"/>
  <c r="X323" i="3"/>
  <c r="AB323" i="3"/>
  <c r="AN323" i="3"/>
  <c r="E323" i="3"/>
  <c r="I323" i="3"/>
  <c r="M323" i="3"/>
  <c r="Q323" i="3"/>
  <c r="U323" i="3"/>
  <c r="Y323" i="3"/>
  <c r="AC323" i="3"/>
  <c r="AG323" i="3"/>
  <c r="AK323" i="3"/>
  <c r="AO323" i="3"/>
  <c r="F323" i="3"/>
  <c r="J323" i="3"/>
  <c r="N323" i="3"/>
  <c r="R323" i="3"/>
  <c r="V323" i="3"/>
  <c r="Z323" i="3"/>
  <c r="AH323" i="3"/>
  <c r="AL323" i="3"/>
  <c r="E309" i="3"/>
  <c r="I309" i="3"/>
  <c r="M309" i="3"/>
  <c r="Q309" i="3"/>
  <c r="U309" i="3"/>
  <c r="Y309" i="3"/>
  <c r="AC309" i="3"/>
  <c r="AG309" i="3"/>
  <c r="AK309" i="3"/>
  <c r="AO309" i="3"/>
  <c r="G309" i="3"/>
  <c r="K309" i="3"/>
  <c r="O309" i="3"/>
  <c r="S309" i="3"/>
  <c r="W309" i="3"/>
  <c r="AA309" i="3"/>
  <c r="AE309" i="3"/>
  <c r="AI309" i="3"/>
  <c r="AM309" i="3"/>
  <c r="J309" i="3"/>
  <c r="R309" i="3"/>
  <c r="Z309" i="3"/>
  <c r="AH309" i="3"/>
  <c r="D309" i="3"/>
  <c r="L309" i="3"/>
  <c r="T309" i="3"/>
  <c r="AB309" i="3"/>
  <c r="F309" i="3"/>
  <c r="N309" i="3"/>
  <c r="V309" i="3"/>
  <c r="AL309" i="3"/>
  <c r="H309" i="3"/>
  <c r="P309" i="3"/>
  <c r="X309" i="3"/>
  <c r="AN309" i="3"/>
  <c r="D354" i="3"/>
  <c r="H354" i="3"/>
  <c r="L354" i="3"/>
  <c r="P354" i="3"/>
  <c r="T354" i="3"/>
  <c r="X354" i="3"/>
  <c r="AB354" i="3"/>
  <c r="AN354" i="3"/>
  <c r="E354" i="3"/>
  <c r="I354" i="3"/>
  <c r="M354" i="3"/>
  <c r="Q354" i="3"/>
  <c r="U354" i="3"/>
  <c r="Y354" i="3"/>
  <c r="AC354" i="3"/>
  <c r="AG354" i="3"/>
  <c r="AK354" i="3"/>
  <c r="AO354" i="3"/>
  <c r="F354" i="3"/>
  <c r="J354" i="3"/>
  <c r="N354" i="3"/>
  <c r="R354" i="3"/>
  <c r="V354" i="3"/>
  <c r="Z354" i="3"/>
  <c r="AH354" i="3"/>
  <c r="AL354" i="3"/>
  <c r="G354" i="3"/>
  <c r="K354" i="3"/>
  <c r="O354" i="3"/>
  <c r="S354" i="3"/>
  <c r="W354" i="3"/>
  <c r="AA354" i="3"/>
  <c r="AE354" i="3"/>
  <c r="AI354" i="3"/>
  <c r="AM354" i="3"/>
  <c r="D338" i="3"/>
  <c r="H338" i="3"/>
  <c r="L338" i="3"/>
  <c r="P338" i="3"/>
  <c r="T338" i="3"/>
  <c r="X338" i="3"/>
  <c r="AB338" i="3"/>
  <c r="AN338" i="3"/>
  <c r="E338" i="3"/>
  <c r="I338" i="3"/>
  <c r="M338" i="3"/>
  <c r="Q338" i="3"/>
  <c r="U338" i="3"/>
  <c r="Y338" i="3"/>
  <c r="AC338" i="3"/>
  <c r="AG338" i="3"/>
  <c r="AK338" i="3"/>
  <c r="AO338" i="3"/>
  <c r="F338" i="3"/>
  <c r="J338" i="3"/>
  <c r="N338" i="3"/>
  <c r="R338" i="3"/>
  <c r="V338" i="3"/>
  <c r="Z338" i="3"/>
  <c r="AH338" i="3"/>
  <c r="AL338" i="3"/>
  <c r="G338" i="3"/>
  <c r="K338" i="3"/>
  <c r="O338" i="3"/>
  <c r="S338" i="3"/>
  <c r="W338" i="3"/>
  <c r="AA338" i="3"/>
  <c r="AE338" i="3"/>
  <c r="AI338" i="3"/>
  <c r="AM338" i="3"/>
  <c r="D322" i="3"/>
  <c r="H322" i="3"/>
  <c r="L322" i="3"/>
  <c r="P322" i="3"/>
  <c r="T322" i="3"/>
  <c r="X322" i="3"/>
  <c r="AB322" i="3"/>
  <c r="AN322" i="3"/>
  <c r="E322" i="3"/>
  <c r="I322" i="3"/>
  <c r="M322" i="3"/>
  <c r="Q322" i="3"/>
  <c r="U322" i="3"/>
  <c r="Y322" i="3"/>
  <c r="AC322" i="3"/>
  <c r="AG322" i="3"/>
  <c r="AK322" i="3"/>
  <c r="AO322" i="3"/>
  <c r="F322" i="3"/>
  <c r="J322" i="3"/>
  <c r="N322" i="3"/>
  <c r="R322" i="3"/>
  <c r="V322" i="3"/>
  <c r="Z322" i="3"/>
  <c r="AH322" i="3"/>
  <c r="AL322" i="3"/>
  <c r="G322" i="3"/>
  <c r="K322" i="3"/>
  <c r="O322" i="3"/>
  <c r="S322" i="3"/>
  <c r="W322" i="3"/>
  <c r="AA322" i="3"/>
  <c r="AE322" i="3"/>
  <c r="AI322" i="3"/>
  <c r="AM322" i="3"/>
  <c r="I361" i="3"/>
  <c r="Q361" i="3"/>
  <c r="Y361" i="3"/>
  <c r="AG361" i="3"/>
  <c r="AO361" i="3"/>
  <c r="F361" i="3"/>
  <c r="J361" i="3"/>
  <c r="N361" i="3"/>
  <c r="R361" i="3"/>
  <c r="V361" i="3"/>
  <c r="Z361" i="3"/>
  <c r="AH361" i="3"/>
  <c r="AL361" i="3"/>
  <c r="G361" i="3"/>
  <c r="O361" i="3"/>
  <c r="W361" i="3"/>
  <c r="AE361" i="3"/>
  <c r="AM361" i="3"/>
  <c r="K361" i="3"/>
  <c r="S361" i="3"/>
  <c r="AA361" i="3"/>
  <c r="AI361" i="3"/>
  <c r="D361" i="3"/>
  <c r="H361" i="3"/>
  <c r="L361" i="3"/>
  <c r="P361" i="3"/>
  <c r="T361" i="3"/>
  <c r="X361" i="3"/>
  <c r="AB361" i="3"/>
  <c r="AN361" i="3"/>
  <c r="E361" i="3"/>
  <c r="M361" i="3"/>
  <c r="U361" i="3"/>
  <c r="AC361" i="3"/>
  <c r="AK361" i="3"/>
  <c r="E345" i="3"/>
  <c r="I345" i="3"/>
  <c r="M345" i="3"/>
  <c r="Q345" i="3"/>
  <c r="U345" i="3"/>
  <c r="Y345" i="3"/>
  <c r="AC345" i="3"/>
  <c r="AG345" i="3"/>
  <c r="AK345" i="3"/>
  <c r="AO345" i="3"/>
  <c r="F345" i="3"/>
  <c r="J345" i="3"/>
  <c r="N345" i="3"/>
  <c r="R345" i="3"/>
  <c r="V345" i="3"/>
  <c r="Z345" i="3"/>
  <c r="AH345" i="3"/>
  <c r="AL345" i="3"/>
  <c r="G345" i="3"/>
  <c r="K345" i="3"/>
  <c r="O345" i="3"/>
  <c r="S345" i="3"/>
  <c r="W345" i="3"/>
  <c r="AA345" i="3"/>
  <c r="AE345" i="3"/>
  <c r="AI345" i="3"/>
  <c r="AM345" i="3"/>
  <c r="D345" i="3"/>
  <c r="H345" i="3"/>
  <c r="L345" i="3"/>
  <c r="P345" i="3"/>
  <c r="T345" i="3"/>
  <c r="X345" i="3"/>
  <c r="AB345" i="3"/>
  <c r="AN345" i="3"/>
  <c r="E329" i="3"/>
  <c r="I329" i="3"/>
  <c r="M329" i="3"/>
  <c r="Q329" i="3"/>
  <c r="U329" i="3"/>
  <c r="Y329" i="3"/>
  <c r="AC329" i="3"/>
  <c r="AG329" i="3"/>
  <c r="AK329" i="3"/>
  <c r="AO329" i="3"/>
  <c r="F329" i="3"/>
  <c r="J329" i="3"/>
  <c r="N329" i="3"/>
  <c r="R329" i="3"/>
  <c r="V329" i="3"/>
  <c r="Z329" i="3"/>
  <c r="AH329" i="3"/>
  <c r="AL329" i="3"/>
  <c r="G329" i="3"/>
  <c r="K329" i="3"/>
  <c r="O329" i="3"/>
  <c r="S329" i="3"/>
  <c r="W329" i="3"/>
  <c r="AA329" i="3"/>
  <c r="AE329" i="3"/>
  <c r="AI329" i="3"/>
  <c r="AM329" i="3"/>
  <c r="D329" i="3"/>
  <c r="H329" i="3"/>
  <c r="L329" i="3"/>
  <c r="P329" i="3"/>
  <c r="T329" i="3"/>
  <c r="X329" i="3"/>
  <c r="AB329" i="3"/>
  <c r="AN329" i="3"/>
  <c r="E313" i="3"/>
  <c r="I313" i="3"/>
  <c r="M313" i="3"/>
  <c r="Q313" i="3"/>
  <c r="U313" i="3"/>
  <c r="Y313" i="3"/>
  <c r="AC313" i="3"/>
  <c r="AG313" i="3"/>
  <c r="AK313" i="3"/>
  <c r="AO313" i="3"/>
  <c r="F313" i="3"/>
  <c r="J313" i="3"/>
  <c r="N313" i="3"/>
  <c r="R313" i="3"/>
  <c r="V313" i="3"/>
  <c r="Z313" i="3"/>
  <c r="AH313" i="3"/>
  <c r="AL313" i="3"/>
  <c r="G313" i="3"/>
  <c r="K313" i="3"/>
  <c r="O313" i="3"/>
  <c r="S313" i="3"/>
  <c r="W313" i="3"/>
  <c r="AA313" i="3"/>
  <c r="AE313" i="3"/>
  <c r="AI313" i="3"/>
  <c r="AM313" i="3"/>
  <c r="D313" i="3"/>
  <c r="H313" i="3"/>
  <c r="L313" i="3"/>
  <c r="P313" i="3"/>
  <c r="T313" i="3"/>
  <c r="X313" i="3"/>
  <c r="AB313" i="3"/>
  <c r="AN313" i="3"/>
  <c r="F352" i="3"/>
  <c r="J352" i="3"/>
  <c r="N352" i="3"/>
  <c r="R352" i="3"/>
  <c r="V352" i="3"/>
  <c r="Z352" i="3"/>
  <c r="AH352" i="3"/>
  <c r="AL352" i="3"/>
  <c r="G352" i="3"/>
  <c r="K352" i="3"/>
  <c r="O352" i="3"/>
  <c r="S352" i="3"/>
  <c r="W352" i="3"/>
  <c r="AA352" i="3"/>
  <c r="AE352" i="3"/>
  <c r="AI352" i="3"/>
  <c r="AM352" i="3"/>
  <c r="D352" i="3"/>
  <c r="H352" i="3"/>
  <c r="L352" i="3"/>
  <c r="P352" i="3"/>
  <c r="T352" i="3"/>
  <c r="X352" i="3"/>
  <c r="AB352" i="3"/>
  <c r="AN352" i="3"/>
  <c r="E352" i="3"/>
  <c r="I352" i="3"/>
  <c r="M352" i="3"/>
  <c r="Q352" i="3"/>
  <c r="U352" i="3"/>
  <c r="Y352" i="3"/>
  <c r="AC352" i="3"/>
  <c r="AG352" i="3"/>
  <c r="AK352" i="3"/>
  <c r="AO352" i="3"/>
  <c r="F336" i="3"/>
  <c r="J336" i="3"/>
  <c r="N336" i="3"/>
  <c r="R336" i="3"/>
  <c r="V336" i="3"/>
  <c r="Z336" i="3"/>
  <c r="AH336" i="3"/>
  <c r="AL336" i="3"/>
  <c r="G336" i="3"/>
  <c r="K336" i="3"/>
  <c r="O336" i="3"/>
  <c r="S336" i="3"/>
  <c r="W336" i="3"/>
  <c r="AA336" i="3"/>
  <c r="AE336" i="3"/>
  <c r="AI336" i="3"/>
  <c r="AM336" i="3"/>
  <c r="D336" i="3"/>
  <c r="H336" i="3"/>
  <c r="L336" i="3"/>
  <c r="P336" i="3"/>
  <c r="T336" i="3"/>
  <c r="X336" i="3"/>
  <c r="AB336" i="3"/>
  <c r="AN336" i="3"/>
  <c r="E336" i="3"/>
  <c r="I336" i="3"/>
  <c r="M336" i="3"/>
  <c r="Q336" i="3"/>
  <c r="U336" i="3"/>
  <c r="Y336" i="3"/>
  <c r="AC336" i="3"/>
  <c r="AG336" i="3"/>
  <c r="AK336" i="3"/>
  <c r="AO336" i="3"/>
  <c r="F320" i="3"/>
  <c r="J320" i="3"/>
  <c r="N320" i="3"/>
  <c r="R320" i="3"/>
  <c r="V320" i="3"/>
  <c r="Z320" i="3"/>
  <c r="AH320" i="3"/>
  <c r="AL320" i="3"/>
  <c r="G320" i="3"/>
  <c r="K320" i="3"/>
  <c r="O320" i="3"/>
  <c r="S320" i="3"/>
  <c r="W320" i="3"/>
  <c r="AA320" i="3"/>
  <c r="AE320" i="3"/>
  <c r="AI320" i="3"/>
  <c r="AM320" i="3"/>
  <c r="D320" i="3"/>
  <c r="H320" i="3"/>
  <c r="L320" i="3"/>
  <c r="P320" i="3"/>
  <c r="T320" i="3"/>
  <c r="X320" i="3"/>
  <c r="AB320" i="3"/>
  <c r="AN320" i="3"/>
  <c r="E320" i="3"/>
  <c r="I320" i="3"/>
  <c r="M320" i="3"/>
  <c r="Q320" i="3"/>
  <c r="U320" i="3"/>
  <c r="Y320" i="3"/>
  <c r="AC320" i="3"/>
  <c r="AG320" i="3"/>
  <c r="AK320" i="3"/>
  <c r="AO320" i="3"/>
  <c r="G306" i="3"/>
  <c r="K306" i="3"/>
  <c r="O306" i="3"/>
  <c r="S306" i="3"/>
  <c r="W306" i="3"/>
  <c r="AA306" i="3"/>
  <c r="AE306" i="3"/>
  <c r="AI306" i="3"/>
  <c r="AM306" i="3"/>
  <c r="D306" i="3"/>
  <c r="H306" i="3"/>
  <c r="L306" i="3"/>
  <c r="P306" i="3"/>
  <c r="T306" i="3"/>
  <c r="X306" i="3"/>
  <c r="AB306" i="3"/>
  <c r="AN306" i="3"/>
  <c r="E306" i="3"/>
  <c r="I306" i="3"/>
  <c r="M306" i="3"/>
  <c r="Q306" i="3"/>
  <c r="U306" i="3"/>
  <c r="Y306" i="3"/>
  <c r="AC306" i="3"/>
  <c r="AG306" i="3"/>
  <c r="AK306" i="3"/>
  <c r="AO306" i="3"/>
  <c r="F306" i="3"/>
  <c r="J306" i="3"/>
  <c r="N306" i="3"/>
  <c r="R306" i="3"/>
  <c r="V306" i="3"/>
  <c r="Z306" i="3"/>
  <c r="AH306" i="3"/>
  <c r="AL306" i="3"/>
  <c r="G290" i="3"/>
  <c r="K290" i="3"/>
  <c r="O290" i="3"/>
  <c r="S290" i="3"/>
  <c r="W290" i="3"/>
  <c r="AA290" i="3"/>
  <c r="AE290" i="3"/>
  <c r="AI290" i="3"/>
  <c r="AM290" i="3"/>
  <c r="D290" i="3"/>
  <c r="H290" i="3"/>
  <c r="L290" i="3"/>
  <c r="P290" i="3"/>
  <c r="T290" i="3"/>
  <c r="X290" i="3"/>
  <c r="AB290" i="3"/>
  <c r="AN290" i="3"/>
  <c r="E290" i="3"/>
  <c r="I290" i="3"/>
  <c r="M290" i="3"/>
  <c r="Q290" i="3"/>
  <c r="U290" i="3"/>
  <c r="Y290" i="3"/>
  <c r="AC290" i="3"/>
  <c r="AG290" i="3"/>
  <c r="AK290" i="3"/>
  <c r="AO290" i="3"/>
  <c r="F290" i="3"/>
  <c r="J290" i="3"/>
  <c r="N290" i="3"/>
  <c r="R290" i="3"/>
  <c r="V290" i="3"/>
  <c r="Z290" i="3"/>
  <c r="AH290" i="3"/>
  <c r="AL290" i="3"/>
  <c r="G274" i="3"/>
  <c r="K274" i="3"/>
  <c r="O274" i="3"/>
  <c r="S274" i="3"/>
  <c r="W274" i="3"/>
  <c r="AA274" i="3"/>
  <c r="AE274" i="3"/>
  <c r="AI274" i="3"/>
  <c r="AM274" i="3"/>
  <c r="D274" i="3"/>
  <c r="H274" i="3"/>
  <c r="L274" i="3"/>
  <c r="P274" i="3"/>
  <c r="T274" i="3"/>
  <c r="X274" i="3"/>
  <c r="AB274" i="3"/>
  <c r="AN274" i="3"/>
  <c r="E274" i="3"/>
  <c r="I274" i="3"/>
  <c r="M274" i="3"/>
  <c r="Q274" i="3"/>
  <c r="U274" i="3"/>
  <c r="Y274" i="3"/>
  <c r="AC274" i="3"/>
  <c r="AG274" i="3"/>
  <c r="AK274" i="3"/>
  <c r="AO274" i="3"/>
  <c r="F274" i="3"/>
  <c r="J274" i="3"/>
  <c r="N274" i="3"/>
  <c r="R274" i="3"/>
  <c r="V274" i="3"/>
  <c r="Z274" i="3"/>
  <c r="AH274" i="3"/>
  <c r="AL274" i="3"/>
  <c r="G258" i="3"/>
  <c r="K258" i="3"/>
  <c r="O258" i="3"/>
  <c r="S258" i="3"/>
  <c r="W258" i="3"/>
  <c r="AA258" i="3"/>
  <c r="AE258" i="3"/>
  <c r="AI258" i="3"/>
  <c r="AM258" i="3"/>
  <c r="D258" i="3"/>
  <c r="H258" i="3"/>
  <c r="L258" i="3"/>
  <c r="P258" i="3"/>
  <c r="T258" i="3"/>
  <c r="X258" i="3"/>
  <c r="AB258" i="3"/>
  <c r="AN258" i="3"/>
  <c r="E258" i="3"/>
  <c r="I258" i="3"/>
  <c r="M258" i="3"/>
  <c r="Q258" i="3"/>
  <c r="U258" i="3"/>
  <c r="Y258" i="3"/>
  <c r="AC258" i="3"/>
  <c r="AG258" i="3"/>
  <c r="AK258" i="3"/>
  <c r="AO258" i="3"/>
  <c r="F258" i="3"/>
  <c r="J258" i="3"/>
  <c r="N258" i="3"/>
  <c r="R258" i="3"/>
  <c r="V258" i="3"/>
  <c r="Z258" i="3"/>
  <c r="AH258" i="3"/>
  <c r="AL258" i="3"/>
  <c r="D305" i="3"/>
  <c r="H305" i="3"/>
  <c r="L305" i="3"/>
  <c r="P305" i="3"/>
  <c r="T305" i="3"/>
  <c r="X305" i="3"/>
  <c r="AB305" i="3"/>
  <c r="AN305" i="3"/>
  <c r="E305" i="3"/>
  <c r="I305" i="3"/>
  <c r="M305" i="3"/>
  <c r="Q305" i="3"/>
  <c r="U305" i="3"/>
  <c r="Y305" i="3"/>
  <c r="AC305" i="3"/>
  <c r="AG305" i="3"/>
  <c r="AK305" i="3"/>
  <c r="AO305" i="3"/>
  <c r="F305" i="3"/>
  <c r="J305" i="3"/>
  <c r="N305" i="3"/>
  <c r="R305" i="3"/>
  <c r="V305" i="3"/>
  <c r="Z305" i="3"/>
  <c r="AH305" i="3"/>
  <c r="AL305" i="3"/>
  <c r="G305" i="3"/>
  <c r="K305" i="3"/>
  <c r="O305" i="3"/>
  <c r="S305" i="3"/>
  <c r="W305" i="3"/>
  <c r="AA305" i="3"/>
  <c r="AE305" i="3"/>
  <c r="AI305" i="3"/>
  <c r="AM305" i="3"/>
  <c r="D289" i="3"/>
  <c r="H289" i="3"/>
  <c r="L289" i="3"/>
  <c r="P289" i="3"/>
  <c r="T289" i="3"/>
  <c r="X289" i="3"/>
  <c r="AB289" i="3"/>
  <c r="AN289" i="3"/>
  <c r="E289" i="3"/>
  <c r="I289" i="3"/>
  <c r="M289" i="3"/>
  <c r="Q289" i="3"/>
  <c r="U289" i="3"/>
  <c r="Y289" i="3"/>
  <c r="AC289" i="3"/>
  <c r="AG289" i="3"/>
  <c r="AK289" i="3"/>
  <c r="AO289" i="3"/>
  <c r="F289" i="3"/>
  <c r="J289" i="3"/>
  <c r="N289" i="3"/>
  <c r="R289" i="3"/>
  <c r="V289" i="3"/>
  <c r="Z289" i="3"/>
  <c r="AH289" i="3"/>
  <c r="AL289" i="3"/>
  <c r="G289" i="3"/>
  <c r="K289" i="3"/>
  <c r="O289" i="3"/>
  <c r="S289" i="3"/>
  <c r="W289" i="3"/>
  <c r="AA289" i="3"/>
  <c r="AE289" i="3"/>
  <c r="AI289" i="3"/>
  <c r="AM289" i="3"/>
  <c r="D273" i="3"/>
  <c r="H273" i="3"/>
  <c r="L273" i="3"/>
  <c r="P273" i="3"/>
  <c r="T273" i="3"/>
  <c r="X273" i="3"/>
  <c r="AB273" i="3"/>
  <c r="AN273" i="3"/>
  <c r="E273" i="3"/>
  <c r="I273" i="3"/>
  <c r="M273" i="3"/>
  <c r="Q273" i="3"/>
  <c r="U273" i="3"/>
  <c r="Y273" i="3"/>
  <c r="AC273" i="3"/>
  <c r="AG273" i="3"/>
  <c r="AK273" i="3"/>
  <c r="AO273" i="3"/>
  <c r="F273" i="3"/>
  <c r="J273" i="3"/>
  <c r="N273" i="3"/>
  <c r="R273" i="3"/>
  <c r="V273" i="3"/>
  <c r="Z273" i="3"/>
  <c r="AH273" i="3"/>
  <c r="AL273" i="3"/>
  <c r="G273" i="3"/>
  <c r="K273" i="3"/>
  <c r="O273" i="3"/>
  <c r="S273" i="3"/>
  <c r="W273" i="3"/>
  <c r="AA273" i="3"/>
  <c r="AE273" i="3"/>
  <c r="AI273" i="3"/>
  <c r="AM273" i="3"/>
  <c r="D257" i="3"/>
  <c r="H257" i="3"/>
  <c r="L257" i="3"/>
  <c r="P257" i="3"/>
  <c r="T257" i="3"/>
  <c r="X257" i="3"/>
  <c r="AB257" i="3"/>
  <c r="AN257" i="3"/>
  <c r="E257" i="3"/>
  <c r="I257" i="3"/>
  <c r="M257" i="3"/>
  <c r="Q257" i="3"/>
  <c r="U257" i="3"/>
  <c r="Y257" i="3"/>
  <c r="AC257" i="3"/>
  <c r="AG257" i="3"/>
  <c r="AK257" i="3"/>
  <c r="AO257" i="3"/>
  <c r="F257" i="3"/>
  <c r="J257" i="3"/>
  <c r="N257" i="3"/>
  <c r="R257" i="3"/>
  <c r="V257" i="3"/>
  <c r="Z257" i="3"/>
  <c r="AH257" i="3"/>
  <c r="AL257" i="3"/>
  <c r="G257" i="3"/>
  <c r="K257" i="3"/>
  <c r="O257" i="3"/>
  <c r="S257" i="3"/>
  <c r="W257" i="3"/>
  <c r="AA257" i="3"/>
  <c r="AE257" i="3"/>
  <c r="AI257" i="3"/>
  <c r="AM257" i="3"/>
  <c r="G239" i="3"/>
  <c r="K239" i="3"/>
  <c r="O239" i="3"/>
  <c r="S239" i="3"/>
  <c r="W239" i="3"/>
  <c r="AA239" i="3"/>
  <c r="AE239" i="3"/>
  <c r="AI239" i="3"/>
  <c r="AM239" i="3"/>
  <c r="E239" i="3"/>
  <c r="I239" i="3"/>
  <c r="M239" i="3"/>
  <c r="Q239" i="3"/>
  <c r="U239" i="3"/>
  <c r="Y239" i="3"/>
  <c r="AC239" i="3"/>
  <c r="AG239" i="3"/>
  <c r="AK239" i="3"/>
  <c r="AO239" i="3"/>
  <c r="D239" i="3"/>
  <c r="L239" i="3"/>
  <c r="T239" i="3"/>
  <c r="AB239" i="3"/>
  <c r="F239" i="3"/>
  <c r="N239" i="3"/>
  <c r="V239" i="3"/>
  <c r="AL239" i="3"/>
  <c r="H239" i="3"/>
  <c r="P239" i="3"/>
  <c r="X239" i="3"/>
  <c r="AN239" i="3"/>
  <c r="J239" i="3"/>
  <c r="R239" i="3"/>
  <c r="Z239" i="3"/>
  <c r="AH239" i="3"/>
  <c r="E296" i="3"/>
  <c r="I296" i="3"/>
  <c r="M296" i="3"/>
  <c r="Q296" i="3"/>
  <c r="U296" i="3"/>
  <c r="Y296" i="3"/>
  <c r="AC296" i="3"/>
  <c r="AG296" i="3"/>
  <c r="AK296" i="3"/>
  <c r="AO296" i="3"/>
  <c r="F296" i="3"/>
  <c r="J296" i="3"/>
  <c r="N296" i="3"/>
  <c r="R296" i="3"/>
  <c r="V296" i="3"/>
  <c r="Z296" i="3"/>
  <c r="AH296" i="3"/>
  <c r="AL296" i="3"/>
  <c r="G296" i="3"/>
  <c r="K296" i="3"/>
  <c r="O296" i="3"/>
  <c r="S296" i="3"/>
  <c r="W296" i="3"/>
  <c r="AA296" i="3"/>
  <c r="AE296" i="3"/>
  <c r="AI296" i="3"/>
  <c r="AM296" i="3"/>
  <c r="D296" i="3"/>
  <c r="H296" i="3"/>
  <c r="L296" i="3"/>
  <c r="P296" i="3"/>
  <c r="T296" i="3"/>
  <c r="X296" i="3"/>
  <c r="AB296" i="3"/>
  <c r="AN296" i="3"/>
  <c r="E280" i="3"/>
  <c r="I280" i="3"/>
  <c r="M280" i="3"/>
  <c r="Q280" i="3"/>
  <c r="U280" i="3"/>
  <c r="Y280" i="3"/>
  <c r="AC280" i="3"/>
  <c r="AG280" i="3"/>
  <c r="AK280" i="3"/>
  <c r="AO280" i="3"/>
  <c r="F280" i="3"/>
  <c r="J280" i="3"/>
  <c r="N280" i="3"/>
  <c r="R280" i="3"/>
  <c r="V280" i="3"/>
  <c r="Z280" i="3"/>
  <c r="AH280" i="3"/>
  <c r="AL280" i="3"/>
  <c r="G280" i="3"/>
  <c r="K280" i="3"/>
  <c r="O280" i="3"/>
  <c r="S280" i="3"/>
  <c r="W280" i="3"/>
  <c r="AA280" i="3"/>
  <c r="AE280" i="3"/>
  <c r="AI280" i="3"/>
  <c r="AM280" i="3"/>
  <c r="D280" i="3"/>
  <c r="H280" i="3"/>
  <c r="L280" i="3"/>
  <c r="P280" i="3"/>
  <c r="T280" i="3"/>
  <c r="X280" i="3"/>
  <c r="AB280" i="3"/>
  <c r="AN280" i="3"/>
  <c r="E264" i="3"/>
  <c r="I264" i="3"/>
  <c r="M264" i="3"/>
  <c r="Q264" i="3"/>
  <c r="U264" i="3"/>
  <c r="Y264" i="3"/>
  <c r="AC264" i="3"/>
  <c r="AG264" i="3"/>
  <c r="AK264" i="3"/>
  <c r="AO264" i="3"/>
  <c r="F264" i="3"/>
  <c r="J264" i="3"/>
  <c r="N264" i="3"/>
  <c r="R264" i="3"/>
  <c r="V264" i="3"/>
  <c r="Z264" i="3"/>
  <c r="AH264" i="3"/>
  <c r="AL264" i="3"/>
  <c r="G264" i="3"/>
  <c r="K264" i="3"/>
  <c r="O264" i="3"/>
  <c r="S264" i="3"/>
  <c r="W264" i="3"/>
  <c r="AA264" i="3"/>
  <c r="AE264" i="3"/>
  <c r="AI264" i="3"/>
  <c r="AM264" i="3"/>
  <c r="D264" i="3"/>
  <c r="H264" i="3"/>
  <c r="L264" i="3"/>
  <c r="P264" i="3"/>
  <c r="T264" i="3"/>
  <c r="X264" i="3"/>
  <c r="AB264" i="3"/>
  <c r="AN264" i="3"/>
  <c r="E248" i="3"/>
  <c r="I248" i="3"/>
  <c r="M248" i="3"/>
  <c r="Q248" i="3"/>
  <c r="U248" i="3"/>
  <c r="Y248" i="3"/>
  <c r="AC248" i="3"/>
  <c r="AG248" i="3"/>
  <c r="AK248" i="3"/>
  <c r="AO248" i="3"/>
  <c r="F248" i="3"/>
  <c r="J248" i="3"/>
  <c r="N248" i="3"/>
  <c r="R248" i="3"/>
  <c r="V248" i="3"/>
  <c r="Z248" i="3"/>
  <c r="AH248" i="3"/>
  <c r="AL248" i="3"/>
  <c r="G248" i="3"/>
  <c r="K248" i="3"/>
  <c r="O248" i="3"/>
  <c r="S248" i="3"/>
  <c r="W248" i="3"/>
  <c r="AA248" i="3"/>
  <c r="AE248" i="3"/>
  <c r="AI248" i="3"/>
  <c r="AM248" i="3"/>
  <c r="D248" i="3"/>
  <c r="H248" i="3"/>
  <c r="L248" i="3"/>
  <c r="P248" i="3"/>
  <c r="T248" i="3"/>
  <c r="X248" i="3"/>
  <c r="AB248" i="3"/>
  <c r="AN248" i="3"/>
  <c r="F303" i="3"/>
  <c r="J303" i="3"/>
  <c r="N303" i="3"/>
  <c r="R303" i="3"/>
  <c r="V303" i="3"/>
  <c r="Z303" i="3"/>
  <c r="AH303" i="3"/>
  <c r="AL303" i="3"/>
  <c r="G303" i="3"/>
  <c r="K303" i="3"/>
  <c r="O303" i="3"/>
  <c r="S303" i="3"/>
  <c r="W303" i="3"/>
  <c r="AA303" i="3"/>
  <c r="AE303" i="3"/>
  <c r="AI303" i="3"/>
  <c r="AM303" i="3"/>
  <c r="D303" i="3"/>
  <c r="H303" i="3"/>
  <c r="L303" i="3"/>
  <c r="P303" i="3"/>
  <c r="T303" i="3"/>
  <c r="X303" i="3"/>
  <c r="AB303" i="3"/>
  <c r="AN303" i="3"/>
  <c r="E303" i="3"/>
  <c r="I303" i="3"/>
  <c r="M303" i="3"/>
  <c r="Q303" i="3"/>
  <c r="U303" i="3"/>
  <c r="Y303" i="3"/>
  <c r="AC303" i="3"/>
  <c r="AG303" i="3"/>
  <c r="AK303" i="3"/>
  <c r="AO303" i="3"/>
  <c r="F287" i="3"/>
  <c r="J287" i="3"/>
  <c r="N287" i="3"/>
  <c r="R287" i="3"/>
  <c r="V287" i="3"/>
  <c r="Z287" i="3"/>
  <c r="AH287" i="3"/>
  <c r="AL287" i="3"/>
  <c r="G287" i="3"/>
  <c r="K287" i="3"/>
  <c r="O287" i="3"/>
  <c r="S287" i="3"/>
  <c r="W287" i="3"/>
  <c r="AA287" i="3"/>
  <c r="AE287" i="3"/>
  <c r="AI287" i="3"/>
  <c r="AM287" i="3"/>
  <c r="D287" i="3"/>
  <c r="H287" i="3"/>
  <c r="L287" i="3"/>
  <c r="P287" i="3"/>
  <c r="T287" i="3"/>
  <c r="X287" i="3"/>
  <c r="AB287" i="3"/>
  <c r="AN287" i="3"/>
  <c r="E287" i="3"/>
  <c r="I287" i="3"/>
  <c r="M287" i="3"/>
  <c r="Q287" i="3"/>
  <c r="U287" i="3"/>
  <c r="Y287" i="3"/>
  <c r="AC287" i="3"/>
  <c r="AG287" i="3"/>
  <c r="AK287" i="3"/>
  <c r="AO287" i="3"/>
  <c r="F271" i="3"/>
  <c r="J271" i="3"/>
  <c r="N271" i="3"/>
  <c r="R271" i="3"/>
  <c r="V271" i="3"/>
  <c r="Z271" i="3"/>
  <c r="AH271" i="3"/>
  <c r="AL271" i="3"/>
  <c r="G271" i="3"/>
  <c r="K271" i="3"/>
  <c r="O271" i="3"/>
  <c r="S271" i="3"/>
  <c r="W271" i="3"/>
  <c r="AA271" i="3"/>
  <c r="AE271" i="3"/>
  <c r="AI271" i="3"/>
  <c r="AM271" i="3"/>
  <c r="D271" i="3"/>
  <c r="H271" i="3"/>
  <c r="L271" i="3"/>
  <c r="P271" i="3"/>
  <c r="T271" i="3"/>
  <c r="X271" i="3"/>
  <c r="AB271" i="3"/>
  <c r="AN271" i="3"/>
  <c r="E271" i="3"/>
  <c r="I271" i="3"/>
  <c r="M271" i="3"/>
  <c r="Q271" i="3"/>
  <c r="U271" i="3"/>
  <c r="Y271" i="3"/>
  <c r="AC271" i="3"/>
  <c r="AG271" i="3"/>
  <c r="AK271" i="3"/>
  <c r="AO271" i="3"/>
  <c r="F255" i="3"/>
  <c r="J255" i="3"/>
  <c r="N255" i="3"/>
  <c r="R255" i="3"/>
  <c r="V255" i="3"/>
  <c r="Z255" i="3"/>
  <c r="AH255" i="3"/>
  <c r="AL255" i="3"/>
  <c r="G255" i="3"/>
  <c r="K255" i="3"/>
  <c r="O255" i="3"/>
  <c r="S255" i="3"/>
  <c r="W255" i="3"/>
  <c r="AA255" i="3"/>
  <c r="AE255" i="3"/>
  <c r="AI255" i="3"/>
  <c r="AM255" i="3"/>
  <c r="D255" i="3"/>
  <c r="H255" i="3"/>
  <c r="L255" i="3"/>
  <c r="P255" i="3"/>
  <c r="T255" i="3"/>
  <c r="X255" i="3"/>
  <c r="AB255" i="3"/>
  <c r="AN255" i="3"/>
  <c r="E255" i="3"/>
  <c r="I255" i="3"/>
  <c r="M255" i="3"/>
  <c r="Q255" i="3"/>
  <c r="U255" i="3"/>
  <c r="Y255" i="3"/>
  <c r="AC255" i="3"/>
  <c r="AG255" i="3"/>
  <c r="AK255" i="3"/>
  <c r="AO255" i="3"/>
  <c r="D242" i="3"/>
  <c r="H242" i="3"/>
  <c r="L242" i="3"/>
  <c r="P242" i="3"/>
  <c r="T242" i="3"/>
  <c r="X242" i="3"/>
  <c r="AB242" i="3"/>
  <c r="AN242" i="3"/>
  <c r="F242" i="3"/>
  <c r="J242" i="3"/>
  <c r="N242" i="3"/>
  <c r="R242" i="3"/>
  <c r="V242" i="3"/>
  <c r="Z242" i="3"/>
  <c r="AH242" i="3"/>
  <c r="AL242" i="3"/>
  <c r="E242" i="3"/>
  <c r="M242" i="3"/>
  <c r="U242" i="3"/>
  <c r="AC242" i="3"/>
  <c r="AK242" i="3"/>
  <c r="G242" i="3"/>
  <c r="O242" i="3"/>
  <c r="W242" i="3"/>
  <c r="AE242" i="3"/>
  <c r="AM242" i="3"/>
  <c r="I242" i="3"/>
  <c r="Q242" i="3"/>
  <c r="Y242" i="3"/>
  <c r="AG242" i="3"/>
  <c r="AO242" i="3"/>
  <c r="K242" i="3"/>
  <c r="S242" i="3"/>
  <c r="AA242" i="3"/>
  <c r="AI242" i="3"/>
  <c r="G226" i="3"/>
  <c r="K226" i="3"/>
  <c r="O226" i="3"/>
  <c r="S226" i="3"/>
  <c r="W226" i="3"/>
  <c r="AA226" i="3"/>
  <c r="AE226" i="3"/>
  <c r="AI226" i="3"/>
  <c r="AM226" i="3"/>
  <c r="D226" i="3"/>
  <c r="H226" i="3"/>
  <c r="L226" i="3"/>
  <c r="P226" i="3"/>
  <c r="T226" i="3"/>
  <c r="X226" i="3"/>
  <c r="AB226" i="3"/>
  <c r="AN226" i="3"/>
  <c r="E226" i="3"/>
  <c r="I226" i="3"/>
  <c r="M226" i="3"/>
  <c r="Q226" i="3"/>
  <c r="U226" i="3"/>
  <c r="Y226" i="3"/>
  <c r="AC226" i="3"/>
  <c r="AG226" i="3"/>
  <c r="AK226" i="3"/>
  <c r="AO226" i="3"/>
  <c r="F226" i="3"/>
  <c r="J226" i="3"/>
  <c r="N226" i="3"/>
  <c r="R226" i="3"/>
  <c r="V226" i="3"/>
  <c r="Z226" i="3"/>
  <c r="AH226" i="3"/>
  <c r="AL226" i="3"/>
  <c r="G210" i="3"/>
  <c r="K210" i="3"/>
  <c r="O210" i="3"/>
  <c r="S210" i="3"/>
  <c r="W210" i="3"/>
  <c r="AA210" i="3"/>
  <c r="AE210" i="3"/>
  <c r="AI210" i="3"/>
  <c r="AM210" i="3"/>
  <c r="D210" i="3"/>
  <c r="H210" i="3"/>
  <c r="L210" i="3"/>
  <c r="P210" i="3"/>
  <c r="T210" i="3"/>
  <c r="X210" i="3"/>
  <c r="AB210" i="3"/>
  <c r="AN210" i="3"/>
  <c r="E210" i="3"/>
  <c r="I210" i="3"/>
  <c r="M210" i="3"/>
  <c r="Q210" i="3"/>
  <c r="U210" i="3"/>
  <c r="Y210" i="3"/>
  <c r="AC210" i="3"/>
  <c r="AG210" i="3"/>
  <c r="AK210" i="3"/>
  <c r="AO210" i="3"/>
  <c r="F210" i="3"/>
  <c r="J210" i="3"/>
  <c r="N210" i="3"/>
  <c r="R210" i="3"/>
  <c r="V210" i="3"/>
  <c r="Z210" i="3"/>
  <c r="AH210" i="3"/>
  <c r="AL210" i="3"/>
  <c r="D233" i="3"/>
  <c r="H233" i="3"/>
  <c r="L233" i="3"/>
  <c r="P233" i="3"/>
  <c r="T233" i="3"/>
  <c r="X233" i="3"/>
  <c r="AB233" i="3"/>
  <c r="AN233" i="3"/>
  <c r="E233" i="3"/>
  <c r="I233" i="3"/>
  <c r="M233" i="3"/>
  <c r="Q233" i="3"/>
  <c r="U233" i="3"/>
  <c r="Y233" i="3"/>
  <c r="AC233" i="3"/>
  <c r="AG233" i="3"/>
  <c r="AK233" i="3"/>
  <c r="AO233" i="3"/>
  <c r="F233" i="3"/>
  <c r="J233" i="3"/>
  <c r="N233" i="3"/>
  <c r="R233" i="3"/>
  <c r="V233" i="3"/>
  <c r="Z233" i="3"/>
  <c r="AH233" i="3"/>
  <c r="AL233" i="3"/>
  <c r="G233" i="3"/>
  <c r="K233" i="3"/>
  <c r="O233" i="3"/>
  <c r="S233" i="3"/>
  <c r="W233" i="3"/>
  <c r="AA233" i="3"/>
  <c r="AE233" i="3"/>
  <c r="AI233" i="3"/>
  <c r="AM233" i="3"/>
  <c r="D217" i="3"/>
  <c r="H217" i="3"/>
  <c r="L217" i="3"/>
  <c r="P217" i="3"/>
  <c r="T217" i="3"/>
  <c r="X217" i="3"/>
  <c r="AB217" i="3"/>
  <c r="AN217" i="3"/>
  <c r="E217" i="3"/>
  <c r="I217" i="3"/>
  <c r="M217" i="3"/>
  <c r="Q217" i="3"/>
  <c r="U217" i="3"/>
  <c r="Y217" i="3"/>
  <c r="AC217" i="3"/>
  <c r="AG217" i="3"/>
  <c r="AK217" i="3"/>
  <c r="AO217" i="3"/>
  <c r="F217" i="3"/>
  <c r="J217" i="3"/>
  <c r="N217" i="3"/>
  <c r="R217" i="3"/>
  <c r="V217" i="3"/>
  <c r="Z217" i="3"/>
  <c r="AH217" i="3"/>
  <c r="AL217" i="3"/>
  <c r="G217" i="3"/>
  <c r="K217" i="3"/>
  <c r="O217" i="3"/>
  <c r="S217" i="3"/>
  <c r="W217" i="3"/>
  <c r="AA217" i="3"/>
  <c r="AE217" i="3"/>
  <c r="AI217" i="3"/>
  <c r="AM217" i="3"/>
  <c r="F240" i="3"/>
  <c r="J240" i="3"/>
  <c r="N240" i="3"/>
  <c r="R240" i="3"/>
  <c r="V240" i="3"/>
  <c r="Z240" i="3"/>
  <c r="AH240" i="3"/>
  <c r="AL240" i="3"/>
  <c r="D240" i="3"/>
  <c r="H240" i="3"/>
  <c r="L240" i="3"/>
  <c r="P240" i="3"/>
  <c r="T240" i="3"/>
  <c r="X240" i="3"/>
  <c r="AB240" i="3"/>
  <c r="AN240" i="3"/>
  <c r="K240" i="3"/>
  <c r="S240" i="3"/>
  <c r="AA240" i="3"/>
  <c r="AI240" i="3"/>
  <c r="E240" i="3"/>
  <c r="M240" i="3"/>
  <c r="U240" i="3"/>
  <c r="AC240" i="3"/>
  <c r="AK240" i="3"/>
  <c r="G240" i="3"/>
  <c r="O240" i="3"/>
  <c r="W240" i="3"/>
  <c r="AE240" i="3"/>
  <c r="AM240" i="3"/>
  <c r="I240" i="3"/>
  <c r="Q240" i="3"/>
  <c r="Y240" i="3"/>
  <c r="AG240" i="3"/>
  <c r="AO240" i="3"/>
  <c r="E224" i="3"/>
  <c r="I224" i="3"/>
  <c r="M224" i="3"/>
  <c r="Q224" i="3"/>
  <c r="U224" i="3"/>
  <c r="Y224" i="3"/>
  <c r="AC224" i="3"/>
  <c r="AG224" i="3"/>
  <c r="AK224" i="3"/>
  <c r="AO224" i="3"/>
  <c r="F224" i="3"/>
  <c r="J224" i="3"/>
  <c r="N224" i="3"/>
  <c r="R224" i="3"/>
  <c r="V224" i="3"/>
  <c r="Z224" i="3"/>
  <c r="AH224" i="3"/>
  <c r="AL224" i="3"/>
  <c r="G224" i="3"/>
  <c r="K224" i="3"/>
  <c r="O224" i="3"/>
  <c r="S224" i="3"/>
  <c r="W224" i="3"/>
  <c r="AA224" i="3"/>
  <c r="AE224" i="3"/>
  <c r="AI224" i="3"/>
  <c r="AM224" i="3"/>
  <c r="D224" i="3"/>
  <c r="H224" i="3"/>
  <c r="L224" i="3"/>
  <c r="P224" i="3"/>
  <c r="T224" i="3"/>
  <c r="X224" i="3"/>
  <c r="AB224" i="3"/>
  <c r="AN224" i="3"/>
  <c r="E208" i="3"/>
  <c r="I208" i="3"/>
  <c r="M208" i="3"/>
  <c r="Q208" i="3"/>
  <c r="U208" i="3"/>
  <c r="Y208" i="3"/>
  <c r="AC208" i="3"/>
  <c r="AG208" i="3"/>
  <c r="AK208" i="3"/>
  <c r="AO208" i="3"/>
  <c r="F208" i="3"/>
  <c r="J208" i="3"/>
  <c r="N208" i="3"/>
  <c r="R208" i="3"/>
  <c r="V208" i="3"/>
  <c r="Z208" i="3"/>
  <c r="AH208" i="3"/>
  <c r="AL208" i="3"/>
  <c r="G208" i="3"/>
  <c r="K208" i="3"/>
  <c r="O208" i="3"/>
  <c r="S208" i="3"/>
  <c r="W208" i="3"/>
  <c r="AA208" i="3"/>
  <c r="AE208" i="3"/>
  <c r="AI208" i="3"/>
  <c r="AM208" i="3"/>
  <c r="D208" i="3"/>
  <c r="H208" i="3"/>
  <c r="L208" i="3"/>
  <c r="P208" i="3"/>
  <c r="T208" i="3"/>
  <c r="X208" i="3"/>
  <c r="AB208" i="3"/>
  <c r="AN208" i="3"/>
  <c r="F223" i="3"/>
  <c r="J223" i="3"/>
  <c r="N223" i="3"/>
  <c r="R223" i="3"/>
  <c r="V223" i="3"/>
  <c r="Z223" i="3"/>
  <c r="AH223" i="3"/>
  <c r="AL223" i="3"/>
  <c r="G223" i="3"/>
  <c r="K223" i="3"/>
  <c r="O223" i="3"/>
  <c r="S223" i="3"/>
  <c r="W223" i="3"/>
  <c r="AA223" i="3"/>
  <c r="AE223" i="3"/>
  <c r="AI223" i="3"/>
  <c r="AM223" i="3"/>
  <c r="D223" i="3"/>
  <c r="H223" i="3"/>
  <c r="L223" i="3"/>
  <c r="P223" i="3"/>
  <c r="T223" i="3"/>
  <c r="X223" i="3"/>
  <c r="AB223" i="3"/>
  <c r="AN223" i="3"/>
  <c r="E223" i="3"/>
  <c r="I223" i="3"/>
  <c r="M223" i="3"/>
  <c r="Q223" i="3"/>
  <c r="U223" i="3"/>
  <c r="Y223" i="3"/>
  <c r="AC223" i="3"/>
  <c r="AG223" i="3"/>
  <c r="AK223" i="3"/>
  <c r="AO223" i="3"/>
  <c r="F207" i="3"/>
  <c r="J207" i="3"/>
  <c r="N207" i="3"/>
  <c r="R207" i="3"/>
  <c r="V207" i="3"/>
  <c r="Z207" i="3"/>
  <c r="AH207" i="3"/>
  <c r="AL207" i="3"/>
  <c r="G207" i="3"/>
  <c r="K207" i="3"/>
  <c r="O207" i="3"/>
  <c r="S207" i="3"/>
  <c r="W207" i="3"/>
  <c r="AA207" i="3"/>
  <c r="AE207" i="3"/>
  <c r="AI207" i="3"/>
  <c r="AM207" i="3"/>
  <c r="D207" i="3"/>
  <c r="H207" i="3"/>
  <c r="L207" i="3"/>
  <c r="P207" i="3"/>
  <c r="T207" i="3"/>
  <c r="X207" i="3"/>
  <c r="AB207" i="3"/>
  <c r="AN207" i="3"/>
  <c r="E207" i="3"/>
  <c r="I207" i="3"/>
  <c r="M207" i="3"/>
  <c r="Q207" i="3"/>
  <c r="U207" i="3"/>
  <c r="Y207" i="3"/>
  <c r="AC207" i="3"/>
  <c r="AG207" i="3"/>
  <c r="AK207" i="3"/>
  <c r="AO207" i="3"/>
  <c r="G190" i="3"/>
  <c r="K190" i="3"/>
  <c r="O190" i="3"/>
  <c r="S190" i="3"/>
  <c r="W190" i="3"/>
  <c r="AA190" i="3"/>
  <c r="AE190" i="3"/>
  <c r="AI190" i="3"/>
  <c r="AM190" i="3"/>
  <c r="D190" i="3"/>
  <c r="H190" i="3"/>
  <c r="L190" i="3"/>
  <c r="P190" i="3"/>
  <c r="T190" i="3"/>
  <c r="X190" i="3"/>
  <c r="AB190" i="3"/>
  <c r="AN190" i="3"/>
  <c r="E190" i="3"/>
  <c r="I190" i="3"/>
  <c r="M190" i="3"/>
  <c r="Q190" i="3"/>
  <c r="U190" i="3"/>
  <c r="Y190" i="3"/>
  <c r="AC190" i="3"/>
  <c r="AG190" i="3"/>
  <c r="AK190" i="3"/>
  <c r="AO190" i="3"/>
  <c r="F190" i="3"/>
  <c r="J190" i="3"/>
  <c r="N190" i="3"/>
  <c r="R190" i="3"/>
  <c r="V190" i="3"/>
  <c r="Z190" i="3"/>
  <c r="AH190" i="3"/>
  <c r="AL190" i="3"/>
  <c r="G174" i="3"/>
  <c r="K174" i="3"/>
  <c r="O174" i="3"/>
  <c r="S174" i="3"/>
  <c r="W174" i="3"/>
  <c r="AA174" i="3"/>
  <c r="AE174" i="3"/>
  <c r="AI174" i="3"/>
  <c r="AM174" i="3"/>
  <c r="D174" i="3"/>
  <c r="H174" i="3"/>
  <c r="L174" i="3"/>
  <c r="P174" i="3"/>
  <c r="T174" i="3"/>
  <c r="X174" i="3"/>
  <c r="AB174" i="3"/>
  <c r="AN174" i="3"/>
  <c r="E174" i="3"/>
  <c r="I174" i="3"/>
  <c r="M174" i="3"/>
  <c r="Q174" i="3"/>
  <c r="U174" i="3"/>
  <c r="Y174" i="3"/>
  <c r="AC174" i="3"/>
  <c r="AG174" i="3"/>
  <c r="AK174" i="3"/>
  <c r="AO174" i="3"/>
  <c r="F174" i="3"/>
  <c r="J174" i="3"/>
  <c r="N174" i="3"/>
  <c r="R174" i="3"/>
  <c r="V174" i="3"/>
  <c r="Z174" i="3"/>
  <c r="AH174" i="3"/>
  <c r="AL174" i="3"/>
  <c r="D193" i="3"/>
  <c r="H193" i="3"/>
  <c r="L193" i="3"/>
  <c r="P193" i="3"/>
  <c r="T193" i="3"/>
  <c r="X193" i="3"/>
  <c r="AB193" i="3"/>
  <c r="AN193" i="3"/>
  <c r="E193" i="3"/>
  <c r="I193" i="3"/>
  <c r="M193" i="3"/>
  <c r="Q193" i="3"/>
  <c r="U193" i="3"/>
  <c r="Y193" i="3"/>
  <c r="AC193" i="3"/>
  <c r="AG193" i="3"/>
  <c r="AK193" i="3"/>
  <c r="AO193" i="3"/>
  <c r="F193" i="3"/>
  <c r="J193" i="3"/>
  <c r="N193" i="3"/>
  <c r="R193" i="3"/>
  <c r="V193" i="3"/>
  <c r="Z193" i="3"/>
  <c r="AH193" i="3"/>
  <c r="AL193" i="3"/>
  <c r="G193" i="3"/>
  <c r="K193" i="3"/>
  <c r="O193" i="3"/>
  <c r="S193" i="3"/>
  <c r="W193" i="3"/>
  <c r="AA193" i="3"/>
  <c r="AE193" i="3"/>
  <c r="AI193" i="3"/>
  <c r="AM193" i="3"/>
  <c r="D177" i="3"/>
  <c r="H177" i="3"/>
  <c r="L177" i="3"/>
  <c r="P177" i="3"/>
  <c r="T177" i="3"/>
  <c r="X177" i="3"/>
  <c r="AB177" i="3"/>
  <c r="AN177" i="3"/>
  <c r="E177" i="3"/>
  <c r="I177" i="3"/>
  <c r="M177" i="3"/>
  <c r="Q177" i="3"/>
  <c r="U177" i="3"/>
  <c r="Y177" i="3"/>
  <c r="AC177" i="3"/>
  <c r="AG177" i="3"/>
  <c r="AK177" i="3"/>
  <c r="AO177" i="3"/>
  <c r="F177" i="3"/>
  <c r="J177" i="3"/>
  <c r="N177" i="3"/>
  <c r="R177" i="3"/>
  <c r="V177" i="3"/>
  <c r="Z177" i="3"/>
  <c r="AH177" i="3"/>
  <c r="AL177" i="3"/>
  <c r="G177" i="3"/>
  <c r="K177" i="3"/>
  <c r="O177" i="3"/>
  <c r="S177" i="3"/>
  <c r="W177" i="3"/>
  <c r="AA177" i="3"/>
  <c r="AE177" i="3"/>
  <c r="AI177" i="3"/>
  <c r="AM177" i="3"/>
  <c r="E200" i="3"/>
  <c r="I200" i="3"/>
  <c r="M200" i="3"/>
  <c r="Q200" i="3"/>
  <c r="U200" i="3"/>
  <c r="Y200" i="3"/>
  <c r="AC200" i="3"/>
  <c r="AG200" i="3"/>
  <c r="AK200" i="3"/>
  <c r="AO200" i="3"/>
  <c r="F200" i="3"/>
  <c r="J200" i="3"/>
  <c r="N200" i="3"/>
  <c r="R200" i="3"/>
  <c r="V200" i="3"/>
  <c r="Z200" i="3"/>
  <c r="AH200" i="3"/>
  <c r="AL200" i="3"/>
  <c r="G200" i="3"/>
  <c r="K200" i="3"/>
  <c r="O200" i="3"/>
  <c r="S200" i="3"/>
  <c r="W200" i="3"/>
  <c r="AA200" i="3"/>
  <c r="AE200" i="3"/>
  <c r="AI200" i="3"/>
  <c r="AM200" i="3"/>
  <c r="D200" i="3"/>
  <c r="H200" i="3"/>
  <c r="L200" i="3"/>
  <c r="P200" i="3"/>
  <c r="T200" i="3"/>
  <c r="X200" i="3"/>
  <c r="AB200" i="3"/>
  <c r="AN200" i="3"/>
  <c r="E184" i="3"/>
  <c r="I184" i="3"/>
  <c r="M184" i="3"/>
  <c r="Q184" i="3"/>
  <c r="U184" i="3"/>
  <c r="Y184" i="3"/>
  <c r="AC184" i="3"/>
  <c r="AG184" i="3"/>
  <c r="AK184" i="3"/>
  <c r="AO184" i="3"/>
  <c r="F184" i="3"/>
  <c r="J184" i="3"/>
  <c r="N184" i="3"/>
  <c r="R184" i="3"/>
  <c r="V184" i="3"/>
  <c r="Z184" i="3"/>
  <c r="AH184" i="3"/>
  <c r="AL184" i="3"/>
  <c r="G184" i="3"/>
  <c r="K184" i="3"/>
  <c r="O184" i="3"/>
  <c r="S184" i="3"/>
  <c r="W184" i="3"/>
  <c r="AA184" i="3"/>
  <c r="AE184" i="3"/>
  <c r="AI184" i="3"/>
  <c r="AM184" i="3"/>
  <c r="D184" i="3"/>
  <c r="H184" i="3"/>
  <c r="L184" i="3"/>
  <c r="P184" i="3"/>
  <c r="T184" i="3"/>
  <c r="X184" i="3"/>
  <c r="AB184" i="3"/>
  <c r="AN184" i="3"/>
  <c r="E168" i="3"/>
  <c r="I168" i="3"/>
  <c r="M168" i="3"/>
  <c r="Q168" i="3"/>
  <c r="U168" i="3"/>
  <c r="Y168" i="3"/>
  <c r="AC168" i="3"/>
  <c r="AG168" i="3"/>
  <c r="AK168" i="3"/>
  <c r="AO168" i="3"/>
  <c r="G168" i="3"/>
  <c r="K168" i="3"/>
  <c r="O168" i="3"/>
  <c r="S168" i="3"/>
  <c r="W168" i="3"/>
  <c r="AA168" i="3"/>
  <c r="AE168" i="3"/>
  <c r="AI168" i="3"/>
  <c r="AM168" i="3"/>
  <c r="F168" i="3"/>
  <c r="N168" i="3"/>
  <c r="V168" i="3"/>
  <c r="AL168" i="3"/>
  <c r="H168" i="3"/>
  <c r="P168" i="3"/>
  <c r="X168" i="3"/>
  <c r="AN168" i="3"/>
  <c r="J168" i="3"/>
  <c r="R168" i="3"/>
  <c r="Z168" i="3"/>
  <c r="AH168" i="3"/>
  <c r="D168" i="3"/>
  <c r="L168" i="3"/>
  <c r="T168" i="3"/>
  <c r="AB168" i="3"/>
  <c r="F187" i="3"/>
  <c r="J187" i="3"/>
  <c r="N187" i="3"/>
  <c r="R187" i="3"/>
  <c r="V187" i="3"/>
  <c r="Z187" i="3"/>
  <c r="AH187" i="3"/>
  <c r="AL187" i="3"/>
  <c r="G187" i="3"/>
  <c r="K187" i="3"/>
  <c r="O187" i="3"/>
  <c r="S187" i="3"/>
  <c r="W187" i="3"/>
  <c r="AA187" i="3"/>
  <c r="AE187" i="3"/>
  <c r="AI187" i="3"/>
  <c r="AM187" i="3"/>
  <c r="D187" i="3"/>
  <c r="H187" i="3"/>
  <c r="L187" i="3"/>
  <c r="P187" i="3"/>
  <c r="T187" i="3"/>
  <c r="X187" i="3"/>
  <c r="AB187" i="3"/>
  <c r="AN187" i="3"/>
  <c r="E187" i="3"/>
  <c r="I187" i="3"/>
  <c r="M187" i="3"/>
  <c r="Q187" i="3"/>
  <c r="U187" i="3"/>
  <c r="Y187" i="3"/>
  <c r="AC187" i="3"/>
  <c r="AG187" i="3"/>
  <c r="AK187" i="3"/>
  <c r="AO187" i="3"/>
  <c r="G170" i="3"/>
  <c r="K170" i="3"/>
  <c r="O170" i="3"/>
  <c r="S170" i="3"/>
  <c r="W170" i="3"/>
  <c r="AA170" i="3"/>
  <c r="AE170" i="3"/>
  <c r="AI170" i="3"/>
  <c r="AM170" i="3"/>
  <c r="E170" i="3"/>
  <c r="I170" i="3"/>
  <c r="M170" i="3"/>
  <c r="Q170" i="3"/>
  <c r="U170" i="3"/>
  <c r="Y170" i="3"/>
  <c r="AC170" i="3"/>
  <c r="AG170" i="3"/>
  <c r="AK170" i="3"/>
  <c r="AO170" i="3"/>
  <c r="H170" i="3"/>
  <c r="P170" i="3"/>
  <c r="X170" i="3"/>
  <c r="AN170" i="3"/>
  <c r="J170" i="3"/>
  <c r="R170" i="3"/>
  <c r="Z170" i="3"/>
  <c r="AH170" i="3"/>
  <c r="D170" i="3"/>
  <c r="L170" i="3"/>
  <c r="T170" i="3"/>
  <c r="AB170" i="3"/>
  <c r="F170" i="3"/>
  <c r="N170" i="3"/>
  <c r="V170" i="3"/>
  <c r="AL170" i="3"/>
  <c r="G157" i="3"/>
  <c r="K157" i="3"/>
  <c r="O157" i="3"/>
  <c r="S157" i="3"/>
  <c r="W157" i="3"/>
  <c r="AA157" i="3"/>
  <c r="AE157" i="3"/>
  <c r="AI157" i="3"/>
  <c r="AM157" i="3"/>
  <c r="D157" i="3"/>
  <c r="H157" i="3"/>
  <c r="L157" i="3"/>
  <c r="P157" i="3"/>
  <c r="T157" i="3"/>
  <c r="X157" i="3"/>
  <c r="AB157" i="3"/>
  <c r="AN157" i="3"/>
  <c r="E157" i="3"/>
  <c r="I157" i="3"/>
  <c r="M157" i="3"/>
  <c r="Q157" i="3"/>
  <c r="U157" i="3"/>
  <c r="Y157" i="3"/>
  <c r="AC157" i="3"/>
  <c r="AG157" i="3"/>
  <c r="AK157" i="3"/>
  <c r="AO157" i="3"/>
  <c r="F157" i="3"/>
  <c r="J157" i="3"/>
  <c r="N157" i="3"/>
  <c r="R157" i="3"/>
  <c r="V157" i="3"/>
  <c r="Z157" i="3"/>
  <c r="AH157" i="3"/>
  <c r="AL157" i="3"/>
  <c r="G141" i="3"/>
  <c r="K141" i="3"/>
  <c r="O141" i="3"/>
  <c r="S141" i="3"/>
  <c r="W141" i="3"/>
  <c r="AA141" i="3"/>
  <c r="AE141" i="3"/>
  <c r="AI141" i="3"/>
  <c r="AM141" i="3"/>
  <c r="D141" i="3"/>
  <c r="H141" i="3"/>
  <c r="L141" i="3"/>
  <c r="P141" i="3"/>
  <c r="T141" i="3"/>
  <c r="X141" i="3"/>
  <c r="AB141" i="3"/>
  <c r="AN141" i="3"/>
  <c r="E141" i="3"/>
  <c r="I141" i="3"/>
  <c r="M141" i="3"/>
  <c r="Q141" i="3"/>
  <c r="U141" i="3"/>
  <c r="Y141" i="3"/>
  <c r="AC141" i="3"/>
  <c r="AG141" i="3"/>
  <c r="AK141" i="3"/>
  <c r="AO141" i="3"/>
  <c r="F141" i="3"/>
  <c r="J141" i="3"/>
  <c r="N141" i="3"/>
  <c r="R141" i="3"/>
  <c r="V141" i="3"/>
  <c r="Z141" i="3"/>
  <c r="AH141" i="3"/>
  <c r="AL141" i="3"/>
  <c r="D152" i="3"/>
  <c r="H152" i="3"/>
  <c r="L152" i="3"/>
  <c r="P152" i="3"/>
  <c r="T152" i="3"/>
  <c r="X152" i="3"/>
  <c r="AB152" i="3"/>
  <c r="AN152" i="3"/>
  <c r="E152" i="3"/>
  <c r="I152" i="3"/>
  <c r="M152" i="3"/>
  <c r="Q152" i="3"/>
  <c r="U152" i="3"/>
  <c r="Y152" i="3"/>
  <c r="AC152" i="3"/>
  <c r="AG152" i="3"/>
  <c r="AK152" i="3"/>
  <c r="AO152" i="3"/>
  <c r="F152" i="3"/>
  <c r="J152" i="3"/>
  <c r="N152" i="3"/>
  <c r="R152" i="3"/>
  <c r="V152" i="3"/>
  <c r="Z152" i="3"/>
  <c r="AH152" i="3"/>
  <c r="AL152" i="3"/>
  <c r="G152" i="3"/>
  <c r="K152" i="3"/>
  <c r="O152" i="3"/>
  <c r="S152" i="3"/>
  <c r="W152" i="3"/>
  <c r="AA152" i="3"/>
  <c r="AE152" i="3"/>
  <c r="AI152" i="3"/>
  <c r="AM152" i="3"/>
  <c r="G132" i="3"/>
  <c r="K132" i="3"/>
  <c r="O132" i="3"/>
  <c r="S132" i="3"/>
  <c r="W132" i="3"/>
  <c r="AA132" i="3"/>
  <c r="AE132" i="3"/>
  <c r="AI132" i="3"/>
  <c r="AM132" i="3"/>
  <c r="D132" i="3"/>
  <c r="H132" i="3"/>
  <c r="E132" i="3"/>
  <c r="I132" i="3"/>
  <c r="M132" i="3"/>
  <c r="Q132" i="3"/>
  <c r="U132" i="3"/>
  <c r="Y132" i="3"/>
  <c r="AC132" i="3"/>
  <c r="AG132" i="3"/>
  <c r="AK132" i="3"/>
  <c r="AO132" i="3"/>
  <c r="F132" i="3"/>
  <c r="P132" i="3"/>
  <c r="X132" i="3"/>
  <c r="AN132" i="3"/>
  <c r="J132" i="3"/>
  <c r="R132" i="3"/>
  <c r="Z132" i="3"/>
  <c r="AH132" i="3"/>
  <c r="L132" i="3"/>
  <c r="T132" i="3"/>
  <c r="AB132" i="3"/>
  <c r="N132" i="3"/>
  <c r="V132" i="3"/>
  <c r="AL132" i="3"/>
  <c r="E159" i="3"/>
  <c r="I159" i="3"/>
  <c r="M159" i="3"/>
  <c r="Q159" i="3"/>
  <c r="U159" i="3"/>
  <c r="Y159" i="3"/>
  <c r="AC159" i="3"/>
  <c r="AG159" i="3"/>
  <c r="AK159" i="3"/>
  <c r="AO159" i="3"/>
  <c r="F159" i="3"/>
  <c r="J159" i="3"/>
  <c r="N159" i="3"/>
  <c r="R159" i="3"/>
  <c r="V159" i="3"/>
  <c r="Z159" i="3"/>
  <c r="AH159" i="3"/>
  <c r="AL159" i="3"/>
  <c r="G159" i="3"/>
  <c r="K159" i="3"/>
  <c r="O159" i="3"/>
  <c r="S159" i="3"/>
  <c r="W159" i="3"/>
  <c r="AA159" i="3"/>
  <c r="AE159" i="3"/>
  <c r="AI159" i="3"/>
  <c r="AM159" i="3"/>
  <c r="D159" i="3"/>
  <c r="H159" i="3"/>
  <c r="L159" i="3"/>
  <c r="P159" i="3"/>
  <c r="T159" i="3"/>
  <c r="X159" i="3"/>
  <c r="AB159" i="3"/>
  <c r="AN159" i="3"/>
  <c r="E143" i="3"/>
  <c r="I143" i="3"/>
  <c r="M143" i="3"/>
  <c r="Q143" i="3"/>
  <c r="U143" i="3"/>
  <c r="Y143" i="3"/>
  <c r="AC143" i="3"/>
  <c r="AG143" i="3"/>
  <c r="AK143" i="3"/>
  <c r="AO143" i="3"/>
  <c r="F143" i="3"/>
  <c r="J143" i="3"/>
  <c r="N143" i="3"/>
  <c r="R143" i="3"/>
  <c r="V143" i="3"/>
  <c r="Z143" i="3"/>
  <c r="AH143" i="3"/>
  <c r="AL143" i="3"/>
  <c r="G143" i="3"/>
  <c r="K143" i="3"/>
  <c r="O143" i="3"/>
  <c r="S143" i="3"/>
  <c r="W143" i="3"/>
  <c r="AA143" i="3"/>
  <c r="AE143" i="3"/>
  <c r="AI143" i="3"/>
  <c r="AM143" i="3"/>
  <c r="D143" i="3"/>
  <c r="H143" i="3"/>
  <c r="L143" i="3"/>
  <c r="P143" i="3"/>
  <c r="T143" i="3"/>
  <c r="X143" i="3"/>
  <c r="AB143" i="3"/>
  <c r="AN143" i="3"/>
  <c r="F154" i="3"/>
  <c r="J154" i="3"/>
  <c r="N154" i="3"/>
  <c r="R154" i="3"/>
  <c r="V154" i="3"/>
  <c r="Z154" i="3"/>
  <c r="AH154" i="3"/>
  <c r="AL154" i="3"/>
  <c r="G154" i="3"/>
  <c r="K154" i="3"/>
  <c r="O154" i="3"/>
  <c r="S154" i="3"/>
  <c r="W154" i="3"/>
  <c r="AA154" i="3"/>
  <c r="AE154" i="3"/>
  <c r="AI154" i="3"/>
  <c r="AM154" i="3"/>
  <c r="D154" i="3"/>
  <c r="H154" i="3"/>
  <c r="L154" i="3"/>
  <c r="P154" i="3"/>
  <c r="T154" i="3"/>
  <c r="X154" i="3"/>
  <c r="AB154" i="3"/>
  <c r="AN154" i="3"/>
  <c r="E154" i="3"/>
  <c r="I154" i="3"/>
  <c r="M154" i="3"/>
  <c r="Q154" i="3"/>
  <c r="U154" i="3"/>
  <c r="Y154" i="3"/>
  <c r="AC154" i="3"/>
  <c r="AG154" i="3"/>
  <c r="AK154" i="3"/>
  <c r="AO154" i="3"/>
  <c r="G140" i="3"/>
  <c r="K140" i="3"/>
  <c r="O140" i="3"/>
  <c r="S140" i="3"/>
  <c r="W140" i="3"/>
  <c r="AA140" i="3"/>
  <c r="AE140" i="3"/>
  <c r="E140" i="3"/>
  <c r="I140" i="3"/>
  <c r="M140" i="3"/>
  <c r="Q140" i="3"/>
  <c r="U140" i="3"/>
  <c r="Y140" i="3"/>
  <c r="AC140" i="3"/>
  <c r="H140" i="3"/>
  <c r="P140" i="3"/>
  <c r="X140" i="3"/>
  <c r="AN140" i="3"/>
  <c r="J140" i="3"/>
  <c r="R140" i="3"/>
  <c r="Z140" i="3"/>
  <c r="AG140" i="3"/>
  <c r="AK140" i="3"/>
  <c r="AO140" i="3"/>
  <c r="D140" i="3"/>
  <c r="L140" i="3"/>
  <c r="T140" i="3"/>
  <c r="AB140" i="3"/>
  <c r="AH140" i="3"/>
  <c r="AL140" i="3"/>
  <c r="F140" i="3"/>
  <c r="N140" i="3"/>
  <c r="V140" i="3"/>
  <c r="AI140" i="3"/>
  <c r="AM140" i="3"/>
  <c r="G127" i="3"/>
  <c r="K127" i="3"/>
  <c r="O127" i="3"/>
  <c r="S127" i="3"/>
  <c r="W127" i="3"/>
  <c r="AA127" i="3"/>
  <c r="AE127" i="3"/>
  <c r="AI127" i="3"/>
  <c r="AM127" i="3"/>
  <c r="D127" i="3"/>
  <c r="H127" i="3"/>
  <c r="L127" i="3"/>
  <c r="P127" i="3"/>
  <c r="T127" i="3"/>
  <c r="X127" i="3"/>
  <c r="AB127" i="3"/>
  <c r="AN127" i="3"/>
  <c r="E127" i="3"/>
  <c r="I127" i="3"/>
  <c r="M127" i="3"/>
  <c r="Q127" i="3"/>
  <c r="U127" i="3"/>
  <c r="Y127" i="3"/>
  <c r="AC127" i="3"/>
  <c r="AG127" i="3"/>
  <c r="AK127" i="3"/>
  <c r="AO127" i="3"/>
  <c r="F127" i="3"/>
  <c r="J127" i="3"/>
  <c r="N127" i="3"/>
  <c r="R127" i="3"/>
  <c r="V127" i="3"/>
  <c r="Z127" i="3"/>
  <c r="AH127" i="3"/>
  <c r="AL127" i="3"/>
  <c r="G111" i="3"/>
  <c r="K111" i="3"/>
  <c r="O111" i="3"/>
  <c r="S111" i="3"/>
  <c r="W111" i="3"/>
  <c r="AA111" i="3"/>
  <c r="AE111" i="3"/>
  <c r="AI111" i="3"/>
  <c r="AM111" i="3"/>
  <c r="D111" i="3"/>
  <c r="H111" i="3"/>
  <c r="L111" i="3"/>
  <c r="P111" i="3"/>
  <c r="T111" i="3"/>
  <c r="X111" i="3"/>
  <c r="AB111" i="3"/>
  <c r="AN111" i="3"/>
  <c r="E111" i="3"/>
  <c r="I111" i="3"/>
  <c r="M111" i="3"/>
  <c r="Q111" i="3"/>
  <c r="U111" i="3"/>
  <c r="Y111" i="3"/>
  <c r="AC111" i="3"/>
  <c r="AG111" i="3"/>
  <c r="AK111" i="3"/>
  <c r="AO111" i="3"/>
  <c r="F111" i="3"/>
  <c r="J111" i="3"/>
  <c r="N111" i="3"/>
  <c r="R111" i="3"/>
  <c r="V111" i="3"/>
  <c r="Z111" i="3"/>
  <c r="AH111" i="3"/>
  <c r="AL111" i="3"/>
  <c r="D122" i="3"/>
  <c r="H122" i="3"/>
  <c r="L122" i="3"/>
  <c r="P122" i="3"/>
  <c r="T122" i="3"/>
  <c r="X122" i="3"/>
  <c r="AB122" i="3"/>
  <c r="AN122" i="3"/>
  <c r="E122" i="3"/>
  <c r="I122" i="3"/>
  <c r="M122" i="3"/>
  <c r="Q122" i="3"/>
  <c r="U122" i="3"/>
  <c r="Y122" i="3"/>
  <c r="AC122" i="3"/>
  <c r="AG122" i="3"/>
  <c r="AK122" i="3"/>
  <c r="AO122" i="3"/>
  <c r="F122" i="3"/>
  <c r="J122" i="3"/>
  <c r="N122" i="3"/>
  <c r="R122" i="3"/>
  <c r="V122" i="3"/>
  <c r="Z122" i="3"/>
  <c r="AH122" i="3"/>
  <c r="AL122" i="3"/>
  <c r="G122" i="3"/>
  <c r="K122" i="3"/>
  <c r="O122" i="3"/>
  <c r="S122" i="3"/>
  <c r="W122" i="3"/>
  <c r="AA122" i="3"/>
  <c r="AE122" i="3"/>
  <c r="AI122" i="3"/>
  <c r="AM122" i="3"/>
  <c r="E102" i="3"/>
  <c r="I102" i="3"/>
  <c r="M102" i="3"/>
  <c r="Q102" i="3"/>
  <c r="U102" i="3"/>
  <c r="Y102" i="3"/>
  <c r="AC102" i="3"/>
  <c r="AG102" i="3"/>
  <c r="AK102" i="3"/>
  <c r="AO102" i="3"/>
  <c r="G102" i="3"/>
  <c r="K102" i="3"/>
  <c r="O102" i="3"/>
  <c r="S102" i="3"/>
  <c r="W102" i="3"/>
  <c r="AA102" i="3"/>
  <c r="AE102" i="3"/>
  <c r="AI102" i="3"/>
  <c r="AM102" i="3"/>
  <c r="D102" i="3"/>
  <c r="L102" i="3"/>
  <c r="T102" i="3"/>
  <c r="AB102" i="3"/>
  <c r="F102" i="3"/>
  <c r="N102" i="3"/>
  <c r="V102" i="3"/>
  <c r="AL102" i="3"/>
  <c r="H102" i="3"/>
  <c r="P102" i="3"/>
  <c r="X102" i="3"/>
  <c r="AN102" i="3"/>
  <c r="J102" i="3"/>
  <c r="R102" i="3"/>
  <c r="Z102" i="3"/>
  <c r="AH102" i="3"/>
  <c r="E125" i="3"/>
  <c r="I125" i="3"/>
  <c r="M125" i="3"/>
  <c r="Q125" i="3"/>
  <c r="U125" i="3"/>
  <c r="Y125" i="3"/>
  <c r="AC125" i="3"/>
  <c r="AG125" i="3"/>
  <c r="AK125" i="3"/>
  <c r="AO125" i="3"/>
  <c r="F125" i="3"/>
  <c r="J125" i="3"/>
  <c r="N125" i="3"/>
  <c r="R125" i="3"/>
  <c r="V125" i="3"/>
  <c r="Z125" i="3"/>
  <c r="AH125" i="3"/>
  <c r="AL125" i="3"/>
  <c r="G125" i="3"/>
  <c r="K125" i="3"/>
  <c r="O125" i="3"/>
  <c r="S125" i="3"/>
  <c r="W125" i="3"/>
  <c r="AA125" i="3"/>
  <c r="AE125" i="3"/>
  <c r="AI125" i="3"/>
  <c r="AM125" i="3"/>
  <c r="D125" i="3"/>
  <c r="H125" i="3"/>
  <c r="L125" i="3"/>
  <c r="P125" i="3"/>
  <c r="T125" i="3"/>
  <c r="X125" i="3"/>
  <c r="AB125" i="3"/>
  <c r="AN125" i="3"/>
  <c r="G104" i="3"/>
  <c r="K104" i="3"/>
  <c r="O104" i="3"/>
  <c r="S104" i="3"/>
  <c r="W104" i="3"/>
  <c r="AA104" i="3"/>
  <c r="AE104" i="3"/>
  <c r="AI104" i="3"/>
  <c r="AM104" i="3"/>
  <c r="E104" i="3"/>
  <c r="I104" i="3"/>
  <c r="M104" i="3"/>
  <c r="Q104" i="3"/>
  <c r="U104" i="3"/>
  <c r="Y104" i="3"/>
  <c r="AC104" i="3"/>
  <c r="AG104" i="3"/>
  <c r="AK104" i="3"/>
  <c r="AO104" i="3"/>
  <c r="F104" i="3"/>
  <c r="N104" i="3"/>
  <c r="V104" i="3"/>
  <c r="AL104" i="3"/>
  <c r="H104" i="3"/>
  <c r="P104" i="3"/>
  <c r="X104" i="3"/>
  <c r="AN104" i="3"/>
  <c r="J104" i="3"/>
  <c r="R104" i="3"/>
  <c r="Z104" i="3"/>
  <c r="AH104" i="3"/>
  <c r="D104" i="3"/>
  <c r="L104" i="3"/>
  <c r="T104" i="3"/>
  <c r="AB104" i="3"/>
  <c r="F116" i="3"/>
  <c r="J116" i="3"/>
  <c r="N116" i="3"/>
  <c r="R116" i="3"/>
  <c r="V116" i="3"/>
  <c r="Z116" i="3"/>
  <c r="AH116" i="3"/>
  <c r="AL116" i="3"/>
  <c r="G116" i="3"/>
  <c r="K116" i="3"/>
  <c r="O116" i="3"/>
  <c r="S116" i="3"/>
  <c r="W116" i="3"/>
  <c r="AA116" i="3"/>
  <c r="AE116" i="3"/>
  <c r="AI116" i="3"/>
  <c r="AM116" i="3"/>
  <c r="D116" i="3"/>
  <c r="H116" i="3"/>
  <c r="L116" i="3"/>
  <c r="P116" i="3"/>
  <c r="T116" i="3"/>
  <c r="X116" i="3"/>
  <c r="AB116" i="3"/>
  <c r="AN116" i="3"/>
  <c r="E116" i="3"/>
  <c r="I116" i="3"/>
  <c r="M116" i="3"/>
  <c r="Q116" i="3"/>
  <c r="U116" i="3"/>
  <c r="Y116" i="3"/>
  <c r="AC116" i="3"/>
  <c r="AG116" i="3"/>
  <c r="AK116" i="3"/>
  <c r="AO116" i="3"/>
  <c r="D103" i="3"/>
  <c r="H103" i="3"/>
  <c r="L103" i="3"/>
  <c r="P103" i="3"/>
  <c r="T103" i="3"/>
  <c r="X103" i="3"/>
  <c r="AB103" i="3"/>
  <c r="AN103" i="3"/>
  <c r="F103" i="3"/>
  <c r="J103" i="3"/>
  <c r="N103" i="3"/>
  <c r="R103" i="3"/>
  <c r="V103" i="3"/>
  <c r="Z103" i="3"/>
  <c r="AH103" i="3"/>
  <c r="AL103" i="3"/>
  <c r="K103" i="3"/>
  <c r="S103" i="3"/>
  <c r="AA103" i="3"/>
  <c r="AI103" i="3"/>
  <c r="E103" i="3"/>
  <c r="M103" i="3"/>
  <c r="U103" i="3"/>
  <c r="AC103" i="3"/>
  <c r="AK103" i="3"/>
  <c r="G103" i="3"/>
  <c r="O103" i="3"/>
  <c r="W103" i="3"/>
  <c r="AE103" i="3"/>
  <c r="AM103" i="3"/>
  <c r="I103" i="3"/>
  <c r="Q103" i="3"/>
  <c r="Y103" i="3"/>
  <c r="AG103" i="3"/>
  <c r="AO103" i="3"/>
  <c r="E83" i="3"/>
  <c r="I83" i="3"/>
  <c r="M83" i="3"/>
  <c r="Q83" i="3"/>
  <c r="U83" i="3"/>
  <c r="Y83" i="3"/>
  <c r="AC83" i="3"/>
  <c r="AG83" i="3"/>
  <c r="AK83" i="3"/>
  <c r="AO83" i="3"/>
  <c r="G83" i="3"/>
  <c r="K83" i="3"/>
  <c r="O83" i="3"/>
  <c r="S83" i="3"/>
  <c r="W83" i="3"/>
  <c r="AA83" i="3"/>
  <c r="AE83" i="3"/>
  <c r="AI83" i="3"/>
  <c r="AM83" i="3"/>
  <c r="J83" i="3"/>
  <c r="R83" i="3"/>
  <c r="Z83" i="3"/>
  <c r="AH83" i="3"/>
  <c r="D83" i="3"/>
  <c r="L83" i="3"/>
  <c r="T83" i="3"/>
  <c r="AB83" i="3"/>
  <c r="F83" i="3"/>
  <c r="N83" i="3"/>
  <c r="V83" i="3"/>
  <c r="AL83" i="3"/>
  <c r="H83" i="3"/>
  <c r="P83" i="3"/>
  <c r="X83" i="3"/>
  <c r="AN83" i="3"/>
  <c r="G85" i="3"/>
  <c r="K85" i="3"/>
  <c r="O85" i="3"/>
  <c r="S85" i="3"/>
  <c r="W85" i="3"/>
  <c r="AA85" i="3"/>
  <c r="AE85" i="3"/>
  <c r="AI85" i="3"/>
  <c r="AM85" i="3"/>
  <c r="E85" i="3"/>
  <c r="I85" i="3"/>
  <c r="M85" i="3"/>
  <c r="Q85" i="3"/>
  <c r="U85" i="3"/>
  <c r="Y85" i="3"/>
  <c r="AC85" i="3"/>
  <c r="AG85" i="3"/>
  <c r="AK85" i="3"/>
  <c r="AO85" i="3"/>
  <c r="D85" i="3"/>
  <c r="L85" i="3"/>
  <c r="T85" i="3"/>
  <c r="AB85" i="3"/>
  <c r="F85" i="3"/>
  <c r="N85" i="3"/>
  <c r="V85" i="3"/>
  <c r="AL85" i="3"/>
  <c r="H85" i="3"/>
  <c r="P85" i="3"/>
  <c r="X85" i="3"/>
  <c r="AN85" i="3"/>
  <c r="J85" i="3"/>
  <c r="R85" i="3"/>
  <c r="Z85" i="3"/>
  <c r="AH85" i="3"/>
  <c r="E97" i="3"/>
  <c r="I97" i="3"/>
  <c r="M97" i="3"/>
  <c r="Q97" i="3"/>
  <c r="U97" i="3"/>
  <c r="Y97" i="3"/>
  <c r="AC97" i="3"/>
  <c r="AG97" i="3"/>
  <c r="AK97" i="3"/>
  <c r="AO97" i="3"/>
  <c r="F97" i="3"/>
  <c r="J97" i="3"/>
  <c r="N97" i="3"/>
  <c r="R97" i="3"/>
  <c r="V97" i="3"/>
  <c r="Z97" i="3"/>
  <c r="AH97" i="3"/>
  <c r="AL97" i="3"/>
  <c r="G97" i="3"/>
  <c r="K97" i="3"/>
  <c r="O97" i="3"/>
  <c r="S97" i="3"/>
  <c r="W97" i="3"/>
  <c r="AA97" i="3"/>
  <c r="AE97" i="3"/>
  <c r="AI97" i="3"/>
  <c r="AM97" i="3"/>
  <c r="D97" i="3"/>
  <c r="H97" i="3"/>
  <c r="L97" i="3"/>
  <c r="P97" i="3"/>
  <c r="T97" i="3"/>
  <c r="X97" i="3"/>
  <c r="AB97" i="3"/>
  <c r="AN97" i="3"/>
  <c r="F100" i="3"/>
  <c r="J100" i="3"/>
  <c r="N100" i="3"/>
  <c r="R100" i="3"/>
  <c r="V100" i="3"/>
  <c r="Z100" i="3"/>
  <c r="AH100" i="3"/>
  <c r="AL100" i="3"/>
  <c r="G100" i="3"/>
  <c r="K100" i="3"/>
  <c r="O100" i="3"/>
  <c r="S100" i="3"/>
  <c r="W100" i="3"/>
  <c r="AA100" i="3"/>
  <c r="AE100" i="3"/>
  <c r="AI100" i="3"/>
  <c r="AM100" i="3"/>
  <c r="D100" i="3"/>
  <c r="H100" i="3"/>
  <c r="L100" i="3"/>
  <c r="P100" i="3"/>
  <c r="T100" i="3"/>
  <c r="X100" i="3"/>
  <c r="AB100" i="3"/>
  <c r="AN100" i="3"/>
  <c r="E100" i="3"/>
  <c r="I100" i="3"/>
  <c r="M100" i="3"/>
  <c r="Q100" i="3"/>
  <c r="U100" i="3"/>
  <c r="Y100" i="3"/>
  <c r="AC100" i="3"/>
  <c r="AG100" i="3"/>
  <c r="AK100" i="3"/>
  <c r="AO100" i="3"/>
  <c r="G81" i="3"/>
  <c r="K81" i="3"/>
  <c r="O81" i="3"/>
  <c r="S81" i="3"/>
  <c r="W81" i="3"/>
  <c r="AA81" i="3"/>
  <c r="AE81" i="3"/>
  <c r="AI81" i="3"/>
  <c r="AM81" i="3"/>
  <c r="E81" i="3"/>
  <c r="I81" i="3"/>
  <c r="M81" i="3"/>
  <c r="Q81" i="3"/>
  <c r="U81" i="3"/>
  <c r="Y81" i="3"/>
  <c r="AC81" i="3"/>
  <c r="AG81" i="3"/>
  <c r="AK81" i="3"/>
  <c r="AO81" i="3"/>
  <c r="H81" i="3"/>
  <c r="P81" i="3"/>
  <c r="X81" i="3"/>
  <c r="AN81" i="3"/>
  <c r="J81" i="3"/>
  <c r="R81" i="3"/>
  <c r="Z81" i="3"/>
  <c r="AH81" i="3"/>
  <c r="D81" i="3"/>
  <c r="L81" i="3"/>
  <c r="T81" i="3"/>
  <c r="AB81" i="3"/>
  <c r="F81" i="3"/>
  <c r="N81" i="3"/>
  <c r="V81" i="3"/>
  <c r="AL81" i="3"/>
  <c r="G72" i="3"/>
  <c r="K72" i="3"/>
  <c r="O72" i="3"/>
  <c r="S72" i="3"/>
  <c r="W72" i="3"/>
  <c r="AA72" i="3"/>
  <c r="AE72" i="3"/>
  <c r="AI72" i="3"/>
  <c r="AM72" i="3"/>
  <c r="D72" i="3"/>
  <c r="H72" i="3"/>
  <c r="L72" i="3"/>
  <c r="P72" i="3"/>
  <c r="T72" i="3"/>
  <c r="X72" i="3"/>
  <c r="AB72" i="3"/>
  <c r="AN72" i="3"/>
  <c r="E72" i="3"/>
  <c r="I72" i="3"/>
  <c r="M72" i="3"/>
  <c r="Q72" i="3"/>
  <c r="U72" i="3"/>
  <c r="Y72" i="3"/>
  <c r="AC72" i="3"/>
  <c r="AG72" i="3"/>
  <c r="AK72" i="3"/>
  <c r="AO72" i="3"/>
  <c r="F72" i="3"/>
  <c r="J72" i="3"/>
  <c r="N72" i="3"/>
  <c r="R72" i="3"/>
  <c r="V72" i="3"/>
  <c r="Z72" i="3"/>
  <c r="AH72" i="3"/>
  <c r="AL72" i="3"/>
  <c r="D75" i="3"/>
  <c r="H75" i="3"/>
  <c r="L75" i="3"/>
  <c r="P75" i="3"/>
  <c r="T75" i="3"/>
  <c r="X75" i="3"/>
  <c r="AB75" i="3"/>
  <c r="AN75" i="3"/>
  <c r="E75" i="3"/>
  <c r="I75" i="3"/>
  <c r="M75" i="3"/>
  <c r="Q75" i="3"/>
  <c r="U75" i="3"/>
  <c r="Y75" i="3"/>
  <c r="AC75" i="3"/>
  <c r="AG75" i="3"/>
  <c r="AK75" i="3"/>
  <c r="AO75" i="3"/>
  <c r="F75" i="3"/>
  <c r="J75" i="3"/>
  <c r="N75" i="3"/>
  <c r="R75" i="3"/>
  <c r="V75" i="3"/>
  <c r="Z75" i="3"/>
  <c r="AH75" i="3"/>
  <c r="AL75" i="3"/>
  <c r="G75" i="3"/>
  <c r="K75" i="3"/>
  <c r="O75" i="3"/>
  <c r="S75" i="3"/>
  <c r="W75" i="3"/>
  <c r="AA75" i="3"/>
  <c r="AE75" i="3"/>
  <c r="AI75" i="3"/>
  <c r="AM75" i="3"/>
  <c r="F82" i="3"/>
  <c r="J82" i="3"/>
  <c r="N82" i="3"/>
  <c r="R82" i="3"/>
  <c r="V82" i="3"/>
  <c r="Z82" i="3"/>
  <c r="AH82" i="3"/>
  <c r="AL82" i="3"/>
  <c r="D82" i="3"/>
  <c r="H82" i="3"/>
  <c r="L82" i="3"/>
  <c r="P82" i="3"/>
  <c r="T82" i="3"/>
  <c r="X82" i="3"/>
  <c r="AB82" i="3"/>
  <c r="AN82" i="3"/>
  <c r="G82" i="3"/>
  <c r="O82" i="3"/>
  <c r="W82" i="3"/>
  <c r="AE82" i="3"/>
  <c r="AM82" i="3"/>
  <c r="I82" i="3"/>
  <c r="Q82" i="3"/>
  <c r="Y82" i="3"/>
  <c r="AG82" i="3"/>
  <c r="AO82" i="3"/>
  <c r="K82" i="3"/>
  <c r="S82" i="3"/>
  <c r="AA82" i="3"/>
  <c r="AI82" i="3"/>
  <c r="E82" i="3"/>
  <c r="M82" i="3"/>
  <c r="U82" i="3"/>
  <c r="AC82" i="3"/>
  <c r="AK82" i="3"/>
  <c r="G66" i="3"/>
  <c r="K66" i="3"/>
  <c r="O66" i="3"/>
  <c r="S66" i="3"/>
  <c r="W66" i="3"/>
  <c r="AA66" i="3"/>
  <c r="AE66" i="3"/>
  <c r="AI66" i="3"/>
  <c r="AM66" i="3"/>
  <c r="E66" i="3"/>
  <c r="I66" i="3"/>
  <c r="M66" i="3"/>
  <c r="Q66" i="3"/>
  <c r="U66" i="3"/>
  <c r="Y66" i="3"/>
  <c r="AC66" i="3"/>
  <c r="AG66" i="3"/>
  <c r="AK66" i="3"/>
  <c r="AO66" i="3"/>
  <c r="F66" i="3"/>
  <c r="N66" i="3"/>
  <c r="V66" i="3"/>
  <c r="AL66" i="3"/>
  <c r="H66" i="3"/>
  <c r="P66" i="3"/>
  <c r="X66" i="3"/>
  <c r="AN66" i="3"/>
  <c r="J66" i="3"/>
  <c r="R66" i="3"/>
  <c r="Z66" i="3"/>
  <c r="AH66" i="3"/>
  <c r="D66" i="3"/>
  <c r="L66" i="3"/>
  <c r="T66" i="3"/>
  <c r="AB66" i="3"/>
  <c r="E60" i="3"/>
  <c r="I60" i="3"/>
  <c r="M60" i="3"/>
  <c r="Q60" i="3"/>
  <c r="U60" i="3"/>
  <c r="Y60" i="3"/>
  <c r="AC60" i="3"/>
  <c r="AG60" i="3"/>
  <c r="AK60" i="3"/>
  <c r="AO60" i="3"/>
  <c r="G60" i="3"/>
  <c r="K60" i="3"/>
  <c r="O60" i="3"/>
  <c r="S60" i="3"/>
  <c r="W60" i="3"/>
  <c r="AA60" i="3"/>
  <c r="AE60" i="3"/>
  <c r="AI60" i="3"/>
  <c r="AM60" i="3"/>
  <c r="H60" i="3"/>
  <c r="P60" i="3"/>
  <c r="X60" i="3"/>
  <c r="AN60" i="3"/>
  <c r="J60" i="3"/>
  <c r="R60" i="3"/>
  <c r="Z60" i="3"/>
  <c r="AH60" i="3"/>
  <c r="D60" i="3"/>
  <c r="L60" i="3"/>
  <c r="T60" i="3"/>
  <c r="AB60" i="3"/>
  <c r="F60" i="3"/>
  <c r="N60" i="3"/>
  <c r="V60" i="3"/>
  <c r="AL60" i="3"/>
  <c r="E49" i="3"/>
  <c r="I49" i="3"/>
  <c r="M49" i="3"/>
  <c r="Q49" i="3"/>
  <c r="U49" i="3"/>
  <c r="Y49" i="3"/>
  <c r="AC49" i="3"/>
  <c r="AG49" i="3"/>
  <c r="AK49" i="3"/>
  <c r="AO49" i="3"/>
  <c r="G49" i="3"/>
  <c r="K49" i="3"/>
  <c r="O49" i="3"/>
  <c r="S49" i="3"/>
  <c r="W49" i="3"/>
  <c r="AA49" i="3"/>
  <c r="AE49" i="3"/>
  <c r="AI49" i="3"/>
  <c r="AM49" i="3"/>
  <c r="J49" i="3"/>
  <c r="R49" i="3"/>
  <c r="Z49" i="3"/>
  <c r="AH49" i="3"/>
  <c r="D49" i="3"/>
  <c r="L49" i="3"/>
  <c r="T49" i="3"/>
  <c r="AB49" i="3"/>
  <c r="F49" i="3"/>
  <c r="N49" i="3"/>
  <c r="V49" i="3"/>
  <c r="AL49" i="3"/>
  <c r="H49" i="3"/>
  <c r="P49" i="3"/>
  <c r="X49" i="3"/>
  <c r="AN49" i="3"/>
  <c r="F63" i="3"/>
  <c r="J63" i="3"/>
  <c r="N63" i="3"/>
  <c r="R63" i="3"/>
  <c r="V63" i="3"/>
  <c r="Z63" i="3"/>
  <c r="AH63" i="3"/>
  <c r="AL63" i="3"/>
  <c r="D63" i="3"/>
  <c r="H63" i="3"/>
  <c r="L63" i="3"/>
  <c r="P63" i="3"/>
  <c r="T63" i="3"/>
  <c r="X63" i="3"/>
  <c r="AB63" i="3"/>
  <c r="AN63" i="3"/>
  <c r="I63" i="3"/>
  <c r="Q63" i="3"/>
  <c r="Y63" i="3"/>
  <c r="AG63" i="3"/>
  <c r="AO63" i="3"/>
  <c r="K63" i="3"/>
  <c r="S63" i="3"/>
  <c r="AA63" i="3"/>
  <c r="AI63" i="3"/>
  <c r="E63" i="3"/>
  <c r="M63" i="3"/>
  <c r="U63" i="3"/>
  <c r="AC63" i="3"/>
  <c r="AK63" i="3"/>
  <c r="G63" i="3"/>
  <c r="O63" i="3"/>
  <c r="W63" i="3"/>
  <c r="AE63" i="3"/>
  <c r="AM63" i="3"/>
  <c r="F58" i="3"/>
  <c r="J58" i="3"/>
  <c r="N58" i="3"/>
  <c r="R58" i="3"/>
  <c r="V58" i="3"/>
  <c r="Z58" i="3"/>
  <c r="AH58" i="3"/>
  <c r="AL58" i="3"/>
  <c r="G58" i="3"/>
  <c r="K58" i="3"/>
  <c r="O58" i="3"/>
  <c r="S58" i="3"/>
  <c r="W58" i="3"/>
  <c r="AA58" i="3"/>
  <c r="AE58" i="3"/>
  <c r="AI58" i="3"/>
  <c r="AM58" i="3"/>
  <c r="D58" i="3"/>
  <c r="H58" i="3"/>
  <c r="L58" i="3"/>
  <c r="P58" i="3"/>
  <c r="T58" i="3"/>
  <c r="X58" i="3"/>
  <c r="AB58" i="3"/>
  <c r="AN58" i="3"/>
  <c r="E58" i="3"/>
  <c r="I58" i="3"/>
  <c r="M58" i="3"/>
  <c r="Q58" i="3"/>
  <c r="U58" i="3"/>
  <c r="Y58" i="3"/>
  <c r="AC58" i="3"/>
  <c r="AG58" i="3"/>
  <c r="AK58" i="3"/>
  <c r="AO58" i="3"/>
  <c r="G42" i="3"/>
  <c r="K42" i="3"/>
  <c r="O42" i="3"/>
  <c r="S42" i="3"/>
  <c r="W42" i="3"/>
  <c r="AA42" i="3"/>
  <c r="AE42" i="3"/>
  <c r="AI42" i="3"/>
  <c r="AM42" i="3"/>
  <c r="D42" i="3"/>
  <c r="H42" i="3"/>
  <c r="L42" i="3"/>
  <c r="P42" i="3"/>
  <c r="T42" i="3"/>
  <c r="X42" i="3"/>
  <c r="AB42" i="3"/>
  <c r="AN42" i="3"/>
  <c r="E42" i="3"/>
  <c r="I42" i="3"/>
  <c r="M42" i="3"/>
  <c r="Q42" i="3"/>
  <c r="U42" i="3"/>
  <c r="Y42" i="3"/>
  <c r="AC42" i="3"/>
  <c r="AG42" i="3"/>
  <c r="AK42" i="3"/>
  <c r="AO42" i="3"/>
  <c r="F42" i="3"/>
  <c r="J42" i="3"/>
  <c r="N42" i="3"/>
  <c r="R42" i="3"/>
  <c r="V42" i="3"/>
  <c r="Z42" i="3"/>
  <c r="AH42" i="3"/>
  <c r="AL42" i="3"/>
  <c r="F52" i="3"/>
  <c r="J52" i="3"/>
  <c r="N52" i="3"/>
  <c r="R52" i="3"/>
  <c r="V52" i="3"/>
  <c r="Z52" i="3"/>
  <c r="AH52" i="3"/>
  <c r="AL52" i="3"/>
  <c r="D52" i="3"/>
  <c r="H52" i="3"/>
  <c r="L52" i="3"/>
  <c r="P52" i="3"/>
  <c r="T52" i="3"/>
  <c r="X52" i="3"/>
  <c r="AB52" i="3"/>
  <c r="AN52" i="3"/>
  <c r="K52" i="3"/>
  <c r="S52" i="3"/>
  <c r="AA52" i="3"/>
  <c r="AI52" i="3"/>
  <c r="E52" i="3"/>
  <c r="M52" i="3"/>
  <c r="U52" i="3"/>
  <c r="AC52" i="3"/>
  <c r="AK52" i="3"/>
  <c r="G52" i="3"/>
  <c r="O52" i="3"/>
  <c r="W52" i="3"/>
  <c r="AE52" i="3"/>
  <c r="AM52" i="3"/>
  <c r="I52" i="3"/>
  <c r="Q52" i="3"/>
  <c r="Y52" i="3"/>
  <c r="AG52" i="3"/>
  <c r="AO52" i="3"/>
  <c r="F47" i="3"/>
  <c r="J47" i="3"/>
  <c r="G47" i="3"/>
  <c r="K47" i="3"/>
  <c r="O47" i="3"/>
  <c r="S47" i="3"/>
  <c r="W47" i="3"/>
  <c r="AA47" i="3"/>
  <c r="AE47" i="3"/>
  <c r="AI47" i="3"/>
  <c r="AM47" i="3"/>
  <c r="D47" i="3"/>
  <c r="H47" i="3"/>
  <c r="E47" i="3"/>
  <c r="I47" i="3"/>
  <c r="M47" i="3"/>
  <c r="Q47" i="3"/>
  <c r="U47" i="3"/>
  <c r="Y47" i="3"/>
  <c r="AC47" i="3"/>
  <c r="AG47" i="3"/>
  <c r="AK47" i="3"/>
  <c r="AO47" i="3"/>
  <c r="P47" i="3"/>
  <c r="X47" i="3"/>
  <c r="AN47" i="3"/>
  <c r="R47" i="3"/>
  <c r="Z47" i="3"/>
  <c r="AH47" i="3"/>
  <c r="L47" i="3"/>
  <c r="T47" i="3"/>
  <c r="AB47" i="3"/>
  <c r="N47" i="3"/>
  <c r="V47" i="3"/>
  <c r="AL47" i="3"/>
  <c r="D36" i="3"/>
  <c r="H36" i="3"/>
  <c r="L36" i="3"/>
  <c r="P36" i="3"/>
  <c r="T36" i="3"/>
  <c r="X36" i="3"/>
  <c r="AB36" i="3"/>
  <c r="AN36" i="3"/>
  <c r="F36" i="3"/>
  <c r="J36" i="3"/>
  <c r="N36" i="3"/>
  <c r="R36" i="3"/>
  <c r="V36" i="3"/>
  <c r="Z36" i="3"/>
  <c r="AH36" i="3"/>
  <c r="AL36" i="3"/>
  <c r="G36" i="3"/>
  <c r="O36" i="3"/>
  <c r="W36" i="3"/>
  <c r="AE36" i="3"/>
  <c r="AM36" i="3"/>
  <c r="I36" i="3"/>
  <c r="Q36" i="3"/>
  <c r="Y36" i="3"/>
  <c r="AG36" i="3"/>
  <c r="AO36" i="3"/>
  <c r="K36" i="3"/>
  <c r="S36" i="3"/>
  <c r="AA36" i="3"/>
  <c r="AI36" i="3"/>
  <c r="E36" i="3"/>
  <c r="M36" i="3"/>
  <c r="U36" i="3"/>
  <c r="AC36" i="3"/>
  <c r="AK36" i="3"/>
  <c r="D27" i="3"/>
  <c r="H27" i="3"/>
  <c r="L27" i="3"/>
  <c r="P27" i="3"/>
  <c r="T27" i="3"/>
  <c r="X27" i="3"/>
  <c r="AB27" i="3"/>
  <c r="AN27" i="3"/>
  <c r="E27" i="3"/>
  <c r="I27" i="3"/>
  <c r="M27" i="3"/>
  <c r="Q27" i="3"/>
  <c r="U27" i="3"/>
  <c r="Y27" i="3"/>
  <c r="AC27" i="3"/>
  <c r="AG27" i="3"/>
  <c r="AK27" i="3"/>
  <c r="AO27" i="3"/>
  <c r="F27" i="3"/>
  <c r="J27" i="3"/>
  <c r="N27" i="3"/>
  <c r="R27" i="3"/>
  <c r="V27" i="3"/>
  <c r="Z27" i="3"/>
  <c r="AH27" i="3"/>
  <c r="AL27" i="3"/>
  <c r="G27" i="3"/>
  <c r="K27" i="3"/>
  <c r="O27" i="3"/>
  <c r="S27" i="3"/>
  <c r="W27" i="3"/>
  <c r="AA27" i="3"/>
  <c r="AE27" i="3"/>
  <c r="AI27" i="3"/>
  <c r="AM27" i="3"/>
  <c r="E26" i="3"/>
  <c r="I26" i="3"/>
  <c r="M26" i="3"/>
  <c r="Q26" i="3"/>
  <c r="U26" i="3"/>
  <c r="Y26" i="3"/>
  <c r="AC26" i="3"/>
  <c r="AG26" i="3"/>
  <c r="AK26" i="3"/>
  <c r="AO26" i="3"/>
  <c r="F26" i="3"/>
  <c r="J26" i="3"/>
  <c r="N26" i="3"/>
  <c r="R26" i="3"/>
  <c r="V26" i="3"/>
  <c r="Z26" i="3"/>
  <c r="AH26" i="3"/>
  <c r="AL26" i="3"/>
  <c r="G26" i="3"/>
  <c r="K26" i="3"/>
  <c r="O26" i="3"/>
  <c r="S26" i="3"/>
  <c r="W26" i="3"/>
  <c r="AA26" i="3"/>
  <c r="AE26" i="3"/>
  <c r="AI26" i="3"/>
  <c r="AM26" i="3"/>
  <c r="D26" i="3"/>
  <c r="H26" i="3"/>
  <c r="L26" i="3"/>
  <c r="P26" i="3"/>
  <c r="T26" i="3"/>
  <c r="X26" i="3"/>
  <c r="AB26" i="3"/>
  <c r="AN26" i="3"/>
  <c r="G22" i="3"/>
  <c r="K22" i="3"/>
  <c r="O22" i="3"/>
  <c r="S22" i="3"/>
  <c r="W22" i="3"/>
  <c r="AA22" i="3"/>
  <c r="AE22" i="3"/>
  <c r="AI22" i="3"/>
  <c r="AM22" i="3"/>
  <c r="D22" i="3"/>
  <c r="H22" i="3"/>
  <c r="L22" i="3"/>
  <c r="P22" i="3"/>
  <c r="T22" i="3"/>
  <c r="X22" i="3"/>
  <c r="AB22" i="3"/>
  <c r="AN22" i="3"/>
  <c r="E22" i="3"/>
  <c r="I22" i="3"/>
  <c r="M22" i="3"/>
  <c r="Q22" i="3"/>
  <c r="U22" i="3"/>
  <c r="Y22" i="3"/>
  <c r="AC22" i="3"/>
  <c r="AG22" i="3"/>
  <c r="AK22" i="3"/>
  <c r="AO22" i="3"/>
  <c r="F22" i="3"/>
  <c r="J22" i="3"/>
  <c r="N22" i="3"/>
  <c r="R22" i="3"/>
  <c r="V22" i="3"/>
  <c r="Z22" i="3"/>
  <c r="AH22" i="3"/>
  <c r="AL22" i="3"/>
  <c r="F24" i="3"/>
  <c r="J24" i="3"/>
  <c r="N24" i="3"/>
  <c r="R24" i="3"/>
  <c r="V24" i="3"/>
  <c r="D24" i="3"/>
  <c r="H24" i="3"/>
  <c r="L24" i="3"/>
  <c r="P24" i="3"/>
  <c r="T24" i="3"/>
  <c r="X24" i="3"/>
  <c r="E24" i="3"/>
  <c r="M24" i="3"/>
  <c r="U24" i="3"/>
  <c r="AA24" i="3"/>
  <c r="AE24" i="3"/>
  <c r="AI24" i="3"/>
  <c r="AM24" i="3"/>
  <c r="G24" i="3"/>
  <c r="O24" i="3"/>
  <c r="W24" i="3"/>
  <c r="AB24" i="3"/>
  <c r="AN24" i="3"/>
  <c r="I24" i="3"/>
  <c r="Q24" i="3"/>
  <c r="Y24" i="3"/>
  <c r="AC24" i="3"/>
  <c r="AG24" i="3"/>
  <c r="AK24" i="3"/>
  <c r="AO24" i="3"/>
  <c r="K24" i="3"/>
  <c r="S24" i="3"/>
  <c r="Z24" i="3"/>
  <c r="AH24" i="3"/>
  <c r="AL24" i="3"/>
  <c r="F19" i="3"/>
  <c r="J19" i="3"/>
  <c r="N19" i="3"/>
  <c r="R19" i="3"/>
  <c r="V19" i="3"/>
  <c r="Z19" i="3"/>
  <c r="AH19" i="3"/>
  <c r="AL19" i="3"/>
  <c r="G19" i="3"/>
  <c r="K19" i="3"/>
  <c r="O19" i="3"/>
  <c r="S19" i="3"/>
  <c r="W19" i="3"/>
  <c r="AA19" i="3"/>
  <c r="AE19" i="3"/>
  <c r="AI19" i="3"/>
  <c r="AM19" i="3"/>
  <c r="D19" i="3"/>
  <c r="H19" i="3"/>
  <c r="L19" i="3"/>
  <c r="P19" i="3"/>
  <c r="T19" i="3"/>
  <c r="X19" i="3"/>
  <c r="AB19" i="3"/>
  <c r="AN19" i="3"/>
  <c r="E19" i="3"/>
  <c r="I19" i="3"/>
  <c r="M19" i="3"/>
  <c r="Q19" i="3"/>
  <c r="U19" i="3"/>
  <c r="Y19" i="3"/>
  <c r="AC19" i="3"/>
  <c r="AG19" i="3"/>
  <c r="AK19" i="3"/>
  <c r="AO19" i="3"/>
  <c r="F15" i="3"/>
  <c r="J15" i="3"/>
  <c r="N15" i="3"/>
  <c r="R15" i="3"/>
  <c r="V15" i="3"/>
  <c r="Z15" i="3"/>
  <c r="AH15" i="3"/>
  <c r="AL15" i="3"/>
  <c r="D15" i="3"/>
  <c r="H15" i="3"/>
  <c r="L15" i="3"/>
  <c r="P15" i="3"/>
  <c r="T15" i="3"/>
  <c r="X15" i="3"/>
  <c r="AB15" i="3"/>
  <c r="AN15" i="3"/>
  <c r="G15" i="3"/>
  <c r="O15" i="3"/>
  <c r="W15" i="3"/>
  <c r="AE15" i="3"/>
  <c r="AM15" i="3"/>
  <c r="I15" i="3"/>
  <c r="Q15" i="3"/>
  <c r="Y15" i="3"/>
  <c r="AG15" i="3"/>
  <c r="AO15" i="3"/>
  <c r="K15" i="3"/>
  <c r="S15" i="3"/>
  <c r="AA15" i="3"/>
  <c r="AI15" i="3"/>
  <c r="E15" i="3"/>
  <c r="M15" i="3"/>
  <c r="U15" i="3"/>
  <c r="AC15" i="3"/>
  <c r="AK15" i="3"/>
  <c r="D8" i="3"/>
  <c r="H8" i="3"/>
  <c r="L8" i="3"/>
  <c r="P8" i="3"/>
  <c r="T8" i="3"/>
  <c r="X8" i="3"/>
  <c r="E8" i="3"/>
  <c r="I8" i="3"/>
  <c r="M8" i="3"/>
  <c r="Q8" i="3"/>
  <c r="U8" i="3"/>
  <c r="Y8" i="3"/>
  <c r="AC8" i="3"/>
  <c r="AG8" i="3"/>
  <c r="AK8" i="3"/>
  <c r="AO8" i="3"/>
  <c r="F8" i="3"/>
  <c r="J8" i="3"/>
  <c r="N8" i="3"/>
  <c r="R8" i="3"/>
  <c r="V8" i="3"/>
  <c r="Z8" i="3"/>
  <c r="G8" i="3"/>
  <c r="K8" i="3"/>
  <c r="O8" i="3"/>
  <c r="S8" i="3"/>
  <c r="W8" i="3"/>
  <c r="AA8" i="3"/>
  <c r="AE8" i="3"/>
  <c r="AI8" i="3"/>
  <c r="AM8" i="3"/>
  <c r="AB8" i="3"/>
  <c r="AL8" i="3"/>
  <c r="AN8" i="3"/>
  <c r="AH8" i="3"/>
  <c r="E3" i="3"/>
  <c r="I3" i="3"/>
  <c r="M3" i="3"/>
  <c r="Q3" i="3"/>
  <c r="U3" i="3"/>
  <c r="Y3" i="3"/>
  <c r="AC3" i="3"/>
  <c r="AG3" i="3"/>
  <c r="AK3" i="3"/>
  <c r="AO3" i="3"/>
  <c r="F3" i="3"/>
  <c r="J3" i="3"/>
  <c r="N3" i="3"/>
  <c r="R3" i="3"/>
  <c r="V3" i="3"/>
  <c r="Z3" i="3"/>
  <c r="AH3" i="3"/>
  <c r="AL3" i="3"/>
  <c r="G3" i="3"/>
  <c r="K3" i="3"/>
  <c r="O3" i="3"/>
  <c r="S3" i="3"/>
  <c r="W3" i="3"/>
  <c r="AA3" i="3"/>
  <c r="AE3" i="3"/>
  <c r="AI3" i="3"/>
  <c r="AM3" i="3"/>
  <c r="D3" i="3"/>
  <c r="H3" i="3"/>
  <c r="L3" i="3"/>
  <c r="P3" i="3"/>
  <c r="T3" i="3"/>
  <c r="X3" i="3"/>
  <c r="AB3" i="3"/>
  <c r="AN3" i="3"/>
  <c r="G351" i="3"/>
  <c r="K351" i="3"/>
  <c r="O351" i="3"/>
  <c r="S351" i="3"/>
  <c r="W351" i="3"/>
  <c r="AA351" i="3"/>
  <c r="AE351" i="3"/>
  <c r="AI351" i="3"/>
  <c r="AM351" i="3"/>
  <c r="D351" i="3"/>
  <c r="H351" i="3"/>
  <c r="L351" i="3"/>
  <c r="P351" i="3"/>
  <c r="T351" i="3"/>
  <c r="X351" i="3"/>
  <c r="AB351" i="3"/>
  <c r="AN351" i="3"/>
  <c r="E351" i="3"/>
  <c r="I351" i="3"/>
  <c r="M351" i="3"/>
  <c r="Q351" i="3"/>
  <c r="U351" i="3"/>
  <c r="Y351" i="3"/>
  <c r="AC351" i="3"/>
  <c r="AG351" i="3"/>
  <c r="AK351" i="3"/>
  <c r="AO351" i="3"/>
  <c r="F351" i="3"/>
  <c r="J351" i="3"/>
  <c r="N351" i="3"/>
  <c r="R351" i="3"/>
  <c r="V351" i="3"/>
  <c r="Z351" i="3"/>
  <c r="AH351" i="3"/>
  <c r="AL351" i="3"/>
  <c r="G335" i="3"/>
  <c r="K335" i="3"/>
  <c r="O335" i="3"/>
  <c r="S335" i="3"/>
  <c r="W335" i="3"/>
  <c r="AA335" i="3"/>
  <c r="AE335" i="3"/>
  <c r="AI335" i="3"/>
  <c r="AM335" i="3"/>
  <c r="D335" i="3"/>
  <c r="H335" i="3"/>
  <c r="L335" i="3"/>
  <c r="P335" i="3"/>
  <c r="T335" i="3"/>
  <c r="X335" i="3"/>
  <c r="AB335" i="3"/>
  <c r="AN335" i="3"/>
  <c r="E335" i="3"/>
  <c r="I335" i="3"/>
  <c r="M335" i="3"/>
  <c r="Q335" i="3"/>
  <c r="U335" i="3"/>
  <c r="Y335" i="3"/>
  <c r="AC335" i="3"/>
  <c r="AG335" i="3"/>
  <c r="AK335" i="3"/>
  <c r="AO335" i="3"/>
  <c r="F335" i="3"/>
  <c r="J335" i="3"/>
  <c r="N335" i="3"/>
  <c r="R335" i="3"/>
  <c r="V335" i="3"/>
  <c r="Z335" i="3"/>
  <c r="AH335" i="3"/>
  <c r="AL335" i="3"/>
  <c r="G319" i="3"/>
  <c r="K319" i="3"/>
  <c r="O319" i="3"/>
  <c r="S319" i="3"/>
  <c r="W319" i="3"/>
  <c r="AA319" i="3"/>
  <c r="AE319" i="3"/>
  <c r="AI319" i="3"/>
  <c r="AM319" i="3"/>
  <c r="D319" i="3"/>
  <c r="H319" i="3"/>
  <c r="L319" i="3"/>
  <c r="P319" i="3"/>
  <c r="T319" i="3"/>
  <c r="X319" i="3"/>
  <c r="AB319" i="3"/>
  <c r="AN319" i="3"/>
  <c r="E319" i="3"/>
  <c r="I319" i="3"/>
  <c r="M319" i="3"/>
  <c r="Q319" i="3"/>
  <c r="U319" i="3"/>
  <c r="Y319" i="3"/>
  <c r="AC319" i="3"/>
  <c r="AG319" i="3"/>
  <c r="AK319" i="3"/>
  <c r="AO319" i="3"/>
  <c r="F319" i="3"/>
  <c r="J319" i="3"/>
  <c r="N319" i="3"/>
  <c r="R319" i="3"/>
  <c r="V319" i="3"/>
  <c r="Z319" i="3"/>
  <c r="AH319" i="3"/>
  <c r="AL319" i="3"/>
  <c r="H366" i="3"/>
  <c r="T366" i="3"/>
  <c r="AB366" i="3"/>
  <c r="E366" i="3"/>
  <c r="I366" i="3"/>
  <c r="M366" i="3"/>
  <c r="Q366" i="3"/>
  <c r="U366" i="3"/>
  <c r="Y366" i="3"/>
  <c r="AC366" i="3"/>
  <c r="AG366" i="3"/>
  <c r="AK366" i="3"/>
  <c r="AO366" i="3"/>
  <c r="F366" i="3"/>
  <c r="N366" i="3"/>
  <c r="R366" i="3"/>
  <c r="Z366" i="3"/>
  <c r="AH366" i="3"/>
  <c r="J366" i="3"/>
  <c r="V366" i="3"/>
  <c r="AL366" i="3"/>
  <c r="G366" i="3"/>
  <c r="K366" i="3"/>
  <c r="O366" i="3"/>
  <c r="S366" i="3"/>
  <c r="W366" i="3"/>
  <c r="AA366" i="3"/>
  <c r="AE366" i="3"/>
  <c r="AI366" i="3"/>
  <c r="AM366" i="3"/>
  <c r="D366" i="3"/>
  <c r="L366" i="3"/>
  <c r="P366" i="3"/>
  <c r="X366" i="3"/>
  <c r="AN366" i="3"/>
  <c r="D350" i="3"/>
  <c r="H350" i="3"/>
  <c r="L350" i="3"/>
  <c r="P350" i="3"/>
  <c r="T350" i="3"/>
  <c r="X350" i="3"/>
  <c r="AB350" i="3"/>
  <c r="AN350" i="3"/>
  <c r="E350" i="3"/>
  <c r="I350" i="3"/>
  <c r="M350" i="3"/>
  <c r="Q350" i="3"/>
  <c r="U350" i="3"/>
  <c r="Y350" i="3"/>
  <c r="AC350" i="3"/>
  <c r="AG350" i="3"/>
  <c r="AK350" i="3"/>
  <c r="AO350" i="3"/>
  <c r="F350" i="3"/>
  <c r="J350" i="3"/>
  <c r="N350" i="3"/>
  <c r="R350" i="3"/>
  <c r="V350" i="3"/>
  <c r="Z350" i="3"/>
  <c r="AH350" i="3"/>
  <c r="AL350" i="3"/>
  <c r="G350" i="3"/>
  <c r="K350" i="3"/>
  <c r="O350" i="3"/>
  <c r="S350" i="3"/>
  <c r="W350" i="3"/>
  <c r="AA350" i="3"/>
  <c r="AE350" i="3"/>
  <c r="AI350" i="3"/>
  <c r="AM350" i="3"/>
  <c r="D334" i="3"/>
  <c r="H334" i="3"/>
  <c r="L334" i="3"/>
  <c r="P334" i="3"/>
  <c r="T334" i="3"/>
  <c r="X334" i="3"/>
  <c r="AB334" i="3"/>
  <c r="AN334" i="3"/>
  <c r="E334" i="3"/>
  <c r="I334" i="3"/>
  <c r="M334" i="3"/>
  <c r="Q334" i="3"/>
  <c r="U334" i="3"/>
  <c r="Y334" i="3"/>
  <c r="AC334" i="3"/>
  <c r="AG334" i="3"/>
  <c r="AK334" i="3"/>
  <c r="AO334" i="3"/>
  <c r="F334" i="3"/>
  <c r="J334" i="3"/>
  <c r="N334" i="3"/>
  <c r="R334" i="3"/>
  <c r="V334" i="3"/>
  <c r="Z334" i="3"/>
  <c r="AH334" i="3"/>
  <c r="AL334" i="3"/>
  <c r="G334" i="3"/>
  <c r="K334" i="3"/>
  <c r="O334" i="3"/>
  <c r="S334" i="3"/>
  <c r="W334" i="3"/>
  <c r="AA334" i="3"/>
  <c r="AE334" i="3"/>
  <c r="AI334" i="3"/>
  <c r="AM334" i="3"/>
  <c r="D318" i="3"/>
  <c r="H318" i="3"/>
  <c r="L318" i="3"/>
  <c r="P318" i="3"/>
  <c r="T318" i="3"/>
  <c r="X318" i="3"/>
  <c r="AB318" i="3"/>
  <c r="AN318" i="3"/>
  <c r="E318" i="3"/>
  <c r="I318" i="3"/>
  <c r="M318" i="3"/>
  <c r="Q318" i="3"/>
  <c r="U318" i="3"/>
  <c r="Y318" i="3"/>
  <c r="AC318" i="3"/>
  <c r="AG318" i="3"/>
  <c r="AK318" i="3"/>
  <c r="AO318" i="3"/>
  <c r="F318" i="3"/>
  <c r="J318" i="3"/>
  <c r="N318" i="3"/>
  <c r="R318" i="3"/>
  <c r="V318" i="3"/>
  <c r="Z318" i="3"/>
  <c r="AH318" i="3"/>
  <c r="AL318" i="3"/>
  <c r="G318" i="3"/>
  <c r="K318" i="3"/>
  <c r="O318" i="3"/>
  <c r="S318" i="3"/>
  <c r="W318" i="3"/>
  <c r="AA318" i="3"/>
  <c r="AE318" i="3"/>
  <c r="AI318" i="3"/>
  <c r="AM318" i="3"/>
  <c r="E357" i="3"/>
  <c r="I357" i="3"/>
  <c r="M357" i="3"/>
  <c r="Q357" i="3"/>
  <c r="U357" i="3"/>
  <c r="Y357" i="3"/>
  <c r="AC357" i="3"/>
  <c r="AG357" i="3"/>
  <c r="AK357" i="3"/>
  <c r="AO357" i="3"/>
  <c r="F357" i="3"/>
  <c r="J357" i="3"/>
  <c r="N357" i="3"/>
  <c r="R357" i="3"/>
  <c r="V357" i="3"/>
  <c r="Z357" i="3"/>
  <c r="AH357" i="3"/>
  <c r="AL357" i="3"/>
  <c r="G357" i="3"/>
  <c r="K357" i="3"/>
  <c r="O357" i="3"/>
  <c r="S357" i="3"/>
  <c r="W357" i="3"/>
  <c r="AA357" i="3"/>
  <c r="AE357" i="3"/>
  <c r="AI357" i="3"/>
  <c r="AM357" i="3"/>
  <c r="D357" i="3"/>
  <c r="H357" i="3"/>
  <c r="L357" i="3"/>
  <c r="P357" i="3"/>
  <c r="T357" i="3"/>
  <c r="X357" i="3"/>
  <c r="AB357" i="3"/>
  <c r="AN357" i="3"/>
  <c r="E341" i="3"/>
  <c r="I341" i="3"/>
  <c r="M341" i="3"/>
  <c r="Q341" i="3"/>
  <c r="U341" i="3"/>
  <c r="Y341" i="3"/>
  <c r="AC341" i="3"/>
  <c r="AG341" i="3"/>
  <c r="AK341" i="3"/>
  <c r="AO341" i="3"/>
  <c r="F341" i="3"/>
  <c r="J341" i="3"/>
  <c r="N341" i="3"/>
  <c r="R341" i="3"/>
  <c r="V341" i="3"/>
  <c r="Z341" i="3"/>
  <c r="AH341" i="3"/>
  <c r="AL341" i="3"/>
  <c r="G341" i="3"/>
  <c r="K341" i="3"/>
  <c r="O341" i="3"/>
  <c r="S341" i="3"/>
  <c r="W341" i="3"/>
  <c r="AA341" i="3"/>
  <c r="AE341" i="3"/>
  <c r="AI341" i="3"/>
  <c r="AM341" i="3"/>
  <c r="D341" i="3"/>
  <c r="H341" i="3"/>
  <c r="L341" i="3"/>
  <c r="P341" i="3"/>
  <c r="T341" i="3"/>
  <c r="X341" i="3"/>
  <c r="AB341" i="3"/>
  <c r="AN341" i="3"/>
  <c r="E325" i="3"/>
  <c r="I325" i="3"/>
  <c r="M325" i="3"/>
  <c r="Q325" i="3"/>
  <c r="U325" i="3"/>
  <c r="Y325" i="3"/>
  <c r="AC325" i="3"/>
  <c r="AG325" i="3"/>
  <c r="AK325" i="3"/>
  <c r="AO325" i="3"/>
  <c r="F325" i="3"/>
  <c r="J325" i="3"/>
  <c r="N325" i="3"/>
  <c r="R325" i="3"/>
  <c r="V325" i="3"/>
  <c r="Z325" i="3"/>
  <c r="AH325" i="3"/>
  <c r="AL325" i="3"/>
  <c r="G325" i="3"/>
  <c r="K325" i="3"/>
  <c r="O325" i="3"/>
  <c r="S325" i="3"/>
  <c r="W325" i="3"/>
  <c r="AA325" i="3"/>
  <c r="AE325" i="3"/>
  <c r="AI325" i="3"/>
  <c r="AM325" i="3"/>
  <c r="D325" i="3"/>
  <c r="H325" i="3"/>
  <c r="L325" i="3"/>
  <c r="P325" i="3"/>
  <c r="T325" i="3"/>
  <c r="X325" i="3"/>
  <c r="AB325" i="3"/>
  <c r="AN325" i="3"/>
  <c r="N364" i="3"/>
  <c r="V364" i="3"/>
  <c r="AL364" i="3"/>
  <c r="G364" i="3"/>
  <c r="K364" i="3"/>
  <c r="O364" i="3"/>
  <c r="S364" i="3"/>
  <c r="W364" i="3"/>
  <c r="AA364" i="3"/>
  <c r="AE364" i="3"/>
  <c r="AI364" i="3"/>
  <c r="AM364" i="3"/>
  <c r="H364" i="3"/>
  <c r="P364" i="3"/>
  <c r="X364" i="3"/>
  <c r="AN364" i="3"/>
  <c r="D364" i="3"/>
  <c r="L364" i="3"/>
  <c r="T364" i="3"/>
  <c r="AB364" i="3"/>
  <c r="E364" i="3"/>
  <c r="I364" i="3"/>
  <c r="M364" i="3"/>
  <c r="Q364" i="3"/>
  <c r="U364" i="3"/>
  <c r="Y364" i="3"/>
  <c r="AC364" i="3"/>
  <c r="AG364" i="3"/>
  <c r="AK364" i="3"/>
  <c r="AO364" i="3"/>
  <c r="F364" i="3"/>
  <c r="J364" i="3"/>
  <c r="R364" i="3"/>
  <c r="Z364" i="3"/>
  <c r="AH364" i="3"/>
  <c r="F348" i="3"/>
  <c r="J348" i="3"/>
  <c r="N348" i="3"/>
  <c r="R348" i="3"/>
  <c r="V348" i="3"/>
  <c r="Z348" i="3"/>
  <c r="AH348" i="3"/>
  <c r="AL348" i="3"/>
  <c r="G348" i="3"/>
  <c r="K348" i="3"/>
  <c r="O348" i="3"/>
  <c r="S348" i="3"/>
  <c r="W348" i="3"/>
  <c r="AA348" i="3"/>
  <c r="AE348" i="3"/>
  <c r="AI348" i="3"/>
  <c r="AM348" i="3"/>
  <c r="D348" i="3"/>
  <c r="H348" i="3"/>
  <c r="L348" i="3"/>
  <c r="P348" i="3"/>
  <c r="T348" i="3"/>
  <c r="X348" i="3"/>
  <c r="AB348" i="3"/>
  <c r="AN348" i="3"/>
  <c r="E348" i="3"/>
  <c r="I348" i="3"/>
  <c r="M348" i="3"/>
  <c r="Q348" i="3"/>
  <c r="U348" i="3"/>
  <c r="Y348" i="3"/>
  <c r="AC348" i="3"/>
  <c r="AG348" i="3"/>
  <c r="AK348" i="3"/>
  <c r="AO348" i="3"/>
  <c r="F332" i="3"/>
  <c r="J332" i="3"/>
  <c r="N332" i="3"/>
  <c r="R332" i="3"/>
  <c r="V332" i="3"/>
  <c r="Z332" i="3"/>
  <c r="AH332" i="3"/>
  <c r="AL332" i="3"/>
  <c r="G332" i="3"/>
  <c r="K332" i="3"/>
  <c r="O332" i="3"/>
  <c r="S332" i="3"/>
  <c r="W332" i="3"/>
  <c r="AA332" i="3"/>
  <c r="AE332" i="3"/>
  <c r="AI332" i="3"/>
  <c r="AM332" i="3"/>
  <c r="D332" i="3"/>
  <c r="H332" i="3"/>
  <c r="L332" i="3"/>
  <c r="P332" i="3"/>
  <c r="T332" i="3"/>
  <c r="X332" i="3"/>
  <c r="AB332" i="3"/>
  <c r="AN332" i="3"/>
  <c r="E332" i="3"/>
  <c r="I332" i="3"/>
  <c r="M332" i="3"/>
  <c r="Q332" i="3"/>
  <c r="U332" i="3"/>
  <c r="Y332" i="3"/>
  <c r="AC332" i="3"/>
  <c r="AG332" i="3"/>
  <c r="AK332" i="3"/>
  <c r="AO332" i="3"/>
  <c r="F316" i="3"/>
  <c r="J316" i="3"/>
  <c r="N316" i="3"/>
  <c r="R316" i="3"/>
  <c r="V316" i="3"/>
  <c r="Z316" i="3"/>
  <c r="AH316" i="3"/>
  <c r="AL316" i="3"/>
  <c r="G316" i="3"/>
  <c r="K316" i="3"/>
  <c r="O316" i="3"/>
  <c r="S316" i="3"/>
  <c r="W316" i="3"/>
  <c r="AA316" i="3"/>
  <c r="AE316" i="3"/>
  <c r="AI316" i="3"/>
  <c r="AM316" i="3"/>
  <c r="D316" i="3"/>
  <c r="H316" i="3"/>
  <c r="L316" i="3"/>
  <c r="P316" i="3"/>
  <c r="T316" i="3"/>
  <c r="X316" i="3"/>
  <c r="AB316" i="3"/>
  <c r="AN316" i="3"/>
  <c r="E316" i="3"/>
  <c r="I316" i="3"/>
  <c r="M316" i="3"/>
  <c r="Q316" i="3"/>
  <c r="U316" i="3"/>
  <c r="Y316" i="3"/>
  <c r="AC316" i="3"/>
  <c r="AG316" i="3"/>
  <c r="AK316" i="3"/>
  <c r="AO316" i="3"/>
  <c r="G302" i="3"/>
  <c r="K302" i="3"/>
  <c r="O302" i="3"/>
  <c r="S302" i="3"/>
  <c r="W302" i="3"/>
  <c r="AA302" i="3"/>
  <c r="AE302" i="3"/>
  <c r="AI302" i="3"/>
  <c r="AM302" i="3"/>
  <c r="D302" i="3"/>
  <c r="H302" i="3"/>
  <c r="L302" i="3"/>
  <c r="P302" i="3"/>
  <c r="T302" i="3"/>
  <c r="X302" i="3"/>
  <c r="AB302" i="3"/>
  <c r="AN302" i="3"/>
  <c r="E302" i="3"/>
  <c r="I302" i="3"/>
  <c r="M302" i="3"/>
  <c r="Q302" i="3"/>
  <c r="U302" i="3"/>
  <c r="Y302" i="3"/>
  <c r="AC302" i="3"/>
  <c r="AG302" i="3"/>
  <c r="AK302" i="3"/>
  <c r="AO302" i="3"/>
  <c r="F302" i="3"/>
  <c r="J302" i="3"/>
  <c r="N302" i="3"/>
  <c r="R302" i="3"/>
  <c r="V302" i="3"/>
  <c r="Z302" i="3"/>
  <c r="AH302" i="3"/>
  <c r="AL302" i="3"/>
  <c r="G286" i="3"/>
  <c r="K286" i="3"/>
  <c r="O286" i="3"/>
  <c r="S286" i="3"/>
  <c r="W286" i="3"/>
  <c r="AA286" i="3"/>
  <c r="AE286" i="3"/>
  <c r="AI286" i="3"/>
  <c r="AM286" i="3"/>
  <c r="D286" i="3"/>
  <c r="H286" i="3"/>
  <c r="L286" i="3"/>
  <c r="P286" i="3"/>
  <c r="T286" i="3"/>
  <c r="X286" i="3"/>
  <c r="AB286" i="3"/>
  <c r="AN286" i="3"/>
  <c r="E286" i="3"/>
  <c r="I286" i="3"/>
  <c r="M286" i="3"/>
  <c r="Q286" i="3"/>
  <c r="U286" i="3"/>
  <c r="Y286" i="3"/>
  <c r="AC286" i="3"/>
  <c r="AG286" i="3"/>
  <c r="AK286" i="3"/>
  <c r="AO286" i="3"/>
  <c r="F286" i="3"/>
  <c r="J286" i="3"/>
  <c r="N286" i="3"/>
  <c r="R286" i="3"/>
  <c r="V286" i="3"/>
  <c r="Z286" i="3"/>
  <c r="AH286" i="3"/>
  <c r="AL286" i="3"/>
  <c r="G270" i="3"/>
  <c r="K270" i="3"/>
  <c r="O270" i="3"/>
  <c r="S270" i="3"/>
  <c r="W270" i="3"/>
  <c r="AA270" i="3"/>
  <c r="AE270" i="3"/>
  <c r="AI270" i="3"/>
  <c r="AM270" i="3"/>
  <c r="D270" i="3"/>
  <c r="H270" i="3"/>
  <c r="L270" i="3"/>
  <c r="P270" i="3"/>
  <c r="T270" i="3"/>
  <c r="X270" i="3"/>
  <c r="AB270" i="3"/>
  <c r="AN270" i="3"/>
  <c r="E270" i="3"/>
  <c r="I270" i="3"/>
  <c r="M270" i="3"/>
  <c r="Q270" i="3"/>
  <c r="U270" i="3"/>
  <c r="Y270" i="3"/>
  <c r="AC270" i="3"/>
  <c r="AG270" i="3"/>
  <c r="AK270" i="3"/>
  <c r="AO270" i="3"/>
  <c r="F270" i="3"/>
  <c r="J270" i="3"/>
  <c r="N270" i="3"/>
  <c r="R270" i="3"/>
  <c r="V270" i="3"/>
  <c r="Z270" i="3"/>
  <c r="AH270" i="3"/>
  <c r="AL270" i="3"/>
  <c r="G254" i="3"/>
  <c r="K254" i="3"/>
  <c r="O254" i="3"/>
  <c r="S254" i="3"/>
  <c r="W254" i="3"/>
  <c r="AA254" i="3"/>
  <c r="AE254" i="3"/>
  <c r="AI254" i="3"/>
  <c r="AM254" i="3"/>
  <c r="D254" i="3"/>
  <c r="H254" i="3"/>
  <c r="L254" i="3"/>
  <c r="P254" i="3"/>
  <c r="T254" i="3"/>
  <c r="X254" i="3"/>
  <c r="AB254" i="3"/>
  <c r="AN254" i="3"/>
  <c r="E254" i="3"/>
  <c r="I254" i="3"/>
  <c r="M254" i="3"/>
  <c r="Q254" i="3"/>
  <c r="U254" i="3"/>
  <c r="Y254" i="3"/>
  <c r="AC254" i="3"/>
  <c r="AG254" i="3"/>
  <c r="AK254" i="3"/>
  <c r="AO254" i="3"/>
  <c r="F254" i="3"/>
  <c r="J254" i="3"/>
  <c r="N254" i="3"/>
  <c r="R254" i="3"/>
  <c r="V254" i="3"/>
  <c r="Z254" i="3"/>
  <c r="AH254" i="3"/>
  <c r="AL254" i="3"/>
  <c r="D301" i="3"/>
  <c r="H301" i="3"/>
  <c r="L301" i="3"/>
  <c r="P301" i="3"/>
  <c r="T301" i="3"/>
  <c r="X301" i="3"/>
  <c r="AB301" i="3"/>
  <c r="AN301" i="3"/>
  <c r="E301" i="3"/>
  <c r="I301" i="3"/>
  <c r="M301" i="3"/>
  <c r="Q301" i="3"/>
  <c r="U301" i="3"/>
  <c r="Y301" i="3"/>
  <c r="AC301" i="3"/>
  <c r="AG301" i="3"/>
  <c r="AK301" i="3"/>
  <c r="AO301" i="3"/>
  <c r="F301" i="3"/>
  <c r="J301" i="3"/>
  <c r="N301" i="3"/>
  <c r="R301" i="3"/>
  <c r="V301" i="3"/>
  <c r="Z301" i="3"/>
  <c r="AH301" i="3"/>
  <c r="AL301" i="3"/>
  <c r="G301" i="3"/>
  <c r="K301" i="3"/>
  <c r="O301" i="3"/>
  <c r="S301" i="3"/>
  <c r="W301" i="3"/>
  <c r="AA301" i="3"/>
  <c r="AE301" i="3"/>
  <c r="AI301" i="3"/>
  <c r="AM301" i="3"/>
  <c r="D285" i="3"/>
  <c r="H285" i="3"/>
  <c r="L285" i="3"/>
  <c r="P285" i="3"/>
  <c r="T285" i="3"/>
  <c r="X285" i="3"/>
  <c r="AB285" i="3"/>
  <c r="AN285" i="3"/>
  <c r="E285" i="3"/>
  <c r="I285" i="3"/>
  <c r="M285" i="3"/>
  <c r="Q285" i="3"/>
  <c r="U285" i="3"/>
  <c r="Y285" i="3"/>
  <c r="AC285" i="3"/>
  <c r="AG285" i="3"/>
  <c r="AK285" i="3"/>
  <c r="AO285" i="3"/>
  <c r="F285" i="3"/>
  <c r="J285" i="3"/>
  <c r="N285" i="3"/>
  <c r="R285" i="3"/>
  <c r="V285" i="3"/>
  <c r="Z285" i="3"/>
  <c r="AH285" i="3"/>
  <c r="AL285" i="3"/>
  <c r="G285" i="3"/>
  <c r="K285" i="3"/>
  <c r="O285" i="3"/>
  <c r="S285" i="3"/>
  <c r="W285" i="3"/>
  <c r="AA285" i="3"/>
  <c r="AE285" i="3"/>
  <c r="AI285" i="3"/>
  <c r="AM285" i="3"/>
  <c r="D269" i="3"/>
  <c r="H269" i="3"/>
  <c r="L269" i="3"/>
  <c r="P269" i="3"/>
  <c r="T269" i="3"/>
  <c r="X269" i="3"/>
  <c r="AB269" i="3"/>
  <c r="AN269" i="3"/>
  <c r="E269" i="3"/>
  <c r="I269" i="3"/>
  <c r="M269" i="3"/>
  <c r="Q269" i="3"/>
  <c r="U269" i="3"/>
  <c r="Y269" i="3"/>
  <c r="AC269" i="3"/>
  <c r="AG269" i="3"/>
  <c r="AK269" i="3"/>
  <c r="AO269" i="3"/>
  <c r="F269" i="3"/>
  <c r="J269" i="3"/>
  <c r="N269" i="3"/>
  <c r="R269" i="3"/>
  <c r="V269" i="3"/>
  <c r="Z269" i="3"/>
  <c r="AH269" i="3"/>
  <c r="AL269" i="3"/>
  <c r="G269" i="3"/>
  <c r="K269" i="3"/>
  <c r="O269" i="3"/>
  <c r="S269" i="3"/>
  <c r="W269" i="3"/>
  <c r="AA269" i="3"/>
  <c r="AE269" i="3"/>
  <c r="AI269" i="3"/>
  <c r="AM269" i="3"/>
  <c r="D253" i="3"/>
  <c r="H253" i="3"/>
  <c r="L253" i="3"/>
  <c r="P253" i="3"/>
  <c r="T253" i="3"/>
  <c r="X253" i="3"/>
  <c r="AB253" i="3"/>
  <c r="AN253" i="3"/>
  <c r="E253" i="3"/>
  <c r="I253" i="3"/>
  <c r="M253" i="3"/>
  <c r="Q253" i="3"/>
  <c r="U253" i="3"/>
  <c r="Y253" i="3"/>
  <c r="AC253" i="3"/>
  <c r="AG253" i="3"/>
  <c r="AK253" i="3"/>
  <c r="AO253" i="3"/>
  <c r="F253" i="3"/>
  <c r="J253" i="3"/>
  <c r="N253" i="3"/>
  <c r="R253" i="3"/>
  <c r="V253" i="3"/>
  <c r="Z253" i="3"/>
  <c r="AH253" i="3"/>
  <c r="AL253" i="3"/>
  <c r="G253" i="3"/>
  <c r="K253" i="3"/>
  <c r="O253" i="3"/>
  <c r="S253" i="3"/>
  <c r="W253" i="3"/>
  <c r="AA253" i="3"/>
  <c r="AE253" i="3"/>
  <c r="AI253" i="3"/>
  <c r="AM253" i="3"/>
  <c r="F308" i="3"/>
  <c r="J308" i="3"/>
  <c r="N308" i="3"/>
  <c r="R308" i="3"/>
  <c r="V308" i="3"/>
  <c r="Z308" i="3"/>
  <c r="AH308" i="3"/>
  <c r="AL308" i="3"/>
  <c r="D308" i="3"/>
  <c r="H308" i="3"/>
  <c r="L308" i="3"/>
  <c r="P308" i="3"/>
  <c r="T308" i="3"/>
  <c r="X308" i="3"/>
  <c r="AB308" i="3"/>
  <c r="AN308" i="3"/>
  <c r="G308" i="3"/>
  <c r="O308" i="3"/>
  <c r="W308" i="3"/>
  <c r="AE308" i="3"/>
  <c r="AM308" i="3"/>
  <c r="I308" i="3"/>
  <c r="Q308" i="3"/>
  <c r="Y308" i="3"/>
  <c r="AG308" i="3"/>
  <c r="AO308" i="3"/>
  <c r="K308" i="3"/>
  <c r="S308" i="3"/>
  <c r="AA308" i="3"/>
  <c r="AI308" i="3"/>
  <c r="E308" i="3"/>
  <c r="M308" i="3"/>
  <c r="U308" i="3"/>
  <c r="AC308" i="3"/>
  <c r="AK308" i="3"/>
  <c r="E292" i="3"/>
  <c r="I292" i="3"/>
  <c r="M292" i="3"/>
  <c r="Q292" i="3"/>
  <c r="U292" i="3"/>
  <c r="Y292" i="3"/>
  <c r="AC292" i="3"/>
  <c r="AG292" i="3"/>
  <c r="AK292" i="3"/>
  <c r="AO292" i="3"/>
  <c r="F292" i="3"/>
  <c r="J292" i="3"/>
  <c r="N292" i="3"/>
  <c r="R292" i="3"/>
  <c r="V292" i="3"/>
  <c r="Z292" i="3"/>
  <c r="AH292" i="3"/>
  <c r="AL292" i="3"/>
  <c r="G292" i="3"/>
  <c r="K292" i="3"/>
  <c r="O292" i="3"/>
  <c r="S292" i="3"/>
  <c r="W292" i="3"/>
  <c r="AA292" i="3"/>
  <c r="AE292" i="3"/>
  <c r="AI292" i="3"/>
  <c r="AM292" i="3"/>
  <c r="D292" i="3"/>
  <c r="H292" i="3"/>
  <c r="L292" i="3"/>
  <c r="P292" i="3"/>
  <c r="T292" i="3"/>
  <c r="X292" i="3"/>
  <c r="AB292" i="3"/>
  <c r="AN292" i="3"/>
  <c r="E276" i="3"/>
  <c r="I276" i="3"/>
  <c r="M276" i="3"/>
  <c r="Q276" i="3"/>
  <c r="U276" i="3"/>
  <c r="Y276" i="3"/>
  <c r="AC276" i="3"/>
  <c r="AG276" i="3"/>
  <c r="AK276" i="3"/>
  <c r="AO276" i="3"/>
  <c r="F276" i="3"/>
  <c r="J276" i="3"/>
  <c r="N276" i="3"/>
  <c r="R276" i="3"/>
  <c r="V276" i="3"/>
  <c r="Z276" i="3"/>
  <c r="AH276" i="3"/>
  <c r="AL276" i="3"/>
  <c r="G276" i="3"/>
  <c r="K276" i="3"/>
  <c r="O276" i="3"/>
  <c r="S276" i="3"/>
  <c r="W276" i="3"/>
  <c r="AA276" i="3"/>
  <c r="AE276" i="3"/>
  <c r="AI276" i="3"/>
  <c r="AM276" i="3"/>
  <c r="D276" i="3"/>
  <c r="H276" i="3"/>
  <c r="L276" i="3"/>
  <c r="P276" i="3"/>
  <c r="T276" i="3"/>
  <c r="X276" i="3"/>
  <c r="AB276" i="3"/>
  <c r="AN276" i="3"/>
  <c r="E260" i="3"/>
  <c r="I260" i="3"/>
  <c r="M260" i="3"/>
  <c r="Q260" i="3"/>
  <c r="U260" i="3"/>
  <c r="Y260" i="3"/>
  <c r="AC260" i="3"/>
  <c r="AG260" i="3"/>
  <c r="AK260" i="3"/>
  <c r="AO260" i="3"/>
  <c r="F260" i="3"/>
  <c r="J260" i="3"/>
  <c r="N260" i="3"/>
  <c r="R260" i="3"/>
  <c r="V260" i="3"/>
  <c r="Z260" i="3"/>
  <c r="AH260" i="3"/>
  <c r="AL260" i="3"/>
  <c r="G260" i="3"/>
  <c r="K260" i="3"/>
  <c r="O260" i="3"/>
  <c r="S260" i="3"/>
  <c r="W260" i="3"/>
  <c r="AA260" i="3"/>
  <c r="AE260" i="3"/>
  <c r="AI260" i="3"/>
  <c r="AM260" i="3"/>
  <c r="D260" i="3"/>
  <c r="H260" i="3"/>
  <c r="L260" i="3"/>
  <c r="P260" i="3"/>
  <c r="T260" i="3"/>
  <c r="X260" i="3"/>
  <c r="AB260" i="3"/>
  <c r="AN260" i="3"/>
  <c r="E244" i="3"/>
  <c r="I244" i="3"/>
  <c r="M244" i="3"/>
  <c r="Q244" i="3"/>
  <c r="U244" i="3"/>
  <c r="Y244" i="3"/>
  <c r="AC244" i="3"/>
  <c r="AG244" i="3"/>
  <c r="AK244" i="3"/>
  <c r="AO244" i="3"/>
  <c r="F244" i="3"/>
  <c r="J244" i="3"/>
  <c r="N244" i="3"/>
  <c r="R244" i="3"/>
  <c r="V244" i="3"/>
  <c r="Z244" i="3"/>
  <c r="AH244" i="3"/>
  <c r="AL244" i="3"/>
  <c r="G244" i="3"/>
  <c r="K244" i="3"/>
  <c r="O244" i="3"/>
  <c r="S244" i="3"/>
  <c r="W244" i="3"/>
  <c r="AA244" i="3"/>
  <c r="AE244" i="3"/>
  <c r="AI244" i="3"/>
  <c r="AM244" i="3"/>
  <c r="D244" i="3"/>
  <c r="H244" i="3"/>
  <c r="L244" i="3"/>
  <c r="P244" i="3"/>
  <c r="T244" i="3"/>
  <c r="X244" i="3"/>
  <c r="AB244" i="3"/>
  <c r="AN244" i="3"/>
  <c r="F299" i="3"/>
  <c r="J299" i="3"/>
  <c r="N299" i="3"/>
  <c r="R299" i="3"/>
  <c r="V299" i="3"/>
  <c r="Z299" i="3"/>
  <c r="AH299" i="3"/>
  <c r="AL299" i="3"/>
  <c r="G299" i="3"/>
  <c r="K299" i="3"/>
  <c r="O299" i="3"/>
  <c r="S299" i="3"/>
  <c r="W299" i="3"/>
  <c r="AA299" i="3"/>
  <c r="AE299" i="3"/>
  <c r="AI299" i="3"/>
  <c r="AM299" i="3"/>
  <c r="D299" i="3"/>
  <c r="H299" i="3"/>
  <c r="L299" i="3"/>
  <c r="P299" i="3"/>
  <c r="T299" i="3"/>
  <c r="X299" i="3"/>
  <c r="AB299" i="3"/>
  <c r="AN299" i="3"/>
  <c r="E299" i="3"/>
  <c r="I299" i="3"/>
  <c r="M299" i="3"/>
  <c r="Q299" i="3"/>
  <c r="U299" i="3"/>
  <c r="Y299" i="3"/>
  <c r="AC299" i="3"/>
  <c r="AG299" i="3"/>
  <c r="AK299" i="3"/>
  <c r="AO299" i="3"/>
  <c r="F283" i="3"/>
  <c r="J283" i="3"/>
  <c r="N283" i="3"/>
  <c r="R283" i="3"/>
  <c r="V283" i="3"/>
  <c r="Z283" i="3"/>
  <c r="AH283" i="3"/>
  <c r="AL283" i="3"/>
  <c r="G283" i="3"/>
  <c r="K283" i="3"/>
  <c r="O283" i="3"/>
  <c r="S283" i="3"/>
  <c r="W283" i="3"/>
  <c r="AA283" i="3"/>
  <c r="AE283" i="3"/>
  <c r="AI283" i="3"/>
  <c r="AM283" i="3"/>
  <c r="D283" i="3"/>
  <c r="H283" i="3"/>
  <c r="L283" i="3"/>
  <c r="P283" i="3"/>
  <c r="T283" i="3"/>
  <c r="X283" i="3"/>
  <c r="AB283" i="3"/>
  <c r="AN283" i="3"/>
  <c r="E283" i="3"/>
  <c r="I283" i="3"/>
  <c r="M283" i="3"/>
  <c r="Q283" i="3"/>
  <c r="U283" i="3"/>
  <c r="Y283" i="3"/>
  <c r="AC283" i="3"/>
  <c r="AG283" i="3"/>
  <c r="AK283" i="3"/>
  <c r="AO283" i="3"/>
  <c r="F267" i="3"/>
  <c r="J267" i="3"/>
  <c r="N267" i="3"/>
  <c r="R267" i="3"/>
  <c r="V267" i="3"/>
  <c r="Z267" i="3"/>
  <c r="AH267" i="3"/>
  <c r="AL267" i="3"/>
  <c r="G267" i="3"/>
  <c r="K267" i="3"/>
  <c r="O267" i="3"/>
  <c r="S267" i="3"/>
  <c r="W267" i="3"/>
  <c r="AA267" i="3"/>
  <c r="AE267" i="3"/>
  <c r="AI267" i="3"/>
  <c r="AM267" i="3"/>
  <c r="D267" i="3"/>
  <c r="H267" i="3"/>
  <c r="L267" i="3"/>
  <c r="P267" i="3"/>
  <c r="T267" i="3"/>
  <c r="X267" i="3"/>
  <c r="AB267" i="3"/>
  <c r="AN267" i="3"/>
  <c r="E267" i="3"/>
  <c r="I267" i="3"/>
  <c r="M267" i="3"/>
  <c r="Q267" i="3"/>
  <c r="U267" i="3"/>
  <c r="Y267" i="3"/>
  <c r="AC267" i="3"/>
  <c r="AG267" i="3"/>
  <c r="AK267" i="3"/>
  <c r="AO267" i="3"/>
  <c r="F251" i="3"/>
  <c r="J251" i="3"/>
  <c r="N251" i="3"/>
  <c r="R251" i="3"/>
  <c r="V251" i="3"/>
  <c r="Z251" i="3"/>
  <c r="AH251" i="3"/>
  <c r="AL251" i="3"/>
  <c r="G251" i="3"/>
  <c r="K251" i="3"/>
  <c r="O251" i="3"/>
  <c r="S251" i="3"/>
  <c r="W251" i="3"/>
  <c r="AA251" i="3"/>
  <c r="AE251" i="3"/>
  <c r="AI251" i="3"/>
  <c r="AM251" i="3"/>
  <c r="D251" i="3"/>
  <c r="H251" i="3"/>
  <c r="L251" i="3"/>
  <c r="P251" i="3"/>
  <c r="T251" i="3"/>
  <c r="X251" i="3"/>
  <c r="AB251" i="3"/>
  <c r="AN251" i="3"/>
  <c r="E251" i="3"/>
  <c r="I251" i="3"/>
  <c r="M251" i="3"/>
  <c r="Q251" i="3"/>
  <c r="U251" i="3"/>
  <c r="Y251" i="3"/>
  <c r="AC251" i="3"/>
  <c r="AG251" i="3"/>
  <c r="AK251" i="3"/>
  <c r="AO251" i="3"/>
  <c r="G238" i="3"/>
  <c r="K238" i="3"/>
  <c r="O238" i="3"/>
  <c r="S238" i="3"/>
  <c r="W238" i="3"/>
  <c r="AA238" i="3"/>
  <c r="AE238" i="3"/>
  <c r="D238" i="3"/>
  <c r="H238" i="3"/>
  <c r="L238" i="3"/>
  <c r="P238" i="3"/>
  <c r="T238" i="3"/>
  <c r="X238" i="3"/>
  <c r="AB238" i="3"/>
  <c r="AN238" i="3"/>
  <c r="E238" i="3"/>
  <c r="I238" i="3"/>
  <c r="M238" i="3"/>
  <c r="Q238" i="3"/>
  <c r="U238" i="3"/>
  <c r="Y238" i="3"/>
  <c r="AC238" i="3"/>
  <c r="F238" i="3"/>
  <c r="J238" i="3"/>
  <c r="N238" i="3"/>
  <c r="R238" i="3"/>
  <c r="V238" i="3"/>
  <c r="Z238" i="3"/>
  <c r="AH238" i="3"/>
  <c r="AL238" i="3"/>
  <c r="AG238" i="3"/>
  <c r="AO238" i="3"/>
  <c r="AI238" i="3"/>
  <c r="AK238" i="3"/>
  <c r="AM238" i="3"/>
  <c r="G222" i="3"/>
  <c r="K222" i="3"/>
  <c r="O222" i="3"/>
  <c r="S222" i="3"/>
  <c r="W222" i="3"/>
  <c r="AA222" i="3"/>
  <c r="AE222" i="3"/>
  <c r="AI222" i="3"/>
  <c r="AM222" i="3"/>
  <c r="D222" i="3"/>
  <c r="H222" i="3"/>
  <c r="L222" i="3"/>
  <c r="P222" i="3"/>
  <c r="T222" i="3"/>
  <c r="X222" i="3"/>
  <c r="AB222" i="3"/>
  <c r="AN222" i="3"/>
  <c r="E222" i="3"/>
  <c r="I222" i="3"/>
  <c r="M222" i="3"/>
  <c r="Q222" i="3"/>
  <c r="U222" i="3"/>
  <c r="Y222" i="3"/>
  <c r="AC222" i="3"/>
  <c r="AG222" i="3"/>
  <c r="AK222" i="3"/>
  <c r="AO222" i="3"/>
  <c r="F222" i="3"/>
  <c r="J222" i="3"/>
  <c r="N222" i="3"/>
  <c r="R222" i="3"/>
  <c r="V222" i="3"/>
  <c r="Z222" i="3"/>
  <c r="AH222" i="3"/>
  <c r="AL222" i="3"/>
  <c r="G206" i="3"/>
  <c r="K206" i="3"/>
  <c r="O206" i="3"/>
  <c r="S206" i="3"/>
  <c r="W206" i="3"/>
  <c r="AA206" i="3"/>
  <c r="AE206" i="3"/>
  <c r="AI206" i="3"/>
  <c r="AM206" i="3"/>
  <c r="D206" i="3"/>
  <c r="H206" i="3"/>
  <c r="L206" i="3"/>
  <c r="P206" i="3"/>
  <c r="T206" i="3"/>
  <c r="X206" i="3"/>
  <c r="AB206" i="3"/>
  <c r="AN206" i="3"/>
  <c r="E206" i="3"/>
  <c r="I206" i="3"/>
  <c r="M206" i="3"/>
  <c r="Q206" i="3"/>
  <c r="U206" i="3"/>
  <c r="Y206" i="3"/>
  <c r="AC206" i="3"/>
  <c r="AG206" i="3"/>
  <c r="AK206" i="3"/>
  <c r="AO206" i="3"/>
  <c r="F206" i="3"/>
  <c r="J206" i="3"/>
  <c r="N206" i="3"/>
  <c r="R206" i="3"/>
  <c r="V206" i="3"/>
  <c r="Z206" i="3"/>
  <c r="AH206" i="3"/>
  <c r="AL206" i="3"/>
  <c r="D229" i="3"/>
  <c r="H229" i="3"/>
  <c r="L229" i="3"/>
  <c r="P229" i="3"/>
  <c r="T229" i="3"/>
  <c r="X229" i="3"/>
  <c r="AB229" i="3"/>
  <c r="AN229" i="3"/>
  <c r="E229" i="3"/>
  <c r="I229" i="3"/>
  <c r="M229" i="3"/>
  <c r="Q229" i="3"/>
  <c r="U229" i="3"/>
  <c r="Y229" i="3"/>
  <c r="AC229" i="3"/>
  <c r="AG229" i="3"/>
  <c r="AK229" i="3"/>
  <c r="AO229" i="3"/>
  <c r="F229" i="3"/>
  <c r="J229" i="3"/>
  <c r="N229" i="3"/>
  <c r="R229" i="3"/>
  <c r="V229" i="3"/>
  <c r="Z229" i="3"/>
  <c r="AH229" i="3"/>
  <c r="AL229" i="3"/>
  <c r="G229" i="3"/>
  <c r="K229" i="3"/>
  <c r="O229" i="3"/>
  <c r="S229" i="3"/>
  <c r="W229" i="3"/>
  <c r="AA229" i="3"/>
  <c r="AE229" i="3"/>
  <c r="AI229" i="3"/>
  <c r="AM229" i="3"/>
  <c r="D213" i="3"/>
  <c r="H213" i="3"/>
  <c r="L213" i="3"/>
  <c r="P213" i="3"/>
  <c r="T213" i="3"/>
  <c r="X213" i="3"/>
  <c r="AB213" i="3"/>
  <c r="AN213" i="3"/>
  <c r="E213" i="3"/>
  <c r="I213" i="3"/>
  <c r="M213" i="3"/>
  <c r="Q213" i="3"/>
  <c r="U213" i="3"/>
  <c r="Y213" i="3"/>
  <c r="AC213" i="3"/>
  <c r="AG213" i="3"/>
  <c r="AK213" i="3"/>
  <c r="AO213" i="3"/>
  <c r="F213" i="3"/>
  <c r="J213" i="3"/>
  <c r="N213" i="3"/>
  <c r="R213" i="3"/>
  <c r="V213" i="3"/>
  <c r="Z213" i="3"/>
  <c r="AH213" i="3"/>
  <c r="AL213" i="3"/>
  <c r="G213" i="3"/>
  <c r="K213" i="3"/>
  <c r="O213" i="3"/>
  <c r="S213" i="3"/>
  <c r="W213" i="3"/>
  <c r="AA213" i="3"/>
  <c r="AE213" i="3"/>
  <c r="AI213" i="3"/>
  <c r="AM213" i="3"/>
  <c r="E236" i="3"/>
  <c r="I236" i="3"/>
  <c r="M236" i="3"/>
  <c r="Q236" i="3"/>
  <c r="U236" i="3"/>
  <c r="Y236" i="3"/>
  <c r="AC236" i="3"/>
  <c r="AG236" i="3"/>
  <c r="AK236" i="3"/>
  <c r="AO236" i="3"/>
  <c r="F236" i="3"/>
  <c r="J236" i="3"/>
  <c r="N236" i="3"/>
  <c r="R236" i="3"/>
  <c r="V236" i="3"/>
  <c r="Z236" i="3"/>
  <c r="AH236" i="3"/>
  <c r="AL236" i="3"/>
  <c r="G236" i="3"/>
  <c r="K236" i="3"/>
  <c r="O236" i="3"/>
  <c r="S236" i="3"/>
  <c r="W236" i="3"/>
  <c r="AA236" i="3"/>
  <c r="AE236" i="3"/>
  <c r="AI236" i="3"/>
  <c r="AM236" i="3"/>
  <c r="D236" i="3"/>
  <c r="H236" i="3"/>
  <c r="L236" i="3"/>
  <c r="P236" i="3"/>
  <c r="T236" i="3"/>
  <c r="X236" i="3"/>
  <c r="AB236" i="3"/>
  <c r="AN236" i="3"/>
  <c r="E220" i="3"/>
  <c r="I220" i="3"/>
  <c r="M220" i="3"/>
  <c r="Q220" i="3"/>
  <c r="U220" i="3"/>
  <c r="Y220" i="3"/>
  <c r="AC220" i="3"/>
  <c r="AG220" i="3"/>
  <c r="AK220" i="3"/>
  <c r="AO220" i="3"/>
  <c r="F220" i="3"/>
  <c r="J220" i="3"/>
  <c r="N220" i="3"/>
  <c r="R220" i="3"/>
  <c r="V220" i="3"/>
  <c r="Z220" i="3"/>
  <c r="AH220" i="3"/>
  <c r="AL220" i="3"/>
  <c r="G220" i="3"/>
  <c r="K220" i="3"/>
  <c r="O220" i="3"/>
  <c r="S220" i="3"/>
  <c r="W220" i="3"/>
  <c r="AA220" i="3"/>
  <c r="AE220" i="3"/>
  <c r="AI220" i="3"/>
  <c r="AM220" i="3"/>
  <c r="D220" i="3"/>
  <c r="H220" i="3"/>
  <c r="L220" i="3"/>
  <c r="P220" i="3"/>
  <c r="T220" i="3"/>
  <c r="X220" i="3"/>
  <c r="AB220" i="3"/>
  <c r="AN220" i="3"/>
  <c r="F235" i="3"/>
  <c r="J235" i="3"/>
  <c r="N235" i="3"/>
  <c r="R235" i="3"/>
  <c r="V235" i="3"/>
  <c r="Z235" i="3"/>
  <c r="AH235" i="3"/>
  <c r="AL235" i="3"/>
  <c r="G235" i="3"/>
  <c r="K235" i="3"/>
  <c r="O235" i="3"/>
  <c r="S235" i="3"/>
  <c r="W235" i="3"/>
  <c r="AA235" i="3"/>
  <c r="AE235" i="3"/>
  <c r="AI235" i="3"/>
  <c r="AM235" i="3"/>
  <c r="D235" i="3"/>
  <c r="H235" i="3"/>
  <c r="L235" i="3"/>
  <c r="P235" i="3"/>
  <c r="T235" i="3"/>
  <c r="X235" i="3"/>
  <c r="AB235" i="3"/>
  <c r="AN235" i="3"/>
  <c r="E235" i="3"/>
  <c r="I235" i="3"/>
  <c r="M235" i="3"/>
  <c r="Q235" i="3"/>
  <c r="U235" i="3"/>
  <c r="Y235" i="3"/>
  <c r="AC235" i="3"/>
  <c r="AG235" i="3"/>
  <c r="AK235" i="3"/>
  <c r="AO235" i="3"/>
  <c r="F219" i="3"/>
  <c r="J219" i="3"/>
  <c r="N219" i="3"/>
  <c r="R219" i="3"/>
  <c r="V219" i="3"/>
  <c r="Z219" i="3"/>
  <c r="AH219" i="3"/>
  <c r="AL219" i="3"/>
  <c r="G219" i="3"/>
  <c r="K219" i="3"/>
  <c r="O219" i="3"/>
  <c r="S219" i="3"/>
  <c r="W219" i="3"/>
  <c r="AA219" i="3"/>
  <c r="AE219" i="3"/>
  <c r="AI219" i="3"/>
  <c r="AM219" i="3"/>
  <c r="D219" i="3"/>
  <c r="H219" i="3"/>
  <c r="L219" i="3"/>
  <c r="P219" i="3"/>
  <c r="T219" i="3"/>
  <c r="X219" i="3"/>
  <c r="AB219" i="3"/>
  <c r="AN219" i="3"/>
  <c r="E219" i="3"/>
  <c r="I219" i="3"/>
  <c r="M219" i="3"/>
  <c r="Q219" i="3"/>
  <c r="U219" i="3"/>
  <c r="Y219" i="3"/>
  <c r="AC219" i="3"/>
  <c r="AG219" i="3"/>
  <c r="AK219" i="3"/>
  <c r="AO219" i="3"/>
  <c r="D202" i="3"/>
  <c r="H202" i="3"/>
  <c r="L202" i="3"/>
  <c r="P202" i="3"/>
  <c r="T202" i="3"/>
  <c r="X202" i="3"/>
  <c r="AB202" i="3"/>
  <c r="AN202" i="3"/>
  <c r="F202" i="3"/>
  <c r="J202" i="3"/>
  <c r="N202" i="3"/>
  <c r="R202" i="3"/>
  <c r="V202" i="3"/>
  <c r="Z202" i="3"/>
  <c r="AH202" i="3"/>
  <c r="AL202" i="3"/>
  <c r="G202" i="3"/>
  <c r="O202" i="3"/>
  <c r="W202" i="3"/>
  <c r="AE202" i="3"/>
  <c r="AM202" i="3"/>
  <c r="I202" i="3"/>
  <c r="Q202" i="3"/>
  <c r="Y202" i="3"/>
  <c r="AG202" i="3"/>
  <c r="AO202" i="3"/>
  <c r="K202" i="3"/>
  <c r="S202" i="3"/>
  <c r="AA202" i="3"/>
  <c r="AI202" i="3"/>
  <c r="E202" i="3"/>
  <c r="M202" i="3"/>
  <c r="U202" i="3"/>
  <c r="AC202" i="3"/>
  <c r="AK202" i="3"/>
  <c r="G186" i="3"/>
  <c r="K186" i="3"/>
  <c r="O186" i="3"/>
  <c r="S186" i="3"/>
  <c r="W186" i="3"/>
  <c r="AA186" i="3"/>
  <c r="AE186" i="3"/>
  <c r="AI186" i="3"/>
  <c r="AM186" i="3"/>
  <c r="D186" i="3"/>
  <c r="H186" i="3"/>
  <c r="L186" i="3"/>
  <c r="P186" i="3"/>
  <c r="T186" i="3"/>
  <c r="X186" i="3"/>
  <c r="AB186" i="3"/>
  <c r="AN186" i="3"/>
  <c r="E186" i="3"/>
  <c r="I186" i="3"/>
  <c r="M186" i="3"/>
  <c r="Q186" i="3"/>
  <c r="U186" i="3"/>
  <c r="Y186" i="3"/>
  <c r="AC186" i="3"/>
  <c r="AG186" i="3"/>
  <c r="AK186" i="3"/>
  <c r="AO186" i="3"/>
  <c r="F186" i="3"/>
  <c r="J186" i="3"/>
  <c r="N186" i="3"/>
  <c r="R186" i="3"/>
  <c r="V186" i="3"/>
  <c r="Z186" i="3"/>
  <c r="AH186" i="3"/>
  <c r="AL186" i="3"/>
  <c r="E164" i="3"/>
  <c r="I164" i="3"/>
  <c r="M164" i="3"/>
  <c r="Q164" i="3"/>
  <c r="U164" i="3"/>
  <c r="Y164" i="3"/>
  <c r="AC164" i="3"/>
  <c r="AG164" i="3"/>
  <c r="AK164" i="3"/>
  <c r="AO164" i="3"/>
  <c r="G164" i="3"/>
  <c r="K164" i="3"/>
  <c r="O164" i="3"/>
  <c r="S164" i="3"/>
  <c r="W164" i="3"/>
  <c r="AA164" i="3"/>
  <c r="AE164" i="3"/>
  <c r="AI164" i="3"/>
  <c r="AM164" i="3"/>
  <c r="J164" i="3"/>
  <c r="R164" i="3"/>
  <c r="Z164" i="3"/>
  <c r="AH164" i="3"/>
  <c r="D164" i="3"/>
  <c r="L164" i="3"/>
  <c r="T164" i="3"/>
  <c r="AB164" i="3"/>
  <c r="F164" i="3"/>
  <c r="N164" i="3"/>
  <c r="V164" i="3"/>
  <c r="AL164" i="3"/>
  <c r="H164" i="3"/>
  <c r="P164" i="3"/>
  <c r="X164" i="3"/>
  <c r="AN164" i="3"/>
  <c r="D189" i="3"/>
  <c r="H189" i="3"/>
  <c r="L189" i="3"/>
  <c r="P189" i="3"/>
  <c r="T189" i="3"/>
  <c r="X189" i="3"/>
  <c r="AB189" i="3"/>
  <c r="AN189" i="3"/>
  <c r="E189" i="3"/>
  <c r="I189" i="3"/>
  <c r="M189" i="3"/>
  <c r="Q189" i="3"/>
  <c r="U189" i="3"/>
  <c r="Y189" i="3"/>
  <c r="AC189" i="3"/>
  <c r="AG189" i="3"/>
  <c r="AK189" i="3"/>
  <c r="AO189" i="3"/>
  <c r="F189" i="3"/>
  <c r="J189" i="3"/>
  <c r="N189" i="3"/>
  <c r="R189" i="3"/>
  <c r="V189" i="3"/>
  <c r="Z189" i="3"/>
  <c r="AH189" i="3"/>
  <c r="AL189" i="3"/>
  <c r="G189" i="3"/>
  <c r="K189" i="3"/>
  <c r="O189" i="3"/>
  <c r="S189" i="3"/>
  <c r="W189" i="3"/>
  <c r="AA189" i="3"/>
  <c r="AE189" i="3"/>
  <c r="AI189" i="3"/>
  <c r="AM189" i="3"/>
  <c r="D173" i="3"/>
  <c r="H173" i="3"/>
  <c r="L173" i="3"/>
  <c r="P173" i="3"/>
  <c r="T173" i="3"/>
  <c r="X173" i="3"/>
  <c r="AB173" i="3"/>
  <c r="AN173" i="3"/>
  <c r="E173" i="3"/>
  <c r="I173" i="3"/>
  <c r="M173" i="3"/>
  <c r="Q173" i="3"/>
  <c r="U173" i="3"/>
  <c r="Y173" i="3"/>
  <c r="AC173" i="3"/>
  <c r="AG173" i="3"/>
  <c r="AK173" i="3"/>
  <c r="AO173" i="3"/>
  <c r="F173" i="3"/>
  <c r="J173" i="3"/>
  <c r="N173" i="3"/>
  <c r="R173" i="3"/>
  <c r="V173" i="3"/>
  <c r="Z173" i="3"/>
  <c r="AH173" i="3"/>
  <c r="AL173" i="3"/>
  <c r="G173" i="3"/>
  <c r="K173" i="3"/>
  <c r="O173" i="3"/>
  <c r="S173" i="3"/>
  <c r="W173" i="3"/>
  <c r="AA173" i="3"/>
  <c r="AE173" i="3"/>
  <c r="AI173" i="3"/>
  <c r="AM173" i="3"/>
  <c r="E196" i="3"/>
  <c r="I196" i="3"/>
  <c r="M196" i="3"/>
  <c r="Q196" i="3"/>
  <c r="U196" i="3"/>
  <c r="Y196" i="3"/>
  <c r="AC196" i="3"/>
  <c r="AG196" i="3"/>
  <c r="AK196" i="3"/>
  <c r="AO196" i="3"/>
  <c r="F196" i="3"/>
  <c r="J196" i="3"/>
  <c r="N196" i="3"/>
  <c r="R196" i="3"/>
  <c r="V196" i="3"/>
  <c r="Z196" i="3"/>
  <c r="AH196" i="3"/>
  <c r="AL196" i="3"/>
  <c r="G196" i="3"/>
  <c r="K196" i="3"/>
  <c r="O196" i="3"/>
  <c r="S196" i="3"/>
  <c r="W196" i="3"/>
  <c r="AA196" i="3"/>
  <c r="AE196" i="3"/>
  <c r="AI196" i="3"/>
  <c r="AM196" i="3"/>
  <c r="D196" i="3"/>
  <c r="H196" i="3"/>
  <c r="L196" i="3"/>
  <c r="P196" i="3"/>
  <c r="T196" i="3"/>
  <c r="X196" i="3"/>
  <c r="AB196" i="3"/>
  <c r="AN196" i="3"/>
  <c r="E180" i="3"/>
  <c r="I180" i="3"/>
  <c r="M180" i="3"/>
  <c r="Q180" i="3"/>
  <c r="U180" i="3"/>
  <c r="Y180" i="3"/>
  <c r="AC180" i="3"/>
  <c r="AG180" i="3"/>
  <c r="AK180" i="3"/>
  <c r="AO180" i="3"/>
  <c r="F180" i="3"/>
  <c r="J180" i="3"/>
  <c r="N180" i="3"/>
  <c r="R180" i="3"/>
  <c r="V180" i="3"/>
  <c r="Z180" i="3"/>
  <c r="AH180" i="3"/>
  <c r="AL180" i="3"/>
  <c r="G180" i="3"/>
  <c r="K180" i="3"/>
  <c r="O180" i="3"/>
  <c r="S180" i="3"/>
  <c r="W180" i="3"/>
  <c r="AA180" i="3"/>
  <c r="AE180" i="3"/>
  <c r="AI180" i="3"/>
  <c r="AM180" i="3"/>
  <c r="D180" i="3"/>
  <c r="H180" i="3"/>
  <c r="L180" i="3"/>
  <c r="P180" i="3"/>
  <c r="T180" i="3"/>
  <c r="X180" i="3"/>
  <c r="AB180" i="3"/>
  <c r="AN180" i="3"/>
  <c r="F199" i="3"/>
  <c r="J199" i="3"/>
  <c r="N199" i="3"/>
  <c r="R199" i="3"/>
  <c r="V199" i="3"/>
  <c r="Z199" i="3"/>
  <c r="AH199" i="3"/>
  <c r="AL199" i="3"/>
  <c r="G199" i="3"/>
  <c r="K199" i="3"/>
  <c r="O199" i="3"/>
  <c r="S199" i="3"/>
  <c r="W199" i="3"/>
  <c r="AA199" i="3"/>
  <c r="AE199" i="3"/>
  <c r="AI199" i="3"/>
  <c r="AM199" i="3"/>
  <c r="D199" i="3"/>
  <c r="H199" i="3"/>
  <c r="L199" i="3"/>
  <c r="P199" i="3"/>
  <c r="T199" i="3"/>
  <c r="X199" i="3"/>
  <c r="AB199" i="3"/>
  <c r="AN199" i="3"/>
  <c r="E199" i="3"/>
  <c r="I199" i="3"/>
  <c r="M199" i="3"/>
  <c r="Q199" i="3"/>
  <c r="U199" i="3"/>
  <c r="Y199" i="3"/>
  <c r="AC199" i="3"/>
  <c r="AG199" i="3"/>
  <c r="AK199" i="3"/>
  <c r="AO199" i="3"/>
  <c r="F183" i="3"/>
  <c r="J183" i="3"/>
  <c r="N183" i="3"/>
  <c r="R183" i="3"/>
  <c r="V183" i="3"/>
  <c r="Z183" i="3"/>
  <c r="AH183" i="3"/>
  <c r="AL183" i="3"/>
  <c r="G183" i="3"/>
  <c r="K183" i="3"/>
  <c r="O183" i="3"/>
  <c r="S183" i="3"/>
  <c r="W183" i="3"/>
  <c r="AA183" i="3"/>
  <c r="AE183" i="3"/>
  <c r="AI183" i="3"/>
  <c r="AM183" i="3"/>
  <c r="D183" i="3"/>
  <c r="H183" i="3"/>
  <c r="L183" i="3"/>
  <c r="P183" i="3"/>
  <c r="T183" i="3"/>
  <c r="X183" i="3"/>
  <c r="AB183" i="3"/>
  <c r="AN183" i="3"/>
  <c r="E183" i="3"/>
  <c r="I183" i="3"/>
  <c r="M183" i="3"/>
  <c r="Q183" i="3"/>
  <c r="U183" i="3"/>
  <c r="Y183" i="3"/>
  <c r="AC183" i="3"/>
  <c r="AG183" i="3"/>
  <c r="AK183" i="3"/>
  <c r="AO183" i="3"/>
  <c r="D169" i="3"/>
  <c r="H169" i="3"/>
  <c r="L169" i="3"/>
  <c r="P169" i="3"/>
  <c r="T169" i="3"/>
  <c r="X169" i="3"/>
  <c r="AB169" i="3"/>
  <c r="AN169" i="3"/>
  <c r="F169" i="3"/>
  <c r="J169" i="3"/>
  <c r="N169" i="3"/>
  <c r="R169" i="3"/>
  <c r="V169" i="3"/>
  <c r="Z169" i="3"/>
  <c r="AH169" i="3"/>
  <c r="AL169" i="3"/>
  <c r="E169" i="3"/>
  <c r="M169" i="3"/>
  <c r="U169" i="3"/>
  <c r="AC169" i="3"/>
  <c r="AK169" i="3"/>
  <c r="G169" i="3"/>
  <c r="O169" i="3"/>
  <c r="W169" i="3"/>
  <c r="AE169" i="3"/>
  <c r="AM169" i="3"/>
  <c r="I169" i="3"/>
  <c r="Q169" i="3"/>
  <c r="Y169" i="3"/>
  <c r="AG169" i="3"/>
  <c r="AO169" i="3"/>
  <c r="K169" i="3"/>
  <c r="S169" i="3"/>
  <c r="AA169" i="3"/>
  <c r="AI169" i="3"/>
  <c r="G153" i="3"/>
  <c r="K153" i="3"/>
  <c r="O153" i="3"/>
  <c r="S153" i="3"/>
  <c r="W153" i="3"/>
  <c r="AA153" i="3"/>
  <c r="AE153" i="3"/>
  <c r="AI153" i="3"/>
  <c r="AM153" i="3"/>
  <c r="D153" i="3"/>
  <c r="H153" i="3"/>
  <c r="L153" i="3"/>
  <c r="P153" i="3"/>
  <c r="T153" i="3"/>
  <c r="X153" i="3"/>
  <c r="AB153" i="3"/>
  <c r="AN153" i="3"/>
  <c r="E153" i="3"/>
  <c r="I153" i="3"/>
  <c r="M153" i="3"/>
  <c r="Q153" i="3"/>
  <c r="U153" i="3"/>
  <c r="Y153" i="3"/>
  <c r="AC153" i="3"/>
  <c r="AG153" i="3"/>
  <c r="AK153" i="3"/>
  <c r="AO153" i="3"/>
  <c r="F153" i="3"/>
  <c r="J153" i="3"/>
  <c r="N153" i="3"/>
  <c r="R153" i="3"/>
  <c r="V153" i="3"/>
  <c r="Z153" i="3"/>
  <c r="AH153" i="3"/>
  <c r="AL153" i="3"/>
  <c r="E134" i="3"/>
  <c r="I134" i="3"/>
  <c r="M134" i="3"/>
  <c r="Q134" i="3"/>
  <c r="U134" i="3"/>
  <c r="Y134" i="3"/>
  <c r="AC134" i="3"/>
  <c r="AG134" i="3"/>
  <c r="AK134" i="3"/>
  <c r="AO134" i="3"/>
  <c r="G134" i="3"/>
  <c r="K134" i="3"/>
  <c r="O134" i="3"/>
  <c r="S134" i="3"/>
  <c r="W134" i="3"/>
  <c r="AA134" i="3"/>
  <c r="AE134" i="3"/>
  <c r="AI134" i="3"/>
  <c r="AM134" i="3"/>
  <c r="J134" i="3"/>
  <c r="R134" i="3"/>
  <c r="Z134" i="3"/>
  <c r="AH134" i="3"/>
  <c r="D134" i="3"/>
  <c r="L134" i="3"/>
  <c r="T134" i="3"/>
  <c r="AB134" i="3"/>
  <c r="F134" i="3"/>
  <c r="N134" i="3"/>
  <c r="V134" i="3"/>
  <c r="AL134" i="3"/>
  <c r="H134" i="3"/>
  <c r="P134" i="3"/>
  <c r="X134" i="3"/>
  <c r="AN134" i="3"/>
  <c r="D148" i="3"/>
  <c r="H148" i="3"/>
  <c r="L148" i="3"/>
  <c r="P148" i="3"/>
  <c r="T148" i="3"/>
  <c r="X148" i="3"/>
  <c r="AB148" i="3"/>
  <c r="AN148" i="3"/>
  <c r="E148" i="3"/>
  <c r="I148" i="3"/>
  <c r="M148" i="3"/>
  <c r="Q148" i="3"/>
  <c r="U148" i="3"/>
  <c r="Y148" i="3"/>
  <c r="AC148" i="3"/>
  <c r="AG148" i="3"/>
  <c r="AK148" i="3"/>
  <c r="AO148" i="3"/>
  <c r="F148" i="3"/>
  <c r="J148" i="3"/>
  <c r="N148" i="3"/>
  <c r="R148" i="3"/>
  <c r="V148" i="3"/>
  <c r="Z148" i="3"/>
  <c r="AH148" i="3"/>
  <c r="AL148" i="3"/>
  <c r="G148" i="3"/>
  <c r="K148" i="3"/>
  <c r="O148" i="3"/>
  <c r="S148" i="3"/>
  <c r="W148" i="3"/>
  <c r="AA148" i="3"/>
  <c r="AE148" i="3"/>
  <c r="AI148" i="3"/>
  <c r="AM148" i="3"/>
  <c r="D171" i="3"/>
  <c r="F171" i="3"/>
  <c r="J171" i="3"/>
  <c r="N171" i="3"/>
  <c r="R171" i="3"/>
  <c r="V171" i="3"/>
  <c r="Z171" i="3"/>
  <c r="AH171" i="3"/>
  <c r="AL171" i="3"/>
  <c r="G171" i="3"/>
  <c r="K171" i="3"/>
  <c r="O171" i="3"/>
  <c r="S171" i="3"/>
  <c r="W171" i="3"/>
  <c r="AA171" i="3"/>
  <c r="AE171" i="3"/>
  <c r="AI171" i="3"/>
  <c r="AM171" i="3"/>
  <c r="H171" i="3"/>
  <c r="L171" i="3"/>
  <c r="P171" i="3"/>
  <c r="T171" i="3"/>
  <c r="X171" i="3"/>
  <c r="AB171" i="3"/>
  <c r="AN171" i="3"/>
  <c r="E171" i="3"/>
  <c r="I171" i="3"/>
  <c r="M171" i="3"/>
  <c r="Q171" i="3"/>
  <c r="U171" i="3"/>
  <c r="Y171" i="3"/>
  <c r="AC171" i="3"/>
  <c r="AG171" i="3"/>
  <c r="AK171" i="3"/>
  <c r="AO171" i="3"/>
  <c r="E155" i="3"/>
  <c r="I155" i="3"/>
  <c r="M155" i="3"/>
  <c r="Q155" i="3"/>
  <c r="U155" i="3"/>
  <c r="Y155" i="3"/>
  <c r="AC155" i="3"/>
  <c r="AG155" i="3"/>
  <c r="AK155" i="3"/>
  <c r="AO155" i="3"/>
  <c r="F155" i="3"/>
  <c r="J155" i="3"/>
  <c r="N155" i="3"/>
  <c r="R155" i="3"/>
  <c r="V155" i="3"/>
  <c r="Z155" i="3"/>
  <c r="AH155" i="3"/>
  <c r="AL155" i="3"/>
  <c r="G155" i="3"/>
  <c r="K155" i="3"/>
  <c r="O155" i="3"/>
  <c r="S155" i="3"/>
  <c r="W155" i="3"/>
  <c r="AA155" i="3"/>
  <c r="AE155" i="3"/>
  <c r="AI155" i="3"/>
  <c r="AM155" i="3"/>
  <c r="D155" i="3"/>
  <c r="H155" i="3"/>
  <c r="L155" i="3"/>
  <c r="P155" i="3"/>
  <c r="T155" i="3"/>
  <c r="X155" i="3"/>
  <c r="AB155" i="3"/>
  <c r="AN155" i="3"/>
  <c r="E138" i="3"/>
  <c r="I138" i="3"/>
  <c r="M138" i="3"/>
  <c r="Q138" i="3"/>
  <c r="U138" i="3"/>
  <c r="Y138" i="3"/>
  <c r="AC138" i="3"/>
  <c r="AG138" i="3"/>
  <c r="AK138" i="3"/>
  <c r="AO138" i="3"/>
  <c r="G138" i="3"/>
  <c r="K138" i="3"/>
  <c r="O138" i="3"/>
  <c r="S138" i="3"/>
  <c r="W138" i="3"/>
  <c r="AA138" i="3"/>
  <c r="AE138" i="3"/>
  <c r="AI138" i="3"/>
  <c r="AM138" i="3"/>
  <c r="F138" i="3"/>
  <c r="N138" i="3"/>
  <c r="V138" i="3"/>
  <c r="AL138" i="3"/>
  <c r="H138" i="3"/>
  <c r="P138" i="3"/>
  <c r="X138" i="3"/>
  <c r="AN138" i="3"/>
  <c r="J138" i="3"/>
  <c r="R138" i="3"/>
  <c r="Z138" i="3"/>
  <c r="AH138" i="3"/>
  <c r="D138" i="3"/>
  <c r="L138" i="3"/>
  <c r="T138" i="3"/>
  <c r="AB138" i="3"/>
  <c r="F150" i="3"/>
  <c r="J150" i="3"/>
  <c r="N150" i="3"/>
  <c r="R150" i="3"/>
  <c r="V150" i="3"/>
  <c r="Z150" i="3"/>
  <c r="AH150" i="3"/>
  <c r="AL150" i="3"/>
  <c r="G150" i="3"/>
  <c r="K150" i="3"/>
  <c r="O150" i="3"/>
  <c r="S150" i="3"/>
  <c r="W150" i="3"/>
  <c r="AA150" i="3"/>
  <c r="AE150" i="3"/>
  <c r="AI150" i="3"/>
  <c r="AM150" i="3"/>
  <c r="D150" i="3"/>
  <c r="H150" i="3"/>
  <c r="L150" i="3"/>
  <c r="P150" i="3"/>
  <c r="T150" i="3"/>
  <c r="X150" i="3"/>
  <c r="AB150" i="3"/>
  <c r="AN150" i="3"/>
  <c r="E150" i="3"/>
  <c r="I150" i="3"/>
  <c r="M150" i="3"/>
  <c r="Q150" i="3"/>
  <c r="U150" i="3"/>
  <c r="Y150" i="3"/>
  <c r="AC150" i="3"/>
  <c r="AG150" i="3"/>
  <c r="AK150" i="3"/>
  <c r="AO150" i="3"/>
  <c r="D139" i="3"/>
  <c r="H139" i="3"/>
  <c r="L139" i="3"/>
  <c r="P139" i="3"/>
  <c r="T139" i="3"/>
  <c r="X139" i="3"/>
  <c r="AB139" i="3"/>
  <c r="AN139" i="3"/>
  <c r="F139" i="3"/>
  <c r="J139" i="3"/>
  <c r="N139" i="3"/>
  <c r="R139" i="3"/>
  <c r="V139" i="3"/>
  <c r="Z139" i="3"/>
  <c r="AH139" i="3"/>
  <c r="AL139" i="3"/>
  <c r="E139" i="3"/>
  <c r="M139" i="3"/>
  <c r="U139" i="3"/>
  <c r="AC139" i="3"/>
  <c r="AK139" i="3"/>
  <c r="G139" i="3"/>
  <c r="O139" i="3"/>
  <c r="W139" i="3"/>
  <c r="AE139" i="3"/>
  <c r="AM139" i="3"/>
  <c r="I139" i="3"/>
  <c r="Q139" i="3"/>
  <c r="Y139" i="3"/>
  <c r="AG139" i="3"/>
  <c r="AO139" i="3"/>
  <c r="K139" i="3"/>
  <c r="S139" i="3"/>
  <c r="AA139" i="3"/>
  <c r="AI139" i="3"/>
  <c r="G123" i="3"/>
  <c r="K123" i="3"/>
  <c r="O123" i="3"/>
  <c r="S123" i="3"/>
  <c r="W123" i="3"/>
  <c r="AA123" i="3"/>
  <c r="AE123" i="3"/>
  <c r="AI123" i="3"/>
  <c r="AM123" i="3"/>
  <c r="D123" i="3"/>
  <c r="H123" i="3"/>
  <c r="L123" i="3"/>
  <c r="P123" i="3"/>
  <c r="T123" i="3"/>
  <c r="X123" i="3"/>
  <c r="AB123" i="3"/>
  <c r="AN123" i="3"/>
  <c r="E123" i="3"/>
  <c r="I123" i="3"/>
  <c r="M123" i="3"/>
  <c r="Q123" i="3"/>
  <c r="U123" i="3"/>
  <c r="Y123" i="3"/>
  <c r="AC123" i="3"/>
  <c r="AG123" i="3"/>
  <c r="AK123" i="3"/>
  <c r="AO123" i="3"/>
  <c r="F123" i="3"/>
  <c r="J123" i="3"/>
  <c r="N123" i="3"/>
  <c r="R123" i="3"/>
  <c r="V123" i="3"/>
  <c r="Z123" i="3"/>
  <c r="AH123" i="3"/>
  <c r="AL123" i="3"/>
  <c r="G108" i="3"/>
  <c r="K108" i="3"/>
  <c r="O108" i="3"/>
  <c r="S108" i="3"/>
  <c r="W108" i="3"/>
  <c r="AA108" i="3"/>
  <c r="AE108" i="3"/>
  <c r="AI108" i="3"/>
  <c r="AM108" i="3"/>
  <c r="E108" i="3"/>
  <c r="I108" i="3"/>
  <c r="M108" i="3"/>
  <c r="Q108" i="3"/>
  <c r="U108" i="3"/>
  <c r="Y108" i="3"/>
  <c r="AC108" i="3"/>
  <c r="AG108" i="3"/>
  <c r="AK108" i="3"/>
  <c r="AO108" i="3"/>
  <c r="J108" i="3"/>
  <c r="R108" i="3"/>
  <c r="Z108" i="3"/>
  <c r="AH108" i="3"/>
  <c r="D108" i="3"/>
  <c r="L108" i="3"/>
  <c r="T108" i="3"/>
  <c r="AB108" i="3"/>
  <c r="F108" i="3"/>
  <c r="N108" i="3"/>
  <c r="V108" i="3"/>
  <c r="AL108" i="3"/>
  <c r="H108" i="3"/>
  <c r="P108" i="3"/>
  <c r="X108" i="3"/>
  <c r="AN108" i="3"/>
  <c r="D118" i="3"/>
  <c r="H118" i="3"/>
  <c r="L118" i="3"/>
  <c r="P118" i="3"/>
  <c r="T118" i="3"/>
  <c r="X118" i="3"/>
  <c r="AB118" i="3"/>
  <c r="AN118" i="3"/>
  <c r="E118" i="3"/>
  <c r="I118" i="3"/>
  <c r="M118" i="3"/>
  <c r="Q118" i="3"/>
  <c r="U118" i="3"/>
  <c r="Y118" i="3"/>
  <c r="AC118" i="3"/>
  <c r="AG118" i="3"/>
  <c r="AK118" i="3"/>
  <c r="AO118" i="3"/>
  <c r="F118" i="3"/>
  <c r="J118" i="3"/>
  <c r="N118" i="3"/>
  <c r="R118" i="3"/>
  <c r="V118" i="3"/>
  <c r="Z118" i="3"/>
  <c r="AH118" i="3"/>
  <c r="AL118" i="3"/>
  <c r="G118" i="3"/>
  <c r="K118" i="3"/>
  <c r="O118" i="3"/>
  <c r="S118" i="3"/>
  <c r="W118" i="3"/>
  <c r="AA118" i="3"/>
  <c r="AE118" i="3"/>
  <c r="AI118" i="3"/>
  <c r="AM118" i="3"/>
  <c r="F137" i="3"/>
  <c r="J137" i="3"/>
  <c r="N137" i="3"/>
  <c r="R137" i="3"/>
  <c r="V137" i="3"/>
  <c r="Z137" i="3"/>
  <c r="AH137" i="3"/>
  <c r="AL137" i="3"/>
  <c r="D137" i="3"/>
  <c r="H137" i="3"/>
  <c r="L137" i="3"/>
  <c r="P137" i="3"/>
  <c r="T137" i="3"/>
  <c r="X137" i="3"/>
  <c r="AB137" i="3"/>
  <c r="AN137" i="3"/>
  <c r="K137" i="3"/>
  <c r="S137" i="3"/>
  <c r="AA137" i="3"/>
  <c r="AI137" i="3"/>
  <c r="E137" i="3"/>
  <c r="M137" i="3"/>
  <c r="U137" i="3"/>
  <c r="AC137" i="3"/>
  <c r="AK137" i="3"/>
  <c r="G137" i="3"/>
  <c r="O137" i="3"/>
  <c r="W137" i="3"/>
  <c r="AE137" i="3"/>
  <c r="AM137" i="3"/>
  <c r="I137" i="3"/>
  <c r="Q137" i="3"/>
  <c r="Y137" i="3"/>
  <c r="AG137" i="3"/>
  <c r="AO137" i="3"/>
  <c r="E121" i="3"/>
  <c r="I121" i="3"/>
  <c r="M121" i="3"/>
  <c r="Q121" i="3"/>
  <c r="U121" i="3"/>
  <c r="Y121" i="3"/>
  <c r="AC121" i="3"/>
  <c r="AG121" i="3"/>
  <c r="AK121" i="3"/>
  <c r="AO121" i="3"/>
  <c r="F121" i="3"/>
  <c r="J121" i="3"/>
  <c r="N121" i="3"/>
  <c r="R121" i="3"/>
  <c r="V121" i="3"/>
  <c r="Z121" i="3"/>
  <c r="AH121" i="3"/>
  <c r="AL121" i="3"/>
  <c r="G121" i="3"/>
  <c r="K121" i="3"/>
  <c r="O121" i="3"/>
  <c r="S121" i="3"/>
  <c r="W121" i="3"/>
  <c r="AA121" i="3"/>
  <c r="AE121" i="3"/>
  <c r="AI121" i="3"/>
  <c r="AM121" i="3"/>
  <c r="D121" i="3"/>
  <c r="H121" i="3"/>
  <c r="L121" i="3"/>
  <c r="P121" i="3"/>
  <c r="T121" i="3"/>
  <c r="X121" i="3"/>
  <c r="AB121" i="3"/>
  <c r="AN121" i="3"/>
  <c r="F128" i="3"/>
  <c r="J128" i="3"/>
  <c r="N128" i="3"/>
  <c r="R128" i="3"/>
  <c r="V128" i="3"/>
  <c r="Z128" i="3"/>
  <c r="AH128" i="3"/>
  <c r="AL128" i="3"/>
  <c r="G128" i="3"/>
  <c r="K128" i="3"/>
  <c r="O128" i="3"/>
  <c r="S128" i="3"/>
  <c r="W128" i="3"/>
  <c r="AA128" i="3"/>
  <c r="AE128" i="3"/>
  <c r="AI128" i="3"/>
  <c r="AM128" i="3"/>
  <c r="D128" i="3"/>
  <c r="H128" i="3"/>
  <c r="L128" i="3"/>
  <c r="P128" i="3"/>
  <c r="T128" i="3"/>
  <c r="X128" i="3"/>
  <c r="AB128" i="3"/>
  <c r="AN128" i="3"/>
  <c r="E128" i="3"/>
  <c r="I128" i="3"/>
  <c r="M128" i="3"/>
  <c r="Q128" i="3"/>
  <c r="U128" i="3"/>
  <c r="Y128" i="3"/>
  <c r="AC128" i="3"/>
  <c r="AG128" i="3"/>
  <c r="AK128" i="3"/>
  <c r="AO128" i="3"/>
  <c r="F112" i="3"/>
  <c r="J112" i="3"/>
  <c r="N112" i="3"/>
  <c r="R112" i="3"/>
  <c r="V112" i="3"/>
  <c r="Z112" i="3"/>
  <c r="AH112" i="3"/>
  <c r="AL112" i="3"/>
  <c r="G112" i="3"/>
  <c r="K112" i="3"/>
  <c r="O112" i="3"/>
  <c r="S112" i="3"/>
  <c r="W112" i="3"/>
  <c r="AA112" i="3"/>
  <c r="AE112" i="3"/>
  <c r="AI112" i="3"/>
  <c r="AM112" i="3"/>
  <c r="D112" i="3"/>
  <c r="H112" i="3"/>
  <c r="L112" i="3"/>
  <c r="P112" i="3"/>
  <c r="T112" i="3"/>
  <c r="X112" i="3"/>
  <c r="AB112" i="3"/>
  <c r="AN112" i="3"/>
  <c r="E112" i="3"/>
  <c r="I112" i="3"/>
  <c r="M112" i="3"/>
  <c r="Q112" i="3"/>
  <c r="U112" i="3"/>
  <c r="Y112" i="3"/>
  <c r="AC112" i="3"/>
  <c r="AG112" i="3"/>
  <c r="AK112" i="3"/>
  <c r="AO112" i="3"/>
  <c r="G99" i="3"/>
  <c r="K99" i="3"/>
  <c r="O99" i="3"/>
  <c r="S99" i="3"/>
  <c r="W99" i="3"/>
  <c r="AA99" i="3"/>
  <c r="AE99" i="3"/>
  <c r="AI99" i="3"/>
  <c r="AM99" i="3"/>
  <c r="D99" i="3"/>
  <c r="H99" i="3"/>
  <c r="L99" i="3"/>
  <c r="P99" i="3"/>
  <c r="T99" i="3"/>
  <c r="X99" i="3"/>
  <c r="AB99" i="3"/>
  <c r="AN99" i="3"/>
  <c r="E99" i="3"/>
  <c r="I99" i="3"/>
  <c r="M99" i="3"/>
  <c r="Q99" i="3"/>
  <c r="U99" i="3"/>
  <c r="Y99" i="3"/>
  <c r="AC99" i="3"/>
  <c r="AG99" i="3"/>
  <c r="AK99" i="3"/>
  <c r="AO99" i="3"/>
  <c r="F99" i="3"/>
  <c r="J99" i="3"/>
  <c r="N99" i="3"/>
  <c r="R99" i="3"/>
  <c r="V99" i="3"/>
  <c r="Z99" i="3"/>
  <c r="AH99" i="3"/>
  <c r="AL99" i="3"/>
  <c r="D98" i="3"/>
  <c r="H98" i="3"/>
  <c r="L98" i="3"/>
  <c r="P98" i="3"/>
  <c r="T98" i="3"/>
  <c r="X98" i="3"/>
  <c r="AB98" i="3"/>
  <c r="AN98" i="3"/>
  <c r="E98" i="3"/>
  <c r="I98" i="3"/>
  <c r="M98" i="3"/>
  <c r="Q98" i="3"/>
  <c r="U98" i="3"/>
  <c r="Y98" i="3"/>
  <c r="AC98" i="3"/>
  <c r="AG98" i="3"/>
  <c r="AK98" i="3"/>
  <c r="AO98" i="3"/>
  <c r="F98" i="3"/>
  <c r="J98" i="3"/>
  <c r="N98" i="3"/>
  <c r="R98" i="3"/>
  <c r="V98" i="3"/>
  <c r="Z98" i="3"/>
  <c r="AH98" i="3"/>
  <c r="AL98" i="3"/>
  <c r="G98" i="3"/>
  <c r="K98" i="3"/>
  <c r="O98" i="3"/>
  <c r="S98" i="3"/>
  <c r="W98" i="3"/>
  <c r="AA98" i="3"/>
  <c r="AE98" i="3"/>
  <c r="AI98" i="3"/>
  <c r="AM98" i="3"/>
  <c r="F109" i="3"/>
  <c r="J109" i="3"/>
  <c r="N109" i="3"/>
  <c r="R109" i="3"/>
  <c r="V109" i="3"/>
  <c r="Z109" i="3"/>
  <c r="AH109" i="3"/>
  <c r="AL109" i="3"/>
  <c r="D109" i="3"/>
  <c r="H109" i="3"/>
  <c r="L109" i="3"/>
  <c r="P109" i="3"/>
  <c r="T109" i="3"/>
  <c r="X109" i="3"/>
  <c r="AB109" i="3"/>
  <c r="AN109" i="3"/>
  <c r="I109" i="3"/>
  <c r="Q109" i="3"/>
  <c r="Y109" i="3"/>
  <c r="AG109" i="3"/>
  <c r="AO109" i="3"/>
  <c r="K109" i="3"/>
  <c r="S109" i="3"/>
  <c r="AA109" i="3"/>
  <c r="AI109" i="3"/>
  <c r="E109" i="3"/>
  <c r="M109" i="3"/>
  <c r="U109" i="3"/>
  <c r="AC109" i="3"/>
  <c r="AK109" i="3"/>
  <c r="G109" i="3"/>
  <c r="O109" i="3"/>
  <c r="W109" i="3"/>
  <c r="AE109" i="3"/>
  <c r="AM109" i="3"/>
  <c r="E93" i="3"/>
  <c r="I93" i="3"/>
  <c r="M93" i="3"/>
  <c r="Q93" i="3"/>
  <c r="U93" i="3"/>
  <c r="Y93" i="3"/>
  <c r="AC93" i="3"/>
  <c r="AG93" i="3"/>
  <c r="AK93" i="3"/>
  <c r="AO93" i="3"/>
  <c r="F93" i="3"/>
  <c r="J93" i="3"/>
  <c r="N93" i="3"/>
  <c r="R93" i="3"/>
  <c r="V93" i="3"/>
  <c r="Z93" i="3"/>
  <c r="AH93" i="3"/>
  <c r="AL93" i="3"/>
  <c r="G93" i="3"/>
  <c r="K93" i="3"/>
  <c r="O93" i="3"/>
  <c r="S93" i="3"/>
  <c r="W93" i="3"/>
  <c r="AA93" i="3"/>
  <c r="AE93" i="3"/>
  <c r="AI93" i="3"/>
  <c r="AM93" i="3"/>
  <c r="D93" i="3"/>
  <c r="H93" i="3"/>
  <c r="L93" i="3"/>
  <c r="P93" i="3"/>
  <c r="T93" i="3"/>
  <c r="X93" i="3"/>
  <c r="AB93" i="3"/>
  <c r="AN93" i="3"/>
  <c r="F96" i="3"/>
  <c r="J96" i="3"/>
  <c r="N96" i="3"/>
  <c r="R96" i="3"/>
  <c r="V96" i="3"/>
  <c r="Z96" i="3"/>
  <c r="AH96" i="3"/>
  <c r="AL96" i="3"/>
  <c r="G96" i="3"/>
  <c r="K96" i="3"/>
  <c r="O96" i="3"/>
  <c r="S96" i="3"/>
  <c r="W96" i="3"/>
  <c r="AA96" i="3"/>
  <c r="AE96" i="3"/>
  <c r="AI96" i="3"/>
  <c r="AM96" i="3"/>
  <c r="D96" i="3"/>
  <c r="H96" i="3"/>
  <c r="L96" i="3"/>
  <c r="P96" i="3"/>
  <c r="T96" i="3"/>
  <c r="X96" i="3"/>
  <c r="AB96" i="3"/>
  <c r="AN96" i="3"/>
  <c r="E96" i="3"/>
  <c r="I96" i="3"/>
  <c r="M96" i="3"/>
  <c r="Q96" i="3"/>
  <c r="U96" i="3"/>
  <c r="Y96" i="3"/>
  <c r="AC96" i="3"/>
  <c r="AG96" i="3"/>
  <c r="AK96" i="3"/>
  <c r="AO96" i="3"/>
  <c r="D84" i="3"/>
  <c r="H84" i="3"/>
  <c r="L84" i="3"/>
  <c r="P84" i="3"/>
  <c r="T84" i="3"/>
  <c r="X84" i="3"/>
  <c r="AB84" i="3"/>
  <c r="AN84" i="3"/>
  <c r="F84" i="3"/>
  <c r="J84" i="3"/>
  <c r="N84" i="3"/>
  <c r="R84" i="3"/>
  <c r="V84" i="3"/>
  <c r="Z84" i="3"/>
  <c r="AH84" i="3"/>
  <c r="AL84" i="3"/>
  <c r="I84" i="3"/>
  <c r="Q84" i="3"/>
  <c r="Y84" i="3"/>
  <c r="AG84" i="3"/>
  <c r="AO84" i="3"/>
  <c r="K84" i="3"/>
  <c r="S84" i="3"/>
  <c r="AA84" i="3"/>
  <c r="AI84" i="3"/>
  <c r="E84" i="3"/>
  <c r="M84" i="3"/>
  <c r="U84" i="3"/>
  <c r="AC84" i="3"/>
  <c r="AK84" i="3"/>
  <c r="G84" i="3"/>
  <c r="O84" i="3"/>
  <c r="W84" i="3"/>
  <c r="AE84" i="3"/>
  <c r="AM84" i="3"/>
  <c r="G68" i="3"/>
  <c r="K68" i="3"/>
  <c r="O68" i="3"/>
  <c r="S68" i="3"/>
  <c r="W68" i="3"/>
  <c r="AA68" i="3"/>
  <c r="AE68" i="3"/>
  <c r="AI68" i="3"/>
  <c r="AM68" i="3"/>
  <c r="D68" i="3"/>
  <c r="H68" i="3"/>
  <c r="L68" i="3"/>
  <c r="P68" i="3"/>
  <c r="T68" i="3"/>
  <c r="X68" i="3"/>
  <c r="AB68" i="3"/>
  <c r="AN68" i="3"/>
  <c r="E68" i="3"/>
  <c r="I68" i="3"/>
  <c r="M68" i="3"/>
  <c r="Q68" i="3"/>
  <c r="U68" i="3"/>
  <c r="Y68" i="3"/>
  <c r="AC68" i="3"/>
  <c r="AG68" i="3"/>
  <c r="AK68" i="3"/>
  <c r="AO68" i="3"/>
  <c r="F68" i="3"/>
  <c r="J68" i="3"/>
  <c r="N68" i="3"/>
  <c r="R68" i="3"/>
  <c r="V68" i="3"/>
  <c r="Z68" i="3"/>
  <c r="AH68" i="3"/>
  <c r="AL68" i="3"/>
  <c r="D71" i="3"/>
  <c r="H71" i="3"/>
  <c r="L71" i="3"/>
  <c r="P71" i="3"/>
  <c r="T71" i="3"/>
  <c r="X71" i="3"/>
  <c r="AB71" i="3"/>
  <c r="AN71" i="3"/>
  <c r="E71" i="3"/>
  <c r="I71" i="3"/>
  <c r="M71" i="3"/>
  <c r="Q71" i="3"/>
  <c r="U71" i="3"/>
  <c r="Y71" i="3"/>
  <c r="AC71" i="3"/>
  <c r="AG71" i="3"/>
  <c r="AK71" i="3"/>
  <c r="AO71" i="3"/>
  <c r="F71" i="3"/>
  <c r="J71" i="3"/>
  <c r="N71" i="3"/>
  <c r="R71" i="3"/>
  <c r="V71" i="3"/>
  <c r="Z71" i="3"/>
  <c r="AH71" i="3"/>
  <c r="AL71" i="3"/>
  <c r="G71" i="3"/>
  <c r="K71" i="3"/>
  <c r="O71" i="3"/>
  <c r="S71" i="3"/>
  <c r="W71" i="3"/>
  <c r="AA71" i="3"/>
  <c r="AE71" i="3"/>
  <c r="AI71" i="3"/>
  <c r="AM71" i="3"/>
  <c r="E78" i="3"/>
  <c r="I78" i="3"/>
  <c r="M78" i="3"/>
  <c r="Q78" i="3"/>
  <c r="U78" i="3"/>
  <c r="Y78" i="3"/>
  <c r="AC78" i="3"/>
  <c r="AG78" i="3"/>
  <c r="AK78" i="3"/>
  <c r="AO78" i="3"/>
  <c r="F78" i="3"/>
  <c r="J78" i="3"/>
  <c r="N78" i="3"/>
  <c r="R78" i="3"/>
  <c r="V78" i="3"/>
  <c r="Z78" i="3"/>
  <c r="AH78" i="3"/>
  <c r="AL78" i="3"/>
  <c r="G78" i="3"/>
  <c r="K78" i="3"/>
  <c r="O78" i="3"/>
  <c r="S78" i="3"/>
  <c r="W78" i="3"/>
  <c r="AA78" i="3"/>
  <c r="AE78" i="3"/>
  <c r="AI78" i="3"/>
  <c r="AM78" i="3"/>
  <c r="D78" i="3"/>
  <c r="H78" i="3"/>
  <c r="L78" i="3"/>
  <c r="P78" i="3"/>
  <c r="T78" i="3"/>
  <c r="X78" i="3"/>
  <c r="AB78" i="3"/>
  <c r="AN78" i="3"/>
  <c r="F77" i="3"/>
  <c r="J77" i="3"/>
  <c r="N77" i="3"/>
  <c r="R77" i="3"/>
  <c r="V77" i="3"/>
  <c r="Z77" i="3"/>
  <c r="AH77" i="3"/>
  <c r="AL77" i="3"/>
  <c r="G77" i="3"/>
  <c r="K77" i="3"/>
  <c r="O77" i="3"/>
  <c r="S77" i="3"/>
  <c r="W77" i="3"/>
  <c r="AA77" i="3"/>
  <c r="AE77" i="3"/>
  <c r="AI77" i="3"/>
  <c r="AM77" i="3"/>
  <c r="D77" i="3"/>
  <c r="H77" i="3"/>
  <c r="L77" i="3"/>
  <c r="P77" i="3"/>
  <c r="T77" i="3"/>
  <c r="X77" i="3"/>
  <c r="AB77" i="3"/>
  <c r="AN77" i="3"/>
  <c r="E77" i="3"/>
  <c r="I77" i="3"/>
  <c r="M77" i="3"/>
  <c r="Q77" i="3"/>
  <c r="U77" i="3"/>
  <c r="Y77" i="3"/>
  <c r="AC77" i="3"/>
  <c r="AG77" i="3"/>
  <c r="AK77" i="3"/>
  <c r="AO77" i="3"/>
  <c r="D65" i="3"/>
  <c r="H65" i="3"/>
  <c r="L65" i="3"/>
  <c r="P65" i="3"/>
  <c r="T65" i="3"/>
  <c r="X65" i="3"/>
  <c r="AB65" i="3"/>
  <c r="AN65" i="3"/>
  <c r="F65" i="3"/>
  <c r="J65" i="3"/>
  <c r="N65" i="3"/>
  <c r="R65" i="3"/>
  <c r="V65" i="3"/>
  <c r="Z65" i="3"/>
  <c r="AH65" i="3"/>
  <c r="AL65" i="3"/>
  <c r="K65" i="3"/>
  <c r="S65" i="3"/>
  <c r="AA65" i="3"/>
  <c r="AI65" i="3"/>
  <c r="E65" i="3"/>
  <c r="M65" i="3"/>
  <c r="U65" i="3"/>
  <c r="AC65" i="3"/>
  <c r="AK65" i="3"/>
  <c r="G65" i="3"/>
  <c r="O65" i="3"/>
  <c r="W65" i="3"/>
  <c r="AE65" i="3"/>
  <c r="AM65" i="3"/>
  <c r="I65" i="3"/>
  <c r="Q65" i="3"/>
  <c r="Y65" i="3"/>
  <c r="AG65" i="3"/>
  <c r="AO65" i="3"/>
  <c r="D56" i="3"/>
  <c r="H56" i="3"/>
  <c r="L56" i="3"/>
  <c r="P56" i="3"/>
  <c r="T56" i="3"/>
  <c r="X56" i="3"/>
  <c r="AB56" i="3"/>
  <c r="AN56" i="3"/>
  <c r="E56" i="3"/>
  <c r="I56" i="3"/>
  <c r="M56" i="3"/>
  <c r="Q56" i="3"/>
  <c r="U56" i="3"/>
  <c r="Y56" i="3"/>
  <c r="AC56" i="3"/>
  <c r="AG56" i="3"/>
  <c r="AK56" i="3"/>
  <c r="AO56" i="3"/>
  <c r="F56" i="3"/>
  <c r="J56" i="3"/>
  <c r="N56" i="3"/>
  <c r="R56" i="3"/>
  <c r="V56" i="3"/>
  <c r="Z56" i="3"/>
  <c r="AH56" i="3"/>
  <c r="AL56" i="3"/>
  <c r="G56" i="3"/>
  <c r="K56" i="3"/>
  <c r="O56" i="3"/>
  <c r="S56" i="3"/>
  <c r="W56" i="3"/>
  <c r="AA56" i="3"/>
  <c r="AE56" i="3"/>
  <c r="AI56" i="3"/>
  <c r="AM56" i="3"/>
  <c r="E59" i="3"/>
  <c r="F59" i="3"/>
  <c r="J59" i="3"/>
  <c r="N59" i="3"/>
  <c r="R59" i="3"/>
  <c r="V59" i="3"/>
  <c r="Z59" i="3"/>
  <c r="AH59" i="3"/>
  <c r="AL59" i="3"/>
  <c r="G59" i="3"/>
  <c r="D59" i="3"/>
  <c r="H59" i="3"/>
  <c r="L59" i="3"/>
  <c r="P59" i="3"/>
  <c r="T59" i="3"/>
  <c r="X59" i="3"/>
  <c r="AB59" i="3"/>
  <c r="AN59" i="3"/>
  <c r="M59" i="3"/>
  <c r="U59" i="3"/>
  <c r="AC59" i="3"/>
  <c r="AK59" i="3"/>
  <c r="O59" i="3"/>
  <c r="W59" i="3"/>
  <c r="AE59" i="3"/>
  <c r="AM59" i="3"/>
  <c r="I59" i="3"/>
  <c r="Q59" i="3"/>
  <c r="Y59" i="3"/>
  <c r="AG59" i="3"/>
  <c r="AO59" i="3"/>
  <c r="K59" i="3"/>
  <c r="S59" i="3"/>
  <c r="AA59" i="3"/>
  <c r="AI59" i="3"/>
  <c r="F54" i="3"/>
  <c r="J54" i="3"/>
  <c r="N54" i="3"/>
  <c r="R54" i="3"/>
  <c r="V54" i="3"/>
  <c r="Z54" i="3"/>
  <c r="AH54" i="3"/>
  <c r="AL54" i="3"/>
  <c r="G54" i="3"/>
  <c r="K54" i="3"/>
  <c r="O54" i="3"/>
  <c r="S54" i="3"/>
  <c r="W54" i="3"/>
  <c r="AA54" i="3"/>
  <c r="AE54" i="3"/>
  <c r="AI54" i="3"/>
  <c r="AM54" i="3"/>
  <c r="D54" i="3"/>
  <c r="H54" i="3"/>
  <c r="L54" i="3"/>
  <c r="P54" i="3"/>
  <c r="T54" i="3"/>
  <c r="X54" i="3"/>
  <c r="AB54" i="3"/>
  <c r="AN54" i="3"/>
  <c r="E54" i="3"/>
  <c r="I54" i="3"/>
  <c r="M54" i="3"/>
  <c r="Q54" i="3"/>
  <c r="U54" i="3"/>
  <c r="Y54" i="3"/>
  <c r="AC54" i="3"/>
  <c r="AG54" i="3"/>
  <c r="AK54" i="3"/>
  <c r="AO54" i="3"/>
  <c r="G37" i="3"/>
  <c r="K37" i="3"/>
  <c r="O37" i="3"/>
  <c r="S37" i="3"/>
  <c r="W37" i="3"/>
  <c r="AA37" i="3"/>
  <c r="AE37" i="3"/>
  <c r="AI37" i="3"/>
  <c r="AM37" i="3"/>
  <c r="E37" i="3"/>
  <c r="I37" i="3"/>
  <c r="M37" i="3"/>
  <c r="Q37" i="3"/>
  <c r="U37" i="3"/>
  <c r="Y37" i="3"/>
  <c r="AC37" i="3"/>
  <c r="AG37" i="3"/>
  <c r="AK37" i="3"/>
  <c r="AO37" i="3"/>
  <c r="J37" i="3"/>
  <c r="R37" i="3"/>
  <c r="Z37" i="3"/>
  <c r="AH37" i="3"/>
  <c r="D37" i="3"/>
  <c r="L37" i="3"/>
  <c r="T37" i="3"/>
  <c r="AB37" i="3"/>
  <c r="F37" i="3"/>
  <c r="N37" i="3"/>
  <c r="V37" i="3"/>
  <c r="AL37" i="3"/>
  <c r="H37" i="3"/>
  <c r="P37" i="3"/>
  <c r="X37" i="3"/>
  <c r="AN37" i="3"/>
  <c r="F48" i="3"/>
  <c r="J48" i="3"/>
  <c r="N48" i="3"/>
  <c r="R48" i="3"/>
  <c r="V48" i="3"/>
  <c r="Z48" i="3"/>
  <c r="AH48" i="3"/>
  <c r="AL48" i="3"/>
  <c r="D48" i="3"/>
  <c r="H48" i="3"/>
  <c r="L48" i="3"/>
  <c r="P48" i="3"/>
  <c r="T48" i="3"/>
  <c r="X48" i="3"/>
  <c r="AB48" i="3"/>
  <c r="AN48" i="3"/>
  <c r="G48" i="3"/>
  <c r="O48" i="3"/>
  <c r="W48" i="3"/>
  <c r="AE48" i="3"/>
  <c r="AM48" i="3"/>
  <c r="I48" i="3"/>
  <c r="Q48" i="3"/>
  <c r="Y48" i="3"/>
  <c r="AG48" i="3"/>
  <c r="AO48" i="3"/>
  <c r="K48" i="3"/>
  <c r="S48" i="3"/>
  <c r="AA48" i="3"/>
  <c r="AI48" i="3"/>
  <c r="E48" i="3"/>
  <c r="M48" i="3"/>
  <c r="U48" i="3"/>
  <c r="AC48" i="3"/>
  <c r="AK48" i="3"/>
  <c r="F43" i="3"/>
  <c r="J43" i="3"/>
  <c r="N43" i="3"/>
  <c r="R43" i="3"/>
  <c r="V43" i="3"/>
  <c r="Z43" i="3"/>
  <c r="AH43" i="3"/>
  <c r="AL43" i="3"/>
  <c r="G43" i="3"/>
  <c r="K43" i="3"/>
  <c r="O43" i="3"/>
  <c r="S43" i="3"/>
  <c r="W43" i="3"/>
  <c r="AA43" i="3"/>
  <c r="AE43" i="3"/>
  <c r="AI43" i="3"/>
  <c r="AM43" i="3"/>
  <c r="D43" i="3"/>
  <c r="H43" i="3"/>
  <c r="L43" i="3"/>
  <c r="P43" i="3"/>
  <c r="T43" i="3"/>
  <c r="X43" i="3"/>
  <c r="AB43" i="3"/>
  <c r="AN43" i="3"/>
  <c r="E43" i="3"/>
  <c r="I43" i="3"/>
  <c r="M43" i="3"/>
  <c r="Q43" i="3"/>
  <c r="U43" i="3"/>
  <c r="Y43" i="3"/>
  <c r="AC43" i="3"/>
  <c r="AG43" i="3"/>
  <c r="AK43" i="3"/>
  <c r="AO43" i="3"/>
  <c r="G32" i="3"/>
  <c r="K32" i="3"/>
  <c r="O32" i="3"/>
  <c r="S32" i="3"/>
  <c r="W32" i="3"/>
  <c r="AA32" i="3"/>
  <c r="AE32" i="3"/>
  <c r="AI32" i="3"/>
  <c r="AM32" i="3"/>
  <c r="D32" i="3"/>
  <c r="H32" i="3"/>
  <c r="L32" i="3"/>
  <c r="P32" i="3"/>
  <c r="T32" i="3"/>
  <c r="X32" i="3"/>
  <c r="AB32" i="3"/>
  <c r="AN32" i="3"/>
  <c r="E32" i="3"/>
  <c r="I32" i="3"/>
  <c r="M32" i="3"/>
  <c r="Q32" i="3"/>
  <c r="U32" i="3"/>
  <c r="Y32" i="3"/>
  <c r="AC32" i="3"/>
  <c r="AG32" i="3"/>
  <c r="F32" i="3"/>
  <c r="J32" i="3"/>
  <c r="N32" i="3"/>
  <c r="R32" i="3"/>
  <c r="V32" i="3"/>
  <c r="Z32" i="3"/>
  <c r="AH32" i="3"/>
  <c r="AL32" i="3"/>
  <c r="AK32" i="3"/>
  <c r="AO32" i="3"/>
  <c r="F38" i="3"/>
  <c r="J38" i="3"/>
  <c r="N38" i="3"/>
  <c r="R38" i="3"/>
  <c r="V38" i="3"/>
  <c r="Z38" i="3"/>
  <c r="D38" i="3"/>
  <c r="H38" i="3"/>
  <c r="L38" i="3"/>
  <c r="P38" i="3"/>
  <c r="T38" i="3"/>
  <c r="X38" i="3"/>
  <c r="AB38" i="3"/>
  <c r="I38" i="3"/>
  <c r="Q38" i="3"/>
  <c r="Y38" i="3"/>
  <c r="AE38" i="3"/>
  <c r="AI38" i="3"/>
  <c r="AM38" i="3"/>
  <c r="K38" i="3"/>
  <c r="S38" i="3"/>
  <c r="AA38" i="3"/>
  <c r="AN38" i="3"/>
  <c r="E38" i="3"/>
  <c r="M38" i="3"/>
  <c r="U38" i="3"/>
  <c r="AC38" i="3"/>
  <c r="AG38" i="3"/>
  <c r="AK38" i="3"/>
  <c r="AO38" i="3"/>
  <c r="G38" i="3"/>
  <c r="O38" i="3"/>
  <c r="W38" i="3"/>
  <c r="AH38" i="3"/>
  <c r="AL38" i="3"/>
  <c r="F33" i="3"/>
  <c r="G33" i="3"/>
  <c r="K33" i="3"/>
  <c r="O33" i="3"/>
  <c r="S33" i="3"/>
  <c r="W33" i="3"/>
  <c r="AA33" i="3"/>
  <c r="AE33" i="3"/>
  <c r="AI33" i="3"/>
  <c r="AM33" i="3"/>
  <c r="E33" i="3"/>
  <c r="I33" i="3"/>
  <c r="M33" i="3"/>
  <c r="Q33" i="3"/>
  <c r="U33" i="3"/>
  <c r="Y33" i="3"/>
  <c r="AC33" i="3"/>
  <c r="AG33" i="3"/>
  <c r="AK33" i="3"/>
  <c r="AO33" i="3"/>
  <c r="D33" i="3"/>
  <c r="N33" i="3"/>
  <c r="V33" i="3"/>
  <c r="AL33" i="3"/>
  <c r="H33" i="3"/>
  <c r="P33" i="3"/>
  <c r="X33" i="3"/>
  <c r="AN33" i="3"/>
  <c r="J33" i="3"/>
  <c r="R33" i="3"/>
  <c r="Z33" i="3"/>
  <c r="AH33" i="3"/>
  <c r="L33" i="3"/>
  <c r="T33" i="3"/>
  <c r="AB33" i="3"/>
  <c r="E16" i="3"/>
  <c r="I16" i="3"/>
  <c r="M16" i="3"/>
  <c r="Q16" i="3"/>
  <c r="U16" i="3"/>
  <c r="Y16" i="3"/>
  <c r="AC16" i="3"/>
  <c r="AG16" i="3"/>
  <c r="AK16" i="3"/>
  <c r="AO16" i="3"/>
  <c r="G16" i="3"/>
  <c r="K16" i="3"/>
  <c r="O16" i="3"/>
  <c r="S16" i="3"/>
  <c r="W16" i="3"/>
  <c r="AA16" i="3"/>
  <c r="AE16" i="3"/>
  <c r="AI16" i="3"/>
  <c r="AM16" i="3"/>
  <c r="J16" i="3"/>
  <c r="R16" i="3"/>
  <c r="Z16" i="3"/>
  <c r="AH16" i="3"/>
  <c r="D16" i="3"/>
  <c r="L16" i="3"/>
  <c r="T16" i="3"/>
  <c r="AB16" i="3"/>
  <c r="F16" i="3"/>
  <c r="N16" i="3"/>
  <c r="V16" i="3"/>
  <c r="AL16" i="3"/>
  <c r="H16" i="3"/>
  <c r="P16" i="3"/>
  <c r="X16" i="3"/>
  <c r="AN16" i="3"/>
  <c r="E20" i="3"/>
  <c r="I20" i="3"/>
  <c r="M20" i="3"/>
  <c r="Q20" i="3"/>
  <c r="U20" i="3"/>
  <c r="Y20" i="3"/>
  <c r="AC20" i="3"/>
  <c r="AG20" i="3"/>
  <c r="AK20" i="3"/>
  <c r="AO20" i="3"/>
  <c r="F20" i="3"/>
  <c r="J20" i="3"/>
  <c r="N20" i="3"/>
  <c r="R20" i="3"/>
  <c r="V20" i="3"/>
  <c r="Z20" i="3"/>
  <c r="AH20" i="3"/>
  <c r="AL20" i="3"/>
  <c r="G20" i="3"/>
  <c r="K20" i="3"/>
  <c r="O20" i="3"/>
  <c r="S20" i="3"/>
  <c r="W20" i="3"/>
  <c r="AA20" i="3"/>
  <c r="AE20" i="3"/>
  <c r="AI20" i="3"/>
  <c r="AM20" i="3"/>
  <c r="D20" i="3"/>
  <c r="H20" i="3"/>
  <c r="L20" i="3"/>
  <c r="P20" i="3"/>
  <c r="T20" i="3"/>
  <c r="X20" i="3"/>
  <c r="AB20" i="3"/>
  <c r="AN20" i="3"/>
  <c r="G14" i="3"/>
  <c r="K14" i="3"/>
  <c r="O14" i="3"/>
  <c r="S14" i="3"/>
  <c r="W14" i="3"/>
  <c r="AA14" i="3"/>
  <c r="AE14" i="3"/>
  <c r="AI14" i="3"/>
  <c r="AM14" i="3"/>
  <c r="E14" i="3"/>
  <c r="I14" i="3"/>
  <c r="M14" i="3"/>
  <c r="Q14" i="3"/>
  <c r="U14" i="3"/>
  <c r="Y14" i="3"/>
  <c r="AC14" i="3"/>
  <c r="AG14" i="3"/>
  <c r="AK14" i="3"/>
  <c r="AO14" i="3"/>
  <c r="H14" i="3"/>
  <c r="P14" i="3"/>
  <c r="X14" i="3"/>
  <c r="AN14" i="3"/>
  <c r="J14" i="3"/>
  <c r="R14" i="3"/>
  <c r="Z14" i="3"/>
  <c r="AH14" i="3"/>
  <c r="D14" i="3"/>
  <c r="L14" i="3"/>
  <c r="T14" i="3"/>
  <c r="AB14" i="3"/>
  <c r="F14" i="3"/>
  <c r="N14" i="3"/>
  <c r="V14" i="3"/>
  <c r="AL14" i="3"/>
  <c r="G10" i="3"/>
  <c r="K10" i="3"/>
  <c r="O10" i="3"/>
  <c r="S10" i="3"/>
  <c r="W10" i="3"/>
  <c r="AA10" i="3"/>
  <c r="AE10" i="3"/>
  <c r="AI10" i="3"/>
  <c r="AM10" i="3"/>
  <c r="E10" i="3"/>
  <c r="I10" i="3"/>
  <c r="M10" i="3"/>
  <c r="Q10" i="3"/>
  <c r="U10" i="3"/>
  <c r="Y10" i="3"/>
  <c r="AC10" i="3"/>
  <c r="AG10" i="3"/>
  <c r="AK10" i="3"/>
  <c r="AO10" i="3"/>
  <c r="F10" i="3"/>
  <c r="N10" i="3"/>
  <c r="V10" i="3"/>
  <c r="H10" i="3"/>
  <c r="P10" i="3"/>
  <c r="X10" i="3"/>
  <c r="AN10" i="3"/>
  <c r="J10" i="3"/>
  <c r="R10" i="3"/>
  <c r="Z10" i="3"/>
  <c r="AH10" i="3"/>
  <c r="D10" i="3"/>
  <c r="L10" i="3"/>
  <c r="T10" i="3"/>
  <c r="AB10" i="3"/>
  <c r="AL10" i="3"/>
  <c r="D4" i="3"/>
  <c r="H4" i="3"/>
  <c r="L4" i="3"/>
  <c r="P4" i="3"/>
  <c r="T4" i="3"/>
  <c r="X4" i="3"/>
  <c r="AB4" i="3"/>
  <c r="AN4" i="3"/>
  <c r="E4" i="3"/>
  <c r="I4" i="3"/>
  <c r="M4" i="3"/>
  <c r="Q4" i="3"/>
  <c r="U4" i="3"/>
  <c r="Y4" i="3"/>
  <c r="AC4" i="3"/>
  <c r="AG4" i="3"/>
  <c r="AK4" i="3"/>
  <c r="AO4" i="3"/>
  <c r="F4" i="3"/>
  <c r="J4" i="3"/>
  <c r="N4" i="3"/>
  <c r="R4" i="3"/>
  <c r="V4" i="3"/>
  <c r="Z4" i="3"/>
  <c r="AH4" i="3"/>
  <c r="AL4" i="3"/>
  <c r="G4" i="3"/>
  <c r="K4" i="3"/>
  <c r="O4" i="3"/>
  <c r="S4" i="3"/>
  <c r="W4" i="3"/>
  <c r="AA4" i="3"/>
  <c r="AE4" i="3"/>
  <c r="AI4" i="3"/>
  <c r="AM4" i="3"/>
  <c r="F6" i="3"/>
  <c r="J6" i="3"/>
  <c r="N6" i="3"/>
  <c r="R6" i="3"/>
  <c r="V6" i="3"/>
  <c r="Z6" i="3"/>
  <c r="AH6" i="3"/>
  <c r="AL6" i="3"/>
  <c r="G6" i="3"/>
  <c r="K6" i="3"/>
  <c r="O6" i="3"/>
  <c r="S6" i="3"/>
  <c r="W6" i="3"/>
  <c r="AA6" i="3"/>
  <c r="AE6" i="3"/>
  <c r="AI6" i="3"/>
  <c r="AM6" i="3"/>
  <c r="D6" i="3"/>
  <c r="H6" i="3"/>
  <c r="L6" i="3"/>
  <c r="P6" i="3"/>
  <c r="T6" i="3"/>
  <c r="X6" i="3"/>
  <c r="AB6" i="3"/>
  <c r="AN6" i="3"/>
  <c r="E6" i="3"/>
  <c r="I6" i="3"/>
  <c r="M6" i="3"/>
  <c r="Q6" i="3"/>
  <c r="U6" i="3"/>
  <c r="Y6" i="3"/>
  <c r="AC6" i="3"/>
  <c r="AG6" i="3"/>
  <c r="AK6" i="3"/>
  <c r="AO6" i="3"/>
  <c r="AL2" i="3"/>
  <c r="AM2" i="3"/>
  <c r="AI2" i="3"/>
  <c r="AN2" i="3"/>
  <c r="AO2" i="3"/>
  <c r="AF2" i="3"/>
  <c r="AJ2" i="3"/>
  <c r="AD2" i="3"/>
  <c r="AH2" i="3"/>
  <c r="AC2" i="3"/>
  <c r="AB2" i="3"/>
  <c r="V2" i="3"/>
  <c r="L2" i="3"/>
  <c r="T2" i="3"/>
  <c r="J2" i="3"/>
  <c r="F2" i="3"/>
  <c r="H2" i="3"/>
  <c r="Z2" i="3"/>
  <c r="Y2" i="3"/>
  <c r="X2" i="3"/>
  <c r="AA2" i="3"/>
  <c r="R2" i="3"/>
  <c r="S2" i="3"/>
  <c r="P2" i="3"/>
  <c r="Q2" i="3"/>
  <c r="D2" i="3"/>
  <c r="N2" i="3"/>
  <c r="O2" i="3"/>
  <c r="AK2" i="3"/>
  <c r="AG2" i="3"/>
  <c r="U2" i="3"/>
  <c r="AE2" i="3"/>
  <c r="W2" i="3"/>
  <c r="M2" i="3"/>
  <c r="K2" i="3"/>
  <c r="I2" i="3"/>
  <c r="E2" i="3"/>
  <c r="G2" i="3"/>
  <c r="E352" i="2"/>
  <c r="D352" i="2"/>
  <c r="D344" i="2"/>
  <c r="E344" i="2"/>
  <c r="D332" i="2"/>
  <c r="E332" i="2"/>
  <c r="E316" i="2"/>
  <c r="D316" i="2"/>
  <c r="D308" i="2"/>
  <c r="E308" i="2"/>
  <c r="E292" i="2"/>
  <c r="D292" i="2"/>
  <c r="D284" i="2"/>
  <c r="E284" i="2"/>
  <c r="D272" i="2"/>
  <c r="E272" i="2"/>
  <c r="D260" i="2"/>
  <c r="E260" i="2"/>
  <c r="D248" i="2"/>
  <c r="E248" i="2"/>
  <c r="D236" i="2"/>
  <c r="E236" i="2"/>
  <c r="D220" i="2"/>
  <c r="E220" i="2"/>
  <c r="D208" i="2"/>
  <c r="E208" i="2"/>
  <c r="D200" i="2"/>
  <c r="E200" i="2"/>
  <c r="D188" i="2"/>
  <c r="E188" i="2"/>
  <c r="D180" i="2"/>
  <c r="E180" i="2"/>
  <c r="E169" i="2"/>
  <c r="D169" i="2"/>
  <c r="E161" i="2"/>
  <c r="D161" i="2"/>
  <c r="E153" i="2"/>
  <c r="D153" i="2"/>
  <c r="E145" i="2"/>
  <c r="D145" i="2"/>
  <c r="E133" i="2"/>
  <c r="D133" i="2"/>
  <c r="E129" i="2"/>
  <c r="D129" i="2"/>
  <c r="E117" i="2"/>
  <c r="D117" i="2"/>
  <c r="E113" i="2"/>
  <c r="D113" i="2"/>
  <c r="E101" i="2"/>
  <c r="D101" i="2"/>
  <c r="D363" i="2"/>
  <c r="E363" i="2"/>
  <c r="D359" i="2"/>
  <c r="E359" i="2"/>
  <c r="D355" i="2"/>
  <c r="E355" i="2"/>
  <c r="D351" i="2"/>
  <c r="E351" i="2"/>
  <c r="D347" i="2"/>
  <c r="E347" i="2"/>
  <c r="D343" i="2"/>
  <c r="E343" i="2"/>
  <c r="D339" i="2"/>
  <c r="E339" i="2"/>
  <c r="D335" i="2"/>
  <c r="E335" i="2"/>
  <c r="D331" i="2"/>
  <c r="E331" i="2"/>
  <c r="D327" i="2"/>
  <c r="E327" i="2"/>
  <c r="D323" i="2"/>
  <c r="E323" i="2"/>
  <c r="D319" i="2"/>
  <c r="E319" i="2"/>
  <c r="D315" i="2"/>
  <c r="E315" i="2"/>
  <c r="D311" i="2"/>
  <c r="E311" i="2"/>
  <c r="D307" i="2"/>
  <c r="E307" i="2"/>
  <c r="D303" i="2"/>
  <c r="E303" i="2"/>
  <c r="D299" i="2"/>
  <c r="E299" i="2"/>
  <c r="D295" i="2"/>
  <c r="E295" i="2"/>
  <c r="D291" i="2"/>
  <c r="E291" i="2"/>
  <c r="D287" i="2"/>
  <c r="E287" i="2"/>
  <c r="D283" i="2"/>
  <c r="E283" i="2"/>
  <c r="D279" i="2"/>
  <c r="E279" i="2"/>
  <c r="D275" i="2"/>
  <c r="E275" i="2"/>
  <c r="D271" i="2"/>
  <c r="E271" i="2"/>
  <c r="D267" i="2"/>
  <c r="E267" i="2"/>
  <c r="D263" i="2"/>
  <c r="E263" i="2"/>
  <c r="D259" i="2"/>
  <c r="E259" i="2"/>
  <c r="D255" i="2"/>
  <c r="E255" i="2"/>
  <c r="D251" i="2"/>
  <c r="E251" i="2"/>
  <c r="D247" i="2"/>
  <c r="E247" i="2"/>
  <c r="D243" i="2"/>
  <c r="E243" i="2"/>
  <c r="D239" i="2"/>
  <c r="E239" i="2"/>
  <c r="D235" i="2"/>
  <c r="E235" i="2"/>
  <c r="D231" i="2"/>
  <c r="E231" i="2"/>
  <c r="D227" i="2"/>
  <c r="E227" i="2"/>
  <c r="D223" i="2"/>
  <c r="E223" i="2"/>
  <c r="D219" i="2"/>
  <c r="E219" i="2"/>
  <c r="D215" i="2"/>
  <c r="E215" i="2"/>
  <c r="D211" i="2"/>
  <c r="E211" i="2"/>
  <c r="D207" i="2"/>
  <c r="E207" i="2"/>
  <c r="D203" i="2"/>
  <c r="E203" i="2"/>
  <c r="D199" i="2"/>
  <c r="E199" i="2"/>
  <c r="D195" i="2"/>
  <c r="E195" i="2"/>
  <c r="D191" i="2"/>
  <c r="E191" i="2"/>
  <c r="D187" i="2"/>
  <c r="E187" i="2"/>
  <c r="D183" i="2"/>
  <c r="E183" i="2"/>
  <c r="D179" i="2"/>
  <c r="E179" i="2"/>
  <c r="E172" i="2"/>
  <c r="D172" i="2"/>
  <c r="E168" i="2"/>
  <c r="D168" i="2"/>
  <c r="E164" i="2"/>
  <c r="D164" i="2"/>
  <c r="E160" i="2"/>
  <c r="D160" i="2"/>
  <c r="E156" i="2"/>
  <c r="D156" i="2"/>
  <c r="E152" i="2"/>
  <c r="D152" i="2"/>
  <c r="E148" i="2"/>
  <c r="D148" i="2"/>
  <c r="E144" i="2"/>
  <c r="D144" i="2"/>
  <c r="E140" i="2"/>
  <c r="D140" i="2"/>
  <c r="E136" i="2"/>
  <c r="D136" i="2"/>
  <c r="E132" i="2"/>
  <c r="D132" i="2"/>
  <c r="E128" i="2"/>
  <c r="D128" i="2"/>
  <c r="E124" i="2"/>
  <c r="D124" i="2"/>
  <c r="E120" i="2"/>
  <c r="D120" i="2"/>
  <c r="E116" i="2"/>
  <c r="D116" i="2"/>
  <c r="E112" i="2"/>
  <c r="D112" i="2"/>
  <c r="E108" i="2"/>
  <c r="D108" i="2"/>
  <c r="E104" i="2"/>
  <c r="D104" i="2"/>
  <c r="E100" i="2"/>
  <c r="D100" i="2"/>
  <c r="E99" i="2"/>
  <c r="D99" i="2"/>
  <c r="E95" i="2"/>
  <c r="D95" i="2"/>
  <c r="E91" i="2"/>
  <c r="D91" i="2"/>
  <c r="E87" i="2"/>
  <c r="D87" i="2"/>
  <c r="E83" i="2"/>
  <c r="D83" i="2"/>
  <c r="E79" i="2"/>
  <c r="D79" i="2"/>
  <c r="E75" i="2"/>
  <c r="D75" i="2"/>
  <c r="E71" i="2"/>
  <c r="D71" i="2"/>
  <c r="E67" i="2"/>
  <c r="D67" i="2"/>
  <c r="E63" i="2"/>
  <c r="D63" i="2"/>
  <c r="E59" i="2"/>
  <c r="D59" i="2"/>
  <c r="E55" i="2"/>
  <c r="D55" i="2"/>
  <c r="E51" i="2"/>
  <c r="D51" i="2"/>
  <c r="E47" i="2"/>
  <c r="D47" i="2"/>
  <c r="E43" i="2"/>
  <c r="D43" i="2"/>
  <c r="E39" i="2"/>
  <c r="D39" i="2"/>
  <c r="E35" i="2"/>
  <c r="D35" i="2"/>
  <c r="E31" i="2"/>
  <c r="D31" i="2"/>
  <c r="E27" i="2"/>
  <c r="D27" i="2"/>
  <c r="E23" i="2"/>
  <c r="D23" i="2"/>
  <c r="E19" i="2"/>
  <c r="D19" i="2"/>
  <c r="E15" i="2"/>
  <c r="D15" i="2"/>
  <c r="D11" i="2"/>
  <c r="E11" i="2"/>
  <c r="D7" i="2"/>
  <c r="E7" i="2"/>
  <c r="D3" i="2"/>
  <c r="E3" i="2"/>
  <c r="D366" i="2"/>
  <c r="E366" i="2"/>
  <c r="D358" i="2"/>
  <c r="E358" i="2"/>
  <c r="E350" i="2"/>
  <c r="D350" i="2"/>
  <c r="E342" i="2"/>
  <c r="D342" i="2"/>
  <c r="E334" i="2"/>
  <c r="D334" i="2"/>
  <c r="D326" i="2"/>
  <c r="E326" i="2"/>
  <c r="D314" i="2"/>
  <c r="E314" i="2"/>
  <c r="E310" i="2"/>
  <c r="D310" i="2"/>
  <c r="E302" i="2"/>
  <c r="D302" i="2"/>
  <c r="D290" i="2"/>
  <c r="E290" i="2"/>
  <c r="E286" i="2"/>
  <c r="D286" i="2"/>
  <c r="E274" i="2"/>
  <c r="D274" i="2"/>
  <c r="E266" i="2"/>
  <c r="D266" i="2"/>
  <c r="D258" i="2"/>
  <c r="E258" i="2"/>
  <c r="D254" i="2"/>
  <c r="E254" i="2"/>
  <c r="D250" i="2"/>
  <c r="E250" i="2"/>
  <c r="D246" i="2"/>
  <c r="E246" i="2"/>
  <c r="D242" i="2"/>
  <c r="E242" i="2"/>
  <c r="D238" i="2"/>
  <c r="E238" i="2"/>
  <c r="D234" i="2"/>
  <c r="E234" i="2"/>
  <c r="D230" i="2"/>
  <c r="E230" i="2"/>
  <c r="D226" i="2"/>
  <c r="E226" i="2"/>
  <c r="D222" i="2"/>
  <c r="E222" i="2"/>
  <c r="D218" i="2"/>
  <c r="E218" i="2"/>
  <c r="D214" i="2"/>
  <c r="E214" i="2"/>
  <c r="D210" i="2"/>
  <c r="E210" i="2"/>
  <c r="D206" i="2"/>
  <c r="E206" i="2"/>
  <c r="D202" i="2"/>
  <c r="E202" i="2"/>
  <c r="D198" i="2"/>
  <c r="E198" i="2"/>
  <c r="D194" i="2"/>
  <c r="E194" i="2"/>
  <c r="D190" i="2"/>
  <c r="E190" i="2"/>
  <c r="D186" i="2"/>
  <c r="E186" i="2"/>
  <c r="D182" i="2"/>
  <c r="E182" i="2"/>
  <c r="D178" i="2"/>
  <c r="E178" i="2"/>
  <c r="D175" i="2"/>
  <c r="E175" i="2"/>
  <c r="E171" i="2"/>
  <c r="D171" i="2"/>
  <c r="E167" i="2"/>
  <c r="D167" i="2"/>
  <c r="E163" i="2"/>
  <c r="D163" i="2"/>
  <c r="E159" i="2"/>
  <c r="D159" i="2"/>
  <c r="E155" i="2"/>
  <c r="D155" i="2"/>
  <c r="E151" i="2"/>
  <c r="D151" i="2"/>
  <c r="E147" i="2"/>
  <c r="D147" i="2"/>
  <c r="E143" i="2"/>
  <c r="D143" i="2"/>
  <c r="E139" i="2"/>
  <c r="D139" i="2"/>
  <c r="E135" i="2"/>
  <c r="D135" i="2"/>
  <c r="E131" i="2"/>
  <c r="D131" i="2"/>
  <c r="E127" i="2"/>
  <c r="D127" i="2"/>
  <c r="E123" i="2"/>
  <c r="D123" i="2"/>
  <c r="E119" i="2"/>
  <c r="D119" i="2"/>
  <c r="E115" i="2"/>
  <c r="D115" i="2"/>
  <c r="E111" i="2"/>
  <c r="D111" i="2"/>
  <c r="E107" i="2"/>
  <c r="D107" i="2"/>
  <c r="E103" i="2"/>
  <c r="D103" i="2"/>
  <c r="E98" i="2"/>
  <c r="D98" i="2"/>
  <c r="E94" i="2"/>
  <c r="D94" i="2"/>
  <c r="E90" i="2"/>
  <c r="D90" i="2"/>
  <c r="E86" i="2"/>
  <c r="D86" i="2"/>
  <c r="E82" i="2"/>
  <c r="D82" i="2"/>
  <c r="E78" i="2"/>
  <c r="D78" i="2"/>
  <c r="E74" i="2"/>
  <c r="D74" i="2"/>
  <c r="E70" i="2"/>
  <c r="D70" i="2"/>
  <c r="E66" i="2"/>
  <c r="D66" i="2"/>
  <c r="E62" i="2"/>
  <c r="D62" i="2"/>
  <c r="E58" i="2"/>
  <c r="D58" i="2"/>
  <c r="E54" i="2"/>
  <c r="D54" i="2"/>
  <c r="E50" i="2"/>
  <c r="D50" i="2"/>
  <c r="E46" i="2"/>
  <c r="D46" i="2"/>
  <c r="E42" i="2"/>
  <c r="D42" i="2"/>
  <c r="E38" i="2"/>
  <c r="D38" i="2"/>
  <c r="E34" i="2"/>
  <c r="D34" i="2"/>
  <c r="E30" i="2"/>
  <c r="D30" i="2"/>
  <c r="E26" i="2"/>
  <c r="D26" i="2"/>
  <c r="E22" i="2"/>
  <c r="D22" i="2"/>
  <c r="E18" i="2"/>
  <c r="D18" i="2"/>
  <c r="D14" i="2"/>
  <c r="E14" i="2"/>
  <c r="D10" i="2"/>
  <c r="E10" i="2"/>
  <c r="D6" i="2"/>
  <c r="E6" i="2"/>
  <c r="E360" i="2"/>
  <c r="D360" i="2"/>
  <c r="D348" i="2"/>
  <c r="E348" i="2"/>
  <c r="D336" i="2"/>
  <c r="E336" i="2"/>
  <c r="E324" i="2"/>
  <c r="D324" i="2"/>
  <c r="E312" i="2"/>
  <c r="D312" i="2"/>
  <c r="D300" i="2"/>
  <c r="E300" i="2"/>
  <c r="E288" i="2"/>
  <c r="D288" i="2"/>
  <c r="D276" i="2"/>
  <c r="E276" i="2"/>
  <c r="D264" i="2"/>
  <c r="E264" i="2"/>
  <c r="D252" i="2"/>
  <c r="E252" i="2"/>
  <c r="D240" i="2"/>
  <c r="E240" i="2"/>
  <c r="D228" i="2"/>
  <c r="E228" i="2"/>
  <c r="D216" i="2"/>
  <c r="E216" i="2"/>
  <c r="D204" i="2"/>
  <c r="E204" i="2"/>
  <c r="D192" i="2"/>
  <c r="E192" i="2"/>
  <c r="D362" i="2"/>
  <c r="E362" i="2"/>
  <c r="D354" i="2"/>
  <c r="E354" i="2"/>
  <c r="E346" i="2"/>
  <c r="D346" i="2"/>
  <c r="E338" i="2"/>
  <c r="D338" i="2"/>
  <c r="E330" i="2"/>
  <c r="D330" i="2"/>
  <c r="D322" i="2"/>
  <c r="E322" i="2"/>
  <c r="D318" i="2"/>
  <c r="E318" i="2"/>
  <c r="E306" i="2"/>
  <c r="D306" i="2"/>
  <c r="E298" i="2"/>
  <c r="D298" i="2"/>
  <c r="E294" i="2"/>
  <c r="D294" i="2"/>
  <c r="E282" i="2"/>
  <c r="D282" i="2"/>
  <c r="E278" i="2"/>
  <c r="D278" i="2"/>
  <c r="E270" i="2"/>
  <c r="D270" i="2"/>
  <c r="D262" i="2"/>
  <c r="E262" i="2"/>
  <c r="D365" i="2"/>
  <c r="E365" i="2"/>
  <c r="D361" i="2"/>
  <c r="E361" i="2"/>
  <c r="D357" i="2"/>
  <c r="E357" i="2"/>
  <c r="D353" i="2"/>
  <c r="E353" i="2"/>
  <c r="D349" i="2"/>
  <c r="E349" i="2"/>
  <c r="D345" i="2"/>
  <c r="E345" i="2"/>
  <c r="D341" i="2"/>
  <c r="E341" i="2"/>
  <c r="D337" i="2"/>
  <c r="E337" i="2"/>
  <c r="D333" i="2"/>
  <c r="E333" i="2"/>
  <c r="D329" i="2"/>
  <c r="E329" i="2"/>
  <c r="D325" i="2"/>
  <c r="E325" i="2"/>
  <c r="D321" i="2"/>
  <c r="E321" i="2"/>
  <c r="D317" i="2"/>
  <c r="E317" i="2"/>
  <c r="D313" i="2"/>
  <c r="E313" i="2"/>
  <c r="D309" i="2"/>
  <c r="E309" i="2"/>
  <c r="D305" i="2"/>
  <c r="E305" i="2"/>
  <c r="D301" i="2"/>
  <c r="E301" i="2"/>
  <c r="D297" i="2"/>
  <c r="E297" i="2"/>
  <c r="D293" i="2"/>
  <c r="E293" i="2"/>
  <c r="D289" i="2"/>
  <c r="E289" i="2"/>
  <c r="D285" i="2"/>
  <c r="E285" i="2"/>
  <c r="D281" i="2"/>
  <c r="E281" i="2"/>
  <c r="D277" i="2"/>
  <c r="E277" i="2"/>
  <c r="D273" i="2"/>
  <c r="E273" i="2"/>
  <c r="D269" i="2"/>
  <c r="E269" i="2"/>
  <c r="D265" i="2"/>
  <c r="E265" i="2"/>
  <c r="D261" i="2"/>
  <c r="E261" i="2"/>
  <c r="D257" i="2"/>
  <c r="E257" i="2"/>
  <c r="D253" i="2"/>
  <c r="E253" i="2"/>
  <c r="D249" i="2"/>
  <c r="E249" i="2"/>
  <c r="D245" i="2"/>
  <c r="E245" i="2"/>
  <c r="D241" i="2"/>
  <c r="E241" i="2"/>
  <c r="D237" i="2"/>
  <c r="E237" i="2"/>
  <c r="D233" i="2"/>
  <c r="E233" i="2"/>
  <c r="D229" i="2"/>
  <c r="E229" i="2"/>
  <c r="D225" i="2"/>
  <c r="E225" i="2"/>
  <c r="D221" i="2"/>
  <c r="E221" i="2"/>
  <c r="D217" i="2"/>
  <c r="E217" i="2"/>
  <c r="D213" i="2"/>
  <c r="E213" i="2"/>
  <c r="D209" i="2"/>
  <c r="E209" i="2"/>
  <c r="D205" i="2"/>
  <c r="E205" i="2"/>
  <c r="D201" i="2"/>
  <c r="E201" i="2"/>
  <c r="D197" i="2"/>
  <c r="E197" i="2"/>
  <c r="D193" i="2"/>
  <c r="E193" i="2"/>
  <c r="D189" i="2"/>
  <c r="E189" i="2"/>
  <c r="D185" i="2"/>
  <c r="E185" i="2"/>
  <c r="D181" i="2"/>
  <c r="E181" i="2"/>
  <c r="D177" i="2"/>
  <c r="E177" i="2"/>
  <c r="D174" i="2"/>
  <c r="E174" i="2"/>
  <c r="E170" i="2"/>
  <c r="D170" i="2"/>
  <c r="E166" i="2"/>
  <c r="D166" i="2"/>
  <c r="E162" i="2"/>
  <c r="D162" i="2"/>
  <c r="E158" i="2"/>
  <c r="D158" i="2"/>
  <c r="E154" i="2"/>
  <c r="D154" i="2"/>
  <c r="E150" i="2"/>
  <c r="D150" i="2"/>
  <c r="E146" i="2"/>
  <c r="D146" i="2"/>
  <c r="E142" i="2"/>
  <c r="D142" i="2"/>
  <c r="E138" i="2"/>
  <c r="D138" i="2"/>
  <c r="E134" i="2"/>
  <c r="D134" i="2"/>
  <c r="E130" i="2"/>
  <c r="D130" i="2"/>
  <c r="E126" i="2"/>
  <c r="D126" i="2"/>
  <c r="E122" i="2"/>
  <c r="D122" i="2"/>
  <c r="E118" i="2"/>
  <c r="D118" i="2"/>
  <c r="E114" i="2"/>
  <c r="D114" i="2"/>
  <c r="E110" i="2"/>
  <c r="D110" i="2"/>
  <c r="E106" i="2"/>
  <c r="D106" i="2"/>
  <c r="E102" i="2"/>
  <c r="D102" i="2"/>
  <c r="E97" i="2"/>
  <c r="D97" i="2"/>
  <c r="E93" i="2"/>
  <c r="D93" i="2"/>
  <c r="E89" i="2"/>
  <c r="D89" i="2"/>
  <c r="E85" i="2"/>
  <c r="D85" i="2"/>
  <c r="E81" i="2"/>
  <c r="D81" i="2"/>
  <c r="E77" i="2"/>
  <c r="D77" i="2"/>
  <c r="E73" i="2"/>
  <c r="D73" i="2"/>
  <c r="E69" i="2"/>
  <c r="D69" i="2"/>
  <c r="E65" i="2"/>
  <c r="D65" i="2"/>
  <c r="E61" i="2"/>
  <c r="D61" i="2"/>
  <c r="E57" i="2"/>
  <c r="D57" i="2"/>
  <c r="E53" i="2"/>
  <c r="D53" i="2"/>
  <c r="E49" i="2"/>
  <c r="D49" i="2"/>
  <c r="E45" i="2"/>
  <c r="D45" i="2"/>
  <c r="E41" i="2"/>
  <c r="D41" i="2"/>
  <c r="E37" i="2"/>
  <c r="D37" i="2"/>
  <c r="E33" i="2"/>
  <c r="D33" i="2"/>
  <c r="E29" i="2"/>
  <c r="D29" i="2"/>
  <c r="E25" i="2"/>
  <c r="D25" i="2"/>
  <c r="E21" i="2"/>
  <c r="D21" i="2"/>
  <c r="E17" i="2"/>
  <c r="D17" i="2"/>
  <c r="D13" i="2"/>
  <c r="E13" i="2"/>
  <c r="D9" i="2"/>
  <c r="E9" i="2"/>
  <c r="D5" i="2"/>
  <c r="E5" i="2"/>
  <c r="E364" i="2"/>
  <c r="D364" i="2"/>
  <c r="E356" i="2"/>
  <c r="D356" i="2"/>
  <c r="D340" i="2"/>
  <c r="E340" i="2"/>
  <c r="E328" i="2"/>
  <c r="D328" i="2"/>
  <c r="E320" i="2"/>
  <c r="D320" i="2"/>
  <c r="D304" i="2"/>
  <c r="E304" i="2"/>
  <c r="D296" i="2"/>
  <c r="E296" i="2"/>
  <c r="D280" i="2"/>
  <c r="E280" i="2"/>
  <c r="D268" i="2"/>
  <c r="E268" i="2"/>
  <c r="D256" i="2"/>
  <c r="E256" i="2"/>
  <c r="D244" i="2"/>
  <c r="E244" i="2"/>
  <c r="D232" i="2"/>
  <c r="E232" i="2"/>
  <c r="D224" i="2"/>
  <c r="E224" i="2"/>
  <c r="D212" i="2"/>
  <c r="E212" i="2"/>
  <c r="D196" i="2"/>
  <c r="E196" i="2"/>
  <c r="D184" i="2"/>
  <c r="E184" i="2"/>
  <c r="D176" i="2"/>
  <c r="E176" i="2"/>
  <c r="D173" i="2"/>
  <c r="E173" i="2"/>
  <c r="E165" i="2"/>
  <c r="D165" i="2"/>
  <c r="E157" i="2"/>
  <c r="D157" i="2"/>
  <c r="E149" i="2"/>
  <c r="D149" i="2"/>
  <c r="E141" i="2"/>
  <c r="D141" i="2"/>
  <c r="E137" i="2"/>
  <c r="D137" i="2"/>
  <c r="E125" i="2"/>
  <c r="D125" i="2"/>
  <c r="E121" i="2"/>
  <c r="D121" i="2"/>
  <c r="E109" i="2"/>
  <c r="D109" i="2"/>
  <c r="E105" i="2"/>
  <c r="D105" i="2"/>
  <c r="E96" i="2"/>
  <c r="D96" i="2"/>
  <c r="E92" i="2"/>
  <c r="D92" i="2"/>
  <c r="E88" i="2"/>
  <c r="D88" i="2"/>
  <c r="E84" i="2"/>
  <c r="D84" i="2"/>
  <c r="E80" i="2"/>
  <c r="D80" i="2"/>
  <c r="E76" i="2"/>
  <c r="D76" i="2"/>
  <c r="E72" i="2"/>
  <c r="D72" i="2"/>
  <c r="E68" i="2"/>
  <c r="D68" i="2"/>
  <c r="E64" i="2"/>
  <c r="D64" i="2"/>
  <c r="E60" i="2"/>
  <c r="D60" i="2"/>
  <c r="E56" i="2"/>
  <c r="D56" i="2"/>
  <c r="E52" i="2"/>
  <c r="D52" i="2"/>
  <c r="E48" i="2"/>
  <c r="D48" i="2"/>
  <c r="E44" i="2"/>
  <c r="D44" i="2"/>
  <c r="E40" i="2"/>
  <c r="D40" i="2"/>
  <c r="E36" i="2"/>
  <c r="D36" i="2"/>
  <c r="E32" i="2"/>
  <c r="D32" i="2"/>
  <c r="E28" i="2"/>
  <c r="D28" i="2"/>
  <c r="E24" i="2"/>
  <c r="D24" i="2"/>
  <c r="E20" i="2"/>
  <c r="D20" i="2"/>
  <c r="D16" i="2"/>
  <c r="E16" i="2"/>
  <c r="D12" i="2"/>
  <c r="E12" i="2"/>
  <c r="D8" i="2"/>
  <c r="E8" i="2"/>
  <c r="D4" i="2"/>
  <c r="E4" i="2"/>
  <c r="E2" i="2"/>
  <c r="A2" i="5" s="1"/>
  <c r="A12" i="6" l="1"/>
  <c r="A241" i="6"/>
  <c r="A14" i="6"/>
  <c r="A33" i="6"/>
  <c r="A43" i="6"/>
  <c r="A48" i="6"/>
  <c r="A37" i="6"/>
  <c r="A56" i="6"/>
  <c r="A71" i="6"/>
  <c r="A96" i="6"/>
  <c r="A99" i="6"/>
  <c r="A118" i="6"/>
  <c r="A108" i="6"/>
  <c r="A138" i="6"/>
  <c r="A148" i="6"/>
  <c r="A134" i="6"/>
  <c r="A173" i="6"/>
  <c r="A186" i="6"/>
  <c r="A202" i="6"/>
  <c r="A206" i="6"/>
  <c r="A238" i="6"/>
  <c r="A267" i="6"/>
  <c r="A292" i="6"/>
  <c r="A269" i="6"/>
  <c r="A254" i="6"/>
  <c r="A316" i="6"/>
  <c r="A357" i="6"/>
  <c r="A350" i="6"/>
  <c r="A335" i="6"/>
  <c r="A3" i="6"/>
  <c r="A27" i="6"/>
  <c r="A66" i="6"/>
  <c r="A20" i="6"/>
  <c r="A6" i="6"/>
  <c r="A4" i="6"/>
  <c r="A38" i="6"/>
  <c r="A32" i="6"/>
  <c r="A54" i="6"/>
  <c r="A77" i="6"/>
  <c r="A93" i="6"/>
  <c r="A137" i="6"/>
  <c r="A123" i="6"/>
  <c r="A139" i="6"/>
  <c r="A171" i="6"/>
  <c r="A153" i="6"/>
  <c r="A169" i="6"/>
  <c r="A235" i="6"/>
  <c r="A236" i="6"/>
  <c r="A251" i="6"/>
  <c r="A276" i="6"/>
  <c r="A253" i="6"/>
  <c r="A302" i="6"/>
  <c r="A341" i="6"/>
  <c r="A334" i="6"/>
  <c r="A366" i="6"/>
  <c r="A319" i="6"/>
  <c r="A15" i="6"/>
  <c r="A22" i="6"/>
  <c r="A52" i="6"/>
  <c r="A10" i="6"/>
  <c r="A16" i="6"/>
  <c r="A78" i="6"/>
  <c r="A68" i="6"/>
  <c r="A84" i="6"/>
  <c r="A98" i="6"/>
  <c r="A128" i="6"/>
  <c r="A199" i="6"/>
  <c r="A196" i="6"/>
  <c r="A219" i="6"/>
  <c r="A220" i="6"/>
  <c r="A229" i="6"/>
  <c r="A299" i="6"/>
  <c r="A260" i="6"/>
  <c r="A308" i="6"/>
  <c r="A301" i="6"/>
  <c r="A286" i="6"/>
  <c r="A348" i="6"/>
  <c r="A364" i="6"/>
  <c r="A325" i="6"/>
  <c r="A318" i="6"/>
  <c r="A8" i="6"/>
  <c r="A24" i="6"/>
  <c r="A26" i="6"/>
  <c r="A58" i="6"/>
  <c r="A63" i="6"/>
  <c r="A49" i="6"/>
  <c r="A82" i="6"/>
  <c r="A59" i="6"/>
  <c r="A65" i="6"/>
  <c r="A109" i="6"/>
  <c r="A112" i="6"/>
  <c r="A121" i="6"/>
  <c r="A150" i="6"/>
  <c r="A155" i="6"/>
  <c r="A183" i="6"/>
  <c r="A180" i="6"/>
  <c r="A189" i="6"/>
  <c r="A164" i="6"/>
  <c r="A213" i="6"/>
  <c r="A222" i="6"/>
  <c r="A283" i="6"/>
  <c r="A244" i="6"/>
  <c r="A285" i="6"/>
  <c r="A270" i="6"/>
  <c r="A332" i="6"/>
  <c r="A351" i="6"/>
  <c r="A19" i="6"/>
  <c r="A36" i="6"/>
  <c r="A47" i="6"/>
  <c r="A42" i="6"/>
  <c r="A72" i="6"/>
  <c r="A102" i="6"/>
  <c r="A111" i="6"/>
  <c r="A141" i="6"/>
  <c r="A170" i="6"/>
  <c r="A200" i="6"/>
  <c r="A223" i="6"/>
  <c r="A224" i="6"/>
  <c r="A233" i="6"/>
  <c r="A303" i="6"/>
  <c r="A264" i="6"/>
  <c r="A305" i="6"/>
  <c r="A290" i="6"/>
  <c r="A352" i="6"/>
  <c r="A329" i="6"/>
  <c r="A322" i="6"/>
  <c r="A23" i="6"/>
  <c r="A30" i="6"/>
  <c r="A86" i="6"/>
  <c r="A88" i="6"/>
  <c r="A91" i="6"/>
  <c r="A107" i="6"/>
  <c r="A110" i="6"/>
  <c r="A161" i="6"/>
  <c r="A204" i="6"/>
  <c r="A178" i="6"/>
  <c r="A259" i="6"/>
  <c r="A284" i="6"/>
  <c r="A261" i="6"/>
  <c r="A246" i="6"/>
  <c r="A349" i="6"/>
  <c r="A342" i="6"/>
  <c r="A327" i="6"/>
  <c r="A11" i="6"/>
  <c r="A17" i="6"/>
  <c r="A29" i="6"/>
  <c r="A34" i="6"/>
  <c r="A45" i="6"/>
  <c r="A61" i="6"/>
  <c r="A105" i="6"/>
  <c r="A117" i="6"/>
  <c r="A130" i="6"/>
  <c r="A146" i="6"/>
  <c r="A162" i="6"/>
  <c r="A151" i="6"/>
  <c r="A160" i="6"/>
  <c r="A179" i="6"/>
  <c r="A176" i="6"/>
  <c r="A185" i="6"/>
  <c r="A198" i="6"/>
  <c r="A209" i="6"/>
  <c r="A218" i="6"/>
  <c r="A279" i="6"/>
  <c r="A304" i="6"/>
  <c r="A281" i="6"/>
  <c r="A266" i="6"/>
  <c r="A328" i="6"/>
  <c r="A347" i="6"/>
  <c r="A363" i="6"/>
  <c r="A81" i="6"/>
  <c r="A83" i="6"/>
  <c r="A116" i="6"/>
  <c r="A125" i="6"/>
  <c r="A154" i="6"/>
  <c r="A159" i="6"/>
  <c r="A187" i="6"/>
  <c r="A184" i="6"/>
  <c r="A193" i="6"/>
  <c r="A207" i="6"/>
  <c r="A208" i="6"/>
  <c r="A217" i="6"/>
  <c r="A226" i="6"/>
  <c r="A242" i="6"/>
  <c r="A287" i="6"/>
  <c r="A248" i="6"/>
  <c r="A239" i="6"/>
  <c r="A289" i="6"/>
  <c r="A274" i="6"/>
  <c r="A336" i="6"/>
  <c r="A313" i="6"/>
  <c r="A355" i="6"/>
  <c r="A40" i="6"/>
  <c r="A46" i="6"/>
  <c r="A53" i="6"/>
  <c r="A69" i="6"/>
  <c r="A76" i="6"/>
  <c r="A87" i="6"/>
  <c r="A115" i="6"/>
  <c r="A131" i="6"/>
  <c r="A163" i="6"/>
  <c r="A136" i="6"/>
  <c r="A145" i="6"/>
  <c r="A227" i="6"/>
  <c r="A228" i="6"/>
  <c r="A237" i="6"/>
  <c r="A243" i="6"/>
  <c r="A268" i="6"/>
  <c r="A245" i="6"/>
  <c r="A294" i="6"/>
  <c r="A310" i="6"/>
  <c r="A356" i="6"/>
  <c r="A333" i="6"/>
  <c r="A326" i="6"/>
  <c r="A311" i="6"/>
  <c r="A9" i="6"/>
  <c r="A39" i="6"/>
  <c r="A62" i="6"/>
  <c r="A92" i="6"/>
  <c r="A95" i="6"/>
  <c r="A114" i="6"/>
  <c r="A144" i="6"/>
  <c r="A182" i="6"/>
  <c r="A263" i="6"/>
  <c r="A288" i="6"/>
  <c r="A265" i="6"/>
  <c r="A250" i="6"/>
  <c r="A312" i="6"/>
  <c r="A353" i="6"/>
  <c r="A346" i="6"/>
  <c r="A331" i="6"/>
  <c r="A60" i="6"/>
  <c r="A75" i="6"/>
  <c r="A100" i="6"/>
  <c r="A85" i="6"/>
  <c r="A104" i="6"/>
  <c r="A122" i="6"/>
  <c r="A143" i="6"/>
  <c r="A132" i="6"/>
  <c r="A152" i="6"/>
  <c r="A168" i="6"/>
  <c r="A177" i="6"/>
  <c r="A190" i="6"/>
  <c r="A240" i="6"/>
  <c r="A210" i="6"/>
  <c r="A271" i="6"/>
  <c r="A296" i="6"/>
  <c r="A273" i="6"/>
  <c r="A258" i="6"/>
  <c r="A320" i="6"/>
  <c r="A354" i="6"/>
  <c r="A309" i="6"/>
  <c r="A339" i="6"/>
  <c r="A7" i="6"/>
  <c r="A18" i="6"/>
  <c r="A31" i="6"/>
  <c r="A35" i="6"/>
  <c r="A67" i="6"/>
  <c r="A57" i="6"/>
  <c r="A70" i="6"/>
  <c r="A90" i="6"/>
  <c r="A120" i="6"/>
  <c r="A129" i="6"/>
  <c r="A158" i="6"/>
  <c r="A191" i="6"/>
  <c r="A188" i="6"/>
  <c r="A197" i="6"/>
  <c r="A211" i="6"/>
  <c r="A212" i="6"/>
  <c r="A221" i="6"/>
  <c r="A230" i="6"/>
  <c r="A291" i="6"/>
  <c r="A252" i="6"/>
  <c r="A293" i="6"/>
  <c r="A278" i="6"/>
  <c r="A340" i="6"/>
  <c r="A317" i="6"/>
  <c r="A359" i="6"/>
  <c r="A21" i="6"/>
  <c r="A28" i="6"/>
  <c r="A44" i="6"/>
  <c r="A51" i="6"/>
  <c r="A73" i="6"/>
  <c r="A64" i="6"/>
  <c r="A89" i="6"/>
  <c r="A106" i="6"/>
  <c r="A133" i="6"/>
  <c r="A119" i="6"/>
  <c r="A135" i="6"/>
  <c r="A167" i="6"/>
  <c r="A149" i="6"/>
  <c r="A165" i="6"/>
  <c r="A166" i="6"/>
  <c r="A231" i="6"/>
  <c r="A232" i="6"/>
  <c r="A247" i="6"/>
  <c r="A272" i="6"/>
  <c r="A249" i="6"/>
  <c r="A298" i="6"/>
  <c r="A337" i="6"/>
  <c r="A330" i="6"/>
  <c r="A362" i="6"/>
  <c r="A315" i="6"/>
  <c r="A97" i="6"/>
  <c r="A103" i="6"/>
  <c r="A127" i="6"/>
  <c r="A140" i="6"/>
  <c r="A157" i="6"/>
  <c r="A174" i="6"/>
  <c r="A255" i="6"/>
  <c r="A280" i="6"/>
  <c r="A257" i="6"/>
  <c r="A306" i="6"/>
  <c r="A345" i="6"/>
  <c r="A361" i="6"/>
  <c r="A338" i="6"/>
  <c r="A323" i="6"/>
  <c r="A5" i="6"/>
  <c r="A13" i="6"/>
  <c r="A25" i="6"/>
  <c r="A41" i="6"/>
  <c r="A79" i="6"/>
  <c r="A101" i="6"/>
  <c r="A113" i="6"/>
  <c r="A126" i="6"/>
  <c r="A142" i="6"/>
  <c r="A147" i="6"/>
  <c r="A156" i="6"/>
  <c r="A175" i="6"/>
  <c r="A172" i="6"/>
  <c r="A181" i="6"/>
  <c r="A194" i="6"/>
  <c r="A205" i="6"/>
  <c r="A214" i="6"/>
  <c r="A275" i="6"/>
  <c r="A307" i="6"/>
  <c r="A300" i="6"/>
  <c r="A277" i="6"/>
  <c r="A262" i="6"/>
  <c r="A324" i="6"/>
  <c r="A365" i="6"/>
  <c r="A358" i="6"/>
  <c r="A343" i="6"/>
  <c r="A50" i="6"/>
  <c r="A55" i="6"/>
  <c r="A74" i="6"/>
  <c r="A80" i="6"/>
  <c r="A94" i="6"/>
  <c r="A124" i="6"/>
  <c r="A195" i="6"/>
  <c r="A192" i="6"/>
  <c r="A201" i="6"/>
  <c r="A215" i="6"/>
  <c r="A216" i="6"/>
  <c r="A225" i="6"/>
  <c r="A203" i="6"/>
  <c r="A234" i="6"/>
  <c r="A295" i="6"/>
  <c r="A256" i="6"/>
  <c r="A297" i="6"/>
  <c r="A282" i="6"/>
  <c r="A344" i="6"/>
  <c r="A360" i="6"/>
  <c r="A321" i="6"/>
  <c r="A314" i="6"/>
  <c r="A2" i="6"/>
  <c r="A292" i="5"/>
  <c r="A316" i="5"/>
  <c r="A101" i="5"/>
  <c r="A15" i="5"/>
  <c r="A23" i="5"/>
  <c r="A31" i="5"/>
  <c r="A117" i="5"/>
  <c r="A352" i="5"/>
  <c r="A20" i="5"/>
  <c r="A28" i="5"/>
  <c r="A36" i="5"/>
  <c r="A44" i="5"/>
  <c r="A52" i="5"/>
  <c r="A60" i="5"/>
  <c r="A68" i="5"/>
  <c r="A24" i="5"/>
  <c r="A32" i="5"/>
  <c r="A40" i="5"/>
  <c r="A48" i="5"/>
  <c r="A56" i="5"/>
  <c r="A64" i="5"/>
  <c r="A76" i="5"/>
  <c r="A84" i="5"/>
  <c r="A92" i="5"/>
  <c r="A105" i="5"/>
  <c r="A121" i="5"/>
  <c r="A137" i="5"/>
  <c r="A149" i="5"/>
  <c r="A165" i="5"/>
  <c r="A320" i="5"/>
  <c r="A364" i="5"/>
  <c r="A17" i="5"/>
  <c r="A25" i="5"/>
  <c r="A33" i="5"/>
  <c r="A41" i="5"/>
  <c r="A49" i="5"/>
  <c r="A57" i="5"/>
  <c r="A65" i="5"/>
  <c r="A73" i="5"/>
  <c r="A81" i="5"/>
  <c r="A89" i="5"/>
  <c r="A97" i="5"/>
  <c r="A106" i="5"/>
  <c r="A114" i="5"/>
  <c r="A122" i="5"/>
  <c r="A130" i="5"/>
  <c r="A138" i="5"/>
  <c r="A146" i="5"/>
  <c r="A154" i="5"/>
  <c r="A72" i="5"/>
  <c r="A80" i="5"/>
  <c r="A88" i="5"/>
  <c r="A96" i="5"/>
  <c r="A109" i="5"/>
  <c r="A125" i="5"/>
  <c r="A141" i="5"/>
  <c r="A157" i="5"/>
  <c r="A328" i="5"/>
  <c r="A356" i="5"/>
  <c r="A21" i="5"/>
  <c r="A29" i="5"/>
  <c r="A37" i="5"/>
  <c r="A45" i="5"/>
  <c r="A53" i="5"/>
  <c r="A61" i="5"/>
  <c r="A69" i="5"/>
  <c r="A77" i="5"/>
  <c r="A85" i="5"/>
  <c r="A93" i="5"/>
  <c r="A102" i="5"/>
  <c r="A110" i="5"/>
  <c r="A118" i="5"/>
  <c r="A126" i="5"/>
  <c r="A134" i="5"/>
  <c r="A142" i="5"/>
  <c r="A150" i="5"/>
  <c r="A158" i="5"/>
  <c r="A166" i="5"/>
  <c r="A270" i="5"/>
  <c r="A266" i="5"/>
  <c r="A286" i="5"/>
  <c r="A302" i="5"/>
  <c r="A334" i="5"/>
  <c r="A350" i="5"/>
  <c r="A162" i="5"/>
  <c r="A170" i="5"/>
  <c r="A278" i="5"/>
  <c r="A294" i="5"/>
  <c r="A306" i="5"/>
  <c r="A338" i="5"/>
  <c r="A288" i="5"/>
  <c r="A312" i="5"/>
  <c r="A360" i="5"/>
  <c r="A18" i="5"/>
  <c r="A26" i="5"/>
  <c r="A34" i="5"/>
  <c r="A42" i="5"/>
  <c r="A50" i="5"/>
  <c r="A58" i="5"/>
  <c r="A19" i="5"/>
  <c r="A27" i="5"/>
  <c r="A133" i="5"/>
  <c r="A282" i="5"/>
  <c r="A298" i="5"/>
  <c r="A330" i="5"/>
  <c r="A346" i="5"/>
  <c r="A324" i="5"/>
  <c r="A22" i="5"/>
  <c r="A30" i="5"/>
  <c r="A38" i="5"/>
  <c r="A46" i="5"/>
  <c r="A54" i="5"/>
  <c r="A62" i="5"/>
  <c r="A70" i="5"/>
  <c r="A78" i="5"/>
  <c r="A86" i="5"/>
  <c r="A94" i="5"/>
  <c r="A103" i="5"/>
  <c r="A111" i="5"/>
  <c r="A119" i="5"/>
  <c r="A127" i="5"/>
  <c r="A135" i="5"/>
  <c r="A143" i="5"/>
  <c r="A151" i="5"/>
  <c r="A159" i="5"/>
  <c r="A167" i="5"/>
  <c r="A66" i="5"/>
  <c r="A74" i="5"/>
  <c r="A82" i="5"/>
  <c r="A90" i="5"/>
  <c r="A98" i="5"/>
  <c r="A107" i="5"/>
  <c r="A115" i="5"/>
  <c r="A123" i="5"/>
  <c r="A131" i="5"/>
  <c r="A139" i="5"/>
  <c r="A147" i="5"/>
  <c r="A39" i="5"/>
  <c r="A47" i="5"/>
  <c r="A55" i="5"/>
  <c r="A63" i="5"/>
  <c r="A71" i="5"/>
  <c r="A79" i="5"/>
  <c r="A87" i="5"/>
  <c r="A95" i="5"/>
  <c r="A100" i="5"/>
  <c r="A108" i="5"/>
  <c r="A116" i="5"/>
  <c r="A124" i="5"/>
  <c r="A132" i="5"/>
  <c r="A140" i="5"/>
  <c r="A148" i="5"/>
  <c r="A156" i="5"/>
  <c r="A164" i="5"/>
  <c r="A155" i="5"/>
  <c r="A163" i="5"/>
  <c r="A171" i="5"/>
  <c r="A274" i="5"/>
  <c r="A310" i="5"/>
  <c r="A342" i="5"/>
  <c r="A35" i="5"/>
  <c r="A43" i="5"/>
  <c r="A51" i="5"/>
  <c r="A59" i="5"/>
  <c r="A67" i="5"/>
  <c r="A75" i="5"/>
  <c r="A83" i="5"/>
  <c r="A91" i="5"/>
  <c r="A99" i="5"/>
  <c r="A104" i="5"/>
  <c r="A112" i="5"/>
  <c r="A120" i="5"/>
  <c r="A128" i="5"/>
  <c r="A136" i="5"/>
  <c r="A144" i="5"/>
  <c r="A152" i="5"/>
  <c r="A160" i="5"/>
  <c r="A168" i="5"/>
  <c r="A113" i="5"/>
  <c r="A129" i="5"/>
  <c r="A145" i="5"/>
  <c r="A161" i="5"/>
  <c r="A169" i="5"/>
  <c r="A153" i="5"/>
  <c r="A172" i="5"/>
  <c r="A3" i="5"/>
  <c r="A11" i="5"/>
  <c r="A7" i="5"/>
  <c r="A4" i="5"/>
  <c r="A12" i="5"/>
  <c r="A176" i="5"/>
  <c r="A196" i="5"/>
  <c r="A224" i="5"/>
  <c r="A244" i="5"/>
  <c r="A268" i="5"/>
  <c r="A296" i="5"/>
  <c r="A340" i="5"/>
  <c r="A9" i="5"/>
  <c r="A8" i="5"/>
  <c r="A16" i="5"/>
  <c r="A173" i="5"/>
  <c r="A184" i="5"/>
  <c r="A212" i="5"/>
  <c r="A232" i="5"/>
  <c r="A256" i="5"/>
  <c r="A280" i="5"/>
  <c r="A304" i="5"/>
  <c r="A5" i="5"/>
  <c r="A13" i="5"/>
  <c r="A177" i="5"/>
  <c r="A185" i="5"/>
  <c r="A193" i="5"/>
  <c r="A201" i="5"/>
  <c r="A209" i="5"/>
  <c r="A217" i="5"/>
  <c r="A225" i="5"/>
  <c r="A233" i="5"/>
  <c r="A241" i="5"/>
  <c r="A249" i="5"/>
  <c r="A257" i="5"/>
  <c r="A265" i="5"/>
  <c r="A273" i="5"/>
  <c r="A281" i="5"/>
  <c r="A289" i="5"/>
  <c r="A297" i="5"/>
  <c r="A305" i="5"/>
  <c r="A313" i="5"/>
  <c r="A321" i="5"/>
  <c r="A329" i="5"/>
  <c r="A337" i="5"/>
  <c r="A345" i="5"/>
  <c r="A353" i="5"/>
  <c r="A361" i="5"/>
  <c r="A262" i="5"/>
  <c r="A322" i="5"/>
  <c r="A354" i="5"/>
  <c r="A192" i="5"/>
  <c r="A216" i="5"/>
  <c r="A240" i="5"/>
  <c r="A264" i="5"/>
  <c r="A336" i="5"/>
  <c r="A10" i="5"/>
  <c r="A178" i="5"/>
  <c r="A186" i="5"/>
  <c r="A194" i="5"/>
  <c r="A202" i="5"/>
  <c r="A210" i="5"/>
  <c r="A218" i="5"/>
  <c r="A226" i="5"/>
  <c r="A234" i="5"/>
  <c r="A242" i="5"/>
  <c r="A250" i="5"/>
  <c r="A258" i="5"/>
  <c r="A290" i="5"/>
  <c r="A326" i="5"/>
  <c r="A358" i="5"/>
  <c r="A179" i="5"/>
  <c r="A187" i="5"/>
  <c r="A195" i="5"/>
  <c r="A203" i="5"/>
  <c r="A211" i="5"/>
  <c r="A219" i="5"/>
  <c r="A227" i="5"/>
  <c r="A235" i="5"/>
  <c r="A243" i="5"/>
  <c r="A251" i="5"/>
  <c r="A259" i="5"/>
  <c r="A267" i="5"/>
  <c r="A275" i="5"/>
  <c r="A283" i="5"/>
  <c r="A291" i="5"/>
  <c r="A299" i="5"/>
  <c r="A307" i="5"/>
  <c r="A315" i="5"/>
  <c r="A323" i="5"/>
  <c r="A331" i="5"/>
  <c r="A339" i="5"/>
  <c r="A347" i="5"/>
  <c r="A355" i="5"/>
  <c r="A363" i="5"/>
  <c r="A180" i="5"/>
  <c r="A200" i="5"/>
  <c r="A220" i="5"/>
  <c r="A248" i="5"/>
  <c r="A272" i="5"/>
  <c r="A344" i="5"/>
  <c r="A174" i="5"/>
  <c r="A181" i="5"/>
  <c r="A189" i="5"/>
  <c r="A197" i="5"/>
  <c r="A205" i="5"/>
  <c r="A213" i="5"/>
  <c r="A221" i="5"/>
  <c r="A229" i="5"/>
  <c r="A237" i="5"/>
  <c r="A245" i="5"/>
  <c r="A253" i="5"/>
  <c r="A261" i="5"/>
  <c r="A269" i="5"/>
  <c r="A277" i="5"/>
  <c r="A285" i="5"/>
  <c r="A293" i="5"/>
  <c r="A301" i="5"/>
  <c r="A309" i="5"/>
  <c r="A317" i="5"/>
  <c r="A325" i="5"/>
  <c r="A333" i="5"/>
  <c r="A341" i="5"/>
  <c r="A349" i="5"/>
  <c r="A357" i="5"/>
  <c r="A365" i="5"/>
  <c r="A318" i="5"/>
  <c r="A362" i="5"/>
  <c r="A204" i="5"/>
  <c r="A228" i="5"/>
  <c r="A252" i="5"/>
  <c r="A276" i="5"/>
  <c r="A300" i="5"/>
  <c r="A348" i="5"/>
  <c r="A6" i="5"/>
  <c r="A14" i="5"/>
  <c r="A175" i="5"/>
  <c r="A182" i="5"/>
  <c r="A190" i="5"/>
  <c r="A198" i="5"/>
  <c r="A206" i="5"/>
  <c r="A214" i="5"/>
  <c r="A222" i="5"/>
  <c r="A230" i="5"/>
  <c r="A238" i="5"/>
  <c r="A246" i="5"/>
  <c r="A254" i="5"/>
  <c r="A314" i="5"/>
  <c r="A366" i="5"/>
  <c r="A183" i="5"/>
  <c r="A191" i="5"/>
  <c r="A199" i="5"/>
  <c r="A207" i="5"/>
  <c r="A215" i="5"/>
  <c r="A223" i="5"/>
  <c r="A231" i="5"/>
  <c r="A239" i="5"/>
  <c r="A247" i="5"/>
  <c r="A255" i="5"/>
  <c r="A263" i="5"/>
  <c r="A271" i="5"/>
  <c r="A279" i="5"/>
  <c r="A287" i="5"/>
  <c r="A295" i="5"/>
  <c r="A303" i="5"/>
  <c r="A311" i="5"/>
  <c r="A319" i="5"/>
  <c r="A327" i="5"/>
  <c r="A335" i="5"/>
  <c r="A343" i="5"/>
  <c r="A351" i="5"/>
  <c r="A359" i="5"/>
  <c r="A188" i="5"/>
  <c r="A208" i="5"/>
  <c r="A236" i="5"/>
  <c r="A260" i="5"/>
  <c r="A284" i="5"/>
  <c r="A308" i="5"/>
  <c r="A332" i="5"/>
</calcChain>
</file>

<file path=xl/sharedStrings.xml><?xml version="1.0" encoding="utf-8"?>
<sst xmlns="http://schemas.openxmlformats.org/spreadsheetml/2006/main" count="270" uniqueCount="136">
  <si>
    <t>Datum</t>
  </si>
  <si>
    <t>Stn</t>
  </si>
  <si>
    <t>Niveau</t>
  </si>
  <si>
    <t>Rd</t>
  </si>
  <si>
    <t>qRd</t>
  </si>
  <si>
    <t>P</t>
  </si>
  <si>
    <t>qP</t>
  </si>
  <si>
    <t>T</t>
  </si>
  <si>
    <t>Stations</t>
  </si>
  <si>
    <t>No.</t>
  </si>
  <si>
    <t>Naam</t>
  </si>
  <si>
    <t>Kwaliteit</t>
  </si>
  <si>
    <t>Code</t>
  </si>
  <si>
    <t xml:space="preserve">Ok </t>
  </si>
  <si>
    <t xml:space="preserve">ME </t>
  </si>
  <si>
    <t xml:space="preserve">MS </t>
  </si>
  <si>
    <t xml:space="preserve">Est </t>
  </si>
  <si>
    <t xml:space="preserve">Lacking </t>
  </si>
  <si>
    <t>Kwaliteitscodes</t>
  </si>
  <si>
    <t>Kwaliteitskenmerken</t>
  </si>
  <si>
    <t>Parameters</t>
  </si>
  <si>
    <t>Notatie</t>
  </si>
  <si>
    <t>droog</t>
  </si>
  <si>
    <t>nat</t>
  </si>
  <si>
    <t>richting</t>
  </si>
  <si>
    <t>snelheid</t>
  </si>
  <si>
    <t>Tw</t>
  </si>
  <si>
    <t>Tn</t>
  </si>
  <si>
    <t>Tx</t>
  </si>
  <si>
    <t>Ed</t>
  </si>
  <si>
    <t>U</t>
  </si>
  <si>
    <t>D</t>
  </si>
  <si>
    <t>F</t>
  </si>
  <si>
    <t>N</t>
  </si>
  <si>
    <t>Parameter</t>
  </si>
  <si>
    <t>Windrichting</t>
  </si>
  <si>
    <t>Bewolking</t>
  </si>
  <si>
    <t>qT</t>
  </si>
  <si>
    <t>Tijd</t>
  </si>
  <si>
    <t>qU</t>
  </si>
  <si>
    <t>qEd</t>
  </si>
  <si>
    <t>qTn</t>
  </si>
  <si>
    <t>qTx</t>
  </si>
  <si>
    <t>qTw</t>
  </si>
  <si>
    <t>qD</t>
  </si>
  <si>
    <t>qF</t>
  </si>
  <si>
    <t>qN</t>
  </si>
  <si>
    <t>Azimuth</t>
  </si>
  <si>
    <t>Richting</t>
  </si>
  <si>
    <t>W</t>
  </si>
  <si>
    <t>NW</t>
  </si>
  <si>
    <t>WNW</t>
  </si>
  <si>
    <t>NNW</t>
  </si>
  <si>
    <t>Thermo-meter</t>
  </si>
  <si>
    <t>Waarne-ming</t>
  </si>
  <si>
    <t>Correctie</t>
  </si>
  <si>
    <t>Stations-luchtdruk</t>
  </si>
  <si>
    <t>Luchtdruk zeeniveau</t>
  </si>
  <si>
    <r>
      <t>Weerkundige waarnemingen Cura</t>
    </r>
    <r>
      <rPr>
        <sz val="16"/>
        <color theme="1"/>
        <rFont val="Calibri"/>
        <family val="2"/>
      </rPr>
      <t>ç</t>
    </r>
    <r>
      <rPr>
        <sz val="16"/>
        <color theme="1"/>
        <rFont val="Cambria"/>
        <family val="1"/>
        <scheme val="major"/>
      </rPr>
      <t>ao</t>
    </r>
  </si>
  <si>
    <t>Temperatuur [°F]</t>
  </si>
  <si>
    <t>Barometer [" Hg]</t>
  </si>
  <si>
    <t>Dauw-puntstem-peratuur</t>
  </si>
  <si>
    <t>Dampdruk</t>
  </si>
  <si>
    <t>Relatieve vochtig-heid</t>
  </si>
  <si>
    <t>max</t>
  </si>
  <si>
    <t>min</t>
  </si>
  <si>
    <t>Wind</t>
  </si>
  <si>
    <t>hoogste snelheid</t>
  </si>
  <si>
    <t>Neerslag</t>
  </si>
  <si>
    <t>geslacht</t>
  </si>
  <si>
    <t>herkomst</t>
  </si>
  <si>
    <t>bedekking</t>
  </si>
  <si>
    <t>Willemstad</t>
  </si>
  <si>
    <t>Westpunt</t>
  </si>
  <si>
    <t>Landhuis Knip</t>
  </si>
  <si>
    <t>Savonet</t>
  </si>
  <si>
    <t>Soto</t>
  </si>
  <si>
    <t>Huize San Fernando</t>
  </si>
  <si>
    <t>Barber</t>
  </si>
  <si>
    <t>Zorgvliet</t>
  </si>
  <si>
    <t>Bullenbaal</t>
  </si>
  <si>
    <t>Maritiem Biologisch Instituut</t>
  </si>
  <si>
    <t>Juliana Dorp</t>
  </si>
  <si>
    <t>Plesman Luchthaven</t>
  </si>
  <si>
    <t>St. Elizabeth Hospitaal</t>
  </si>
  <si>
    <t>Molenplein</t>
  </si>
  <si>
    <t>Asiento</t>
  </si>
  <si>
    <t>Negropont</t>
  </si>
  <si>
    <t>Suffisant</t>
  </si>
  <si>
    <t>Salinja Abau</t>
  </si>
  <si>
    <t>Mahaal</t>
  </si>
  <si>
    <t>Klein Kwartier</t>
  </si>
  <si>
    <t>Zapateer</t>
  </si>
  <si>
    <t>Scherpenheuvel</t>
  </si>
  <si>
    <t>Santa Rosa</t>
  </si>
  <si>
    <t>Caracasbaai</t>
  </si>
  <si>
    <t>Santa Barbara</t>
  </si>
  <si>
    <t>Nieuwpoort</t>
  </si>
  <si>
    <t>Klein St. Joris</t>
  </si>
  <si>
    <t>Thermometer</t>
  </si>
  <si>
    <t>Waarneming</t>
  </si>
  <si>
    <t>Stationsluchtdruk</t>
  </si>
  <si>
    <t>Dauwpuntstemperatuur</t>
  </si>
  <si>
    <t>Relatieve vochtigheid</t>
  </si>
  <si>
    <t>Calm</t>
  </si>
  <si>
    <t>NNE</t>
  </si>
  <si>
    <t>NE</t>
  </si>
  <si>
    <t>ENE</t>
  </si>
  <si>
    <t>E</t>
  </si>
  <si>
    <t>ESE</t>
  </si>
  <si>
    <t>SE</t>
  </si>
  <si>
    <t>SSE</t>
  </si>
  <si>
    <t>S</t>
  </si>
  <si>
    <t>SSW</t>
  </si>
  <si>
    <t>SW</t>
  </si>
  <si>
    <t>WSW</t>
  </si>
  <si>
    <t>Neerslag [0,01"]</t>
  </si>
  <si>
    <t>Td</t>
  </si>
  <si>
    <t>Fx</t>
  </si>
  <si>
    <t>DFx</t>
  </si>
  <si>
    <t>Dn</t>
  </si>
  <si>
    <t>Tp</t>
  </si>
  <si>
    <t>P0</t>
  </si>
  <si>
    <t>Pt</t>
  </si>
  <si>
    <t>C</t>
  </si>
  <si>
    <t>Pc</t>
  </si>
  <si>
    <t>qPt</t>
  </si>
  <si>
    <t>qTp</t>
  </si>
  <si>
    <t>qPc</t>
  </si>
  <si>
    <t>qP0</t>
  </si>
  <si>
    <t>qTd</t>
  </si>
  <si>
    <t>qFx</t>
  </si>
  <si>
    <t>qDFx</t>
  </si>
  <si>
    <t>qC</t>
  </si>
  <si>
    <t>qDn</t>
  </si>
  <si>
    <t>Kts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</si>
</sst>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5">
    <numFmt numFmtId="164" formatCode="yyyy\.mm\.dd"/>
    <numFmt numFmtId="165" formatCode="000"/>
    <numFmt numFmtId="166" formatCode="0_0_0_0_("/>
    <numFmt numFmtId="167" formatCode="00_0_0_0"/>
    <numFmt numFmtId="168" formatCode="0_0_0_0;\-0_0_0_0;0_0_0_0;@_0_0_0"/>
    <numFmt numFmtId="169" formatCode="0.0_0_0;\-0.0_0_0;0.0_0_0;@_0_0_0"/>
    <numFmt numFmtId="170" formatCode="0.0_,_0_0_0_0_0"/>
    <numFmt numFmtId="171" formatCode="General_0_0_0"/>
    <numFmt numFmtId="172" formatCode="0.0_,_0_0"/>
    <numFmt numFmtId="173" formatCode="General_,_0_0"/>
    <numFmt numFmtId="174" formatCode="General_,_0_0_0"/>
    <numFmt numFmtId="175" formatCode="0.0_0_0"/>
    <numFmt numFmtId="176" formatCode="0_0_0"/>
    <numFmt numFmtId="177" formatCode="0_,_0_0_0;\-0_,_0_0_0;0_,_0_0_0;@_0_0_0"/>
    <numFmt numFmtId="178" formatCode="000_0_0"/>
    <numFmt numFmtId="179" formatCode="0.000_0_0"/>
    <numFmt numFmtId="180" formatCode="General_0_0_0_0"/>
    <numFmt numFmtId="181" formatCode="0_0_0_0_0;\-0_0_0_0_0;0_0_0_0_0;@_0_0_0_0"/>
    <numFmt numFmtId="182" formatCode="0.0_0_0_0"/>
    <numFmt numFmtId="183" formatCode="0.00_,_0_0_0"/>
    <numFmt numFmtId="184" formatCode="0.0_0_0_0;\-0.0_0_0_0;0.0_0_0_0;@_,_0_0_0"/>
    <numFmt numFmtId="185" formatCode="0_,_0_0_0;\-0_,_0_0_0;&quot;∙&quot;_0_0_0_0;@_,_0_0_0"/>
    <numFmt numFmtId="186" formatCode="0000"/>
    <numFmt numFmtId="187" formatCode="0.00_0;\-0.00_0;0.00_0;@_0_0_0"/>
    <numFmt numFmtId="188" formatCode="0.0_0_0_0;\-0.0_0_0_0;0.0_0_0_0;@_,_,_0_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mbria"/>
      <family val="1"/>
      <scheme val="major"/>
    </font>
    <font>
      <b/>
      <sz val="11"/>
      <color indexed="8"/>
      <name val="Calibri"/>
      <family val="2"/>
    </font>
    <font>
      <sz val="10"/>
      <color indexed="8"/>
      <name val="Courier New"/>
      <family val="3"/>
    </font>
    <font>
      <sz val="16"/>
      <color theme="1"/>
      <name val="Calibri"/>
      <family val="2"/>
    </font>
    <font>
      <sz val="8"/>
      <color indexed="8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theme="8" tint="0.59996337778862885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EE9B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8">
    <xf numFmtId="0" fontId="0" fillId="0" borderId="0" xfId="0"/>
    <xf numFmtId="164" fontId="0" fillId="2" borderId="0" xfId="0" applyNumberFormat="1" applyFill="1" applyAlignment="1">
      <alignment horizontal="left"/>
    </xf>
    <xf numFmtId="0" fontId="0" fillId="0" borderId="1" xfId="0" applyBorder="1"/>
    <xf numFmtId="0" fontId="0" fillId="0" borderId="1" xfId="0" applyBorder="1" applyAlignment="1">
      <alignment horizontal="center"/>
    </xf>
    <xf numFmtId="165" fontId="0" fillId="0" borderId="0" xfId="0" applyNumberFormat="1" applyAlignment="1">
      <alignment horizontal="center"/>
    </xf>
    <xf numFmtId="166" fontId="0" fillId="0" borderId="0" xfId="0" applyNumberFormat="1"/>
    <xf numFmtId="0" fontId="0" fillId="0" borderId="3" xfId="0" applyBorder="1"/>
    <xf numFmtId="166" fontId="0" fillId="0" borderId="3" xfId="0" applyNumberFormat="1" applyBorder="1"/>
    <xf numFmtId="0" fontId="3" fillId="0" borderId="4" xfId="0" applyFont="1" applyFill="1" applyBorder="1" applyAlignment="1">
      <alignment horizontal="center"/>
    </xf>
    <xf numFmtId="168" fontId="0" fillId="0" borderId="0" xfId="0" applyNumberFormat="1" applyAlignment="1">
      <alignment horizontal="right"/>
    </xf>
    <xf numFmtId="167" fontId="0" fillId="0" borderId="0" xfId="0" applyNumberFormat="1" applyAlignment="1"/>
    <xf numFmtId="0" fontId="4" fillId="0" borderId="0" xfId="0" applyFont="1"/>
    <xf numFmtId="0" fontId="1" fillId="0" borderId="4" xfId="0" applyFont="1" applyBorder="1"/>
    <xf numFmtId="0" fontId="1" fillId="0" borderId="4" xfId="0" applyFont="1" applyBorder="1" applyAlignment="1">
      <alignment horizontal="center"/>
    </xf>
    <xf numFmtId="0" fontId="0" fillId="0" borderId="0" xfId="0" applyBorder="1"/>
    <xf numFmtId="167" fontId="0" fillId="0" borderId="0" xfId="0" applyNumberFormat="1" applyAlignment="1">
      <alignment horizontal="right"/>
    </xf>
    <xf numFmtId="169" fontId="0" fillId="0" borderId="0" xfId="0" applyNumberFormat="1" applyAlignment="1">
      <alignment horizontal="right"/>
    </xf>
    <xf numFmtId="171" fontId="0" fillId="4" borderId="11" xfId="0" applyNumberFormat="1" applyFill="1" applyBorder="1" applyProtection="1">
      <protection locked="0"/>
    </xf>
    <xf numFmtId="172" fontId="0" fillId="5" borderId="8" xfId="0" applyNumberFormat="1" applyFill="1" applyBorder="1"/>
    <xf numFmtId="174" fontId="0" fillId="5" borderId="2" xfId="0" applyNumberFormat="1" applyFill="1" applyBorder="1" applyProtection="1">
      <protection locked="0"/>
    </xf>
    <xf numFmtId="0" fontId="0" fillId="0" borderId="0" xfId="0" applyFill="1" applyBorder="1"/>
    <xf numFmtId="0" fontId="3" fillId="0" borderId="0" xfId="0" applyFont="1" applyFill="1" applyBorder="1" applyAlignment="1">
      <alignment horizontal="center"/>
    </xf>
    <xf numFmtId="166" fontId="0" fillId="0" borderId="0" xfId="0" applyNumberFormat="1" applyBorder="1"/>
    <xf numFmtId="176" fontId="0" fillId="0" borderId="0" xfId="0" applyNumberFormat="1"/>
    <xf numFmtId="166" fontId="0" fillId="0" borderId="0" xfId="0" applyNumberFormat="1" applyAlignment="1">
      <alignment horizontal="left" indent="1"/>
    </xf>
    <xf numFmtId="0" fontId="0" fillId="0" borderId="0" xfId="0" applyAlignment="1">
      <alignment horizontal="left" indent="1"/>
    </xf>
    <xf numFmtId="177" fontId="0" fillId="0" borderId="0" xfId="0" applyNumberFormat="1" applyAlignment="1">
      <alignment horizontal="right"/>
    </xf>
    <xf numFmtId="176" fontId="0" fillId="0" borderId="3" xfId="0" applyNumberFormat="1" applyBorder="1"/>
    <xf numFmtId="0" fontId="0" fillId="0" borderId="3" xfId="0" applyBorder="1" applyAlignment="1">
      <alignment horizontal="left" indent="1"/>
    </xf>
    <xf numFmtId="173" fontId="0" fillId="7" borderId="0" xfId="0" applyNumberFormat="1" applyFill="1" applyAlignment="1" applyProtection="1">
      <protection locked="0"/>
    </xf>
    <xf numFmtId="0" fontId="1" fillId="3" borderId="15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1" fillId="3" borderId="16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wrapText="1"/>
    </xf>
    <xf numFmtId="0" fontId="1" fillId="3" borderId="1" xfId="0" applyFont="1" applyFill="1" applyBorder="1" applyAlignment="1">
      <alignment horizontal="center" wrapText="1"/>
    </xf>
    <xf numFmtId="0" fontId="1" fillId="3" borderId="9" xfId="0" applyFont="1" applyFill="1" applyBorder="1" applyAlignment="1">
      <alignment horizontal="center" vertical="center" wrapText="1"/>
    </xf>
    <xf numFmtId="171" fontId="0" fillId="8" borderId="2" xfId="0" applyNumberFormat="1" applyFill="1" applyBorder="1" applyProtection="1">
      <protection locked="0"/>
    </xf>
    <xf numFmtId="171" fontId="0" fillId="8" borderId="0" xfId="0" applyNumberFormat="1" applyFill="1" applyBorder="1" applyProtection="1">
      <protection locked="0"/>
    </xf>
    <xf numFmtId="172" fontId="0" fillId="8" borderId="2" xfId="0" applyNumberFormat="1" applyFill="1" applyBorder="1"/>
    <xf numFmtId="172" fontId="0" fillId="8" borderId="0" xfId="0" applyNumberFormat="1" applyFill="1" applyBorder="1"/>
    <xf numFmtId="171" fontId="0" fillId="8" borderId="11" xfId="0" applyNumberFormat="1" applyFill="1" applyBorder="1" applyProtection="1">
      <protection locked="0"/>
    </xf>
    <xf numFmtId="172" fontId="0" fillId="8" borderId="11" xfId="0" applyNumberFormat="1" applyFill="1" applyBorder="1"/>
    <xf numFmtId="0" fontId="0" fillId="9" borderId="0" xfId="0" applyNumberFormat="1" applyFill="1" applyBorder="1" applyAlignment="1" applyProtection="1">
      <alignment horizontal="center"/>
      <protection locked="0"/>
    </xf>
    <xf numFmtId="170" fontId="0" fillId="9" borderId="0" xfId="0" applyNumberFormat="1" applyFill="1" applyBorder="1"/>
    <xf numFmtId="172" fontId="0" fillId="9" borderId="11" xfId="0" applyNumberFormat="1" applyFill="1" applyBorder="1"/>
    <xf numFmtId="178" fontId="0" fillId="0" borderId="0" xfId="0" applyNumberFormat="1" applyAlignment="1"/>
    <xf numFmtId="178" fontId="0" fillId="0" borderId="0" xfId="0" applyNumberFormat="1" applyBorder="1" applyAlignment="1"/>
    <xf numFmtId="178" fontId="0" fillId="0" borderId="3" xfId="0" applyNumberFormat="1" applyBorder="1" applyAlignment="1"/>
    <xf numFmtId="179" fontId="0" fillId="4" borderId="0" xfId="0" applyNumberFormat="1" applyFill="1" applyBorder="1"/>
    <xf numFmtId="171" fontId="0" fillId="5" borderId="8" xfId="0" applyNumberFormat="1" applyFill="1" applyBorder="1" applyProtection="1">
      <protection locked="0"/>
    </xf>
    <xf numFmtId="180" fontId="0" fillId="4" borderId="0" xfId="0" applyNumberFormat="1" applyFill="1" applyBorder="1" applyProtection="1">
      <protection locked="0"/>
    </xf>
    <xf numFmtId="181" fontId="0" fillId="4" borderId="0" xfId="0" applyNumberFormat="1" applyFill="1" applyBorder="1"/>
    <xf numFmtId="180" fontId="0" fillId="9" borderId="0" xfId="0" applyNumberFormat="1" applyFill="1" applyBorder="1" applyProtection="1">
      <protection locked="0"/>
    </xf>
    <xf numFmtId="180" fontId="0" fillId="9" borderId="2" xfId="0" applyNumberFormat="1" applyFill="1" applyBorder="1" applyAlignment="1" applyProtection="1">
      <protection locked="0"/>
    </xf>
    <xf numFmtId="182" fontId="0" fillId="9" borderId="11" xfId="0" applyNumberFormat="1" applyFill="1" applyBorder="1"/>
    <xf numFmtId="182" fontId="0" fillId="9" borderId="2" xfId="0" applyNumberFormat="1" applyFill="1" applyBorder="1"/>
    <xf numFmtId="174" fontId="0" fillId="5" borderId="11" xfId="0" applyNumberFormat="1" applyFill="1" applyBorder="1" applyAlignment="1" applyProtection="1">
      <alignment horizontal="center"/>
      <protection locked="0"/>
    </xf>
    <xf numFmtId="174" fontId="0" fillId="5" borderId="0" xfId="0" applyNumberFormat="1" applyFill="1" applyBorder="1" applyAlignment="1" applyProtection="1">
      <alignment horizontal="left" indent="1"/>
      <protection locked="0"/>
    </xf>
    <xf numFmtId="175" fontId="0" fillId="7" borderId="2" xfId="0" applyNumberFormat="1" applyFill="1" applyBorder="1"/>
    <xf numFmtId="179" fontId="0" fillId="7" borderId="0" xfId="0" applyNumberFormat="1" applyFill="1" applyBorder="1"/>
    <xf numFmtId="0" fontId="0" fillId="0" borderId="0" xfId="0" applyFill="1" applyBorder="1"/>
    <xf numFmtId="175" fontId="0" fillId="5" borderId="2" xfId="0" applyNumberFormat="1" applyFill="1" applyBorder="1"/>
    <xf numFmtId="175" fontId="0" fillId="5" borderId="0" xfId="0" applyNumberFormat="1" applyFill="1" applyBorder="1"/>
    <xf numFmtId="175" fontId="0" fillId="5" borderId="11" xfId="0" applyNumberFormat="1" applyFill="1" applyBorder="1"/>
    <xf numFmtId="0" fontId="0" fillId="0" borderId="5" xfId="0" applyBorder="1"/>
    <xf numFmtId="183" fontId="0" fillId="6" borderId="0" xfId="0" applyNumberFormat="1" applyFill="1" applyBorder="1"/>
    <xf numFmtId="184" fontId="0" fillId="0" borderId="0" xfId="0" applyNumberFormat="1" applyAlignment="1">
      <alignment horizontal="right"/>
    </xf>
    <xf numFmtId="185" fontId="0" fillId="6" borderId="0" xfId="0" applyNumberFormat="1" applyFill="1" applyBorder="1" applyAlignment="1" applyProtection="1">
      <alignment horizontal="right"/>
      <protection locked="0"/>
    </xf>
    <xf numFmtId="166" fontId="0" fillId="0" borderId="0" xfId="0" applyNumberFormat="1" applyFill="1" applyBorder="1"/>
    <xf numFmtId="186" fontId="0" fillId="0" borderId="0" xfId="0" applyNumberFormat="1" applyAlignment="1">
      <alignment horizontal="center"/>
    </xf>
    <xf numFmtId="187" fontId="0" fillId="0" borderId="0" xfId="0" applyNumberFormat="1" applyAlignment="1">
      <alignment horizontal="right"/>
    </xf>
    <xf numFmtId="171" fontId="0" fillId="9" borderId="11" xfId="0" applyNumberFormat="1" applyFill="1" applyBorder="1" applyAlignment="1" applyProtection="1">
      <alignment horizontal="center"/>
      <protection locked="0"/>
    </xf>
    <xf numFmtId="0" fontId="6" fillId="0" borderId="0" xfId="0" applyFont="1"/>
    <xf numFmtId="188" fontId="0" fillId="0" borderId="0" xfId="0" applyNumberFormat="1" applyAlignment="1">
      <alignment horizontal="right"/>
    </xf>
    <xf numFmtId="0" fontId="2" fillId="0" borderId="0" xfId="0" applyFont="1" applyAlignment="1">
      <alignment horizontal="center"/>
    </xf>
    <xf numFmtId="0" fontId="1" fillId="3" borderId="10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/>
    </xf>
    <xf numFmtId="0" fontId="1" fillId="3" borderId="12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wrapText="1"/>
    </xf>
    <xf numFmtId="0" fontId="1" fillId="3" borderId="7" xfId="0" applyFont="1" applyFill="1" applyBorder="1" applyAlignment="1">
      <alignment horizontal="center" wrapText="1"/>
    </xf>
    <xf numFmtId="0" fontId="1" fillId="3" borderId="13" xfId="0" applyFont="1" applyFill="1" applyBorder="1" applyAlignment="1">
      <alignment horizontal="center" wrapText="1"/>
    </xf>
    <xf numFmtId="0" fontId="1" fillId="3" borderId="15" xfId="0" applyFont="1" applyFill="1" applyBorder="1" applyAlignment="1">
      <alignment horizontal="center" wrapText="1"/>
    </xf>
    <xf numFmtId="0" fontId="1" fillId="3" borderId="16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Standaard" xfId="0" builtinId="0"/>
  </cellStyles>
  <dxfs count="1">
    <dxf>
      <font>
        <b/>
        <i val="0"/>
      </font>
      <fill>
        <patternFill>
          <bgColor theme="3" tint="0.59996337778862885"/>
        </patternFill>
      </fill>
      <border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99"/>
      <color rgb="FFCCECFF"/>
      <color rgb="FF000000"/>
      <color rgb="FFFFEE9B"/>
      <color rgb="FFFFFFCC"/>
      <color rgb="FFFF9999"/>
      <color rgb="FFCCFF99"/>
      <color rgb="FFFCD500"/>
      <color rgb="FFFFD500"/>
      <color rgb="FF99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U381"/>
  <sheetViews>
    <sheetView tabSelected="1" workbookViewId="0">
      <pane xSplit="1" ySplit="4" topLeftCell="C270" activePane="bottomRight" state="frozen"/>
      <selection pane="topRight" activeCell="B1" sqref="B1"/>
      <selection pane="bottomLeft" activeCell="A5" sqref="A5"/>
      <selection pane="bottomRight" activeCell="N301" sqref="N301"/>
    </sheetView>
  </sheetViews>
  <sheetFormatPr defaultRowHeight="15" x14ac:dyDescent="0.25"/>
  <cols>
    <col min="1" max="1" width="10.140625" customWidth="1"/>
    <col min="2" max="21" width="10.28515625" customWidth="1"/>
  </cols>
  <sheetData>
    <row r="1" spans="1:21" ht="21" x14ac:dyDescent="0.35">
      <c r="A1" s="77" t="s">
        <v>58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</row>
    <row r="3" spans="1:21" ht="15" customHeight="1" x14ac:dyDescent="0.25">
      <c r="A3" s="83" t="s">
        <v>0</v>
      </c>
      <c r="B3" s="78" t="s">
        <v>60</v>
      </c>
      <c r="C3" s="79"/>
      <c r="D3" s="79"/>
      <c r="E3" s="79"/>
      <c r="F3" s="80"/>
      <c r="G3" s="81" t="s">
        <v>59</v>
      </c>
      <c r="H3" s="82"/>
      <c r="I3" s="85" t="s">
        <v>61</v>
      </c>
      <c r="J3" s="87" t="s">
        <v>63</v>
      </c>
      <c r="K3" s="83" t="s">
        <v>62</v>
      </c>
      <c r="L3" s="81" t="s">
        <v>59</v>
      </c>
      <c r="M3" s="82"/>
      <c r="N3" s="90" t="s">
        <v>66</v>
      </c>
      <c r="O3" s="91"/>
      <c r="P3" s="91"/>
      <c r="Q3" s="92"/>
      <c r="R3" s="93" t="s">
        <v>116</v>
      </c>
      <c r="S3" s="90" t="s">
        <v>36</v>
      </c>
      <c r="T3" s="91"/>
      <c r="U3" s="92"/>
    </row>
    <row r="4" spans="1:21" ht="30" customHeight="1" x14ac:dyDescent="0.25">
      <c r="A4" s="84"/>
      <c r="B4" s="36" t="s">
        <v>53</v>
      </c>
      <c r="C4" s="37" t="s">
        <v>54</v>
      </c>
      <c r="D4" s="33" t="s">
        <v>55</v>
      </c>
      <c r="E4" s="37" t="s">
        <v>56</v>
      </c>
      <c r="F4" s="34" t="s">
        <v>57</v>
      </c>
      <c r="G4" s="30" t="s">
        <v>22</v>
      </c>
      <c r="H4" s="31" t="s">
        <v>23</v>
      </c>
      <c r="I4" s="86"/>
      <c r="J4" s="88"/>
      <c r="K4" s="89"/>
      <c r="L4" s="30" t="s">
        <v>64</v>
      </c>
      <c r="M4" s="35" t="s">
        <v>65</v>
      </c>
      <c r="N4" s="31" t="s">
        <v>24</v>
      </c>
      <c r="O4" s="35" t="s">
        <v>25</v>
      </c>
      <c r="P4" s="38" t="s">
        <v>67</v>
      </c>
      <c r="Q4" s="35" t="s">
        <v>24</v>
      </c>
      <c r="R4" s="94"/>
      <c r="S4" s="32" t="s">
        <v>71</v>
      </c>
      <c r="T4" s="31" t="s">
        <v>69</v>
      </c>
      <c r="U4" s="34" t="s">
        <v>70</v>
      </c>
    </row>
    <row r="5" spans="1:21" ht="15" customHeight="1" x14ac:dyDescent="0.25">
      <c r="A5" s="1">
        <f ca="1">DATE(VALUE(MID(CELL("bestandsnaam"),FIND(".",CELL("bestandsnaam"))-4,4)),1,1)</f>
        <v>4750</v>
      </c>
      <c r="B5" s="29"/>
      <c r="C5" s="29"/>
      <c r="D5" s="29"/>
      <c r="E5" s="29"/>
      <c r="F5" s="29"/>
      <c r="G5" s="39"/>
      <c r="H5" s="40"/>
      <c r="I5" s="52"/>
      <c r="J5" s="53"/>
      <c r="K5" s="17"/>
      <c r="L5" s="39"/>
      <c r="M5" s="43"/>
      <c r="N5" s="45"/>
      <c r="O5" s="55"/>
      <c r="P5" s="56"/>
      <c r="Q5" s="74"/>
      <c r="R5" s="70"/>
      <c r="S5" s="19"/>
      <c r="T5" s="60"/>
      <c r="U5" s="59"/>
    </row>
    <row r="6" spans="1:21" ht="15" customHeight="1" x14ac:dyDescent="0.25">
      <c r="A6" s="1">
        <f t="shared" ref="A6:A70" ca="1" si="0">IF(ISTEXT(A5),A4+1,IF(MONTH(A5+1)=MONTH(A5),A5+1,"Totaal"))</f>
        <v>4751</v>
      </c>
      <c r="B6" s="29"/>
      <c r="C6" s="29"/>
      <c r="D6" s="29"/>
      <c r="E6" s="29"/>
      <c r="F6" s="29"/>
      <c r="G6" s="39"/>
      <c r="H6" s="40"/>
      <c r="I6" s="52"/>
      <c r="J6" s="53"/>
      <c r="K6" s="17"/>
      <c r="L6" s="39"/>
      <c r="M6" s="43"/>
      <c r="N6" s="45"/>
      <c r="O6" s="55"/>
      <c r="P6" s="56"/>
      <c r="Q6" s="74"/>
      <c r="R6" s="70"/>
      <c r="S6" s="19"/>
      <c r="T6" s="60"/>
      <c r="U6" s="59"/>
    </row>
    <row r="7" spans="1:21" ht="15" customHeight="1" x14ac:dyDescent="0.25">
      <c r="A7" s="1">
        <f t="shared" ca="1" si="0"/>
        <v>4752</v>
      </c>
      <c r="B7" s="29"/>
      <c r="C7" s="29"/>
      <c r="D7" s="29"/>
      <c r="E7" s="29"/>
      <c r="F7" s="29"/>
      <c r="G7" s="39"/>
      <c r="H7" s="40"/>
      <c r="I7" s="52"/>
      <c r="J7" s="53"/>
      <c r="K7" s="17"/>
      <c r="L7" s="39"/>
      <c r="M7" s="43"/>
      <c r="N7" s="45"/>
      <c r="O7" s="55"/>
      <c r="P7" s="56"/>
      <c r="Q7" s="74"/>
      <c r="R7" s="70"/>
      <c r="S7" s="19"/>
      <c r="T7" s="60"/>
      <c r="U7" s="59"/>
    </row>
    <row r="8" spans="1:21" ht="15" customHeight="1" x14ac:dyDescent="0.25">
      <c r="A8" s="1">
        <f t="shared" ca="1" si="0"/>
        <v>4753</v>
      </c>
      <c r="B8" s="29"/>
      <c r="C8" s="29"/>
      <c r="D8" s="29"/>
      <c r="E8" s="29"/>
      <c r="F8" s="29"/>
      <c r="G8" s="39"/>
      <c r="H8" s="40"/>
      <c r="I8" s="52"/>
      <c r="J8" s="53"/>
      <c r="K8" s="17"/>
      <c r="L8" s="39"/>
      <c r="M8" s="43"/>
      <c r="N8" s="45"/>
      <c r="O8" s="55"/>
      <c r="P8" s="56"/>
      <c r="Q8" s="74"/>
      <c r="R8" s="70"/>
      <c r="S8" s="19"/>
      <c r="T8" s="60"/>
      <c r="U8" s="59"/>
    </row>
    <row r="9" spans="1:21" ht="15" customHeight="1" x14ac:dyDescent="0.25">
      <c r="A9" s="1">
        <f t="shared" ca="1" si="0"/>
        <v>4754</v>
      </c>
      <c r="B9" s="29"/>
      <c r="C9" s="29"/>
      <c r="D9" s="29"/>
      <c r="E9" s="29"/>
      <c r="F9" s="29"/>
      <c r="G9" s="39"/>
      <c r="H9" s="40"/>
      <c r="I9" s="52"/>
      <c r="J9" s="53"/>
      <c r="K9" s="17"/>
      <c r="L9" s="39"/>
      <c r="M9" s="43"/>
      <c r="N9" s="45"/>
      <c r="O9" s="55"/>
      <c r="P9" s="56"/>
      <c r="Q9" s="74"/>
      <c r="R9" s="70"/>
      <c r="S9" s="19"/>
      <c r="T9" s="60"/>
      <c r="U9" s="59"/>
    </row>
    <row r="10" spans="1:21" ht="15" customHeight="1" x14ac:dyDescent="0.25">
      <c r="A10" s="1">
        <f t="shared" ca="1" si="0"/>
        <v>4755</v>
      </c>
      <c r="B10" s="29"/>
      <c r="C10" s="29"/>
      <c r="D10" s="29"/>
      <c r="E10" s="29"/>
      <c r="F10" s="29"/>
      <c r="G10" s="39"/>
      <c r="H10" s="40"/>
      <c r="I10" s="52"/>
      <c r="J10" s="53"/>
      <c r="K10" s="17"/>
      <c r="L10" s="39"/>
      <c r="M10" s="43"/>
      <c r="N10" s="45"/>
      <c r="O10" s="55"/>
      <c r="P10" s="56"/>
      <c r="Q10" s="74"/>
      <c r="R10" s="70"/>
      <c r="S10" s="19"/>
      <c r="T10" s="60"/>
      <c r="U10" s="59"/>
    </row>
    <row r="11" spans="1:21" ht="15" customHeight="1" x14ac:dyDescent="0.25">
      <c r="A11" s="1">
        <f t="shared" ca="1" si="0"/>
        <v>4756</v>
      </c>
      <c r="B11" s="29"/>
      <c r="C11" s="29"/>
      <c r="D11" s="29"/>
      <c r="E11" s="29"/>
      <c r="F11" s="29"/>
      <c r="G11" s="39"/>
      <c r="H11" s="40"/>
      <c r="I11" s="52"/>
      <c r="J11" s="53"/>
      <c r="K11" s="17"/>
      <c r="L11" s="39"/>
      <c r="M11" s="43"/>
      <c r="N11" s="45"/>
      <c r="O11" s="55"/>
      <c r="P11" s="56"/>
      <c r="Q11" s="74"/>
      <c r="R11" s="70"/>
      <c r="S11" s="19"/>
      <c r="T11" s="60"/>
      <c r="U11" s="59"/>
    </row>
    <row r="12" spans="1:21" ht="15" customHeight="1" x14ac:dyDescent="0.25">
      <c r="A12" s="1">
        <f t="shared" ca="1" si="0"/>
        <v>4757</v>
      </c>
      <c r="B12" s="29"/>
      <c r="C12" s="29"/>
      <c r="D12" s="29"/>
      <c r="E12" s="29"/>
      <c r="F12" s="29"/>
      <c r="G12" s="39"/>
      <c r="H12" s="40"/>
      <c r="I12" s="52"/>
      <c r="J12" s="53"/>
      <c r="K12" s="17"/>
      <c r="L12" s="39"/>
      <c r="M12" s="43"/>
      <c r="N12" s="45"/>
      <c r="O12" s="55"/>
      <c r="P12" s="56"/>
      <c r="Q12" s="74"/>
      <c r="R12" s="70"/>
      <c r="S12" s="19"/>
      <c r="T12" s="60"/>
      <c r="U12" s="59"/>
    </row>
    <row r="13" spans="1:21" ht="15" customHeight="1" x14ac:dyDescent="0.25">
      <c r="A13" s="1">
        <f t="shared" ca="1" si="0"/>
        <v>4758</v>
      </c>
      <c r="B13" s="29"/>
      <c r="C13" s="29"/>
      <c r="D13" s="29"/>
      <c r="E13" s="29"/>
      <c r="F13" s="29"/>
      <c r="G13" s="39"/>
      <c r="H13" s="40"/>
      <c r="I13" s="52"/>
      <c r="J13" s="53"/>
      <c r="K13" s="17"/>
      <c r="L13" s="39"/>
      <c r="M13" s="43"/>
      <c r="N13" s="45"/>
      <c r="O13" s="55"/>
      <c r="P13" s="56"/>
      <c r="Q13" s="74"/>
      <c r="R13" s="70"/>
      <c r="S13" s="19"/>
      <c r="T13" s="60"/>
      <c r="U13" s="59"/>
    </row>
    <row r="14" spans="1:21" ht="15" customHeight="1" x14ac:dyDescent="0.25">
      <c r="A14" s="1">
        <f t="shared" ca="1" si="0"/>
        <v>4759</v>
      </c>
      <c r="B14" s="29"/>
      <c r="C14" s="29"/>
      <c r="D14" s="29"/>
      <c r="E14" s="29"/>
      <c r="F14" s="29"/>
      <c r="G14" s="39"/>
      <c r="H14" s="40"/>
      <c r="I14" s="52"/>
      <c r="J14" s="53"/>
      <c r="K14" s="17"/>
      <c r="L14" s="39"/>
      <c r="M14" s="43"/>
      <c r="N14" s="45"/>
      <c r="O14" s="55"/>
      <c r="P14" s="56"/>
      <c r="Q14" s="74"/>
      <c r="R14" s="70"/>
      <c r="S14" s="19"/>
      <c r="T14" s="60"/>
      <c r="U14" s="59"/>
    </row>
    <row r="15" spans="1:21" ht="15" customHeight="1" x14ac:dyDescent="0.25">
      <c r="A15" s="1">
        <f t="shared" ca="1" si="0"/>
        <v>4760</v>
      </c>
      <c r="B15" s="29"/>
      <c r="C15" s="29"/>
      <c r="D15" s="29"/>
      <c r="E15" s="29"/>
      <c r="F15" s="29"/>
      <c r="G15" s="39"/>
      <c r="H15" s="40"/>
      <c r="I15" s="52"/>
      <c r="J15" s="53"/>
      <c r="K15" s="17"/>
      <c r="L15" s="39"/>
      <c r="M15" s="43"/>
      <c r="N15" s="45"/>
      <c r="O15" s="55"/>
      <c r="P15" s="56"/>
      <c r="Q15" s="74"/>
      <c r="R15" s="70"/>
      <c r="S15" s="19"/>
      <c r="T15" s="60"/>
      <c r="U15" s="59"/>
    </row>
    <row r="16" spans="1:21" ht="15" customHeight="1" x14ac:dyDescent="0.25">
      <c r="A16" s="1">
        <f t="shared" ca="1" si="0"/>
        <v>4761</v>
      </c>
      <c r="B16" s="29"/>
      <c r="C16" s="29"/>
      <c r="D16" s="29"/>
      <c r="E16" s="29"/>
      <c r="F16" s="29"/>
      <c r="G16" s="39"/>
      <c r="H16" s="40"/>
      <c r="I16" s="52"/>
      <c r="J16" s="53"/>
      <c r="K16" s="17"/>
      <c r="L16" s="39"/>
      <c r="M16" s="43"/>
      <c r="N16" s="45"/>
      <c r="O16" s="55"/>
      <c r="P16" s="56"/>
      <c r="Q16" s="74"/>
      <c r="R16" s="70"/>
      <c r="S16" s="19"/>
      <c r="T16" s="60"/>
      <c r="U16" s="59"/>
    </row>
    <row r="17" spans="1:21" ht="15" customHeight="1" x14ac:dyDescent="0.25">
      <c r="A17" s="1">
        <f t="shared" ca="1" si="0"/>
        <v>4762</v>
      </c>
      <c r="B17" s="29"/>
      <c r="C17" s="29"/>
      <c r="D17" s="29"/>
      <c r="E17" s="29"/>
      <c r="F17" s="29"/>
      <c r="G17" s="39"/>
      <c r="H17" s="40"/>
      <c r="I17" s="52"/>
      <c r="J17" s="53"/>
      <c r="K17" s="17"/>
      <c r="L17" s="39"/>
      <c r="M17" s="43"/>
      <c r="N17" s="45"/>
      <c r="O17" s="55"/>
      <c r="P17" s="56"/>
      <c r="Q17" s="74"/>
      <c r="R17" s="70"/>
      <c r="S17" s="19"/>
      <c r="T17" s="60"/>
      <c r="U17" s="59"/>
    </row>
    <row r="18" spans="1:21" ht="15" customHeight="1" x14ac:dyDescent="0.25">
      <c r="A18" s="1">
        <f t="shared" ca="1" si="0"/>
        <v>4763</v>
      </c>
      <c r="B18" s="29"/>
      <c r="C18" s="29"/>
      <c r="D18" s="29"/>
      <c r="E18" s="29"/>
      <c r="F18" s="29"/>
      <c r="G18" s="39"/>
      <c r="H18" s="40"/>
      <c r="I18" s="52"/>
      <c r="J18" s="53"/>
      <c r="K18" s="17"/>
      <c r="L18" s="39"/>
      <c r="M18" s="43"/>
      <c r="N18" s="45"/>
      <c r="O18" s="55"/>
      <c r="P18" s="56"/>
      <c r="Q18" s="74"/>
      <c r="R18" s="70"/>
      <c r="S18" s="19"/>
      <c r="T18" s="60"/>
      <c r="U18" s="59"/>
    </row>
    <row r="19" spans="1:21" ht="15" customHeight="1" x14ac:dyDescent="0.25">
      <c r="A19" s="1">
        <f t="shared" ca="1" si="0"/>
        <v>4764</v>
      </c>
      <c r="B19" s="29"/>
      <c r="C19" s="29"/>
      <c r="D19" s="29"/>
      <c r="E19" s="29"/>
      <c r="F19" s="29"/>
      <c r="G19" s="39"/>
      <c r="H19" s="40"/>
      <c r="I19" s="52"/>
      <c r="J19" s="53"/>
      <c r="K19" s="17"/>
      <c r="L19" s="39"/>
      <c r="M19" s="43"/>
      <c r="N19" s="45"/>
      <c r="O19" s="55"/>
      <c r="P19" s="56"/>
      <c r="Q19" s="74"/>
      <c r="R19" s="70"/>
      <c r="S19" s="19"/>
      <c r="T19" s="60"/>
      <c r="U19" s="59"/>
    </row>
    <row r="20" spans="1:21" ht="15" customHeight="1" x14ac:dyDescent="0.25">
      <c r="A20" s="1">
        <f t="shared" ca="1" si="0"/>
        <v>4765</v>
      </c>
      <c r="B20" s="29"/>
      <c r="C20" s="29"/>
      <c r="D20" s="29"/>
      <c r="E20" s="29"/>
      <c r="F20" s="29"/>
      <c r="G20" s="39"/>
      <c r="H20" s="40"/>
      <c r="I20" s="52"/>
      <c r="J20" s="53"/>
      <c r="K20" s="17"/>
      <c r="L20" s="39"/>
      <c r="M20" s="43"/>
      <c r="N20" s="45"/>
      <c r="O20" s="55"/>
      <c r="P20" s="56"/>
      <c r="Q20" s="74"/>
      <c r="R20" s="70"/>
      <c r="S20" s="19"/>
      <c r="T20" s="60"/>
      <c r="U20" s="59"/>
    </row>
    <row r="21" spans="1:21" ht="15" customHeight="1" x14ac:dyDescent="0.25">
      <c r="A21" s="1">
        <f t="shared" ca="1" si="0"/>
        <v>4766</v>
      </c>
      <c r="B21" s="29"/>
      <c r="C21" s="29"/>
      <c r="D21" s="29"/>
      <c r="E21" s="29"/>
      <c r="F21" s="29"/>
      <c r="G21" s="39"/>
      <c r="H21" s="40"/>
      <c r="I21" s="52"/>
      <c r="J21" s="53"/>
      <c r="K21" s="17"/>
      <c r="L21" s="39"/>
      <c r="M21" s="43"/>
      <c r="N21" s="45"/>
      <c r="O21" s="55"/>
      <c r="P21" s="56"/>
      <c r="Q21" s="74"/>
      <c r="R21" s="70"/>
      <c r="S21" s="19"/>
      <c r="T21" s="60"/>
      <c r="U21" s="59"/>
    </row>
    <row r="22" spans="1:21" ht="15" customHeight="1" x14ac:dyDescent="0.25">
      <c r="A22" s="1">
        <f t="shared" ca="1" si="0"/>
        <v>4767</v>
      </c>
      <c r="B22" s="29"/>
      <c r="C22" s="29"/>
      <c r="D22" s="29"/>
      <c r="E22" s="29"/>
      <c r="F22" s="29"/>
      <c r="G22" s="39"/>
      <c r="H22" s="40"/>
      <c r="I22" s="52"/>
      <c r="J22" s="53"/>
      <c r="K22" s="17"/>
      <c r="L22" s="39"/>
      <c r="M22" s="43"/>
      <c r="N22" s="45"/>
      <c r="O22" s="55"/>
      <c r="P22" s="56"/>
      <c r="Q22" s="74"/>
      <c r="R22" s="70"/>
      <c r="S22" s="19"/>
      <c r="T22" s="60"/>
      <c r="U22" s="59"/>
    </row>
    <row r="23" spans="1:21" ht="15" customHeight="1" x14ac:dyDescent="0.25">
      <c r="A23" s="1">
        <f t="shared" ca="1" si="0"/>
        <v>4768</v>
      </c>
      <c r="B23" s="29"/>
      <c r="C23" s="29"/>
      <c r="D23" s="29"/>
      <c r="E23" s="29"/>
      <c r="F23" s="29"/>
      <c r="G23" s="39"/>
      <c r="H23" s="40"/>
      <c r="I23" s="52"/>
      <c r="J23" s="53"/>
      <c r="K23" s="17"/>
      <c r="L23" s="39"/>
      <c r="M23" s="43"/>
      <c r="N23" s="45"/>
      <c r="O23" s="55"/>
      <c r="P23" s="56"/>
      <c r="Q23" s="74"/>
      <c r="R23" s="70"/>
      <c r="S23" s="19"/>
      <c r="T23" s="60"/>
      <c r="U23" s="59"/>
    </row>
    <row r="24" spans="1:21" ht="15" customHeight="1" x14ac:dyDescent="0.25">
      <c r="A24" s="1">
        <f t="shared" ca="1" si="0"/>
        <v>4769</v>
      </c>
      <c r="B24" s="29"/>
      <c r="C24" s="29"/>
      <c r="D24" s="29"/>
      <c r="E24" s="29"/>
      <c r="F24" s="29"/>
      <c r="G24" s="39"/>
      <c r="H24" s="40"/>
      <c r="I24" s="52"/>
      <c r="J24" s="53"/>
      <c r="K24" s="17"/>
      <c r="L24" s="39"/>
      <c r="M24" s="43"/>
      <c r="N24" s="45"/>
      <c r="O24" s="55"/>
      <c r="P24" s="56"/>
      <c r="Q24" s="74"/>
      <c r="R24" s="70"/>
      <c r="S24" s="19"/>
      <c r="T24" s="60"/>
      <c r="U24" s="59"/>
    </row>
    <row r="25" spans="1:21" ht="15" customHeight="1" x14ac:dyDescent="0.25">
      <c r="A25" s="1">
        <f t="shared" ca="1" si="0"/>
        <v>4770</v>
      </c>
      <c r="B25" s="29"/>
      <c r="C25" s="29"/>
      <c r="D25" s="29"/>
      <c r="E25" s="29"/>
      <c r="F25" s="29"/>
      <c r="G25" s="39"/>
      <c r="H25" s="40"/>
      <c r="I25" s="52"/>
      <c r="J25" s="53"/>
      <c r="K25" s="17"/>
      <c r="L25" s="39"/>
      <c r="M25" s="43"/>
      <c r="N25" s="45"/>
      <c r="O25" s="55"/>
      <c r="P25" s="56"/>
      <c r="Q25" s="74"/>
      <c r="R25" s="70"/>
      <c r="S25" s="19"/>
      <c r="T25" s="60"/>
      <c r="U25" s="59"/>
    </row>
    <row r="26" spans="1:21" ht="15" customHeight="1" x14ac:dyDescent="0.25">
      <c r="A26" s="1">
        <f t="shared" ca="1" si="0"/>
        <v>4771</v>
      </c>
      <c r="B26" s="29"/>
      <c r="C26" s="29"/>
      <c r="D26" s="29"/>
      <c r="E26" s="29"/>
      <c r="F26" s="29"/>
      <c r="G26" s="39"/>
      <c r="H26" s="40"/>
      <c r="I26" s="52"/>
      <c r="J26" s="53"/>
      <c r="K26" s="17"/>
      <c r="L26" s="39"/>
      <c r="M26" s="43"/>
      <c r="N26" s="45"/>
      <c r="O26" s="55"/>
      <c r="P26" s="56"/>
      <c r="Q26" s="74"/>
      <c r="R26" s="70"/>
      <c r="S26" s="19"/>
      <c r="T26" s="60"/>
      <c r="U26" s="59"/>
    </row>
    <row r="27" spans="1:21" ht="15" customHeight="1" x14ac:dyDescent="0.25">
      <c r="A27" s="1">
        <f t="shared" ca="1" si="0"/>
        <v>4772</v>
      </c>
      <c r="B27" s="29"/>
      <c r="C27" s="29"/>
      <c r="D27" s="29"/>
      <c r="E27" s="29"/>
      <c r="F27" s="29"/>
      <c r="G27" s="39"/>
      <c r="H27" s="40"/>
      <c r="I27" s="52"/>
      <c r="J27" s="53"/>
      <c r="K27" s="17"/>
      <c r="L27" s="39"/>
      <c r="M27" s="43"/>
      <c r="N27" s="45"/>
      <c r="O27" s="55"/>
      <c r="P27" s="56"/>
      <c r="Q27" s="74"/>
      <c r="R27" s="70"/>
      <c r="S27" s="19"/>
      <c r="T27" s="60"/>
      <c r="U27" s="59"/>
    </row>
    <row r="28" spans="1:21" ht="15" customHeight="1" x14ac:dyDescent="0.25">
      <c r="A28" s="1">
        <f t="shared" ca="1" si="0"/>
        <v>4773</v>
      </c>
      <c r="B28" s="29"/>
      <c r="C28" s="29"/>
      <c r="D28" s="29"/>
      <c r="E28" s="29"/>
      <c r="F28" s="29"/>
      <c r="G28" s="39"/>
      <c r="H28" s="40"/>
      <c r="I28" s="52"/>
      <c r="J28" s="53"/>
      <c r="K28" s="17"/>
      <c r="L28" s="39"/>
      <c r="M28" s="43"/>
      <c r="N28" s="45"/>
      <c r="O28" s="55"/>
      <c r="P28" s="56"/>
      <c r="Q28" s="74"/>
      <c r="R28" s="70"/>
      <c r="S28" s="19"/>
      <c r="T28" s="60"/>
      <c r="U28" s="59"/>
    </row>
    <row r="29" spans="1:21" ht="15" customHeight="1" x14ac:dyDescent="0.25">
      <c r="A29" s="1">
        <f t="shared" ca="1" si="0"/>
        <v>4774</v>
      </c>
      <c r="B29" s="29"/>
      <c r="C29" s="29"/>
      <c r="D29" s="29"/>
      <c r="E29" s="29"/>
      <c r="F29" s="29"/>
      <c r="G29" s="39"/>
      <c r="H29" s="40"/>
      <c r="I29" s="52"/>
      <c r="J29" s="53"/>
      <c r="K29" s="17"/>
      <c r="L29" s="39"/>
      <c r="M29" s="43"/>
      <c r="N29" s="45"/>
      <c r="O29" s="55"/>
      <c r="P29" s="56"/>
      <c r="Q29" s="74"/>
      <c r="R29" s="70"/>
      <c r="S29" s="19"/>
      <c r="T29" s="60"/>
      <c r="U29" s="59"/>
    </row>
    <row r="30" spans="1:21" ht="15" customHeight="1" x14ac:dyDescent="0.25">
      <c r="A30" s="1">
        <f t="shared" ca="1" si="0"/>
        <v>4775</v>
      </c>
      <c r="B30" s="29"/>
      <c r="C30" s="29"/>
      <c r="D30" s="29"/>
      <c r="E30" s="29"/>
      <c r="F30" s="29"/>
      <c r="G30" s="39"/>
      <c r="H30" s="40"/>
      <c r="I30" s="52"/>
      <c r="J30" s="53"/>
      <c r="K30" s="17"/>
      <c r="L30" s="39"/>
      <c r="M30" s="43"/>
      <c r="N30" s="45"/>
      <c r="O30" s="55"/>
      <c r="P30" s="56"/>
      <c r="Q30" s="74"/>
      <c r="R30" s="70"/>
      <c r="S30" s="19"/>
      <c r="T30" s="60"/>
      <c r="U30" s="59"/>
    </row>
    <row r="31" spans="1:21" ht="15" customHeight="1" x14ac:dyDescent="0.25">
      <c r="A31" s="1">
        <f t="shared" ca="1" si="0"/>
        <v>4776</v>
      </c>
      <c r="B31" s="29"/>
      <c r="C31" s="29"/>
      <c r="D31" s="29"/>
      <c r="E31" s="29"/>
      <c r="F31" s="29"/>
      <c r="G31" s="39"/>
      <c r="H31" s="40"/>
      <c r="I31" s="52"/>
      <c r="J31" s="53"/>
      <c r="K31" s="17"/>
      <c r="L31" s="39"/>
      <c r="M31" s="43"/>
      <c r="N31" s="45"/>
      <c r="O31" s="55"/>
      <c r="P31" s="56"/>
      <c r="Q31" s="74"/>
      <c r="R31" s="70"/>
      <c r="S31" s="19"/>
      <c r="T31" s="60"/>
      <c r="U31" s="59"/>
    </row>
    <row r="32" spans="1:21" ht="15" customHeight="1" x14ac:dyDescent="0.25">
      <c r="A32" s="1">
        <f t="shared" ca="1" si="0"/>
        <v>4777</v>
      </c>
      <c r="B32" s="29"/>
      <c r="C32" s="29"/>
      <c r="D32" s="29"/>
      <c r="E32" s="29"/>
      <c r="F32" s="29"/>
      <c r="G32" s="39"/>
      <c r="H32" s="40"/>
      <c r="I32" s="52"/>
      <c r="J32" s="53"/>
      <c r="K32" s="17"/>
      <c r="L32" s="39"/>
      <c r="M32" s="43"/>
      <c r="N32" s="45"/>
      <c r="O32" s="55"/>
      <c r="P32" s="56"/>
      <c r="Q32" s="74"/>
      <c r="R32" s="70"/>
      <c r="S32" s="19"/>
      <c r="T32" s="60"/>
      <c r="U32" s="59"/>
    </row>
    <row r="33" spans="1:21" ht="15" customHeight="1" x14ac:dyDescent="0.25">
      <c r="A33" s="1">
        <f t="shared" ca="1" si="0"/>
        <v>4778</v>
      </c>
      <c r="B33" s="29"/>
      <c r="C33" s="29"/>
      <c r="D33" s="29"/>
      <c r="E33" s="29"/>
      <c r="F33" s="29"/>
      <c r="G33" s="39"/>
      <c r="H33" s="40"/>
      <c r="I33" s="52"/>
      <c r="J33" s="53"/>
      <c r="K33" s="17"/>
      <c r="L33" s="39"/>
      <c r="M33" s="43"/>
      <c r="N33" s="45"/>
      <c r="O33" s="55"/>
      <c r="P33" s="56"/>
      <c r="Q33" s="74"/>
      <c r="R33" s="70"/>
      <c r="S33" s="19"/>
      <c r="T33" s="60"/>
      <c r="U33" s="59"/>
    </row>
    <row r="34" spans="1:21" ht="15" customHeight="1" x14ac:dyDescent="0.25">
      <c r="A34" s="1">
        <f t="shared" ca="1" si="0"/>
        <v>4779</v>
      </c>
      <c r="B34" s="29"/>
      <c r="C34" s="29"/>
      <c r="D34" s="29"/>
      <c r="E34" s="29"/>
      <c r="F34" s="29"/>
      <c r="G34" s="39"/>
      <c r="H34" s="40"/>
      <c r="I34" s="52"/>
      <c r="J34" s="53"/>
      <c r="K34" s="17"/>
      <c r="L34" s="39"/>
      <c r="M34" s="43"/>
      <c r="N34" s="45"/>
      <c r="O34" s="55"/>
      <c r="P34" s="56"/>
      <c r="Q34" s="74"/>
      <c r="R34" s="70"/>
      <c r="S34" s="19"/>
      <c r="T34" s="60"/>
      <c r="U34" s="59"/>
    </row>
    <row r="35" spans="1:21" ht="15" customHeight="1" x14ac:dyDescent="0.25">
      <c r="A35" s="1">
        <f t="shared" ca="1" si="0"/>
        <v>4780</v>
      </c>
      <c r="B35" s="29"/>
      <c r="C35" s="29"/>
      <c r="D35" s="29"/>
      <c r="E35" s="29"/>
      <c r="F35" s="29"/>
      <c r="G35" s="39"/>
      <c r="H35" s="40"/>
      <c r="I35" s="52"/>
      <c r="J35" s="53"/>
      <c r="K35" s="17"/>
      <c r="L35" s="39"/>
      <c r="M35" s="43"/>
      <c r="N35" s="45"/>
      <c r="O35" s="55"/>
      <c r="P35" s="56"/>
      <c r="Q35" s="74"/>
      <c r="R35" s="70"/>
      <c r="S35" s="19"/>
      <c r="T35" s="60"/>
      <c r="U35" s="59"/>
    </row>
    <row r="36" spans="1:21" x14ac:dyDescent="0.25">
      <c r="A36" s="1" t="str">
        <f t="shared" ca="1" si="0"/>
        <v>Totaal</v>
      </c>
      <c r="B36" s="61" t="str">
        <f>IF(COUNT(B5:B35)&gt;0,AVERAGE(B5:B35)/10,"")</f>
        <v/>
      </c>
      <c r="C36" s="62" t="str">
        <f>IF(COUNT(C5:C35)&gt;0,AVERAGE(C5:C35)/1000,"")</f>
        <v/>
      </c>
      <c r="D36" s="62" t="str">
        <f t="shared" ref="D36:E36" si="1">IF(COUNT(D5:D35)&gt;0,AVERAGE(D5:D35)/1000,"")</f>
        <v/>
      </c>
      <c r="E36" s="62" t="str">
        <f t="shared" si="1"/>
        <v/>
      </c>
      <c r="F36" s="62" t="str">
        <f>IF(COUNT(F5:F35)&gt;0,AVERAGE(F5:F35)/100,"")</f>
        <v/>
      </c>
      <c r="G36" s="41" t="str">
        <f>IF(COUNT(G5:G35)&gt;0,AVERAGE(G5:G35)/10,"")</f>
        <v/>
      </c>
      <c r="H36" s="42" t="str">
        <f t="shared" ref="H36" si="2">IF(COUNT(H5:H35)&gt;0,AVERAGE(H5:H35)/10,"")</f>
        <v/>
      </c>
      <c r="I36" s="18" t="str">
        <f>IF(COUNT(I5:I35)&gt;0,AVERAGE(I5:I35)/10,"")</f>
        <v/>
      </c>
      <c r="J36" s="54" t="str">
        <f>IF(COUNT(J5:J35)&gt;0,AVERAGE(J5:J35),"")</f>
        <v/>
      </c>
      <c r="K36" s="51" t="str">
        <f>IF(COUNT(K5:K35)&gt;0,AVERAGE(K5:K35)/1000,"")</f>
        <v/>
      </c>
      <c r="L36" s="41" t="str">
        <f>IF(COUNT(L5:L35)&gt;0,AVERAGE(L5:L35)/10,"")</f>
        <v/>
      </c>
      <c r="M36" s="44" t="str">
        <f>IF(COUNT(M5:M35)&gt;0,AVERAGE(M5:M35)/10,"")</f>
        <v/>
      </c>
      <c r="N36" s="46"/>
      <c r="O36" s="57" t="str">
        <f>IF(COUNT(O5:O35)&gt;0,AVERAGE(O5:O35),"")</f>
        <v/>
      </c>
      <c r="P36" s="58" t="str">
        <f>IF(COUNT(P5:P35)&gt;0,AVERAGE(P5:P35),"")</f>
        <v/>
      </c>
      <c r="Q36" s="47"/>
      <c r="R36" s="68" t="str">
        <f>IF(COUNT(R5:R35)&gt;0,SUM(R5:R35)/100,"")</f>
        <v/>
      </c>
      <c r="S36" s="64" t="str">
        <f>IF(COUNT(S5:S35)&gt;0,AVERAGE(S5:S35),"")</f>
        <v/>
      </c>
      <c r="T36" s="65" t="str">
        <f>IF(COUNT(T5:T35)&gt;0,AVERAGE(T5:T35),"")</f>
        <v/>
      </c>
      <c r="U36" s="66" t="str">
        <f>IF(COUNT(U5:U35)&gt;0,AVERAGE(U5:U35),"")</f>
        <v/>
      </c>
    </row>
    <row r="37" spans="1:21" ht="15" customHeight="1" x14ac:dyDescent="0.25">
      <c r="A37" s="1">
        <f t="shared" ca="1" si="0"/>
        <v>4781</v>
      </c>
      <c r="B37" s="29"/>
      <c r="C37" s="29"/>
      <c r="D37" s="29"/>
      <c r="E37" s="29"/>
      <c r="F37" s="29"/>
      <c r="G37" s="39"/>
      <c r="H37" s="40"/>
      <c r="I37" s="52"/>
      <c r="J37" s="53"/>
      <c r="K37" s="17"/>
      <c r="L37" s="39"/>
      <c r="M37" s="43"/>
      <c r="N37" s="45"/>
      <c r="O37" s="55"/>
      <c r="P37" s="56"/>
      <c r="Q37" s="74"/>
      <c r="R37" s="70"/>
      <c r="S37" s="19"/>
      <c r="T37" s="60"/>
      <c r="U37" s="59"/>
    </row>
    <row r="38" spans="1:21" ht="15" customHeight="1" x14ac:dyDescent="0.25">
      <c r="A38" s="1">
        <f t="shared" ca="1" si="0"/>
        <v>4782</v>
      </c>
      <c r="B38" s="29"/>
      <c r="C38" s="29"/>
      <c r="D38" s="29"/>
      <c r="E38" s="29"/>
      <c r="F38" s="29"/>
      <c r="G38" s="39"/>
      <c r="H38" s="40"/>
      <c r="I38" s="52"/>
      <c r="J38" s="53"/>
      <c r="K38" s="17"/>
      <c r="L38" s="39"/>
      <c r="M38" s="43"/>
      <c r="N38" s="45"/>
      <c r="O38" s="55"/>
      <c r="P38" s="56"/>
      <c r="Q38" s="74"/>
      <c r="R38" s="70"/>
      <c r="S38" s="19"/>
      <c r="T38" s="60"/>
      <c r="U38" s="59"/>
    </row>
    <row r="39" spans="1:21" ht="15" customHeight="1" x14ac:dyDescent="0.25">
      <c r="A39" s="1">
        <f t="shared" ca="1" si="0"/>
        <v>4783</v>
      </c>
      <c r="B39" s="29"/>
      <c r="C39" s="29"/>
      <c r="D39" s="29"/>
      <c r="E39" s="29"/>
      <c r="F39" s="29"/>
      <c r="G39" s="39"/>
      <c r="H39" s="40"/>
      <c r="I39" s="52"/>
      <c r="J39" s="53"/>
      <c r="K39" s="17"/>
      <c r="L39" s="39"/>
      <c r="M39" s="43"/>
      <c r="N39" s="45"/>
      <c r="O39" s="55"/>
      <c r="P39" s="56"/>
      <c r="Q39" s="74"/>
      <c r="R39" s="70"/>
      <c r="S39" s="19"/>
      <c r="T39" s="60"/>
      <c r="U39" s="59"/>
    </row>
    <row r="40" spans="1:21" ht="15" customHeight="1" x14ac:dyDescent="0.25">
      <c r="A40" s="1">
        <f t="shared" ca="1" si="0"/>
        <v>4784</v>
      </c>
      <c r="B40" s="29"/>
      <c r="C40" s="29"/>
      <c r="D40" s="29"/>
      <c r="E40" s="29"/>
      <c r="F40" s="29"/>
      <c r="G40" s="39"/>
      <c r="H40" s="40"/>
      <c r="I40" s="52"/>
      <c r="J40" s="53"/>
      <c r="K40" s="17"/>
      <c r="L40" s="39"/>
      <c r="M40" s="43"/>
      <c r="N40" s="45"/>
      <c r="O40" s="55"/>
      <c r="P40" s="56"/>
      <c r="Q40" s="74"/>
      <c r="R40" s="70"/>
      <c r="S40" s="19"/>
      <c r="T40" s="60"/>
      <c r="U40" s="59"/>
    </row>
    <row r="41" spans="1:21" ht="15" customHeight="1" x14ac:dyDescent="0.25">
      <c r="A41" s="1">
        <f t="shared" ca="1" si="0"/>
        <v>4785</v>
      </c>
      <c r="B41" s="29"/>
      <c r="C41" s="29"/>
      <c r="D41" s="29"/>
      <c r="E41" s="29"/>
      <c r="F41" s="29"/>
      <c r="G41" s="39"/>
      <c r="H41" s="40"/>
      <c r="I41" s="52"/>
      <c r="J41" s="53"/>
      <c r="K41" s="17"/>
      <c r="L41" s="39"/>
      <c r="M41" s="43"/>
      <c r="N41" s="45"/>
      <c r="O41" s="55"/>
      <c r="P41" s="56"/>
      <c r="Q41" s="74"/>
      <c r="R41" s="70"/>
      <c r="S41" s="19"/>
      <c r="T41" s="60"/>
      <c r="U41" s="59"/>
    </row>
    <row r="42" spans="1:21" ht="15" customHeight="1" x14ac:dyDescent="0.25">
      <c r="A42" s="1">
        <f t="shared" ca="1" si="0"/>
        <v>4786</v>
      </c>
      <c r="B42" s="29"/>
      <c r="C42" s="29"/>
      <c r="D42" s="29"/>
      <c r="E42" s="29"/>
      <c r="F42" s="29"/>
      <c r="G42" s="39"/>
      <c r="H42" s="40"/>
      <c r="I42" s="52"/>
      <c r="J42" s="53"/>
      <c r="K42" s="17"/>
      <c r="L42" s="39"/>
      <c r="M42" s="43"/>
      <c r="N42" s="45"/>
      <c r="O42" s="55"/>
      <c r="P42" s="56"/>
      <c r="Q42" s="74"/>
      <c r="R42" s="70"/>
      <c r="S42" s="19"/>
      <c r="T42" s="60"/>
      <c r="U42" s="59"/>
    </row>
    <row r="43" spans="1:21" ht="15" customHeight="1" x14ac:dyDescent="0.25">
      <c r="A43" s="1">
        <f t="shared" ca="1" si="0"/>
        <v>4787</v>
      </c>
      <c r="B43" s="29"/>
      <c r="C43" s="29"/>
      <c r="D43" s="29"/>
      <c r="E43" s="29"/>
      <c r="F43" s="29"/>
      <c r="G43" s="39"/>
      <c r="H43" s="40"/>
      <c r="I43" s="52"/>
      <c r="J43" s="53"/>
      <c r="K43" s="17"/>
      <c r="L43" s="39"/>
      <c r="M43" s="43"/>
      <c r="N43" s="45"/>
      <c r="O43" s="55"/>
      <c r="P43" s="56"/>
      <c r="Q43" s="74"/>
      <c r="R43" s="70"/>
      <c r="S43" s="19"/>
      <c r="T43" s="60"/>
      <c r="U43" s="59"/>
    </row>
    <row r="44" spans="1:21" ht="15" customHeight="1" x14ac:dyDescent="0.25">
      <c r="A44" s="1">
        <f t="shared" ca="1" si="0"/>
        <v>4788</v>
      </c>
      <c r="B44" s="29"/>
      <c r="C44" s="29"/>
      <c r="D44" s="29"/>
      <c r="E44" s="29"/>
      <c r="F44" s="29"/>
      <c r="G44" s="39"/>
      <c r="H44" s="40"/>
      <c r="I44" s="52"/>
      <c r="J44" s="53"/>
      <c r="K44" s="17"/>
      <c r="L44" s="39"/>
      <c r="M44" s="43"/>
      <c r="N44" s="45"/>
      <c r="O44" s="55"/>
      <c r="P44" s="56"/>
      <c r="Q44" s="74"/>
      <c r="R44" s="70"/>
      <c r="S44" s="19"/>
      <c r="T44" s="60"/>
      <c r="U44" s="59"/>
    </row>
    <row r="45" spans="1:21" ht="15" customHeight="1" x14ac:dyDescent="0.25">
      <c r="A45" s="1">
        <f t="shared" ca="1" si="0"/>
        <v>4789</v>
      </c>
      <c r="B45" s="29"/>
      <c r="C45" s="29"/>
      <c r="D45" s="29"/>
      <c r="E45" s="29"/>
      <c r="F45" s="29"/>
      <c r="G45" s="39"/>
      <c r="H45" s="40"/>
      <c r="I45" s="52"/>
      <c r="J45" s="53"/>
      <c r="K45" s="17"/>
      <c r="L45" s="39"/>
      <c r="M45" s="43"/>
      <c r="N45" s="45"/>
      <c r="O45" s="55"/>
      <c r="P45" s="56"/>
      <c r="Q45" s="74"/>
      <c r="R45" s="70"/>
      <c r="S45" s="19"/>
      <c r="T45" s="60"/>
      <c r="U45" s="59"/>
    </row>
    <row r="46" spans="1:21" ht="15" customHeight="1" x14ac:dyDescent="0.25">
      <c r="A46" s="1">
        <f t="shared" ca="1" si="0"/>
        <v>4790</v>
      </c>
      <c r="B46" s="29"/>
      <c r="C46" s="29"/>
      <c r="D46" s="29"/>
      <c r="E46" s="29"/>
      <c r="F46" s="29"/>
      <c r="G46" s="39"/>
      <c r="H46" s="40"/>
      <c r="I46" s="52"/>
      <c r="J46" s="53"/>
      <c r="K46" s="17"/>
      <c r="L46" s="39"/>
      <c r="M46" s="43"/>
      <c r="N46" s="45"/>
      <c r="O46" s="55"/>
      <c r="P46" s="56"/>
      <c r="Q46" s="74"/>
      <c r="R46" s="70"/>
      <c r="S46" s="19"/>
      <c r="T46" s="60"/>
      <c r="U46" s="59"/>
    </row>
    <row r="47" spans="1:21" ht="15" customHeight="1" x14ac:dyDescent="0.25">
      <c r="A47" s="1">
        <f t="shared" ca="1" si="0"/>
        <v>4791</v>
      </c>
      <c r="B47" s="29"/>
      <c r="C47" s="29"/>
      <c r="D47" s="29"/>
      <c r="E47" s="29"/>
      <c r="F47" s="29"/>
      <c r="G47" s="39"/>
      <c r="H47" s="40"/>
      <c r="I47" s="52"/>
      <c r="J47" s="53"/>
      <c r="K47" s="17"/>
      <c r="L47" s="39"/>
      <c r="M47" s="43"/>
      <c r="N47" s="45"/>
      <c r="O47" s="55"/>
      <c r="P47" s="56"/>
      <c r="Q47" s="74"/>
      <c r="R47" s="70"/>
      <c r="S47" s="19"/>
      <c r="T47" s="60"/>
      <c r="U47" s="59"/>
    </row>
    <row r="48" spans="1:21" ht="15" customHeight="1" x14ac:dyDescent="0.25">
      <c r="A48" s="1">
        <f t="shared" ca="1" si="0"/>
        <v>4792</v>
      </c>
      <c r="B48" s="29"/>
      <c r="C48" s="29"/>
      <c r="D48" s="29"/>
      <c r="E48" s="29"/>
      <c r="F48" s="29"/>
      <c r="G48" s="39"/>
      <c r="H48" s="40"/>
      <c r="I48" s="52"/>
      <c r="J48" s="53"/>
      <c r="K48" s="17"/>
      <c r="L48" s="39"/>
      <c r="M48" s="43"/>
      <c r="N48" s="45"/>
      <c r="O48" s="55"/>
      <c r="P48" s="56"/>
      <c r="Q48" s="74"/>
      <c r="R48" s="70"/>
      <c r="S48" s="19"/>
      <c r="T48" s="60"/>
      <c r="U48" s="59"/>
    </row>
    <row r="49" spans="1:21" ht="15" customHeight="1" x14ac:dyDescent="0.25">
      <c r="A49" s="1">
        <f t="shared" ca="1" si="0"/>
        <v>4793</v>
      </c>
      <c r="B49" s="29"/>
      <c r="C49" s="29"/>
      <c r="D49" s="29"/>
      <c r="E49" s="29"/>
      <c r="F49" s="29"/>
      <c r="G49" s="39"/>
      <c r="H49" s="40"/>
      <c r="I49" s="52"/>
      <c r="J49" s="53"/>
      <c r="K49" s="17"/>
      <c r="L49" s="39"/>
      <c r="M49" s="43"/>
      <c r="N49" s="45"/>
      <c r="O49" s="55"/>
      <c r="P49" s="56"/>
      <c r="Q49" s="74"/>
      <c r="R49" s="70"/>
      <c r="S49" s="19"/>
      <c r="T49" s="60"/>
      <c r="U49" s="59"/>
    </row>
    <row r="50" spans="1:21" ht="15" customHeight="1" x14ac:dyDescent="0.25">
      <c r="A50" s="1">
        <f t="shared" ca="1" si="0"/>
        <v>4794</v>
      </c>
      <c r="B50" s="29"/>
      <c r="C50" s="29"/>
      <c r="D50" s="29"/>
      <c r="E50" s="29"/>
      <c r="F50" s="29"/>
      <c r="G50" s="39"/>
      <c r="H50" s="40"/>
      <c r="I50" s="52"/>
      <c r="J50" s="53"/>
      <c r="K50" s="17"/>
      <c r="L50" s="39"/>
      <c r="M50" s="43"/>
      <c r="N50" s="45"/>
      <c r="O50" s="55"/>
      <c r="P50" s="56"/>
      <c r="Q50" s="74"/>
      <c r="R50" s="70"/>
      <c r="S50" s="19"/>
      <c r="T50" s="60"/>
      <c r="U50" s="59"/>
    </row>
    <row r="51" spans="1:21" ht="15" customHeight="1" x14ac:dyDescent="0.25">
      <c r="A51" s="1">
        <f t="shared" ca="1" si="0"/>
        <v>4795</v>
      </c>
      <c r="B51" s="29"/>
      <c r="C51" s="29"/>
      <c r="D51" s="29"/>
      <c r="E51" s="29"/>
      <c r="F51" s="29"/>
      <c r="G51" s="39"/>
      <c r="H51" s="40"/>
      <c r="I51" s="52"/>
      <c r="J51" s="53"/>
      <c r="K51" s="17"/>
      <c r="L51" s="39"/>
      <c r="M51" s="43"/>
      <c r="N51" s="45"/>
      <c r="O51" s="55"/>
      <c r="P51" s="56"/>
      <c r="Q51" s="74"/>
      <c r="R51" s="70"/>
      <c r="S51" s="19"/>
      <c r="T51" s="60"/>
      <c r="U51" s="59"/>
    </row>
    <row r="52" spans="1:21" ht="15" customHeight="1" x14ac:dyDescent="0.25">
      <c r="A52" s="1">
        <f t="shared" ca="1" si="0"/>
        <v>4796</v>
      </c>
      <c r="B52" s="29"/>
      <c r="C52" s="29"/>
      <c r="D52" s="29"/>
      <c r="E52" s="29"/>
      <c r="F52" s="29"/>
      <c r="G52" s="39"/>
      <c r="H52" s="40"/>
      <c r="I52" s="52"/>
      <c r="J52" s="53"/>
      <c r="K52" s="17"/>
      <c r="L52" s="39"/>
      <c r="M52" s="43"/>
      <c r="N52" s="45"/>
      <c r="O52" s="55"/>
      <c r="P52" s="56"/>
      <c r="Q52" s="74"/>
      <c r="R52" s="70"/>
      <c r="S52" s="19"/>
      <c r="T52" s="60"/>
      <c r="U52" s="59"/>
    </row>
    <row r="53" spans="1:21" ht="15" customHeight="1" x14ac:dyDescent="0.25">
      <c r="A53" s="1">
        <f t="shared" ca="1" si="0"/>
        <v>4797</v>
      </c>
      <c r="B53" s="29"/>
      <c r="C53" s="29"/>
      <c r="D53" s="29"/>
      <c r="E53" s="29"/>
      <c r="F53" s="29"/>
      <c r="G53" s="39"/>
      <c r="H53" s="40"/>
      <c r="I53" s="52"/>
      <c r="J53" s="53"/>
      <c r="K53" s="17"/>
      <c r="L53" s="39"/>
      <c r="M53" s="43"/>
      <c r="N53" s="45"/>
      <c r="O53" s="55"/>
      <c r="P53" s="56"/>
      <c r="Q53" s="74"/>
      <c r="R53" s="70"/>
      <c r="S53" s="19"/>
      <c r="T53" s="60"/>
      <c r="U53" s="59"/>
    </row>
    <row r="54" spans="1:21" ht="15" customHeight="1" x14ac:dyDescent="0.25">
      <c r="A54" s="1">
        <f t="shared" ca="1" si="0"/>
        <v>4798</v>
      </c>
      <c r="B54" s="29"/>
      <c r="C54" s="29"/>
      <c r="D54" s="29"/>
      <c r="E54" s="29"/>
      <c r="F54" s="29"/>
      <c r="G54" s="39"/>
      <c r="H54" s="40"/>
      <c r="I54" s="52"/>
      <c r="J54" s="53"/>
      <c r="K54" s="17"/>
      <c r="L54" s="39"/>
      <c r="M54" s="43"/>
      <c r="N54" s="45"/>
      <c r="O54" s="55"/>
      <c r="P54" s="56"/>
      <c r="Q54" s="74"/>
      <c r="R54" s="70"/>
      <c r="S54" s="19"/>
      <c r="T54" s="60"/>
      <c r="U54" s="59"/>
    </row>
    <row r="55" spans="1:21" ht="15" customHeight="1" x14ac:dyDescent="0.25">
      <c r="A55" s="1">
        <f t="shared" ca="1" si="0"/>
        <v>4799</v>
      </c>
      <c r="B55" s="29"/>
      <c r="C55" s="29"/>
      <c r="D55" s="29"/>
      <c r="E55" s="29"/>
      <c r="F55" s="29"/>
      <c r="G55" s="39"/>
      <c r="H55" s="40"/>
      <c r="I55" s="52"/>
      <c r="J55" s="53"/>
      <c r="K55" s="17"/>
      <c r="L55" s="39"/>
      <c r="M55" s="43"/>
      <c r="N55" s="45"/>
      <c r="O55" s="55"/>
      <c r="P55" s="56"/>
      <c r="Q55" s="74"/>
      <c r="R55" s="70"/>
      <c r="S55" s="19"/>
      <c r="T55" s="60"/>
      <c r="U55" s="59"/>
    </row>
    <row r="56" spans="1:21" ht="15" customHeight="1" x14ac:dyDescent="0.25">
      <c r="A56" s="1">
        <f t="shared" ca="1" si="0"/>
        <v>4800</v>
      </c>
      <c r="B56" s="29"/>
      <c r="C56" s="29"/>
      <c r="D56" s="29"/>
      <c r="E56" s="29"/>
      <c r="F56" s="29"/>
      <c r="G56" s="39"/>
      <c r="H56" s="40"/>
      <c r="I56" s="52"/>
      <c r="J56" s="53"/>
      <c r="K56" s="17"/>
      <c r="L56" s="39"/>
      <c r="M56" s="43"/>
      <c r="N56" s="45"/>
      <c r="O56" s="55"/>
      <c r="P56" s="56"/>
      <c r="Q56" s="74"/>
      <c r="R56" s="70"/>
      <c r="S56" s="19"/>
      <c r="T56" s="60"/>
      <c r="U56" s="59"/>
    </row>
    <row r="57" spans="1:21" ht="15" customHeight="1" x14ac:dyDescent="0.25">
      <c r="A57" s="1">
        <f t="shared" ca="1" si="0"/>
        <v>4801</v>
      </c>
      <c r="B57" s="29"/>
      <c r="C57" s="29"/>
      <c r="D57" s="29"/>
      <c r="E57" s="29"/>
      <c r="F57" s="29"/>
      <c r="G57" s="39"/>
      <c r="H57" s="40"/>
      <c r="I57" s="52"/>
      <c r="J57" s="53"/>
      <c r="K57" s="17"/>
      <c r="L57" s="39"/>
      <c r="M57" s="43"/>
      <c r="N57" s="45"/>
      <c r="O57" s="55"/>
      <c r="P57" s="56"/>
      <c r="Q57" s="74"/>
      <c r="R57" s="70"/>
      <c r="S57" s="19"/>
      <c r="T57" s="60"/>
      <c r="U57" s="59"/>
    </row>
    <row r="58" spans="1:21" ht="15" customHeight="1" x14ac:dyDescent="0.25">
      <c r="A58" s="1">
        <f t="shared" ca="1" si="0"/>
        <v>4802</v>
      </c>
      <c r="B58" s="29"/>
      <c r="C58" s="29"/>
      <c r="D58" s="29"/>
      <c r="E58" s="29"/>
      <c r="F58" s="29"/>
      <c r="G58" s="39"/>
      <c r="H58" s="40"/>
      <c r="I58" s="52"/>
      <c r="J58" s="53"/>
      <c r="K58" s="17"/>
      <c r="L58" s="39"/>
      <c r="M58" s="43"/>
      <c r="N58" s="45"/>
      <c r="O58" s="55"/>
      <c r="P58" s="56"/>
      <c r="Q58" s="74"/>
      <c r="R58" s="70"/>
      <c r="S58" s="19"/>
      <c r="T58" s="60"/>
      <c r="U58" s="59"/>
    </row>
    <row r="59" spans="1:21" ht="15" customHeight="1" x14ac:dyDescent="0.25">
      <c r="A59" s="1">
        <f t="shared" ca="1" si="0"/>
        <v>4803</v>
      </c>
      <c r="B59" s="29"/>
      <c r="C59" s="29"/>
      <c r="D59" s="29"/>
      <c r="E59" s="29"/>
      <c r="F59" s="29"/>
      <c r="G59" s="39"/>
      <c r="H59" s="40"/>
      <c r="I59" s="52"/>
      <c r="J59" s="53"/>
      <c r="K59" s="17"/>
      <c r="L59" s="39"/>
      <c r="M59" s="43"/>
      <c r="N59" s="45"/>
      <c r="O59" s="55"/>
      <c r="P59" s="56"/>
      <c r="Q59" s="74"/>
      <c r="R59" s="70"/>
      <c r="S59" s="19"/>
      <c r="T59" s="60"/>
      <c r="U59" s="59"/>
    </row>
    <row r="60" spans="1:21" ht="15" customHeight="1" x14ac:dyDescent="0.25">
      <c r="A60" s="1">
        <f t="shared" ca="1" si="0"/>
        <v>4804</v>
      </c>
      <c r="B60" s="29"/>
      <c r="C60" s="29"/>
      <c r="D60" s="29"/>
      <c r="E60" s="29"/>
      <c r="F60" s="29"/>
      <c r="G60" s="39"/>
      <c r="H60" s="40"/>
      <c r="I60" s="52"/>
      <c r="J60" s="53"/>
      <c r="K60" s="17"/>
      <c r="L60" s="39"/>
      <c r="M60" s="43"/>
      <c r="N60" s="45"/>
      <c r="O60" s="55"/>
      <c r="P60" s="56"/>
      <c r="Q60" s="74"/>
      <c r="R60" s="70"/>
      <c r="S60" s="19"/>
      <c r="T60" s="60"/>
      <c r="U60" s="59"/>
    </row>
    <row r="61" spans="1:21" ht="15" customHeight="1" x14ac:dyDescent="0.25">
      <c r="A61" s="1">
        <f t="shared" ca="1" si="0"/>
        <v>4805</v>
      </c>
      <c r="B61" s="29"/>
      <c r="C61" s="29"/>
      <c r="D61" s="29"/>
      <c r="E61" s="29"/>
      <c r="F61" s="29"/>
      <c r="G61" s="39"/>
      <c r="H61" s="40"/>
      <c r="I61" s="52"/>
      <c r="J61" s="53"/>
      <c r="K61" s="17"/>
      <c r="L61" s="39"/>
      <c r="M61" s="43"/>
      <c r="N61" s="45"/>
      <c r="O61" s="55"/>
      <c r="P61" s="56"/>
      <c r="Q61" s="74"/>
      <c r="R61" s="70"/>
      <c r="S61" s="19"/>
      <c r="T61" s="60"/>
      <c r="U61" s="59"/>
    </row>
    <row r="62" spans="1:21" ht="15" customHeight="1" x14ac:dyDescent="0.25">
      <c r="A62" s="1">
        <f t="shared" ca="1" si="0"/>
        <v>4806</v>
      </c>
      <c r="B62" s="29"/>
      <c r="C62" s="29"/>
      <c r="D62" s="29"/>
      <c r="E62" s="29"/>
      <c r="F62" s="29"/>
      <c r="G62" s="39"/>
      <c r="H62" s="40"/>
      <c r="I62" s="52"/>
      <c r="J62" s="53"/>
      <c r="K62" s="17"/>
      <c r="L62" s="39"/>
      <c r="M62" s="43"/>
      <c r="N62" s="45"/>
      <c r="O62" s="55"/>
      <c r="P62" s="56"/>
      <c r="Q62" s="74"/>
      <c r="R62" s="70"/>
      <c r="S62" s="19"/>
      <c r="T62" s="60"/>
      <c r="U62" s="59"/>
    </row>
    <row r="63" spans="1:21" ht="15" customHeight="1" x14ac:dyDescent="0.25">
      <c r="A63" s="1">
        <f t="shared" ca="1" si="0"/>
        <v>4807</v>
      </c>
      <c r="B63" s="29"/>
      <c r="C63" s="29"/>
      <c r="D63" s="29"/>
      <c r="E63" s="29"/>
      <c r="F63" s="29"/>
      <c r="G63" s="39"/>
      <c r="H63" s="40"/>
      <c r="I63" s="52"/>
      <c r="J63" s="53"/>
      <c r="K63" s="17"/>
      <c r="L63" s="39"/>
      <c r="M63" s="43"/>
      <c r="N63" s="45"/>
      <c r="O63" s="55"/>
      <c r="P63" s="56"/>
      <c r="Q63" s="74"/>
      <c r="R63" s="70"/>
      <c r="S63" s="19"/>
      <c r="T63" s="60"/>
      <c r="U63" s="59"/>
    </row>
    <row r="64" spans="1:21" ht="15" customHeight="1" x14ac:dyDescent="0.25">
      <c r="A64" s="1">
        <f t="shared" ca="1" si="0"/>
        <v>4808</v>
      </c>
      <c r="B64" s="29"/>
      <c r="C64" s="29"/>
      <c r="D64" s="29"/>
      <c r="E64" s="29"/>
      <c r="F64" s="29"/>
      <c r="G64" s="39"/>
      <c r="H64" s="40"/>
      <c r="I64" s="52"/>
      <c r="J64" s="53"/>
      <c r="K64" s="17"/>
      <c r="L64" s="39"/>
      <c r="M64" s="43"/>
      <c r="N64" s="45"/>
      <c r="O64" s="55"/>
      <c r="P64" s="56"/>
      <c r="Q64" s="74"/>
      <c r="R64" s="70"/>
      <c r="S64" s="19"/>
      <c r="T64" s="60"/>
      <c r="U64" s="59"/>
    </row>
    <row r="65" spans="1:21" x14ac:dyDescent="0.25">
      <c r="A65" s="1" t="str">
        <f t="shared" ca="1" si="0"/>
        <v>Totaal</v>
      </c>
      <c r="B65" s="61" t="str">
        <f>IF(COUNT(B37:B64)&gt;0,AVERAGE(B37:B64)/10,"")</f>
        <v/>
      </c>
      <c r="C65" s="62" t="str">
        <f>IF(COUNT(C37:C64)&gt;0,AVERAGE(C37:C64)/1000,"")</f>
        <v/>
      </c>
      <c r="D65" s="62" t="str">
        <f>IF(COUNT(D37:D64)&gt;0,AVERAGE(D37:D64)/1000,"")</f>
        <v/>
      </c>
      <c r="E65" s="62" t="str">
        <f>IF(COUNT(E37:E64)&gt;0,AVERAGE(E37:E64)/1000,"")</f>
        <v/>
      </c>
      <c r="F65" s="62" t="str">
        <f>IF(COUNT(F37:F64)&gt;0,AVERAGE(F37:F64)/100,"")</f>
        <v/>
      </c>
      <c r="G65" s="41" t="str">
        <f>IF(COUNT(G37:G64)&gt;0,AVERAGE(G37:G64)/10,"")</f>
        <v/>
      </c>
      <c r="H65" s="42" t="str">
        <f>IF(COUNT(H37:H64)&gt;0,AVERAGE(H37:H64)/10,"")</f>
        <v/>
      </c>
      <c r="I65" s="18" t="str">
        <f>IF(COUNT(I37:I64)&gt;0,AVERAGE(I37:I64)/10,"")</f>
        <v/>
      </c>
      <c r="J65" s="54" t="str">
        <f>IF(COUNT(J37:J64)&gt;0,AVERAGE(J37:J64),"")</f>
        <v/>
      </c>
      <c r="K65" s="51" t="str">
        <f>IF(COUNT(K37:K64)&gt;0,AVERAGE(K37:K64)/1000,"")</f>
        <v/>
      </c>
      <c r="L65" s="41" t="str">
        <f>IF(COUNT(L37:L64)&gt;0,AVERAGE(L37:L64)/10,"")</f>
        <v/>
      </c>
      <c r="M65" s="44" t="str">
        <f>IF(COUNT(M37:M64)&gt;0,AVERAGE(M37:M64)/10,"")</f>
        <v/>
      </c>
      <c r="N65" s="46"/>
      <c r="O65" s="57" t="str">
        <f>IF(COUNT(O37:O64)&gt;0,AVERAGE(O37:O64),"")</f>
        <v/>
      </c>
      <c r="P65" s="58" t="str">
        <f>IF(COUNT(P37:P64)&gt;0,AVERAGE(P37:P64),"")</f>
        <v/>
      </c>
      <c r="Q65" s="47"/>
      <c r="R65" s="68" t="str">
        <f>IF(COUNT(R37:R64)&gt;0,SUM(R37:R64)/100,"")</f>
        <v/>
      </c>
      <c r="S65" s="64" t="str">
        <f>IF(COUNT(S37:S64)&gt;0,AVERAGE(S37:S64),"")</f>
        <v/>
      </c>
      <c r="T65" s="65" t="str">
        <f>IF(COUNT(T37:T64)&gt;0,AVERAGE(T37:T64),"")</f>
        <v/>
      </c>
      <c r="U65" s="66" t="str">
        <f>IF(COUNT(U37:U64)&gt;0,AVERAGE(U37:U64),"")</f>
        <v/>
      </c>
    </row>
    <row r="66" spans="1:21" ht="15" customHeight="1" x14ac:dyDescent="0.25">
      <c r="A66" s="1">
        <f t="shared" ca="1" si="0"/>
        <v>4809</v>
      </c>
      <c r="B66" s="29"/>
      <c r="C66" s="29"/>
      <c r="D66" s="29"/>
      <c r="E66" s="29"/>
      <c r="F66" s="29"/>
      <c r="G66" s="39"/>
      <c r="H66" s="40"/>
      <c r="I66" s="52"/>
      <c r="J66" s="53"/>
      <c r="K66" s="17"/>
      <c r="L66" s="39"/>
      <c r="M66" s="43"/>
      <c r="N66" s="45"/>
      <c r="O66" s="55"/>
      <c r="P66" s="56"/>
      <c r="Q66" s="74"/>
      <c r="R66" s="70"/>
      <c r="S66" s="19"/>
      <c r="T66" s="60"/>
      <c r="U66" s="59"/>
    </row>
    <row r="67" spans="1:21" ht="15" customHeight="1" x14ac:dyDescent="0.25">
      <c r="A67" s="1">
        <f t="shared" ca="1" si="0"/>
        <v>4810</v>
      </c>
      <c r="B67" s="29"/>
      <c r="C67" s="29"/>
      <c r="D67" s="29"/>
      <c r="E67" s="29"/>
      <c r="F67" s="29"/>
      <c r="G67" s="39"/>
      <c r="H67" s="40"/>
      <c r="I67" s="52"/>
      <c r="J67" s="53"/>
      <c r="K67" s="17"/>
      <c r="L67" s="39"/>
      <c r="M67" s="43"/>
      <c r="N67" s="45"/>
      <c r="O67" s="55"/>
      <c r="P67" s="56"/>
      <c r="Q67" s="74"/>
      <c r="R67" s="70"/>
      <c r="S67" s="19"/>
      <c r="T67" s="60"/>
      <c r="U67" s="59"/>
    </row>
    <row r="68" spans="1:21" ht="15" customHeight="1" x14ac:dyDescent="0.25">
      <c r="A68" s="1">
        <f t="shared" ca="1" si="0"/>
        <v>4811</v>
      </c>
      <c r="B68" s="29"/>
      <c r="C68" s="29"/>
      <c r="D68" s="29"/>
      <c r="E68" s="29"/>
      <c r="F68" s="29"/>
      <c r="G68" s="39"/>
      <c r="H68" s="40"/>
      <c r="I68" s="52"/>
      <c r="J68" s="53"/>
      <c r="K68" s="17"/>
      <c r="L68" s="39"/>
      <c r="M68" s="43"/>
      <c r="N68" s="45"/>
      <c r="O68" s="55"/>
      <c r="P68" s="56"/>
      <c r="Q68" s="74"/>
      <c r="R68" s="70"/>
      <c r="S68" s="19"/>
      <c r="T68" s="60"/>
      <c r="U68" s="59"/>
    </row>
    <row r="69" spans="1:21" ht="15" customHeight="1" x14ac:dyDescent="0.25">
      <c r="A69" s="1">
        <f t="shared" ca="1" si="0"/>
        <v>4812</v>
      </c>
      <c r="B69" s="29"/>
      <c r="C69" s="29"/>
      <c r="D69" s="29"/>
      <c r="E69" s="29"/>
      <c r="F69" s="29"/>
      <c r="G69" s="39"/>
      <c r="H69" s="40"/>
      <c r="I69" s="52"/>
      <c r="J69" s="53"/>
      <c r="K69" s="17"/>
      <c r="L69" s="39"/>
      <c r="M69" s="43"/>
      <c r="N69" s="45"/>
      <c r="O69" s="55"/>
      <c r="P69" s="56"/>
      <c r="Q69" s="74"/>
      <c r="R69" s="70"/>
      <c r="S69" s="19"/>
      <c r="T69" s="60"/>
      <c r="U69" s="59"/>
    </row>
    <row r="70" spans="1:21" ht="15" customHeight="1" x14ac:dyDescent="0.25">
      <c r="A70" s="1">
        <f t="shared" ca="1" si="0"/>
        <v>4813</v>
      </c>
      <c r="B70" s="29"/>
      <c r="C70" s="29"/>
      <c r="D70" s="29"/>
      <c r="E70" s="29"/>
      <c r="F70" s="29"/>
      <c r="G70" s="39"/>
      <c r="H70" s="40"/>
      <c r="I70" s="52"/>
      <c r="J70" s="53"/>
      <c r="K70" s="17"/>
      <c r="L70" s="39"/>
      <c r="M70" s="43"/>
      <c r="N70" s="45"/>
      <c r="O70" s="55"/>
      <c r="P70" s="56"/>
      <c r="Q70" s="74"/>
      <c r="R70" s="70"/>
      <c r="S70" s="19"/>
      <c r="T70" s="60"/>
      <c r="U70" s="59"/>
    </row>
    <row r="71" spans="1:21" ht="15" customHeight="1" x14ac:dyDescent="0.25">
      <c r="A71" s="1">
        <f t="shared" ref="A71:A134" ca="1" si="3">IF(ISTEXT(A70),A69+1,IF(MONTH(A70+1)=MONTH(A70),A70+1,"Totaal"))</f>
        <v>4814</v>
      </c>
      <c r="B71" s="29"/>
      <c r="C71" s="29"/>
      <c r="D71" s="29"/>
      <c r="E71" s="29"/>
      <c r="F71" s="29"/>
      <c r="G71" s="39"/>
      <c r="H71" s="40"/>
      <c r="I71" s="52"/>
      <c r="J71" s="53"/>
      <c r="K71" s="17"/>
      <c r="L71" s="39"/>
      <c r="M71" s="43"/>
      <c r="N71" s="45"/>
      <c r="O71" s="55"/>
      <c r="P71" s="56"/>
      <c r="Q71" s="74"/>
      <c r="R71" s="70"/>
      <c r="S71" s="19"/>
      <c r="T71" s="60"/>
      <c r="U71" s="59"/>
    </row>
    <row r="72" spans="1:21" ht="15" customHeight="1" x14ac:dyDescent="0.25">
      <c r="A72" s="1">
        <f t="shared" ca="1" si="3"/>
        <v>4815</v>
      </c>
      <c r="B72" s="29"/>
      <c r="C72" s="29"/>
      <c r="D72" s="29"/>
      <c r="E72" s="29"/>
      <c r="F72" s="29"/>
      <c r="G72" s="39"/>
      <c r="H72" s="40"/>
      <c r="I72" s="52"/>
      <c r="J72" s="53"/>
      <c r="K72" s="17"/>
      <c r="L72" s="39"/>
      <c r="M72" s="43"/>
      <c r="N72" s="45"/>
      <c r="O72" s="55"/>
      <c r="P72" s="56"/>
      <c r="Q72" s="74"/>
      <c r="R72" s="70"/>
      <c r="S72" s="19"/>
      <c r="T72" s="60"/>
      <c r="U72" s="59"/>
    </row>
    <row r="73" spans="1:21" ht="15" customHeight="1" x14ac:dyDescent="0.25">
      <c r="A73" s="1">
        <f t="shared" ca="1" si="3"/>
        <v>4816</v>
      </c>
      <c r="B73" s="29"/>
      <c r="C73" s="29"/>
      <c r="D73" s="29"/>
      <c r="E73" s="29"/>
      <c r="F73" s="29"/>
      <c r="G73" s="39"/>
      <c r="H73" s="40"/>
      <c r="I73" s="52"/>
      <c r="J73" s="53"/>
      <c r="K73" s="17"/>
      <c r="L73" s="39"/>
      <c r="M73" s="43"/>
      <c r="N73" s="45"/>
      <c r="O73" s="55"/>
      <c r="P73" s="56"/>
      <c r="Q73" s="74"/>
      <c r="R73" s="70"/>
      <c r="S73" s="19"/>
      <c r="T73" s="60"/>
      <c r="U73" s="59"/>
    </row>
    <row r="74" spans="1:21" ht="15" customHeight="1" x14ac:dyDescent="0.25">
      <c r="A74" s="1">
        <f t="shared" ca="1" si="3"/>
        <v>4817</v>
      </c>
      <c r="B74" s="29"/>
      <c r="C74" s="29"/>
      <c r="D74" s="29"/>
      <c r="E74" s="29"/>
      <c r="F74" s="29"/>
      <c r="G74" s="39"/>
      <c r="H74" s="40"/>
      <c r="I74" s="52"/>
      <c r="J74" s="53"/>
      <c r="K74" s="17"/>
      <c r="L74" s="39"/>
      <c r="M74" s="43"/>
      <c r="N74" s="45"/>
      <c r="O74" s="55"/>
      <c r="P74" s="56"/>
      <c r="Q74" s="74"/>
      <c r="R74" s="70"/>
      <c r="S74" s="19"/>
      <c r="T74" s="60"/>
      <c r="U74" s="59"/>
    </row>
    <row r="75" spans="1:21" ht="15" customHeight="1" x14ac:dyDescent="0.25">
      <c r="A75" s="1">
        <f t="shared" ca="1" si="3"/>
        <v>4818</v>
      </c>
      <c r="B75" s="29"/>
      <c r="C75" s="29"/>
      <c r="D75" s="29"/>
      <c r="E75" s="29"/>
      <c r="F75" s="29"/>
      <c r="G75" s="39"/>
      <c r="H75" s="40"/>
      <c r="I75" s="52"/>
      <c r="J75" s="53"/>
      <c r="K75" s="17"/>
      <c r="L75" s="39"/>
      <c r="M75" s="43"/>
      <c r="N75" s="45"/>
      <c r="O75" s="55"/>
      <c r="P75" s="56"/>
      <c r="Q75" s="74"/>
      <c r="R75" s="70"/>
      <c r="S75" s="19"/>
      <c r="T75" s="60"/>
      <c r="U75" s="59"/>
    </row>
    <row r="76" spans="1:21" ht="15" customHeight="1" x14ac:dyDescent="0.25">
      <c r="A76" s="1">
        <f t="shared" ca="1" si="3"/>
        <v>4819</v>
      </c>
      <c r="B76" s="29"/>
      <c r="C76" s="29"/>
      <c r="D76" s="29"/>
      <c r="E76" s="29"/>
      <c r="F76" s="29"/>
      <c r="G76" s="39"/>
      <c r="H76" s="40"/>
      <c r="I76" s="52"/>
      <c r="J76" s="53"/>
      <c r="K76" s="17"/>
      <c r="L76" s="39"/>
      <c r="M76" s="43"/>
      <c r="N76" s="45"/>
      <c r="O76" s="55"/>
      <c r="P76" s="56"/>
      <c r="Q76" s="74"/>
      <c r="R76" s="70"/>
      <c r="S76" s="19"/>
      <c r="T76" s="60"/>
      <c r="U76" s="59"/>
    </row>
    <row r="77" spans="1:21" ht="15" customHeight="1" x14ac:dyDescent="0.25">
      <c r="A77" s="1">
        <f t="shared" ca="1" si="3"/>
        <v>4820</v>
      </c>
      <c r="B77" s="29"/>
      <c r="C77" s="29"/>
      <c r="D77" s="29"/>
      <c r="E77" s="29"/>
      <c r="F77" s="29"/>
      <c r="G77" s="39"/>
      <c r="H77" s="40"/>
      <c r="I77" s="52"/>
      <c r="J77" s="53"/>
      <c r="K77" s="17"/>
      <c r="L77" s="39"/>
      <c r="M77" s="43"/>
      <c r="N77" s="45"/>
      <c r="O77" s="55"/>
      <c r="P77" s="56"/>
      <c r="Q77" s="74"/>
      <c r="R77" s="70"/>
      <c r="S77" s="19"/>
      <c r="T77" s="60"/>
      <c r="U77" s="59"/>
    </row>
    <row r="78" spans="1:21" ht="15" customHeight="1" x14ac:dyDescent="0.25">
      <c r="A78" s="1">
        <f t="shared" ca="1" si="3"/>
        <v>4821</v>
      </c>
      <c r="B78" s="29"/>
      <c r="C78" s="29"/>
      <c r="D78" s="29"/>
      <c r="E78" s="29"/>
      <c r="F78" s="29"/>
      <c r="G78" s="39"/>
      <c r="H78" s="40"/>
      <c r="I78" s="52"/>
      <c r="J78" s="53"/>
      <c r="K78" s="17"/>
      <c r="L78" s="39"/>
      <c r="M78" s="43"/>
      <c r="N78" s="45"/>
      <c r="O78" s="55"/>
      <c r="P78" s="56"/>
      <c r="Q78" s="74"/>
      <c r="R78" s="70"/>
      <c r="S78" s="19"/>
      <c r="T78" s="60"/>
      <c r="U78" s="59"/>
    </row>
    <row r="79" spans="1:21" ht="15" customHeight="1" x14ac:dyDescent="0.25">
      <c r="A79" s="1">
        <f t="shared" ca="1" si="3"/>
        <v>4822</v>
      </c>
      <c r="B79" s="29"/>
      <c r="C79" s="29"/>
      <c r="D79" s="29"/>
      <c r="E79" s="29"/>
      <c r="F79" s="29"/>
      <c r="G79" s="39"/>
      <c r="H79" s="40"/>
      <c r="I79" s="52"/>
      <c r="J79" s="53"/>
      <c r="K79" s="17"/>
      <c r="L79" s="39"/>
      <c r="M79" s="43"/>
      <c r="N79" s="45"/>
      <c r="O79" s="55"/>
      <c r="P79" s="56"/>
      <c r="Q79" s="74"/>
      <c r="R79" s="70"/>
      <c r="S79" s="19"/>
      <c r="T79" s="60"/>
      <c r="U79" s="59"/>
    </row>
    <row r="80" spans="1:21" ht="15" customHeight="1" x14ac:dyDescent="0.25">
      <c r="A80" s="1">
        <f t="shared" ca="1" si="3"/>
        <v>4823</v>
      </c>
      <c r="B80" s="29"/>
      <c r="C80" s="29"/>
      <c r="D80" s="29"/>
      <c r="E80" s="29"/>
      <c r="F80" s="29"/>
      <c r="G80" s="39"/>
      <c r="H80" s="40"/>
      <c r="I80" s="52"/>
      <c r="J80" s="53"/>
      <c r="K80" s="17"/>
      <c r="L80" s="39"/>
      <c r="M80" s="43"/>
      <c r="N80" s="45"/>
      <c r="O80" s="55"/>
      <c r="P80" s="56"/>
      <c r="Q80" s="74"/>
      <c r="R80" s="70"/>
      <c r="S80" s="19"/>
      <c r="T80" s="60"/>
      <c r="U80" s="59"/>
    </row>
    <row r="81" spans="1:21" ht="15" customHeight="1" x14ac:dyDescent="0.25">
      <c r="A81" s="1">
        <f t="shared" ca="1" si="3"/>
        <v>4824</v>
      </c>
      <c r="B81" s="29"/>
      <c r="C81" s="29"/>
      <c r="D81" s="29"/>
      <c r="E81" s="29"/>
      <c r="F81" s="29"/>
      <c r="G81" s="39"/>
      <c r="H81" s="40"/>
      <c r="I81" s="52"/>
      <c r="J81" s="53"/>
      <c r="K81" s="17"/>
      <c r="L81" s="39"/>
      <c r="M81" s="43"/>
      <c r="N81" s="45"/>
      <c r="O81" s="55"/>
      <c r="P81" s="56"/>
      <c r="Q81" s="74"/>
      <c r="R81" s="70"/>
      <c r="S81" s="19"/>
      <c r="T81" s="60"/>
      <c r="U81" s="59"/>
    </row>
    <row r="82" spans="1:21" ht="15" customHeight="1" x14ac:dyDescent="0.25">
      <c r="A82" s="1">
        <f t="shared" ca="1" si="3"/>
        <v>4825</v>
      </c>
      <c r="B82" s="29"/>
      <c r="C82" s="29"/>
      <c r="D82" s="29"/>
      <c r="E82" s="29"/>
      <c r="F82" s="29"/>
      <c r="G82" s="39"/>
      <c r="H82" s="40"/>
      <c r="I82" s="52"/>
      <c r="J82" s="53"/>
      <c r="K82" s="17"/>
      <c r="L82" s="39"/>
      <c r="M82" s="43"/>
      <c r="N82" s="45"/>
      <c r="O82" s="55"/>
      <c r="P82" s="56"/>
      <c r="Q82" s="74"/>
      <c r="R82" s="70"/>
      <c r="S82" s="19"/>
      <c r="T82" s="60"/>
      <c r="U82" s="59"/>
    </row>
    <row r="83" spans="1:21" ht="15" customHeight="1" x14ac:dyDescent="0.25">
      <c r="A83" s="1">
        <f t="shared" ca="1" si="3"/>
        <v>4826</v>
      </c>
      <c r="B83" s="29"/>
      <c r="C83" s="29"/>
      <c r="D83" s="29"/>
      <c r="E83" s="29"/>
      <c r="F83" s="29"/>
      <c r="G83" s="39"/>
      <c r="H83" s="40"/>
      <c r="I83" s="52"/>
      <c r="J83" s="53"/>
      <c r="K83" s="17"/>
      <c r="L83" s="39"/>
      <c r="M83" s="43"/>
      <c r="N83" s="45"/>
      <c r="O83" s="55"/>
      <c r="P83" s="56"/>
      <c r="Q83" s="74"/>
      <c r="R83" s="70"/>
      <c r="S83" s="19"/>
      <c r="T83" s="60"/>
      <c r="U83" s="59"/>
    </row>
    <row r="84" spans="1:21" ht="15" customHeight="1" x14ac:dyDescent="0.25">
      <c r="A84" s="1">
        <f t="shared" ca="1" si="3"/>
        <v>4827</v>
      </c>
      <c r="B84" s="29"/>
      <c r="C84" s="29"/>
      <c r="D84" s="29"/>
      <c r="E84" s="29"/>
      <c r="F84" s="29"/>
      <c r="G84" s="39"/>
      <c r="H84" s="40"/>
      <c r="I84" s="52"/>
      <c r="J84" s="53"/>
      <c r="K84" s="17"/>
      <c r="L84" s="39"/>
      <c r="M84" s="43"/>
      <c r="N84" s="45"/>
      <c r="O84" s="55"/>
      <c r="P84" s="56"/>
      <c r="Q84" s="74"/>
      <c r="R84" s="70"/>
      <c r="S84" s="19"/>
      <c r="T84" s="60"/>
      <c r="U84" s="59"/>
    </row>
    <row r="85" spans="1:21" ht="15" customHeight="1" x14ac:dyDescent="0.25">
      <c r="A85" s="1">
        <f t="shared" ca="1" si="3"/>
        <v>4828</v>
      </c>
      <c r="B85" s="29"/>
      <c r="C85" s="29"/>
      <c r="D85" s="29"/>
      <c r="E85" s="29"/>
      <c r="F85" s="29"/>
      <c r="G85" s="39"/>
      <c r="H85" s="40"/>
      <c r="I85" s="52"/>
      <c r="J85" s="53"/>
      <c r="K85" s="17"/>
      <c r="L85" s="39"/>
      <c r="M85" s="43"/>
      <c r="N85" s="45"/>
      <c r="O85" s="55"/>
      <c r="P85" s="56"/>
      <c r="Q85" s="74"/>
      <c r="R85" s="70"/>
      <c r="S85" s="19"/>
      <c r="T85" s="60"/>
      <c r="U85" s="59"/>
    </row>
    <row r="86" spans="1:21" ht="15" customHeight="1" x14ac:dyDescent="0.25">
      <c r="A86" s="1">
        <f t="shared" ca="1" si="3"/>
        <v>4829</v>
      </c>
      <c r="B86" s="29"/>
      <c r="C86" s="29"/>
      <c r="D86" s="29"/>
      <c r="E86" s="29"/>
      <c r="F86" s="29"/>
      <c r="G86" s="39"/>
      <c r="H86" s="40"/>
      <c r="I86" s="52"/>
      <c r="J86" s="53"/>
      <c r="K86" s="17"/>
      <c r="L86" s="39"/>
      <c r="M86" s="43"/>
      <c r="N86" s="45"/>
      <c r="O86" s="55"/>
      <c r="P86" s="56"/>
      <c r="Q86" s="74"/>
      <c r="R86" s="70"/>
      <c r="S86" s="19"/>
      <c r="T86" s="60"/>
      <c r="U86" s="59"/>
    </row>
    <row r="87" spans="1:21" ht="15" customHeight="1" x14ac:dyDescent="0.25">
      <c r="A87" s="1">
        <f t="shared" ca="1" si="3"/>
        <v>4830</v>
      </c>
      <c r="B87" s="29"/>
      <c r="C87" s="29"/>
      <c r="D87" s="29"/>
      <c r="E87" s="29"/>
      <c r="F87" s="29"/>
      <c r="G87" s="39"/>
      <c r="H87" s="40"/>
      <c r="I87" s="52"/>
      <c r="J87" s="53"/>
      <c r="K87" s="17"/>
      <c r="L87" s="39"/>
      <c r="M87" s="43"/>
      <c r="N87" s="45"/>
      <c r="O87" s="55"/>
      <c r="P87" s="56"/>
      <c r="Q87" s="74"/>
      <c r="R87" s="70"/>
      <c r="S87" s="19"/>
      <c r="T87" s="60"/>
      <c r="U87" s="59"/>
    </row>
    <row r="88" spans="1:21" ht="15" customHeight="1" x14ac:dyDescent="0.25">
      <c r="A88" s="1">
        <f t="shared" ca="1" si="3"/>
        <v>4831</v>
      </c>
      <c r="B88" s="29"/>
      <c r="C88" s="29"/>
      <c r="D88" s="29"/>
      <c r="E88" s="29"/>
      <c r="F88" s="29"/>
      <c r="G88" s="39"/>
      <c r="H88" s="40"/>
      <c r="I88" s="52"/>
      <c r="J88" s="53"/>
      <c r="K88" s="17"/>
      <c r="L88" s="39"/>
      <c r="M88" s="43"/>
      <c r="N88" s="45"/>
      <c r="O88" s="55"/>
      <c r="P88" s="56"/>
      <c r="Q88" s="74"/>
      <c r="R88" s="70"/>
      <c r="S88" s="19"/>
      <c r="T88" s="60"/>
      <c r="U88" s="59"/>
    </row>
    <row r="89" spans="1:21" ht="15" customHeight="1" x14ac:dyDescent="0.25">
      <c r="A89" s="1">
        <f t="shared" ca="1" si="3"/>
        <v>4832</v>
      </c>
      <c r="B89" s="29"/>
      <c r="C89" s="29"/>
      <c r="D89" s="29"/>
      <c r="E89" s="29"/>
      <c r="F89" s="29"/>
      <c r="G89" s="39"/>
      <c r="H89" s="40"/>
      <c r="I89" s="52"/>
      <c r="J89" s="53"/>
      <c r="K89" s="17"/>
      <c r="L89" s="39"/>
      <c r="M89" s="43"/>
      <c r="N89" s="45"/>
      <c r="O89" s="55"/>
      <c r="P89" s="56"/>
      <c r="Q89" s="74"/>
      <c r="R89" s="70"/>
      <c r="S89" s="19"/>
      <c r="T89" s="60"/>
      <c r="U89" s="59"/>
    </row>
    <row r="90" spans="1:21" ht="15" customHeight="1" x14ac:dyDescent="0.25">
      <c r="A90" s="1">
        <f t="shared" ca="1" si="3"/>
        <v>4833</v>
      </c>
      <c r="B90" s="29"/>
      <c r="C90" s="29"/>
      <c r="D90" s="29"/>
      <c r="E90" s="29"/>
      <c r="F90" s="29"/>
      <c r="G90" s="39"/>
      <c r="H90" s="40"/>
      <c r="I90" s="52"/>
      <c r="J90" s="53"/>
      <c r="K90" s="17"/>
      <c r="L90" s="39"/>
      <c r="M90" s="43"/>
      <c r="N90" s="45"/>
      <c r="O90" s="55"/>
      <c r="P90" s="56"/>
      <c r="Q90" s="74"/>
      <c r="R90" s="70"/>
      <c r="S90" s="19"/>
      <c r="T90" s="60"/>
      <c r="U90" s="59"/>
    </row>
    <row r="91" spans="1:21" ht="15" customHeight="1" x14ac:dyDescent="0.25">
      <c r="A91" s="1">
        <f t="shared" ca="1" si="3"/>
        <v>4834</v>
      </c>
      <c r="B91" s="29"/>
      <c r="C91" s="29"/>
      <c r="D91" s="29"/>
      <c r="E91" s="29"/>
      <c r="F91" s="29"/>
      <c r="G91" s="39"/>
      <c r="H91" s="40"/>
      <c r="I91" s="52"/>
      <c r="J91" s="53"/>
      <c r="K91" s="17"/>
      <c r="L91" s="39"/>
      <c r="M91" s="43"/>
      <c r="N91" s="45"/>
      <c r="O91" s="55"/>
      <c r="P91" s="56"/>
      <c r="Q91" s="74"/>
      <c r="R91" s="70"/>
      <c r="S91" s="19"/>
      <c r="T91" s="60"/>
      <c r="U91" s="59"/>
    </row>
    <row r="92" spans="1:21" ht="15" customHeight="1" x14ac:dyDescent="0.25">
      <c r="A92" s="1">
        <f t="shared" ca="1" si="3"/>
        <v>4835</v>
      </c>
      <c r="B92" s="29"/>
      <c r="C92" s="29"/>
      <c r="D92" s="29"/>
      <c r="E92" s="29"/>
      <c r="F92" s="29"/>
      <c r="G92" s="39"/>
      <c r="H92" s="40"/>
      <c r="I92" s="52"/>
      <c r="J92" s="53"/>
      <c r="K92" s="17"/>
      <c r="L92" s="39"/>
      <c r="M92" s="43"/>
      <c r="N92" s="45"/>
      <c r="O92" s="55"/>
      <c r="P92" s="56"/>
      <c r="Q92" s="74"/>
      <c r="R92" s="70"/>
      <c r="S92" s="19"/>
      <c r="T92" s="60"/>
      <c r="U92" s="59"/>
    </row>
    <row r="93" spans="1:21" ht="15" customHeight="1" x14ac:dyDescent="0.25">
      <c r="A93" s="1">
        <f t="shared" ca="1" si="3"/>
        <v>4836</v>
      </c>
      <c r="B93" s="29"/>
      <c r="C93" s="29"/>
      <c r="D93" s="29"/>
      <c r="E93" s="29"/>
      <c r="F93" s="29"/>
      <c r="G93" s="39"/>
      <c r="H93" s="40"/>
      <c r="I93" s="52"/>
      <c r="J93" s="53"/>
      <c r="K93" s="17"/>
      <c r="L93" s="39"/>
      <c r="M93" s="43"/>
      <c r="N93" s="45"/>
      <c r="O93" s="55"/>
      <c r="P93" s="56"/>
      <c r="Q93" s="74"/>
      <c r="R93" s="70"/>
      <c r="S93" s="19"/>
      <c r="T93" s="60"/>
      <c r="U93" s="59"/>
    </row>
    <row r="94" spans="1:21" ht="15" customHeight="1" x14ac:dyDescent="0.25">
      <c r="A94" s="1">
        <f t="shared" ca="1" si="3"/>
        <v>4837</v>
      </c>
      <c r="B94" s="29"/>
      <c r="C94" s="29"/>
      <c r="D94" s="29"/>
      <c r="E94" s="29"/>
      <c r="F94" s="29"/>
      <c r="G94" s="39"/>
      <c r="H94" s="40"/>
      <c r="I94" s="52"/>
      <c r="J94" s="53"/>
      <c r="K94" s="17"/>
      <c r="L94" s="39"/>
      <c r="M94" s="43"/>
      <c r="N94" s="45"/>
      <c r="O94" s="55"/>
      <c r="P94" s="56"/>
      <c r="Q94" s="74"/>
      <c r="R94" s="70"/>
      <c r="S94" s="19"/>
      <c r="T94" s="60"/>
      <c r="U94" s="59"/>
    </row>
    <row r="95" spans="1:21" ht="15" customHeight="1" x14ac:dyDescent="0.25">
      <c r="A95" s="1">
        <f t="shared" ca="1" si="3"/>
        <v>4838</v>
      </c>
      <c r="B95" s="29"/>
      <c r="C95" s="29"/>
      <c r="D95" s="29"/>
      <c r="E95" s="29"/>
      <c r="F95" s="29"/>
      <c r="G95" s="39"/>
      <c r="H95" s="40"/>
      <c r="I95" s="52"/>
      <c r="J95" s="53"/>
      <c r="K95" s="17"/>
      <c r="L95" s="39"/>
      <c r="M95" s="43"/>
      <c r="N95" s="45"/>
      <c r="O95" s="55"/>
      <c r="P95" s="56"/>
      <c r="Q95" s="74"/>
      <c r="R95" s="70"/>
      <c r="S95" s="19"/>
      <c r="T95" s="60"/>
      <c r="U95" s="59"/>
    </row>
    <row r="96" spans="1:21" ht="15" customHeight="1" x14ac:dyDescent="0.25">
      <c r="A96" s="1">
        <f t="shared" ca="1" si="3"/>
        <v>4839</v>
      </c>
      <c r="B96" s="29"/>
      <c r="C96" s="29"/>
      <c r="D96" s="29"/>
      <c r="E96" s="29"/>
      <c r="F96" s="29"/>
      <c r="G96" s="39"/>
      <c r="H96" s="40"/>
      <c r="I96" s="52"/>
      <c r="J96" s="53"/>
      <c r="K96" s="17"/>
      <c r="L96" s="39"/>
      <c r="M96" s="43"/>
      <c r="N96" s="45"/>
      <c r="O96" s="55"/>
      <c r="P96" s="56"/>
      <c r="Q96" s="74"/>
      <c r="R96" s="70"/>
      <c r="S96" s="19"/>
      <c r="T96" s="60"/>
      <c r="U96" s="59"/>
    </row>
    <row r="97" spans="1:21" x14ac:dyDescent="0.25">
      <c r="A97" s="1" t="str">
        <f t="shared" ca="1" si="3"/>
        <v>Totaal</v>
      </c>
      <c r="B97" s="61" t="str">
        <f>IF(COUNT(B66:B96)&gt;0,AVERAGE(B66:B96)/10,"")</f>
        <v/>
      </c>
      <c r="C97" s="62" t="str">
        <f>IF(COUNT(C66:C96)&gt;0,AVERAGE(C66:C96)/1000,"")</f>
        <v/>
      </c>
      <c r="D97" s="62" t="str">
        <f t="shared" ref="D97" si="4">IF(COUNT(D66:D96)&gt;0,AVERAGE(D66:D96)/1000,"")</f>
        <v/>
      </c>
      <c r="E97" s="62" t="str">
        <f t="shared" ref="E97" si="5">IF(COUNT(E66:E96)&gt;0,AVERAGE(E66:E96)/1000,"")</f>
        <v/>
      </c>
      <c r="F97" s="62" t="str">
        <f>IF(COUNT(F66:F96)&gt;0,AVERAGE(F66:F96)/100,"")</f>
        <v/>
      </c>
      <c r="G97" s="41" t="str">
        <f>IF(COUNT(G66:G96)&gt;0,AVERAGE(G66:G96)/10,"")</f>
        <v/>
      </c>
      <c r="H97" s="42" t="str">
        <f t="shared" ref="H97" si="6">IF(COUNT(H66:H96)&gt;0,AVERAGE(H66:H96)/10,"")</f>
        <v/>
      </c>
      <c r="I97" s="18" t="str">
        <f>IF(COUNT(I66:I96)&gt;0,AVERAGE(I66:I96)/10,"")</f>
        <v/>
      </c>
      <c r="J97" s="54" t="str">
        <f>IF(COUNT(J66:J96)&gt;0,AVERAGE(J66:J96),"")</f>
        <v/>
      </c>
      <c r="K97" s="51" t="str">
        <f>IF(COUNT(K66:K96)&gt;0,AVERAGE(K66:K96)/1000,"")</f>
        <v/>
      </c>
      <c r="L97" s="41" t="str">
        <f>IF(COUNT(L66:L96)&gt;0,AVERAGE(L66:L96)/10,"")</f>
        <v/>
      </c>
      <c r="M97" s="44" t="str">
        <f>IF(COUNT(M66:M96)&gt;0,AVERAGE(M66:M96)/10,"")</f>
        <v/>
      </c>
      <c r="N97" s="46"/>
      <c r="O97" s="57" t="str">
        <f>IF(COUNT(O66:O96)&gt;0,AVERAGE(O66:O96),"")</f>
        <v/>
      </c>
      <c r="P97" s="58" t="str">
        <f>IF(COUNT(P66:P96)&gt;0,AVERAGE(P66:P96),"")</f>
        <v/>
      </c>
      <c r="Q97" s="47"/>
      <c r="R97" s="68" t="str">
        <f>IF(COUNT(R66:R96)&gt;0,SUM(R66:R96)/100,"")</f>
        <v/>
      </c>
      <c r="S97" s="64" t="str">
        <f>IF(COUNT(S66:S96)&gt;0,AVERAGE(S66:S96),"")</f>
        <v/>
      </c>
      <c r="T97" s="65" t="str">
        <f>IF(COUNT(T66:T96)&gt;0,AVERAGE(T66:T96),"")</f>
        <v/>
      </c>
      <c r="U97" s="66" t="str">
        <f>IF(COUNT(U66:U96)&gt;0,AVERAGE(U66:U96),"")</f>
        <v/>
      </c>
    </row>
    <row r="98" spans="1:21" ht="15" customHeight="1" x14ac:dyDescent="0.25">
      <c r="A98" s="1">
        <f t="shared" ca="1" si="3"/>
        <v>4840</v>
      </c>
      <c r="B98" s="29"/>
      <c r="C98" s="29"/>
      <c r="D98" s="29"/>
      <c r="E98" s="29"/>
      <c r="F98" s="29"/>
      <c r="G98" s="39"/>
      <c r="H98" s="40"/>
      <c r="I98" s="52"/>
      <c r="J98" s="53"/>
      <c r="K98" s="17"/>
      <c r="L98" s="39"/>
      <c r="M98" s="43"/>
      <c r="N98" s="45"/>
      <c r="O98" s="55"/>
      <c r="P98" s="56"/>
      <c r="Q98" s="74"/>
      <c r="R98" s="70"/>
      <c r="S98" s="19"/>
      <c r="T98" s="60"/>
      <c r="U98" s="59"/>
    </row>
    <row r="99" spans="1:21" ht="15" customHeight="1" x14ac:dyDescent="0.25">
      <c r="A99" s="1">
        <f t="shared" ca="1" si="3"/>
        <v>4841</v>
      </c>
      <c r="B99" s="29"/>
      <c r="C99" s="29"/>
      <c r="D99" s="29"/>
      <c r="E99" s="29"/>
      <c r="F99" s="29"/>
      <c r="G99" s="39"/>
      <c r="H99" s="40"/>
      <c r="I99" s="52"/>
      <c r="J99" s="53"/>
      <c r="K99" s="17"/>
      <c r="L99" s="39"/>
      <c r="M99" s="43"/>
      <c r="N99" s="45"/>
      <c r="O99" s="55"/>
      <c r="P99" s="56"/>
      <c r="Q99" s="74"/>
      <c r="R99" s="70"/>
      <c r="S99" s="19"/>
      <c r="T99" s="60"/>
      <c r="U99" s="59"/>
    </row>
    <row r="100" spans="1:21" ht="15" customHeight="1" x14ac:dyDescent="0.25">
      <c r="A100" s="1">
        <f t="shared" ca="1" si="3"/>
        <v>4842</v>
      </c>
      <c r="B100" s="29"/>
      <c r="C100" s="29"/>
      <c r="D100" s="29"/>
      <c r="E100" s="29"/>
      <c r="F100" s="29"/>
      <c r="G100" s="39"/>
      <c r="H100" s="40"/>
      <c r="I100" s="52"/>
      <c r="J100" s="53"/>
      <c r="K100" s="17"/>
      <c r="L100" s="39"/>
      <c r="M100" s="43"/>
      <c r="N100" s="45"/>
      <c r="O100" s="55"/>
      <c r="P100" s="56"/>
      <c r="Q100" s="74"/>
      <c r="R100" s="70"/>
      <c r="S100" s="19"/>
      <c r="T100" s="60"/>
      <c r="U100" s="59"/>
    </row>
    <row r="101" spans="1:21" ht="15" customHeight="1" x14ac:dyDescent="0.25">
      <c r="A101" s="1">
        <f t="shared" ca="1" si="3"/>
        <v>4843</v>
      </c>
      <c r="B101" s="29"/>
      <c r="C101" s="29"/>
      <c r="D101" s="29"/>
      <c r="E101" s="29"/>
      <c r="F101" s="29"/>
      <c r="G101" s="39"/>
      <c r="H101" s="40"/>
      <c r="I101" s="52"/>
      <c r="J101" s="53"/>
      <c r="K101" s="17"/>
      <c r="L101" s="39"/>
      <c r="M101" s="43"/>
      <c r="N101" s="45"/>
      <c r="O101" s="55"/>
      <c r="P101" s="56"/>
      <c r="Q101" s="74"/>
      <c r="R101" s="70"/>
      <c r="S101" s="19"/>
      <c r="T101" s="60"/>
      <c r="U101" s="59"/>
    </row>
    <row r="102" spans="1:21" ht="15" customHeight="1" x14ac:dyDescent="0.25">
      <c r="A102" s="1">
        <f t="shared" ca="1" si="3"/>
        <v>4844</v>
      </c>
      <c r="B102" s="29"/>
      <c r="C102" s="29"/>
      <c r="D102" s="29"/>
      <c r="E102" s="29"/>
      <c r="F102" s="29"/>
      <c r="G102" s="39"/>
      <c r="H102" s="40"/>
      <c r="I102" s="52"/>
      <c r="J102" s="53"/>
      <c r="K102" s="17"/>
      <c r="L102" s="39"/>
      <c r="M102" s="43"/>
      <c r="N102" s="45"/>
      <c r="O102" s="55"/>
      <c r="P102" s="56"/>
      <c r="Q102" s="74"/>
      <c r="R102" s="70"/>
      <c r="S102" s="19"/>
      <c r="T102" s="60"/>
      <c r="U102" s="59"/>
    </row>
    <row r="103" spans="1:21" ht="15" customHeight="1" x14ac:dyDescent="0.25">
      <c r="A103" s="1">
        <f t="shared" ca="1" si="3"/>
        <v>4845</v>
      </c>
      <c r="B103" s="29"/>
      <c r="C103" s="29"/>
      <c r="D103" s="29"/>
      <c r="E103" s="29"/>
      <c r="F103" s="29"/>
      <c r="G103" s="39"/>
      <c r="H103" s="40"/>
      <c r="I103" s="52"/>
      <c r="J103" s="53"/>
      <c r="K103" s="17"/>
      <c r="L103" s="39"/>
      <c r="M103" s="43"/>
      <c r="N103" s="45"/>
      <c r="O103" s="55"/>
      <c r="P103" s="56"/>
      <c r="Q103" s="74"/>
      <c r="R103" s="70"/>
      <c r="S103" s="19"/>
      <c r="T103" s="60"/>
      <c r="U103" s="59"/>
    </row>
    <row r="104" spans="1:21" ht="15" customHeight="1" x14ac:dyDescent="0.25">
      <c r="A104" s="1">
        <f t="shared" ca="1" si="3"/>
        <v>4846</v>
      </c>
      <c r="B104" s="29"/>
      <c r="C104" s="29"/>
      <c r="D104" s="29"/>
      <c r="E104" s="29"/>
      <c r="F104" s="29"/>
      <c r="G104" s="39"/>
      <c r="H104" s="40"/>
      <c r="I104" s="52"/>
      <c r="J104" s="53"/>
      <c r="K104" s="17"/>
      <c r="L104" s="39"/>
      <c r="M104" s="43"/>
      <c r="N104" s="45"/>
      <c r="O104" s="55"/>
      <c r="P104" s="56"/>
      <c r="Q104" s="74"/>
      <c r="R104" s="70"/>
      <c r="S104" s="19"/>
      <c r="T104" s="60"/>
      <c r="U104" s="59"/>
    </row>
    <row r="105" spans="1:21" ht="15" customHeight="1" x14ac:dyDescent="0.25">
      <c r="A105" s="1">
        <f t="shared" ca="1" si="3"/>
        <v>4847</v>
      </c>
      <c r="B105" s="29"/>
      <c r="C105" s="29"/>
      <c r="D105" s="29"/>
      <c r="E105" s="29"/>
      <c r="F105" s="29"/>
      <c r="G105" s="39"/>
      <c r="H105" s="40"/>
      <c r="I105" s="52"/>
      <c r="J105" s="53"/>
      <c r="K105" s="17"/>
      <c r="L105" s="39"/>
      <c r="M105" s="43"/>
      <c r="N105" s="45"/>
      <c r="O105" s="55"/>
      <c r="P105" s="56"/>
      <c r="Q105" s="74"/>
      <c r="R105" s="70"/>
      <c r="S105" s="19"/>
      <c r="T105" s="60"/>
      <c r="U105" s="59"/>
    </row>
    <row r="106" spans="1:21" ht="15" customHeight="1" x14ac:dyDescent="0.25">
      <c r="A106" s="1">
        <f t="shared" ca="1" si="3"/>
        <v>4848</v>
      </c>
      <c r="B106" s="29"/>
      <c r="C106" s="29"/>
      <c r="D106" s="29"/>
      <c r="E106" s="29"/>
      <c r="F106" s="29"/>
      <c r="G106" s="39"/>
      <c r="H106" s="40"/>
      <c r="I106" s="52"/>
      <c r="J106" s="53"/>
      <c r="K106" s="17"/>
      <c r="L106" s="39"/>
      <c r="M106" s="43"/>
      <c r="N106" s="45"/>
      <c r="O106" s="55"/>
      <c r="P106" s="56"/>
      <c r="Q106" s="74"/>
      <c r="R106" s="70"/>
      <c r="S106" s="19"/>
      <c r="T106" s="60"/>
      <c r="U106" s="59"/>
    </row>
    <row r="107" spans="1:21" ht="15" customHeight="1" x14ac:dyDescent="0.25">
      <c r="A107" s="1">
        <f t="shared" ca="1" si="3"/>
        <v>4849</v>
      </c>
      <c r="B107" s="29"/>
      <c r="C107" s="29"/>
      <c r="D107" s="29"/>
      <c r="E107" s="29"/>
      <c r="F107" s="29"/>
      <c r="G107" s="39"/>
      <c r="H107" s="40"/>
      <c r="I107" s="52"/>
      <c r="J107" s="53"/>
      <c r="K107" s="17"/>
      <c r="L107" s="39"/>
      <c r="M107" s="43"/>
      <c r="N107" s="45"/>
      <c r="O107" s="55"/>
      <c r="P107" s="56"/>
      <c r="Q107" s="74"/>
      <c r="R107" s="70"/>
      <c r="S107" s="19"/>
      <c r="T107" s="60"/>
      <c r="U107" s="59"/>
    </row>
    <row r="108" spans="1:21" ht="15" customHeight="1" x14ac:dyDescent="0.25">
      <c r="A108" s="1">
        <f t="shared" ca="1" si="3"/>
        <v>4850</v>
      </c>
      <c r="B108" s="29"/>
      <c r="C108" s="29"/>
      <c r="D108" s="29"/>
      <c r="E108" s="29"/>
      <c r="F108" s="29"/>
      <c r="G108" s="39"/>
      <c r="H108" s="40"/>
      <c r="I108" s="52"/>
      <c r="J108" s="53"/>
      <c r="K108" s="17"/>
      <c r="L108" s="39"/>
      <c r="M108" s="43"/>
      <c r="N108" s="45"/>
      <c r="O108" s="55"/>
      <c r="P108" s="56"/>
      <c r="Q108" s="74"/>
      <c r="R108" s="70"/>
      <c r="S108" s="19"/>
      <c r="T108" s="60"/>
      <c r="U108" s="59"/>
    </row>
    <row r="109" spans="1:21" ht="15" customHeight="1" x14ac:dyDescent="0.25">
      <c r="A109" s="1">
        <f t="shared" ca="1" si="3"/>
        <v>4851</v>
      </c>
      <c r="B109" s="29"/>
      <c r="C109" s="29"/>
      <c r="D109" s="29"/>
      <c r="E109" s="29"/>
      <c r="F109" s="29"/>
      <c r="G109" s="39"/>
      <c r="H109" s="40"/>
      <c r="I109" s="52"/>
      <c r="J109" s="53"/>
      <c r="K109" s="17"/>
      <c r="L109" s="39"/>
      <c r="M109" s="43"/>
      <c r="N109" s="45"/>
      <c r="O109" s="55"/>
      <c r="P109" s="56"/>
      <c r="Q109" s="74"/>
      <c r="R109" s="70"/>
      <c r="S109" s="19"/>
      <c r="T109" s="60"/>
      <c r="U109" s="59"/>
    </row>
    <row r="110" spans="1:21" ht="15" customHeight="1" x14ac:dyDescent="0.25">
      <c r="A110" s="1">
        <f t="shared" ca="1" si="3"/>
        <v>4852</v>
      </c>
      <c r="B110" s="29"/>
      <c r="C110" s="29"/>
      <c r="D110" s="29"/>
      <c r="E110" s="29"/>
      <c r="F110" s="29"/>
      <c r="G110" s="39"/>
      <c r="H110" s="40"/>
      <c r="I110" s="52"/>
      <c r="J110" s="53"/>
      <c r="K110" s="17"/>
      <c r="L110" s="39"/>
      <c r="M110" s="43"/>
      <c r="N110" s="45"/>
      <c r="O110" s="55"/>
      <c r="P110" s="56"/>
      <c r="Q110" s="74"/>
      <c r="R110" s="70"/>
      <c r="S110" s="19"/>
      <c r="T110" s="60"/>
      <c r="U110" s="59"/>
    </row>
    <row r="111" spans="1:21" ht="15" customHeight="1" x14ac:dyDescent="0.25">
      <c r="A111" s="1">
        <f t="shared" ca="1" si="3"/>
        <v>4853</v>
      </c>
      <c r="B111" s="29"/>
      <c r="C111" s="29"/>
      <c r="D111" s="29"/>
      <c r="E111" s="29"/>
      <c r="F111" s="29"/>
      <c r="G111" s="39"/>
      <c r="H111" s="40"/>
      <c r="I111" s="52"/>
      <c r="J111" s="53"/>
      <c r="K111" s="17"/>
      <c r="L111" s="39"/>
      <c r="M111" s="43"/>
      <c r="N111" s="45"/>
      <c r="O111" s="55"/>
      <c r="P111" s="56"/>
      <c r="Q111" s="74"/>
      <c r="R111" s="70"/>
      <c r="S111" s="19"/>
      <c r="T111" s="60"/>
      <c r="U111" s="59"/>
    </row>
    <row r="112" spans="1:21" ht="15" customHeight="1" x14ac:dyDescent="0.25">
      <c r="A112" s="1">
        <f t="shared" ca="1" si="3"/>
        <v>4854</v>
      </c>
      <c r="B112" s="29"/>
      <c r="C112" s="29"/>
      <c r="D112" s="29"/>
      <c r="E112" s="29"/>
      <c r="F112" s="29"/>
      <c r="G112" s="39"/>
      <c r="H112" s="40"/>
      <c r="I112" s="52"/>
      <c r="J112" s="53"/>
      <c r="K112" s="17"/>
      <c r="L112" s="39"/>
      <c r="M112" s="43"/>
      <c r="N112" s="45"/>
      <c r="O112" s="55"/>
      <c r="P112" s="56"/>
      <c r="Q112" s="74"/>
      <c r="R112" s="70"/>
      <c r="S112" s="19"/>
      <c r="T112" s="60"/>
      <c r="U112" s="59"/>
    </row>
    <row r="113" spans="1:21" ht="15" customHeight="1" x14ac:dyDescent="0.25">
      <c r="A113" s="1">
        <f t="shared" ca="1" si="3"/>
        <v>4855</v>
      </c>
      <c r="B113" s="29"/>
      <c r="C113" s="29"/>
      <c r="D113" s="29"/>
      <c r="E113" s="29"/>
      <c r="F113" s="29"/>
      <c r="G113" s="39"/>
      <c r="H113" s="40"/>
      <c r="I113" s="52"/>
      <c r="J113" s="53"/>
      <c r="K113" s="17"/>
      <c r="L113" s="39"/>
      <c r="M113" s="43"/>
      <c r="N113" s="45"/>
      <c r="O113" s="55"/>
      <c r="P113" s="56"/>
      <c r="Q113" s="74"/>
      <c r="R113" s="70"/>
      <c r="S113" s="19"/>
      <c r="T113" s="60"/>
      <c r="U113" s="59"/>
    </row>
    <row r="114" spans="1:21" ht="15" customHeight="1" x14ac:dyDescent="0.25">
      <c r="A114" s="1">
        <f t="shared" ca="1" si="3"/>
        <v>4856</v>
      </c>
      <c r="B114" s="29"/>
      <c r="C114" s="29"/>
      <c r="D114" s="29"/>
      <c r="E114" s="29"/>
      <c r="F114" s="29"/>
      <c r="G114" s="39"/>
      <c r="H114" s="40"/>
      <c r="I114" s="52"/>
      <c r="J114" s="53"/>
      <c r="K114" s="17"/>
      <c r="L114" s="39"/>
      <c r="M114" s="43"/>
      <c r="N114" s="45"/>
      <c r="O114" s="55"/>
      <c r="P114" s="56"/>
      <c r="Q114" s="74"/>
      <c r="R114" s="70"/>
      <c r="S114" s="19"/>
      <c r="T114" s="60"/>
      <c r="U114" s="59"/>
    </row>
    <row r="115" spans="1:21" ht="15" customHeight="1" x14ac:dyDescent="0.25">
      <c r="A115" s="1">
        <f t="shared" ca="1" si="3"/>
        <v>4857</v>
      </c>
      <c r="B115" s="29"/>
      <c r="C115" s="29"/>
      <c r="D115" s="29"/>
      <c r="E115" s="29"/>
      <c r="F115" s="29"/>
      <c r="G115" s="39"/>
      <c r="H115" s="40"/>
      <c r="I115" s="52"/>
      <c r="J115" s="53"/>
      <c r="K115" s="17"/>
      <c r="L115" s="39"/>
      <c r="M115" s="43"/>
      <c r="N115" s="45"/>
      <c r="O115" s="55"/>
      <c r="P115" s="56"/>
      <c r="Q115" s="74"/>
      <c r="R115" s="70"/>
      <c r="S115" s="19"/>
      <c r="T115" s="60"/>
      <c r="U115" s="59"/>
    </row>
    <row r="116" spans="1:21" ht="15" customHeight="1" x14ac:dyDescent="0.25">
      <c r="A116" s="1">
        <f t="shared" ca="1" si="3"/>
        <v>4858</v>
      </c>
      <c r="B116" s="29"/>
      <c r="C116" s="29"/>
      <c r="D116" s="29"/>
      <c r="E116" s="29"/>
      <c r="F116" s="29"/>
      <c r="G116" s="39"/>
      <c r="H116" s="40"/>
      <c r="I116" s="52"/>
      <c r="J116" s="53"/>
      <c r="K116" s="17"/>
      <c r="L116" s="39"/>
      <c r="M116" s="43"/>
      <c r="N116" s="45"/>
      <c r="O116" s="55"/>
      <c r="P116" s="56"/>
      <c r="Q116" s="74"/>
      <c r="R116" s="70"/>
      <c r="S116" s="19"/>
      <c r="T116" s="60"/>
      <c r="U116" s="59"/>
    </row>
    <row r="117" spans="1:21" ht="15" customHeight="1" x14ac:dyDescent="0.25">
      <c r="A117" s="1">
        <f t="shared" ca="1" si="3"/>
        <v>4859</v>
      </c>
      <c r="B117" s="29"/>
      <c r="C117" s="29"/>
      <c r="D117" s="29"/>
      <c r="E117" s="29"/>
      <c r="F117" s="29"/>
      <c r="G117" s="39"/>
      <c r="H117" s="40"/>
      <c r="I117" s="52"/>
      <c r="J117" s="53"/>
      <c r="K117" s="17"/>
      <c r="L117" s="39"/>
      <c r="M117" s="43"/>
      <c r="N117" s="45"/>
      <c r="O117" s="55"/>
      <c r="P117" s="56"/>
      <c r="Q117" s="74"/>
      <c r="R117" s="70"/>
      <c r="S117" s="19"/>
      <c r="T117" s="60"/>
      <c r="U117" s="59"/>
    </row>
    <row r="118" spans="1:21" ht="15" customHeight="1" x14ac:dyDescent="0.25">
      <c r="A118" s="1">
        <f t="shared" ca="1" si="3"/>
        <v>4860</v>
      </c>
      <c r="B118" s="29"/>
      <c r="C118" s="29"/>
      <c r="D118" s="29"/>
      <c r="E118" s="29"/>
      <c r="F118" s="29"/>
      <c r="G118" s="39"/>
      <c r="H118" s="40"/>
      <c r="I118" s="52"/>
      <c r="J118" s="53"/>
      <c r="K118" s="17"/>
      <c r="L118" s="39"/>
      <c r="M118" s="43"/>
      <c r="N118" s="45"/>
      <c r="O118" s="55"/>
      <c r="P118" s="56"/>
      <c r="Q118" s="74"/>
      <c r="R118" s="70"/>
      <c r="S118" s="19"/>
      <c r="T118" s="60"/>
      <c r="U118" s="59"/>
    </row>
    <row r="119" spans="1:21" ht="15" customHeight="1" x14ac:dyDescent="0.25">
      <c r="A119" s="1">
        <f t="shared" ca="1" si="3"/>
        <v>4861</v>
      </c>
      <c r="B119" s="29"/>
      <c r="C119" s="29"/>
      <c r="D119" s="29"/>
      <c r="E119" s="29"/>
      <c r="F119" s="29"/>
      <c r="G119" s="39"/>
      <c r="H119" s="40"/>
      <c r="I119" s="52"/>
      <c r="J119" s="53"/>
      <c r="K119" s="17"/>
      <c r="L119" s="39"/>
      <c r="M119" s="43"/>
      <c r="N119" s="45"/>
      <c r="O119" s="55"/>
      <c r="P119" s="56"/>
      <c r="Q119" s="74"/>
      <c r="R119" s="70"/>
      <c r="S119" s="19"/>
      <c r="T119" s="60"/>
      <c r="U119" s="59"/>
    </row>
    <row r="120" spans="1:21" ht="15" customHeight="1" x14ac:dyDescent="0.25">
      <c r="A120" s="1">
        <f t="shared" ca="1" si="3"/>
        <v>4862</v>
      </c>
      <c r="B120" s="29"/>
      <c r="C120" s="29"/>
      <c r="D120" s="29"/>
      <c r="E120" s="29"/>
      <c r="F120" s="29"/>
      <c r="G120" s="39"/>
      <c r="H120" s="40"/>
      <c r="I120" s="52"/>
      <c r="J120" s="53"/>
      <c r="K120" s="17"/>
      <c r="L120" s="39"/>
      <c r="M120" s="43"/>
      <c r="N120" s="45"/>
      <c r="O120" s="55"/>
      <c r="P120" s="56"/>
      <c r="Q120" s="74"/>
      <c r="R120" s="70"/>
      <c r="S120" s="19"/>
      <c r="T120" s="60"/>
      <c r="U120" s="59"/>
    </row>
    <row r="121" spans="1:21" ht="15" customHeight="1" x14ac:dyDescent="0.25">
      <c r="A121" s="1">
        <f t="shared" ca="1" si="3"/>
        <v>4863</v>
      </c>
      <c r="B121" s="29"/>
      <c r="C121" s="29"/>
      <c r="D121" s="29"/>
      <c r="E121" s="29"/>
      <c r="F121" s="29"/>
      <c r="G121" s="39"/>
      <c r="H121" s="40"/>
      <c r="I121" s="52"/>
      <c r="J121" s="53"/>
      <c r="K121" s="17"/>
      <c r="L121" s="39"/>
      <c r="M121" s="43"/>
      <c r="N121" s="45"/>
      <c r="O121" s="55"/>
      <c r="P121" s="56"/>
      <c r="Q121" s="74"/>
      <c r="R121" s="70"/>
      <c r="S121" s="19"/>
      <c r="T121" s="60"/>
      <c r="U121" s="59"/>
    </row>
    <row r="122" spans="1:21" ht="15" customHeight="1" x14ac:dyDescent="0.25">
      <c r="A122" s="1">
        <f t="shared" ca="1" si="3"/>
        <v>4864</v>
      </c>
      <c r="B122" s="29"/>
      <c r="C122" s="29"/>
      <c r="D122" s="29"/>
      <c r="E122" s="29"/>
      <c r="F122" s="29"/>
      <c r="G122" s="39"/>
      <c r="H122" s="40"/>
      <c r="I122" s="52"/>
      <c r="J122" s="53"/>
      <c r="K122" s="17"/>
      <c r="L122" s="39"/>
      <c r="M122" s="43"/>
      <c r="N122" s="45"/>
      <c r="O122" s="55"/>
      <c r="P122" s="56"/>
      <c r="Q122" s="74"/>
      <c r="R122" s="70"/>
      <c r="S122" s="19"/>
      <c r="T122" s="60"/>
      <c r="U122" s="59"/>
    </row>
    <row r="123" spans="1:21" ht="15" customHeight="1" x14ac:dyDescent="0.25">
      <c r="A123" s="1">
        <f t="shared" ca="1" si="3"/>
        <v>4865</v>
      </c>
      <c r="B123" s="29"/>
      <c r="C123" s="29"/>
      <c r="D123" s="29"/>
      <c r="E123" s="29"/>
      <c r="F123" s="29"/>
      <c r="G123" s="39"/>
      <c r="H123" s="40"/>
      <c r="I123" s="52"/>
      <c r="J123" s="53"/>
      <c r="K123" s="17"/>
      <c r="L123" s="39"/>
      <c r="M123" s="43"/>
      <c r="N123" s="45"/>
      <c r="O123" s="55"/>
      <c r="P123" s="56"/>
      <c r="Q123" s="74"/>
      <c r="R123" s="70"/>
      <c r="S123" s="19"/>
      <c r="T123" s="60"/>
      <c r="U123" s="59"/>
    </row>
    <row r="124" spans="1:21" ht="15" customHeight="1" x14ac:dyDescent="0.25">
      <c r="A124" s="1">
        <f t="shared" ca="1" si="3"/>
        <v>4866</v>
      </c>
      <c r="B124" s="29"/>
      <c r="C124" s="29"/>
      <c r="D124" s="29"/>
      <c r="E124" s="29"/>
      <c r="F124" s="29"/>
      <c r="G124" s="39"/>
      <c r="H124" s="40"/>
      <c r="I124" s="52"/>
      <c r="J124" s="53"/>
      <c r="K124" s="17"/>
      <c r="L124" s="39"/>
      <c r="M124" s="43"/>
      <c r="N124" s="45"/>
      <c r="O124" s="55"/>
      <c r="P124" s="56"/>
      <c r="Q124" s="74"/>
      <c r="R124" s="70"/>
      <c r="S124" s="19"/>
      <c r="T124" s="60"/>
      <c r="U124" s="59"/>
    </row>
    <row r="125" spans="1:21" ht="15" customHeight="1" x14ac:dyDescent="0.25">
      <c r="A125" s="1">
        <f t="shared" ca="1" si="3"/>
        <v>4867</v>
      </c>
      <c r="B125" s="29"/>
      <c r="C125" s="29"/>
      <c r="D125" s="29"/>
      <c r="E125" s="29"/>
      <c r="F125" s="29"/>
      <c r="G125" s="39"/>
      <c r="H125" s="40"/>
      <c r="I125" s="52"/>
      <c r="J125" s="53"/>
      <c r="K125" s="17"/>
      <c r="L125" s="39"/>
      <c r="M125" s="43"/>
      <c r="N125" s="45"/>
      <c r="O125" s="55"/>
      <c r="P125" s="56"/>
      <c r="Q125" s="74"/>
      <c r="R125" s="70"/>
      <c r="S125" s="19"/>
      <c r="T125" s="60"/>
      <c r="U125" s="59"/>
    </row>
    <row r="126" spans="1:21" ht="15" customHeight="1" x14ac:dyDescent="0.25">
      <c r="A126" s="1">
        <f t="shared" ca="1" si="3"/>
        <v>4868</v>
      </c>
      <c r="B126" s="29"/>
      <c r="C126" s="29"/>
      <c r="D126" s="29"/>
      <c r="E126" s="29"/>
      <c r="F126" s="29"/>
      <c r="G126" s="39"/>
      <c r="H126" s="40"/>
      <c r="I126" s="52"/>
      <c r="J126" s="53"/>
      <c r="K126" s="17"/>
      <c r="L126" s="39"/>
      <c r="M126" s="43"/>
      <c r="N126" s="45"/>
      <c r="O126" s="55"/>
      <c r="P126" s="56"/>
      <c r="Q126" s="74"/>
      <c r="R126" s="70"/>
      <c r="S126" s="19"/>
      <c r="T126" s="60"/>
      <c r="U126" s="59"/>
    </row>
    <row r="127" spans="1:21" ht="15" customHeight="1" x14ac:dyDescent="0.25">
      <c r="A127" s="1">
        <f t="shared" ca="1" si="3"/>
        <v>4869</v>
      </c>
      <c r="B127" s="29"/>
      <c r="C127" s="29"/>
      <c r="D127" s="29"/>
      <c r="E127" s="29"/>
      <c r="F127" s="29"/>
      <c r="G127" s="39"/>
      <c r="H127" s="40"/>
      <c r="I127" s="52"/>
      <c r="J127" s="53"/>
      <c r="K127" s="17"/>
      <c r="L127" s="39"/>
      <c r="M127" s="43"/>
      <c r="N127" s="45"/>
      <c r="O127" s="55"/>
      <c r="P127" s="56"/>
      <c r="Q127" s="74"/>
      <c r="R127" s="70"/>
      <c r="S127" s="19"/>
      <c r="T127" s="60"/>
      <c r="U127" s="59"/>
    </row>
    <row r="128" spans="1:21" x14ac:dyDescent="0.25">
      <c r="A128" s="1" t="str">
        <f t="shared" ca="1" si="3"/>
        <v>Totaal</v>
      </c>
      <c r="B128" s="61" t="str">
        <f>IF(COUNT(B98:B127)&gt;0,AVERAGE(B98:B127)/10,"")</f>
        <v/>
      </c>
      <c r="C128" s="62" t="str">
        <f>IF(COUNT(C98:C127)&gt;0,AVERAGE(C98:C127)/1000,"")</f>
        <v/>
      </c>
      <c r="D128" s="62" t="str">
        <f>IF(COUNT(D98:D127)&gt;0,AVERAGE(D98:D127)/1000,"")</f>
        <v/>
      </c>
      <c r="E128" s="62" t="str">
        <f>IF(COUNT(E98:E127)&gt;0,AVERAGE(E98:E127)/1000,"")</f>
        <v/>
      </c>
      <c r="F128" s="62" t="str">
        <f>IF(COUNT(F98:F127)&gt;0,AVERAGE(F98:F127)/100,"")</f>
        <v/>
      </c>
      <c r="G128" s="41" t="str">
        <f>IF(COUNT(G98:G127)&gt;0,AVERAGE(G98:G127)/10,"")</f>
        <v/>
      </c>
      <c r="H128" s="42" t="str">
        <f>IF(COUNT(H98:H127)&gt;0,AVERAGE(H98:H127)/10,"")</f>
        <v/>
      </c>
      <c r="I128" s="18" t="str">
        <f>IF(COUNT(I98:I127)&gt;0,AVERAGE(I98:I127)/10,"")</f>
        <v/>
      </c>
      <c r="J128" s="54" t="str">
        <f>IF(COUNT(J98:J127)&gt;0,AVERAGE(J98:J127),"")</f>
        <v/>
      </c>
      <c r="K128" s="51" t="str">
        <f>IF(COUNT(K98:K127)&gt;0,AVERAGE(K98:K127)/1000,"")</f>
        <v/>
      </c>
      <c r="L128" s="41" t="str">
        <f>IF(COUNT(L98:L127)&gt;0,AVERAGE(L98:L127)/10,"")</f>
        <v/>
      </c>
      <c r="M128" s="44" t="str">
        <f>IF(COUNT(M98:M127)&gt;0,AVERAGE(M98:M127)/10,"")</f>
        <v/>
      </c>
      <c r="N128" s="46"/>
      <c r="O128" s="57" t="str">
        <f>IF(COUNT(O98:O127)&gt;0,AVERAGE(O98:O127),"")</f>
        <v/>
      </c>
      <c r="P128" s="58" t="str">
        <f>IF(COUNT(P98:P127)&gt;0,AVERAGE(P98:P127),"")</f>
        <v/>
      </c>
      <c r="Q128" s="47"/>
      <c r="R128" s="68" t="str">
        <f>IF(COUNT(R98:R127)&gt;0,SUM(R98:R127)/100,"")</f>
        <v/>
      </c>
      <c r="S128" s="64" t="str">
        <f>IF(COUNT(S98:S127)&gt;0,AVERAGE(S98:S127),"")</f>
        <v/>
      </c>
      <c r="T128" s="65" t="str">
        <f>IF(COUNT(T98:T127)&gt;0,AVERAGE(T98:T127),"")</f>
        <v/>
      </c>
      <c r="U128" s="66" t="str">
        <f>IF(COUNT(U98:U127)&gt;0,AVERAGE(U98:U127),"")</f>
        <v/>
      </c>
    </row>
    <row r="129" spans="1:21" ht="15" customHeight="1" x14ac:dyDescent="0.25">
      <c r="A129" s="1">
        <f t="shared" ca="1" si="3"/>
        <v>4870</v>
      </c>
      <c r="B129" s="29"/>
      <c r="C129" s="29"/>
      <c r="D129" s="29"/>
      <c r="E129" s="29"/>
      <c r="F129" s="29"/>
      <c r="G129" s="39"/>
      <c r="H129" s="40"/>
      <c r="I129" s="52"/>
      <c r="J129" s="53"/>
      <c r="K129" s="17"/>
      <c r="L129" s="39"/>
      <c r="M129" s="43"/>
      <c r="N129" s="45"/>
      <c r="O129" s="55"/>
      <c r="P129" s="56"/>
      <c r="Q129" s="74"/>
      <c r="R129" s="70"/>
      <c r="S129" s="19"/>
      <c r="T129" s="60"/>
      <c r="U129" s="59"/>
    </row>
    <row r="130" spans="1:21" ht="15" customHeight="1" x14ac:dyDescent="0.25">
      <c r="A130" s="1">
        <f t="shared" ca="1" si="3"/>
        <v>4871</v>
      </c>
      <c r="B130" s="29"/>
      <c r="C130" s="29"/>
      <c r="D130" s="29"/>
      <c r="E130" s="29"/>
      <c r="F130" s="29"/>
      <c r="G130" s="39"/>
      <c r="H130" s="40"/>
      <c r="I130" s="52"/>
      <c r="J130" s="53"/>
      <c r="K130" s="17"/>
      <c r="L130" s="39"/>
      <c r="M130" s="43"/>
      <c r="N130" s="45"/>
      <c r="O130" s="55"/>
      <c r="P130" s="56"/>
      <c r="Q130" s="74"/>
      <c r="R130" s="70"/>
      <c r="S130" s="19"/>
      <c r="T130" s="60"/>
      <c r="U130" s="59"/>
    </row>
    <row r="131" spans="1:21" ht="15" customHeight="1" x14ac:dyDescent="0.25">
      <c r="A131" s="1">
        <f t="shared" ca="1" si="3"/>
        <v>4872</v>
      </c>
      <c r="B131" s="29"/>
      <c r="C131" s="29"/>
      <c r="D131" s="29"/>
      <c r="E131" s="29"/>
      <c r="F131" s="29"/>
      <c r="G131" s="39"/>
      <c r="H131" s="40"/>
      <c r="I131" s="52"/>
      <c r="J131" s="53"/>
      <c r="K131" s="17"/>
      <c r="L131" s="39"/>
      <c r="M131" s="43"/>
      <c r="N131" s="45"/>
      <c r="O131" s="55"/>
      <c r="P131" s="56"/>
      <c r="Q131" s="74"/>
      <c r="R131" s="70"/>
      <c r="S131" s="19"/>
      <c r="T131" s="60"/>
      <c r="U131" s="59"/>
    </row>
    <row r="132" spans="1:21" ht="15" customHeight="1" x14ac:dyDescent="0.25">
      <c r="A132" s="1">
        <f t="shared" ca="1" si="3"/>
        <v>4873</v>
      </c>
      <c r="B132" s="29"/>
      <c r="C132" s="29"/>
      <c r="D132" s="29"/>
      <c r="E132" s="29"/>
      <c r="F132" s="29"/>
      <c r="G132" s="39"/>
      <c r="H132" s="40"/>
      <c r="I132" s="52"/>
      <c r="J132" s="53"/>
      <c r="K132" s="17"/>
      <c r="L132" s="39"/>
      <c r="M132" s="43"/>
      <c r="N132" s="45"/>
      <c r="O132" s="55"/>
      <c r="P132" s="56"/>
      <c r="Q132" s="74"/>
      <c r="R132" s="70"/>
      <c r="S132" s="19"/>
      <c r="T132" s="60"/>
      <c r="U132" s="59"/>
    </row>
    <row r="133" spans="1:21" ht="15" customHeight="1" x14ac:dyDescent="0.25">
      <c r="A133" s="1">
        <f t="shared" ca="1" si="3"/>
        <v>4874</v>
      </c>
      <c r="B133" s="29"/>
      <c r="C133" s="29"/>
      <c r="D133" s="29"/>
      <c r="E133" s="29"/>
      <c r="F133" s="29"/>
      <c r="G133" s="39"/>
      <c r="H133" s="40"/>
      <c r="I133" s="52"/>
      <c r="J133" s="53"/>
      <c r="K133" s="17"/>
      <c r="L133" s="39"/>
      <c r="M133" s="43"/>
      <c r="N133" s="45"/>
      <c r="O133" s="55"/>
      <c r="P133" s="56"/>
      <c r="Q133" s="74"/>
      <c r="R133" s="70"/>
      <c r="S133" s="19"/>
      <c r="T133" s="60"/>
      <c r="U133" s="59"/>
    </row>
    <row r="134" spans="1:21" ht="15" customHeight="1" x14ac:dyDescent="0.25">
      <c r="A134" s="1">
        <f t="shared" ca="1" si="3"/>
        <v>4875</v>
      </c>
      <c r="B134" s="29"/>
      <c r="C134" s="29"/>
      <c r="D134" s="29"/>
      <c r="E134" s="29"/>
      <c r="F134" s="29"/>
      <c r="G134" s="39"/>
      <c r="H134" s="40"/>
      <c r="I134" s="52"/>
      <c r="J134" s="53"/>
      <c r="K134" s="17"/>
      <c r="L134" s="39"/>
      <c r="M134" s="43"/>
      <c r="N134" s="45"/>
      <c r="O134" s="55"/>
      <c r="P134" s="56"/>
      <c r="Q134" s="74"/>
      <c r="R134" s="70"/>
      <c r="S134" s="19"/>
      <c r="T134" s="60"/>
      <c r="U134" s="59"/>
    </row>
    <row r="135" spans="1:21" ht="15" customHeight="1" x14ac:dyDescent="0.25">
      <c r="A135" s="1">
        <f t="shared" ref="A135:A198" ca="1" si="7">IF(ISTEXT(A134),A133+1,IF(MONTH(A134+1)=MONTH(A134),A134+1,"Totaal"))</f>
        <v>4876</v>
      </c>
      <c r="B135" s="29"/>
      <c r="C135" s="29"/>
      <c r="D135" s="29"/>
      <c r="E135" s="29"/>
      <c r="F135" s="29"/>
      <c r="G135" s="39"/>
      <c r="H135" s="40"/>
      <c r="I135" s="52"/>
      <c r="J135" s="53"/>
      <c r="K135" s="17"/>
      <c r="L135" s="39"/>
      <c r="M135" s="43"/>
      <c r="N135" s="45"/>
      <c r="O135" s="55"/>
      <c r="P135" s="56"/>
      <c r="Q135" s="74"/>
      <c r="R135" s="70"/>
      <c r="S135" s="19"/>
      <c r="T135" s="60"/>
      <c r="U135" s="59"/>
    </row>
    <row r="136" spans="1:21" ht="15" customHeight="1" x14ac:dyDescent="0.25">
      <c r="A136" s="1">
        <f t="shared" ca="1" si="7"/>
        <v>4877</v>
      </c>
      <c r="B136" s="29"/>
      <c r="C136" s="29"/>
      <c r="D136" s="29"/>
      <c r="E136" s="29"/>
      <c r="F136" s="29"/>
      <c r="G136" s="39"/>
      <c r="H136" s="40"/>
      <c r="I136" s="52"/>
      <c r="J136" s="53"/>
      <c r="K136" s="17"/>
      <c r="L136" s="39"/>
      <c r="M136" s="43"/>
      <c r="N136" s="45"/>
      <c r="O136" s="55"/>
      <c r="P136" s="56"/>
      <c r="Q136" s="74"/>
      <c r="R136" s="70"/>
      <c r="S136" s="19"/>
      <c r="T136" s="60"/>
      <c r="U136" s="59"/>
    </row>
    <row r="137" spans="1:21" ht="15" customHeight="1" x14ac:dyDescent="0.25">
      <c r="A137" s="1">
        <f t="shared" ca="1" si="7"/>
        <v>4878</v>
      </c>
      <c r="B137" s="29"/>
      <c r="C137" s="29"/>
      <c r="D137" s="29"/>
      <c r="E137" s="29"/>
      <c r="F137" s="29"/>
      <c r="G137" s="39"/>
      <c r="H137" s="40"/>
      <c r="I137" s="52"/>
      <c r="J137" s="53"/>
      <c r="K137" s="17"/>
      <c r="L137" s="39"/>
      <c r="M137" s="43"/>
      <c r="N137" s="45"/>
      <c r="O137" s="55"/>
      <c r="P137" s="56"/>
      <c r="Q137" s="74"/>
      <c r="R137" s="70"/>
      <c r="S137" s="19"/>
      <c r="T137" s="60"/>
      <c r="U137" s="59"/>
    </row>
    <row r="138" spans="1:21" ht="15" customHeight="1" x14ac:dyDescent="0.25">
      <c r="A138" s="1">
        <f t="shared" ca="1" si="7"/>
        <v>4879</v>
      </c>
      <c r="B138" s="29"/>
      <c r="C138" s="29"/>
      <c r="D138" s="29"/>
      <c r="E138" s="29"/>
      <c r="F138" s="29"/>
      <c r="G138" s="39"/>
      <c r="H138" s="40"/>
      <c r="I138" s="52"/>
      <c r="J138" s="53"/>
      <c r="K138" s="17"/>
      <c r="L138" s="39"/>
      <c r="M138" s="43"/>
      <c r="N138" s="45"/>
      <c r="O138" s="55"/>
      <c r="P138" s="56"/>
      <c r="Q138" s="74"/>
      <c r="R138" s="70"/>
      <c r="S138" s="19"/>
      <c r="T138" s="60"/>
      <c r="U138" s="59"/>
    </row>
    <row r="139" spans="1:21" ht="15" customHeight="1" x14ac:dyDescent="0.25">
      <c r="A139" s="1">
        <f t="shared" ca="1" si="7"/>
        <v>4880</v>
      </c>
      <c r="B139" s="29"/>
      <c r="C139" s="29"/>
      <c r="D139" s="29"/>
      <c r="E139" s="29"/>
      <c r="F139" s="29"/>
      <c r="G139" s="39"/>
      <c r="H139" s="40"/>
      <c r="I139" s="52"/>
      <c r="J139" s="53"/>
      <c r="K139" s="17"/>
      <c r="L139" s="39"/>
      <c r="M139" s="43"/>
      <c r="N139" s="45"/>
      <c r="O139" s="55"/>
      <c r="P139" s="56"/>
      <c r="Q139" s="74"/>
      <c r="R139" s="70"/>
      <c r="S139" s="19"/>
      <c r="T139" s="60"/>
      <c r="U139" s="59"/>
    </row>
    <row r="140" spans="1:21" ht="15" customHeight="1" x14ac:dyDescent="0.25">
      <c r="A140" s="1">
        <f t="shared" ca="1" si="7"/>
        <v>4881</v>
      </c>
      <c r="B140" s="29"/>
      <c r="C140" s="29"/>
      <c r="D140" s="29"/>
      <c r="E140" s="29"/>
      <c r="F140" s="29"/>
      <c r="G140" s="39"/>
      <c r="H140" s="40"/>
      <c r="I140" s="52"/>
      <c r="J140" s="53"/>
      <c r="K140" s="17"/>
      <c r="L140" s="39"/>
      <c r="M140" s="43"/>
      <c r="N140" s="45"/>
      <c r="O140" s="55"/>
      <c r="P140" s="56"/>
      <c r="Q140" s="74"/>
      <c r="R140" s="70"/>
      <c r="S140" s="19"/>
      <c r="T140" s="60"/>
      <c r="U140" s="59"/>
    </row>
    <row r="141" spans="1:21" ht="15" customHeight="1" x14ac:dyDescent="0.25">
      <c r="A141" s="1">
        <f t="shared" ca="1" si="7"/>
        <v>4882</v>
      </c>
      <c r="B141" s="29"/>
      <c r="C141" s="29"/>
      <c r="D141" s="29"/>
      <c r="E141" s="29"/>
      <c r="F141" s="29"/>
      <c r="G141" s="39"/>
      <c r="H141" s="40"/>
      <c r="I141" s="52"/>
      <c r="J141" s="53"/>
      <c r="K141" s="17"/>
      <c r="L141" s="39"/>
      <c r="M141" s="43"/>
      <c r="N141" s="45"/>
      <c r="O141" s="55"/>
      <c r="P141" s="56"/>
      <c r="Q141" s="74"/>
      <c r="R141" s="70"/>
      <c r="S141" s="19"/>
      <c r="T141" s="60"/>
      <c r="U141" s="59"/>
    </row>
    <row r="142" spans="1:21" ht="15" customHeight="1" x14ac:dyDescent="0.25">
      <c r="A142" s="1">
        <f t="shared" ca="1" si="7"/>
        <v>4883</v>
      </c>
      <c r="B142" s="29"/>
      <c r="C142" s="29"/>
      <c r="D142" s="29"/>
      <c r="E142" s="29"/>
      <c r="F142" s="29"/>
      <c r="G142" s="39"/>
      <c r="H142" s="40"/>
      <c r="I142" s="52"/>
      <c r="J142" s="53"/>
      <c r="K142" s="17"/>
      <c r="L142" s="39"/>
      <c r="M142" s="43"/>
      <c r="N142" s="45"/>
      <c r="O142" s="55"/>
      <c r="P142" s="56"/>
      <c r="Q142" s="74"/>
      <c r="R142" s="70"/>
      <c r="S142" s="19"/>
      <c r="T142" s="60"/>
      <c r="U142" s="59"/>
    </row>
    <row r="143" spans="1:21" ht="15" customHeight="1" x14ac:dyDescent="0.25">
      <c r="A143" s="1">
        <f t="shared" ca="1" si="7"/>
        <v>4884</v>
      </c>
      <c r="B143" s="29"/>
      <c r="C143" s="29"/>
      <c r="D143" s="29"/>
      <c r="E143" s="29"/>
      <c r="F143" s="29"/>
      <c r="G143" s="39"/>
      <c r="H143" s="40"/>
      <c r="I143" s="52"/>
      <c r="J143" s="53"/>
      <c r="K143" s="17"/>
      <c r="L143" s="39"/>
      <c r="M143" s="43"/>
      <c r="N143" s="45"/>
      <c r="O143" s="55"/>
      <c r="P143" s="56"/>
      <c r="Q143" s="74"/>
      <c r="R143" s="70"/>
      <c r="S143" s="19"/>
      <c r="T143" s="60"/>
      <c r="U143" s="59"/>
    </row>
    <row r="144" spans="1:21" ht="15" customHeight="1" x14ac:dyDescent="0.25">
      <c r="A144" s="1">
        <f t="shared" ca="1" si="7"/>
        <v>4885</v>
      </c>
      <c r="B144" s="29"/>
      <c r="C144" s="29"/>
      <c r="D144" s="29"/>
      <c r="E144" s="29"/>
      <c r="F144" s="29"/>
      <c r="G144" s="39"/>
      <c r="H144" s="40"/>
      <c r="I144" s="52"/>
      <c r="J144" s="53"/>
      <c r="K144" s="17"/>
      <c r="L144" s="39"/>
      <c r="M144" s="43"/>
      <c r="N144" s="45"/>
      <c r="O144" s="55"/>
      <c r="P144" s="56"/>
      <c r="Q144" s="74"/>
      <c r="R144" s="70"/>
      <c r="S144" s="19"/>
      <c r="T144" s="60"/>
      <c r="U144" s="59"/>
    </row>
    <row r="145" spans="1:21" ht="15" customHeight="1" x14ac:dyDescent="0.25">
      <c r="A145" s="1">
        <f t="shared" ca="1" si="7"/>
        <v>4886</v>
      </c>
      <c r="B145" s="29"/>
      <c r="C145" s="29"/>
      <c r="D145" s="29"/>
      <c r="E145" s="29"/>
      <c r="F145" s="29"/>
      <c r="G145" s="39"/>
      <c r="H145" s="40"/>
      <c r="I145" s="52"/>
      <c r="J145" s="53"/>
      <c r="K145" s="17"/>
      <c r="L145" s="39"/>
      <c r="M145" s="43"/>
      <c r="N145" s="45"/>
      <c r="O145" s="55"/>
      <c r="P145" s="56"/>
      <c r="Q145" s="74"/>
      <c r="R145" s="70"/>
      <c r="S145" s="19"/>
      <c r="T145" s="60"/>
      <c r="U145" s="59"/>
    </row>
    <row r="146" spans="1:21" ht="15" customHeight="1" x14ac:dyDescent="0.25">
      <c r="A146" s="1">
        <f t="shared" ca="1" si="7"/>
        <v>4887</v>
      </c>
      <c r="B146" s="29"/>
      <c r="C146" s="29"/>
      <c r="D146" s="29"/>
      <c r="E146" s="29"/>
      <c r="F146" s="29"/>
      <c r="G146" s="39"/>
      <c r="H146" s="40"/>
      <c r="I146" s="52"/>
      <c r="J146" s="53"/>
      <c r="K146" s="17"/>
      <c r="L146" s="39"/>
      <c r="M146" s="43"/>
      <c r="N146" s="45"/>
      <c r="O146" s="55"/>
      <c r="P146" s="56"/>
      <c r="Q146" s="74"/>
      <c r="R146" s="70"/>
      <c r="S146" s="19"/>
      <c r="T146" s="60"/>
      <c r="U146" s="59"/>
    </row>
    <row r="147" spans="1:21" ht="15" customHeight="1" x14ac:dyDescent="0.25">
      <c r="A147" s="1">
        <f t="shared" ca="1" si="7"/>
        <v>4888</v>
      </c>
      <c r="B147" s="29"/>
      <c r="C147" s="29"/>
      <c r="D147" s="29"/>
      <c r="E147" s="29"/>
      <c r="F147" s="29"/>
      <c r="G147" s="39"/>
      <c r="H147" s="40"/>
      <c r="I147" s="52"/>
      <c r="J147" s="53"/>
      <c r="K147" s="17"/>
      <c r="L147" s="39"/>
      <c r="M147" s="43"/>
      <c r="N147" s="45"/>
      <c r="O147" s="55"/>
      <c r="P147" s="56"/>
      <c r="Q147" s="74"/>
      <c r="R147" s="70"/>
      <c r="S147" s="19"/>
      <c r="T147" s="60"/>
      <c r="U147" s="59"/>
    </row>
    <row r="148" spans="1:21" ht="15" customHeight="1" x14ac:dyDescent="0.25">
      <c r="A148" s="1">
        <f t="shared" ca="1" si="7"/>
        <v>4889</v>
      </c>
      <c r="B148" s="29"/>
      <c r="C148" s="29"/>
      <c r="D148" s="29"/>
      <c r="E148" s="29"/>
      <c r="F148" s="29"/>
      <c r="G148" s="39"/>
      <c r="H148" s="40"/>
      <c r="I148" s="52"/>
      <c r="J148" s="53"/>
      <c r="K148" s="17"/>
      <c r="L148" s="39"/>
      <c r="M148" s="43"/>
      <c r="N148" s="45"/>
      <c r="O148" s="55"/>
      <c r="P148" s="56"/>
      <c r="Q148" s="74"/>
      <c r="R148" s="70"/>
      <c r="S148" s="19"/>
      <c r="T148" s="60"/>
      <c r="U148" s="59"/>
    </row>
    <row r="149" spans="1:21" ht="15" customHeight="1" x14ac:dyDescent="0.25">
      <c r="A149" s="1">
        <f t="shared" ca="1" si="7"/>
        <v>4890</v>
      </c>
      <c r="B149" s="29"/>
      <c r="C149" s="29"/>
      <c r="D149" s="29"/>
      <c r="E149" s="29"/>
      <c r="F149" s="29"/>
      <c r="G149" s="39"/>
      <c r="H149" s="40"/>
      <c r="I149" s="52"/>
      <c r="J149" s="53"/>
      <c r="K149" s="17"/>
      <c r="L149" s="39"/>
      <c r="M149" s="43"/>
      <c r="N149" s="45"/>
      <c r="O149" s="55"/>
      <c r="P149" s="56"/>
      <c r="Q149" s="74"/>
      <c r="R149" s="70"/>
      <c r="S149" s="19"/>
      <c r="T149" s="60"/>
      <c r="U149" s="59"/>
    </row>
    <row r="150" spans="1:21" ht="15" customHeight="1" x14ac:dyDescent="0.25">
      <c r="A150" s="1">
        <f t="shared" ca="1" si="7"/>
        <v>4891</v>
      </c>
      <c r="B150" s="29"/>
      <c r="C150" s="29"/>
      <c r="D150" s="29"/>
      <c r="E150" s="29"/>
      <c r="F150" s="29"/>
      <c r="G150" s="39"/>
      <c r="H150" s="40"/>
      <c r="I150" s="52"/>
      <c r="J150" s="53"/>
      <c r="K150" s="17"/>
      <c r="L150" s="39"/>
      <c r="M150" s="43"/>
      <c r="N150" s="45"/>
      <c r="O150" s="55"/>
      <c r="P150" s="56"/>
      <c r="Q150" s="74"/>
      <c r="R150" s="70"/>
      <c r="S150" s="19"/>
      <c r="T150" s="60"/>
      <c r="U150" s="59"/>
    </row>
    <row r="151" spans="1:21" ht="15" customHeight="1" x14ac:dyDescent="0.25">
      <c r="A151" s="1">
        <f t="shared" ca="1" si="7"/>
        <v>4892</v>
      </c>
      <c r="B151" s="29"/>
      <c r="C151" s="29"/>
      <c r="D151" s="29"/>
      <c r="E151" s="29"/>
      <c r="F151" s="29"/>
      <c r="G151" s="39"/>
      <c r="H151" s="40"/>
      <c r="I151" s="52"/>
      <c r="J151" s="53"/>
      <c r="K151" s="17"/>
      <c r="L151" s="39"/>
      <c r="M151" s="43"/>
      <c r="N151" s="45"/>
      <c r="O151" s="55"/>
      <c r="P151" s="56"/>
      <c r="Q151" s="74"/>
      <c r="R151" s="70"/>
      <c r="S151" s="19"/>
      <c r="T151" s="60"/>
      <c r="U151" s="59"/>
    </row>
    <row r="152" spans="1:21" ht="15" customHeight="1" x14ac:dyDescent="0.25">
      <c r="A152" s="1">
        <f t="shared" ca="1" si="7"/>
        <v>4893</v>
      </c>
      <c r="B152" s="29"/>
      <c r="C152" s="29"/>
      <c r="D152" s="29"/>
      <c r="E152" s="29"/>
      <c r="F152" s="29"/>
      <c r="G152" s="39"/>
      <c r="H152" s="40"/>
      <c r="I152" s="52"/>
      <c r="J152" s="53"/>
      <c r="K152" s="17"/>
      <c r="L152" s="39"/>
      <c r="M152" s="43"/>
      <c r="N152" s="45"/>
      <c r="O152" s="55"/>
      <c r="P152" s="56"/>
      <c r="Q152" s="74"/>
      <c r="R152" s="70"/>
      <c r="S152" s="19"/>
      <c r="T152" s="60"/>
      <c r="U152" s="59"/>
    </row>
    <row r="153" spans="1:21" ht="15" customHeight="1" x14ac:dyDescent="0.25">
      <c r="A153" s="1">
        <f t="shared" ca="1" si="7"/>
        <v>4894</v>
      </c>
      <c r="B153" s="29"/>
      <c r="C153" s="29"/>
      <c r="D153" s="29"/>
      <c r="E153" s="29"/>
      <c r="F153" s="29"/>
      <c r="G153" s="39"/>
      <c r="H153" s="40"/>
      <c r="I153" s="52"/>
      <c r="J153" s="53"/>
      <c r="K153" s="17"/>
      <c r="L153" s="39"/>
      <c r="M153" s="43"/>
      <c r="N153" s="45"/>
      <c r="O153" s="55"/>
      <c r="P153" s="56"/>
      <c r="Q153" s="74"/>
      <c r="R153" s="70"/>
      <c r="S153" s="19"/>
      <c r="T153" s="60"/>
      <c r="U153" s="59"/>
    </row>
    <row r="154" spans="1:21" ht="15" customHeight="1" x14ac:dyDescent="0.25">
      <c r="A154" s="1">
        <f t="shared" ca="1" si="7"/>
        <v>4895</v>
      </c>
      <c r="B154" s="29"/>
      <c r="C154" s="29"/>
      <c r="D154" s="29"/>
      <c r="E154" s="29"/>
      <c r="F154" s="29"/>
      <c r="G154" s="39"/>
      <c r="H154" s="40"/>
      <c r="I154" s="52"/>
      <c r="J154" s="53"/>
      <c r="K154" s="17"/>
      <c r="L154" s="39"/>
      <c r="M154" s="43"/>
      <c r="N154" s="45"/>
      <c r="O154" s="55"/>
      <c r="P154" s="56"/>
      <c r="Q154" s="74"/>
      <c r="R154" s="70"/>
      <c r="S154" s="19"/>
      <c r="T154" s="60"/>
      <c r="U154" s="59"/>
    </row>
    <row r="155" spans="1:21" ht="15" customHeight="1" x14ac:dyDescent="0.25">
      <c r="A155" s="1">
        <f t="shared" ca="1" si="7"/>
        <v>4896</v>
      </c>
      <c r="B155" s="29"/>
      <c r="C155" s="29"/>
      <c r="D155" s="29"/>
      <c r="E155" s="29"/>
      <c r="F155" s="29"/>
      <c r="G155" s="39"/>
      <c r="H155" s="40"/>
      <c r="I155" s="52"/>
      <c r="J155" s="53"/>
      <c r="K155" s="17"/>
      <c r="L155" s="39"/>
      <c r="M155" s="43"/>
      <c r="N155" s="45"/>
      <c r="O155" s="55"/>
      <c r="P155" s="56"/>
      <c r="Q155" s="74"/>
      <c r="R155" s="70"/>
      <c r="S155" s="19"/>
      <c r="T155" s="60"/>
      <c r="U155" s="59"/>
    </row>
    <row r="156" spans="1:21" ht="15" customHeight="1" x14ac:dyDescent="0.25">
      <c r="A156" s="1">
        <f t="shared" ca="1" si="7"/>
        <v>4897</v>
      </c>
      <c r="B156" s="29"/>
      <c r="C156" s="29"/>
      <c r="D156" s="29"/>
      <c r="E156" s="29"/>
      <c r="F156" s="29"/>
      <c r="G156" s="39"/>
      <c r="H156" s="40"/>
      <c r="I156" s="52"/>
      <c r="J156" s="53"/>
      <c r="K156" s="17"/>
      <c r="L156" s="39"/>
      <c r="M156" s="43"/>
      <c r="N156" s="45"/>
      <c r="O156" s="55"/>
      <c r="P156" s="56"/>
      <c r="Q156" s="74"/>
      <c r="R156" s="70"/>
      <c r="S156" s="19"/>
      <c r="T156" s="60"/>
      <c r="U156" s="59"/>
    </row>
    <row r="157" spans="1:21" ht="15" customHeight="1" x14ac:dyDescent="0.25">
      <c r="A157" s="1">
        <f t="shared" ca="1" si="7"/>
        <v>4898</v>
      </c>
      <c r="B157" s="29"/>
      <c r="C157" s="29"/>
      <c r="D157" s="29"/>
      <c r="E157" s="29"/>
      <c r="F157" s="29"/>
      <c r="G157" s="39"/>
      <c r="H157" s="40"/>
      <c r="I157" s="52"/>
      <c r="J157" s="53"/>
      <c r="K157" s="17"/>
      <c r="L157" s="39"/>
      <c r="M157" s="43"/>
      <c r="N157" s="45"/>
      <c r="O157" s="55"/>
      <c r="P157" s="56"/>
      <c r="Q157" s="74"/>
      <c r="R157" s="70"/>
      <c r="S157" s="19"/>
      <c r="T157" s="60"/>
      <c r="U157" s="59"/>
    </row>
    <row r="158" spans="1:21" ht="15" customHeight="1" x14ac:dyDescent="0.25">
      <c r="A158" s="1">
        <f t="shared" ca="1" si="7"/>
        <v>4899</v>
      </c>
      <c r="B158" s="29"/>
      <c r="C158" s="29"/>
      <c r="D158" s="29"/>
      <c r="E158" s="29"/>
      <c r="F158" s="29"/>
      <c r="G158" s="39"/>
      <c r="H158" s="40"/>
      <c r="I158" s="52"/>
      <c r="J158" s="53"/>
      <c r="K158" s="17"/>
      <c r="L158" s="39"/>
      <c r="M158" s="43"/>
      <c r="N158" s="45"/>
      <c r="O158" s="55"/>
      <c r="P158" s="56"/>
      <c r="Q158" s="74"/>
      <c r="R158" s="70"/>
      <c r="S158" s="19"/>
      <c r="T158" s="60"/>
      <c r="U158" s="59"/>
    </row>
    <row r="159" spans="1:21" ht="15" customHeight="1" x14ac:dyDescent="0.25">
      <c r="A159" s="1">
        <f t="shared" ca="1" si="7"/>
        <v>4900</v>
      </c>
      <c r="B159" s="29"/>
      <c r="C159" s="29"/>
      <c r="D159" s="29"/>
      <c r="E159" s="29"/>
      <c r="F159" s="29"/>
      <c r="G159" s="39"/>
      <c r="H159" s="40"/>
      <c r="I159" s="52"/>
      <c r="J159" s="53"/>
      <c r="K159" s="17"/>
      <c r="L159" s="39"/>
      <c r="M159" s="43"/>
      <c r="N159" s="45"/>
      <c r="O159" s="55"/>
      <c r="P159" s="56"/>
      <c r="Q159" s="74"/>
      <c r="R159" s="70"/>
      <c r="S159" s="19"/>
      <c r="T159" s="60"/>
      <c r="U159" s="59"/>
    </row>
    <row r="160" spans="1:21" x14ac:dyDescent="0.25">
      <c r="A160" s="1" t="str">
        <f t="shared" ca="1" si="7"/>
        <v>Totaal</v>
      </c>
      <c r="B160" s="61" t="str">
        <f>IF(COUNT(B129:B159)&gt;0,AVERAGE(B129:B159)/10,"")</f>
        <v/>
      </c>
      <c r="C160" s="62" t="str">
        <f>IF(COUNT(C129:C159)&gt;0,AVERAGE(C129:C159)/1000,"")</f>
        <v/>
      </c>
      <c r="D160" s="62" t="str">
        <f t="shared" ref="D160" si="8">IF(COUNT(D129:D159)&gt;0,AVERAGE(D129:D159)/1000,"")</f>
        <v/>
      </c>
      <c r="E160" s="62" t="str">
        <f t="shared" ref="E160" si="9">IF(COUNT(E129:E159)&gt;0,AVERAGE(E129:E159)/1000,"")</f>
        <v/>
      </c>
      <c r="F160" s="62" t="str">
        <f>IF(COUNT(F129:F159)&gt;0,AVERAGE(F129:F159)/100,"")</f>
        <v/>
      </c>
      <c r="G160" s="41" t="str">
        <f>IF(COUNT(G129:G159)&gt;0,AVERAGE(G129:G159)/10,"")</f>
        <v/>
      </c>
      <c r="H160" s="42" t="str">
        <f t="shared" ref="H160" si="10">IF(COUNT(H129:H159)&gt;0,AVERAGE(H129:H159)/10,"")</f>
        <v/>
      </c>
      <c r="I160" s="18" t="str">
        <f>IF(COUNT(I129:I159)&gt;0,AVERAGE(I129:I159)/10,"")</f>
        <v/>
      </c>
      <c r="J160" s="54" t="str">
        <f>IF(COUNT(J129:J159)&gt;0,AVERAGE(J129:J159),"")</f>
        <v/>
      </c>
      <c r="K160" s="51" t="str">
        <f>IF(COUNT(K129:K159)&gt;0,AVERAGE(K129:K159)/1000,"")</f>
        <v/>
      </c>
      <c r="L160" s="41" t="str">
        <f>IF(COUNT(L129:L159)&gt;0,AVERAGE(L129:L159)/10,"")</f>
        <v/>
      </c>
      <c r="M160" s="44" t="str">
        <f>IF(COUNT(M129:M159)&gt;0,AVERAGE(M129:M159)/10,"")</f>
        <v/>
      </c>
      <c r="N160" s="46"/>
      <c r="O160" s="57" t="str">
        <f>IF(COUNT(O129:O159)&gt;0,AVERAGE(O129:O159),"")</f>
        <v/>
      </c>
      <c r="P160" s="58" t="str">
        <f>IF(COUNT(P129:P159)&gt;0,AVERAGE(P129:P159),"")</f>
        <v/>
      </c>
      <c r="Q160" s="47"/>
      <c r="R160" s="68" t="str">
        <f>IF(COUNT(R129:R159)&gt;0,SUM(R129:R159)/100,"")</f>
        <v/>
      </c>
      <c r="S160" s="64" t="str">
        <f>IF(COUNT(S129:S159)&gt;0,AVERAGE(S129:S159),"")</f>
        <v/>
      </c>
      <c r="T160" s="65" t="str">
        <f>IF(COUNT(T129:T159)&gt;0,AVERAGE(T129:T159),"")</f>
        <v/>
      </c>
      <c r="U160" s="66" t="str">
        <f>IF(COUNT(U129:U159)&gt;0,AVERAGE(U129:U159),"")</f>
        <v/>
      </c>
    </row>
    <row r="161" spans="1:21" ht="15" customHeight="1" x14ac:dyDescent="0.25">
      <c r="A161" s="1">
        <f t="shared" ca="1" si="7"/>
        <v>4901</v>
      </c>
      <c r="B161" s="29"/>
      <c r="C161" s="29"/>
      <c r="D161" s="29"/>
      <c r="E161" s="29"/>
      <c r="F161" s="29"/>
      <c r="G161" s="39"/>
      <c r="H161" s="40"/>
      <c r="I161" s="52"/>
      <c r="J161" s="53"/>
      <c r="K161" s="17"/>
      <c r="L161" s="39"/>
      <c r="M161" s="43"/>
      <c r="N161" s="45"/>
      <c r="O161" s="55"/>
      <c r="P161" s="56"/>
      <c r="Q161" s="74"/>
      <c r="R161" s="70"/>
      <c r="S161" s="19"/>
      <c r="T161" s="60"/>
      <c r="U161" s="59"/>
    </row>
    <row r="162" spans="1:21" ht="15" customHeight="1" x14ac:dyDescent="0.25">
      <c r="A162" s="1">
        <f t="shared" ca="1" si="7"/>
        <v>4902</v>
      </c>
      <c r="B162" s="29"/>
      <c r="C162" s="29"/>
      <c r="D162" s="29"/>
      <c r="E162" s="29"/>
      <c r="F162" s="29"/>
      <c r="G162" s="39"/>
      <c r="H162" s="40"/>
      <c r="I162" s="52"/>
      <c r="J162" s="53"/>
      <c r="K162" s="17"/>
      <c r="L162" s="39"/>
      <c r="M162" s="43"/>
      <c r="N162" s="45"/>
      <c r="O162" s="55"/>
      <c r="P162" s="56"/>
      <c r="Q162" s="74"/>
      <c r="R162" s="70"/>
      <c r="S162" s="19"/>
      <c r="T162" s="60"/>
      <c r="U162" s="59"/>
    </row>
    <row r="163" spans="1:21" ht="15" customHeight="1" x14ac:dyDescent="0.25">
      <c r="A163" s="1">
        <f t="shared" ca="1" si="7"/>
        <v>4903</v>
      </c>
      <c r="B163" s="29"/>
      <c r="C163" s="29"/>
      <c r="D163" s="29"/>
      <c r="E163" s="29"/>
      <c r="F163" s="29"/>
      <c r="G163" s="39"/>
      <c r="H163" s="40"/>
      <c r="I163" s="52"/>
      <c r="J163" s="53"/>
      <c r="K163" s="17"/>
      <c r="L163" s="39"/>
      <c r="M163" s="43"/>
      <c r="N163" s="45"/>
      <c r="O163" s="55"/>
      <c r="P163" s="56"/>
      <c r="Q163" s="74"/>
      <c r="R163" s="70"/>
      <c r="S163" s="19"/>
      <c r="T163" s="60"/>
      <c r="U163" s="59"/>
    </row>
    <row r="164" spans="1:21" ht="15" customHeight="1" x14ac:dyDescent="0.25">
      <c r="A164" s="1">
        <f t="shared" ca="1" si="7"/>
        <v>4904</v>
      </c>
      <c r="B164" s="29"/>
      <c r="C164" s="29"/>
      <c r="D164" s="29"/>
      <c r="E164" s="29"/>
      <c r="F164" s="29"/>
      <c r="G164" s="39"/>
      <c r="H164" s="40"/>
      <c r="I164" s="52"/>
      <c r="J164" s="53"/>
      <c r="K164" s="17"/>
      <c r="L164" s="39"/>
      <c r="M164" s="43"/>
      <c r="N164" s="45"/>
      <c r="O164" s="55"/>
      <c r="P164" s="56"/>
      <c r="Q164" s="74"/>
      <c r="R164" s="70"/>
      <c r="S164" s="19"/>
      <c r="T164" s="60"/>
      <c r="U164" s="59"/>
    </row>
    <row r="165" spans="1:21" ht="15" customHeight="1" x14ac:dyDescent="0.25">
      <c r="A165" s="1">
        <f t="shared" ca="1" si="7"/>
        <v>4905</v>
      </c>
      <c r="B165" s="29"/>
      <c r="C165" s="29"/>
      <c r="D165" s="29"/>
      <c r="E165" s="29"/>
      <c r="F165" s="29"/>
      <c r="G165" s="39"/>
      <c r="H165" s="40"/>
      <c r="I165" s="52"/>
      <c r="J165" s="53"/>
      <c r="K165" s="17"/>
      <c r="L165" s="39"/>
      <c r="M165" s="43"/>
      <c r="N165" s="45"/>
      <c r="O165" s="55"/>
      <c r="P165" s="56"/>
      <c r="Q165" s="74"/>
      <c r="R165" s="70"/>
      <c r="S165" s="19"/>
      <c r="T165" s="60"/>
      <c r="U165" s="59"/>
    </row>
    <row r="166" spans="1:21" ht="15" customHeight="1" x14ac:dyDescent="0.25">
      <c r="A166" s="1">
        <f t="shared" ca="1" si="7"/>
        <v>4906</v>
      </c>
      <c r="B166" s="29"/>
      <c r="C166" s="29"/>
      <c r="D166" s="29"/>
      <c r="E166" s="29"/>
      <c r="F166" s="29"/>
      <c r="G166" s="39"/>
      <c r="H166" s="40"/>
      <c r="I166" s="52"/>
      <c r="J166" s="53"/>
      <c r="K166" s="17"/>
      <c r="L166" s="39"/>
      <c r="M166" s="43"/>
      <c r="N166" s="45"/>
      <c r="O166" s="55"/>
      <c r="P166" s="56"/>
      <c r="Q166" s="74"/>
      <c r="R166" s="70"/>
      <c r="S166" s="19"/>
      <c r="T166" s="60"/>
      <c r="U166" s="59"/>
    </row>
    <row r="167" spans="1:21" ht="15" customHeight="1" x14ac:dyDescent="0.25">
      <c r="A167" s="1">
        <f t="shared" ca="1" si="7"/>
        <v>4907</v>
      </c>
      <c r="B167" s="29"/>
      <c r="C167" s="29"/>
      <c r="D167" s="29"/>
      <c r="E167" s="29"/>
      <c r="F167" s="29"/>
      <c r="G167" s="39"/>
      <c r="H167" s="40"/>
      <c r="I167" s="52"/>
      <c r="J167" s="53"/>
      <c r="K167" s="17"/>
      <c r="L167" s="39"/>
      <c r="M167" s="43"/>
      <c r="N167" s="45"/>
      <c r="O167" s="55"/>
      <c r="P167" s="56"/>
      <c r="Q167" s="74"/>
      <c r="R167" s="70"/>
      <c r="S167" s="19"/>
      <c r="T167" s="60"/>
      <c r="U167" s="59"/>
    </row>
    <row r="168" spans="1:21" ht="15" customHeight="1" x14ac:dyDescent="0.25">
      <c r="A168" s="1">
        <f t="shared" ca="1" si="7"/>
        <v>4908</v>
      </c>
      <c r="B168" s="29"/>
      <c r="C168" s="29"/>
      <c r="D168" s="29"/>
      <c r="E168" s="29"/>
      <c r="F168" s="29"/>
      <c r="G168" s="39"/>
      <c r="H168" s="40"/>
      <c r="I168" s="52"/>
      <c r="J168" s="53"/>
      <c r="K168" s="17"/>
      <c r="L168" s="39"/>
      <c r="M168" s="43"/>
      <c r="N168" s="45"/>
      <c r="O168" s="55"/>
      <c r="P168" s="56"/>
      <c r="Q168" s="74"/>
      <c r="R168" s="70"/>
      <c r="S168" s="19"/>
      <c r="T168" s="60"/>
      <c r="U168" s="59"/>
    </row>
    <row r="169" spans="1:21" ht="15" customHeight="1" x14ac:dyDescent="0.25">
      <c r="A169" s="1">
        <f t="shared" ca="1" si="7"/>
        <v>4909</v>
      </c>
      <c r="B169" s="29"/>
      <c r="C169" s="29"/>
      <c r="D169" s="29"/>
      <c r="E169" s="29"/>
      <c r="F169" s="29"/>
      <c r="G169" s="39"/>
      <c r="H169" s="40"/>
      <c r="I169" s="52"/>
      <c r="J169" s="53"/>
      <c r="K169" s="17"/>
      <c r="L169" s="39"/>
      <c r="M169" s="43"/>
      <c r="N169" s="45"/>
      <c r="O169" s="55"/>
      <c r="P169" s="56"/>
      <c r="Q169" s="74"/>
      <c r="R169" s="70"/>
      <c r="S169" s="19"/>
      <c r="T169" s="60"/>
      <c r="U169" s="59"/>
    </row>
    <row r="170" spans="1:21" ht="15" customHeight="1" x14ac:dyDescent="0.25">
      <c r="A170" s="1">
        <f t="shared" ca="1" si="7"/>
        <v>4910</v>
      </c>
      <c r="B170" s="29"/>
      <c r="C170" s="29"/>
      <c r="D170" s="29"/>
      <c r="E170" s="29"/>
      <c r="F170" s="29"/>
      <c r="G170" s="39"/>
      <c r="H170" s="40"/>
      <c r="I170" s="52"/>
      <c r="J170" s="53"/>
      <c r="K170" s="17"/>
      <c r="L170" s="39"/>
      <c r="M170" s="43"/>
      <c r="N170" s="45"/>
      <c r="O170" s="55"/>
      <c r="P170" s="56"/>
      <c r="Q170" s="74"/>
      <c r="R170" s="70"/>
      <c r="S170" s="19"/>
      <c r="T170" s="60"/>
      <c r="U170" s="59"/>
    </row>
    <row r="171" spans="1:21" ht="15" customHeight="1" x14ac:dyDescent="0.25">
      <c r="A171" s="1">
        <f t="shared" ca="1" si="7"/>
        <v>4911</v>
      </c>
      <c r="B171" s="29"/>
      <c r="C171" s="29"/>
      <c r="D171" s="29"/>
      <c r="E171" s="29"/>
      <c r="F171" s="29"/>
      <c r="G171" s="39"/>
      <c r="H171" s="40"/>
      <c r="I171" s="52"/>
      <c r="J171" s="53"/>
      <c r="K171" s="17"/>
      <c r="L171" s="39"/>
      <c r="M171" s="43"/>
      <c r="N171" s="45"/>
      <c r="O171" s="55"/>
      <c r="P171" s="56"/>
      <c r="Q171" s="74"/>
      <c r="R171" s="70"/>
      <c r="S171" s="19"/>
      <c r="T171" s="60"/>
      <c r="U171" s="59"/>
    </row>
    <row r="172" spans="1:21" ht="15" customHeight="1" x14ac:dyDescent="0.25">
      <c r="A172" s="1">
        <f t="shared" ca="1" si="7"/>
        <v>4912</v>
      </c>
      <c r="B172" s="29"/>
      <c r="C172" s="29"/>
      <c r="D172" s="29"/>
      <c r="E172" s="29"/>
      <c r="F172" s="29"/>
      <c r="G172" s="39"/>
      <c r="H172" s="40"/>
      <c r="I172" s="52"/>
      <c r="J172" s="53"/>
      <c r="K172" s="17"/>
      <c r="L172" s="39"/>
      <c r="M172" s="43"/>
      <c r="N172" s="45"/>
      <c r="O172" s="55"/>
      <c r="P172" s="56"/>
      <c r="Q172" s="74"/>
      <c r="R172" s="70"/>
      <c r="S172" s="19"/>
      <c r="T172" s="60"/>
      <c r="U172" s="59"/>
    </row>
    <row r="173" spans="1:21" ht="15" customHeight="1" x14ac:dyDescent="0.25">
      <c r="A173" s="1">
        <f t="shared" ca="1" si="7"/>
        <v>4913</v>
      </c>
      <c r="B173" s="29"/>
      <c r="C173" s="29"/>
      <c r="D173" s="29"/>
      <c r="E173" s="29"/>
      <c r="F173" s="29"/>
      <c r="G173" s="39"/>
      <c r="H173" s="40"/>
      <c r="I173" s="52"/>
      <c r="J173" s="53"/>
      <c r="K173" s="17"/>
      <c r="L173" s="39"/>
      <c r="M173" s="43"/>
      <c r="N173" s="45"/>
      <c r="O173" s="55"/>
      <c r="P173" s="56"/>
      <c r="Q173" s="74"/>
      <c r="R173" s="70"/>
      <c r="S173" s="19"/>
      <c r="T173" s="60"/>
      <c r="U173" s="59"/>
    </row>
    <row r="174" spans="1:21" ht="15" customHeight="1" x14ac:dyDescent="0.25">
      <c r="A174" s="1">
        <f t="shared" ca="1" si="7"/>
        <v>4914</v>
      </c>
      <c r="B174" s="29"/>
      <c r="C174" s="29"/>
      <c r="D174" s="29"/>
      <c r="E174" s="29"/>
      <c r="F174" s="29"/>
      <c r="G174" s="39"/>
      <c r="H174" s="40"/>
      <c r="I174" s="52"/>
      <c r="J174" s="53"/>
      <c r="K174" s="17"/>
      <c r="L174" s="39"/>
      <c r="M174" s="43"/>
      <c r="N174" s="45"/>
      <c r="O174" s="55"/>
      <c r="P174" s="56"/>
      <c r="Q174" s="74"/>
      <c r="R174" s="70"/>
      <c r="S174" s="19"/>
      <c r="T174" s="60"/>
      <c r="U174" s="59"/>
    </row>
    <row r="175" spans="1:21" ht="15" customHeight="1" x14ac:dyDescent="0.25">
      <c r="A175" s="1">
        <f t="shared" ca="1" si="7"/>
        <v>4915</v>
      </c>
      <c r="B175" s="29"/>
      <c r="C175" s="29"/>
      <c r="D175" s="29"/>
      <c r="E175" s="29"/>
      <c r="F175" s="29"/>
      <c r="G175" s="39"/>
      <c r="H175" s="40"/>
      <c r="I175" s="52"/>
      <c r="J175" s="53"/>
      <c r="K175" s="17"/>
      <c r="L175" s="39"/>
      <c r="M175" s="43"/>
      <c r="N175" s="45"/>
      <c r="O175" s="55"/>
      <c r="P175" s="56"/>
      <c r="Q175" s="74"/>
      <c r="R175" s="70"/>
      <c r="S175" s="19"/>
      <c r="T175" s="60"/>
      <c r="U175" s="59"/>
    </row>
    <row r="176" spans="1:21" ht="15" customHeight="1" x14ac:dyDescent="0.25">
      <c r="A176" s="1">
        <f t="shared" ca="1" si="7"/>
        <v>4916</v>
      </c>
      <c r="B176" s="29"/>
      <c r="C176" s="29"/>
      <c r="D176" s="29"/>
      <c r="E176" s="29"/>
      <c r="F176" s="29"/>
      <c r="G176" s="39"/>
      <c r="H176" s="40"/>
      <c r="I176" s="52"/>
      <c r="J176" s="53"/>
      <c r="K176" s="17"/>
      <c r="L176" s="39"/>
      <c r="M176" s="43"/>
      <c r="N176" s="45"/>
      <c r="O176" s="55"/>
      <c r="P176" s="56"/>
      <c r="Q176" s="74"/>
      <c r="R176" s="70"/>
      <c r="S176" s="19"/>
      <c r="T176" s="60"/>
      <c r="U176" s="59"/>
    </row>
    <row r="177" spans="1:21" ht="15" customHeight="1" x14ac:dyDescent="0.25">
      <c r="A177" s="1">
        <f t="shared" ca="1" si="7"/>
        <v>4917</v>
      </c>
      <c r="B177" s="29"/>
      <c r="C177" s="29"/>
      <c r="D177" s="29"/>
      <c r="E177" s="29"/>
      <c r="F177" s="29"/>
      <c r="G177" s="39"/>
      <c r="H177" s="40"/>
      <c r="I177" s="52"/>
      <c r="J177" s="53"/>
      <c r="K177" s="17"/>
      <c r="L177" s="39"/>
      <c r="M177" s="43"/>
      <c r="N177" s="45"/>
      <c r="O177" s="55"/>
      <c r="P177" s="56"/>
      <c r="Q177" s="74"/>
      <c r="R177" s="70"/>
      <c r="S177" s="19"/>
      <c r="T177" s="60"/>
      <c r="U177" s="59"/>
    </row>
    <row r="178" spans="1:21" ht="15" customHeight="1" x14ac:dyDescent="0.25">
      <c r="A178" s="1">
        <f t="shared" ca="1" si="7"/>
        <v>4918</v>
      </c>
      <c r="B178" s="29"/>
      <c r="C178" s="29"/>
      <c r="D178" s="29"/>
      <c r="E178" s="29"/>
      <c r="F178" s="29"/>
      <c r="G178" s="39"/>
      <c r="H178" s="40"/>
      <c r="I178" s="52"/>
      <c r="J178" s="53"/>
      <c r="K178" s="17"/>
      <c r="L178" s="39"/>
      <c r="M178" s="43"/>
      <c r="N178" s="45"/>
      <c r="O178" s="55"/>
      <c r="P178" s="56"/>
      <c r="Q178" s="74"/>
      <c r="R178" s="70"/>
      <c r="S178" s="19"/>
      <c r="T178" s="60"/>
      <c r="U178" s="59"/>
    </row>
    <row r="179" spans="1:21" ht="15" customHeight="1" x14ac:dyDescent="0.25">
      <c r="A179" s="1">
        <f t="shared" ca="1" si="7"/>
        <v>4919</v>
      </c>
      <c r="B179" s="29"/>
      <c r="C179" s="29"/>
      <c r="D179" s="29"/>
      <c r="E179" s="29"/>
      <c r="F179" s="29"/>
      <c r="G179" s="39"/>
      <c r="H179" s="40"/>
      <c r="I179" s="52"/>
      <c r="J179" s="53"/>
      <c r="K179" s="17"/>
      <c r="L179" s="39"/>
      <c r="M179" s="43"/>
      <c r="N179" s="45"/>
      <c r="O179" s="55"/>
      <c r="P179" s="56"/>
      <c r="Q179" s="74"/>
      <c r="R179" s="70"/>
      <c r="S179" s="19"/>
      <c r="T179" s="60"/>
      <c r="U179" s="59"/>
    </row>
    <row r="180" spans="1:21" ht="15" customHeight="1" x14ac:dyDescent="0.25">
      <c r="A180" s="1">
        <f t="shared" ca="1" si="7"/>
        <v>4920</v>
      </c>
      <c r="B180" s="29"/>
      <c r="C180" s="29"/>
      <c r="D180" s="29"/>
      <c r="E180" s="29"/>
      <c r="F180" s="29"/>
      <c r="G180" s="39"/>
      <c r="H180" s="40"/>
      <c r="I180" s="52"/>
      <c r="J180" s="53"/>
      <c r="K180" s="17"/>
      <c r="L180" s="39"/>
      <c r="M180" s="43"/>
      <c r="N180" s="45"/>
      <c r="O180" s="55"/>
      <c r="P180" s="56"/>
      <c r="Q180" s="74"/>
      <c r="R180" s="70"/>
      <c r="S180" s="19"/>
      <c r="T180" s="60"/>
      <c r="U180" s="59"/>
    </row>
    <row r="181" spans="1:21" ht="15" customHeight="1" x14ac:dyDescent="0.25">
      <c r="A181" s="1">
        <f t="shared" ca="1" si="7"/>
        <v>4921</v>
      </c>
      <c r="B181" s="29"/>
      <c r="C181" s="29"/>
      <c r="D181" s="29"/>
      <c r="E181" s="29"/>
      <c r="F181" s="29"/>
      <c r="G181" s="39"/>
      <c r="H181" s="40"/>
      <c r="I181" s="52"/>
      <c r="J181" s="53"/>
      <c r="K181" s="17"/>
      <c r="L181" s="39"/>
      <c r="M181" s="43"/>
      <c r="N181" s="45"/>
      <c r="O181" s="55"/>
      <c r="P181" s="56"/>
      <c r="Q181" s="74"/>
      <c r="R181" s="70"/>
      <c r="S181" s="19"/>
      <c r="T181" s="60"/>
      <c r="U181" s="59"/>
    </row>
    <row r="182" spans="1:21" ht="15" customHeight="1" x14ac:dyDescent="0.25">
      <c r="A182" s="1">
        <f t="shared" ca="1" si="7"/>
        <v>4922</v>
      </c>
      <c r="B182" s="29"/>
      <c r="C182" s="29"/>
      <c r="D182" s="29"/>
      <c r="E182" s="29"/>
      <c r="F182" s="29"/>
      <c r="G182" s="39"/>
      <c r="H182" s="40"/>
      <c r="I182" s="52"/>
      <c r="J182" s="53"/>
      <c r="K182" s="17"/>
      <c r="L182" s="39"/>
      <c r="M182" s="43"/>
      <c r="N182" s="45"/>
      <c r="O182" s="55"/>
      <c r="P182" s="56"/>
      <c r="Q182" s="74"/>
      <c r="R182" s="70"/>
      <c r="S182" s="19"/>
      <c r="T182" s="60"/>
      <c r="U182" s="59"/>
    </row>
    <row r="183" spans="1:21" ht="15" customHeight="1" x14ac:dyDescent="0.25">
      <c r="A183" s="1">
        <f t="shared" ca="1" si="7"/>
        <v>4923</v>
      </c>
      <c r="B183" s="29"/>
      <c r="C183" s="29"/>
      <c r="D183" s="29"/>
      <c r="E183" s="29"/>
      <c r="F183" s="29"/>
      <c r="G183" s="39"/>
      <c r="H183" s="40"/>
      <c r="I183" s="52"/>
      <c r="J183" s="53"/>
      <c r="K183" s="17"/>
      <c r="L183" s="39"/>
      <c r="M183" s="43"/>
      <c r="N183" s="45"/>
      <c r="O183" s="55"/>
      <c r="P183" s="56"/>
      <c r="Q183" s="74"/>
      <c r="R183" s="70"/>
      <c r="S183" s="19"/>
      <c r="T183" s="60"/>
      <c r="U183" s="59"/>
    </row>
    <row r="184" spans="1:21" ht="15" customHeight="1" x14ac:dyDescent="0.25">
      <c r="A184" s="1">
        <f t="shared" ca="1" si="7"/>
        <v>4924</v>
      </c>
      <c r="B184" s="29"/>
      <c r="C184" s="29"/>
      <c r="D184" s="29"/>
      <c r="E184" s="29"/>
      <c r="F184" s="29"/>
      <c r="G184" s="39"/>
      <c r="H184" s="40"/>
      <c r="I184" s="52"/>
      <c r="J184" s="53"/>
      <c r="K184" s="17"/>
      <c r="L184" s="39"/>
      <c r="M184" s="43"/>
      <c r="N184" s="45"/>
      <c r="O184" s="55"/>
      <c r="P184" s="56"/>
      <c r="Q184" s="74"/>
      <c r="R184" s="70"/>
      <c r="S184" s="19"/>
      <c r="T184" s="60"/>
      <c r="U184" s="59"/>
    </row>
    <row r="185" spans="1:21" ht="15" customHeight="1" x14ac:dyDescent="0.25">
      <c r="A185" s="1">
        <f t="shared" ca="1" si="7"/>
        <v>4925</v>
      </c>
      <c r="B185" s="29"/>
      <c r="C185" s="29"/>
      <c r="D185" s="29"/>
      <c r="E185" s="29"/>
      <c r="F185" s="29"/>
      <c r="G185" s="39"/>
      <c r="H185" s="40"/>
      <c r="I185" s="52"/>
      <c r="J185" s="53"/>
      <c r="K185" s="17"/>
      <c r="L185" s="39"/>
      <c r="M185" s="43"/>
      <c r="N185" s="45"/>
      <c r="O185" s="55"/>
      <c r="P185" s="56"/>
      <c r="Q185" s="74"/>
      <c r="R185" s="70"/>
      <c r="S185" s="19"/>
      <c r="T185" s="60"/>
      <c r="U185" s="59"/>
    </row>
    <row r="186" spans="1:21" ht="15" customHeight="1" x14ac:dyDescent="0.25">
      <c r="A186" s="1">
        <f t="shared" ca="1" si="7"/>
        <v>4926</v>
      </c>
      <c r="B186" s="29"/>
      <c r="C186" s="29"/>
      <c r="D186" s="29"/>
      <c r="E186" s="29"/>
      <c r="F186" s="29"/>
      <c r="G186" s="39"/>
      <c r="H186" s="40"/>
      <c r="I186" s="52"/>
      <c r="J186" s="53"/>
      <c r="K186" s="17"/>
      <c r="L186" s="39"/>
      <c r="M186" s="43"/>
      <c r="N186" s="45"/>
      <c r="O186" s="55"/>
      <c r="P186" s="56"/>
      <c r="Q186" s="74"/>
      <c r="R186" s="70"/>
      <c r="S186" s="19"/>
      <c r="T186" s="60"/>
      <c r="U186" s="59"/>
    </row>
    <row r="187" spans="1:21" ht="15" customHeight="1" x14ac:dyDescent="0.25">
      <c r="A187" s="1">
        <f t="shared" ca="1" si="7"/>
        <v>4927</v>
      </c>
      <c r="B187" s="29"/>
      <c r="C187" s="29"/>
      <c r="D187" s="29"/>
      <c r="E187" s="29"/>
      <c r="F187" s="29"/>
      <c r="G187" s="39"/>
      <c r="H187" s="40"/>
      <c r="I187" s="52"/>
      <c r="J187" s="53"/>
      <c r="K187" s="17"/>
      <c r="L187" s="39"/>
      <c r="M187" s="43"/>
      <c r="N187" s="45"/>
      <c r="O187" s="55"/>
      <c r="P187" s="56"/>
      <c r="Q187" s="74"/>
      <c r="R187" s="70"/>
      <c r="S187" s="19"/>
      <c r="T187" s="60"/>
      <c r="U187" s="59"/>
    </row>
    <row r="188" spans="1:21" ht="15" customHeight="1" x14ac:dyDescent="0.25">
      <c r="A188" s="1">
        <f t="shared" ca="1" si="7"/>
        <v>4928</v>
      </c>
      <c r="B188" s="29"/>
      <c r="C188" s="29"/>
      <c r="D188" s="29"/>
      <c r="E188" s="29"/>
      <c r="F188" s="29"/>
      <c r="G188" s="39"/>
      <c r="H188" s="40"/>
      <c r="I188" s="52"/>
      <c r="J188" s="53"/>
      <c r="K188" s="17"/>
      <c r="L188" s="39"/>
      <c r="M188" s="43"/>
      <c r="N188" s="45"/>
      <c r="O188" s="55"/>
      <c r="P188" s="56"/>
      <c r="Q188" s="74"/>
      <c r="R188" s="70"/>
      <c r="S188" s="19"/>
      <c r="T188" s="60"/>
      <c r="U188" s="59"/>
    </row>
    <row r="189" spans="1:21" ht="15" customHeight="1" x14ac:dyDescent="0.25">
      <c r="A189" s="1">
        <f t="shared" ca="1" si="7"/>
        <v>4929</v>
      </c>
      <c r="B189" s="29"/>
      <c r="C189" s="29"/>
      <c r="D189" s="29"/>
      <c r="E189" s="29"/>
      <c r="F189" s="29"/>
      <c r="G189" s="39"/>
      <c r="H189" s="40"/>
      <c r="I189" s="52"/>
      <c r="J189" s="53"/>
      <c r="K189" s="17"/>
      <c r="L189" s="39"/>
      <c r="M189" s="43"/>
      <c r="N189" s="45"/>
      <c r="O189" s="55"/>
      <c r="P189" s="56"/>
      <c r="Q189" s="74"/>
      <c r="R189" s="70"/>
      <c r="S189" s="19"/>
      <c r="T189" s="60"/>
      <c r="U189" s="59"/>
    </row>
    <row r="190" spans="1:21" ht="15" customHeight="1" x14ac:dyDescent="0.25">
      <c r="A190" s="1">
        <f t="shared" ca="1" si="7"/>
        <v>4930</v>
      </c>
      <c r="B190" s="29"/>
      <c r="C190" s="29"/>
      <c r="D190" s="29"/>
      <c r="E190" s="29"/>
      <c r="F190" s="29"/>
      <c r="G190" s="39"/>
      <c r="H190" s="40"/>
      <c r="I190" s="52"/>
      <c r="J190" s="53"/>
      <c r="K190" s="17"/>
      <c r="L190" s="39"/>
      <c r="M190" s="43"/>
      <c r="N190" s="45"/>
      <c r="O190" s="55"/>
      <c r="P190" s="56"/>
      <c r="Q190" s="74"/>
      <c r="R190" s="70"/>
      <c r="S190" s="19"/>
      <c r="T190" s="60"/>
      <c r="U190" s="59"/>
    </row>
    <row r="191" spans="1:21" x14ac:dyDescent="0.25">
      <c r="A191" s="1" t="str">
        <f t="shared" ca="1" si="7"/>
        <v>Totaal</v>
      </c>
      <c r="B191" s="61" t="str">
        <f>IF(COUNT(B161:B190)&gt;0,AVERAGE(B161:B190)/10,"")</f>
        <v/>
      </c>
      <c r="C191" s="62" t="str">
        <f>IF(COUNT(C161:C190)&gt;0,AVERAGE(C161:C190)/1000,"")</f>
        <v/>
      </c>
      <c r="D191" s="62" t="str">
        <f>IF(COUNT(D161:D190)&gt;0,AVERAGE(D161:D190)/1000,"")</f>
        <v/>
      </c>
      <c r="E191" s="62" t="str">
        <f>IF(COUNT(E161:E190)&gt;0,AVERAGE(E161:E190)/1000,"")</f>
        <v/>
      </c>
      <c r="F191" s="62" t="str">
        <f>IF(COUNT(F161:F190)&gt;0,AVERAGE(F161:F190)/100,"")</f>
        <v/>
      </c>
      <c r="G191" s="41" t="str">
        <f>IF(COUNT(G161:G190)&gt;0,AVERAGE(G161:G190)/10,"")</f>
        <v/>
      </c>
      <c r="H191" s="42" t="str">
        <f>IF(COUNT(H161:H190)&gt;0,AVERAGE(H161:H190)/10,"")</f>
        <v/>
      </c>
      <c r="I191" s="18" t="str">
        <f>IF(COUNT(I161:I190)&gt;0,AVERAGE(I161:I190)/10,"")</f>
        <v/>
      </c>
      <c r="J191" s="54" t="str">
        <f>IF(COUNT(J161:J190)&gt;0,AVERAGE(J161:J190),"")</f>
        <v/>
      </c>
      <c r="K191" s="51" t="str">
        <f>IF(COUNT(K161:K190)&gt;0,AVERAGE(K161:K190)/1000,"")</f>
        <v/>
      </c>
      <c r="L191" s="41" t="str">
        <f>IF(COUNT(L161:L190)&gt;0,AVERAGE(L161:L190)/10,"")</f>
        <v/>
      </c>
      <c r="M191" s="44" t="str">
        <f>IF(COUNT(M161:M190)&gt;0,AVERAGE(M161:M190)/10,"")</f>
        <v/>
      </c>
      <c r="N191" s="46"/>
      <c r="O191" s="57" t="str">
        <f>IF(COUNT(O161:O190)&gt;0,AVERAGE(O161:O190),"")</f>
        <v/>
      </c>
      <c r="P191" s="58" t="str">
        <f>IF(COUNT(P161:P190)&gt;0,AVERAGE(P161:P190),"")</f>
        <v/>
      </c>
      <c r="Q191" s="47"/>
      <c r="R191" s="68" t="str">
        <f>IF(COUNT(R161:R190)&gt;0,SUM(R161:R190)/100,"")</f>
        <v/>
      </c>
      <c r="S191" s="64" t="str">
        <f>IF(COUNT(S161:S190)&gt;0,AVERAGE(S161:S190),"")</f>
        <v/>
      </c>
      <c r="T191" s="65" t="str">
        <f>IF(COUNT(T161:T190)&gt;0,AVERAGE(T161:T190),"")</f>
        <v/>
      </c>
      <c r="U191" s="66" t="str">
        <f>IF(COUNT(U161:U190)&gt;0,AVERAGE(U161:U190),"")</f>
        <v/>
      </c>
    </row>
    <row r="192" spans="1:21" ht="15" customHeight="1" x14ac:dyDescent="0.25">
      <c r="A192" s="1">
        <f t="shared" ca="1" si="7"/>
        <v>4931</v>
      </c>
      <c r="B192" s="29"/>
      <c r="C192" s="29"/>
      <c r="D192" s="29"/>
      <c r="E192" s="29"/>
      <c r="F192" s="29">
        <v>2998</v>
      </c>
      <c r="G192" s="39"/>
      <c r="H192" s="40"/>
      <c r="I192" s="52"/>
      <c r="J192" s="53"/>
      <c r="K192" s="17"/>
      <c r="L192" s="39"/>
      <c r="M192" s="43"/>
      <c r="N192" s="45" t="s">
        <v>108</v>
      </c>
      <c r="O192" s="55"/>
      <c r="P192" s="56"/>
      <c r="Q192" s="74"/>
      <c r="R192" s="70"/>
      <c r="S192" s="19"/>
      <c r="T192" s="60"/>
      <c r="U192" s="59"/>
    </row>
    <row r="193" spans="1:21" ht="15" customHeight="1" x14ac:dyDescent="0.25">
      <c r="A193" s="1">
        <f t="shared" ca="1" si="7"/>
        <v>4932</v>
      </c>
      <c r="B193" s="29"/>
      <c r="C193" s="29"/>
      <c r="D193" s="29"/>
      <c r="E193" s="29"/>
      <c r="F193" s="29">
        <v>2994</v>
      </c>
      <c r="G193" s="39"/>
      <c r="H193" s="40"/>
      <c r="I193" s="52"/>
      <c r="J193" s="53"/>
      <c r="K193" s="17"/>
      <c r="L193" s="39"/>
      <c r="M193" s="43"/>
      <c r="N193" s="45" t="s">
        <v>108</v>
      </c>
      <c r="O193" s="55"/>
      <c r="P193" s="56"/>
      <c r="Q193" s="74"/>
      <c r="R193" s="70"/>
      <c r="S193" s="19"/>
      <c r="T193" s="60"/>
      <c r="U193" s="59"/>
    </row>
    <row r="194" spans="1:21" ht="15" customHeight="1" x14ac:dyDescent="0.25">
      <c r="A194" s="1">
        <f t="shared" ca="1" si="7"/>
        <v>4933</v>
      </c>
      <c r="B194" s="29"/>
      <c r="C194" s="29"/>
      <c r="D194" s="29"/>
      <c r="E194" s="29"/>
      <c r="F194" s="29">
        <v>2994</v>
      </c>
      <c r="G194" s="39"/>
      <c r="H194" s="40"/>
      <c r="I194" s="52"/>
      <c r="J194" s="53"/>
      <c r="K194" s="17"/>
      <c r="L194" s="39"/>
      <c r="M194" s="43"/>
      <c r="N194" s="45" t="s">
        <v>108</v>
      </c>
      <c r="O194" s="55"/>
      <c r="P194" s="56"/>
      <c r="Q194" s="74"/>
      <c r="R194" s="70"/>
      <c r="S194" s="19"/>
      <c r="T194" s="60"/>
      <c r="U194" s="59"/>
    </row>
    <row r="195" spans="1:21" ht="15" customHeight="1" x14ac:dyDescent="0.25">
      <c r="A195" s="1">
        <f t="shared" ca="1" si="7"/>
        <v>4934</v>
      </c>
      <c r="B195" s="29"/>
      <c r="C195" s="29"/>
      <c r="D195" s="29"/>
      <c r="E195" s="29"/>
      <c r="F195" s="29">
        <v>2996</v>
      </c>
      <c r="G195" s="39"/>
      <c r="H195" s="40"/>
      <c r="I195" s="52"/>
      <c r="J195" s="53"/>
      <c r="K195" s="17"/>
      <c r="L195" s="39"/>
      <c r="M195" s="43"/>
      <c r="N195" s="45" t="s">
        <v>108</v>
      </c>
      <c r="O195" s="55"/>
      <c r="P195" s="56"/>
      <c r="Q195" s="74"/>
      <c r="R195" s="70"/>
      <c r="S195" s="19"/>
      <c r="T195" s="60"/>
      <c r="U195" s="59"/>
    </row>
    <row r="196" spans="1:21" ht="15" customHeight="1" x14ac:dyDescent="0.25">
      <c r="A196" s="1">
        <f t="shared" ca="1" si="7"/>
        <v>4935</v>
      </c>
      <c r="B196" s="29"/>
      <c r="C196" s="29"/>
      <c r="D196" s="29"/>
      <c r="E196" s="29"/>
      <c r="F196" s="29">
        <v>3000</v>
      </c>
      <c r="G196" s="39"/>
      <c r="H196" s="40"/>
      <c r="I196" s="52"/>
      <c r="J196" s="53"/>
      <c r="K196" s="17"/>
      <c r="L196" s="39"/>
      <c r="M196" s="43"/>
      <c r="N196" s="45" t="s">
        <v>108</v>
      </c>
      <c r="O196" s="55"/>
      <c r="P196" s="56"/>
      <c r="Q196" s="74"/>
      <c r="R196" s="70"/>
      <c r="S196" s="19"/>
      <c r="T196" s="60"/>
      <c r="U196" s="59"/>
    </row>
    <row r="197" spans="1:21" ht="15" customHeight="1" x14ac:dyDescent="0.25">
      <c r="A197" s="1">
        <f t="shared" ca="1" si="7"/>
        <v>4936</v>
      </c>
      <c r="B197" s="29"/>
      <c r="C197" s="29"/>
      <c r="D197" s="29"/>
      <c r="E197" s="29"/>
      <c r="F197" s="29">
        <v>2998</v>
      </c>
      <c r="G197" s="39"/>
      <c r="H197" s="40"/>
      <c r="I197" s="52"/>
      <c r="J197" s="53"/>
      <c r="K197" s="17"/>
      <c r="L197" s="39"/>
      <c r="M197" s="43"/>
      <c r="N197" s="45" t="s">
        <v>108</v>
      </c>
      <c r="O197" s="55"/>
      <c r="P197" s="56"/>
      <c r="Q197" s="74"/>
      <c r="R197" s="70"/>
      <c r="S197" s="19"/>
      <c r="T197" s="60"/>
      <c r="U197" s="59"/>
    </row>
    <row r="198" spans="1:21" ht="15" customHeight="1" x14ac:dyDescent="0.25">
      <c r="A198" s="1">
        <f t="shared" ca="1" si="7"/>
        <v>4937</v>
      </c>
      <c r="B198" s="29"/>
      <c r="C198" s="29"/>
      <c r="D198" s="29"/>
      <c r="E198" s="29"/>
      <c r="F198" s="29">
        <v>2998</v>
      </c>
      <c r="G198" s="39"/>
      <c r="H198" s="40"/>
      <c r="I198" s="52"/>
      <c r="J198" s="53"/>
      <c r="K198" s="17"/>
      <c r="L198" s="39"/>
      <c r="M198" s="43"/>
      <c r="N198" s="45" t="s">
        <v>110</v>
      </c>
      <c r="O198" s="55"/>
      <c r="P198" s="56"/>
      <c r="Q198" s="74"/>
      <c r="R198" s="70"/>
      <c r="S198" s="19"/>
      <c r="T198" s="60"/>
      <c r="U198" s="59"/>
    </row>
    <row r="199" spans="1:21" ht="15" customHeight="1" x14ac:dyDescent="0.25">
      <c r="A199" s="1">
        <f t="shared" ref="A199:A262" ca="1" si="11">IF(ISTEXT(A198),A197+1,IF(MONTH(A198+1)=MONTH(A198),A198+1,"Totaal"))</f>
        <v>4938</v>
      </c>
      <c r="B199" s="29"/>
      <c r="C199" s="29"/>
      <c r="D199" s="29"/>
      <c r="E199" s="29"/>
      <c r="F199" s="29">
        <v>2996</v>
      </c>
      <c r="G199" s="39"/>
      <c r="H199" s="40"/>
      <c r="I199" s="52"/>
      <c r="J199" s="53"/>
      <c r="K199" s="17"/>
      <c r="L199" s="39"/>
      <c r="M199" s="43"/>
      <c r="N199" s="45" t="s">
        <v>108</v>
      </c>
      <c r="O199" s="55"/>
      <c r="P199" s="56"/>
      <c r="Q199" s="74"/>
      <c r="R199" s="70"/>
      <c r="S199" s="19"/>
      <c r="T199" s="60"/>
      <c r="U199" s="59"/>
    </row>
    <row r="200" spans="1:21" ht="15" customHeight="1" x14ac:dyDescent="0.25">
      <c r="A200" s="1">
        <f t="shared" ca="1" si="11"/>
        <v>4939</v>
      </c>
      <c r="B200" s="29"/>
      <c r="C200" s="29"/>
      <c r="D200" s="29"/>
      <c r="E200" s="29"/>
      <c r="F200" s="29">
        <v>2998</v>
      </c>
      <c r="G200" s="39"/>
      <c r="H200" s="40"/>
      <c r="I200" s="52"/>
      <c r="J200" s="53"/>
      <c r="K200" s="17"/>
      <c r="L200" s="39"/>
      <c r="M200" s="43"/>
      <c r="N200" s="45" t="s">
        <v>108</v>
      </c>
      <c r="O200" s="55"/>
      <c r="P200" s="56"/>
      <c r="Q200" s="74"/>
      <c r="R200" s="70"/>
      <c r="S200" s="19"/>
      <c r="T200" s="60"/>
      <c r="U200" s="59"/>
    </row>
    <row r="201" spans="1:21" ht="15" customHeight="1" x14ac:dyDescent="0.25">
      <c r="A201" s="1">
        <f t="shared" ca="1" si="11"/>
        <v>4940</v>
      </c>
      <c r="B201" s="29"/>
      <c r="C201" s="29"/>
      <c r="D201" s="29"/>
      <c r="E201" s="29"/>
      <c r="F201" s="29">
        <v>3000</v>
      </c>
      <c r="G201" s="39"/>
      <c r="H201" s="40"/>
      <c r="I201" s="52"/>
      <c r="J201" s="53"/>
      <c r="K201" s="17"/>
      <c r="L201" s="39"/>
      <c r="M201" s="43"/>
      <c r="N201" s="45" t="s">
        <v>108</v>
      </c>
      <c r="O201" s="55"/>
      <c r="P201" s="56"/>
      <c r="Q201" s="74"/>
      <c r="R201" s="70"/>
      <c r="S201" s="19"/>
      <c r="T201" s="60"/>
      <c r="U201" s="59"/>
    </row>
    <row r="202" spans="1:21" ht="15" customHeight="1" x14ac:dyDescent="0.25">
      <c r="A202" s="1">
        <f t="shared" ca="1" si="11"/>
        <v>4941</v>
      </c>
      <c r="B202" s="29"/>
      <c r="C202" s="29"/>
      <c r="D202" s="29"/>
      <c r="E202" s="29"/>
      <c r="F202" s="29">
        <v>2996</v>
      </c>
      <c r="G202" s="39"/>
      <c r="H202" s="40"/>
      <c r="I202" s="52"/>
      <c r="J202" s="53"/>
      <c r="K202" s="17"/>
      <c r="L202" s="39"/>
      <c r="M202" s="43"/>
      <c r="N202" s="45" t="s">
        <v>108</v>
      </c>
      <c r="O202" s="55"/>
      <c r="P202" s="56"/>
      <c r="Q202" s="74"/>
      <c r="R202" s="70"/>
      <c r="S202" s="19"/>
      <c r="T202" s="60"/>
      <c r="U202" s="59"/>
    </row>
    <row r="203" spans="1:21" ht="15" customHeight="1" x14ac:dyDescent="0.25">
      <c r="A203" s="1">
        <f t="shared" ca="1" si="11"/>
        <v>4942</v>
      </c>
      <c r="B203" s="29"/>
      <c r="C203" s="29"/>
      <c r="D203" s="29"/>
      <c r="E203" s="29"/>
      <c r="F203" s="29">
        <v>2998</v>
      </c>
      <c r="G203" s="39"/>
      <c r="H203" s="40"/>
      <c r="I203" s="52"/>
      <c r="J203" s="53"/>
      <c r="K203" s="17"/>
      <c r="L203" s="39"/>
      <c r="M203" s="43"/>
      <c r="N203" s="45" t="s">
        <v>108</v>
      </c>
      <c r="O203" s="55"/>
      <c r="P203" s="56"/>
      <c r="Q203" s="74"/>
      <c r="R203" s="70"/>
      <c r="S203" s="19"/>
      <c r="T203" s="60"/>
      <c r="U203" s="59"/>
    </row>
    <row r="204" spans="1:21" ht="15" customHeight="1" x14ac:dyDescent="0.25">
      <c r="A204" s="1">
        <f t="shared" ca="1" si="11"/>
        <v>4943</v>
      </c>
      <c r="B204" s="29"/>
      <c r="C204" s="29"/>
      <c r="D204" s="29"/>
      <c r="E204" s="29"/>
      <c r="F204" s="29">
        <v>2994</v>
      </c>
      <c r="G204" s="39"/>
      <c r="H204" s="40"/>
      <c r="I204" s="52"/>
      <c r="J204" s="53"/>
      <c r="K204" s="17"/>
      <c r="L204" s="39"/>
      <c r="M204" s="43"/>
      <c r="N204" s="45" t="s">
        <v>106</v>
      </c>
      <c r="O204" s="55"/>
      <c r="P204" s="56"/>
      <c r="Q204" s="74"/>
      <c r="R204" s="70"/>
      <c r="S204" s="19"/>
      <c r="T204" s="60"/>
      <c r="U204" s="59"/>
    </row>
    <row r="205" spans="1:21" ht="15" customHeight="1" x14ac:dyDescent="0.25">
      <c r="A205" s="1">
        <f t="shared" ca="1" si="11"/>
        <v>4944</v>
      </c>
      <c r="B205" s="29"/>
      <c r="C205" s="29"/>
      <c r="D205" s="29"/>
      <c r="E205" s="29"/>
      <c r="F205" s="29">
        <v>2994</v>
      </c>
      <c r="G205" s="39"/>
      <c r="H205" s="40"/>
      <c r="I205" s="52"/>
      <c r="J205" s="53"/>
      <c r="K205" s="17"/>
      <c r="L205" s="39"/>
      <c r="M205" s="43"/>
      <c r="N205" s="45" t="s">
        <v>110</v>
      </c>
      <c r="O205" s="55"/>
      <c r="P205" s="56"/>
      <c r="Q205" s="74"/>
      <c r="R205" s="70"/>
      <c r="S205" s="19"/>
      <c r="T205" s="60"/>
      <c r="U205" s="59"/>
    </row>
    <row r="206" spans="1:21" ht="15" customHeight="1" x14ac:dyDescent="0.25">
      <c r="A206" s="1">
        <f t="shared" ca="1" si="11"/>
        <v>4945</v>
      </c>
      <c r="B206" s="29"/>
      <c r="C206" s="29"/>
      <c r="D206" s="29"/>
      <c r="E206" s="29"/>
      <c r="F206" s="29">
        <v>3000</v>
      </c>
      <c r="G206" s="39"/>
      <c r="H206" s="40"/>
      <c r="I206" s="52"/>
      <c r="J206" s="53"/>
      <c r="K206" s="17"/>
      <c r="L206" s="39"/>
      <c r="M206" s="43"/>
      <c r="N206" s="45" t="s">
        <v>108</v>
      </c>
      <c r="O206" s="55"/>
      <c r="P206" s="56"/>
      <c r="Q206" s="74"/>
      <c r="R206" s="70"/>
      <c r="S206" s="19"/>
      <c r="T206" s="60"/>
      <c r="U206" s="59"/>
    </row>
    <row r="207" spans="1:21" ht="15" customHeight="1" x14ac:dyDescent="0.25">
      <c r="A207" s="1">
        <f t="shared" ca="1" si="11"/>
        <v>4946</v>
      </c>
      <c r="B207" s="29"/>
      <c r="C207" s="29"/>
      <c r="D207" s="29"/>
      <c r="E207" s="29"/>
      <c r="F207" s="29">
        <v>3000</v>
      </c>
      <c r="G207" s="39"/>
      <c r="H207" s="40"/>
      <c r="I207" s="52"/>
      <c r="J207" s="53"/>
      <c r="K207" s="17"/>
      <c r="L207" s="39"/>
      <c r="M207" s="43"/>
      <c r="N207" s="45" t="s">
        <v>108</v>
      </c>
      <c r="O207" s="55"/>
      <c r="P207" s="56"/>
      <c r="Q207" s="74"/>
      <c r="R207" s="70"/>
      <c r="S207" s="19"/>
      <c r="T207" s="60"/>
      <c r="U207" s="59"/>
    </row>
    <row r="208" spans="1:21" ht="15" customHeight="1" x14ac:dyDescent="0.25">
      <c r="A208" s="1">
        <f t="shared" ca="1" si="11"/>
        <v>4947</v>
      </c>
      <c r="B208" s="29"/>
      <c r="C208" s="29"/>
      <c r="D208" s="29"/>
      <c r="E208" s="29"/>
      <c r="F208" s="29">
        <v>2994</v>
      </c>
      <c r="G208" s="39"/>
      <c r="H208" s="40"/>
      <c r="I208" s="52"/>
      <c r="J208" s="53"/>
      <c r="K208" s="17"/>
      <c r="L208" s="39"/>
      <c r="M208" s="43"/>
      <c r="N208" s="45" t="s">
        <v>110</v>
      </c>
      <c r="O208" s="55"/>
      <c r="P208" s="56"/>
      <c r="Q208" s="74"/>
      <c r="R208" s="70"/>
      <c r="S208" s="19"/>
      <c r="T208" s="60"/>
      <c r="U208" s="59"/>
    </row>
    <row r="209" spans="1:21" ht="15" customHeight="1" x14ac:dyDescent="0.25">
      <c r="A209" s="1">
        <f t="shared" ca="1" si="11"/>
        <v>4948</v>
      </c>
      <c r="B209" s="29"/>
      <c r="C209" s="29"/>
      <c r="D209" s="29"/>
      <c r="E209" s="29"/>
      <c r="F209" s="29">
        <v>2992</v>
      </c>
      <c r="G209" s="39"/>
      <c r="H209" s="40"/>
      <c r="I209" s="52"/>
      <c r="J209" s="53"/>
      <c r="K209" s="17"/>
      <c r="L209" s="39"/>
      <c r="M209" s="43"/>
      <c r="N209" s="45" t="s">
        <v>108</v>
      </c>
      <c r="O209" s="55"/>
      <c r="P209" s="56"/>
      <c r="Q209" s="74"/>
      <c r="R209" s="70"/>
      <c r="S209" s="19"/>
      <c r="T209" s="60"/>
      <c r="U209" s="59"/>
    </row>
    <row r="210" spans="1:21" ht="15" customHeight="1" x14ac:dyDescent="0.25">
      <c r="A210" s="1">
        <f t="shared" ca="1" si="11"/>
        <v>4949</v>
      </c>
      <c r="B210" s="29"/>
      <c r="C210" s="29"/>
      <c r="D210" s="29"/>
      <c r="E210" s="29"/>
      <c r="F210" s="29">
        <v>2986</v>
      </c>
      <c r="G210" s="39"/>
      <c r="H210" s="40"/>
      <c r="I210" s="52"/>
      <c r="J210" s="53"/>
      <c r="K210" s="17"/>
      <c r="L210" s="39"/>
      <c r="M210" s="43"/>
      <c r="N210" s="45" t="s">
        <v>108</v>
      </c>
      <c r="O210" s="55"/>
      <c r="P210" s="56"/>
      <c r="Q210" s="74"/>
      <c r="R210" s="70"/>
      <c r="S210" s="19"/>
      <c r="T210" s="60"/>
      <c r="U210" s="59"/>
    </row>
    <row r="211" spans="1:21" ht="15" customHeight="1" x14ac:dyDescent="0.25">
      <c r="A211" s="1">
        <f t="shared" ca="1" si="11"/>
        <v>4950</v>
      </c>
      <c r="B211" s="29"/>
      <c r="C211" s="29"/>
      <c r="D211" s="29"/>
      <c r="E211" s="29"/>
      <c r="F211" s="29">
        <v>2998</v>
      </c>
      <c r="G211" s="39"/>
      <c r="H211" s="40"/>
      <c r="I211" s="52"/>
      <c r="J211" s="53"/>
      <c r="K211" s="17"/>
      <c r="L211" s="39"/>
      <c r="M211" s="43"/>
      <c r="N211" s="45" t="s">
        <v>108</v>
      </c>
      <c r="O211" s="55"/>
      <c r="P211" s="56"/>
      <c r="Q211" s="74"/>
      <c r="R211" s="70"/>
      <c r="S211" s="19"/>
      <c r="T211" s="60"/>
      <c r="U211" s="59"/>
    </row>
    <row r="212" spans="1:21" ht="15" customHeight="1" x14ac:dyDescent="0.25">
      <c r="A212" s="1">
        <f t="shared" ca="1" si="11"/>
        <v>4951</v>
      </c>
      <c r="B212" s="29"/>
      <c r="C212" s="29"/>
      <c r="D212" s="29"/>
      <c r="E212" s="29"/>
      <c r="F212" s="29">
        <v>2996</v>
      </c>
      <c r="G212" s="39"/>
      <c r="H212" s="40"/>
      <c r="I212" s="52"/>
      <c r="J212" s="53"/>
      <c r="K212" s="17"/>
      <c r="L212" s="39"/>
      <c r="M212" s="43"/>
      <c r="N212" s="45" t="s">
        <v>110</v>
      </c>
      <c r="O212" s="55"/>
      <c r="P212" s="56"/>
      <c r="Q212" s="74"/>
      <c r="R212" s="70"/>
      <c r="S212" s="19"/>
      <c r="T212" s="60"/>
      <c r="U212" s="59"/>
    </row>
    <row r="213" spans="1:21" ht="15" customHeight="1" x14ac:dyDescent="0.25">
      <c r="A213" s="1">
        <f t="shared" ca="1" si="11"/>
        <v>4952</v>
      </c>
      <c r="B213" s="29"/>
      <c r="C213" s="29"/>
      <c r="D213" s="29"/>
      <c r="E213" s="29"/>
      <c r="F213" s="29">
        <v>2996</v>
      </c>
      <c r="G213" s="39"/>
      <c r="H213" s="40"/>
      <c r="I213" s="52"/>
      <c r="J213" s="53"/>
      <c r="K213" s="17"/>
      <c r="L213" s="39"/>
      <c r="M213" s="43"/>
      <c r="N213" s="45" t="s">
        <v>108</v>
      </c>
      <c r="O213" s="55"/>
      <c r="P213" s="56"/>
      <c r="Q213" s="74"/>
      <c r="R213" s="70"/>
      <c r="S213" s="19"/>
      <c r="T213" s="60"/>
      <c r="U213" s="59"/>
    </row>
    <row r="214" spans="1:21" ht="15" customHeight="1" x14ac:dyDescent="0.25">
      <c r="A214" s="1">
        <f t="shared" ca="1" si="11"/>
        <v>4953</v>
      </c>
      <c r="B214" s="29"/>
      <c r="C214" s="29"/>
      <c r="D214" s="29"/>
      <c r="E214" s="29"/>
      <c r="F214" s="29">
        <v>2992</v>
      </c>
      <c r="G214" s="39"/>
      <c r="H214" s="40"/>
      <c r="I214" s="52"/>
      <c r="J214" s="53"/>
      <c r="K214" s="17"/>
      <c r="L214" s="39"/>
      <c r="M214" s="43"/>
      <c r="N214" s="45" t="s">
        <v>108</v>
      </c>
      <c r="O214" s="55"/>
      <c r="P214" s="56"/>
      <c r="Q214" s="74"/>
      <c r="R214" s="70"/>
      <c r="S214" s="19"/>
      <c r="T214" s="60"/>
      <c r="U214" s="59"/>
    </row>
    <row r="215" spans="1:21" ht="15" customHeight="1" x14ac:dyDescent="0.25">
      <c r="A215" s="1">
        <f t="shared" ca="1" si="11"/>
        <v>4954</v>
      </c>
      <c r="B215" s="29"/>
      <c r="C215" s="29"/>
      <c r="D215" s="29"/>
      <c r="E215" s="29"/>
      <c r="F215" s="29"/>
      <c r="G215" s="39"/>
      <c r="H215" s="40"/>
      <c r="I215" s="52"/>
      <c r="J215" s="53"/>
      <c r="K215" s="17"/>
      <c r="L215" s="39"/>
      <c r="M215" s="43"/>
      <c r="N215" s="45"/>
      <c r="O215" s="55"/>
      <c r="P215" s="56"/>
      <c r="Q215" s="74"/>
      <c r="R215" s="70"/>
      <c r="S215" s="19"/>
      <c r="T215" s="60"/>
      <c r="U215" s="59"/>
    </row>
    <row r="216" spans="1:21" ht="15" customHeight="1" x14ac:dyDescent="0.25">
      <c r="A216" s="1">
        <f t="shared" ca="1" si="11"/>
        <v>4955</v>
      </c>
      <c r="B216" s="29"/>
      <c r="C216" s="29"/>
      <c r="D216" s="29"/>
      <c r="E216" s="29"/>
      <c r="F216" s="29">
        <v>2996</v>
      </c>
      <c r="G216" s="39"/>
      <c r="H216" s="40"/>
      <c r="I216" s="52"/>
      <c r="J216" s="53"/>
      <c r="K216" s="17"/>
      <c r="L216" s="39"/>
      <c r="M216" s="43"/>
      <c r="N216" s="45" t="s">
        <v>108</v>
      </c>
      <c r="O216" s="55"/>
      <c r="P216" s="56"/>
      <c r="Q216" s="74"/>
      <c r="R216" s="70"/>
      <c r="S216" s="19"/>
      <c r="T216" s="60"/>
      <c r="U216" s="59"/>
    </row>
    <row r="217" spans="1:21" ht="15" customHeight="1" x14ac:dyDescent="0.25">
      <c r="A217" s="1">
        <f t="shared" ca="1" si="11"/>
        <v>4956</v>
      </c>
      <c r="B217" s="29"/>
      <c r="C217" s="29"/>
      <c r="D217" s="29"/>
      <c r="E217" s="29"/>
      <c r="F217" s="29">
        <v>2994</v>
      </c>
      <c r="G217" s="39"/>
      <c r="H217" s="40"/>
      <c r="I217" s="52"/>
      <c r="J217" s="53"/>
      <c r="K217" s="17"/>
      <c r="L217" s="39"/>
      <c r="M217" s="43"/>
      <c r="N217" s="45" t="s">
        <v>108</v>
      </c>
      <c r="O217" s="55"/>
      <c r="P217" s="56"/>
      <c r="Q217" s="74"/>
      <c r="R217" s="70"/>
      <c r="S217" s="19"/>
      <c r="T217" s="60"/>
      <c r="U217" s="59"/>
    </row>
    <row r="218" spans="1:21" ht="15" customHeight="1" x14ac:dyDescent="0.25">
      <c r="A218" s="1">
        <f t="shared" ca="1" si="11"/>
        <v>4957</v>
      </c>
      <c r="B218" s="29"/>
      <c r="C218" s="29"/>
      <c r="D218" s="29"/>
      <c r="E218" s="29"/>
      <c r="F218" s="29">
        <v>2994</v>
      </c>
      <c r="G218" s="39"/>
      <c r="H218" s="40"/>
      <c r="I218" s="52"/>
      <c r="J218" s="53"/>
      <c r="K218" s="17"/>
      <c r="L218" s="39"/>
      <c r="M218" s="43"/>
      <c r="N218" s="45" t="s">
        <v>110</v>
      </c>
      <c r="O218" s="55"/>
      <c r="P218" s="56"/>
      <c r="Q218" s="74"/>
      <c r="R218" s="70"/>
      <c r="S218" s="19"/>
      <c r="T218" s="60"/>
      <c r="U218" s="59"/>
    </row>
    <row r="219" spans="1:21" ht="15" customHeight="1" x14ac:dyDescent="0.25">
      <c r="A219" s="1">
        <f t="shared" ca="1" si="11"/>
        <v>4958</v>
      </c>
      <c r="B219" s="29"/>
      <c r="C219" s="29"/>
      <c r="D219" s="29"/>
      <c r="E219" s="29"/>
      <c r="F219" s="29">
        <v>2998</v>
      </c>
      <c r="G219" s="39"/>
      <c r="H219" s="40"/>
      <c r="I219" s="52"/>
      <c r="J219" s="53"/>
      <c r="K219" s="17"/>
      <c r="L219" s="39"/>
      <c r="M219" s="43"/>
      <c r="N219" s="45" t="s">
        <v>108</v>
      </c>
      <c r="O219" s="55"/>
      <c r="P219" s="56"/>
      <c r="Q219" s="74"/>
      <c r="R219" s="70"/>
      <c r="S219" s="19"/>
      <c r="T219" s="60"/>
      <c r="U219" s="59"/>
    </row>
    <row r="220" spans="1:21" ht="15" customHeight="1" x14ac:dyDescent="0.25">
      <c r="A220" s="1">
        <f t="shared" ca="1" si="11"/>
        <v>4959</v>
      </c>
      <c r="B220" s="29"/>
      <c r="C220" s="29"/>
      <c r="D220" s="29"/>
      <c r="E220" s="29"/>
      <c r="F220" s="29"/>
      <c r="G220" s="39"/>
      <c r="H220" s="40"/>
      <c r="I220" s="52"/>
      <c r="J220" s="53"/>
      <c r="K220" s="17"/>
      <c r="L220" s="39"/>
      <c r="M220" s="43"/>
      <c r="N220" s="45"/>
      <c r="O220" s="55"/>
      <c r="P220" s="56"/>
      <c r="Q220" s="74"/>
      <c r="R220" s="70"/>
      <c r="S220" s="19"/>
      <c r="T220" s="60"/>
      <c r="U220" s="59"/>
    </row>
    <row r="221" spans="1:21" ht="15" customHeight="1" x14ac:dyDescent="0.25">
      <c r="A221" s="1">
        <f t="shared" ca="1" si="11"/>
        <v>4960</v>
      </c>
      <c r="B221" s="29"/>
      <c r="C221" s="29"/>
      <c r="D221" s="29"/>
      <c r="E221" s="29"/>
      <c r="F221" s="29">
        <v>2996</v>
      </c>
      <c r="G221" s="39"/>
      <c r="H221" s="40"/>
      <c r="I221" s="52"/>
      <c r="J221" s="53"/>
      <c r="K221" s="17"/>
      <c r="L221" s="39"/>
      <c r="M221" s="43"/>
      <c r="N221" s="45" t="s">
        <v>108</v>
      </c>
      <c r="O221" s="55"/>
      <c r="P221" s="56"/>
      <c r="Q221" s="74"/>
      <c r="R221" s="70"/>
      <c r="S221" s="19"/>
      <c r="T221" s="60"/>
      <c r="U221" s="59"/>
    </row>
    <row r="222" spans="1:21" ht="15" customHeight="1" x14ac:dyDescent="0.25">
      <c r="A222" s="1">
        <f t="shared" ca="1" si="11"/>
        <v>4961</v>
      </c>
      <c r="B222" s="29"/>
      <c r="C222" s="29"/>
      <c r="D222" s="29"/>
      <c r="E222" s="29"/>
      <c r="F222" s="29">
        <v>2998</v>
      </c>
      <c r="G222" s="39"/>
      <c r="H222" s="40"/>
      <c r="I222" s="52"/>
      <c r="J222" s="53"/>
      <c r="K222" s="17"/>
      <c r="L222" s="39"/>
      <c r="M222" s="43"/>
      <c r="N222" s="45" t="s">
        <v>108</v>
      </c>
      <c r="O222" s="55"/>
      <c r="P222" s="56"/>
      <c r="Q222" s="74"/>
      <c r="R222" s="70"/>
      <c r="S222" s="19"/>
      <c r="T222" s="60"/>
      <c r="U222" s="59"/>
    </row>
    <row r="223" spans="1:21" x14ac:dyDescent="0.25">
      <c r="A223" s="1" t="str">
        <f t="shared" ca="1" si="11"/>
        <v>Totaal</v>
      </c>
      <c r="B223" s="61" t="str">
        <f>IF(COUNT(B192:B222)&gt;0,AVERAGE(B192:B222)/10,"")</f>
        <v/>
      </c>
      <c r="C223" s="62" t="str">
        <f>IF(COUNT(C192:C222)&gt;0,AVERAGE(C192:C222)/1000,"")</f>
        <v/>
      </c>
      <c r="D223" s="62" t="str">
        <f t="shared" ref="D223" si="12">IF(COUNT(D192:D222)&gt;0,AVERAGE(D192:D222)/1000,"")</f>
        <v/>
      </c>
      <c r="E223" s="62" t="str">
        <f t="shared" ref="E223" si="13">IF(COUNT(E192:E222)&gt;0,AVERAGE(E192:E222)/1000,"")</f>
        <v/>
      </c>
      <c r="F223" s="62">
        <f>IF(COUNT(F192:F222)&gt;0,AVERAGE(F192:F222)/100,"")</f>
        <v>29.96</v>
      </c>
      <c r="G223" s="41" t="str">
        <f>IF(COUNT(G192:G222)&gt;0,AVERAGE(G192:G222)/10,"")</f>
        <v/>
      </c>
      <c r="H223" s="42" t="str">
        <f t="shared" ref="H223" si="14">IF(COUNT(H192:H222)&gt;0,AVERAGE(H192:H222)/10,"")</f>
        <v/>
      </c>
      <c r="I223" s="18" t="str">
        <f>IF(COUNT(I192:I222)&gt;0,AVERAGE(I192:I222)/10,"")</f>
        <v/>
      </c>
      <c r="J223" s="54" t="str">
        <f>IF(COUNT(J192:J222)&gt;0,AVERAGE(J192:J222),"")</f>
        <v/>
      </c>
      <c r="K223" s="51" t="str">
        <f>IF(COUNT(K192:K222)&gt;0,AVERAGE(K192:K222)/1000,"")</f>
        <v/>
      </c>
      <c r="L223" s="41" t="str">
        <f>IF(COUNT(L192:L222)&gt;0,AVERAGE(L192:L222)/10,"")</f>
        <v/>
      </c>
      <c r="M223" s="44" t="str">
        <f>IF(COUNT(M192:M222)&gt;0,AVERAGE(M192:M222)/10,"")</f>
        <v/>
      </c>
      <c r="N223" s="46"/>
      <c r="O223" s="57" t="str">
        <f>IF(COUNT(O192:O222)&gt;0,AVERAGE(O192:O222),"")</f>
        <v/>
      </c>
      <c r="P223" s="58" t="str">
        <f>IF(COUNT(P192:P222)&gt;0,AVERAGE(P192:P222),"")</f>
        <v/>
      </c>
      <c r="Q223" s="47"/>
      <c r="R223" s="68" t="str">
        <f>IF(COUNT(R192:R222)&gt;0,SUM(R192:R222)/100,"")</f>
        <v/>
      </c>
      <c r="S223" s="64" t="str">
        <f>IF(COUNT(S192:S222)&gt;0,AVERAGE(S192:S222),"")</f>
        <v/>
      </c>
      <c r="T223" s="65" t="str">
        <f>IF(COUNT(T192:T222)&gt;0,AVERAGE(T192:T222),"")</f>
        <v/>
      </c>
      <c r="U223" s="66" t="str">
        <f>IF(COUNT(U192:U222)&gt;0,AVERAGE(U192:U222),"")</f>
        <v/>
      </c>
    </row>
    <row r="224" spans="1:21" ht="15" customHeight="1" x14ac:dyDescent="0.25">
      <c r="A224" s="1">
        <f t="shared" ca="1" si="11"/>
        <v>4962</v>
      </c>
      <c r="B224" s="29"/>
      <c r="C224" s="29"/>
      <c r="D224" s="29"/>
      <c r="E224" s="29"/>
      <c r="F224" s="29">
        <v>2998</v>
      </c>
      <c r="G224" s="39"/>
      <c r="H224" s="40"/>
      <c r="I224" s="52"/>
      <c r="J224" s="53"/>
      <c r="K224" s="17"/>
      <c r="L224" s="39"/>
      <c r="M224" s="43"/>
      <c r="N224" s="45" t="s">
        <v>106</v>
      </c>
      <c r="O224" s="55"/>
      <c r="P224" s="56"/>
      <c r="Q224" s="74"/>
      <c r="R224" s="70"/>
      <c r="S224" s="19"/>
      <c r="T224" s="60"/>
      <c r="U224" s="59"/>
    </row>
    <row r="225" spans="1:21" ht="15" customHeight="1" x14ac:dyDescent="0.25">
      <c r="A225" s="1">
        <f t="shared" ca="1" si="11"/>
        <v>4963</v>
      </c>
      <c r="B225" s="29"/>
      <c r="C225" s="29"/>
      <c r="D225" s="29"/>
      <c r="E225" s="29"/>
      <c r="F225" s="29"/>
      <c r="G225" s="39"/>
      <c r="H225" s="40"/>
      <c r="I225" s="52"/>
      <c r="J225" s="53"/>
      <c r="K225" s="17"/>
      <c r="L225" s="39"/>
      <c r="M225" s="43"/>
      <c r="N225" s="45"/>
      <c r="O225" s="55"/>
      <c r="P225" s="56"/>
      <c r="Q225" s="74"/>
      <c r="R225" s="70"/>
      <c r="S225" s="19"/>
      <c r="T225" s="60"/>
      <c r="U225" s="59"/>
    </row>
    <row r="226" spans="1:21" ht="15" customHeight="1" x14ac:dyDescent="0.25">
      <c r="A226" s="1">
        <f t="shared" ca="1" si="11"/>
        <v>4964</v>
      </c>
      <c r="B226" s="29"/>
      <c r="C226" s="29"/>
      <c r="D226" s="29"/>
      <c r="E226" s="29"/>
      <c r="F226" s="29">
        <v>2994</v>
      </c>
      <c r="G226" s="39"/>
      <c r="H226" s="40"/>
      <c r="I226" s="52"/>
      <c r="J226" s="53"/>
      <c r="K226" s="17"/>
      <c r="L226" s="39"/>
      <c r="M226" s="43"/>
      <c r="N226" s="45" t="s">
        <v>110</v>
      </c>
      <c r="O226" s="55"/>
      <c r="P226" s="56"/>
      <c r="Q226" s="74"/>
      <c r="R226" s="70"/>
      <c r="S226" s="19"/>
      <c r="T226" s="60"/>
      <c r="U226" s="59"/>
    </row>
    <row r="227" spans="1:21" ht="15" customHeight="1" x14ac:dyDescent="0.25">
      <c r="A227" s="1">
        <f t="shared" ca="1" si="11"/>
        <v>4965</v>
      </c>
      <c r="B227" s="29"/>
      <c r="C227" s="29"/>
      <c r="D227" s="29"/>
      <c r="E227" s="29"/>
      <c r="F227" s="29"/>
      <c r="G227" s="39"/>
      <c r="H227" s="40"/>
      <c r="I227" s="52"/>
      <c r="J227" s="53"/>
      <c r="K227" s="17"/>
      <c r="L227" s="39"/>
      <c r="M227" s="43"/>
      <c r="N227" s="45"/>
      <c r="O227" s="55"/>
      <c r="P227" s="56"/>
      <c r="Q227" s="74"/>
      <c r="R227" s="70"/>
      <c r="S227" s="19"/>
      <c r="T227" s="60"/>
      <c r="U227" s="59"/>
    </row>
    <row r="228" spans="1:21" ht="15" customHeight="1" x14ac:dyDescent="0.25">
      <c r="A228" s="1">
        <f t="shared" ca="1" si="11"/>
        <v>4966</v>
      </c>
      <c r="B228" s="29"/>
      <c r="C228" s="29"/>
      <c r="D228" s="29"/>
      <c r="E228" s="29"/>
      <c r="F228" s="29">
        <v>2994</v>
      </c>
      <c r="G228" s="39"/>
      <c r="H228" s="40"/>
      <c r="I228" s="52"/>
      <c r="J228" s="53"/>
      <c r="K228" s="17"/>
      <c r="L228" s="39"/>
      <c r="M228" s="43"/>
      <c r="N228" s="45" t="s">
        <v>108</v>
      </c>
      <c r="O228" s="55"/>
      <c r="P228" s="56"/>
      <c r="Q228" s="74"/>
      <c r="R228" s="70"/>
      <c r="S228" s="19"/>
      <c r="T228" s="60"/>
      <c r="U228" s="59"/>
    </row>
    <row r="229" spans="1:21" ht="15" customHeight="1" x14ac:dyDescent="0.25">
      <c r="A229" s="1">
        <f t="shared" ca="1" si="11"/>
        <v>4967</v>
      </c>
      <c r="B229" s="29"/>
      <c r="C229" s="29"/>
      <c r="D229" s="29"/>
      <c r="E229" s="29"/>
      <c r="F229" s="29">
        <v>2996</v>
      </c>
      <c r="G229" s="39"/>
      <c r="H229" s="40"/>
      <c r="I229" s="52"/>
      <c r="J229" s="53"/>
      <c r="K229" s="17"/>
      <c r="L229" s="39"/>
      <c r="M229" s="43"/>
      <c r="N229" s="45" t="s">
        <v>108</v>
      </c>
      <c r="O229" s="55"/>
      <c r="P229" s="56"/>
      <c r="Q229" s="74"/>
      <c r="R229" s="70"/>
      <c r="S229" s="19"/>
      <c r="T229" s="60"/>
      <c r="U229" s="59"/>
    </row>
    <row r="230" spans="1:21" ht="15" customHeight="1" x14ac:dyDescent="0.25">
      <c r="A230" s="1">
        <f t="shared" ca="1" si="11"/>
        <v>4968</v>
      </c>
      <c r="B230" s="29"/>
      <c r="C230" s="29"/>
      <c r="D230" s="29"/>
      <c r="E230" s="29"/>
      <c r="F230" s="29">
        <v>2994</v>
      </c>
      <c r="G230" s="39"/>
      <c r="H230" s="40"/>
      <c r="I230" s="52"/>
      <c r="J230" s="53"/>
      <c r="K230" s="17"/>
      <c r="L230" s="39"/>
      <c r="M230" s="43"/>
      <c r="N230" s="45" t="s">
        <v>110</v>
      </c>
      <c r="O230" s="55"/>
      <c r="P230" s="56"/>
      <c r="Q230" s="74"/>
      <c r="R230" s="70"/>
      <c r="S230" s="19"/>
      <c r="T230" s="60"/>
      <c r="U230" s="59"/>
    </row>
    <row r="231" spans="1:21" ht="15" customHeight="1" x14ac:dyDescent="0.25">
      <c r="A231" s="1">
        <f t="shared" ca="1" si="11"/>
        <v>4969</v>
      </c>
      <c r="B231" s="29"/>
      <c r="C231" s="29"/>
      <c r="D231" s="29"/>
      <c r="E231" s="29"/>
      <c r="F231" s="29"/>
      <c r="G231" s="39"/>
      <c r="H231" s="40"/>
      <c r="I231" s="52"/>
      <c r="J231" s="53"/>
      <c r="K231" s="17"/>
      <c r="L231" s="39"/>
      <c r="M231" s="43"/>
      <c r="N231" s="45"/>
      <c r="O231" s="55"/>
      <c r="P231" s="56"/>
      <c r="Q231" s="74"/>
      <c r="R231" s="70"/>
      <c r="S231" s="19"/>
      <c r="T231" s="60"/>
      <c r="U231" s="59"/>
    </row>
    <row r="232" spans="1:21" ht="15" customHeight="1" x14ac:dyDescent="0.25">
      <c r="A232" s="1">
        <f t="shared" ca="1" si="11"/>
        <v>4970</v>
      </c>
      <c r="B232" s="29"/>
      <c r="C232" s="29"/>
      <c r="D232" s="29"/>
      <c r="E232" s="29"/>
      <c r="F232" s="29">
        <v>2990</v>
      </c>
      <c r="G232" s="39"/>
      <c r="H232" s="40"/>
      <c r="I232" s="52"/>
      <c r="J232" s="53"/>
      <c r="K232" s="17"/>
      <c r="L232" s="39"/>
      <c r="M232" s="43"/>
      <c r="N232" s="45" t="s">
        <v>108</v>
      </c>
      <c r="O232" s="55"/>
      <c r="P232" s="56"/>
      <c r="Q232" s="74"/>
      <c r="R232" s="70"/>
      <c r="S232" s="19"/>
      <c r="T232" s="60"/>
      <c r="U232" s="59"/>
    </row>
    <row r="233" spans="1:21" ht="15" customHeight="1" x14ac:dyDescent="0.25">
      <c r="A233" s="1">
        <f t="shared" ca="1" si="11"/>
        <v>4971</v>
      </c>
      <c r="B233" s="29"/>
      <c r="C233" s="29"/>
      <c r="D233" s="29"/>
      <c r="E233" s="29"/>
      <c r="F233" s="29">
        <v>2994</v>
      </c>
      <c r="G233" s="39"/>
      <c r="H233" s="40"/>
      <c r="I233" s="52"/>
      <c r="J233" s="53"/>
      <c r="K233" s="17"/>
      <c r="L233" s="39"/>
      <c r="M233" s="43"/>
      <c r="N233" s="45" t="s">
        <v>108</v>
      </c>
      <c r="O233" s="55"/>
      <c r="P233" s="56"/>
      <c r="Q233" s="74"/>
      <c r="R233" s="70"/>
      <c r="S233" s="19"/>
      <c r="T233" s="60"/>
      <c r="U233" s="59"/>
    </row>
    <row r="234" spans="1:21" ht="15" customHeight="1" x14ac:dyDescent="0.25">
      <c r="A234" s="1">
        <f t="shared" ca="1" si="11"/>
        <v>4972</v>
      </c>
      <c r="B234" s="29"/>
      <c r="C234" s="29"/>
      <c r="D234" s="29"/>
      <c r="E234" s="29"/>
      <c r="F234" s="29">
        <v>2996</v>
      </c>
      <c r="G234" s="39"/>
      <c r="H234" s="40"/>
      <c r="I234" s="52"/>
      <c r="J234" s="53"/>
      <c r="K234" s="17"/>
      <c r="L234" s="39"/>
      <c r="M234" s="43"/>
      <c r="N234" s="45" t="s">
        <v>108</v>
      </c>
      <c r="O234" s="55"/>
      <c r="P234" s="56"/>
      <c r="Q234" s="74"/>
      <c r="R234" s="70"/>
      <c r="S234" s="19"/>
      <c r="T234" s="60"/>
      <c r="U234" s="59"/>
    </row>
    <row r="235" spans="1:21" ht="15" customHeight="1" x14ac:dyDescent="0.25">
      <c r="A235" s="1">
        <f t="shared" ca="1" si="11"/>
        <v>4973</v>
      </c>
      <c r="B235" s="29"/>
      <c r="C235" s="29"/>
      <c r="D235" s="29"/>
      <c r="E235" s="29"/>
      <c r="F235" s="29">
        <v>2998</v>
      </c>
      <c r="G235" s="39"/>
      <c r="H235" s="40"/>
      <c r="I235" s="52"/>
      <c r="J235" s="53"/>
      <c r="K235" s="17"/>
      <c r="L235" s="39"/>
      <c r="M235" s="43"/>
      <c r="N235" s="45" t="s">
        <v>108</v>
      </c>
      <c r="O235" s="55"/>
      <c r="P235" s="56"/>
      <c r="Q235" s="74"/>
      <c r="R235" s="70"/>
      <c r="S235" s="19"/>
      <c r="T235" s="60"/>
      <c r="U235" s="59"/>
    </row>
    <row r="236" spans="1:21" ht="15" customHeight="1" x14ac:dyDescent="0.25">
      <c r="A236" s="1">
        <f t="shared" ca="1" si="11"/>
        <v>4974</v>
      </c>
      <c r="B236" s="29"/>
      <c r="C236" s="29"/>
      <c r="D236" s="29"/>
      <c r="E236" s="29"/>
      <c r="F236" s="29">
        <v>3000</v>
      </c>
      <c r="G236" s="39"/>
      <c r="H236" s="40"/>
      <c r="I236" s="52"/>
      <c r="J236" s="53"/>
      <c r="K236" s="17"/>
      <c r="L236" s="39"/>
      <c r="M236" s="43"/>
      <c r="N236" s="45" t="s">
        <v>110</v>
      </c>
      <c r="O236" s="55"/>
      <c r="P236" s="56"/>
      <c r="Q236" s="74"/>
      <c r="R236" s="70"/>
      <c r="S236" s="19"/>
      <c r="T236" s="60"/>
      <c r="U236" s="59"/>
    </row>
    <row r="237" spans="1:21" ht="15" customHeight="1" x14ac:dyDescent="0.25">
      <c r="A237" s="1">
        <f t="shared" ca="1" si="11"/>
        <v>4975</v>
      </c>
      <c r="B237" s="29"/>
      <c r="C237" s="29"/>
      <c r="D237" s="29"/>
      <c r="E237" s="29"/>
      <c r="F237" s="29">
        <v>2998</v>
      </c>
      <c r="G237" s="39"/>
      <c r="H237" s="40"/>
      <c r="I237" s="52"/>
      <c r="J237" s="53"/>
      <c r="K237" s="17"/>
      <c r="L237" s="39"/>
      <c r="M237" s="43"/>
      <c r="N237" s="45" t="s">
        <v>108</v>
      </c>
      <c r="O237" s="55"/>
      <c r="P237" s="56"/>
      <c r="Q237" s="74"/>
      <c r="R237" s="70"/>
      <c r="S237" s="19"/>
      <c r="T237" s="60"/>
      <c r="U237" s="59"/>
    </row>
    <row r="238" spans="1:21" ht="15" customHeight="1" x14ac:dyDescent="0.25">
      <c r="A238" s="1">
        <f t="shared" ca="1" si="11"/>
        <v>4976</v>
      </c>
      <c r="B238" s="29"/>
      <c r="C238" s="29"/>
      <c r="D238" s="29"/>
      <c r="E238" s="29"/>
      <c r="F238" s="29">
        <v>2988</v>
      </c>
      <c r="G238" s="39"/>
      <c r="H238" s="40"/>
      <c r="I238" s="52"/>
      <c r="J238" s="53"/>
      <c r="K238" s="17"/>
      <c r="L238" s="39"/>
      <c r="M238" s="43"/>
      <c r="N238" s="45" t="s">
        <v>108</v>
      </c>
      <c r="O238" s="55"/>
      <c r="P238" s="56"/>
      <c r="Q238" s="74"/>
      <c r="R238" s="70"/>
      <c r="S238" s="19"/>
      <c r="T238" s="60"/>
      <c r="U238" s="59"/>
    </row>
    <row r="239" spans="1:21" ht="15" customHeight="1" x14ac:dyDescent="0.25">
      <c r="A239" s="1">
        <f t="shared" ca="1" si="11"/>
        <v>4977</v>
      </c>
      <c r="B239" s="29"/>
      <c r="C239" s="29"/>
      <c r="D239" s="29"/>
      <c r="E239" s="29"/>
      <c r="F239" s="29">
        <v>2986</v>
      </c>
      <c r="G239" s="39"/>
      <c r="H239" s="40"/>
      <c r="I239" s="52"/>
      <c r="J239" s="53"/>
      <c r="K239" s="17"/>
      <c r="L239" s="39"/>
      <c r="M239" s="43"/>
      <c r="N239" s="45" t="s">
        <v>108</v>
      </c>
      <c r="O239" s="55"/>
      <c r="P239" s="56"/>
      <c r="Q239" s="74"/>
      <c r="R239" s="70"/>
      <c r="S239" s="19"/>
      <c r="T239" s="60"/>
      <c r="U239" s="59"/>
    </row>
    <row r="240" spans="1:21" ht="15" customHeight="1" x14ac:dyDescent="0.25">
      <c r="A240" s="1">
        <f t="shared" ca="1" si="11"/>
        <v>4978</v>
      </c>
      <c r="B240" s="29"/>
      <c r="C240" s="29"/>
      <c r="D240" s="29"/>
      <c r="E240" s="29"/>
      <c r="F240" s="29">
        <v>2988</v>
      </c>
      <c r="G240" s="39"/>
      <c r="H240" s="40"/>
      <c r="I240" s="52"/>
      <c r="J240" s="53"/>
      <c r="K240" s="17"/>
      <c r="L240" s="39"/>
      <c r="M240" s="43"/>
      <c r="N240" s="45" t="s">
        <v>110</v>
      </c>
      <c r="O240" s="55"/>
      <c r="P240" s="56"/>
      <c r="Q240" s="74"/>
      <c r="R240" s="70"/>
      <c r="S240" s="19"/>
      <c r="T240" s="60"/>
      <c r="U240" s="59"/>
    </row>
    <row r="241" spans="1:21" ht="15" customHeight="1" x14ac:dyDescent="0.25">
      <c r="A241" s="1">
        <f t="shared" ca="1" si="11"/>
        <v>4979</v>
      </c>
      <c r="B241" s="29"/>
      <c r="C241" s="29"/>
      <c r="D241" s="29"/>
      <c r="E241" s="29"/>
      <c r="F241" s="29">
        <v>2990</v>
      </c>
      <c r="G241" s="39"/>
      <c r="H241" s="40"/>
      <c r="I241" s="52"/>
      <c r="J241" s="53"/>
      <c r="K241" s="17"/>
      <c r="L241" s="39"/>
      <c r="M241" s="43"/>
      <c r="N241" s="45" t="s">
        <v>110</v>
      </c>
      <c r="O241" s="55"/>
      <c r="P241" s="56"/>
      <c r="Q241" s="74"/>
      <c r="R241" s="70"/>
      <c r="S241" s="19"/>
      <c r="T241" s="60"/>
      <c r="U241" s="59"/>
    </row>
    <row r="242" spans="1:21" ht="15" customHeight="1" x14ac:dyDescent="0.25">
      <c r="A242" s="1">
        <f t="shared" ca="1" si="11"/>
        <v>4980</v>
      </c>
      <c r="B242" s="29"/>
      <c r="C242" s="29"/>
      <c r="D242" s="29"/>
      <c r="E242" s="29"/>
      <c r="F242" s="29">
        <v>2994</v>
      </c>
      <c r="G242" s="39"/>
      <c r="H242" s="40"/>
      <c r="I242" s="52"/>
      <c r="J242" s="53"/>
      <c r="K242" s="17"/>
      <c r="L242" s="39"/>
      <c r="M242" s="43"/>
      <c r="N242" s="45" t="s">
        <v>108</v>
      </c>
      <c r="O242" s="55"/>
      <c r="P242" s="56"/>
      <c r="Q242" s="74"/>
      <c r="R242" s="70"/>
      <c r="S242" s="19"/>
      <c r="T242" s="60"/>
      <c r="U242" s="59"/>
    </row>
    <row r="243" spans="1:21" ht="15" customHeight="1" x14ac:dyDescent="0.25">
      <c r="A243" s="1">
        <f t="shared" ca="1" si="11"/>
        <v>4981</v>
      </c>
      <c r="B243" s="29"/>
      <c r="C243" s="29"/>
      <c r="D243" s="29"/>
      <c r="E243" s="29"/>
      <c r="F243" s="29">
        <v>2996</v>
      </c>
      <c r="G243" s="39"/>
      <c r="H243" s="40"/>
      <c r="I243" s="52"/>
      <c r="J243" s="53"/>
      <c r="K243" s="17"/>
      <c r="L243" s="39"/>
      <c r="M243" s="43"/>
      <c r="N243" s="45" t="s">
        <v>108</v>
      </c>
      <c r="O243" s="55"/>
      <c r="P243" s="56"/>
      <c r="Q243" s="74"/>
      <c r="R243" s="70"/>
      <c r="S243" s="19"/>
      <c r="T243" s="60"/>
      <c r="U243" s="59"/>
    </row>
    <row r="244" spans="1:21" ht="15" customHeight="1" x14ac:dyDescent="0.25">
      <c r="A244" s="1">
        <f t="shared" ca="1" si="11"/>
        <v>4982</v>
      </c>
      <c r="B244" s="29"/>
      <c r="C244" s="29"/>
      <c r="D244" s="29"/>
      <c r="E244" s="29"/>
      <c r="F244" s="29">
        <v>2992</v>
      </c>
      <c r="G244" s="39"/>
      <c r="H244" s="40"/>
      <c r="I244" s="52"/>
      <c r="J244" s="53"/>
      <c r="K244" s="17"/>
      <c r="L244" s="39"/>
      <c r="M244" s="43"/>
      <c r="N244" s="45" t="s">
        <v>108</v>
      </c>
      <c r="O244" s="55"/>
      <c r="P244" s="56"/>
      <c r="Q244" s="74"/>
      <c r="R244" s="70"/>
      <c r="S244" s="19"/>
      <c r="T244" s="60"/>
      <c r="U244" s="59"/>
    </row>
    <row r="245" spans="1:21" ht="15" customHeight="1" x14ac:dyDescent="0.25">
      <c r="A245" s="1">
        <f t="shared" ca="1" si="11"/>
        <v>4983</v>
      </c>
      <c r="B245" s="29"/>
      <c r="C245" s="29"/>
      <c r="D245" s="29"/>
      <c r="E245" s="29"/>
      <c r="F245" s="29">
        <v>2992</v>
      </c>
      <c r="G245" s="39"/>
      <c r="H245" s="40"/>
      <c r="I245" s="52"/>
      <c r="J245" s="53"/>
      <c r="K245" s="17"/>
      <c r="L245" s="39"/>
      <c r="M245" s="43"/>
      <c r="N245" s="45" t="s">
        <v>108</v>
      </c>
      <c r="O245" s="55"/>
      <c r="P245" s="56"/>
      <c r="Q245" s="74"/>
      <c r="R245" s="70"/>
      <c r="S245" s="19"/>
      <c r="T245" s="60"/>
      <c r="U245" s="59"/>
    </row>
    <row r="246" spans="1:21" ht="15" customHeight="1" x14ac:dyDescent="0.25">
      <c r="A246" s="1">
        <f t="shared" ca="1" si="11"/>
        <v>4984</v>
      </c>
      <c r="B246" s="29"/>
      <c r="C246" s="29"/>
      <c r="D246" s="29"/>
      <c r="E246" s="29"/>
      <c r="F246" s="29">
        <v>2998</v>
      </c>
      <c r="G246" s="39"/>
      <c r="H246" s="40"/>
      <c r="I246" s="52"/>
      <c r="J246" s="53"/>
      <c r="K246" s="17"/>
      <c r="L246" s="39"/>
      <c r="M246" s="43"/>
      <c r="N246" s="45" t="s">
        <v>110</v>
      </c>
      <c r="O246" s="55"/>
      <c r="P246" s="56"/>
      <c r="Q246" s="74"/>
      <c r="R246" s="70"/>
      <c r="S246" s="19"/>
      <c r="T246" s="60"/>
      <c r="U246" s="59"/>
    </row>
    <row r="247" spans="1:21" ht="15" customHeight="1" x14ac:dyDescent="0.25">
      <c r="A247" s="1">
        <f t="shared" ca="1" si="11"/>
        <v>4985</v>
      </c>
      <c r="B247" s="29"/>
      <c r="C247" s="29"/>
      <c r="D247" s="29"/>
      <c r="E247" s="29"/>
      <c r="F247" s="29"/>
      <c r="G247" s="39"/>
      <c r="H247" s="40"/>
      <c r="I247" s="52"/>
      <c r="J247" s="53"/>
      <c r="K247" s="17"/>
      <c r="L247" s="39"/>
      <c r="M247" s="43"/>
      <c r="N247" s="45"/>
      <c r="O247" s="55"/>
      <c r="P247" s="56"/>
      <c r="Q247" s="74"/>
      <c r="R247" s="70"/>
      <c r="S247" s="19"/>
      <c r="T247" s="60"/>
      <c r="U247" s="59"/>
    </row>
    <row r="248" spans="1:21" ht="15" customHeight="1" x14ac:dyDescent="0.25">
      <c r="A248" s="1">
        <f t="shared" ca="1" si="11"/>
        <v>4986</v>
      </c>
      <c r="B248" s="29"/>
      <c r="C248" s="29"/>
      <c r="D248" s="29"/>
      <c r="E248" s="29"/>
      <c r="F248" s="29">
        <v>2994</v>
      </c>
      <c r="G248" s="39"/>
      <c r="H248" s="40"/>
      <c r="I248" s="52"/>
      <c r="J248" s="53"/>
      <c r="K248" s="17"/>
      <c r="L248" s="39"/>
      <c r="M248" s="43"/>
      <c r="N248" s="45" t="s">
        <v>108</v>
      </c>
      <c r="O248" s="55"/>
      <c r="P248" s="56"/>
      <c r="Q248" s="74"/>
      <c r="R248" s="70"/>
      <c r="S248" s="19"/>
      <c r="T248" s="60"/>
      <c r="U248" s="59"/>
    </row>
    <row r="249" spans="1:21" ht="15" customHeight="1" x14ac:dyDescent="0.25">
      <c r="A249" s="1">
        <f t="shared" ca="1" si="11"/>
        <v>4987</v>
      </c>
      <c r="B249" s="29"/>
      <c r="C249" s="29"/>
      <c r="D249" s="29"/>
      <c r="E249" s="29"/>
      <c r="F249" s="29">
        <v>2988</v>
      </c>
      <c r="G249" s="39"/>
      <c r="H249" s="40"/>
      <c r="I249" s="52"/>
      <c r="J249" s="53"/>
      <c r="K249" s="17"/>
      <c r="L249" s="39"/>
      <c r="M249" s="43"/>
      <c r="N249" s="45" t="s">
        <v>110</v>
      </c>
      <c r="O249" s="55"/>
      <c r="P249" s="56"/>
      <c r="Q249" s="74"/>
      <c r="R249" s="70"/>
      <c r="S249" s="19"/>
      <c r="T249" s="60"/>
      <c r="U249" s="59"/>
    </row>
    <row r="250" spans="1:21" ht="15" customHeight="1" x14ac:dyDescent="0.25">
      <c r="A250" s="1">
        <f t="shared" ca="1" si="11"/>
        <v>4988</v>
      </c>
      <c r="B250" s="29"/>
      <c r="C250" s="29"/>
      <c r="D250" s="29"/>
      <c r="E250" s="29"/>
      <c r="F250" s="29">
        <v>2992</v>
      </c>
      <c r="G250" s="39"/>
      <c r="H250" s="40"/>
      <c r="I250" s="52"/>
      <c r="J250" s="53"/>
      <c r="K250" s="17"/>
      <c r="L250" s="39"/>
      <c r="M250" s="43"/>
      <c r="N250" s="45" t="s">
        <v>108</v>
      </c>
      <c r="O250" s="55"/>
      <c r="P250" s="56"/>
      <c r="Q250" s="74"/>
      <c r="R250" s="70"/>
      <c r="S250" s="19"/>
      <c r="T250" s="60"/>
      <c r="U250" s="59"/>
    </row>
    <row r="251" spans="1:21" ht="15" customHeight="1" x14ac:dyDescent="0.25">
      <c r="A251" s="1">
        <f t="shared" ca="1" si="11"/>
        <v>4989</v>
      </c>
      <c r="B251" s="29"/>
      <c r="C251" s="29"/>
      <c r="D251" s="29"/>
      <c r="E251" s="29"/>
      <c r="F251" s="29">
        <v>2992</v>
      </c>
      <c r="G251" s="39"/>
      <c r="H251" s="40"/>
      <c r="I251" s="52"/>
      <c r="J251" s="53"/>
      <c r="K251" s="17"/>
      <c r="L251" s="39"/>
      <c r="M251" s="43"/>
      <c r="N251" s="45" t="s">
        <v>110</v>
      </c>
      <c r="O251" s="55"/>
      <c r="P251" s="56"/>
      <c r="Q251" s="74"/>
      <c r="R251" s="70"/>
      <c r="S251" s="19"/>
      <c r="T251" s="60"/>
      <c r="U251" s="59"/>
    </row>
    <row r="252" spans="1:21" ht="15" customHeight="1" x14ac:dyDescent="0.25">
      <c r="A252" s="1">
        <f t="shared" ca="1" si="11"/>
        <v>4990</v>
      </c>
      <c r="B252" s="29"/>
      <c r="C252" s="29"/>
      <c r="D252" s="29"/>
      <c r="E252" s="29"/>
      <c r="F252" s="29">
        <v>2988</v>
      </c>
      <c r="G252" s="39"/>
      <c r="H252" s="40"/>
      <c r="I252" s="52"/>
      <c r="J252" s="53"/>
      <c r="K252" s="17"/>
      <c r="L252" s="39"/>
      <c r="M252" s="43"/>
      <c r="N252" s="45" t="s">
        <v>110</v>
      </c>
      <c r="O252" s="55"/>
      <c r="P252" s="56"/>
      <c r="Q252" s="74"/>
      <c r="R252" s="70"/>
      <c r="S252" s="19"/>
      <c r="T252" s="60"/>
      <c r="U252" s="59"/>
    </row>
    <row r="253" spans="1:21" ht="15" customHeight="1" x14ac:dyDescent="0.25">
      <c r="A253" s="1">
        <f t="shared" ca="1" si="11"/>
        <v>4991</v>
      </c>
      <c r="B253" s="29"/>
      <c r="C253" s="29"/>
      <c r="D253" s="29"/>
      <c r="E253" s="29"/>
      <c r="F253" s="29">
        <v>2986</v>
      </c>
      <c r="G253" s="39"/>
      <c r="H253" s="40"/>
      <c r="I253" s="52"/>
      <c r="J253" s="53"/>
      <c r="K253" s="17"/>
      <c r="L253" s="39"/>
      <c r="M253" s="43"/>
      <c r="N253" s="45" t="s">
        <v>108</v>
      </c>
      <c r="O253" s="55"/>
      <c r="P253" s="56"/>
      <c r="Q253" s="74"/>
      <c r="R253" s="70"/>
      <c r="S253" s="19"/>
      <c r="T253" s="60"/>
      <c r="U253" s="59"/>
    </row>
    <row r="254" spans="1:21" ht="15" customHeight="1" x14ac:dyDescent="0.25">
      <c r="A254" s="1">
        <f t="shared" ca="1" si="11"/>
        <v>4992</v>
      </c>
      <c r="B254" s="29"/>
      <c r="C254" s="29"/>
      <c r="D254" s="29"/>
      <c r="E254" s="29"/>
      <c r="F254" s="29">
        <v>2990</v>
      </c>
      <c r="G254" s="39"/>
      <c r="H254" s="40"/>
      <c r="I254" s="52"/>
      <c r="J254" s="53"/>
      <c r="K254" s="17"/>
      <c r="L254" s="39"/>
      <c r="M254" s="43"/>
      <c r="N254" s="45" t="s">
        <v>110</v>
      </c>
      <c r="O254" s="55"/>
      <c r="P254" s="56"/>
      <c r="Q254" s="74"/>
      <c r="R254" s="70"/>
      <c r="S254" s="19"/>
      <c r="T254" s="60"/>
      <c r="U254" s="59"/>
    </row>
    <row r="255" spans="1:21" x14ac:dyDescent="0.25">
      <c r="A255" s="1" t="str">
        <f t="shared" ca="1" si="11"/>
        <v>Totaal</v>
      </c>
      <c r="B255" s="61" t="str">
        <f>IF(COUNT(B224:B254)&gt;0,AVERAGE(B224:B254)/10,"")</f>
        <v/>
      </c>
      <c r="C255" s="62" t="str">
        <f>IF(COUNT(C224:C254)&gt;0,AVERAGE(C224:C254)/1000,"")</f>
        <v/>
      </c>
      <c r="D255" s="62" t="str">
        <f t="shared" ref="D255" si="15">IF(COUNT(D224:D254)&gt;0,AVERAGE(D224:D254)/1000,"")</f>
        <v/>
      </c>
      <c r="E255" s="62" t="str">
        <f t="shared" ref="E255" si="16">IF(COUNT(E224:E254)&gt;0,AVERAGE(E224:E254)/1000,"")</f>
        <v/>
      </c>
      <c r="F255" s="62">
        <f>IF(COUNT(F224:F254)&gt;0,AVERAGE(F224:F254)/100,"")</f>
        <v>29.928148148148146</v>
      </c>
      <c r="G255" s="41" t="str">
        <f>IF(COUNT(G224:G254)&gt;0,AVERAGE(G224:G254)/10,"")</f>
        <v/>
      </c>
      <c r="H255" s="42" t="str">
        <f t="shared" ref="H255" si="17">IF(COUNT(H224:H254)&gt;0,AVERAGE(H224:H254)/10,"")</f>
        <v/>
      </c>
      <c r="I255" s="18" t="str">
        <f>IF(COUNT(I224:I254)&gt;0,AVERAGE(I224:I254)/10,"")</f>
        <v/>
      </c>
      <c r="J255" s="54" t="str">
        <f>IF(COUNT(J224:J254)&gt;0,AVERAGE(J224:J254),"")</f>
        <v/>
      </c>
      <c r="K255" s="51" t="str">
        <f>IF(COUNT(K224:K254)&gt;0,AVERAGE(K224:K254)/1000,"")</f>
        <v/>
      </c>
      <c r="L255" s="41" t="str">
        <f>IF(COUNT(L224:L254)&gt;0,AVERAGE(L224:L254)/10,"")</f>
        <v/>
      </c>
      <c r="M255" s="44" t="str">
        <f>IF(COUNT(M224:M254)&gt;0,AVERAGE(M224:M254)/10,"")</f>
        <v/>
      </c>
      <c r="N255" s="46"/>
      <c r="O255" s="57" t="str">
        <f>IF(COUNT(O224:O254)&gt;0,AVERAGE(O224:O254),"")</f>
        <v/>
      </c>
      <c r="P255" s="58" t="str">
        <f>IF(COUNT(P224:P254)&gt;0,AVERAGE(P224:P254),"")</f>
        <v/>
      </c>
      <c r="Q255" s="47"/>
      <c r="R255" s="68" t="str">
        <f>IF(COUNT(R224:R254)&gt;0,SUM(R224:R254)/100,"")</f>
        <v/>
      </c>
      <c r="S255" s="64" t="str">
        <f>IF(COUNT(S224:S254)&gt;0,AVERAGE(S224:S254),"")</f>
        <v/>
      </c>
      <c r="T255" s="65" t="str">
        <f>IF(COUNT(T224:T254)&gt;0,AVERAGE(T224:T254),"")</f>
        <v/>
      </c>
      <c r="U255" s="66" t="str">
        <f>IF(COUNT(U224:U254)&gt;0,AVERAGE(U224:U254),"")</f>
        <v/>
      </c>
    </row>
    <row r="256" spans="1:21" ht="15" customHeight="1" x14ac:dyDescent="0.25">
      <c r="A256" s="1">
        <f t="shared" ca="1" si="11"/>
        <v>4993</v>
      </c>
      <c r="B256" s="29"/>
      <c r="C256" s="29"/>
      <c r="D256" s="29"/>
      <c r="E256" s="29"/>
      <c r="F256" s="29">
        <v>2994</v>
      </c>
      <c r="G256" s="39"/>
      <c r="H256" s="40"/>
      <c r="I256" s="52"/>
      <c r="J256" s="53"/>
      <c r="K256" s="17"/>
      <c r="L256" s="39"/>
      <c r="M256" s="43"/>
      <c r="N256" s="45" t="s">
        <v>108</v>
      </c>
      <c r="O256" s="55"/>
      <c r="P256" s="56"/>
      <c r="Q256" s="74"/>
      <c r="R256" s="70"/>
      <c r="S256" s="19"/>
      <c r="T256" s="60"/>
      <c r="U256" s="59"/>
    </row>
    <row r="257" spans="1:21" ht="15" customHeight="1" x14ac:dyDescent="0.25">
      <c r="A257" s="1">
        <f t="shared" ca="1" si="11"/>
        <v>4994</v>
      </c>
      <c r="B257" s="29"/>
      <c r="C257" s="29"/>
      <c r="D257" s="29"/>
      <c r="E257" s="29"/>
      <c r="F257" s="29">
        <v>2990</v>
      </c>
      <c r="G257" s="39"/>
      <c r="H257" s="40"/>
      <c r="I257" s="52"/>
      <c r="J257" s="53"/>
      <c r="K257" s="17"/>
      <c r="L257" s="39"/>
      <c r="M257" s="43"/>
      <c r="N257" s="45" t="s">
        <v>108</v>
      </c>
      <c r="O257" s="55"/>
      <c r="P257" s="56"/>
      <c r="Q257" s="74"/>
      <c r="R257" s="70"/>
      <c r="S257" s="19"/>
      <c r="T257" s="60"/>
      <c r="U257" s="59"/>
    </row>
    <row r="258" spans="1:21" ht="15" customHeight="1" x14ac:dyDescent="0.25">
      <c r="A258" s="1">
        <f t="shared" ca="1" si="11"/>
        <v>4995</v>
      </c>
      <c r="B258" s="29"/>
      <c r="C258" s="29"/>
      <c r="D258" s="29"/>
      <c r="E258" s="29"/>
      <c r="F258" s="29"/>
      <c r="G258" s="39"/>
      <c r="H258" s="40"/>
      <c r="I258" s="52"/>
      <c r="J258" s="53"/>
      <c r="K258" s="17"/>
      <c r="L258" s="39"/>
      <c r="M258" s="43"/>
      <c r="N258" s="45"/>
      <c r="O258" s="55"/>
      <c r="P258" s="56"/>
      <c r="Q258" s="74"/>
      <c r="R258" s="70"/>
      <c r="S258" s="19"/>
      <c r="T258" s="60"/>
      <c r="U258" s="59"/>
    </row>
    <row r="259" spans="1:21" ht="15" customHeight="1" x14ac:dyDescent="0.25">
      <c r="A259" s="1">
        <f t="shared" ca="1" si="11"/>
        <v>4996</v>
      </c>
      <c r="B259" s="29"/>
      <c r="C259" s="29"/>
      <c r="D259" s="29"/>
      <c r="E259" s="29"/>
      <c r="F259" s="29"/>
      <c r="G259" s="39"/>
      <c r="H259" s="40"/>
      <c r="I259" s="52"/>
      <c r="J259" s="53"/>
      <c r="K259" s="17"/>
      <c r="L259" s="39"/>
      <c r="M259" s="43"/>
      <c r="N259" s="45"/>
      <c r="O259" s="55"/>
      <c r="P259" s="56"/>
      <c r="Q259" s="74"/>
      <c r="R259" s="70"/>
      <c r="S259" s="19"/>
      <c r="T259" s="60"/>
      <c r="U259" s="59"/>
    </row>
    <row r="260" spans="1:21" ht="15" customHeight="1" x14ac:dyDescent="0.25">
      <c r="A260" s="1">
        <f t="shared" ca="1" si="11"/>
        <v>4997</v>
      </c>
      <c r="B260" s="29"/>
      <c r="C260" s="29"/>
      <c r="D260" s="29"/>
      <c r="E260" s="29"/>
      <c r="F260" s="29"/>
      <c r="G260" s="39"/>
      <c r="H260" s="40"/>
      <c r="I260" s="52"/>
      <c r="J260" s="53"/>
      <c r="K260" s="17"/>
      <c r="L260" s="39"/>
      <c r="M260" s="43"/>
      <c r="N260" s="45"/>
      <c r="O260" s="55"/>
      <c r="P260" s="56"/>
      <c r="Q260" s="74"/>
      <c r="R260" s="70"/>
      <c r="S260" s="19"/>
      <c r="T260" s="60"/>
      <c r="U260" s="59"/>
    </row>
    <row r="261" spans="1:21" ht="15" customHeight="1" x14ac:dyDescent="0.25">
      <c r="A261" s="1">
        <f t="shared" ca="1" si="11"/>
        <v>4998</v>
      </c>
      <c r="B261" s="29"/>
      <c r="C261" s="29"/>
      <c r="D261" s="29"/>
      <c r="E261" s="29"/>
      <c r="F261" s="29"/>
      <c r="G261" s="39"/>
      <c r="H261" s="40"/>
      <c r="I261" s="52"/>
      <c r="J261" s="53"/>
      <c r="K261" s="17"/>
      <c r="L261" s="39"/>
      <c r="M261" s="43"/>
      <c r="N261" s="45"/>
      <c r="O261" s="55"/>
      <c r="P261" s="56"/>
      <c r="Q261" s="74"/>
      <c r="R261" s="70"/>
      <c r="S261" s="19"/>
      <c r="T261" s="60"/>
      <c r="U261" s="59"/>
    </row>
    <row r="262" spans="1:21" ht="15" customHeight="1" x14ac:dyDescent="0.25">
      <c r="A262" s="1">
        <f t="shared" ca="1" si="11"/>
        <v>4999</v>
      </c>
      <c r="B262" s="29"/>
      <c r="C262" s="29"/>
      <c r="D262" s="29"/>
      <c r="E262" s="29"/>
      <c r="F262" s="29"/>
      <c r="G262" s="39"/>
      <c r="H262" s="40"/>
      <c r="I262" s="52"/>
      <c r="J262" s="53"/>
      <c r="K262" s="17"/>
      <c r="L262" s="39"/>
      <c r="M262" s="43"/>
      <c r="N262" s="45"/>
      <c r="O262" s="55"/>
      <c r="P262" s="56"/>
      <c r="Q262" s="74"/>
      <c r="R262" s="70"/>
      <c r="S262" s="19"/>
      <c r="T262" s="60"/>
      <c r="U262" s="59"/>
    </row>
    <row r="263" spans="1:21" ht="15" customHeight="1" x14ac:dyDescent="0.25">
      <c r="A263" s="1">
        <f t="shared" ref="A263:A326" ca="1" si="18">IF(ISTEXT(A262),A261+1,IF(MONTH(A262+1)=MONTH(A262),A262+1,"Totaal"))</f>
        <v>5000</v>
      </c>
      <c r="B263" s="29"/>
      <c r="C263" s="29"/>
      <c r="D263" s="29"/>
      <c r="E263" s="29"/>
      <c r="F263" s="29"/>
      <c r="G263" s="39"/>
      <c r="H263" s="40"/>
      <c r="I263" s="52"/>
      <c r="J263" s="53"/>
      <c r="K263" s="17"/>
      <c r="L263" s="39"/>
      <c r="M263" s="43"/>
      <c r="N263" s="45"/>
      <c r="O263" s="55"/>
      <c r="P263" s="56"/>
      <c r="Q263" s="74"/>
      <c r="R263" s="70"/>
      <c r="S263" s="19"/>
      <c r="T263" s="60"/>
      <c r="U263" s="59"/>
    </row>
    <row r="264" spans="1:21" ht="15" customHeight="1" x14ac:dyDescent="0.25">
      <c r="A264" s="1">
        <f t="shared" ca="1" si="18"/>
        <v>5001</v>
      </c>
      <c r="B264" s="29"/>
      <c r="C264" s="29"/>
      <c r="D264" s="29"/>
      <c r="E264" s="29"/>
      <c r="F264" s="29"/>
      <c r="G264" s="39"/>
      <c r="H264" s="40"/>
      <c r="I264" s="52"/>
      <c r="J264" s="53"/>
      <c r="K264" s="17"/>
      <c r="L264" s="39"/>
      <c r="M264" s="43"/>
      <c r="N264" s="45"/>
      <c r="O264" s="55"/>
      <c r="P264" s="56"/>
      <c r="Q264" s="74"/>
      <c r="R264" s="70"/>
      <c r="S264" s="19"/>
      <c r="T264" s="60"/>
      <c r="U264" s="59"/>
    </row>
    <row r="265" spans="1:21" ht="15" customHeight="1" x14ac:dyDescent="0.25">
      <c r="A265" s="1">
        <f t="shared" ca="1" si="18"/>
        <v>5002</v>
      </c>
      <c r="B265" s="29"/>
      <c r="C265" s="29"/>
      <c r="D265" s="29"/>
      <c r="E265" s="29"/>
      <c r="F265" s="29"/>
      <c r="G265" s="39"/>
      <c r="H265" s="40"/>
      <c r="I265" s="52"/>
      <c r="J265" s="53"/>
      <c r="K265" s="17"/>
      <c r="L265" s="39"/>
      <c r="M265" s="43"/>
      <c r="N265" s="45"/>
      <c r="O265" s="55"/>
      <c r="P265" s="56"/>
      <c r="Q265" s="74"/>
      <c r="R265" s="70"/>
      <c r="S265" s="19"/>
      <c r="T265" s="60"/>
      <c r="U265" s="59"/>
    </row>
    <row r="266" spans="1:21" ht="15" customHeight="1" x14ac:dyDescent="0.25">
      <c r="A266" s="1">
        <f t="shared" ca="1" si="18"/>
        <v>5003</v>
      </c>
      <c r="B266" s="29"/>
      <c r="C266" s="29"/>
      <c r="D266" s="29"/>
      <c r="E266" s="29"/>
      <c r="F266" s="29"/>
      <c r="G266" s="39"/>
      <c r="H266" s="40"/>
      <c r="I266" s="52"/>
      <c r="J266" s="53"/>
      <c r="K266" s="17"/>
      <c r="L266" s="39"/>
      <c r="M266" s="43"/>
      <c r="N266" s="45"/>
      <c r="O266" s="55"/>
      <c r="P266" s="56"/>
      <c r="Q266" s="74"/>
      <c r="R266" s="70"/>
      <c r="S266" s="19"/>
      <c r="T266" s="60"/>
      <c r="U266" s="59"/>
    </row>
    <row r="267" spans="1:21" ht="15" customHeight="1" x14ac:dyDescent="0.25">
      <c r="A267" s="1">
        <f t="shared" ca="1" si="18"/>
        <v>5004</v>
      </c>
      <c r="B267" s="29"/>
      <c r="C267" s="29"/>
      <c r="D267" s="29"/>
      <c r="E267" s="29"/>
      <c r="F267" s="29"/>
      <c r="G267" s="39"/>
      <c r="H267" s="40"/>
      <c r="I267" s="52"/>
      <c r="J267" s="53"/>
      <c r="K267" s="17"/>
      <c r="L267" s="39"/>
      <c r="M267" s="43"/>
      <c r="N267" s="45"/>
      <c r="O267" s="55"/>
      <c r="P267" s="56"/>
      <c r="Q267" s="74"/>
      <c r="R267" s="70"/>
      <c r="S267" s="19"/>
      <c r="T267" s="60"/>
      <c r="U267" s="59"/>
    </row>
    <row r="268" spans="1:21" ht="15" customHeight="1" x14ac:dyDescent="0.25">
      <c r="A268" s="1">
        <f t="shared" ca="1" si="18"/>
        <v>5005</v>
      </c>
      <c r="B268" s="29"/>
      <c r="C268" s="29"/>
      <c r="D268" s="29"/>
      <c r="E268" s="29"/>
      <c r="F268" s="29"/>
      <c r="G268" s="39"/>
      <c r="H268" s="40"/>
      <c r="I268" s="52"/>
      <c r="J268" s="53"/>
      <c r="K268" s="17"/>
      <c r="L268" s="39"/>
      <c r="M268" s="43"/>
      <c r="N268" s="45"/>
      <c r="O268" s="55"/>
      <c r="P268" s="56"/>
      <c r="Q268" s="74"/>
      <c r="R268" s="70"/>
      <c r="S268" s="19"/>
      <c r="T268" s="60"/>
      <c r="U268" s="59"/>
    </row>
    <row r="269" spans="1:21" ht="15" customHeight="1" x14ac:dyDescent="0.25">
      <c r="A269" s="1">
        <f t="shared" ca="1" si="18"/>
        <v>5006</v>
      </c>
      <c r="B269" s="29"/>
      <c r="C269" s="29"/>
      <c r="D269" s="29"/>
      <c r="E269" s="29"/>
      <c r="F269" s="29"/>
      <c r="G269" s="39"/>
      <c r="H269" s="40"/>
      <c r="I269" s="52"/>
      <c r="J269" s="53"/>
      <c r="K269" s="17"/>
      <c r="L269" s="39"/>
      <c r="M269" s="43"/>
      <c r="N269" s="45"/>
      <c r="O269" s="55"/>
      <c r="P269" s="56"/>
      <c r="Q269" s="74"/>
      <c r="R269" s="70"/>
      <c r="S269" s="19"/>
      <c r="T269" s="60"/>
      <c r="U269" s="59"/>
    </row>
    <row r="270" spans="1:21" ht="15" customHeight="1" x14ac:dyDescent="0.25">
      <c r="A270" s="1">
        <f t="shared" ca="1" si="18"/>
        <v>5007</v>
      </c>
      <c r="B270" s="29"/>
      <c r="C270" s="29"/>
      <c r="D270" s="29"/>
      <c r="E270" s="29"/>
      <c r="F270" s="29"/>
      <c r="G270" s="39"/>
      <c r="H270" s="40"/>
      <c r="I270" s="52"/>
      <c r="J270" s="53"/>
      <c r="K270" s="17"/>
      <c r="L270" s="39"/>
      <c r="M270" s="43"/>
      <c r="N270" s="45"/>
      <c r="O270" s="55"/>
      <c r="P270" s="56"/>
      <c r="Q270" s="74"/>
      <c r="R270" s="70"/>
      <c r="S270" s="19"/>
      <c r="T270" s="60"/>
      <c r="U270" s="59"/>
    </row>
    <row r="271" spans="1:21" ht="15" customHeight="1" x14ac:dyDescent="0.25">
      <c r="A271" s="1">
        <f t="shared" ca="1" si="18"/>
        <v>5008</v>
      </c>
      <c r="B271" s="29"/>
      <c r="C271" s="29"/>
      <c r="D271" s="29"/>
      <c r="E271" s="29"/>
      <c r="F271" s="29"/>
      <c r="G271" s="39"/>
      <c r="H271" s="40"/>
      <c r="I271" s="52"/>
      <c r="J271" s="53"/>
      <c r="K271" s="17"/>
      <c r="L271" s="39"/>
      <c r="M271" s="43"/>
      <c r="N271" s="45"/>
      <c r="O271" s="55"/>
      <c r="P271" s="56"/>
      <c r="Q271" s="74"/>
      <c r="R271" s="70"/>
      <c r="S271" s="19"/>
      <c r="T271" s="60"/>
      <c r="U271" s="59"/>
    </row>
    <row r="272" spans="1:21" ht="15" customHeight="1" x14ac:dyDescent="0.25">
      <c r="A272" s="1">
        <f t="shared" ca="1" si="18"/>
        <v>5009</v>
      </c>
      <c r="B272" s="29"/>
      <c r="C272" s="29"/>
      <c r="D272" s="29"/>
      <c r="E272" s="29"/>
      <c r="F272" s="29"/>
      <c r="G272" s="39"/>
      <c r="H272" s="40"/>
      <c r="I272" s="52"/>
      <c r="J272" s="53"/>
      <c r="K272" s="17"/>
      <c r="L272" s="39"/>
      <c r="M272" s="43"/>
      <c r="N272" s="45"/>
      <c r="O272" s="55"/>
      <c r="P272" s="56"/>
      <c r="Q272" s="74"/>
      <c r="R272" s="70"/>
      <c r="S272" s="19"/>
      <c r="T272" s="60"/>
      <c r="U272" s="59"/>
    </row>
    <row r="273" spans="1:21" ht="15" customHeight="1" x14ac:dyDescent="0.25">
      <c r="A273" s="1">
        <f t="shared" ca="1" si="18"/>
        <v>5010</v>
      </c>
      <c r="B273" s="29"/>
      <c r="C273" s="29"/>
      <c r="D273" s="29"/>
      <c r="E273" s="29"/>
      <c r="F273" s="29"/>
      <c r="G273" s="39"/>
      <c r="H273" s="40"/>
      <c r="I273" s="52"/>
      <c r="J273" s="53"/>
      <c r="K273" s="17"/>
      <c r="L273" s="39"/>
      <c r="M273" s="43"/>
      <c r="N273" s="45"/>
      <c r="O273" s="55"/>
      <c r="P273" s="56"/>
      <c r="Q273" s="74"/>
      <c r="R273" s="70"/>
      <c r="S273" s="19"/>
      <c r="T273" s="60"/>
      <c r="U273" s="59"/>
    </row>
    <row r="274" spans="1:21" ht="15" customHeight="1" x14ac:dyDescent="0.25">
      <c r="A274" s="1">
        <f t="shared" ca="1" si="18"/>
        <v>5011</v>
      </c>
      <c r="B274" s="29"/>
      <c r="C274" s="29"/>
      <c r="D274" s="29"/>
      <c r="E274" s="29"/>
      <c r="F274" s="29"/>
      <c r="G274" s="39"/>
      <c r="H274" s="40"/>
      <c r="I274" s="52"/>
      <c r="J274" s="53"/>
      <c r="K274" s="17"/>
      <c r="L274" s="39"/>
      <c r="M274" s="43"/>
      <c r="N274" s="45"/>
      <c r="O274" s="55"/>
      <c r="P274" s="56"/>
      <c r="Q274" s="74"/>
      <c r="R274" s="70"/>
      <c r="S274" s="19"/>
      <c r="T274" s="60"/>
      <c r="U274" s="59"/>
    </row>
    <row r="275" spans="1:21" ht="15" customHeight="1" x14ac:dyDescent="0.25">
      <c r="A275" s="1">
        <f t="shared" ca="1" si="18"/>
        <v>5012</v>
      </c>
      <c r="B275" s="29"/>
      <c r="C275" s="29"/>
      <c r="D275" s="29"/>
      <c r="E275" s="29"/>
      <c r="F275" s="29"/>
      <c r="G275" s="39"/>
      <c r="H275" s="40"/>
      <c r="I275" s="52"/>
      <c r="J275" s="53"/>
      <c r="K275" s="17"/>
      <c r="L275" s="39"/>
      <c r="M275" s="43"/>
      <c r="N275" s="45"/>
      <c r="O275" s="55"/>
      <c r="P275" s="56"/>
      <c r="Q275" s="74"/>
      <c r="R275" s="70"/>
      <c r="S275" s="19"/>
      <c r="T275" s="60"/>
      <c r="U275" s="59"/>
    </row>
    <row r="276" spans="1:21" ht="15" customHeight="1" x14ac:dyDescent="0.25">
      <c r="A276" s="1">
        <f t="shared" ca="1" si="18"/>
        <v>5013</v>
      </c>
      <c r="B276" s="29"/>
      <c r="C276" s="29"/>
      <c r="D276" s="29"/>
      <c r="E276" s="29"/>
      <c r="F276" s="29"/>
      <c r="G276" s="39"/>
      <c r="H276" s="40"/>
      <c r="I276" s="52"/>
      <c r="J276" s="53"/>
      <c r="K276" s="17"/>
      <c r="L276" s="39"/>
      <c r="M276" s="43"/>
      <c r="N276" s="45"/>
      <c r="O276" s="55"/>
      <c r="P276" s="56"/>
      <c r="Q276" s="74"/>
      <c r="R276" s="70"/>
      <c r="S276" s="19"/>
      <c r="T276" s="60"/>
      <c r="U276" s="59"/>
    </row>
    <row r="277" spans="1:21" ht="15" customHeight="1" x14ac:dyDescent="0.25">
      <c r="A277" s="1">
        <f t="shared" ca="1" si="18"/>
        <v>5014</v>
      </c>
      <c r="B277" s="29"/>
      <c r="C277" s="29"/>
      <c r="D277" s="29"/>
      <c r="E277" s="29"/>
      <c r="F277" s="29"/>
      <c r="G277" s="39"/>
      <c r="H277" s="40"/>
      <c r="I277" s="52"/>
      <c r="J277" s="53"/>
      <c r="K277" s="17"/>
      <c r="L277" s="39"/>
      <c r="M277" s="43"/>
      <c r="N277" s="45"/>
      <c r="O277" s="55"/>
      <c r="P277" s="56"/>
      <c r="Q277" s="74"/>
      <c r="R277" s="70"/>
      <c r="S277" s="19"/>
      <c r="T277" s="60"/>
      <c r="U277" s="59"/>
    </row>
    <row r="278" spans="1:21" ht="15" customHeight="1" x14ac:dyDescent="0.25">
      <c r="A278" s="1">
        <f t="shared" ca="1" si="18"/>
        <v>5015</v>
      </c>
      <c r="B278" s="29"/>
      <c r="C278" s="29"/>
      <c r="D278" s="29"/>
      <c r="E278" s="29"/>
      <c r="F278" s="29"/>
      <c r="G278" s="39"/>
      <c r="H278" s="40"/>
      <c r="I278" s="52"/>
      <c r="J278" s="53"/>
      <c r="K278" s="17"/>
      <c r="L278" s="39"/>
      <c r="M278" s="43"/>
      <c r="N278" s="45"/>
      <c r="O278" s="55"/>
      <c r="P278" s="56"/>
      <c r="Q278" s="74"/>
      <c r="R278" s="70"/>
      <c r="S278" s="19"/>
      <c r="T278" s="60"/>
      <c r="U278" s="59"/>
    </row>
    <row r="279" spans="1:21" ht="15" customHeight="1" x14ac:dyDescent="0.25">
      <c r="A279" s="1">
        <f t="shared" ca="1" si="18"/>
        <v>5016</v>
      </c>
      <c r="B279" s="29"/>
      <c r="C279" s="29"/>
      <c r="D279" s="29"/>
      <c r="E279" s="29"/>
      <c r="F279" s="29"/>
      <c r="G279" s="39"/>
      <c r="H279" s="40"/>
      <c r="I279" s="52"/>
      <c r="J279" s="53"/>
      <c r="K279" s="17"/>
      <c r="L279" s="39"/>
      <c r="M279" s="43"/>
      <c r="N279" s="45"/>
      <c r="O279" s="55"/>
      <c r="P279" s="56"/>
      <c r="Q279" s="74"/>
      <c r="R279" s="70"/>
      <c r="S279" s="19"/>
      <c r="T279" s="60"/>
      <c r="U279" s="59"/>
    </row>
    <row r="280" spans="1:21" ht="15" customHeight="1" x14ac:dyDescent="0.25">
      <c r="A280" s="1">
        <f t="shared" ca="1" si="18"/>
        <v>5017</v>
      </c>
      <c r="B280" s="29"/>
      <c r="C280" s="29"/>
      <c r="D280" s="29"/>
      <c r="E280" s="29"/>
      <c r="F280" s="29"/>
      <c r="G280" s="39"/>
      <c r="H280" s="40"/>
      <c r="I280" s="52"/>
      <c r="J280" s="53"/>
      <c r="K280" s="17"/>
      <c r="L280" s="39"/>
      <c r="M280" s="43"/>
      <c r="N280" s="45"/>
      <c r="O280" s="55"/>
      <c r="P280" s="56"/>
      <c r="Q280" s="74"/>
      <c r="R280" s="70"/>
      <c r="S280" s="19"/>
      <c r="T280" s="60"/>
      <c r="U280" s="59"/>
    </row>
    <row r="281" spans="1:21" ht="15" customHeight="1" x14ac:dyDescent="0.25">
      <c r="A281" s="1">
        <f t="shared" ca="1" si="18"/>
        <v>5018</v>
      </c>
      <c r="B281" s="29"/>
      <c r="C281" s="29"/>
      <c r="D281" s="29"/>
      <c r="E281" s="29"/>
      <c r="F281" s="29"/>
      <c r="G281" s="39"/>
      <c r="H281" s="40"/>
      <c r="I281" s="52"/>
      <c r="J281" s="53"/>
      <c r="K281" s="17"/>
      <c r="L281" s="39"/>
      <c r="M281" s="43"/>
      <c r="N281" s="45"/>
      <c r="O281" s="55"/>
      <c r="P281" s="56"/>
      <c r="Q281" s="74"/>
      <c r="R281" s="70"/>
      <c r="S281" s="19"/>
      <c r="T281" s="60"/>
      <c r="U281" s="59"/>
    </row>
    <row r="282" spans="1:21" ht="15" customHeight="1" x14ac:dyDescent="0.25">
      <c r="A282" s="1">
        <f t="shared" ca="1" si="18"/>
        <v>5019</v>
      </c>
      <c r="B282" s="29"/>
      <c r="C282" s="29"/>
      <c r="D282" s="29"/>
      <c r="E282" s="29"/>
      <c r="F282" s="29"/>
      <c r="G282" s="39"/>
      <c r="H282" s="40"/>
      <c r="I282" s="52"/>
      <c r="J282" s="53"/>
      <c r="K282" s="17"/>
      <c r="L282" s="39"/>
      <c r="M282" s="43"/>
      <c r="N282" s="45"/>
      <c r="O282" s="55"/>
      <c r="P282" s="56"/>
      <c r="Q282" s="74"/>
      <c r="R282" s="70"/>
      <c r="S282" s="19"/>
      <c r="T282" s="60"/>
      <c r="U282" s="59"/>
    </row>
    <row r="283" spans="1:21" ht="15" customHeight="1" x14ac:dyDescent="0.25">
      <c r="A283" s="1">
        <f t="shared" ca="1" si="18"/>
        <v>5020</v>
      </c>
      <c r="B283" s="29"/>
      <c r="C283" s="29"/>
      <c r="D283" s="29"/>
      <c r="E283" s="29"/>
      <c r="F283" s="29"/>
      <c r="G283" s="39"/>
      <c r="H283" s="40"/>
      <c r="I283" s="52"/>
      <c r="J283" s="53"/>
      <c r="K283" s="17"/>
      <c r="L283" s="39"/>
      <c r="M283" s="43"/>
      <c r="N283" s="45"/>
      <c r="O283" s="55"/>
      <c r="P283" s="56"/>
      <c r="Q283" s="74"/>
      <c r="R283" s="70"/>
      <c r="S283" s="19"/>
      <c r="T283" s="60"/>
      <c r="U283" s="59"/>
    </row>
    <row r="284" spans="1:21" ht="15" customHeight="1" x14ac:dyDescent="0.25">
      <c r="A284" s="1">
        <f t="shared" ca="1" si="18"/>
        <v>5021</v>
      </c>
      <c r="B284" s="29"/>
      <c r="C284" s="29"/>
      <c r="D284" s="29"/>
      <c r="E284" s="29"/>
      <c r="F284" s="29"/>
      <c r="G284" s="39"/>
      <c r="H284" s="40"/>
      <c r="I284" s="52"/>
      <c r="J284" s="53"/>
      <c r="K284" s="17"/>
      <c r="L284" s="39"/>
      <c r="M284" s="43"/>
      <c r="N284" s="45"/>
      <c r="O284" s="55"/>
      <c r="P284" s="56"/>
      <c r="Q284" s="74"/>
      <c r="R284" s="70"/>
      <c r="S284" s="19"/>
      <c r="T284" s="60"/>
      <c r="U284" s="59"/>
    </row>
    <row r="285" spans="1:21" ht="15" customHeight="1" x14ac:dyDescent="0.25">
      <c r="A285" s="1">
        <f t="shared" ca="1" si="18"/>
        <v>5022</v>
      </c>
      <c r="B285" s="29"/>
      <c r="C285" s="29"/>
      <c r="D285" s="29"/>
      <c r="E285" s="29"/>
      <c r="F285" s="29"/>
      <c r="G285" s="39"/>
      <c r="H285" s="40"/>
      <c r="I285" s="52"/>
      <c r="J285" s="53"/>
      <c r="K285" s="17"/>
      <c r="L285" s="39"/>
      <c r="M285" s="43"/>
      <c r="N285" s="45"/>
      <c r="O285" s="55"/>
      <c r="P285" s="56"/>
      <c r="Q285" s="74"/>
      <c r="R285" s="70"/>
      <c r="S285" s="19"/>
      <c r="T285" s="60"/>
      <c r="U285" s="59"/>
    </row>
    <row r="286" spans="1:21" x14ac:dyDescent="0.25">
      <c r="A286" s="1" t="str">
        <f t="shared" ca="1" si="18"/>
        <v>Totaal</v>
      </c>
      <c r="B286" s="61" t="str">
        <f>IF(COUNT(B256:B285)&gt;0,AVERAGE(B256:B285)/10,"")</f>
        <v/>
      </c>
      <c r="C286" s="62" t="str">
        <f>IF(COUNT(C256:C285)&gt;0,AVERAGE(C256:C285)/1000,"")</f>
        <v/>
      </c>
      <c r="D286" s="62" t="str">
        <f>IF(COUNT(D256:D285)&gt;0,AVERAGE(D256:D285)/1000,"")</f>
        <v/>
      </c>
      <c r="E286" s="62" t="str">
        <f>IF(COUNT(E256:E285)&gt;0,AVERAGE(E256:E285)/1000,"")</f>
        <v/>
      </c>
      <c r="F286" s="62">
        <f>IF(COUNT(F256:F285)&gt;0,AVERAGE(F256:F285)/100,"")</f>
        <v>29.92</v>
      </c>
      <c r="G286" s="41" t="str">
        <f>IF(COUNT(G256:G285)&gt;0,AVERAGE(G256:G285)/10,"")</f>
        <v/>
      </c>
      <c r="H286" s="42" t="str">
        <f>IF(COUNT(H256:H285)&gt;0,AVERAGE(H256:H285)/10,"")</f>
        <v/>
      </c>
      <c r="I286" s="18" t="str">
        <f>IF(COUNT(I256:I285)&gt;0,AVERAGE(I256:I285)/10,"")</f>
        <v/>
      </c>
      <c r="J286" s="54" t="str">
        <f>IF(COUNT(J256:J285)&gt;0,AVERAGE(J256:J285),"")</f>
        <v/>
      </c>
      <c r="K286" s="51" t="str">
        <f>IF(COUNT(K256:K285)&gt;0,AVERAGE(K256:K285)/1000,"")</f>
        <v/>
      </c>
      <c r="L286" s="41" t="str">
        <f>IF(COUNT(L256:L285)&gt;0,AVERAGE(L256:L285)/10,"")</f>
        <v/>
      </c>
      <c r="M286" s="44" t="str">
        <f>IF(COUNT(M256:M285)&gt;0,AVERAGE(M256:M285)/10,"")</f>
        <v/>
      </c>
      <c r="N286" s="46"/>
      <c r="O286" s="57" t="str">
        <f>IF(COUNT(O256:O285)&gt;0,AVERAGE(O256:O285),"")</f>
        <v/>
      </c>
      <c r="P286" s="58" t="str">
        <f>IF(COUNT(P256:P285)&gt;0,AVERAGE(P256:P285),"")</f>
        <v/>
      </c>
      <c r="Q286" s="47"/>
      <c r="R286" s="68" t="str">
        <f>IF(COUNT(R256:R285)&gt;0,SUM(R256:R285)/100,"")</f>
        <v/>
      </c>
      <c r="S286" s="64" t="str">
        <f>IF(COUNT(S256:S285)&gt;0,AVERAGE(S256:S285),"")</f>
        <v/>
      </c>
      <c r="T286" s="65" t="str">
        <f>IF(COUNT(T256:T285)&gt;0,AVERAGE(T256:T285),"")</f>
        <v/>
      </c>
      <c r="U286" s="66" t="str">
        <f>IF(COUNT(U256:U285)&gt;0,AVERAGE(U256:U285),"")</f>
        <v/>
      </c>
    </row>
    <row r="287" spans="1:21" ht="15" customHeight="1" x14ac:dyDescent="0.25">
      <c r="A287" s="1">
        <f t="shared" ca="1" si="18"/>
        <v>5023</v>
      </c>
      <c r="B287" s="29"/>
      <c r="C287" s="29"/>
      <c r="D287" s="29"/>
      <c r="E287" s="29"/>
      <c r="F287" s="29"/>
      <c r="G287" s="39"/>
      <c r="H287" s="40"/>
      <c r="I287" s="52"/>
      <c r="J287" s="53"/>
      <c r="K287" s="17"/>
      <c r="L287" s="39"/>
      <c r="M287" s="43"/>
      <c r="N287" s="45"/>
      <c r="O287" s="55"/>
      <c r="P287" s="56"/>
      <c r="Q287" s="74"/>
      <c r="R287" s="70"/>
      <c r="S287" s="19"/>
      <c r="T287" s="60"/>
      <c r="U287" s="59"/>
    </row>
    <row r="288" spans="1:21" ht="15" customHeight="1" x14ac:dyDescent="0.25">
      <c r="A288" s="1">
        <f t="shared" ca="1" si="18"/>
        <v>5024</v>
      </c>
      <c r="B288" s="29"/>
      <c r="C288" s="29"/>
      <c r="D288" s="29"/>
      <c r="E288" s="29"/>
      <c r="F288" s="29"/>
      <c r="G288" s="39"/>
      <c r="H288" s="40"/>
      <c r="I288" s="52"/>
      <c r="J288" s="53"/>
      <c r="K288" s="17"/>
      <c r="L288" s="39"/>
      <c r="M288" s="43"/>
      <c r="N288" s="45"/>
      <c r="O288" s="55"/>
      <c r="P288" s="56"/>
      <c r="Q288" s="74"/>
      <c r="R288" s="70"/>
      <c r="S288" s="19"/>
      <c r="T288" s="60"/>
      <c r="U288" s="59"/>
    </row>
    <row r="289" spans="1:21" ht="15" customHeight="1" x14ac:dyDescent="0.25">
      <c r="A289" s="1">
        <f t="shared" ca="1" si="18"/>
        <v>5025</v>
      </c>
      <c r="B289" s="29"/>
      <c r="C289" s="29"/>
      <c r="D289" s="29"/>
      <c r="E289" s="29"/>
      <c r="F289" s="29"/>
      <c r="G289" s="39"/>
      <c r="H289" s="40"/>
      <c r="I289" s="52"/>
      <c r="J289" s="53"/>
      <c r="K289" s="17"/>
      <c r="L289" s="39"/>
      <c r="M289" s="43"/>
      <c r="N289" s="45"/>
      <c r="O289" s="55"/>
      <c r="P289" s="56"/>
      <c r="Q289" s="74"/>
      <c r="R289" s="70"/>
      <c r="S289" s="19"/>
      <c r="T289" s="60"/>
      <c r="U289" s="59"/>
    </row>
    <row r="290" spans="1:21" ht="15" customHeight="1" x14ac:dyDescent="0.25">
      <c r="A290" s="1">
        <f t="shared" ca="1" si="18"/>
        <v>5026</v>
      </c>
      <c r="B290" s="29"/>
      <c r="C290" s="29"/>
      <c r="D290" s="29"/>
      <c r="E290" s="29"/>
      <c r="F290" s="29"/>
      <c r="G290" s="39"/>
      <c r="H290" s="40"/>
      <c r="I290" s="52"/>
      <c r="J290" s="53"/>
      <c r="K290" s="17"/>
      <c r="L290" s="39"/>
      <c r="M290" s="43"/>
      <c r="N290" s="45"/>
      <c r="O290" s="55"/>
      <c r="P290" s="56"/>
      <c r="Q290" s="74"/>
      <c r="R290" s="70"/>
      <c r="S290" s="19"/>
      <c r="T290" s="60"/>
      <c r="U290" s="59"/>
    </row>
    <row r="291" spans="1:21" ht="15" customHeight="1" x14ac:dyDescent="0.25">
      <c r="A291" s="1">
        <f t="shared" ca="1" si="18"/>
        <v>5027</v>
      </c>
      <c r="B291" s="29"/>
      <c r="C291" s="29"/>
      <c r="D291" s="29"/>
      <c r="E291" s="29"/>
      <c r="F291" s="29">
        <v>2990</v>
      </c>
      <c r="G291" s="39"/>
      <c r="H291" s="40"/>
      <c r="I291" s="52"/>
      <c r="J291" s="53"/>
      <c r="K291" s="17"/>
      <c r="L291" s="39"/>
      <c r="M291" s="43"/>
      <c r="N291" s="45" t="s">
        <v>108</v>
      </c>
      <c r="O291" s="55"/>
      <c r="P291" s="56"/>
      <c r="Q291" s="74"/>
      <c r="R291" s="70"/>
      <c r="S291" s="19"/>
      <c r="T291" s="60"/>
      <c r="U291" s="59"/>
    </row>
    <row r="292" spans="1:21" ht="15" customHeight="1" x14ac:dyDescent="0.25">
      <c r="A292" s="1">
        <f t="shared" ca="1" si="18"/>
        <v>5028</v>
      </c>
      <c r="B292" s="29"/>
      <c r="C292" s="29"/>
      <c r="D292" s="29"/>
      <c r="E292" s="29"/>
      <c r="F292" s="29">
        <v>2990</v>
      </c>
      <c r="G292" s="39"/>
      <c r="H292" s="40"/>
      <c r="I292" s="52"/>
      <c r="J292" s="53"/>
      <c r="K292" s="17"/>
      <c r="L292" s="39"/>
      <c r="M292" s="43"/>
      <c r="N292" s="45" t="s">
        <v>108</v>
      </c>
      <c r="O292" s="55"/>
      <c r="P292" s="56"/>
      <c r="Q292" s="74"/>
      <c r="R292" s="70"/>
      <c r="S292" s="19"/>
      <c r="T292" s="60"/>
      <c r="U292" s="59"/>
    </row>
    <row r="293" spans="1:21" ht="15" customHeight="1" x14ac:dyDescent="0.25">
      <c r="A293" s="1">
        <f t="shared" ca="1" si="18"/>
        <v>5029</v>
      </c>
      <c r="B293" s="29"/>
      <c r="C293" s="29"/>
      <c r="D293" s="29"/>
      <c r="E293" s="29"/>
      <c r="F293" s="29"/>
      <c r="G293" s="39"/>
      <c r="H293" s="40"/>
      <c r="I293" s="52"/>
      <c r="J293" s="53"/>
      <c r="K293" s="17"/>
      <c r="L293" s="39"/>
      <c r="M293" s="43"/>
      <c r="N293" s="45"/>
      <c r="O293" s="55"/>
      <c r="P293" s="56"/>
      <c r="Q293" s="74"/>
      <c r="R293" s="70"/>
      <c r="S293" s="19"/>
      <c r="T293" s="60"/>
      <c r="U293" s="59"/>
    </row>
    <row r="294" spans="1:21" ht="15" customHeight="1" x14ac:dyDescent="0.25">
      <c r="A294" s="1">
        <f t="shared" ca="1" si="18"/>
        <v>5030</v>
      </c>
      <c r="B294" s="29"/>
      <c r="C294" s="29"/>
      <c r="D294" s="29"/>
      <c r="E294" s="29"/>
      <c r="F294" s="29">
        <v>2986</v>
      </c>
      <c r="G294" s="39"/>
      <c r="H294" s="40"/>
      <c r="I294" s="52"/>
      <c r="J294" s="53"/>
      <c r="K294" s="17"/>
      <c r="L294" s="39"/>
      <c r="M294" s="43"/>
      <c r="N294" s="45" t="s">
        <v>108</v>
      </c>
      <c r="O294" s="55"/>
      <c r="P294" s="56"/>
      <c r="Q294" s="74"/>
      <c r="R294" s="70"/>
      <c r="S294" s="19"/>
      <c r="T294" s="60"/>
      <c r="U294" s="59"/>
    </row>
    <row r="295" spans="1:21" ht="15" customHeight="1" x14ac:dyDescent="0.25">
      <c r="A295" s="1">
        <f t="shared" ca="1" si="18"/>
        <v>5031</v>
      </c>
      <c r="B295" s="29"/>
      <c r="C295" s="29"/>
      <c r="D295" s="29"/>
      <c r="E295" s="29"/>
      <c r="F295" s="29">
        <v>2988</v>
      </c>
      <c r="G295" s="39"/>
      <c r="H295" s="40"/>
      <c r="I295" s="52"/>
      <c r="J295" s="53"/>
      <c r="K295" s="17"/>
      <c r="L295" s="39"/>
      <c r="M295" s="43"/>
      <c r="N295" s="45" t="s">
        <v>108</v>
      </c>
      <c r="O295" s="55"/>
      <c r="P295" s="56"/>
      <c r="Q295" s="74"/>
      <c r="R295" s="70"/>
      <c r="S295" s="19"/>
      <c r="T295" s="60"/>
      <c r="U295" s="59"/>
    </row>
    <row r="296" spans="1:21" ht="15" customHeight="1" x14ac:dyDescent="0.25">
      <c r="A296" s="1">
        <f t="shared" ca="1" si="18"/>
        <v>5032</v>
      </c>
      <c r="B296" s="29"/>
      <c r="C296" s="29"/>
      <c r="D296" s="29"/>
      <c r="E296" s="29"/>
      <c r="F296" s="29"/>
      <c r="G296" s="39"/>
      <c r="H296" s="40"/>
      <c r="I296" s="52"/>
      <c r="J296" s="53"/>
      <c r="K296" s="17"/>
      <c r="L296" s="39"/>
      <c r="M296" s="43"/>
      <c r="N296" s="45"/>
      <c r="O296" s="55"/>
      <c r="P296" s="56"/>
      <c r="Q296" s="74"/>
      <c r="R296" s="70"/>
      <c r="S296" s="19"/>
      <c r="T296" s="60"/>
      <c r="U296" s="59"/>
    </row>
    <row r="297" spans="1:21" ht="15" customHeight="1" x14ac:dyDescent="0.25">
      <c r="A297" s="1">
        <f t="shared" ca="1" si="18"/>
        <v>5033</v>
      </c>
      <c r="B297" s="29"/>
      <c r="C297" s="29"/>
      <c r="D297" s="29"/>
      <c r="E297" s="29"/>
      <c r="F297" s="29">
        <v>2992</v>
      </c>
      <c r="G297" s="39"/>
      <c r="H297" s="40"/>
      <c r="I297" s="52"/>
      <c r="J297" s="53"/>
      <c r="K297" s="17"/>
      <c r="L297" s="39"/>
      <c r="M297" s="43"/>
      <c r="N297" s="45" t="s">
        <v>106</v>
      </c>
      <c r="O297" s="55"/>
      <c r="P297" s="56"/>
      <c r="Q297" s="74"/>
      <c r="R297" s="70"/>
      <c r="S297" s="19"/>
      <c r="T297" s="60"/>
      <c r="U297" s="59"/>
    </row>
    <row r="298" spans="1:21" ht="15" customHeight="1" x14ac:dyDescent="0.25">
      <c r="A298" s="1">
        <f t="shared" ca="1" si="18"/>
        <v>5034</v>
      </c>
      <c r="B298" s="29"/>
      <c r="C298" s="29"/>
      <c r="D298" s="29"/>
      <c r="E298" s="29"/>
      <c r="F298" s="29">
        <v>2988</v>
      </c>
      <c r="G298" s="39"/>
      <c r="H298" s="40"/>
      <c r="I298" s="52"/>
      <c r="J298" s="53"/>
      <c r="K298" s="17"/>
      <c r="L298" s="39"/>
      <c r="M298" s="43"/>
      <c r="N298" s="45" t="s">
        <v>108</v>
      </c>
      <c r="O298" s="55"/>
      <c r="P298" s="56"/>
      <c r="Q298" s="74"/>
      <c r="R298" s="70"/>
      <c r="S298" s="19"/>
      <c r="T298" s="60"/>
      <c r="U298" s="59"/>
    </row>
    <row r="299" spans="1:21" ht="15" customHeight="1" x14ac:dyDescent="0.25">
      <c r="A299" s="1">
        <f t="shared" ca="1" si="18"/>
        <v>5035</v>
      </c>
      <c r="B299" s="29"/>
      <c r="C299" s="29"/>
      <c r="D299" s="29"/>
      <c r="E299" s="29"/>
      <c r="F299" s="29">
        <v>2988</v>
      </c>
      <c r="G299" s="39"/>
      <c r="H299" s="40"/>
      <c r="I299" s="52"/>
      <c r="J299" s="53"/>
      <c r="K299" s="17"/>
      <c r="L299" s="39"/>
      <c r="M299" s="43"/>
      <c r="N299" s="45" t="s">
        <v>108</v>
      </c>
      <c r="O299" s="55"/>
      <c r="P299" s="56"/>
      <c r="Q299" s="74"/>
      <c r="R299" s="70"/>
      <c r="S299" s="19"/>
      <c r="T299" s="60"/>
      <c r="U299" s="59"/>
    </row>
    <row r="300" spans="1:21" ht="15" customHeight="1" x14ac:dyDescent="0.25">
      <c r="A300" s="1">
        <f t="shared" ca="1" si="18"/>
        <v>5036</v>
      </c>
      <c r="B300" s="29"/>
      <c r="C300" s="29"/>
      <c r="D300" s="29"/>
      <c r="E300" s="29"/>
      <c r="F300" s="29">
        <v>2990</v>
      </c>
      <c r="G300" s="39"/>
      <c r="H300" s="40"/>
      <c r="I300" s="52"/>
      <c r="J300" s="53"/>
      <c r="K300" s="17"/>
      <c r="L300" s="39"/>
      <c r="M300" s="43"/>
      <c r="N300" s="45" t="s">
        <v>106</v>
      </c>
      <c r="O300" s="55"/>
      <c r="P300" s="56"/>
      <c r="Q300" s="74"/>
      <c r="R300" s="70"/>
      <c r="S300" s="19"/>
      <c r="T300" s="60"/>
      <c r="U300" s="59"/>
    </row>
    <row r="301" spans="1:21" ht="15" customHeight="1" x14ac:dyDescent="0.25">
      <c r="A301" s="1">
        <f t="shared" ca="1" si="18"/>
        <v>5037</v>
      </c>
      <c r="B301" s="29"/>
      <c r="C301" s="29"/>
      <c r="D301" s="29"/>
      <c r="E301" s="29"/>
      <c r="F301" s="29">
        <v>2992</v>
      </c>
      <c r="G301" s="39"/>
      <c r="H301" s="40"/>
      <c r="I301" s="52"/>
      <c r="J301" s="53"/>
      <c r="K301" s="17"/>
      <c r="L301" s="39"/>
      <c r="M301" s="43"/>
      <c r="N301" s="45" t="s">
        <v>106</v>
      </c>
      <c r="O301" s="55"/>
      <c r="P301" s="56"/>
      <c r="Q301" s="74"/>
      <c r="R301" s="70"/>
      <c r="S301" s="19"/>
      <c r="T301" s="60"/>
      <c r="U301" s="59"/>
    </row>
    <row r="302" spans="1:21" ht="15" customHeight="1" x14ac:dyDescent="0.25">
      <c r="A302" s="1">
        <f t="shared" ca="1" si="18"/>
        <v>5038</v>
      </c>
      <c r="B302" s="29"/>
      <c r="C302" s="29"/>
      <c r="D302" s="29"/>
      <c r="E302" s="29"/>
      <c r="F302" s="29"/>
      <c r="G302" s="39"/>
      <c r="H302" s="40"/>
      <c r="I302" s="52"/>
      <c r="J302" s="53"/>
      <c r="K302" s="17"/>
      <c r="L302" s="39"/>
      <c r="M302" s="43"/>
      <c r="N302" s="45"/>
      <c r="O302" s="55"/>
      <c r="P302" s="56"/>
      <c r="Q302" s="74"/>
      <c r="R302" s="70"/>
      <c r="S302" s="19"/>
      <c r="T302" s="60"/>
      <c r="U302" s="59"/>
    </row>
    <row r="303" spans="1:21" ht="15" customHeight="1" x14ac:dyDescent="0.25">
      <c r="A303" s="1">
        <f t="shared" ca="1" si="18"/>
        <v>5039</v>
      </c>
      <c r="B303" s="29"/>
      <c r="C303" s="29"/>
      <c r="D303" s="29"/>
      <c r="E303" s="29"/>
      <c r="F303" s="29"/>
      <c r="G303" s="39"/>
      <c r="H303" s="40"/>
      <c r="I303" s="52"/>
      <c r="J303" s="53"/>
      <c r="K303" s="17"/>
      <c r="L303" s="39"/>
      <c r="M303" s="43"/>
      <c r="N303" s="45"/>
      <c r="O303" s="55"/>
      <c r="P303" s="56"/>
      <c r="Q303" s="74"/>
      <c r="R303" s="70"/>
      <c r="S303" s="19"/>
      <c r="T303" s="60"/>
      <c r="U303" s="59"/>
    </row>
    <row r="304" spans="1:21" ht="15" customHeight="1" x14ac:dyDescent="0.25">
      <c r="A304" s="1">
        <f t="shared" ca="1" si="18"/>
        <v>5040</v>
      </c>
      <c r="B304" s="29"/>
      <c r="C304" s="29"/>
      <c r="D304" s="29"/>
      <c r="E304" s="29"/>
      <c r="F304" s="29"/>
      <c r="G304" s="39"/>
      <c r="H304" s="40"/>
      <c r="I304" s="52"/>
      <c r="J304" s="53"/>
      <c r="K304" s="17"/>
      <c r="L304" s="39"/>
      <c r="M304" s="43"/>
      <c r="N304" s="45"/>
      <c r="O304" s="55"/>
      <c r="P304" s="56"/>
      <c r="Q304" s="74"/>
      <c r="R304" s="70"/>
      <c r="S304" s="19"/>
      <c r="T304" s="60"/>
      <c r="U304" s="59"/>
    </row>
    <row r="305" spans="1:21" ht="15" customHeight="1" x14ac:dyDescent="0.25">
      <c r="A305" s="1">
        <f t="shared" ca="1" si="18"/>
        <v>5041</v>
      </c>
      <c r="B305" s="29"/>
      <c r="C305" s="29"/>
      <c r="D305" s="29"/>
      <c r="E305" s="29"/>
      <c r="F305" s="29"/>
      <c r="G305" s="39"/>
      <c r="H305" s="40"/>
      <c r="I305" s="52"/>
      <c r="J305" s="53"/>
      <c r="K305" s="17"/>
      <c r="L305" s="39"/>
      <c r="M305" s="43"/>
      <c r="N305" s="45"/>
      <c r="O305" s="55"/>
      <c r="P305" s="56"/>
      <c r="Q305" s="74"/>
      <c r="R305" s="70"/>
      <c r="S305" s="19"/>
      <c r="T305" s="60"/>
      <c r="U305" s="59"/>
    </row>
    <row r="306" spans="1:21" ht="15" customHeight="1" x14ac:dyDescent="0.25">
      <c r="A306" s="1">
        <f t="shared" ca="1" si="18"/>
        <v>5042</v>
      </c>
      <c r="B306" s="29"/>
      <c r="C306" s="29"/>
      <c r="D306" s="29"/>
      <c r="E306" s="29"/>
      <c r="F306" s="29"/>
      <c r="G306" s="39"/>
      <c r="H306" s="40"/>
      <c r="I306" s="52"/>
      <c r="J306" s="53"/>
      <c r="K306" s="17"/>
      <c r="L306" s="39"/>
      <c r="M306" s="43"/>
      <c r="N306" s="45"/>
      <c r="O306" s="55"/>
      <c r="P306" s="56"/>
      <c r="Q306" s="74"/>
      <c r="R306" s="70"/>
      <c r="S306" s="19"/>
      <c r="T306" s="60"/>
      <c r="U306" s="59"/>
    </row>
    <row r="307" spans="1:21" ht="15" customHeight="1" x14ac:dyDescent="0.25">
      <c r="A307" s="1">
        <f t="shared" ca="1" si="18"/>
        <v>5043</v>
      </c>
      <c r="B307" s="29"/>
      <c r="C307" s="29"/>
      <c r="D307" s="29"/>
      <c r="E307" s="29"/>
      <c r="F307" s="29"/>
      <c r="G307" s="39"/>
      <c r="H307" s="40"/>
      <c r="I307" s="52"/>
      <c r="J307" s="53"/>
      <c r="K307" s="17"/>
      <c r="L307" s="39"/>
      <c r="M307" s="43"/>
      <c r="N307" s="45"/>
      <c r="O307" s="55"/>
      <c r="P307" s="56"/>
      <c r="Q307" s="74"/>
      <c r="R307" s="70"/>
      <c r="S307" s="19"/>
      <c r="T307" s="60"/>
      <c r="U307" s="59"/>
    </row>
    <row r="308" spans="1:21" ht="15" customHeight="1" x14ac:dyDescent="0.25">
      <c r="A308" s="1">
        <f t="shared" ca="1" si="18"/>
        <v>5044</v>
      </c>
      <c r="B308" s="29"/>
      <c r="C308" s="29"/>
      <c r="D308" s="29"/>
      <c r="E308" s="29"/>
      <c r="F308" s="29"/>
      <c r="G308" s="39"/>
      <c r="H308" s="40"/>
      <c r="I308" s="52"/>
      <c r="J308" s="53"/>
      <c r="K308" s="17"/>
      <c r="L308" s="39"/>
      <c r="M308" s="43"/>
      <c r="N308" s="45"/>
      <c r="O308" s="55"/>
      <c r="P308" s="56"/>
      <c r="Q308" s="74"/>
      <c r="R308" s="70"/>
      <c r="S308" s="19"/>
      <c r="T308" s="60"/>
      <c r="U308" s="59"/>
    </row>
    <row r="309" spans="1:21" ht="15" customHeight="1" x14ac:dyDescent="0.25">
      <c r="A309" s="1">
        <f t="shared" ca="1" si="18"/>
        <v>5045</v>
      </c>
      <c r="B309" s="29"/>
      <c r="C309" s="29"/>
      <c r="D309" s="29"/>
      <c r="E309" s="29"/>
      <c r="F309" s="29"/>
      <c r="G309" s="39"/>
      <c r="H309" s="40"/>
      <c r="I309" s="52"/>
      <c r="J309" s="53"/>
      <c r="K309" s="17"/>
      <c r="L309" s="39"/>
      <c r="M309" s="43"/>
      <c r="N309" s="45"/>
      <c r="O309" s="55"/>
      <c r="P309" s="56"/>
      <c r="Q309" s="74"/>
      <c r="R309" s="70"/>
      <c r="S309" s="19"/>
      <c r="T309" s="60"/>
      <c r="U309" s="59"/>
    </row>
    <row r="310" spans="1:21" ht="15" customHeight="1" x14ac:dyDescent="0.25">
      <c r="A310" s="1">
        <f t="shared" ca="1" si="18"/>
        <v>5046</v>
      </c>
      <c r="B310" s="29"/>
      <c r="C310" s="29"/>
      <c r="D310" s="29"/>
      <c r="E310" s="29"/>
      <c r="F310" s="29"/>
      <c r="G310" s="39"/>
      <c r="H310" s="40"/>
      <c r="I310" s="52"/>
      <c r="J310" s="53"/>
      <c r="K310" s="17"/>
      <c r="L310" s="39"/>
      <c r="M310" s="43"/>
      <c r="N310" s="45"/>
      <c r="O310" s="55"/>
      <c r="P310" s="56"/>
      <c r="Q310" s="74"/>
      <c r="R310" s="70"/>
      <c r="S310" s="19"/>
      <c r="T310" s="60"/>
      <c r="U310" s="59"/>
    </row>
    <row r="311" spans="1:21" ht="15" customHeight="1" x14ac:dyDescent="0.25">
      <c r="A311" s="1">
        <f t="shared" ca="1" si="18"/>
        <v>5047</v>
      </c>
      <c r="B311" s="29"/>
      <c r="C311" s="29"/>
      <c r="D311" s="29"/>
      <c r="E311" s="29"/>
      <c r="F311" s="29"/>
      <c r="G311" s="39"/>
      <c r="H311" s="40"/>
      <c r="I311" s="52"/>
      <c r="J311" s="53"/>
      <c r="K311" s="17"/>
      <c r="L311" s="39"/>
      <c r="M311" s="43"/>
      <c r="N311" s="45"/>
      <c r="O311" s="55"/>
      <c r="P311" s="56"/>
      <c r="Q311" s="74"/>
      <c r="R311" s="70"/>
      <c r="S311" s="19"/>
      <c r="T311" s="60"/>
      <c r="U311" s="59"/>
    </row>
    <row r="312" spans="1:21" ht="15" customHeight="1" x14ac:dyDescent="0.25">
      <c r="A312" s="1">
        <f t="shared" ca="1" si="18"/>
        <v>5048</v>
      </c>
      <c r="B312" s="29"/>
      <c r="C312" s="29"/>
      <c r="D312" s="29"/>
      <c r="E312" s="29"/>
      <c r="F312" s="29"/>
      <c r="G312" s="39"/>
      <c r="H312" s="40"/>
      <c r="I312" s="52"/>
      <c r="J312" s="53"/>
      <c r="K312" s="17"/>
      <c r="L312" s="39"/>
      <c r="M312" s="43"/>
      <c r="N312" s="45"/>
      <c r="O312" s="55"/>
      <c r="P312" s="56"/>
      <c r="Q312" s="74"/>
      <c r="R312" s="70"/>
      <c r="S312" s="19"/>
      <c r="T312" s="60"/>
      <c r="U312" s="59"/>
    </row>
    <row r="313" spans="1:21" ht="15" customHeight="1" x14ac:dyDescent="0.25">
      <c r="A313" s="1">
        <f t="shared" ca="1" si="18"/>
        <v>5049</v>
      </c>
      <c r="B313" s="29"/>
      <c r="C313" s="29"/>
      <c r="D313" s="29"/>
      <c r="E313" s="29"/>
      <c r="F313" s="29"/>
      <c r="G313" s="39"/>
      <c r="H313" s="40"/>
      <c r="I313" s="52"/>
      <c r="J313" s="53"/>
      <c r="K313" s="17"/>
      <c r="L313" s="39"/>
      <c r="M313" s="43"/>
      <c r="N313" s="45"/>
      <c r="O313" s="55"/>
      <c r="P313" s="56"/>
      <c r="Q313" s="74"/>
      <c r="R313" s="70"/>
      <c r="S313" s="19"/>
      <c r="T313" s="60"/>
      <c r="U313" s="59"/>
    </row>
    <row r="314" spans="1:21" ht="15" customHeight="1" x14ac:dyDescent="0.25">
      <c r="A314" s="1">
        <f t="shared" ca="1" si="18"/>
        <v>5050</v>
      </c>
      <c r="B314" s="29"/>
      <c r="C314" s="29"/>
      <c r="D314" s="29"/>
      <c r="E314" s="29"/>
      <c r="F314" s="29"/>
      <c r="G314" s="39"/>
      <c r="H314" s="40"/>
      <c r="I314" s="52"/>
      <c r="J314" s="53"/>
      <c r="K314" s="17"/>
      <c r="L314" s="39"/>
      <c r="M314" s="43"/>
      <c r="N314" s="45"/>
      <c r="O314" s="55"/>
      <c r="P314" s="56"/>
      <c r="Q314" s="74"/>
      <c r="R314" s="70"/>
      <c r="S314" s="19"/>
      <c r="T314" s="60"/>
      <c r="U314" s="59"/>
    </row>
    <row r="315" spans="1:21" ht="15" customHeight="1" x14ac:dyDescent="0.25">
      <c r="A315" s="1">
        <f t="shared" ca="1" si="18"/>
        <v>5051</v>
      </c>
      <c r="B315" s="29"/>
      <c r="C315" s="29"/>
      <c r="D315" s="29"/>
      <c r="E315" s="29"/>
      <c r="F315" s="29"/>
      <c r="G315" s="39"/>
      <c r="H315" s="40"/>
      <c r="I315" s="52"/>
      <c r="J315" s="53"/>
      <c r="K315" s="17"/>
      <c r="L315" s="39"/>
      <c r="M315" s="43"/>
      <c r="N315" s="45"/>
      <c r="O315" s="55"/>
      <c r="P315" s="56"/>
      <c r="Q315" s="74"/>
      <c r="R315" s="70"/>
      <c r="S315" s="19"/>
      <c r="T315" s="60"/>
      <c r="U315" s="59"/>
    </row>
    <row r="316" spans="1:21" ht="15" customHeight="1" x14ac:dyDescent="0.25">
      <c r="A316" s="1">
        <f t="shared" ca="1" si="18"/>
        <v>5052</v>
      </c>
      <c r="B316" s="29"/>
      <c r="C316" s="29"/>
      <c r="D316" s="29"/>
      <c r="E316" s="29"/>
      <c r="F316" s="29"/>
      <c r="G316" s="39"/>
      <c r="H316" s="40"/>
      <c r="I316" s="52"/>
      <c r="J316" s="53"/>
      <c r="K316" s="17"/>
      <c r="L316" s="39"/>
      <c r="M316" s="43"/>
      <c r="N316" s="45"/>
      <c r="O316" s="55"/>
      <c r="P316" s="56"/>
      <c r="Q316" s="74"/>
      <c r="R316" s="70"/>
      <c r="S316" s="19"/>
      <c r="T316" s="60"/>
      <c r="U316" s="59"/>
    </row>
    <row r="317" spans="1:21" ht="15" customHeight="1" x14ac:dyDescent="0.25">
      <c r="A317" s="1">
        <f t="shared" ca="1" si="18"/>
        <v>5053</v>
      </c>
      <c r="B317" s="29"/>
      <c r="C317" s="29"/>
      <c r="D317" s="29"/>
      <c r="E317" s="29"/>
      <c r="F317" s="29"/>
      <c r="G317" s="39"/>
      <c r="H317" s="40"/>
      <c r="I317" s="52"/>
      <c r="J317" s="53"/>
      <c r="K317" s="17"/>
      <c r="L317" s="39"/>
      <c r="M317" s="43"/>
      <c r="N317" s="45"/>
      <c r="O317" s="55"/>
      <c r="P317" s="56"/>
      <c r="Q317" s="74"/>
      <c r="R317" s="70"/>
      <c r="S317" s="19"/>
      <c r="T317" s="60"/>
      <c r="U317" s="59"/>
    </row>
    <row r="318" spans="1:21" x14ac:dyDescent="0.25">
      <c r="A318" s="1" t="str">
        <f t="shared" ca="1" si="18"/>
        <v>Totaal</v>
      </c>
      <c r="B318" s="61" t="str">
        <f>IF(COUNT(B287:B317)&gt;0,AVERAGE(B287:B317)/10,"")</f>
        <v/>
      </c>
      <c r="C318" s="62" t="str">
        <f>IF(COUNT(C287:C317)&gt;0,AVERAGE(C287:C317)/1000,"")</f>
        <v/>
      </c>
      <c r="D318" s="62" t="str">
        <f t="shared" ref="D318" si="19">IF(COUNT(D287:D317)&gt;0,AVERAGE(D287:D317)/1000,"")</f>
        <v/>
      </c>
      <c r="E318" s="62" t="str">
        <f t="shared" ref="E318" si="20">IF(COUNT(E287:E317)&gt;0,AVERAGE(E287:E317)/1000,"")</f>
        <v/>
      </c>
      <c r="F318" s="62">
        <f>IF(COUNT(F287:F317)&gt;0,AVERAGE(F287:F317)/100,"")</f>
        <v>29.893333333333334</v>
      </c>
      <c r="G318" s="41" t="str">
        <f>IF(COUNT(G287:G317)&gt;0,AVERAGE(G287:G317)/10,"")</f>
        <v/>
      </c>
      <c r="H318" s="42" t="str">
        <f t="shared" ref="H318" si="21">IF(COUNT(H287:H317)&gt;0,AVERAGE(H287:H317)/10,"")</f>
        <v/>
      </c>
      <c r="I318" s="18" t="str">
        <f>IF(COUNT(I287:I317)&gt;0,AVERAGE(I287:I317)/10,"")</f>
        <v/>
      </c>
      <c r="J318" s="54" t="str">
        <f>IF(COUNT(J287:J317)&gt;0,AVERAGE(J287:J317),"")</f>
        <v/>
      </c>
      <c r="K318" s="51" t="str">
        <f>IF(COUNT(K287:K317)&gt;0,AVERAGE(K287:K317)/1000,"")</f>
        <v/>
      </c>
      <c r="L318" s="41" t="str">
        <f>IF(COUNT(L287:L317)&gt;0,AVERAGE(L287:L317)/10,"")</f>
        <v/>
      </c>
      <c r="M318" s="44" t="str">
        <f>IF(COUNT(M287:M317)&gt;0,AVERAGE(M287:M317)/10,"")</f>
        <v/>
      </c>
      <c r="N318" s="46"/>
      <c r="O318" s="57" t="str">
        <f>IF(COUNT(O287:O317)&gt;0,AVERAGE(O287:O317),"")</f>
        <v/>
      </c>
      <c r="P318" s="58" t="str">
        <f>IF(COUNT(P287:P317)&gt;0,AVERAGE(P287:P317),"")</f>
        <v/>
      </c>
      <c r="Q318" s="47"/>
      <c r="R318" s="68" t="str">
        <f>IF(COUNT(R287:R317)&gt;0,SUM(R287:R317)/100,"")</f>
        <v/>
      </c>
      <c r="S318" s="64" t="str">
        <f>IF(COUNT(S287:S317)&gt;0,AVERAGE(S287:S317),"")</f>
        <v/>
      </c>
      <c r="T318" s="65" t="str">
        <f>IF(COUNT(T287:T317)&gt;0,AVERAGE(T287:T317),"")</f>
        <v/>
      </c>
      <c r="U318" s="66" t="str">
        <f>IF(COUNT(U287:U317)&gt;0,AVERAGE(U287:U317),"")</f>
        <v/>
      </c>
    </row>
    <row r="319" spans="1:21" ht="15" customHeight="1" x14ac:dyDescent="0.25">
      <c r="A319" s="1">
        <f t="shared" ca="1" si="18"/>
        <v>5054</v>
      </c>
      <c r="B319" s="29"/>
      <c r="C319" s="29"/>
      <c r="D319" s="29"/>
      <c r="E319" s="29"/>
      <c r="F319" s="29"/>
      <c r="G319" s="39"/>
      <c r="H319" s="40"/>
      <c r="I319" s="52"/>
      <c r="J319" s="53"/>
      <c r="K319" s="17"/>
      <c r="L319" s="39"/>
      <c r="M319" s="43"/>
      <c r="N319" s="45"/>
      <c r="O319" s="55"/>
      <c r="P319" s="56"/>
      <c r="Q319" s="74"/>
      <c r="R319" s="70"/>
      <c r="S319" s="19"/>
      <c r="T319" s="60"/>
      <c r="U319" s="59"/>
    </row>
    <row r="320" spans="1:21" ht="15" customHeight="1" x14ac:dyDescent="0.25">
      <c r="A320" s="1">
        <f t="shared" ca="1" si="18"/>
        <v>5055</v>
      </c>
      <c r="B320" s="29"/>
      <c r="C320" s="29"/>
      <c r="D320" s="29"/>
      <c r="E320" s="29"/>
      <c r="F320" s="29"/>
      <c r="G320" s="39"/>
      <c r="H320" s="40"/>
      <c r="I320" s="52"/>
      <c r="J320" s="53"/>
      <c r="K320" s="17"/>
      <c r="L320" s="39"/>
      <c r="M320" s="43"/>
      <c r="N320" s="45"/>
      <c r="O320" s="55"/>
      <c r="P320" s="56"/>
      <c r="Q320" s="74"/>
      <c r="R320" s="70"/>
      <c r="S320" s="19"/>
      <c r="T320" s="60"/>
      <c r="U320" s="59"/>
    </row>
    <row r="321" spans="1:21" ht="15" customHeight="1" x14ac:dyDescent="0.25">
      <c r="A321" s="1">
        <f t="shared" ca="1" si="18"/>
        <v>5056</v>
      </c>
      <c r="B321" s="29"/>
      <c r="C321" s="29"/>
      <c r="D321" s="29"/>
      <c r="E321" s="29"/>
      <c r="F321" s="29"/>
      <c r="G321" s="39"/>
      <c r="H321" s="40"/>
      <c r="I321" s="52"/>
      <c r="J321" s="53"/>
      <c r="K321" s="17"/>
      <c r="L321" s="39"/>
      <c r="M321" s="43"/>
      <c r="N321" s="45"/>
      <c r="O321" s="55"/>
      <c r="P321" s="56"/>
      <c r="Q321" s="74"/>
      <c r="R321" s="70"/>
      <c r="S321" s="19"/>
      <c r="T321" s="60"/>
      <c r="U321" s="59"/>
    </row>
    <row r="322" spans="1:21" ht="15" customHeight="1" x14ac:dyDescent="0.25">
      <c r="A322" s="1">
        <f t="shared" ca="1" si="18"/>
        <v>5057</v>
      </c>
      <c r="B322" s="29"/>
      <c r="C322" s="29"/>
      <c r="D322" s="29"/>
      <c r="E322" s="29"/>
      <c r="F322" s="29"/>
      <c r="G322" s="39"/>
      <c r="H322" s="40"/>
      <c r="I322" s="52"/>
      <c r="J322" s="53"/>
      <c r="K322" s="17"/>
      <c r="L322" s="39"/>
      <c r="M322" s="43"/>
      <c r="N322" s="45"/>
      <c r="O322" s="55"/>
      <c r="P322" s="56"/>
      <c r="Q322" s="74"/>
      <c r="R322" s="70"/>
      <c r="S322" s="19"/>
      <c r="T322" s="60"/>
      <c r="U322" s="59"/>
    </row>
    <row r="323" spans="1:21" ht="15" customHeight="1" x14ac:dyDescent="0.25">
      <c r="A323" s="1">
        <f t="shared" ca="1" si="18"/>
        <v>5058</v>
      </c>
      <c r="B323" s="29"/>
      <c r="C323" s="29"/>
      <c r="D323" s="29"/>
      <c r="E323" s="29"/>
      <c r="F323" s="29"/>
      <c r="G323" s="39"/>
      <c r="H323" s="40"/>
      <c r="I323" s="52"/>
      <c r="J323" s="53"/>
      <c r="K323" s="17"/>
      <c r="L323" s="39"/>
      <c r="M323" s="43"/>
      <c r="N323" s="45"/>
      <c r="O323" s="55"/>
      <c r="P323" s="56"/>
      <c r="Q323" s="74"/>
      <c r="R323" s="70"/>
      <c r="S323" s="19"/>
      <c r="T323" s="60"/>
      <c r="U323" s="59"/>
    </row>
    <row r="324" spans="1:21" ht="15" customHeight="1" x14ac:dyDescent="0.25">
      <c r="A324" s="1">
        <f t="shared" ca="1" si="18"/>
        <v>5059</v>
      </c>
      <c r="B324" s="29"/>
      <c r="C324" s="29"/>
      <c r="D324" s="29"/>
      <c r="E324" s="29"/>
      <c r="F324" s="29"/>
      <c r="G324" s="39"/>
      <c r="H324" s="40"/>
      <c r="I324" s="52"/>
      <c r="J324" s="53"/>
      <c r="K324" s="17"/>
      <c r="L324" s="39"/>
      <c r="M324" s="43"/>
      <c r="N324" s="45"/>
      <c r="O324" s="55"/>
      <c r="P324" s="56"/>
      <c r="Q324" s="74"/>
      <c r="R324" s="70"/>
      <c r="S324" s="19"/>
      <c r="T324" s="60"/>
      <c r="U324" s="59"/>
    </row>
    <row r="325" spans="1:21" ht="15" customHeight="1" x14ac:dyDescent="0.25">
      <c r="A325" s="1">
        <f t="shared" ca="1" si="18"/>
        <v>5060</v>
      </c>
      <c r="B325" s="29"/>
      <c r="C325" s="29"/>
      <c r="D325" s="29"/>
      <c r="E325" s="29"/>
      <c r="F325" s="29"/>
      <c r="G325" s="39"/>
      <c r="H325" s="40"/>
      <c r="I325" s="52"/>
      <c r="J325" s="53"/>
      <c r="K325" s="17"/>
      <c r="L325" s="39"/>
      <c r="M325" s="43"/>
      <c r="N325" s="45"/>
      <c r="O325" s="55"/>
      <c r="P325" s="56"/>
      <c r="Q325" s="74"/>
      <c r="R325" s="70"/>
      <c r="S325" s="19"/>
      <c r="T325" s="60"/>
      <c r="U325" s="59"/>
    </row>
    <row r="326" spans="1:21" ht="15" customHeight="1" x14ac:dyDescent="0.25">
      <c r="A326" s="1">
        <f t="shared" ca="1" si="18"/>
        <v>5061</v>
      </c>
      <c r="B326" s="29"/>
      <c r="C326" s="29"/>
      <c r="D326" s="29"/>
      <c r="E326" s="29"/>
      <c r="F326" s="29"/>
      <c r="G326" s="39"/>
      <c r="H326" s="40"/>
      <c r="I326" s="52"/>
      <c r="J326" s="53"/>
      <c r="K326" s="17"/>
      <c r="L326" s="39"/>
      <c r="M326" s="43"/>
      <c r="N326" s="45"/>
      <c r="O326" s="55"/>
      <c r="P326" s="56"/>
      <c r="Q326" s="74"/>
      <c r="R326" s="70"/>
      <c r="S326" s="19"/>
      <c r="T326" s="60"/>
      <c r="U326" s="59"/>
    </row>
    <row r="327" spans="1:21" ht="15" customHeight="1" x14ac:dyDescent="0.25">
      <c r="A327" s="1">
        <f t="shared" ref="A327:A381" ca="1" si="22">IF(ISTEXT(A326),A325+1,IF(MONTH(A326+1)=MONTH(A326),A326+1,"Totaal"))</f>
        <v>5062</v>
      </c>
      <c r="B327" s="29"/>
      <c r="C327" s="29"/>
      <c r="D327" s="29"/>
      <c r="E327" s="29"/>
      <c r="F327" s="29"/>
      <c r="G327" s="39"/>
      <c r="H327" s="40"/>
      <c r="I327" s="52"/>
      <c r="J327" s="53"/>
      <c r="K327" s="17"/>
      <c r="L327" s="39"/>
      <c r="M327" s="43"/>
      <c r="N327" s="45"/>
      <c r="O327" s="55"/>
      <c r="P327" s="56"/>
      <c r="Q327" s="74"/>
      <c r="R327" s="70"/>
      <c r="S327" s="19"/>
      <c r="T327" s="60"/>
      <c r="U327" s="59"/>
    </row>
    <row r="328" spans="1:21" ht="15" customHeight="1" x14ac:dyDescent="0.25">
      <c r="A328" s="1">
        <f t="shared" ca="1" si="22"/>
        <v>5063</v>
      </c>
      <c r="B328" s="29"/>
      <c r="C328" s="29"/>
      <c r="D328" s="29"/>
      <c r="E328" s="29"/>
      <c r="F328" s="29"/>
      <c r="G328" s="39"/>
      <c r="H328" s="40"/>
      <c r="I328" s="52"/>
      <c r="J328" s="53"/>
      <c r="K328" s="17"/>
      <c r="L328" s="39"/>
      <c r="M328" s="43"/>
      <c r="N328" s="45"/>
      <c r="O328" s="55"/>
      <c r="P328" s="56"/>
      <c r="Q328" s="74"/>
      <c r="R328" s="70"/>
      <c r="S328" s="19"/>
      <c r="T328" s="60"/>
      <c r="U328" s="59"/>
    </row>
    <row r="329" spans="1:21" ht="15" customHeight="1" x14ac:dyDescent="0.25">
      <c r="A329" s="1">
        <f t="shared" ca="1" si="22"/>
        <v>5064</v>
      </c>
      <c r="B329" s="29"/>
      <c r="C329" s="29"/>
      <c r="D329" s="29"/>
      <c r="E329" s="29"/>
      <c r="F329" s="29"/>
      <c r="G329" s="39"/>
      <c r="H329" s="40"/>
      <c r="I329" s="52"/>
      <c r="J329" s="53"/>
      <c r="K329" s="17"/>
      <c r="L329" s="39"/>
      <c r="M329" s="43"/>
      <c r="N329" s="45"/>
      <c r="O329" s="55"/>
      <c r="P329" s="56"/>
      <c r="Q329" s="74"/>
      <c r="R329" s="70"/>
      <c r="S329" s="19"/>
      <c r="T329" s="60"/>
      <c r="U329" s="59"/>
    </row>
    <row r="330" spans="1:21" ht="15" customHeight="1" x14ac:dyDescent="0.25">
      <c r="A330" s="1">
        <f t="shared" ca="1" si="22"/>
        <v>5065</v>
      </c>
      <c r="B330" s="29"/>
      <c r="C330" s="29"/>
      <c r="D330" s="29"/>
      <c r="E330" s="29"/>
      <c r="F330" s="29"/>
      <c r="G330" s="39"/>
      <c r="H330" s="40"/>
      <c r="I330" s="52"/>
      <c r="J330" s="53"/>
      <c r="K330" s="17"/>
      <c r="L330" s="39"/>
      <c r="M330" s="43"/>
      <c r="N330" s="45"/>
      <c r="O330" s="55"/>
      <c r="P330" s="56"/>
      <c r="Q330" s="74"/>
      <c r="R330" s="70"/>
      <c r="S330" s="19"/>
      <c r="T330" s="60"/>
      <c r="U330" s="59"/>
    </row>
    <row r="331" spans="1:21" ht="15" customHeight="1" x14ac:dyDescent="0.25">
      <c r="A331" s="1">
        <f t="shared" ca="1" si="22"/>
        <v>5066</v>
      </c>
      <c r="B331" s="29"/>
      <c r="C331" s="29"/>
      <c r="D331" s="29"/>
      <c r="E331" s="29"/>
      <c r="F331" s="29"/>
      <c r="G331" s="39"/>
      <c r="H331" s="40"/>
      <c r="I331" s="52"/>
      <c r="J331" s="53"/>
      <c r="K331" s="17"/>
      <c r="L331" s="39"/>
      <c r="M331" s="43"/>
      <c r="N331" s="45"/>
      <c r="O331" s="55"/>
      <c r="P331" s="56"/>
      <c r="Q331" s="74"/>
      <c r="R331" s="70"/>
      <c r="S331" s="19"/>
      <c r="T331" s="60"/>
      <c r="U331" s="59"/>
    </row>
    <row r="332" spans="1:21" ht="15" customHeight="1" x14ac:dyDescent="0.25">
      <c r="A332" s="1">
        <f t="shared" ca="1" si="22"/>
        <v>5067</v>
      </c>
      <c r="B332" s="29"/>
      <c r="C332" s="29"/>
      <c r="D332" s="29"/>
      <c r="E332" s="29"/>
      <c r="F332" s="29"/>
      <c r="G332" s="39"/>
      <c r="H332" s="40"/>
      <c r="I332" s="52"/>
      <c r="J332" s="53"/>
      <c r="K332" s="17"/>
      <c r="L332" s="39"/>
      <c r="M332" s="43"/>
      <c r="N332" s="45"/>
      <c r="O332" s="55"/>
      <c r="P332" s="56"/>
      <c r="Q332" s="74"/>
      <c r="R332" s="70"/>
      <c r="S332" s="19"/>
      <c r="T332" s="60"/>
      <c r="U332" s="59"/>
    </row>
    <row r="333" spans="1:21" ht="15" customHeight="1" x14ac:dyDescent="0.25">
      <c r="A333" s="1">
        <f t="shared" ca="1" si="22"/>
        <v>5068</v>
      </c>
      <c r="B333" s="29"/>
      <c r="C333" s="29"/>
      <c r="D333" s="29"/>
      <c r="E333" s="29"/>
      <c r="F333" s="29"/>
      <c r="G333" s="39"/>
      <c r="H333" s="40"/>
      <c r="I333" s="52"/>
      <c r="J333" s="53"/>
      <c r="K333" s="17"/>
      <c r="L333" s="39"/>
      <c r="M333" s="43"/>
      <c r="N333" s="45"/>
      <c r="O333" s="55"/>
      <c r="P333" s="56"/>
      <c r="Q333" s="74"/>
      <c r="R333" s="70"/>
      <c r="S333" s="19"/>
      <c r="T333" s="60"/>
      <c r="U333" s="59"/>
    </row>
    <row r="334" spans="1:21" ht="15" customHeight="1" x14ac:dyDescent="0.25">
      <c r="A334" s="1">
        <f t="shared" ca="1" si="22"/>
        <v>5069</v>
      </c>
      <c r="B334" s="29"/>
      <c r="C334" s="29"/>
      <c r="D334" s="29"/>
      <c r="E334" s="29"/>
      <c r="F334" s="29"/>
      <c r="G334" s="39"/>
      <c r="H334" s="40"/>
      <c r="I334" s="52"/>
      <c r="J334" s="53"/>
      <c r="K334" s="17"/>
      <c r="L334" s="39"/>
      <c r="M334" s="43"/>
      <c r="N334" s="45"/>
      <c r="O334" s="55"/>
      <c r="P334" s="56"/>
      <c r="Q334" s="74"/>
      <c r="R334" s="70"/>
      <c r="S334" s="19"/>
      <c r="T334" s="60"/>
      <c r="U334" s="59"/>
    </row>
    <row r="335" spans="1:21" ht="15" customHeight="1" x14ac:dyDescent="0.25">
      <c r="A335" s="1">
        <f t="shared" ca="1" si="22"/>
        <v>5070</v>
      </c>
      <c r="B335" s="29"/>
      <c r="C335" s="29"/>
      <c r="D335" s="29"/>
      <c r="E335" s="29"/>
      <c r="F335" s="29"/>
      <c r="G335" s="39"/>
      <c r="H335" s="40"/>
      <c r="I335" s="52"/>
      <c r="J335" s="53"/>
      <c r="K335" s="17"/>
      <c r="L335" s="39"/>
      <c r="M335" s="43"/>
      <c r="N335" s="45"/>
      <c r="O335" s="55"/>
      <c r="P335" s="56"/>
      <c r="Q335" s="74"/>
      <c r="R335" s="70"/>
      <c r="S335" s="19"/>
      <c r="T335" s="60"/>
      <c r="U335" s="59"/>
    </row>
    <row r="336" spans="1:21" ht="15" customHeight="1" x14ac:dyDescent="0.25">
      <c r="A336" s="1">
        <f t="shared" ca="1" si="22"/>
        <v>5071</v>
      </c>
      <c r="B336" s="29"/>
      <c r="C336" s="29"/>
      <c r="D336" s="29"/>
      <c r="E336" s="29"/>
      <c r="F336" s="29"/>
      <c r="G336" s="39"/>
      <c r="H336" s="40"/>
      <c r="I336" s="52"/>
      <c r="J336" s="53"/>
      <c r="K336" s="17"/>
      <c r="L336" s="39"/>
      <c r="M336" s="43"/>
      <c r="N336" s="45"/>
      <c r="O336" s="55"/>
      <c r="P336" s="56"/>
      <c r="Q336" s="74"/>
      <c r="R336" s="70"/>
      <c r="S336" s="19"/>
      <c r="T336" s="60"/>
      <c r="U336" s="59"/>
    </row>
    <row r="337" spans="1:21" ht="15" customHeight="1" x14ac:dyDescent="0.25">
      <c r="A337" s="1">
        <f t="shared" ca="1" si="22"/>
        <v>5072</v>
      </c>
      <c r="B337" s="29"/>
      <c r="C337" s="29"/>
      <c r="D337" s="29"/>
      <c r="E337" s="29"/>
      <c r="F337" s="29"/>
      <c r="G337" s="39"/>
      <c r="H337" s="40"/>
      <c r="I337" s="52"/>
      <c r="J337" s="53"/>
      <c r="K337" s="17"/>
      <c r="L337" s="39"/>
      <c r="M337" s="43"/>
      <c r="N337" s="45"/>
      <c r="O337" s="55"/>
      <c r="P337" s="56"/>
      <c r="Q337" s="74"/>
      <c r="R337" s="70"/>
      <c r="S337" s="19"/>
      <c r="T337" s="60"/>
      <c r="U337" s="59"/>
    </row>
    <row r="338" spans="1:21" ht="15" customHeight="1" x14ac:dyDescent="0.25">
      <c r="A338" s="1">
        <f t="shared" ca="1" si="22"/>
        <v>5073</v>
      </c>
      <c r="B338" s="29"/>
      <c r="C338" s="29"/>
      <c r="D338" s="29"/>
      <c r="E338" s="29"/>
      <c r="F338" s="29"/>
      <c r="G338" s="39"/>
      <c r="H338" s="40"/>
      <c r="I338" s="52"/>
      <c r="J338" s="53"/>
      <c r="K338" s="17"/>
      <c r="L338" s="39"/>
      <c r="M338" s="43"/>
      <c r="N338" s="45"/>
      <c r="O338" s="55"/>
      <c r="P338" s="56"/>
      <c r="Q338" s="74"/>
      <c r="R338" s="70"/>
      <c r="S338" s="19"/>
      <c r="T338" s="60"/>
      <c r="U338" s="59"/>
    </row>
    <row r="339" spans="1:21" ht="15" customHeight="1" x14ac:dyDescent="0.25">
      <c r="A339" s="1">
        <f t="shared" ca="1" si="22"/>
        <v>5074</v>
      </c>
      <c r="B339" s="29"/>
      <c r="C339" s="29"/>
      <c r="D339" s="29"/>
      <c r="E339" s="29"/>
      <c r="F339" s="29"/>
      <c r="G339" s="39"/>
      <c r="H339" s="40"/>
      <c r="I339" s="52"/>
      <c r="J339" s="53"/>
      <c r="K339" s="17"/>
      <c r="L339" s="39"/>
      <c r="M339" s="43"/>
      <c r="N339" s="45"/>
      <c r="O339" s="55"/>
      <c r="P339" s="56"/>
      <c r="Q339" s="74"/>
      <c r="R339" s="70"/>
      <c r="S339" s="19"/>
      <c r="T339" s="60"/>
      <c r="U339" s="59"/>
    </row>
    <row r="340" spans="1:21" ht="15" customHeight="1" x14ac:dyDescent="0.25">
      <c r="A340" s="1">
        <f t="shared" ca="1" si="22"/>
        <v>5075</v>
      </c>
      <c r="B340" s="29"/>
      <c r="C340" s="29"/>
      <c r="D340" s="29"/>
      <c r="E340" s="29"/>
      <c r="F340" s="29"/>
      <c r="G340" s="39"/>
      <c r="H340" s="40"/>
      <c r="I340" s="52"/>
      <c r="J340" s="53"/>
      <c r="K340" s="17"/>
      <c r="L340" s="39"/>
      <c r="M340" s="43"/>
      <c r="N340" s="45"/>
      <c r="O340" s="55"/>
      <c r="P340" s="56"/>
      <c r="Q340" s="74"/>
      <c r="R340" s="70"/>
      <c r="S340" s="19"/>
      <c r="T340" s="60"/>
      <c r="U340" s="59"/>
    </row>
    <row r="341" spans="1:21" ht="15" customHeight="1" x14ac:dyDescent="0.25">
      <c r="A341" s="1">
        <f t="shared" ca="1" si="22"/>
        <v>5076</v>
      </c>
      <c r="B341" s="29"/>
      <c r="C341" s="29"/>
      <c r="D341" s="29"/>
      <c r="E341" s="29"/>
      <c r="F341" s="29"/>
      <c r="G341" s="39"/>
      <c r="H341" s="40"/>
      <c r="I341" s="52"/>
      <c r="J341" s="53"/>
      <c r="K341" s="17"/>
      <c r="L341" s="39"/>
      <c r="M341" s="43"/>
      <c r="N341" s="45"/>
      <c r="O341" s="55"/>
      <c r="P341" s="56"/>
      <c r="Q341" s="74"/>
      <c r="R341" s="70"/>
      <c r="S341" s="19"/>
      <c r="T341" s="60"/>
      <c r="U341" s="59"/>
    </row>
    <row r="342" spans="1:21" ht="15" customHeight="1" x14ac:dyDescent="0.25">
      <c r="A342" s="1">
        <f t="shared" ca="1" si="22"/>
        <v>5077</v>
      </c>
      <c r="B342" s="29"/>
      <c r="C342" s="29"/>
      <c r="D342" s="29"/>
      <c r="E342" s="29"/>
      <c r="F342" s="29"/>
      <c r="G342" s="39"/>
      <c r="H342" s="40"/>
      <c r="I342" s="52"/>
      <c r="J342" s="53"/>
      <c r="K342" s="17"/>
      <c r="L342" s="39"/>
      <c r="M342" s="43"/>
      <c r="N342" s="45"/>
      <c r="O342" s="55"/>
      <c r="P342" s="56"/>
      <c r="Q342" s="74"/>
      <c r="R342" s="70"/>
      <c r="S342" s="19"/>
      <c r="T342" s="60"/>
      <c r="U342" s="59"/>
    </row>
    <row r="343" spans="1:21" ht="15" customHeight="1" x14ac:dyDescent="0.25">
      <c r="A343" s="1">
        <f t="shared" ca="1" si="22"/>
        <v>5078</v>
      </c>
      <c r="B343" s="29"/>
      <c r="C343" s="29"/>
      <c r="D343" s="29"/>
      <c r="E343" s="29"/>
      <c r="F343" s="29"/>
      <c r="G343" s="39"/>
      <c r="H343" s="40"/>
      <c r="I343" s="52"/>
      <c r="J343" s="53"/>
      <c r="K343" s="17"/>
      <c r="L343" s="39"/>
      <c r="M343" s="43"/>
      <c r="N343" s="45"/>
      <c r="O343" s="55"/>
      <c r="P343" s="56"/>
      <c r="Q343" s="74"/>
      <c r="R343" s="70"/>
      <c r="S343" s="19"/>
      <c r="T343" s="60"/>
      <c r="U343" s="59"/>
    </row>
    <row r="344" spans="1:21" ht="15" customHeight="1" x14ac:dyDescent="0.25">
      <c r="A344" s="1">
        <f t="shared" ca="1" si="22"/>
        <v>5079</v>
      </c>
      <c r="B344" s="29"/>
      <c r="C344" s="29"/>
      <c r="D344" s="29"/>
      <c r="E344" s="29"/>
      <c r="F344" s="29"/>
      <c r="G344" s="39"/>
      <c r="H344" s="40"/>
      <c r="I344" s="52"/>
      <c r="J344" s="53"/>
      <c r="K344" s="17"/>
      <c r="L344" s="39"/>
      <c r="M344" s="43"/>
      <c r="N344" s="45"/>
      <c r="O344" s="55"/>
      <c r="P344" s="56"/>
      <c r="Q344" s="74"/>
      <c r="R344" s="70"/>
      <c r="S344" s="19"/>
      <c r="T344" s="60"/>
      <c r="U344" s="59"/>
    </row>
    <row r="345" spans="1:21" ht="15" customHeight="1" x14ac:dyDescent="0.25">
      <c r="A345" s="1">
        <f t="shared" ca="1" si="22"/>
        <v>5080</v>
      </c>
      <c r="B345" s="29"/>
      <c r="C345" s="29"/>
      <c r="D345" s="29"/>
      <c r="E345" s="29"/>
      <c r="F345" s="29"/>
      <c r="G345" s="39"/>
      <c r="H345" s="40"/>
      <c r="I345" s="52"/>
      <c r="J345" s="53"/>
      <c r="K345" s="17"/>
      <c r="L345" s="39"/>
      <c r="M345" s="43"/>
      <c r="N345" s="45"/>
      <c r="O345" s="55"/>
      <c r="P345" s="56"/>
      <c r="Q345" s="74"/>
      <c r="R345" s="70"/>
      <c r="S345" s="19"/>
      <c r="T345" s="60"/>
      <c r="U345" s="59"/>
    </row>
    <row r="346" spans="1:21" ht="15" customHeight="1" x14ac:dyDescent="0.25">
      <c r="A346" s="1">
        <f t="shared" ca="1" si="22"/>
        <v>5081</v>
      </c>
      <c r="B346" s="29"/>
      <c r="C346" s="29"/>
      <c r="D346" s="29"/>
      <c r="E346" s="29"/>
      <c r="F346" s="29"/>
      <c r="G346" s="39"/>
      <c r="H346" s="40"/>
      <c r="I346" s="52"/>
      <c r="J346" s="53"/>
      <c r="K346" s="17"/>
      <c r="L346" s="39"/>
      <c r="M346" s="43"/>
      <c r="N346" s="45"/>
      <c r="O346" s="55"/>
      <c r="P346" s="56"/>
      <c r="Q346" s="74"/>
      <c r="R346" s="70"/>
      <c r="S346" s="19"/>
      <c r="T346" s="60"/>
      <c r="U346" s="59"/>
    </row>
    <row r="347" spans="1:21" ht="15" customHeight="1" x14ac:dyDescent="0.25">
      <c r="A347" s="1">
        <f t="shared" ca="1" si="22"/>
        <v>5082</v>
      </c>
      <c r="B347" s="29"/>
      <c r="C347" s="29"/>
      <c r="D347" s="29"/>
      <c r="E347" s="29"/>
      <c r="F347" s="29"/>
      <c r="G347" s="39"/>
      <c r="H347" s="40"/>
      <c r="I347" s="52"/>
      <c r="J347" s="53"/>
      <c r="K347" s="17"/>
      <c r="L347" s="39"/>
      <c r="M347" s="43"/>
      <c r="N347" s="45"/>
      <c r="O347" s="55"/>
      <c r="P347" s="56"/>
      <c r="Q347" s="74"/>
      <c r="R347" s="70"/>
      <c r="S347" s="19"/>
      <c r="T347" s="60"/>
      <c r="U347" s="59"/>
    </row>
    <row r="348" spans="1:21" ht="15" customHeight="1" x14ac:dyDescent="0.25">
      <c r="A348" s="1">
        <f t="shared" ca="1" si="22"/>
        <v>5083</v>
      </c>
      <c r="B348" s="29"/>
      <c r="C348" s="29"/>
      <c r="D348" s="29"/>
      <c r="E348" s="29"/>
      <c r="F348" s="29"/>
      <c r="G348" s="39"/>
      <c r="H348" s="40"/>
      <c r="I348" s="52"/>
      <c r="J348" s="53"/>
      <c r="K348" s="17"/>
      <c r="L348" s="39"/>
      <c r="M348" s="43"/>
      <c r="N348" s="45"/>
      <c r="O348" s="55"/>
      <c r="P348" s="56"/>
      <c r="Q348" s="74"/>
      <c r="R348" s="70"/>
      <c r="S348" s="19"/>
      <c r="T348" s="60"/>
      <c r="U348" s="59"/>
    </row>
    <row r="349" spans="1:21" x14ac:dyDescent="0.25">
      <c r="A349" s="1" t="str">
        <f t="shared" ca="1" si="22"/>
        <v>Totaal</v>
      </c>
      <c r="B349" s="61" t="str">
        <f>IF(COUNT(B319:B348)&gt;0,AVERAGE(B319:B348)/10,"")</f>
        <v/>
      </c>
      <c r="C349" s="62" t="str">
        <f>IF(COUNT(C319:C348)&gt;0,AVERAGE(C319:C348)/1000,"")</f>
        <v/>
      </c>
      <c r="D349" s="62" t="str">
        <f>IF(COUNT(D319:D348)&gt;0,AVERAGE(D319:D348)/1000,"")</f>
        <v/>
      </c>
      <c r="E349" s="62" t="str">
        <f>IF(COUNT(E319:E348)&gt;0,AVERAGE(E319:E348)/1000,"")</f>
        <v/>
      </c>
      <c r="F349" s="62" t="str">
        <f>IF(COUNT(F319:F348)&gt;0,AVERAGE(F319:F348)/100,"")</f>
        <v/>
      </c>
      <c r="G349" s="41" t="str">
        <f>IF(COUNT(G319:G348)&gt;0,AVERAGE(G319:G348)/10,"")</f>
        <v/>
      </c>
      <c r="H349" s="42" t="str">
        <f>IF(COUNT(H319:H348)&gt;0,AVERAGE(H319:H348)/10,"")</f>
        <v/>
      </c>
      <c r="I349" s="18" t="str">
        <f>IF(COUNT(I319:I348)&gt;0,AVERAGE(I319:I348)/10,"")</f>
        <v/>
      </c>
      <c r="J349" s="54" t="str">
        <f>IF(COUNT(J319:J348)&gt;0,AVERAGE(J319:J348),"")</f>
        <v/>
      </c>
      <c r="K349" s="51" t="str">
        <f>IF(COUNT(K319:K348)&gt;0,AVERAGE(K319:K348)/1000,"")</f>
        <v/>
      </c>
      <c r="L349" s="41" t="str">
        <f>IF(COUNT(L319:L348)&gt;0,AVERAGE(L319:L348)/10,"")</f>
        <v/>
      </c>
      <c r="M349" s="44" t="str">
        <f>IF(COUNT(M319:M348)&gt;0,AVERAGE(M319:M348)/10,"")</f>
        <v/>
      </c>
      <c r="N349" s="46"/>
      <c r="O349" s="57" t="str">
        <f>IF(COUNT(O319:O348)&gt;0,AVERAGE(O319:O348),"")</f>
        <v/>
      </c>
      <c r="P349" s="58" t="str">
        <f>IF(COUNT(P319:P348)&gt;0,AVERAGE(P319:P348),"")</f>
        <v/>
      </c>
      <c r="Q349" s="47"/>
      <c r="R349" s="68" t="str">
        <f>IF(COUNT(R319:R348)&gt;0,SUM(R319:R348)/100,"")</f>
        <v/>
      </c>
      <c r="S349" s="64" t="str">
        <f>IF(COUNT(S319:S348)&gt;0,AVERAGE(S319:S348),"")</f>
        <v/>
      </c>
      <c r="T349" s="65" t="str">
        <f>IF(COUNT(T319:T348)&gt;0,AVERAGE(T319:T348),"")</f>
        <v/>
      </c>
      <c r="U349" s="66" t="str">
        <f>IF(COUNT(U319:U348)&gt;0,AVERAGE(U319:U348),"")</f>
        <v/>
      </c>
    </row>
    <row r="350" spans="1:21" ht="15" customHeight="1" x14ac:dyDescent="0.25">
      <c r="A350" s="1">
        <f t="shared" ca="1" si="22"/>
        <v>5084</v>
      </c>
      <c r="B350" s="29"/>
      <c r="C350" s="29"/>
      <c r="D350" s="29"/>
      <c r="E350" s="29"/>
      <c r="F350" s="29"/>
      <c r="G350" s="39"/>
      <c r="H350" s="40"/>
      <c r="I350" s="52"/>
      <c r="J350" s="53"/>
      <c r="K350" s="17"/>
      <c r="L350" s="39"/>
      <c r="M350" s="43"/>
      <c r="N350" s="45"/>
      <c r="O350" s="55"/>
      <c r="P350" s="56"/>
      <c r="Q350" s="74"/>
      <c r="R350" s="70"/>
      <c r="S350" s="19"/>
      <c r="T350" s="60"/>
      <c r="U350" s="59"/>
    </row>
    <row r="351" spans="1:21" ht="15" customHeight="1" x14ac:dyDescent="0.25">
      <c r="A351" s="1">
        <f t="shared" ca="1" si="22"/>
        <v>5085</v>
      </c>
      <c r="B351" s="29"/>
      <c r="C351" s="29"/>
      <c r="D351" s="29"/>
      <c r="E351" s="29"/>
      <c r="F351" s="29"/>
      <c r="G351" s="39"/>
      <c r="H351" s="40"/>
      <c r="I351" s="52"/>
      <c r="J351" s="53"/>
      <c r="K351" s="17"/>
      <c r="L351" s="39"/>
      <c r="M351" s="43"/>
      <c r="N351" s="45"/>
      <c r="O351" s="55"/>
      <c r="P351" s="56"/>
      <c r="Q351" s="74"/>
      <c r="R351" s="70"/>
      <c r="S351" s="19"/>
      <c r="T351" s="60"/>
      <c r="U351" s="59"/>
    </row>
    <row r="352" spans="1:21" ht="15" customHeight="1" x14ac:dyDescent="0.25">
      <c r="A352" s="1">
        <f t="shared" ca="1" si="22"/>
        <v>5086</v>
      </c>
      <c r="B352" s="29"/>
      <c r="C352" s="29"/>
      <c r="D352" s="29"/>
      <c r="E352" s="29"/>
      <c r="F352" s="29"/>
      <c r="G352" s="39"/>
      <c r="H352" s="40"/>
      <c r="I352" s="52"/>
      <c r="J352" s="53"/>
      <c r="K352" s="17"/>
      <c r="L352" s="39"/>
      <c r="M352" s="43"/>
      <c r="N352" s="45"/>
      <c r="O352" s="55"/>
      <c r="P352" s="56"/>
      <c r="Q352" s="74"/>
      <c r="R352" s="70"/>
      <c r="S352" s="19"/>
      <c r="T352" s="60"/>
      <c r="U352" s="59"/>
    </row>
    <row r="353" spans="1:21" ht="15" customHeight="1" x14ac:dyDescent="0.25">
      <c r="A353" s="1">
        <f t="shared" ca="1" si="22"/>
        <v>5087</v>
      </c>
      <c r="B353" s="29"/>
      <c r="C353" s="29"/>
      <c r="D353" s="29"/>
      <c r="E353" s="29"/>
      <c r="F353" s="29"/>
      <c r="G353" s="39"/>
      <c r="H353" s="40"/>
      <c r="I353" s="52"/>
      <c r="J353" s="53"/>
      <c r="K353" s="17"/>
      <c r="L353" s="39"/>
      <c r="M353" s="43"/>
      <c r="N353" s="45"/>
      <c r="O353" s="55"/>
      <c r="P353" s="56"/>
      <c r="Q353" s="74"/>
      <c r="R353" s="70"/>
      <c r="S353" s="19"/>
      <c r="T353" s="60"/>
      <c r="U353" s="59"/>
    </row>
    <row r="354" spans="1:21" ht="15" customHeight="1" x14ac:dyDescent="0.25">
      <c r="A354" s="1">
        <f t="shared" ca="1" si="22"/>
        <v>5088</v>
      </c>
      <c r="B354" s="29"/>
      <c r="C354" s="29"/>
      <c r="D354" s="29"/>
      <c r="E354" s="29"/>
      <c r="F354" s="29"/>
      <c r="G354" s="39"/>
      <c r="H354" s="40"/>
      <c r="I354" s="52"/>
      <c r="J354" s="53"/>
      <c r="K354" s="17"/>
      <c r="L354" s="39"/>
      <c r="M354" s="43"/>
      <c r="N354" s="45"/>
      <c r="O354" s="55"/>
      <c r="P354" s="56"/>
      <c r="Q354" s="74"/>
      <c r="R354" s="70"/>
      <c r="S354" s="19"/>
      <c r="T354" s="60"/>
      <c r="U354" s="59"/>
    </row>
    <row r="355" spans="1:21" ht="15" customHeight="1" x14ac:dyDescent="0.25">
      <c r="A355" s="1">
        <f t="shared" ca="1" si="22"/>
        <v>5089</v>
      </c>
      <c r="B355" s="29"/>
      <c r="C355" s="29"/>
      <c r="D355" s="29"/>
      <c r="E355" s="29"/>
      <c r="F355" s="29"/>
      <c r="G355" s="39"/>
      <c r="H355" s="40"/>
      <c r="I355" s="52"/>
      <c r="J355" s="53"/>
      <c r="K355" s="17"/>
      <c r="L355" s="39"/>
      <c r="M355" s="43"/>
      <c r="N355" s="45"/>
      <c r="O355" s="55"/>
      <c r="P355" s="56"/>
      <c r="Q355" s="74"/>
      <c r="R355" s="70"/>
      <c r="S355" s="19"/>
      <c r="T355" s="60"/>
      <c r="U355" s="59"/>
    </row>
    <row r="356" spans="1:21" ht="15" customHeight="1" x14ac:dyDescent="0.25">
      <c r="A356" s="1">
        <f t="shared" ca="1" si="22"/>
        <v>5090</v>
      </c>
      <c r="B356" s="29"/>
      <c r="C356" s="29"/>
      <c r="D356" s="29"/>
      <c r="E356" s="29"/>
      <c r="F356" s="29"/>
      <c r="G356" s="39"/>
      <c r="H356" s="40"/>
      <c r="I356" s="52"/>
      <c r="J356" s="53"/>
      <c r="K356" s="17"/>
      <c r="L356" s="39"/>
      <c r="M356" s="43"/>
      <c r="N356" s="45"/>
      <c r="O356" s="55"/>
      <c r="P356" s="56"/>
      <c r="Q356" s="74"/>
      <c r="R356" s="70"/>
      <c r="S356" s="19"/>
      <c r="T356" s="60"/>
      <c r="U356" s="59"/>
    </row>
    <row r="357" spans="1:21" ht="15" customHeight="1" x14ac:dyDescent="0.25">
      <c r="A357" s="1">
        <f t="shared" ca="1" si="22"/>
        <v>5091</v>
      </c>
      <c r="B357" s="29"/>
      <c r="C357" s="29"/>
      <c r="D357" s="29"/>
      <c r="E357" s="29"/>
      <c r="F357" s="29"/>
      <c r="G357" s="39"/>
      <c r="H357" s="40"/>
      <c r="I357" s="52"/>
      <c r="J357" s="53"/>
      <c r="K357" s="17"/>
      <c r="L357" s="39"/>
      <c r="M357" s="43"/>
      <c r="N357" s="45"/>
      <c r="O357" s="55"/>
      <c r="P357" s="56"/>
      <c r="Q357" s="74"/>
      <c r="R357" s="70"/>
      <c r="S357" s="19"/>
      <c r="T357" s="60"/>
      <c r="U357" s="59"/>
    </row>
    <row r="358" spans="1:21" ht="15" customHeight="1" x14ac:dyDescent="0.25">
      <c r="A358" s="1">
        <f t="shared" ca="1" si="22"/>
        <v>5092</v>
      </c>
      <c r="B358" s="29"/>
      <c r="C358" s="29"/>
      <c r="D358" s="29"/>
      <c r="E358" s="29"/>
      <c r="F358" s="29"/>
      <c r="G358" s="39"/>
      <c r="H358" s="40"/>
      <c r="I358" s="52"/>
      <c r="J358" s="53"/>
      <c r="K358" s="17"/>
      <c r="L358" s="39"/>
      <c r="M358" s="43"/>
      <c r="N358" s="45"/>
      <c r="O358" s="55"/>
      <c r="P358" s="56"/>
      <c r="Q358" s="74"/>
      <c r="R358" s="70"/>
      <c r="S358" s="19"/>
      <c r="T358" s="60"/>
      <c r="U358" s="59"/>
    </row>
    <row r="359" spans="1:21" ht="15" customHeight="1" x14ac:dyDescent="0.25">
      <c r="A359" s="1">
        <f t="shared" ca="1" si="22"/>
        <v>5093</v>
      </c>
      <c r="B359" s="29"/>
      <c r="C359" s="29"/>
      <c r="D359" s="29"/>
      <c r="E359" s="29"/>
      <c r="F359" s="29"/>
      <c r="G359" s="39"/>
      <c r="H359" s="40"/>
      <c r="I359" s="52"/>
      <c r="J359" s="53"/>
      <c r="K359" s="17"/>
      <c r="L359" s="39"/>
      <c r="M359" s="43"/>
      <c r="N359" s="45"/>
      <c r="O359" s="55"/>
      <c r="P359" s="56"/>
      <c r="Q359" s="74"/>
      <c r="R359" s="70"/>
      <c r="S359" s="19"/>
      <c r="T359" s="60"/>
      <c r="U359" s="59"/>
    </row>
    <row r="360" spans="1:21" ht="15" customHeight="1" x14ac:dyDescent="0.25">
      <c r="A360" s="1">
        <f t="shared" ca="1" si="22"/>
        <v>5094</v>
      </c>
      <c r="B360" s="29"/>
      <c r="C360" s="29"/>
      <c r="D360" s="29"/>
      <c r="E360" s="29"/>
      <c r="F360" s="29"/>
      <c r="G360" s="39"/>
      <c r="H360" s="40"/>
      <c r="I360" s="52"/>
      <c r="J360" s="53"/>
      <c r="K360" s="17"/>
      <c r="L360" s="39"/>
      <c r="M360" s="43"/>
      <c r="N360" s="45"/>
      <c r="O360" s="55"/>
      <c r="P360" s="56"/>
      <c r="Q360" s="74"/>
      <c r="R360" s="70"/>
      <c r="S360" s="19"/>
      <c r="T360" s="60"/>
      <c r="U360" s="59"/>
    </row>
    <row r="361" spans="1:21" ht="15" customHeight="1" x14ac:dyDescent="0.25">
      <c r="A361" s="1">
        <f t="shared" ca="1" si="22"/>
        <v>5095</v>
      </c>
      <c r="B361" s="29"/>
      <c r="C361" s="29"/>
      <c r="D361" s="29"/>
      <c r="E361" s="29"/>
      <c r="F361" s="29"/>
      <c r="G361" s="39"/>
      <c r="H361" s="40"/>
      <c r="I361" s="52"/>
      <c r="J361" s="53"/>
      <c r="K361" s="17"/>
      <c r="L361" s="39"/>
      <c r="M361" s="43"/>
      <c r="N361" s="45"/>
      <c r="O361" s="55"/>
      <c r="P361" s="56"/>
      <c r="Q361" s="74"/>
      <c r="R361" s="70"/>
      <c r="S361" s="19"/>
      <c r="T361" s="60"/>
      <c r="U361" s="59"/>
    </row>
    <row r="362" spans="1:21" ht="15" customHeight="1" x14ac:dyDescent="0.25">
      <c r="A362" s="1">
        <f t="shared" ca="1" si="22"/>
        <v>5096</v>
      </c>
      <c r="B362" s="29"/>
      <c r="C362" s="29"/>
      <c r="D362" s="29"/>
      <c r="E362" s="29"/>
      <c r="F362" s="29"/>
      <c r="G362" s="39"/>
      <c r="H362" s="40"/>
      <c r="I362" s="52"/>
      <c r="J362" s="53"/>
      <c r="K362" s="17"/>
      <c r="L362" s="39"/>
      <c r="M362" s="43"/>
      <c r="N362" s="45"/>
      <c r="O362" s="55"/>
      <c r="P362" s="56"/>
      <c r="Q362" s="74"/>
      <c r="R362" s="70"/>
      <c r="S362" s="19"/>
      <c r="T362" s="60"/>
      <c r="U362" s="59"/>
    </row>
    <row r="363" spans="1:21" ht="15" customHeight="1" x14ac:dyDescent="0.25">
      <c r="A363" s="1">
        <f t="shared" ca="1" si="22"/>
        <v>5097</v>
      </c>
      <c r="B363" s="29"/>
      <c r="C363" s="29"/>
      <c r="D363" s="29"/>
      <c r="E363" s="29"/>
      <c r="F363" s="29"/>
      <c r="G363" s="39"/>
      <c r="H363" s="40"/>
      <c r="I363" s="52"/>
      <c r="J363" s="53"/>
      <c r="K363" s="17"/>
      <c r="L363" s="39"/>
      <c r="M363" s="43"/>
      <c r="N363" s="45"/>
      <c r="O363" s="55"/>
      <c r="P363" s="56"/>
      <c r="Q363" s="74"/>
      <c r="R363" s="70"/>
      <c r="S363" s="19"/>
      <c r="T363" s="60"/>
      <c r="U363" s="59"/>
    </row>
    <row r="364" spans="1:21" ht="15" customHeight="1" x14ac:dyDescent="0.25">
      <c r="A364" s="1">
        <f t="shared" ca="1" si="22"/>
        <v>5098</v>
      </c>
      <c r="B364" s="29"/>
      <c r="C364" s="29"/>
      <c r="D364" s="29"/>
      <c r="E364" s="29"/>
      <c r="F364" s="29"/>
      <c r="G364" s="39"/>
      <c r="H364" s="40"/>
      <c r="I364" s="52"/>
      <c r="J364" s="53"/>
      <c r="K364" s="17"/>
      <c r="L364" s="39"/>
      <c r="M364" s="43"/>
      <c r="N364" s="45"/>
      <c r="O364" s="55"/>
      <c r="P364" s="56"/>
      <c r="Q364" s="74"/>
      <c r="R364" s="70"/>
      <c r="S364" s="19"/>
      <c r="T364" s="60"/>
      <c r="U364" s="59"/>
    </row>
    <row r="365" spans="1:21" ht="15" customHeight="1" x14ac:dyDescent="0.25">
      <c r="A365" s="1">
        <f t="shared" ca="1" si="22"/>
        <v>5099</v>
      </c>
      <c r="B365" s="29"/>
      <c r="C365" s="29"/>
      <c r="D365" s="29"/>
      <c r="E365" s="29"/>
      <c r="F365" s="29"/>
      <c r="G365" s="39"/>
      <c r="H365" s="40"/>
      <c r="I365" s="52"/>
      <c r="J365" s="53"/>
      <c r="K365" s="17"/>
      <c r="L365" s="39"/>
      <c r="M365" s="43"/>
      <c r="N365" s="45"/>
      <c r="O365" s="55"/>
      <c r="P365" s="56"/>
      <c r="Q365" s="74"/>
      <c r="R365" s="70"/>
      <c r="S365" s="19"/>
      <c r="T365" s="60"/>
      <c r="U365" s="59"/>
    </row>
    <row r="366" spans="1:21" ht="15" customHeight="1" x14ac:dyDescent="0.25">
      <c r="A366" s="1">
        <f t="shared" ca="1" si="22"/>
        <v>5100</v>
      </c>
      <c r="B366" s="29"/>
      <c r="C366" s="29"/>
      <c r="D366" s="29"/>
      <c r="E366" s="29"/>
      <c r="F366" s="29"/>
      <c r="G366" s="39"/>
      <c r="H366" s="40"/>
      <c r="I366" s="52"/>
      <c r="J366" s="53"/>
      <c r="K366" s="17"/>
      <c r="L366" s="39"/>
      <c r="M366" s="43"/>
      <c r="N366" s="45"/>
      <c r="O366" s="55"/>
      <c r="P366" s="56"/>
      <c r="Q366" s="74"/>
      <c r="R366" s="70"/>
      <c r="S366" s="19"/>
      <c r="T366" s="60"/>
      <c r="U366" s="59"/>
    </row>
    <row r="367" spans="1:21" ht="15" customHeight="1" x14ac:dyDescent="0.25">
      <c r="A367" s="1">
        <f t="shared" ca="1" si="22"/>
        <v>5101</v>
      </c>
      <c r="B367" s="29"/>
      <c r="C367" s="29"/>
      <c r="D367" s="29"/>
      <c r="E367" s="29"/>
      <c r="F367" s="29"/>
      <c r="G367" s="39"/>
      <c r="H367" s="40"/>
      <c r="I367" s="52"/>
      <c r="J367" s="53"/>
      <c r="K367" s="17"/>
      <c r="L367" s="39"/>
      <c r="M367" s="43"/>
      <c r="N367" s="45"/>
      <c r="O367" s="55"/>
      <c r="P367" s="56"/>
      <c r="Q367" s="74"/>
      <c r="R367" s="70"/>
      <c r="S367" s="19"/>
      <c r="T367" s="60"/>
      <c r="U367" s="59"/>
    </row>
    <row r="368" spans="1:21" ht="15" customHeight="1" x14ac:dyDescent="0.25">
      <c r="A368" s="1">
        <f t="shared" ca="1" si="22"/>
        <v>5102</v>
      </c>
      <c r="B368" s="29"/>
      <c r="C368" s="29"/>
      <c r="D368" s="29"/>
      <c r="E368" s="29"/>
      <c r="F368" s="29"/>
      <c r="G368" s="39"/>
      <c r="H368" s="40"/>
      <c r="I368" s="52"/>
      <c r="J368" s="53"/>
      <c r="K368" s="17"/>
      <c r="L368" s="39"/>
      <c r="M368" s="43"/>
      <c r="N368" s="45"/>
      <c r="O368" s="55"/>
      <c r="P368" s="56"/>
      <c r="Q368" s="74"/>
      <c r="R368" s="70"/>
      <c r="S368" s="19"/>
      <c r="T368" s="60"/>
      <c r="U368" s="59"/>
    </row>
    <row r="369" spans="1:21" ht="15" customHeight="1" x14ac:dyDescent="0.25">
      <c r="A369" s="1">
        <f t="shared" ca="1" si="22"/>
        <v>5103</v>
      </c>
      <c r="B369" s="29"/>
      <c r="C369" s="29"/>
      <c r="D369" s="29"/>
      <c r="E369" s="29"/>
      <c r="F369" s="29"/>
      <c r="G369" s="39"/>
      <c r="H369" s="40"/>
      <c r="I369" s="52"/>
      <c r="J369" s="53"/>
      <c r="K369" s="17"/>
      <c r="L369" s="39"/>
      <c r="M369" s="43"/>
      <c r="N369" s="45"/>
      <c r="O369" s="55"/>
      <c r="P369" s="56"/>
      <c r="Q369" s="74"/>
      <c r="R369" s="70"/>
      <c r="S369" s="19"/>
      <c r="T369" s="60"/>
      <c r="U369" s="59"/>
    </row>
    <row r="370" spans="1:21" ht="15" customHeight="1" x14ac:dyDescent="0.25">
      <c r="A370" s="1">
        <f t="shared" ca="1" si="22"/>
        <v>5104</v>
      </c>
      <c r="B370" s="29"/>
      <c r="C370" s="29"/>
      <c r="D370" s="29"/>
      <c r="E370" s="29"/>
      <c r="F370" s="29"/>
      <c r="G370" s="39"/>
      <c r="H370" s="40"/>
      <c r="I370" s="52"/>
      <c r="J370" s="53"/>
      <c r="K370" s="17"/>
      <c r="L370" s="39"/>
      <c r="M370" s="43"/>
      <c r="N370" s="45"/>
      <c r="O370" s="55"/>
      <c r="P370" s="56"/>
      <c r="Q370" s="74"/>
      <c r="R370" s="70"/>
      <c r="S370" s="19"/>
      <c r="T370" s="60"/>
      <c r="U370" s="59"/>
    </row>
    <row r="371" spans="1:21" ht="15" customHeight="1" x14ac:dyDescent="0.25">
      <c r="A371" s="1">
        <f t="shared" ca="1" si="22"/>
        <v>5105</v>
      </c>
      <c r="B371" s="29"/>
      <c r="C371" s="29"/>
      <c r="D371" s="29"/>
      <c r="E371" s="29"/>
      <c r="F371" s="29"/>
      <c r="G371" s="39"/>
      <c r="H371" s="40"/>
      <c r="I371" s="52"/>
      <c r="J371" s="53"/>
      <c r="K371" s="17"/>
      <c r="L371" s="39"/>
      <c r="M371" s="43"/>
      <c r="N371" s="45"/>
      <c r="O371" s="55"/>
      <c r="P371" s="56"/>
      <c r="Q371" s="74"/>
      <c r="R371" s="70"/>
      <c r="S371" s="19"/>
      <c r="T371" s="60"/>
      <c r="U371" s="59"/>
    </row>
    <row r="372" spans="1:21" ht="15" customHeight="1" x14ac:dyDescent="0.25">
      <c r="A372" s="1">
        <f t="shared" ca="1" si="22"/>
        <v>5106</v>
      </c>
      <c r="B372" s="29"/>
      <c r="C372" s="29"/>
      <c r="D372" s="29"/>
      <c r="E372" s="29"/>
      <c r="F372" s="29"/>
      <c r="G372" s="39"/>
      <c r="H372" s="40"/>
      <c r="I372" s="52"/>
      <c r="J372" s="53"/>
      <c r="K372" s="17"/>
      <c r="L372" s="39"/>
      <c r="M372" s="43"/>
      <c r="N372" s="45"/>
      <c r="O372" s="55"/>
      <c r="P372" s="56"/>
      <c r="Q372" s="74"/>
      <c r="R372" s="70"/>
      <c r="S372" s="19"/>
      <c r="T372" s="60"/>
      <c r="U372" s="59"/>
    </row>
    <row r="373" spans="1:21" ht="15" customHeight="1" x14ac:dyDescent="0.25">
      <c r="A373" s="1">
        <f t="shared" ca="1" si="22"/>
        <v>5107</v>
      </c>
      <c r="B373" s="29"/>
      <c r="C373" s="29"/>
      <c r="D373" s="29"/>
      <c r="E373" s="29"/>
      <c r="F373" s="29"/>
      <c r="G373" s="39"/>
      <c r="H373" s="40"/>
      <c r="I373" s="52"/>
      <c r="J373" s="53"/>
      <c r="K373" s="17"/>
      <c r="L373" s="39"/>
      <c r="M373" s="43"/>
      <c r="N373" s="45"/>
      <c r="O373" s="55"/>
      <c r="P373" s="56"/>
      <c r="Q373" s="74"/>
      <c r="R373" s="70"/>
      <c r="S373" s="19"/>
      <c r="T373" s="60"/>
      <c r="U373" s="59"/>
    </row>
    <row r="374" spans="1:21" ht="15" customHeight="1" x14ac:dyDescent="0.25">
      <c r="A374" s="1">
        <f t="shared" ca="1" si="22"/>
        <v>5108</v>
      </c>
      <c r="B374" s="29"/>
      <c r="C374" s="29"/>
      <c r="D374" s="29"/>
      <c r="E374" s="29"/>
      <c r="F374" s="29"/>
      <c r="G374" s="39"/>
      <c r="H374" s="40"/>
      <c r="I374" s="52"/>
      <c r="J374" s="53"/>
      <c r="K374" s="17"/>
      <c r="L374" s="39"/>
      <c r="M374" s="43"/>
      <c r="N374" s="45"/>
      <c r="O374" s="55"/>
      <c r="P374" s="56"/>
      <c r="Q374" s="74"/>
      <c r="R374" s="70"/>
      <c r="S374" s="19"/>
      <c r="T374" s="60"/>
      <c r="U374" s="59"/>
    </row>
    <row r="375" spans="1:21" ht="15" customHeight="1" x14ac:dyDescent="0.25">
      <c r="A375" s="1">
        <f t="shared" ca="1" si="22"/>
        <v>5109</v>
      </c>
      <c r="B375" s="29"/>
      <c r="C375" s="29"/>
      <c r="D375" s="29"/>
      <c r="E375" s="29"/>
      <c r="F375" s="29"/>
      <c r="G375" s="39"/>
      <c r="H375" s="40"/>
      <c r="I375" s="52"/>
      <c r="J375" s="53"/>
      <c r="K375" s="17"/>
      <c r="L375" s="39"/>
      <c r="M375" s="43"/>
      <c r="N375" s="45"/>
      <c r="O375" s="55"/>
      <c r="P375" s="56"/>
      <c r="Q375" s="74"/>
      <c r="R375" s="70"/>
      <c r="S375" s="19"/>
      <c r="T375" s="60"/>
      <c r="U375" s="59"/>
    </row>
    <row r="376" spans="1:21" ht="15" customHeight="1" x14ac:dyDescent="0.25">
      <c r="A376" s="1">
        <f t="shared" ca="1" si="22"/>
        <v>5110</v>
      </c>
      <c r="B376" s="29"/>
      <c r="C376" s="29"/>
      <c r="D376" s="29"/>
      <c r="E376" s="29"/>
      <c r="F376" s="29"/>
      <c r="G376" s="39"/>
      <c r="H376" s="40"/>
      <c r="I376" s="52"/>
      <c r="J376" s="53"/>
      <c r="K376" s="17"/>
      <c r="L376" s="39"/>
      <c r="M376" s="43"/>
      <c r="N376" s="45"/>
      <c r="O376" s="55"/>
      <c r="P376" s="56"/>
      <c r="Q376" s="74"/>
      <c r="R376" s="70"/>
      <c r="S376" s="19"/>
      <c r="T376" s="60"/>
      <c r="U376" s="59"/>
    </row>
    <row r="377" spans="1:21" ht="15" customHeight="1" x14ac:dyDescent="0.25">
      <c r="A377" s="1">
        <f t="shared" ca="1" si="22"/>
        <v>5111</v>
      </c>
      <c r="B377" s="29"/>
      <c r="C377" s="29"/>
      <c r="D377" s="29"/>
      <c r="E377" s="29"/>
      <c r="F377" s="29"/>
      <c r="G377" s="39"/>
      <c r="H377" s="40"/>
      <c r="I377" s="52"/>
      <c r="J377" s="53"/>
      <c r="K377" s="17"/>
      <c r="L377" s="39"/>
      <c r="M377" s="43"/>
      <c r="N377" s="45"/>
      <c r="O377" s="55"/>
      <c r="P377" s="56"/>
      <c r="Q377" s="74"/>
      <c r="R377" s="70"/>
      <c r="S377" s="19"/>
      <c r="T377" s="60"/>
      <c r="U377" s="59"/>
    </row>
    <row r="378" spans="1:21" ht="15" customHeight="1" x14ac:dyDescent="0.25">
      <c r="A378" s="1">
        <f t="shared" ca="1" si="22"/>
        <v>5112</v>
      </c>
      <c r="B378" s="29"/>
      <c r="C378" s="29"/>
      <c r="D378" s="29"/>
      <c r="E378" s="29"/>
      <c r="F378" s="29"/>
      <c r="G378" s="39"/>
      <c r="H378" s="40"/>
      <c r="I378" s="52"/>
      <c r="J378" s="53"/>
      <c r="K378" s="17"/>
      <c r="L378" s="39"/>
      <c r="M378" s="43"/>
      <c r="N378" s="45"/>
      <c r="O378" s="55"/>
      <c r="P378" s="56"/>
      <c r="Q378" s="74"/>
      <c r="R378" s="70"/>
      <c r="S378" s="19"/>
      <c r="T378" s="60"/>
      <c r="U378" s="59"/>
    </row>
    <row r="379" spans="1:21" ht="15" customHeight="1" x14ac:dyDescent="0.25">
      <c r="A379" s="1">
        <f t="shared" ca="1" si="22"/>
        <v>5113</v>
      </c>
      <c r="B379" s="29"/>
      <c r="C379" s="29"/>
      <c r="D379" s="29"/>
      <c r="E379" s="29"/>
      <c r="F379" s="29"/>
      <c r="G379" s="39"/>
      <c r="H379" s="40"/>
      <c r="I379" s="52"/>
      <c r="J379" s="53"/>
      <c r="K379" s="17"/>
      <c r="L379" s="39"/>
      <c r="M379" s="43"/>
      <c r="N379" s="45"/>
      <c r="O379" s="55"/>
      <c r="P379" s="56"/>
      <c r="Q379" s="74"/>
      <c r="R379" s="70"/>
      <c r="S379" s="19"/>
      <c r="T379" s="60"/>
      <c r="U379" s="59"/>
    </row>
    <row r="380" spans="1:21" ht="15" customHeight="1" x14ac:dyDescent="0.25">
      <c r="A380" s="1">
        <f t="shared" ca="1" si="22"/>
        <v>5114</v>
      </c>
      <c r="B380" s="29"/>
      <c r="C380" s="29"/>
      <c r="D380" s="29"/>
      <c r="E380" s="29"/>
      <c r="F380" s="29"/>
      <c r="G380" s="39"/>
      <c r="H380" s="40"/>
      <c r="I380" s="52"/>
      <c r="J380" s="53"/>
      <c r="K380" s="17"/>
      <c r="L380" s="39"/>
      <c r="M380" s="43"/>
      <c r="N380" s="45"/>
      <c r="O380" s="55"/>
      <c r="P380" s="56"/>
      <c r="Q380" s="74"/>
      <c r="R380" s="70"/>
      <c r="S380" s="19"/>
      <c r="T380" s="60"/>
      <c r="U380" s="59"/>
    </row>
    <row r="381" spans="1:21" x14ac:dyDescent="0.25">
      <c r="A381" s="1" t="str">
        <f t="shared" ca="1" si="22"/>
        <v>Totaal</v>
      </c>
      <c r="B381" s="61" t="str">
        <f>IF(COUNT(B350:B380)&gt;0,AVERAGE(B350:B380)/10,"")</f>
        <v/>
      </c>
      <c r="C381" s="62" t="str">
        <f>IF(COUNT(C350:C380)&gt;0,AVERAGE(C350:C380)/1000,"")</f>
        <v/>
      </c>
      <c r="D381" s="62" t="str">
        <f t="shared" ref="D381" si="23">IF(COUNT(D350:D380)&gt;0,AVERAGE(D350:D380)/1000,"")</f>
        <v/>
      </c>
      <c r="E381" s="62" t="str">
        <f t="shared" ref="E381" si="24">IF(COUNT(E350:E380)&gt;0,AVERAGE(E350:E380)/1000,"")</f>
        <v/>
      </c>
      <c r="F381" s="62" t="str">
        <f>IF(COUNT(F350:F380)&gt;0,AVERAGE(F350:F380)/100,"")</f>
        <v/>
      </c>
      <c r="G381" s="41" t="str">
        <f>IF(COUNT(G350:G380)&gt;0,AVERAGE(G350:G380)/10,"")</f>
        <v/>
      </c>
      <c r="H381" s="42" t="str">
        <f t="shared" ref="H381" si="25">IF(COUNT(H350:H380)&gt;0,AVERAGE(H350:H380)/10,"")</f>
        <v/>
      </c>
      <c r="I381" s="18" t="str">
        <f>IF(COUNT(I350:I380)&gt;0,AVERAGE(I350:I380)/10,"")</f>
        <v/>
      </c>
      <c r="J381" s="54" t="str">
        <f>IF(COUNT(J350:J380)&gt;0,AVERAGE(J350:J380),"")</f>
        <v/>
      </c>
      <c r="K381" s="51" t="str">
        <f>IF(COUNT(K350:K380)&gt;0,AVERAGE(K350:K380)/1000,"")</f>
        <v/>
      </c>
      <c r="L381" s="41" t="str">
        <f>IF(COUNT(L350:L380)&gt;0,AVERAGE(L350:L380)/10,"")</f>
        <v/>
      </c>
      <c r="M381" s="44" t="str">
        <f>IF(COUNT(M350:M380)&gt;0,AVERAGE(M350:M380)/10,"")</f>
        <v/>
      </c>
      <c r="N381" s="46"/>
      <c r="O381" s="57" t="str">
        <f>IF(COUNT(O350:O380)&gt;0,AVERAGE(O350:O380),"")</f>
        <v/>
      </c>
      <c r="P381" s="58" t="str">
        <f>IF(COUNT(P350:P380)&gt;0,AVERAGE(P350:P380),"")</f>
        <v/>
      </c>
      <c r="Q381" s="47"/>
      <c r="R381" s="68" t="str">
        <f>IF(COUNT(R350:R380)&gt;0,SUM(R350:R380)/100,"")</f>
        <v/>
      </c>
      <c r="S381" s="64" t="str">
        <f>IF(COUNT(S350:S380)&gt;0,AVERAGE(S350:S380),"")</f>
        <v/>
      </c>
      <c r="T381" s="65" t="str">
        <f>IF(COUNT(T350:T380)&gt;0,AVERAGE(T350:T380),"")</f>
        <v/>
      </c>
      <c r="U381" s="66" t="str">
        <f>IF(COUNT(U350:U380)&gt;0,AVERAGE(U350:U380),"")</f>
        <v/>
      </c>
    </row>
  </sheetData>
  <sheetProtection sheet="1" objects="1" scenarios="1" selectLockedCells="1"/>
  <dataConsolidate/>
  <mergeCells count="11">
    <mergeCell ref="A1:U1"/>
    <mergeCell ref="B3:F3"/>
    <mergeCell ref="G3:H3"/>
    <mergeCell ref="A3:A4"/>
    <mergeCell ref="I3:I4"/>
    <mergeCell ref="J3:J4"/>
    <mergeCell ref="L3:M3"/>
    <mergeCell ref="K3:K4"/>
    <mergeCell ref="N3:Q3"/>
    <mergeCell ref="S3:U3"/>
    <mergeCell ref="R3:R4"/>
  </mergeCells>
  <conditionalFormatting sqref="A5:U381">
    <cfRule type="expression" dxfId="0" priority="36">
      <formula>ISTEXT($A5)</formula>
    </cfRule>
  </conditionalFormatting>
  <dataValidations count="1">
    <dataValidation type="list" allowBlank="1" showInputMessage="1" showErrorMessage="1" sqref="N5:N35 N37:N64 N66:N96 N98:N127 N129:N159 N161:N190 N192:N222 N224:N254 N256:N285 N287:N317 N319:N348 N350:N380 Q5:Q35 Q37:Q64 Q66:Q96 Q98:Q127 Q129:Q159 Q161:Q190 Q192:Q222 Q224:Q254 Q256:Q285 Q287:Q317 Q319:Q348 Q350:Q380 U5:U35 U37:U64 U66:U96 U98:U127 U129:U159 U161:U190 U192:U222 U224:U254 U256:U285 U287:U317 U319:U348 U350:U380">
      <formula1>OFFSET(Windrichting,1,1,ROWS(Windrichting)-1,1)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AG32"/>
  <sheetViews>
    <sheetView workbookViewId="0"/>
  </sheetViews>
  <sheetFormatPr defaultRowHeight="15" x14ac:dyDescent="0.25"/>
  <cols>
    <col min="2" max="2" width="14.140625" customWidth="1"/>
    <col min="5" max="5" width="23.7109375" customWidth="1"/>
    <col min="10" max="10" width="10.5703125" bestFit="1" customWidth="1"/>
    <col min="13" max="16" width="10.140625" customWidth="1"/>
    <col min="17" max="18" width="10" bestFit="1" customWidth="1"/>
    <col min="24" max="24" width="10" bestFit="1" customWidth="1"/>
    <col min="41" max="41" width="10.7109375" bestFit="1" customWidth="1"/>
  </cols>
  <sheetData>
    <row r="1" spans="1:33" x14ac:dyDescent="0.25">
      <c r="A1" t="s">
        <v>8</v>
      </c>
      <c r="D1" t="s">
        <v>20</v>
      </c>
      <c r="G1" t="s">
        <v>18</v>
      </c>
      <c r="J1" t="s">
        <v>35</v>
      </c>
      <c r="M1" t="s">
        <v>19</v>
      </c>
    </row>
    <row r="2" spans="1:33" ht="15.75" thickBot="1" x14ac:dyDescent="0.3"/>
    <row r="3" spans="1:33" ht="15" customHeight="1" x14ac:dyDescent="0.25">
      <c r="M3" s="96" t="s">
        <v>0</v>
      </c>
      <c r="N3" s="95" t="s">
        <v>60</v>
      </c>
      <c r="O3" s="95"/>
      <c r="P3" s="95"/>
      <c r="Q3" s="95"/>
      <c r="R3" s="95"/>
      <c r="S3" s="95" t="s">
        <v>59</v>
      </c>
      <c r="T3" s="95"/>
      <c r="U3" s="67" t="s">
        <v>61</v>
      </c>
      <c r="V3" s="67" t="s">
        <v>63</v>
      </c>
      <c r="W3" s="67" t="s">
        <v>62</v>
      </c>
      <c r="X3" s="95" t="s">
        <v>59</v>
      </c>
      <c r="Y3" s="95"/>
      <c r="Z3" s="95" t="s">
        <v>66</v>
      </c>
      <c r="AA3" s="95"/>
      <c r="AB3" s="95"/>
      <c r="AC3" s="95"/>
      <c r="AD3" s="67" t="s">
        <v>116</v>
      </c>
      <c r="AE3" s="95" t="s">
        <v>36</v>
      </c>
      <c r="AF3" s="95"/>
      <c r="AG3" s="95"/>
    </row>
    <row r="4" spans="1:33" ht="15.75" thickBot="1" x14ac:dyDescent="0.3">
      <c r="M4" s="97"/>
      <c r="N4" s="3" t="s">
        <v>53</v>
      </c>
      <c r="O4" s="3" t="s">
        <v>54</v>
      </c>
      <c r="P4" s="3" t="s">
        <v>55</v>
      </c>
      <c r="Q4" s="3" t="s">
        <v>56</v>
      </c>
      <c r="R4" s="3" t="s">
        <v>57</v>
      </c>
      <c r="S4" s="3" t="s">
        <v>22</v>
      </c>
      <c r="T4" s="3" t="s">
        <v>23</v>
      </c>
      <c r="U4" s="2"/>
      <c r="V4" s="2"/>
      <c r="W4" s="2"/>
      <c r="X4" s="3" t="s">
        <v>64</v>
      </c>
      <c r="Y4" s="3" t="s">
        <v>65</v>
      </c>
      <c r="Z4" s="3" t="s">
        <v>24</v>
      </c>
      <c r="AA4" s="3" t="s">
        <v>25</v>
      </c>
      <c r="AB4" s="3" t="s">
        <v>67</v>
      </c>
      <c r="AC4" s="3" t="s">
        <v>24</v>
      </c>
      <c r="AD4" s="2"/>
      <c r="AE4" s="3" t="s">
        <v>71</v>
      </c>
      <c r="AF4" s="3" t="s">
        <v>69</v>
      </c>
      <c r="AG4" s="3" t="s">
        <v>70</v>
      </c>
    </row>
    <row r="5" spans="1:33" x14ac:dyDescent="0.25">
      <c r="A5" s="13" t="s">
        <v>9</v>
      </c>
      <c r="B5" s="12" t="s">
        <v>10</v>
      </c>
      <c r="D5" s="12" t="s">
        <v>21</v>
      </c>
      <c r="E5" s="12" t="s">
        <v>34</v>
      </c>
      <c r="G5" s="8" t="s">
        <v>11</v>
      </c>
      <c r="H5" s="8" t="s">
        <v>12</v>
      </c>
      <c r="I5" s="21"/>
      <c r="J5" s="8" t="s">
        <v>47</v>
      </c>
      <c r="K5" s="8" t="s">
        <v>48</v>
      </c>
    </row>
    <row r="6" spans="1:33" x14ac:dyDescent="0.25">
      <c r="A6" s="48">
        <v>78989</v>
      </c>
      <c r="B6" t="s">
        <v>72</v>
      </c>
      <c r="D6" t="s">
        <v>121</v>
      </c>
      <c r="E6" t="s">
        <v>99</v>
      </c>
      <c r="G6" t="s">
        <v>13</v>
      </c>
      <c r="H6" s="5">
        <v>0</v>
      </c>
      <c r="I6" s="5"/>
      <c r="J6" s="23">
        <v>0</v>
      </c>
      <c r="K6" s="24" t="s">
        <v>104</v>
      </c>
    </row>
    <row r="7" spans="1:33" x14ac:dyDescent="0.25">
      <c r="A7" s="48">
        <v>1</v>
      </c>
      <c r="B7" t="s">
        <v>73</v>
      </c>
      <c r="D7" s="14" t="s">
        <v>123</v>
      </c>
      <c r="E7" t="s">
        <v>100</v>
      </c>
      <c r="G7" t="s">
        <v>14</v>
      </c>
      <c r="H7" s="5">
        <v>1</v>
      </c>
      <c r="I7" s="5"/>
      <c r="J7" s="23">
        <v>25</v>
      </c>
      <c r="K7" s="25" t="s">
        <v>105</v>
      </c>
    </row>
    <row r="8" spans="1:33" x14ac:dyDescent="0.25">
      <c r="A8" s="49">
        <v>2</v>
      </c>
      <c r="B8" s="14" t="s">
        <v>74</v>
      </c>
      <c r="D8" s="20" t="s">
        <v>125</v>
      </c>
      <c r="E8" t="s">
        <v>55</v>
      </c>
      <c r="G8" t="s">
        <v>15</v>
      </c>
      <c r="H8" s="5">
        <v>4</v>
      </c>
      <c r="I8" s="5"/>
      <c r="J8" s="23">
        <v>45</v>
      </c>
      <c r="K8" s="25" t="s">
        <v>106</v>
      </c>
    </row>
    <row r="9" spans="1:33" x14ac:dyDescent="0.25">
      <c r="A9" s="49">
        <v>3</v>
      </c>
      <c r="B9" s="14" t="s">
        <v>75</v>
      </c>
      <c r="D9" s="20" t="s">
        <v>122</v>
      </c>
      <c r="E9" t="s">
        <v>101</v>
      </c>
      <c r="G9" t="s">
        <v>16</v>
      </c>
      <c r="H9" s="5">
        <v>6</v>
      </c>
      <c r="I9" s="5"/>
      <c r="J9" s="23">
        <v>65</v>
      </c>
      <c r="K9" s="25" t="s">
        <v>107</v>
      </c>
    </row>
    <row r="10" spans="1:33" ht="15.75" thickBot="1" x14ac:dyDescent="0.3">
      <c r="A10" s="49">
        <v>4</v>
      </c>
      <c r="B10" t="s">
        <v>76</v>
      </c>
      <c r="D10" s="20" t="s">
        <v>5</v>
      </c>
      <c r="E10" t="s">
        <v>57</v>
      </c>
      <c r="G10" s="6" t="s">
        <v>17</v>
      </c>
      <c r="H10" s="7">
        <v>7</v>
      </c>
      <c r="I10" s="22"/>
      <c r="J10" s="23">
        <v>90</v>
      </c>
      <c r="K10" s="25" t="s">
        <v>108</v>
      </c>
    </row>
    <row r="11" spans="1:33" x14ac:dyDescent="0.25">
      <c r="A11" s="49">
        <v>5</v>
      </c>
      <c r="B11" t="s">
        <v>77</v>
      </c>
      <c r="D11" s="20" t="s">
        <v>7</v>
      </c>
      <c r="E11" t="s">
        <v>22</v>
      </c>
      <c r="J11" s="23">
        <v>115</v>
      </c>
      <c r="K11" s="25" t="s">
        <v>109</v>
      </c>
    </row>
    <row r="12" spans="1:33" x14ac:dyDescent="0.25">
      <c r="A12" s="49">
        <v>6</v>
      </c>
      <c r="B12" t="s">
        <v>78</v>
      </c>
      <c r="D12" s="20" t="s">
        <v>26</v>
      </c>
      <c r="E12" t="s">
        <v>23</v>
      </c>
      <c r="G12" t="s">
        <v>38</v>
      </c>
      <c r="H12" s="71">
        <v>800</v>
      </c>
      <c r="J12" s="23">
        <v>135</v>
      </c>
      <c r="K12" s="25" t="s">
        <v>110</v>
      </c>
    </row>
    <row r="13" spans="1:33" x14ac:dyDescent="0.25">
      <c r="A13" s="49">
        <v>7</v>
      </c>
      <c r="B13" t="s">
        <v>79</v>
      </c>
      <c r="D13" s="63" t="s">
        <v>117</v>
      </c>
      <c r="E13" t="s">
        <v>102</v>
      </c>
      <c r="G13" t="s">
        <v>135</v>
      </c>
      <c r="H13">
        <f>4000/(36*6*36)</f>
        <v>0.51440329218106995</v>
      </c>
      <c r="J13" s="23">
        <v>155</v>
      </c>
      <c r="K13" s="25" t="s">
        <v>111</v>
      </c>
    </row>
    <row r="14" spans="1:33" x14ac:dyDescent="0.25">
      <c r="A14" s="49">
        <v>8</v>
      </c>
      <c r="B14" t="s">
        <v>80</v>
      </c>
      <c r="D14" s="63" t="s">
        <v>30</v>
      </c>
      <c r="E14" t="s">
        <v>103</v>
      </c>
      <c r="J14" s="23">
        <v>180</v>
      </c>
      <c r="K14" s="25" t="s">
        <v>112</v>
      </c>
    </row>
    <row r="15" spans="1:33" x14ac:dyDescent="0.25">
      <c r="A15" s="49">
        <v>9</v>
      </c>
      <c r="B15" t="s">
        <v>81</v>
      </c>
      <c r="D15" s="63" t="s">
        <v>29</v>
      </c>
      <c r="E15" t="s">
        <v>62</v>
      </c>
      <c r="J15" s="23">
        <v>215</v>
      </c>
      <c r="K15" s="25" t="s">
        <v>113</v>
      </c>
    </row>
    <row r="16" spans="1:33" x14ac:dyDescent="0.25">
      <c r="A16" s="49">
        <v>10</v>
      </c>
      <c r="B16" t="s">
        <v>82</v>
      </c>
      <c r="D16" s="63" t="s">
        <v>28</v>
      </c>
      <c r="E16" t="s">
        <v>64</v>
      </c>
      <c r="J16" s="23">
        <v>235</v>
      </c>
      <c r="K16" s="25" t="s">
        <v>114</v>
      </c>
    </row>
    <row r="17" spans="1:11" x14ac:dyDescent="0.25">
      <c r="A17" s="49">
        <v>11</v>
      </c>
      <c r="B17" t="s">
        <v>83</v>
      </c>
      <c r="D17" s="63" t="s">
        <v>27</v>
      </c>
      <c r="E17" t="s">
        <v>65</v>
      </c>
      <c r="J17" s="23">
        <v>255</v>
      </c>
      <c r="K17" s="25" t="s">
        <v>115</v>
      </c>
    </row>
    <row r="18" spans="1:11" x14ac:dyDescent="0.25">
      <c r="A18" s="49">
        <v>12</v>
      </c>
      <c r="B18" t="s">
        <v>84</v>
      </c>
      <c r="D18" s="63" t="s">
        <v>31</v>
      </c>
      <c r="E18" t="s">
        <v>24</v>
      </c>
      <c r="J18" s="23">
        <v>270</v>
      </c>
      <c r="K18" s="25" t="s">
        <v>49</v>
      </c>
    </row>
    <row r="19" spans="1:11" x14ac:dyDescent="0.25">
      <c r="A19" s="49">
        <v>13</v>
      </c>
      <c r="B19" t="s">
        <v>85</v>
      </c>
      <c r="D19" s="63" t="s">
        <v>32</v>
      </c>
      <c r="E19" t="s">
        <v>25</v>
      </c>
      <c r="J19" s="23">
        <v>295</v>
      </c>
      <c r="K19" s="25" t="s">
        <v>51</v>
      </c>
    </row>
    <row r="20" spans="1:11" x14ac:dyDescent="0.25">
      <c r="A20" s="49">
        <v>14</v>
      </c>
      <c r="B20" t="s">
        <v>86</v>
      </c>
      <c r="D20" s="63" t="s">
        <v>118</v>
      </c>
      <c r="E20" t="s">
        <v>67</v>
      </c>
      <c r="J20" s="23">
        <v>315</v>
      </c>
      <c r="K20" s="25" t="s">
        <v>50</v>
      </c>
    </row>
    <row r="21" spans="1:11" x14ac:dyDescent="0.25">
      <c r="A21" s="49">
        <v>15</v>
      </c>
      <c r="B21" t="s">
        <v>87</v>
      </c>
      <c r="D21" s="63" t="s">
        <v>119</v>
      </c>
      <c r="E21" t="s">
        <v>24</v>
      </c>
      <c r="J21" s="23">
        <v>335</v>
      </c>
      <c r="K21" s="25" t="s">
        <v>52</v>
      </c>
    </row>
    <row r="22" spans="1:11" ht="15.75" thickBot="1" x14ac:dyDescent="0.3">
      <c r="A22" s="49">
        <v>16</v>
      </c>
      <c r="B22" t="s">
        <v>88</v>
      </c>
      <c r="D22" s="63" t="s">
        <v>3</v>
      </c>
      <c r="E22" t="s">
        <v>68</v>
      </c>
      <c r="J22" s="27">
        <v>360</v>
      </c>
      <c r="K22" s="28" t="s">
        <v>33</v>
      </c>
    </row>
    <row r="23" spans="1:11" x14ac:dyDescent="0.25">
      <c r="A23" s="49">
        <v>17</v>
      </c>
      <c r="B23" t="s">
        <v>89</v>
      </c>
      <c r="D23" s="63" t="s">
        <v>33</v>
      </c>
      <c r="E23" t="s">
        <v>71</v>
      </c>
    </row>
    <row r="24" spans="1:11" x14ac:dyDescent="0.25">
      <c r="A24" s="49">
        <v>18</v>
      </c>
      <c r="B24" t="s">
        <v>90</v>
      </c>
      <c r="D24" s="63" t="s">
        <v>124</v>
      </c>
      <c r="E24" t="s">
        <v>69</v>
      </c>
    </row>
    <row r="25" spans="1:11" ht="15" customHeight="1" thickBot="1" x14ac:dyDescent="0.3">
      <c r="A25" s="49">
        <v>19</v>
      </c>
      <c r="B25" t="s">
        <v>91</v>
      </c>
      <c r="D25" s="6" t="s">
        <v>120</v>
      </c>
      <c r="E25" s="6" t="s">
        <v>70</v>
      </c>
    </row>
    <row r="26" spans="1:11" x14ac:dyDescent="0.25">
      <c r="A26" s="49">
        <v>20</v>
      </c>
      <c r="B26" t="s">
        <v>92</v>
      </c>
    </row>
    <row r="27" spans="1:11" x14ac:dyDescent="0.25">
      <c r="A27" s="49">
        <v>21</v>
      </c>
      <c r="B27" t="s">
        <v>93</v>
      </c>
    </row>
    <row r="28" spans="1:11" x14ac:dyDescent="0.25">
      <c r="A28" s="49">
        <v>22</v>
      </c>
      <c r="B28" t="s">
        <v>94</v>
      </c>
    </row>
    <row r="29" spans="1:11" x14ac:dyDescent="0.25">
      <c r="A29" s="49">
        <v>23</v>
      </c>
      <c r="B29" t="s">
        <v>95</v>
      </c>
    </row>
    <row r="30" spans="1:11" x14ac:dyDescent="0.25">
      <c r="A30" s="49">
        <v>24</v>
      </c>
      <c r="B30" t="s">
        <v>96</v>
      </c>
    </row>
    <row r="31" spans="1:11" x14ac:dyDescent="0.25">
      <c r="A31" s="49">
        <v>25</v>
      </c>
      <c r="B31" t="s">
        <v>97</v>
      </c>
    </row>
    <row r="32" spans="1:11" ht="15.75" customHeight="1" thickBot="1" x14ac:dyDescent="0.3">
      <c r="A32" s="50">
        <v>26</v>
      </c>
      <c r="B32" s="6" t="s">
        <v>98</v>
      </c>
    </row>
  </sheetData>
  <sortState ref="J12:K27">
    <sortCondition ref="J12:J27"/>
  </sortState>
  <mergeCells count="6">
    <mergeCell ref="AE3:AG3"/>
    <mergeCell ref="M3:M4"/>
    <mergeCell ref="N3:R3"/>
    <mergeCell ref="S3:T3"/>
    <mergeCell ref="X3:Y3"/>
    <mergeCell ref="Z3:AC3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366"/>
  <sheetViews>
    <sheetView workbookViewId="0"/>
  </sheetViews>
  <sheetFormatPr defaultRowHeight="15" x14ac:dyDescent="0.25"/>
  <sheetData>
    <row r="1" spans="1:5" x14ac:dyDescent="0.25">
      <c r="A1" s="3" t="s">
        <v>1</v>
      </c>
      <c r="B1" s="2" t="s">
        <v>0</v>
      </c>
      <c r="C1" s="3" t="s">
        <v>2</v>
      </c>
      <c r="D1" s="3" t="s">
        <v>3</v>
      </c>
      <c r="E1" s="3" t="s">
        <v>4</v>
      </c>
    </row>
    <row r="2" spans="1:5" x14ac:dyDescent="0.25">
      <c r="A2" s="4">
        <f ca="1">INDEX(Stations,INT((ROWS(A$2:A2)-1)/(DATE(YEAR(Invoer!$A$5),12,31)-DATE(YEAR(Invoer!$A$5),1,1)+1))+2,1)</f>
        <v>78989</v>
      </c>
      <c r="B2" t="str">
        <f ca="1">TEXT(DATE(YEAR(Invoer!$A$5),1,1)+MOD(ROWS(B$2:B2)-1,DATE(YEAR(Invoer!$A$5),12,31)-DATE(YEAR(Invoer!$A$5),1,1)+1),"jjjjmmdd")</f>
        <v>19130101</v>
      </c>
      <c r="C2" s="5">
        <v>1</v>
      </c>
      <c r="D2" s="69" t="str">
        <f t="shared" ref="D2:D65" ca="1" si="0">IF(OR(ISBLANK(VLOOKUP(DATEVALUE(LEFT(B2,4)&amp;"-"&amp;MID(B2,5,2)&amp;"-"&amp;RIGHT(B2,2)),Data,MATCH(LEFT(VLOOKUP(D$1,Parameters,2,FALSE()),3)&amp;"*",OFFSET(Data,0,0,1),0),FALSE())),AND(ISTEXT(VLOOKUP(DATEVALUE(LEFT(B2,4)&amp;"-"&amp;MID(B2,5,2)&amp;"-"&amp;RIGHT(B2,2)),Data,MATCH(LEFT(VLOOKUP(D$1,Parameters,2,FALSE()),3)&amp;"*",OFFSET(Data,0,0,1),0),FALSE())),NOT(EXACT(VLOOKUP(DATEVALUE(LEFT(B2,4)&amp;"-"&amp;MID(B2,5,2)&amp;"-"&amp;RIGHT(B2,2)),Data,MATCH(LEFT(VLOOKUP(D$1,Parameters,2,FALSE()),3)&amp;"*",OFFSET(Data,0,0,1),0),FALSE()),"T")))),"—",IF(ISTEXT(VLOOKUP(DATEVALUE(LEFT(B2,4)&amp;"-"&amp;MID(B2,5,2)&amp;"-"&amp;RIGHT(B2,2)),Data,MATCH(LEFT(VLOOKUP(D$1,Parameters,2,FALSE()),3)&amp;"*",OFFSET(Data,0,0,1),0),FALSE())),VLOOKUP(DATEVALUE(LEFT(B2,4)&amp;"-"&amp;MID(B2,5,2)&amp;"-"&amp;RIGHT(B2,2)),Data,MATCH(LEFT(VLOOKUP(D$1,Parameters,2,FALSE()),3)&amp;"*",OFFSET(Data,0,0,1),0),FALSE()),ROUND(0.254*VLOOKUP(DATEVALUE(LEFT(B2,4)&amp;"-"&amp;MID(B2,5,2)&amp;"-"&amp;RIGHT(B2,2)),Data,MATCH(LEFT(VLOOKUP(D$1,Parameters,2,FALSE()),3)&amp;"*",OFFSET(Data,0,0,1),0),FALSE()),1)))</f>
        <v>—</v>
      </c>
      <c r="E2" s="10">
        <f t="shared" ref="E2:E65" ca="1" si="1">IF(OR(ISBLANK(VLOOKUP(DATEVALUE(LEFT(B2,4)&amp;"-"&amp;MID(B2,5,2)&amp;"-"&amp;RIGHT(B2,2)),Data,MATCH(LEFT(VLOOKUP(MID(E$1,2,LEN(E$1)-1),Parameters,2,FALSE()),3)&amp;"*",OFFSET(Data,0,0,1),0),FALSE())),AND(ISTEXT(VLOOKUP(DATEVALUE(LEFT(B2,4)&amp;"-"&amp;MID(B2,5,2)&amp;"-"&amp;RIGHT(B2,2)),Data,MATCH(LEFT(VLOOKUP(MID(E$1,2,LEN(E$1)-1),Parameters,2,FALSE()),3)&amp;"*",OFFSET(Data,0,0,1),0),FALSE())),NOT(EXACT(VLOOKUP(DATEVALUE(LEFT(B2,4)&amp;"-"&amp;MID(B2,5,2)&amp;"-"&amp;RIGHT(B2,2)),Data,MATCH(LEFT(VLOOKUP(MID(E$1,2,LEN(E$1)-1),Parameters,2,FALSE()),3)&amp;"*",OFFSET(Data,0,0,1),0),FALSE()),"T")))),Lacking,IF(ISNA(MATCH(DATEVALUE(LEFT(B2,4)&amp;"-"&amp;MID(B2,5,2)&amp;"-"&amp;RIGHT(B2,2)),OFFSET(Catalogus,0,0,,1),0)),Ok,VLOOKUP(DATEVALUE(LEFT(B2,4)&amp;"-"&amp;MID(B2,5,2)&amp;"-"&amp;RIGHT(B2,2)),Catalogus,MATCH(LEFT(VLOOKUP(MID(E$1,2,LEN(E$1)-1),Parameters,2,FALSE()),3)&amp;"*",OFFSET(Catalogus,0,0,1),0),FALSE())))</f>
        <v>7</v>
      </c>
    </row>
    <row r="3" spans="1:5" x14ac:dyDescent="0.25">
      <c r="A3" s="4">
        <f ca="1">INDEX(Stations,INT((ROWS(A$2:A3)-1)/(DATE(YEAR(Invoer!$A$5),12,31)-DATE(YEAR(Invoer!$A$5),1,1)+1))+2,1)</f>
        <v>78989</v>
      </c>
      <c r="B3" t="str">
        <f ca="1">TEXT(DATE(YEAR(Invoer!$A$5),1,1)+MOD(ROWS(B$2:B3)-1,DATE(YEAR(Invoer!$A$5),12,31)-DATE(YEAR(Invoer!$A$5),1,1)+1),"jjjjmmdd")</f>
        <v>19130102</v>
      </c>
      <c r="C3" s="5">
        <v>1</v>
      </c>
      <c r="D3" s="69" t="str">
        <f t="shared" ca="1" si="0"/>
        <v>—</v>
      </c>
      <c r="E3" s="10">
        <f t="shared" ca="1" si="1"/>
        <v>7</v>
      </c>
    </row>
    <row r="4" spans="1:5" x14ac:dyDescent="0.25">
      <c r="A4" s="4">
        <f ca="1">INDEX(Stations,INT((ROWS(A$2:A4)-1)/(DATE(YEAR(Invoer!$A$5),12,31)-DATE(YEAR(Invoer!$A$5),1,1)+1))+2,1)</f>
        <v>78989</v>
      </c>
      <c r="B4" t="str">
        <f ca="1">TEXT(DATE(YEAR(Invoer!$A$5),1,1)+MOD(ROWS(B$2:B4)-1,DATE(YEAR(Invoer!$A$5),12,31)-DATE(YEAR(Invoer!$A$5),1,1)+1),"jjjjmmdd")</f>
        <v>19130103</v>
      </c>
      <c r="C4" s="5">
        <v>1</v>
      </c>
      <c r="D4" s="69" t="str">
        <f t="shared" ca="1" si="0"/>
        <v>—</v>
      </c>
      <c r="E4" s="10">
        <f t="shared" ca="1" si="1"/>
        <v>7</v>
      </c>
    </row>
    <row r="5" spans="1:5" x14ac:dyDescent="0.25">
      <c r="A5" s="4">
        <f ca="1">INDEX(Stations,INT((ROWS(A$2:A5)-1)/(DATE(YEAR(Invoer!$A$5),12,31)-DATE(YEAR(Invoer!$A$5),1,1)+1))+2,1)</f>
        <v>78989</v>
      </c>
      <c r="B5" t="str">
        <f ca="1">TEXT(DATE(YEAR(Invoer!$A$5),1,1)+MOD(ROWS(B$2:B5)-1,DATE(YEAR(Invoer!$A$5),12,31)-DATE(YEAR(Invoer!$A$5),1,1)+1),"jjjjmmdd")</f>
        <v>19130104</v>
      </c>
      <c r="C5" s="5">
        <v>1</v>
      </c>
      <c r="D5" s="69" t="str">
        <f t="shared" ca="1" si="0"/>
        <v>—</v>
      </c>
      <c r="E5" s="10">
        <f t="shared" ca="1" si="1"/>
        <v>7</v>
      </c>
    </row>
    <row r="6" spans="1:5" x14ac:dyDescent="0.25">
      <c r="A6" s="4">
        <f ca="1">INDEX(Stations,INT((ROWS(A$2:A6)-1)/(DATE(YEAR(Invoer!$A$5),12,31)-DATE(YEAR(Invoer!$A$5),1,1)+1))+2,1)</f>
        <v>78989</v>
      </c>
      <c r="B6" t="str">
        <f ca="1">TEXT(DATE(YEAR(Invoer!$A$5),1,1)+MOD(ROWS(B$2:B6)-1,DATE(YEAR(Invoer!$A$5),12,31)-DATE(YEAR(Invoer!$A$5),1,1)+1),"jjjjmmdd")</f>
        <v>19130105</v>
      </c>
      <c r="C6" s="5">
        <v>1</v>
      </c>
      <c r="D6" s="69" t="str">
        <f t="shared" ca="1" si="0"/>
        <v>—</v>
      </c>
      <c r="E6" s="10">
        <f t="shared" ca="1" si="1"/>
        <v>7</v>
      </c>
    </row>
    <row r="7" spans="1:5" x14ac:dyDescent="0.25">
      <c r="A7" s="4">
        <f ca="1">INDEX(Stations,INT((ROWS(A$2:A7)-1)/(DATE(YEAR(Invoer!$A$5),12,31)-DATE(YEAR(Invoer!$A$5),1,1)+1))+2,1)</f>
        <v>78989</v>
      </c>
      <c r="B7" t="str">
        <f ca="1">TEXT(DATE(YEAR(Invoer!$A$5),1,1)+MOD(ROWS(B$2:B7)-1,DATE(YEAR(Invoer!$A$5),12,31)-DATE(YEAR(Invoer!$A$5),1,1)+1),"jjjjmmdd")</f>
        <v>19130106</v>
      </c>
      <c r="C7" s="5">
        <v>1</v>
      </c>
      <c r="D7" s="69" t="str">
        <f t="shared" ca="1" si="0"/>
        <v>—</v>
      </c>
      <c r="E7" s="10">
        <f t="shared" ca="1" si="1"/>
        <v>7</v>
      </c>
    </row>
    <row r="8" spans="1:5" x14ac:dyDescent="0.25">
      <c r="A8" s="4">
        <f ca="1">INDEX(Stations,INT((ROWS(A$2:A8)-1)/(DATE(YEAR(Invoer!$A$5),12,31)-DATE(YEAR(Invoer!$A$5),1,1)+1))+2,1)</f>
        <v>78989</v>
      </c>
      <c r="B8" t="str">
        <f ca="1">TEXT(DATE(YEAR(Invoer!$A$5),1,1)+MOD(ROWS(B$2:B8)-1,DATE(YEAR(Invoer!$A$5),12,31)-DATE(YEAR(Invoer!$A$5),1,1)+1),"jjjjmmdd")</f>
        <v>19130107</v>
      </c>
      <c r="C8" s="5">
        <v>1</v>
      </c>
      <c r="D8" s="69" t="str">
        <f t="shared" ca="1" si="0"/>
        <v>—</v>
      </c>
      <c r="E8" s="10">
        <f t="shared" ca="1" si="1"/>
        <v>7</v>
      </c>
    </row>
    <row r="9" spans="1:5" x14ac:dyDescent="0.25">
      <c r="A9" s="4">
        <f ca="1">INDEX(Stations,INT((ROWS(A$2:A9)-1)/(DATE(YEAR(Invoer!$A$5),12,31)-DATE(YEAR(Invoer!$A$5),1,1)+1))+2,1)</f>
        <v>78989</v>
      </c>
      <c r="B9" t="str">
        <f ca="1">TEXT(DATE(YEAR(Invoer!$A$5),1,1)+MOD(ROWS(B$2:B9)-1,DATE(YEAR(Invoer!$A$5),12,31)-DATE(YEAR(Invoer!$A$5),1,1)+1),"jjjjmmdd")</f>
        <v>19130108</v>
      </c>
      <c r="C9" s="5">
        <v>1</v>
      </c>
      <c r="D9" s="69" t="str">
        <f t="shared" ca="1" si="0"/>
        <v>—</v>
      </c>
      <c r="E9" s="10">
        <f t="shared" ca="1" si="1"/>
        <v>7</v>
      </c>
    </row>
    <row r="10" spans="1:5" x14ac:dyDescent="0.25">
      <c r="A10" s="4">
        <f ca="1">INDEX(Stations,INT((ROWS(A$2:A10)-1)/(DATE(YEAR(Invoer!$A$5),12,31)-DATE(YEAR(Invoer!$A$5),1,1)+1))+2,1)</f>
        <v>78989</v>
      </c>
      <c r="B10" t="str">
        <f ca="1">TEXT(DATE(YEAR(Invoer!$A$5),1,1)+MOD(ROWS(B$2:B10)-1,DATE(YEAR(Invoer!$A$5),12,31)-DATE(YEAR(Invoer!$A$5),1,1)+1),"jjjjmmdd")</f>
        <v>19130109</v>
      </c>
      <c r="C10" s="5">
        <v>1</v>
      </c>
      <c r="D10" s="69" t="str">
        <f t="shared" ca="1" si="0"/>
        <v>—</v>
      </c>
      <c r="E10" s="10">
        <f t="shared" ca="1" si="1"/>
        <v>7</v>
      </c>
    </row>
    <row r="11" spans="1:5" x14ac:dyDescent="0.25">
      <c r="A11" s="4">
        <f ca="1">INDEX(Stations,INT((ROWS(A$2:A11)-1)/(DATE(YEAR(Invoer!$A$5),12,31)-DATE(YEAR(Invoer!$A$5),1,1)+1))+2,1)</f>
        <v>78989</v>
      </c>
      <c r="B11" t="str">
        <f ca="1">TEXT(DATE(YEAR(Invoer!$A$5),1,1)+MOD(ROWS(B$2:B11)-1,DATE(YEAR(Invoer!$A$5),12,31)-DATE(YEAR(Invoer!$A$5),1,1)+1),"jjjjmmdd")</f>
        <v>19130110</v>
      </c>
      <c r="C11" s="5">
        <v>1</v>
      </c>
      <c r="D11" s="69" t="str">
        <f t="shared" ca="1" si="0"/>
        <v>—</v>
      </c>
      <c r="E11" s="10">
        <f t="shared" ca="1" si="1"/>
        <v>7</v>
      </c>
    </row>
    <row r="12" spans="1:5" x14ac:dyDescent="0.25">
      <c r="A12" s="4">
        <f ca="1">INDEX(Stations,INT((ROWS(A$2:A12)-1)/(DATE(YEAR(Invoer!$A$5),12,31)-DATE(YEAR(Invoer!$A$5),1,1)+1))+2,1)</f>
        <v>78989</v>
      </c>
      <c r="B12" t="str">
        <f ca="1">TEXT(DATE(YEAR(Invoer!$A$5),1,1)+MOD(ROWS(B$2:B12)-1,DATE(YEAR(Invoer!$A$5),12,31)-DATE(YEAR(Invoer!$A$5),1,1)+1),"jjjjmmdd")</f>
        <v>19130111</v>
      </c>
      <c r="C12" s="5">
        <v>1</v>
      </c>
      <c r="D12" s="69" t="str">
        <f t="shared" ca="1" si="0"/>
        <v>—</v>
      </c>
      <c r="E12" s="10">
        <f t="shared" ca="1" si="1"/>
        <v>7</v>
      </c>
    </row>
    <row r="13" spans="1:5" x14ac:dyDescent="0.25">
      <c r="A13" s="4">
        <f ca="1">INDEX(Stations,INT((ROWS(A$2:A13)-1)/(DATE(YEAR(Invoer!$A$5),12,31)-DATE(YEAR(Invoer!$A$5),1,1)+1))+2,1)</f>
        <v>78989</v>
      </c>
      <c r="B13" t="str">
        <f ca="1">TEXT(DATE(YEAR(Invoer!$A$5),1,1)+MOD(ROWS(B$2:B13)-1,DATE(YEAR(Invoer!$A$5),12,31)-DATE(YEAR(Invoer!$A$5),1,1)+1),"jjjjmmdd")</f>
        <v>19130112</v>
      </c>
      <c r="C13" s="5">
        <v>1</v>
      </c>
      <c r="D13" s="69" t="str">
        <f t="shared" ca="1" si="0"/>
        <v>—</v>
      </c>
      <c r="E13" s="10">
        <f t="shared" ca="1" si="1"/>
        <v>7</v>
      </c>
    </row>
    <row r="14" spans="1:5" x14ac:dyDescent="0.25">
      <c r="A14" s="4">
        <f ca="1">INDEX(Stations,INT((ROWS(A$2:A14)-1)/(DATE(YEAR(Invoer!$A$5),12,31)-DATE(YEAR(Invoer!$A$5),1,1)+1))+2,1)</f>
        <v>78989</v>
      </c>
      <c r="B14" t="str">
        <f ca="1">TEXT(DATE(YEAR(Invoer!$A$5),1,1)+MOD(ROWS(B$2:B14)-1,DATE(YEAR(Invoer!$A$5),12,31)-DATE(YEAR(Invoer!$A$5),1,1)+1),"jjjjmmdd")</f>
        <v>19130113</v>
      </c>
      <c r="C14" s="5">
        <v>1</v>
      </c>
      <c r="D14" s="69" t="str">
        <f t="shared" ca="1" si="0"/>
        <v>—</v>
      </c>
      <c r="E14" s="10">
        <f t="shared" ca="1" si="1"/>
        <v>7</v>
      </c>
    </row>
    <row r="15" spans="1:5" x14ac:dyDescent="0.25">
      <c r="A15" s="4">
        <f ca="1">INDEX(Stations,INT((ROWS(A$2:A15)-1)/(DATE(YEAR(Invoer!$A$5),12,31)-DATE(YEAR(Invoer!$A$5),1,1)+1))+2,1)</f>
        <v>78989</v>
      </c>
      <c r="B15" t="str">
        <f ca="1">TEXT(DATE(YEAR(Invoer!$A$5),1,1)+MOD(ROWS(B$2:B15)-1,DATE(YEAR(Invoer!$A$5),12,31)-DATE(YEAR(Invoer!$A$5),1,1)+1),"jjjjmmdd")</f>
        <v>19130114</v>
      </c>
      <c r="C15" s="5">
        <v>1</v>
      </c>
      <c r="D15" s="69" t="str">
        <f t="shared" ca="1" si="0"/>
        <v>—</v>
      </c>
      <c r="E15" s="10">
        <f t="shared" ca="1" si="1"/>
        <v>7</v>
      </c>
    </row>
    <row r="16" spans="1:5" x14ac:dyDescent="0.25">
      <c r="A16" s="4">
        <f ca="1">INDEX(Stations,INT((ROWS(A$2:A16)-1)/(DATE(YEAR(Invoer!$A$5),12,31)-DATE(YEAR(Invoer!$A$5),1,1)+1))+2,1)</f>
        <v>78989</v>
      </c>
      <c r="B16" t="str">
        <f ca="1">TEXT(DATE(YEAR(Invoer!$A$5),1,1)+MOD(ROWS(B$2:B16)-1,DATE(YEAR(Invoer!$A$5),12,31)-DATE(YEAR(Invoer!$A$5),1,1)+1),"jjjjmmdd")</f>
        <v>19130115</v>
      </c>
      <c r="C16" s="5">
        <v>1</v>
      </c>
      <c r="D16" s="69" t="str">
        <f t="shared" ca="1" si="0"/>
        <v>—</v>
      </c>
      <c r="E16" s="10">
        <f t="shared" ca="1" si="1"/>
        <v>7</v>
      </c>
    </row>
    <row r="17" spans="1:5" x14ac:dyDescent="0.25">
      <c r="A17" s="4">
        <f ca="1">INDEX(Stations,INT((ROWS(A$2:A17)-1)/(DATE(YEAR(Invoer!$A$5),12,31)-DATE(YEAR(Invoer!$A$5),1,1)+1))+2,1)</f>
        <v>78989</v>
      </c>
      <c r="B17" t="str">
        <f ca="1">TEXT(DATE(YEAR(Invoer!$A$5),1,1)+MOD(ROWS(B$2:B17)-1,DATE(YEAR(Invoer!$A$5),12,31)-DATE(YEAR(Invoer!$A$5),1,1)+1),"jjjjmmdd")</f>
        <v>19130116</v>
      </c>
      <c r="C17" s="5">
        <v>1</v>
      </c>
      <c r="D17" s="69" t="str">
        <f t="shared" ca="1" si="0"/>
        <v>—</v>
      </c>
      <c r="E17" s="10">
        <f t="shared" ca="1" si="1"/>
        <v>7</v>
      </c>
    </row>
    <row r="18" spans="1:5" x14ac:dyDescent="0.25">
      <c r="A18" s="4">
        <f ca="1">INDEX(Stations,INT((ROWS(A$2:A18)-1)/(DATE(YEAR(Invoer!$A$5),12,31)-DATE(YEAR(Invoer!$A$5),1,1)+1))+2,1)</f>
        <v>78989</v>
      </c>
      <c r="B18" t="str">
        <f ca="1">TEXT(DATE(YEAR(Invoer!$A$5),1,1)+MOD(ROWS(B$2:B18)-1,DATE(YEAR(Invoer!$A$5),12,31)-DATE(YEAR(Invoer!$A$5),1,1)+1),"jjjjmmdd")</f>
        <v>19130117</v>
      </c>
      <c r="C18" s="5">
        <v>1</v>
      </c>
      <c r="D18" s="69" t="str">
        <f t="shared" ca="1" si="0"/>
        <v>—</v>
      </c>
      <c r="E18" s="10">
        <f t="shared" ca="1" si="1"/>
        <v>7</v>
      </c>
    </row>
    <row r="19" spans="1:5" x14ac:dyDescent="0.25">
      <c r="A19" s="4">
        <f ca="1">INDEX(Stations,INT((ROWS(A$2:A19)-1)/(DATE(YEAR(Invoer!$A$5),12,31)-DATE(YEAR(Invoer!$A$5),1,1)+1))+2,1)</f>
        <v>78989</v>
      </c>
      <c r="B19" t="str">
        <f ca="1">TEXT(DATE(YEAR(Invoer!$A$5),1,1)+MOD(ROWS(B$2:B19)-1,DATE(YEAR(Invoer!$A$5),12,31)-DATE(YEAR(Invoer!$A$5),1,1)+1),"jjjjmmdd")</f>
        <v>19130118</v>
      </c>
      <c r="C19" s="5">
        <v>1</v>
      </c>
      <c r="D19" s="69" t="str">
        <f t="shared" ca="1" si="0"/>
        <v>—</v>
      </c>
      <c r="E19" s="10">
        <f t="shared" ca="1" si="1"/>
        <v>7</v>
      </c>
    </row>
    <row r="20" spans="1:5" x14ac:dyDescent="0.25">
      <c r="A20" s="4">
        <f ca="1">INDEX(Stations,INT((ROWS(A$2:A20)-1)/(DATE(YEAR(Invoer!$A$5),12,31)-DATE(YEAR(Invoer!$A$5),1,1)+1))+2,1)</f>
        <v>78989</v>
      </c>
      <c r="B20" t="str">
        <f ca="1">TEXT(DATE(YEAR(Invoer!$A$5),1,1)+MOD(ROWS(B$2:B20)-1,DATE(YEAR(Invoer!$A$5),12,31)-DATE(YEAR(Invoer!$A$5),1,1)+1),"jjjjmmdd")</f>
        <v>19130119</v>
      </c>
      <c r="C20" s="5">
        <v>1</v>
      </c>
      <c r="D20" s="69" t="str">
        <f t="shared" ca="1" si="0"/>
        <v>—</v>
      </c>
      <c r="E20" s="10">
        <f t="shared" ca="1" si="1"/>
        <v>7</v>
      </c>
    </row>
    <row r="21" spans="1:5" x14ac:dyDescent="0.25">
      <c r="A21" s="4">
        <f ca="1">INDEX(Stations,INT((ROWS(A$2:A21)-1)/(DATE(YEAR(Invoer!$A$5),12,31)-DATE(YEAR(Invoer!$A$5),1,1)+1))+2,1)</f>
        <v>78989</v>
      </c>
      <c r="B21" t="str">
        <f ca="1">TEXT(DATE(YEAR(Invoer!$A$5),1,1)+MOD(ROWS(B$2:B21)-1,DATE(YEAR(Invoer!$A$5),12,31)-DATE(YEAR(Invoer!$A$5),1,1)+1),"jjjjmmdd")</f>
        <v>19130120</v>
      </c>
      <c r="C21" s="5">
        <v>1</v>
      </c>
      <c r="D21" s="69" t="str">
        <f t="shared" ca="1" si="0"/>
        <v>—</v>
      </c>
      <c r="E21" s="10">
        <f t="shared" ca="1" si="1"/>
        <v>7</v>
      </c>
    </row>
    <row r="22" spans="1:5" x14ac:dyDescent="0.25">
      <c r="A22" s="4">
        <f ca="1">INDEX(Stations,INT((ROWS(A$2:A22)-1)/(DATE(YEAR(Invoer!$A$5),12,31)-DATE(YEAR(Invoer!$A$5),1,1)+1))+2,1)</f>
        <v>78989</v>
      </c>
      <c r="B22" t="str">
        <f ca="1">TEXT(DATE(YEAR(Invoer!$A$5),1,1)+MOD(ROWS(B$2:B22)-1,DATE(YEAR(Invoer!$A$5),12,31)-DATE(YEAR(Invoer!$A$5),1,1)+1),"jjjjmmdd")</f>
        <v>19130121</v>
      </c>
      <c r="C22" s="5">
        <v>1</v>
      </c>
      <c r="D22" s="69" t="str">
        <f t="shared" ca="1" si="0"/>
        <v>—</v>
      </c>
      <c r="E22" s="10">
        <f t="shared" ca="1" si="1"/>
        <v>7</v>
      </c>
    </row>
    <row r="23" spans="1:5" x14ac:dyDescent="0.25">
      <c r="A23" s="4">
        <f ca="1">INDEX(Stations,INT((ROWS(A$2:A23)-1)/(DATE(YEAR(Invoer!$A$5),12,31)-DATE(YEAR(Invoer!$A$5),1,1)+1))+2,1)</f>
        <v>78989</v>
      </c>
      <c r="B23" t="str">
        <f ca="1">TEXT(DATE(YEAR(Invoer!$A$5),1,1)+MOD(ROWS(B$2:B23)-1,DATE(YEAR(Invoer!$A$5),12,31)-DATE(YEAR(Invoer!$A$5),1,1)+1),"jjjjmmdd")</f>
        <v>19130122</v>
      </c>
      <c r="C23" s="5">
        <v>1</v>
      </c>
      <c r="D23" s="69" t="str">
        <f t="shared" ca="1" si="0"/>
        <v>—</v>
      </c>
      <c r="E23" s="10">
        <f t="shared" ca="1" si="1"/>
        <v>7</v>
      </c>
    </row>
    <row r="24" spans="1:5" x14ac:dyDescent="0.25">
      <c r="A24" s="4">
        <f ca="1">INDEX(Stations,INT((ROWS(A$2:A24)-1)/(DATE(YEAR(Invoer!$A$5),12,31)-DATE(YEAR(Invoer!$A$5),1,1)+1))+2,1)</f>
        <v>78989</v>
      </c>
      <c r="B24" t="str">
        <f ca="1">TEXT(DATE(YEAR(Invoer!$A$5),1,1)+MOD(ROWS(B$2:B24)-1,DATE(YEAR(Invoer!$A$5),12,31)-DATE(YEAR(Invoer!$A$5),1,1)+1),"jjjjmmdd")</f>
        <v>19130123</v>
      </c>
      <c r="C24" s="5">
        <v>1</v>
      </c>
      <c r="D24" s="69" t="str">
        <f t="shared" ca="1" si="0"/>
        <v>—</v>
      </c>
      <c r="E24" s="10">
        <f t="shared" ca="1" si="1"/>
        <v>7</v>
      </c>
    </row>
    <row r="25" spans="1:5" x14ac:dyDescent="0.25">
      <c r="A25" s="4">
        <f ca="1">INDEX(Stations,INT((ROWS(A$2:A25)-1)/(DATE(YEAR(Invoer!$A$5),12,31)-DATE(YEAR(Invoer!$A$5),1,1)+1))+2,1)</f>
        <v>78989</v>
      </c>
      <c r="B25" t="str">
        <f ca="1">TEXT(DATE(YEAR(Invoer!$A$5),1,1)+MOD(ROWS(B$2:B25)-1,DATE(YEAR(Invoer!$A$5),12,31)-DATE(YEAR(Invoer!$A$5),1,1)+1),"jjjjmmdd")</f>
        <v>19130124</v>
      </c>
      <c r="C25" s="5">
        <v>1</v>
      </c>
      <c r="D25" s="69" t="str">
        <f t="shared" ca="1" si="0"/>
        <v>—</v>
      </c>
      <c r="E25" s="10">
        <f t="shared" ca="1" si="1"/>
        <v>7</v>
      </c>
    </row>
    <row r="26" spans="1:5" x14ac:dyDescent="0.25">
      <c r="A26" s="4">
        <f ca="1">INDEX(Stations,INT((ROWS(A$2:A26)-1)/(DATE(YEAR(Invoer!$A$5),12,31)-DATE(YEAR(Invoer!$A$5),1,1)+1))+2,1)</f>
        <v>78989</v>
      </c>
      <c r="B26" t="str">
        <f ca="1">TEXT(DATE(YEAR(Invoer!$A$5),1,1)+MOD(ROWS(B$2:B26)-1,DATE(YEAR(Invoer!$A$5),12,31)-DATE(YEAR(Invoer!$A$5),1,1)+1),"jjjjmmdd")</f>
        <v>19130125</v>
      </c>
      <c r="C26" s="5">
        <v>1</v>
      </c>
      <c r="D26" s="69" t="str">
        <f t="shared" ca="1" si="0"/>
        <v>—</v>
      </c>
      <c r="E26" s="10">
        <f t="shared" ca="1" si="1"/>
        <v>7</v>
      </c>
    </row>
    <row r="27" spans="1:5" x14ac:dyDescent="0.25">
      <c r="A27" s="4">
        <f ca="1">INDEX(Stations,INT((ROWS(A$2:A27)-1)/(DATE(YEAR(Invoer!$A$5),12,31)-DATE(YEAR(Invoer!$A$5),1,1)+1))+2,1)</f>
        <v>78989</v>
      </c>
      <c r="B27" t="str">
        <f ca="1">TEXT(DATE(YEAR(Invoer!$A$5),1,1)+MOD(ROWS(B$2:B27)-1,DATE(YEAR(Invoer!$A$5),12,31)-DATE(YEAR(Invoer!$A$5),1,1)+1),"jjjjmmdd")</f>
        <v>19130126</v>
      </c>
      <c r="C27" s="5">
        <v>1</v>
      </c>
      <c r="D27" s="69" t="str">
        <f t="shared" ca="1" si="0"/>
        <v>—</v>
      </c>
      <c r="E27" s="10">
        <f t="shared" ca="1" si="1"/>
        <v>7</v>
      </c>
    </row>
    <row r="28" spans="1:5" x14ac:dyDescent="0.25">
      <c r="A28" s="4">
        <f ca="1">INDEX(Stations,INT((ROWS(A$2:A28)-1)/(DATE(YEAR(Invoer!$A$5),12,31)-DATE(YEAR(Invoer!$A$5),1,1)+1))+2,1)</f>
        <v>78989</v>
      </c>
      <c r="B28" t="str">
        <f ca="1">TEXT(DATE(YEAR(Invoer!$A$5),1,1)+MOD(ROWS(B$2:B28)-1,DATE(YEAR(Invoer!$A$5),12,31)-DATE(YEAR(Invoer!$A$5),1,1)+1),"jjjjmmdd")</f>
        <v>19130127</v>
      </c>
      <c r="C28" s="5">
        <v>1</v>
      </c>
      <c r="D28" s="69" t="str">
        <f t="shared" ca="1" si="0"/>
        <v>—</v>
      </c>
      <c r="E28" s="10">
        <f t="shared" ca="1" si="1"/>
        <v>7</v>
      </c>
    </row>
    <row r="29" spans="1:5" x14ac:dyDescent="0.25">
      <c r="A29" s="4">
        <f ca="1">INDEX(Stations,INT((ROWS(A$2:A29)-1)/(DATE(YEAR(Invoer!$A$5),12,31)-DATE(YEAR(Invoer!$A$5),1,1)+1))+2,1)</f>
        <v>78989</v>
      </c>
      <c r="B29" t="str">
        <f ca="1">TEXT(DATE(YEAR(Invoer!$A$5),1,1)+MOD(ROWS(B$2:B29)-1,DATE(YEAR(Invoer!$A$5),12,31)-DATE(YEAR(Invoer!$A$5),1,1)+1),"jjjjmmdd")</f>
        <v>19130128</v>
      </c>
      <c r="C29" s="5">
        <v>1</v>
      </c>
      <c r="D29" s="69" t="str">
        <f t="shared" ca="1" si="0"/>
        <v>—</v>
      </c>
      <c r="E29" s="10">
        <f t="shared" ca="1" si="1"/>
        <v>7</v>
      </c>
    </row>
    <row r="30" spans="1:5" x14ac:dyDescent="0.25">
      <c r="A30" s="4">
        <f ca="1">INDEX(Stations,INT((ROWS(A$2:A30)-1)/(DATE(YEAR(Invoer!$A$5),12,31)-DATE(YEAR(Invoer!$A$5),1,1)+1))+2,1)</f>
        <v>78989</v>
      </c>
      <c r="B30" t="str">
        <f ca="1">TEXT(DATE(YEAR(Invoer!$A$5),1,1)+MOD(ROWS(B$2:B30)-1,DATE(YEAR(Invoer!$A$5),12,31)-DATE(YEAR(Invoer!$A$5),1,1)+1),"jjjjmmdd")</f>
        <v>19130129</v>
      </c>
      <c r="C30" s="5">
        <v>1</v>
      </c>
      <c r="D30" s="69" t="str">
        <f t="shared" ca="1" si="0"/>
        <v>—</v>
      </c>
      <c r="E30" s="10">
        <f t="shared" ca="1" si="1"/>
        <v>7</v>
      </c>
    </row>
    <row r="31" spans="1:5" x14ac:dyDescent="0.25">
      <c r="A31" s="4">
        <f ca="1">INDEX(Stations,INT((ROWS(A$2:A31)-1)/(DATE(YEAR(Invoer!$A$5),12,31)-DATE(YEAR(Invoer!$A$5),1,1)+1))+2,1)</f>
        <v>78989</v>
      </c>
      <c r="B31" t="str">
        <f ca="1">TEXT(DATE(YEAR(Invoer!$A$5),1,1)+MOD(ROWS(B$2:B31)-1,DATE(YEAR(Invoer!$A$5),12,31)-DATE(YEAR(Invoer!$A$5),1,1)+1),"jjjjmmdd")</f>
        <v>19130130</v>
      </c>
      <c r="C31" s="5">
        <v>1</v>
      </c>
      <c r="D31" s="69" t="str">
        <f t="shared" ca="1" si="0"/>
        <v>—</v>
      </c>
      <c r="E31" s="10">
        <f t="shared" ca="1" si="1"/>
        <v>7</v>
      </c>
    </row>
    <row r="32" spans="1:5" x14ac:dyDescent="0.25">
      <c r="A32" s="4">
        <f ca="1">INDEX(Stations,INT((ROWS(A$2:A32)-1)/(DATE(YEAR(Invoer!$A$5),12,31)-DATE(YEAR(Invoer!$A$5),1,1)+1))+2,1)</f>
        <v>78989</v>
      </c>
      <c r="B32" t="str">
        <f ca="1">TEXT(DATE(YEAR(Invoer!$A$5),1,1)+MOD(ROWS(B$2:B32)-1,DATE(YEAR(Invoer!$A$5),12,31)-DATE(YEAR(Invoer!$A$5),1,1)+1),"jjjjmmdd")</f>
        <v>19130131</v>
      </c>
      <c r="C32" s="5">
        <v>1</v>
      </c>
      <c r="D32" s="69" t="str">
        <f t="shared" ca="1" si="0"/>
        <v>—</v>
      </c>
      <c r="E32" s="10">
        <f t="shared" ca="1" si="1"/>
        <v>7</v>
      </c>
    </row>
    <row r="33" spans="1:5" x14ac:dyDescent="0.25">
      <c r="A33" s="4">
        <f ca="1">INDEX(Stations,INT((ROWS(A$2:A33)-1)/(DATE(YEAR(Invoer!$A$5),12,31)-DATE(YEAR(Invoer!$A$5),1,1)+1))+2,1)</f>
        <v>78989</v>
      </c>
      <c r="B33" t="str">
        <f ca="1">TEXT(DATE(YEAR(Invoer!$A$5),1,1)+MOD(ROWS(B$2:B33)-1,DATE(YEAR(Invoer!$A$5),12,31)-DATE(YEAR(Invoer!$A$5),1,1)+1),"jjjjmmdd")</f>
        <v>19130201</v>
      </c>
      <c r="C33" s="5">
        <v>1</v>
      </c>
      <c r="D33" s="69" t="str">
        <f t="shared" ca="1" si="0"/>
        <v>—</v>
      </c>
      <c r="E33" s="10">
        <f t="shared" ca="1" si="1"/>
        <v>7</v>
      </c>
    </row>
    <row r="34" spans="1:5" x14ac:dyDescent="0.25">
      <c r="A34" s="4">
        <f ca="1">INDEX(Stations,INT((ROWS(A$2:A34)-1)/(DATE(YEAR(Invoer!$A$5),12,31)-DATE(YEAR(Invoer!$A$5),1,1)+1))+2,1)</f>
        <v>78989</v>
      </c>
      <c r="B34" t="str">
        <f ca="1">TEXT(DATE(YEAR(Invoer!$A$5),1,1)+MOD(ROWS(B$2:B34)-1,DATE(YEAR(Invoer!$A$5),12,31)-DATE(YEAR(Invoer!$A$5),1,1)+1),"jjjjmmdd")</f>
        <v>19130202</v>
      </c>
      <c r="C34" s="5">
        <v>1</v>
      </c>
      <c r="D34" s="69" t="str">
        <f t="shared" ca="1" si="0"/>
        <v>—</v>
      </c>
      <c r="E34" s="10">
        <f t="shared" ca="1" si="1"/>
        <v>7</v>
      </c>
    </row>
    <row r="35" spans="1:5" x14ac:dyDescent="0.25">
      <c r="A35" s="4">
        <f ca="1">INDEX(Stations,INT((ROWS(A$2:A35)-1)/(DATE(YEAR(Invoer!$A$5),12,31)-DATE(YEAR(Invoer!$A$5),1,1)+1))+2,1)</f>
        <v>78989</v>
      </c>
      <c r="B35" t="str">
        <f ca="1">TEXT(DATE(YEAR(Invoer!$A$5),1,1)+MOD(ROWS(B$2:B35)-1,DATE(YEAR(Invoer!$A$5),12,31)-DATE(YEAR(Invoer!$A$5),1,1)+1),"jjjjmmdd")</f>
        <v>19130203</v>
      </c>
      <c r="C35" s="5">
        <v>1</v>
      </c>
      <c r="D35" s="69" t="str">
        <f t="shared" ca="1" si="0"/>
        <v>—</v>
      </c>
      <c r="E35" s="10">
        <f t="shared" ca="1" si="1"/>
        <v>7</v>
      </c>
    </row>
    <row r="36" spans="1:5" x14ac:dyDescent="0.25">
      <c r="A36" s="4">
        <f ca="1">INDEX(Stations,INT((ROWS(A$2:A36)-1)/(DATE(YEAR(Invoer!$A$5),12,31)-DATE(YEAR(Invoer!$A$5),1,1)+1))+2,1)</f>
        <v>78989</v>
      </c>
      <c r="B36" t="str">
        <f ca="1">TEXT(DATE(YEAR(Invoer!$A$5),1,1)+MOD(ROWS(B$2:B36)-1,DATE(YEAR(Invoer!$A$5),12,31)-DATE(YEAR(Invoer!$A$5),1,1)+1),"jjjjmmdd")</f>
        <v>19130204</v>
      </c>
      <c r="C36" s="5">
        <v>1</v>
      </c>
      <c r="D36" s="69" t="str">
        <f t="shared" ca="1" si="0"/>
        <v>—</v>
      </c>
      <c r="E36" s="10">
        <f t="shared" ca="1" si="1"/>
        <v>7</v>
      </c>
    </row>
    <row r="37" spans="1:5" x14ac:dyDescent="0.25">
      <c r="A37" s="4">
        <f ca="1">INDEX(Stations,INT((ROWS(A$2:A37)-1)/(DATE(YEAR(Invoer!$A$5),12,31)-DATE(YEAR(Invoer!$A$5),1,1)+1))+2,1)</f>
        <v>78989</v>
      </c>
      <c r="B37" t="str">
        <f ca="1">TEXT(DATE(YEAR(Invoer!$A$5),1,1)+MOD(ROWS(B$2:B37)-1,DATE(YEAR(Invoer!$A$5),12,31)-DATE(YEAR(Invoer!$A$5),1,1)+1),"jjjjmmdd")</f>
        <v>19130205</v>
      </c>
      <c r="C37" s="5">
        <v>1</v>
      </c>
      <c r="D37" s="69" t="str">
        <f t="shared" ca="1" si="0"/>
        <v>—</v>
      </c>
      <c r="E37" s="10">
        <f t="shared" ca="1" si="1"/>
        <v>7</v>
      </c>
    </row>
    <row r="38" spans="1:5" x14ac:dyDescent="0.25">
      <c r="A38" s="4">
        <f ca="1">INDEX(Stations,INT((ROWS(A$2:A38)-1)/(DATE(YEAR(Invoer!$A$5),12,31)-DATE(YEAR(Invoer!$A$5),1,1)+1))+2,1)</f>
        <v>78989</v>
      </c>
      <c r="B38" t="str">
        <f ca="1">TEXT(DATE(YEAR(Invoer!$A$5),1,1)+MOD(ROWS(B$2:B38)-1,DATE(YEAR(Invoer!$A$5),12,31)-DATE(YEAR(Invoer!$A$5),1,1)+1),"jjjjmmdd")</f>
        <v>19130206</v>
      </c>
      <c r="C38" s="5">
        <v>1</v>
      </c>
      <c r="D38" s="69" t="str">
        <f t="shared" ca="1" si="0"/>
        <v>—</v>
      </c>
      <c r="E38" s="10">
        <f t="shared" ca="1" si="1"/>
        <v>7</v>
      </c>
    </row>
    <row r="39" spans="1:5" x14ac:dyDescent="0.25">
      <c r="A39" s="4">
        <f ca="1">INDEX(Stations,INT((ROWS(A$2:A39)-1)/(DATE(YEAR(Invoer!$A$5),12,31)-DATE(YEAR(Invoer!$A$5),1,1)+1))+2,1)</f>
        <v>78989</v>
      </c>
      <c r="B39" t="str">
        <f ca="1">TEXT(DATE(YEAR(Invoer!$A$5),1,1)+MOD(ROWS(B$2:B39)-1,DATE(YEAR(Invoer!$A$5),12,31)-DATE(YEAR(Invoer!$A$5),1,1)+1),"jjjjmmdd")</f>
        <v>19130207</v>
      </c>
      <c r="C39" s="5">
        <v>1</v>
      </c>
      <c r="D39" s="69" t="str">
        <f t="shared" ca="1" si="0"/>
        <v>—</v>
      </c>
      <c r="E39" s="10">
        <f t="shared" ca="1" si="1"/>
        <v>7</v>
      </c>
    </row>
    <row r="40" spans="1:5" x14ac:dyDescent="0.25">
      <c r="A40" s="4">
        <f ca="1">INDEX(Stations,INT((ROWS(A$2:A40)-1)/(DATE(YEAR(Invoer!$A$5),12,31)-DATE(YEAR(Invoer!$A$5),1,1)+1))+2,1)</f>
        <v>78989</v>
      </c>
      <c r="B40" t="str">
        <f ca="1">TEXT(DATE(YEAR(Invoer!$A$5),1,1)+MOD(ROWS(B$2:B40)-1,DATE(YEAR(Invoer!$A$5),12,31)-DATE(YEAR(Invoer!$A$5),1,1)+1),"jjjjmmdd")</f>
        <v>19130208</v>
      </c>
      <c r="C40" s="5">
        <v>1</v>
      </c>
      <c r="D40" s="69" t="str">
        <f t="shared" ca="1" si="0"/>
        <v>—</v>
      </c>
      <c r="E40" s="10">
        <f t="shared" ca="1" si="1"/>
        <v>7</v>
      </c>
    </row>
    <row r="41" spans="1:5" x14ac:dyDescent="0.25">
      <c r="A41" s="4">
        <f ca="1">INDEX(Stations,INT((ROWS(A$2:A41)-1)/(DATE(YEAR(Invoer!$A$5),12,31)-DATE(YEAR(Invoer!$A$5),1,1)+1))+2,1)</f>
        <v>78989</v>
      </c>
      <c r="B41" t="str">
        <f ca="1">TEXT(DATE(YEAR(Invoer!$A$5),1,1)+MOD(ROWS(B$2:B41)-1,DATE(YEAR(Invoer!$A$5),12,31)-DATE(YEAR(Invoer!$A$5),1,1)+1),"jjjjmmdd")</f>
        <v>19130209</v>
      </c>
      <c r="C41" s="5">
        <v>1</v>
      </c>
      <c r="D41" s="69" t="str">
        <f t="shared" ca="1" si="0"/>
        <v>—</v>
      </c>
      <c r="E41" s="10">
        <f t="shared" ca="1" si="1"/>
        <v>7</v>
      </c>
    </row>
    <row r="42" spans="1:5" x14ac:dyDescent="0.25">
      <c r="A42" s="4">
        <f ca="1">INDEX(Stations,INT((ROWS(A$2:A42)-1)/(DATE(YEAR(Invoer!$A$5),12,31)-DATE(YEAR(Invoer!$A$5),1,1)+1))+2,1)</f>
        <v>78989</v>
      </c>
      <c r="B42" t="str">
        <f ca="1">TEXT(DATE(YEAR(Invoer!$A$5),1,1)+MOD(ROWS(B$2:B42)-1,DATE(YEAR(Invoer!$A$5),12,31)-DATE(YEAR(Invoer!$A$5),1,1)+1),"jjjjmmdd")</f>
        <v>19130210</v>
      </c>
      <c r="C42" s="5">
        <v>1</v>
      </c>
      <c r="D42" s="69" t="str">
        <f t="shared" ca="1" si="0"/>
        <v>—</v>
      </c>
      <c r="E42" s="10">
        <f t="shared" ca="1" si="1"/>
        <v>7</v>
      </c>
    </row>
    <row r="43" spans="1:5" x14ac:dyDescent="0.25">
      <c r="A43" s="4">
        <f ca="1">INDEX(Stations,INT((ROWS(A$2:A43)-1)/(DATE(YEAR(Invoer!$A$5),12,31)-DATE(YEAR(Invoer!$A$5),1,1)+1))+2,1)</f>
        <v>78989</v>
      </c>
      <c r="B43" t="str">
        <f ca="1">TEXT(DATE(YEAR(Invoer!$A$5),1,1)+MOD(ROWS(B$2:B43)-1,DATE(YEAR(Invoer!$A$5),12,31)-DATE(YEAR(Invoer!$A$5),1,1)+1),"jjjjmmdd")</f>
        <v>19130211</v>
      </c>
      <c r="C43" s="5">
        <v>1</v>
      </c>
      <c r="D43" s="69" t="str">
        <f t="shared" ca="1" si="0"/>
        <v>—</v>
      </c>
      <c r="E43" s="10">
        <f t="shared" ca="1" si="1"/>
        <v>7</v>
      </c>
    </row>
    <row r="44" spans="1:5" x14ac:dyDescent="0.25">
      <c r="A44" s="4">
        <f ca="1">INDEX(Stations,INT((ROWS(A$2:A44)-1)/(DATE(YEAR(Invoer!$A$5),12,31)-DATE(YEAR(Invoer!$A$5),1,1)+1))+2,1)</f>
        <v>78989</v>
      </c>
      <c r="B44" t="str">
        <f ca="1">TEXT(DATE(YEAR(Invoer!$A$5),1,1)+MOD(ROWS(B$2:B44)-1,DATE(YEAR(Invoer!$A$5),12,31)-DATE(YEAR(Invoer!$A$5),1,1)+1),"jjjjmmdd")</f>
        <v>19130212</v>
      </c>
      <c r="C44" s="5">
        <v>1</v>
      </c>
      <c r="D44" s="69" t="str">
        <f t="shared" ca="1" si="0"/>
        <v>—</v>
      </c>
      <c r="E44" s="10">
        <f t="shared" ca="1" si="1"/>
        <v>7</v>
      </c>
    </row>
    <row r="45" spans="1:5" x14ac:dyDescent="0.25">
      <c r="A45" s="4">
        <f ca="1">INDEX(Stations,INT((ROWS(A$2:A45)-1)/(DATE(YEAR(Invoer!$A$5),12,31)-DATE(YEAR(Invoer!$A$5),1,1)+1))+2,1)</f>
        <v>78989</v>
      </c>
      <c r="B45" t="str">
        <f ca="1">TEXT(DATE(YEAR(Invoer!$A$5),1,1)+MOD(ROWS(B$2:B45)-1,DATE(YEAR(Invoer!$A$5),12,31)-DATE(YEAR(Invoer!$A$5),1,1)+1),"jjjjmmdd")</f>
        <v>19130213</v>
      </c>
      <c r="C45" s="5">
        <v>1</v>
      </c>
      <c r="D45" s="69" t="str">
        <f t="shared" ca="1" si="0"/>
        <v>—</v>
      </c>
      <c r="E45" s="10">
        <f t="shared" ca="1" si="1"/>
        <v>7</v>
      </c>
    </row>
    <row r="46" spans="1:5" x14ac:dyDescent="0.25">
      <c r="A46" s="4">
        <f ca="1">INDEX(Stations,INT((ROWS(A$2:A46)-1)/(DATE(YEAR(Invoer!$A$5),12,31)-DATE(YEAR(Invoer!$A$5),1,1)+1))+2,1)</f>
        <v>78989</v>
      </c>
      <c r="B46" t="str">
        <f ca="1">TEXT(DATE(YEAR(Invoer!$A$5),1,1)+MOD(ROWS(B$2:B46)-1,DATE(YEAR(Invoer!$A$5),12,31)-DATE(YEAR(Invoer!$A$5),1,1)+1),"jjjjmmdd")</f>
        <v>19130214</v>
      </c>
      <c r="C46" s="5">
        <v>1</v>
      </c>
      <c r="D46" s="69" t="str">
        <f t="shared" ca="1" si="0"/>
        <v>—</v>
      </c>
      <c r="E46" s="10">
        <f t="shared" ca="1" si="1"/>
        <v>7</v>
      </c>
    </row>
    <row r="47" spans="1:5" x14ac:dyDescent="0.25">
      <c r="A47" s="4">
        <f ca="1">INDEX(Stations,INT((ROWS(A$2:A47)-1)/(DATE(YEAR(Invoer!$A$5),12,31)-DATE(YEAR(Invoer!$A$5),1,1)+1))+2,1)</f>
        <v>78989</v>
      </c>
      <c r="B47" t="str">
        <f ca="1">TEXT(DATE(YEAR(Invoer!$A$5),1,1)+MOD(ROWS(B$2:B47)-1,DATE(YEAR(Invoer!$A$5),12,31)-DATE(YEAR(Invoer!$A$5),1,1)+1),"jjjjmmdd")</f>
        <v>19130215</v>
      </c>
      <c r="C47" s="5">
        <v>1</v>
      </c>
      <c r="D47" s="69" t="str">
        <f t="shared" ca="1" si="0"/>
        <v>—</v>
      </c>
      <c r="E47" s="10">
        <f t="shared" ca="1" si="1"/>
        <v>7</v>
      </c>
    </row>
    <row r="48" spans="1:5" x14ac:dyDescent="0.25">
      <c r="A48" s="4">
        <f ca="1">INDEX(Stations,INT((ROWS(A$2:A48)-1)/(DATE(YEAR(Invoer!$A$5),12,31)-DATE(YEAR(Invoer!$A$5),1,1)+1))+2,1)</f>
        <v>78989</v>
      </c>
      <c r="B48" t="str">
        <f ca="1">TEXT(DATE(YEAR(Invoer!$A$5),1,1)+MOD(ROWS(B$2:B48)-1,DATE(YEAR(Invoer!$A$5),12,31)-DATE(YEAR(Invoer!$A$5),1,1)+1),"jjjjmmdd")</f>
        <v>19130216</v>
      </c>
      <c r="C48" s="5">
        <v>1</v>
      </c>
      <c r="D48" s="69" t="str">
        <f t="shared" ca="1" si="0"/>
        <v>—</v>
      </c>
      <c r="E48" s="10">
        <f t="shared" ca="1" si="1"/>
        <v>7</v>
      </c>
    </row>
    <row r="49" spans="1:5" x14ac:dyDescent="0.25">
      <c r="A49" s="4">
        <f ca="1">INDEX(Stations,INT((ROWS(A$2:A49)-1)/(DATE(YEAR(Invoer!$A$5),12,31)-DATE(YEAR(Invoer!$A$5),1,1)+1))+2,1)</f>
        <v>78989</v>
      </c>
      <c r="B49" t="str">
        <f ca="1">TEXT(DATE(YEAR(Invoer!$A$5),1,1)+MOD(ROWS(B$2:B49)-1,DATE(YEAR(Invoer!$A$5),12,31)-DATE(YEAR(Invoer!$A$5),1,1)+1),"jjjjmmdd")</f>
        <v>19130217</v>
      </c>
      <c r="C49" s="5">
        <v>1</v>
      </c>
      <c r="D49" s="69" t="str">
        <f t="shared" ca="1" si="0"/>
        <v>—</v>
      </c>
      <c r="E49" s="10">
        <f t="shared" ca="1" si="1"/>
        <v>7</v>
      </c>
    </row>
    <row r="50" spans="1:5" x14ac:dyDescent="0.25">
      <c r="A50" s="4">
        <f ca="1">INDEX(Stations,INT((ROWS(A$2:A50)-1)/(DATE(YEAR(Invoer!$A$5),12,31)-DATE(YEAR(Invoer!$A$5),1,1)+1))+2,1)</f>
        <v>78989</v>
      </c>
      <c r="B50" t="str">
        <f ca="1">TEXT(DATE(YEAR(Invoer!$A$5),1,1)+MOD(ROWS(B$2:B50)-1,DATE(YEAR(Invoer!$A$5),12,31)-DATE(YEAR(Invoer!$A$5),1,1)+1),"jjjjmmdd")</f>
        <v>19130218</v>
      </c>
      <c r="C50" s="5">
        <v>1</v>
      </c>
      <c r="D50" s="69" t="str">
        <f t="shared" ca="1" si="0"/>
        <v>—</v>
      </c>
      <c r="E50" s="10">
        <f t="shared" ca="1" si="1"/>
        <v>7</v>
      </c>
    </row>
    <row r="51" spans="1:5" x14ac:dyDescent="0.25">
      <c r="A51" s="4">
        <f ca="1">INDEX(Stations,INT((ROWS(A$2:A51)-1)/(DATE(YEAR(Invoer!$A$5),12,31)-DATE(YEAR(Invoer!$A$5),1,1)+1))+2,1)</f>
        <v>78989</v>
      </c>
      <c r="B51" t="str">
        <f ca="1">TEXT(DATE(YEAR(Invoer!$A$5),1,1)+MOD(ROWS(B$2:B51)-1,DATE(YEAR(Invoer!$A$5),12,31)-DATE(YEAR(Invoer!$A$5),1,1)+1),"jjjjmmdd")</f>
        <v>19130219</v>
      </c>
      <c r="C51" s="5">
        <v>1</v>
      </c>
      <c r="D51" s="69" t="str">
        <f t="shared" ca="1" si="0"/>
        <v>—</v>
      </c>
      <c r="E51" s="10">
        <f t="shared" ca="1" si="1"/>
        <v>7</v>
      </c>
    </row>
    <row r="52" spans="1:5" x14ac:dyDescent="0.25">
      <c r="A52" s="4">
        <f ca="1">INDEX(Stations,INT((ROWS(A$2:A52)-1)/(DATE(YEAR(Invoer!$A$5),12,31)-DATE(YEAR(Invoer!$A$5),1,1)+1))+2,1)</f>
        <v>78989</v>
      </c>
      <c r="B52" t="str">
        <f ca="1">TEXT(DATE(YEAR(Invoer!$A$5),1,1)+MOD(ROWS(B$2:B52)-1,DATE(YEAR(Invoer!$A$5),12,31)-DATE(YEAR(Invoer!$A$5),1,1)+1),"jjjjmmdd")</f>
        <v>19130220</v>
      </c>
      <c r="C52" s="5">
        <v>1</v>
      </c>
      <c r="D52" s="69" t="str">
        <f t="shared" ca="1" si="0"/>
        <v>—</v>
      </c>
      <c r="E52" s="10">
        <f t="shared" ca="1" si="1"/>
        <v>7</v>
      </c>
    </row>
    <row r="53" spans="1:5" x14ac:dyDescent="0.25">
      <c r="A53" s="4">
        <f ca="1">INDEX(Stations,INT((ROWS(A$2:A53)-1)/(DATE(YEAR(Invoer!$A$5),12,31)-DATE(YEAR(Invoer!$A$5),1,1)+1))+2,1)</f>
        <v>78989</v>
      </c>
      <c r="B53" t="str">
        <f ca="1">TEXT(DATE(YEAR(Invoer!$A$5),1,1)+MOD(ROWS(B$2:B53)-1,DATE(YEAR(Invoer!$A$5),12,31)-DATE(YEAR(Invoer!$A$5),1,1)+1),"jjjjmmdd")</f>
        <v>19130221</v>
      </c>
      <c r="C53" s="5">
        <v>1</v>
      </c>
      <c r="D53" s="69" t="str">
        <f t="shared" ca="1" si="0"/>
        <v>—</v>
      </c>
      <c r="E53" s="10">
        <f t="shared" ca="1" si="1"/>
        <v>7</v>
      </c>
    </row>
    <row r="54" spans="1:5" x14ac:dyDescent="0.25">
      <c r="A54" s="4">
        <f ca="1">INDEX(Stations,INT((ROWS(A$2:A54)-1)/(DATE(YEAR(Invoer!$A$5),12,31)-DATE(YEAR(Invoer!$A$5),1,1)+1))+2,1)</f>
        <v>78989</v>
      </c>
      <c r="B54" t="str">
        <f ca="1">TEXT(DATE(YEAR(Invoer!$A$5),1,1)+MOD(ROWS(B$2:B54)-1,DATE(YEAR(Invoer!$A$5),12,31)-DATE(YEAR(Invoer!$A$5),1,1)+1),"jjjjmmdd")</f>
        <v>19130222</v>
      </c>
      <c r="C54" s="5">
        <v>1</v>
      </c>
      <c r="D54" s="69" t="str">
        <f t="shared" ca="1" si="0"/>
        <v>—</v>
      </c>
      <c r="E54" s="10">
        <f t="shared" ca="1" si="1"/>
        <v>7</v>
      </c>
    </row>
    <row r="55" spans="1:5" x14ac:dyDescent="0.25">
      <c r="A55" s="4">
        <f ca="1">INDEX(Stations,INT((ROWS(A$2:A55)-1)/(DATE(YEAR(Invoer!$A$5),12,31)-DATE(YEAR(Invoer!$A$5),1,1)+1))+2,1)</f>
        <v>78989</v>
      </c>
      <c r="B55" t="str">
        <f ca="1">TEXT(DATE(YEAR(Invoer!$A$5),1,1)+MOD(ROWS(B$2:B55)-1,DATE(YEAR(Invoer!$A$5),12,31)-DATE(YEAR(Invoer!$A$5),1,1)+1),"jjjjmmdd")</f>
        <v>19130223</v>
      </c>
      <c r="C55" s="5">
        <v>1</v>
      </c>
      <c r="D55" s="69" t="str">
        <f t="shared" ca="1" si="0"/>
        <v>—</v>
      </c>
      <c r="E55" s="10">
        <f t="shared" ca="1" si="1"/>
        <v>7</v>
      </c>
    </row>
    <row r="56" spans="1:5" x14ac:dyDescent="0.25">
      <c r="A56" s="4">
        <f ca="1">INDEX(Stations,INT((ROWS(A$2:A56)-1)/(DATE(YEAR(Invoer!$A$5),12,31)-DATE(YEAR(Invoer!$A$5),1,1)+1))+2,1)</f>
        <v>78989</v>
      </c>
      <c r="B56" t="str">
        <f ca="1">TEXT(DATE(YEAR(Invoer!$A$5),1,1)+MOD(ROWS(B$2:B56)-1,DATE(YEAR(Invoer!$A$5),12,31)-DATE(YEAR(Invoer!$A$5),1,1)+1),"jjjjmmdd")</f>
        <v>19130224</v>
      </c>
      <c r="C56" s="5">
        <v>1</v>
      </c>
      <c r="D56" s="69" t="str">
        <f t="shared" ca="1" si="0"/>
        <v>—</v>
      </c>
      <c r="E56" s="10">
        <f t="shared" ca="1" si="1"/>
        <v>7</v>
      </c>
    </row>
    <row r="57" spans="1:5" x14ac:dyDescent="0.25">
      <c r="A57" s="4">
        <f ca="1">INDEX(Stations,INT((ROWS(A$2:A57)-1)/(DATE(YEAR(Invoer!$A$5),12,31)-DATE(YEAR(Invoer!$A$5),1,1)+1))+2,1)</f>
        <v>78989</v>
      </c>
      <c r="B57" t="str">
        <f ca="1">TEXT(DATE(YEAR(Invoer!$A$5),1,1)+MOD(ROWS(B$2:B57)-1,DATE(YEAR(Invoer!$A$5),12,31)-DATE(YEAR(Invoer!$A$5),1,1)+1),"jjjjmmdd")</f>
        <v>19130225</v>
      </c>
      <c r="C57" s="5">
        <v>1</v>
      </c>
      <c r="D57" s="69" t="str">
        <f t="shared" ca="1" si="0"/>
        <v>—</v>
      </c>
      <c r="E57" s="10">
        <f t="shared" ca="1" si="1"/>
        <v>7</v>
      </c>
    </row>
    <row r="58" spans="1:5" x14ac:dyDescent="0.25">
      <c r="A58" s="4">
        <f ca="1">INDEX(Stations,INT((ROWS(A$2:A58)-1)/(DATE(YEAR(Invoer!$A$5),12,31)-DATE(YEAR(Invoer!$A$5),1,1)+1))+2,1)</f>
        <v>78989</v>
      </c>
      <c r="B58" t="str">
        <f ca="1">TEXT(DATE(YEAR(Invoer!$A$5),1,1)+MOD(ROWS(B$2:B58)-1,DATE(YEAR(Invoer!$A$5),12,31)-DATE(YEAR(Invoer!$A$5),1,1)+1),"jjjjmmdd")</f>
        <v>19130226</v>
      </c>
      <c r="C58" s="5">
        <v>1</v>
      </c>
      <c r="D58" s="69" t="str">
        <f t="shared" ca="1" si="0"/>
        <v>—</v>
      </c>
      <c r="E58" s="10">
        <f t="shared" ca="1" si="1"/>
        <v>7</v>
      </c>
    </row>
    <row r="59" spans="1:5" x14ac:dyDescent="0.25">
      <c r="A59" s="4">
        <f ca="1">INDEX(Stations,INT((ROWS(A$2:A59)-1)/(DATE(YEAR(Invoer!$A$5),12,31)-DATE(YEAR(Invoer!$A$5),1,1)+1))+2,1)</f>
        <v>78989</v>
      </c>
      <c r="B59" t="str">
        <f ca="1">TEXT(DATE(YEAR(Invoer!$A$5),1,1)+MOD(ROWS(B$2:B59)-1,DATE(YEAR(Invoer!$A$5),12,31)-DATE(YEAR(Invoer!$A$5),1,1)+1),"jjjjmmdd")</f>
        <v>19130227</v>
      </c>
      <c r="C59" s="5">
        <v>1</v>
      </c>
      <c r="D59" s="69" t="str">
        <f t="shared" ca="1" si="0"/>
        <v>—</v>
      </c>
      <c r="E59" s="10">
        <f t="shared" ca="1" si="1"/>
        <v>7</v>
      </c>
    </row>
    <row r="60" spans="1:5" x14ac:dyDescent="0.25">
      <c r="A60" s="4">
        <f ca="1">INDEX(Stations,INT((ROWS(A$2:A60)-1)/(DATE(YEAR(Invoer!$A$5),12,31)-DATE(YEAR(Invoer!$A$5),1,1)+1))+2,1)</f>
        <v>78989</v>
      </c>
      <c r="B60" t="str">
        <f ca="1">TEXT(DATE(YEAR(Invoer!$A$5),1,1)+MOD(ROWS(B$2:B60)-1,DATE(YEAR(Invoer!$A$5),12,31)-DATE(YEAR(Invoer!$A$5),1,1)+1),"jjjjmmdd")</f>
        <v>19130228</v>
      </c>
      <c r="C60" s="5">
        <v>1</v>
      </c>
      <c r="D60" s="69" t="str">
        <f t="shared" ca="1" si="0"/>
        <v>—</v>
      </c>
      <c r="E60" s="10">
        <f t="shared" ca="1" si="1"/>
        <v>7</v>
      </c>
    </row>
    <row r="61" spans="1:5" x14ac:dyDescent="0.25">
      <c r="A61" s="4">
        <f ca="1">INDEX(Stations,INT((ROWS(A$2:A61)-1)/(DATE(YEAR(Invoer!$A$5),12,31)-DATE(YEAR(Invoer!$A$5),1,1)+1))+2,1)</f>
        <v>78989</v>
      </c>
      <c r="B61" t="str">
        <f ca="1">TEXT(DATE(YEAR(Invoer!$A$5),1,1)+MOD(ROWS(B$2:B61)-1,DATE(YEAR(Invoer!$A$5),12,31)-DATE(YEAR(Invoer!$A$5),1,1)+1),"jjjjmmdd")</f>
        <v>19130301</v>
      </c>
      <c r="C61" s="5">
        <v>1</v>
      </c>
      <c r="D61" s="69" t="str">
        <f t="shared" ca="1" si="0"/>
        <v>—</v>
      </c>
      <c r="E61" s="10">
        <f t="shared" ca="1" si="1"/>
        <v>7</v>
      </c>
    </row>
    <row r="62" spans="1:5" x14ac:dyDescent="0.25">
      <c r="A62" s="4">
        <f ca="1">INDEX(Stations,INT((ROWS(A$2:A62)-1)/(DATE(YEAR(Invoer!$A$5),12,31)-DATE(YEAR(Invoer!$A$5),1,1)+1))+2,1)</f>
        <v>78989</v>
      </c>
      <c r="B62" t="str">
        <f ca="1">TEXT(DATE(YEAR(Invoer!$A$5),1,1)+MOD(ROWS(B$2:B62)-1,DATE(YEAR(Invoer!$A$5),12,31)-DATE(YEAR(Invoer!$A$5),1,1)+1),"jjjjmmdd")</f>
        <v>19130302</v>
      </c>
      <c r="C62" s="5">
        <v>1</v>
      </c>
      <c r="D62" s="69" t="str">
        <f t="shared" ca="1" si="0"/>
        <v>—</v>
      </c>
      <c r="E62" s="10">
        <f t="shared" ca="1" si="1"/>
        <v>7</v>
      </c>
    </row>
    <row r="63" spans="1:5" x14ac:dyDescent="0.25">
      <c r="A63" s="4">
        <f ca="1">INDEX(Stations,INT((ROWS(A$2:A63)-1)/(DATE(YEAR(Invoer!$A$5),12,31)-DATE(YEAR(Invoer!$A$5),1,1)+1))+2,1)</f>
        <v>78989</v>
      </c>
      <c r="B63" t="str">
        <f ca="1">TEXT(DATE(YEAR(Invoer!$A$5),1,1)+MOD(ROWS(B$2:B63)-1,DATE(YEAR(Invoer!$A$5),12,31)-DATE(YEAR(Invoer!$A$5),1,1)+1),"jjjjmmdd")</f>
        <v>19130303</v>
      </c>
      <c r="C63" s="5">
        <v>1</v>
      </c>
      <c r="D63" s="69" t="str">
        <f t="shared" ca="1" si="0"/>
        <v>—</v>
      </c>
      <c r="E63" s="10">
        <f t="shared" ca="1" si="1"/>
        <v>7</v>
      </c>
    </row>
    <row r="64" spans="1:5" x14ac:dyDescent="0.25">
      <c r="A64" s="4">
        <f ca="1">INDEX(Stations,INT((ROWS(A$2:A64)-1)/(DATE(YEAR(Invoer!$A$5),12,31)-DATE(YEAR(Invoer!$A$5),1,1)+1))+2,1)</f>
        <v>78989</v>
      </c>
      <c r="B64" t="str">
        <f ca="1">TEXT(DATE(YEAR(Invoer!$A$5),1,1)+MOD(ROWS(B$2:B64)-1,DATE(YEAR(Invoer!$A$5),12,31)-DATE(YEAR(Invoer!$A$5),1,1)+1),"jjjjmmdd")</f>
        <v>19130304</v>
      </c>
      <c r="C64" s="5">
        <v>1</v>
      </c>
      <c r="D64" s="69" t="str">
        <f t="shared" ca="1" si="0"/>
        <v>—</v>
      </c>
      <c r="E64" s="10">
        <f t="shared" ca="1" si="1"/>
        <v>7</v>
      </c>
    </row>
    <row r="65" spans="1:5" x14ac:dyDescent="0.25">
      <c r="A65" s="4">
        <f ca="1">INDEX(Stations,INT((ROWS(A$2:A65)-1)/(DATE(YEAR(Invoer!$A$5),12,31)-DATE(YEAR(Invoer!$A$5),1,1)+1))+2,1)</f>
        <v>78989</v>
      </c>
      <c r="B65" t="str">
        <f ca="1">TEXT(DATE(YEAR(Invoer!$A$5),1,1)+MOD(ROWS(B$2:B65)-1,DATE(YEAR(Invoer!$A$5),12,31)-DATE(YEAR(Invoer!$A$5),1,1)+1),"jjjjmmdd")</f>
        <v>19130305</v>
      </c>
      <c r="C65" s="5">
        <v>1</v>
      </c>
      <c r="D65" s="69" t="str">
        <f t="shared" ca="1" si="0"/>
        <v>—</v>
      </c>
      <c r="E65" s="10">
        <f t="shared" ca="1" si="1"/>
        <v>7</v>
      </c>
    </row>
    <row r="66" spans="1:5" x14ac:dyDescent="0.25">
      <c r="A66" s="4">
        <f ca="1">INDEX(Stations,INT((ROWS(A$2:A66)-1)/(DATE(YEAR(Invoer!$A$5),12,31)-DATE(YEAR(Invoer!$A$5),1,1)+1))+2,1)</f>
        <v>78989</v>
      </c>
      <c r="B66" t="str">
        <f ca="1">TEXT(DATE(YEAR(Invoer!$A$5),1,1)+MOD(ROWS(B$2:B66)-1,DATE(YEAR(Invoer!$A$5),12,31)-DATE(YEAR(Invoer!$A$5),1,1)+1),"jjjjmmdd")</f>
        <v>19130306</v>
      </c>
      <c r="C66" s="5">
        <v>1</v>
      </c>
      <c r="D66" s="69" t="str">
        <f t="shared" ref="D66:D129" ca="1" si="2">IF(OR(ISBLANK(VLOOKUP(DATEVALUE(LEFT(B66,4)&amp;"-"&amp;MID(B66,5,2)&amp;"-"&amp;RIGHT(B66,2)),Data,MATCH(LEFT(VLOOKUP(D$1,Parameters,2,FALSE()),3)&amp;"*",OFFSET(Data,0,0,1),0),FALSE())),AND(ISTEXT(VLOOKUP(DATEVALUE(LEFT(B66,4)&amp;"-"&amp;MID(B66,5,2)&amp;"-"&amp;RIGHT(B66,2)),Data,MATCH(LEFT(VLOOKUP(D$1,Parameters,2,FALSE()),3)&amp;"*",OFFSET(Data,0,0,1),0),FALSE())),NOT(EXACT(VLOOKUP(DATEVALUE(LEFT(B66,4)&amp;"-"&amp;MID(B66,5,2)&amp;"-"&amp;RIGHT(B66,2)),Data,MATCH(LEFT(VLOOKUP(D$1,Parameters,2,FALSE()),3)&amp;"*",OFFSET(Data,0,0,1),0),FALSE()),"T")))),"—",IF(ISTEXT(VLOOKUP(DATEVALUE(LEFT(B66,4)&amp;"-"&amp;MID(B66,5,2)&amp;"-"&amp;RIGHT(B66,2)),Data,MATCH(LEFT(VLOOKUP(D$1,Parameters,2,FALSE()),3)&amp;"*",OFFSET(Data,0,0,1),0),FALSE())),VLOOKUP(DATEVALUE(LEFT(B66,4)&amp;"-"&amp;MID(B66,5,2)&amp;"-"&amp;RIGHT(B66,2)),Data,MATCH(LEFT(VLOOKUP(D$1,Parameters,2,FALSE()),3)&amp;"*",OFFSET(Data,0,0,1),0),FALSE()),ROUND(0.254*VLOOKUP(DATEVALUE(LEFT(B66,4)&amp;"-"&amp;MID(B66,5,2)&amp;"-"&amp;RIGHT(B66,2)),Data,MATCH(LEFT(VLOOKUP(D$1,Parameters,2,FALSE()),3)&amp;"*",OFFSET(Data,0,0,1),0),FALSE()),1)))</f>
        <v>—</v>
      </c>
      <c r="E66" s="10">
        <f t="shared" ref="E66:E129" ca="1" si="3">IF(OR(ISBLANK(VLOOKUP(DATEVALUE(LEFT(B66,4)&amp;"-"&amp;MID(B66,5,2)&amp;"-"&amp;RIGHT(B66,2)),Data,MATCH(LEFT(VLOOKUP(MID(E$1,2,LEN(E$1)-1),Parameters,2,FALSE()),3)&amp;"*",OFFSET(Data,0,0,1),0),FALSE())),AND(ISTEXT(VLOOKUP(DATEVALUE(LEFT(B66,4)&amp;"-"&amp;MID(B66,5,2)&amp;"-"&amp;RIGHT(B66,2)),Data,MATCH(LEFT(VLOOKUP(MID(E$1,2,LEN(E$1)-1),Parameters,2,FALSE()),3)&amp;"*",OFFSET(Data,0,0,1),0),FALSE())),NOT(EXACT(VLOOKUP(DATEVALUE(LEFT(B66,4)&amp;"-"&amp;MID(B66,5,2)&amp;"-"&amp;RIGHT(B66,2)),Data,MATCH(LEFT(VLOOKUP(MID(E$1,2,LEN(E$1)-1),Parameters,2,FALSE()),3)&amp;"*",OFFSET(Data,0,0,1),0),FALSE()),"T")))),Lacking,IF(ISNA(MATCH(DATEVALUE(LEFT(B66,4)&amp;"-"&amp;MID(B66,5,2)&amp;"-"&amp;RIGHT(B66,2)),OFFSET(Catalogus,0,0,,1),0)),Ok,VLOOKUP(DATEVALUE(LEFT(B66,4)&amp;"-"&amp;MID(B66,5,2)&amp;"-"&amp;RIGHT(B66,2)),Catalogus,MATCH(LEFT(VLOOKUP(MID(E$1,2,LEN(E$1)-1),Parameters,2,FALSE()),3)&amp;"*",OFFSET(Catalogus,0,0,1),0),FALSE())))</f>
        <v>7</v>
      </c>
    </row>
    <row r="67" spans="1:5" x14ac:dyDescent="0.25">
      <c r="A67" s="4">
        <f ca="1">INDEX(Stations,INT((ROWS(A$2:A67)-1)/(DATE(YEAR(Invoer!$A$5),12,31)-DATE(YEAR(Invoer!$A$5),1,1)+1))+2,1)</f>
        <v>78989</v>
      </c>
      <c r="B67" t="str">
        <f ca="1">TEXT(DATE(YEAR(Invoer!$A$5),1,1)+MOD(ROWS(B$2:B67)-1,DATE(YEAR(Invoer!$A$5),12,31)-DATE(YEAR(Invoer!$A$5),1,1)+1),"jjjjmmdd")</f>
        <v>19130307</v>
      </c>
      <c r="C67" s="5">
        <v>1</v>
      </c>
      <c r="D67" s="69" t="str">
        <f t="shared" ca="1" si="2"/>
        <v>—</v>
      </c>
      <c r="E67" s="10">
        <f t="shared" ca="1" si="3"/>
        <v>7</v>
      </c>
    </row>
    <row r="68" spans="1:5" x14ac:dyDescent="0.25">
      <c r="A68" s="4">
        <f ca="1">INDEX(Stations,INT((ROWS(A$2:A68)-1)/(DATE(YEAR(Invoer!$A$5),12,31)-DATE(YEAR(Invoer!$A$5),1,1)+1))+2,1)</f>
        <v>78989</v>
      </c>
      <c r="B68" t="str">
        <f ca="1">TEXT(DATE(YEAR(Invoer!$A$5),1,1)+MOD(ROWS(B$2:B68)-1,DATE(YEAR(Invoer!$A$5),12,31)-DATE(YEAR(Invoer!$A$5),1,1)+1),"jjjjmmdd")</f>
        <v>19130308</v>
      </c>
      <c r="C68" s="5">
        <v>1</v>
      </c>
      <c r="D68" s="69" t="str">
        <f t="shared" ca="1" si="2"/>
        <v>—</v>
      </c>
      <c r="E68" s="10">
        <f t="shared" ca="1" si="3"/>
        <v>7</v>
      </c>
    </row>
    <row r="69" spans="1:5" x14ac:dyDescent="0.25">
      <c r="A69" s="4">
        <f ca="1">INDEX(Stations,INT((ROWS(A$2:A69)-1)/(DATE(YEAR(Invoer!$A$5),12,31)-DATE(YEAR(Invoer!$A$5),1,1)+1))+2,1)</f>
        <v>78989</v>
      </c>
      <c r="B69" t="str">
        <f ca="1">TEXT(DATE(YEAR(Invoer!$A$5),1,1)+MOD(ROWS(B$2:B69)-1,DATE(YEAR(Invoer!$A$5),12,31)-DATE(YEAR(Invoer!$A$5),1,1)+1),"jjjjmmdd")</f>
        <v>19130309</v>
      </c>
      <c r="C69" s="5">
        <v>1</v>
      </c>
      <c r="D69" s="69" t="str">
        <f t="shared" ca="1" si="2"/>
        <v>—</v>
      </c>
      <c r="E69" s="10">
        <f t="shared" ca="1" si="3"/>
        <v>7</v>
      </c>
    </row>
    <row r="70" spans="1:5" x14ac:dyDescent="0.25">
      <c r="A70" s="4">
        <f ca="1">INDEX(Stations,INT((ROWS(A$2:A70)-1)/(DATE(YEAR(Invoer!$A$5),12,31)-DATE(YEAR(Invoer!$A$5),1,1)+1))+2,1)</f>
        <v>78989</v>
      </c>
      <c r="B70" t="str">
        <f ca="1">TEXT(DATE(YEAR(Invoer!$A$5),1,1)+MOD(ROWS(B$2:B70)-1,DATE(YEAR(Invoer!$A$5),12,31)-DATE(YEAR(Invoer!$A$5),1,1)+1),"jjjjmmdd")</f>
        <v>19130310</v>
      </c>
      <c r="C70" s="5">
        <v>1</v>
      </c>
      <c r="D70" s="69" t="str">
        <f t="shared" ca="1" si="2"/>
        <v>—</v>
      </c>
      <c r="E70" s="10">
        <f t="shared" ca="1" si="3"/>
        <v>7</v>
      </c>
    </row>
    <row r="71" spans="1:5" x14ac:dyDescent="0.25">
      <c r="A71" s="4">
        <f ca="1">INDEX(Stations,INT((ROWS(A$2:A71)-1)/(DATE(YEAR(Invoer!$A$5),12,31)-DATE(YEAR(Invoer!$A$5),1,1)+1))+2,1)</f>
        <v>78989</v>
      </c>
      <c r="B71" t="str">
        <f ca="1">TEXT(DATE(YEAR(Invoer!$A$5),1,1)+MOD(ROWS(B$2:B71)-1,DATE(YEAR(Invoer!$A$5),12,31)-DATE(YEAR(Invoer!$A$5),1,1)+1),"jjjjmmdd")</f>
        <v>19130311</v>
      </c>
      <c r="C71" s="5">
        <v>1</v>
      </c>
      <c r="D71" s="69" t="str">
        <f t="shared" ca="1" si="2"/>
        <v>—</v>
      </c>
      <c r="E71" s="10">
        <f t="shared" ca="1" si="3"/>
        <v>7</v>
      </c>
    </row>
    <row r="72" spans="1:5" x14ac:dyDescent="0.25">
      <c r="A72" s="4">
        <f ca="1">INDEX(Stations,INT((ROWS(A$2:A72)-1)/(DATE(YEAR(Invoer!$A$5),12,31)-DATE(YEAR(Invoer!$A$5),1,1)+1))+2,1)</f>
        <v>78989</v>
      </c>
      <c r="B72" t="str">
        <f ca="1">TEXT(DATE(YEAR(Invoer!$A$5),1,1)+MOD(ROWS(B$2:B72)-1,DATE(YEAR(Invoer!$A$5),12,31)-DATE(YEAR(Invoer!$A$5),1,1)+1),"jjjjmmdd")</f>
        <v>19130312</v>
      </c>
      <c r="C72" s="5">
        <v>1</v>
      </c>
      <c r="D72" s="69" t="str">
        <f t="shared" ca="1" si="2"/>
        <v>—</v>
      </c>
      <c r="E72" s="10">
        <f t="shared" ca="1" si="3"/>
        <v>7</v>
      </c>
    </row>
    <row r="73" spans="1:5" x14ac:dyDescent="0.25">
      <c r="A73" s="4">
        <f ca="1">INDEX(Stations,INT((ROWS(A$2:A73)-1)/(DATE(YEAR(Invoer!$A$5),12,31)-DATE(YEAR(Invoer!$A$5),1,1)+1))+2,1)</f>
        <v>78989</v>
      </c>
      <c r="B73" t="str">
        <f ca="1">TEXT(DATE(YEAR(Invoer!$A$5),1,1)+MOD(ROWS(B$2:B73)-1,DATE(YEAR(Invoer!$A$5),12,31)-DATE(YEAR(Invoer!$A$5),1,1)+1),"jjjjmmdd")</f>
        <v>19130313</v>
      </c>
      <c r="C73" s="5">
        <v>1</v>
      </c>
      <c r="D73" s="69" t="str">
        <f t="shared" ca="1" si="2"/>
        <v>—</v>
      </c>
      <c r="E73" s="10">
        <f t="shared" ca="1" si="3"/>
        <v>7</v>
      </c>
    </row>
    <row r="74" spans="1:5" x14ac:dyDescent="0.25">
      <c r="A74" s="4">
        <f ca="1">INDEX(Stations,INT((ROWS(A$2:A74)-1)/(DATE(YEAR(Invoer!$A$5),12,31)-DATE(YEAR(Invoer!$A$5),1,1)+1))+2,1)</f>
        <v>78989</v>
      </c>
      <c r="B74" t="str">
        <f ca="1">TEXT(DATE(YEAR(Invoer!$A$5),1,1)+MOD(ROWS(B$2:B74)-1,DATE(YEAR(Invoer!$A$5),12,31)-DATE(YEAR(Invoer!$A$5),1,1)+1),"jjjjmmdd")</f>
        <v>19130314</v>
      </c>
      <c r="C74" s="5">
        <v>1</v>
      </c>
      <c r="D74" s="69" t="str">
        <f t="shared" ca="1" si="2"/>
        <v>—</v>
      </c>
      <c r="E74" s="10">
        <f t="shared" ca="1" si="3"/>
        <v>7</v>
      </c>
    </row>
    <row r="75" spans="1:5" x14ac:dyDescent="0.25">
      <c r="A75" s="4">
        <f ca="1">INDEX(Stations,INT((ROWS(A$2:A75)-1)/(DATE(YEAR(Invoer!$A$5),12,31)-DATE(YEAR(Invoer!$A$5),1,1)+1))+2,1)</f>
        <v>78989</v>
      </c>
      <c r="B75" t="str">
        <f ca="1">TEXT(DATE(YEAR(Invoer!$A$5),1,1)+MOD(ROWS(B$2:B75)-1,DATE(YEAR(Invoer!$A$5),12,31)-DATE(YEAR(Invoer!$A$5),1,1)+1),"jjjjmmdd")</f>
        <v>19130315</v>
      </c>
      <c r="C75" s="5">
        <v>1</v>
      </c>
      <c r="D75" s="69" t="str">
        <f t="shared" ca="1" si="2"/>
        <v>—</v>
      </c>
      <c r="E75" s="10">
        <f t="shared" ca="1" si="3"/>
        <v>7</v>
      </c>
    </row>
    <row r="76" spans="1:5" x14ac:dyDescent="0.25">
      <c r="A76" s="4">
        <f ca="1">INDEX(Stations,INT((ROWS(A$2:A76)-1)/(DATE(YEAR(Invoer!$A$5),12,31)-DATE(YEAR(Invoer!$A$5),1,1)+1))+2,1)</f>
        <v>78989</v>
      </c>
      <c r="B76" t="str">
        <f ca="1">TEXT(DATE(YEAR(Invoer!$A$5),1,1)+MOD(ROWS(B$2:B76)-1,DATE(YEAR(Invoer!$A$5),12,31)-DATE(YEAR(Invoer!$A$5),1,1)+1),"jjjjmmdd")</f>
        <v>19130316</v>
      </c>
      <c r="C76" s="5">
        <v>1</v>
      </c>
      <c r="D76" s="69" t="str">
        <f t="shared" ca="1" si="2"/>
        <v>—</v>
      </c>
      <c r="E76" s="10">
        <f t="shared" ca="1" si="3"/>
        <v>7</v>
      </c>
    </row>
    <row r="77" spans="1:5" x14ac:dyDescent="0.25">
      <c r="A77" s="4">
        <f ca="1">INDEX(Stations,INT((ROWS(A$2:A77)-1)/(DATE(YEAR(Invoer!$A$5),12,31)-DATE(YEAR(Invoer!$A$5),1,1)+1))+2,1)</f>
        <v>78989</v>
      </c>
      <c r="B77" t="str">
        <f ca="1">TEXT(DATE(YEAR(Invoer!$A$5),1,1)+MOD(ROWS(B$2:B77)-1,DATE(YEAR(Invoer!$A$5),12,31)-DATE(YEAR(Invoer!$A$5),1,1)+1),"jjjjmmdd")</f>
        <v>19130317</v>
      </c>
      <c r="C77" s="5">
        <v>1</v>
      </c>
      <c r="D77" s="69" t="str">
        <f t="shared" ca="1" si="2"/>
        <v>—</v>
      </c>
      <c r="E77" s="10">
        <f t="shared" ca="1" si="3"/>
        <v>7</v>
      </c>
    </row>
    <row r="78" spans="1:5" x14ac:dyDescent="0.25">
      <c r="A78" s="4">
        <f ca="1">INDEX(Stations,INT((ROWS(A$2:A78)-1)/(DATE(YEAR(Invoer!$A$5),12,31)-DATE(YEAR(Invoer!$A$5),1,1)+1))+2,1)</f>
        <v>78989</v>
      </c>
      <c r="B78" t="str">
        <f ca="1">TEXT(DATE(YEAR(Invoer!$A$5),1,1)+MOD(ROWS(B$2:B78)-1,DATE(YEAR(Invoer!$A$5),12,31)-DATE(YEAR(Invoer!$A$5),1,1)+1),"jjjjmmdd")</f>
        <v>19130318</v>
      </c>
      <c r="C78" s="5">
        <v>1</v>
      </c>
      <c r="D78" s="69" t="str">
        <f t="shared" ca="1" si="2"/>
        <v>—</v>
      </c>
      <c r="E78" s="10">
        <f t="shared" ca="1" si="3"/>
        <v>7</v>
      </c>
    </row>
    <row r="79" spans="1:5" x14ac:dyDescent="0.25">
      <c r="A79" s="4">
        <f ca="1">INDEX(Stations,INT((ROWS(A$2:A79)-1)/(DATE(YEAR(Invoer!$A$5),12,31)-DATE(YEAR(Invoer!$A$5),1,1)+1))+2,1)</f>
        <v>78989</v>
      </c>
      <c r="B79" t="str">
        <f ca="1">TEXT(DATE(YEAR(Invoer!$A$5),1,1)+MOD(ROWS(B$2:B79)-1,DATE(YEAR(Invoer!$A$5),12,31)-DATE(YEAR(Invoer!$A$5),1,1)+1),"jjjjmmdd")</f>
        <v>19130319</v>
      </c>
      <c r="C79" s="5">
        <v>1</v>
      </c>
      <c r="D79" s="69" t="str">
        <f t="shared" ca="1" si="2"/>
        <v>—</v>
      </c>
      <c r="E79" s="10">
        <f t="shared" ca="1" si="3"/>
        <v>7</v>
      </c>
    </row>
    <row r="80" spans="1:5" x14ac:dyDescent="0.25">
      <c r="A80" s="4">
        <f ca="1">INDEX(Stations,INT((ROWS(A$2:A80)-1)/(DATE(YEAR(Invoer!$A$5),12,31)-DATE(YEAR(Invoer!$A$5),1,1)+1))+2,1)</f>
        <v>78989</v>
      </c>
      <c r="B80" t="str">
        <f ca="1">TEXT(DATE(YEAR(Invoer!$A$5),1,1)+MOD(ROWS(B$2:B80)-1,DATE(YEAR(Invoer!$A$5),12,31)-DATE(YEAR(Invoer!$A$5),1,1)+1),"jjjjmmdd")</f>
        <v>19130320</v>
      </c>
      <c r="C80" s="5">
        <v>1</v>
      </c>
      <c r="D80" s="69" t="str">
        <f t="shared" ca="1" si="2"/>
        <v>—</v>
      </c>
      <c r="E80" s="10">
        <f t="shared" ca="1" si="3"/>
        <v>7</v>
      </c>
    </row>
    <row r="81" spans="1:5" x14ac:dyDescent="0.25">
      <c r="A81" s="4">
        <f ca="1">INDEX(Stations,INT((ROWS(A$2:A81)-1)/(DATE(YEAR(Invoer!$A$5),12,31)-DATE(YEAR(Invoer!$A$5),1,1)+1))+2,1)</f>
        <v>78989</v>
      </c>
      <c r="B81" t="str">
        <f ca="1">TEXT(DATE(YEAR(Invoer!$A$5),1,1)+MOD(ROWS(B$2:B81)-1,DATE(YEAR(Invoer!$A$5),12,31)-DATE(YEAR(Invoer!$A$5),1,1)+1),"jjjjmmdd")</f>
        <v>19130321</v>
      </c>
      <c r="C81" s="5">
        <v>1</v>
      </c>
      <c r="D81" s="69" t="str">
        <f t="shared" ca="1" si="2"/>
        <v>—</v>
      </c>
      <c r="E81" s="10">
        <f t="shared" ca="1" si="3"/>
        <v>7</v>
      </c>
    </row>
    <row r="82" spans="1:5" x14ac:dyDescent="0.25">
      <c r="A82" s="4">
        <f ca="1">INDEX(Stations,INT((ROWS(A$2:A82)-1)/(DATE(YEAR(Invoer!$A$5),12,31)-DATE(YEAR(Invoer!$A$5),1,1)+1))+2,1)</f>
        <v>78989</v>
      </c>
      <c r="B82" t="str">
        <f ca="1">TEXT(DATE(YEAR(Invoer!$A$5),1,1)+MOD(ROWS(B$2:B82)-1,DATE(YEAR(Invoer!$A$5),12,31)-DATE(YEAR(Invoer!$A$5),1,1)+1),"jjjjmmdd")</f>
        <v>19130322</v>
      </c>
      <c r="C82" s="5">
        <v>1</v>
      </c>
      <c r="D82" s="69" t="str">
        <f t="shared" ca="1" si="2"/>
        <v>—</v>
      </c>
      <c r="E82" s="10">
        <f t="shared" ca="1" si="3"/>
        <v>7</v>
      </c>
    </row>
    <row r="83" spans="1:5" x14ac:dyDescent="0.25">
      <c r="A83" s="4">
        <f ca="1">INDEX(Stations,INT((ROWS(A$2:A83)-1)/(DATE(YEAR(Invoer!$A$5),12,31)-DATE(YEAR(Invoer!$A$5),1,1)+1))+2,1)</f>
        <v>78989</v>
      </c>
      <c r="B83" t="str">
        <f ca="1">TEXT(DATE(YEAR(Invoer!$A$5),1,1)+MOD(ROWS(B$2:B83)-1,DATE(YEAR(Invoer!$A$5),12,31)-DATE(YEAR(Invoer!$A$5),1,1)+1),"jjjjmmdd")</f>
        <v>19130323</v>
      </c>
      <c r="C83" s="5">
        <v>1</v>
      </c>
      <c r="D83" s="69" t="str">
        <f t="shared" ca="1" si="2"/>
        <v>—</v>
      </c>
      <c r="E83" s="10">
        <f t="shared" ca="1" si="3"/>
        <v>7</v>
      </c>
    </row>
    <row r="84" spans="1:5" x14ac:dyDescent="0.25">
      <c r="A84" s="4">
        <f ca="1">INDEX(Stations,INT((ROWS(A$2:A84)-1)/(DATE(YEAR(Invoer!$A$5),12,31)-DATE(YEAR(Invoer!$A$5),1,1)+1))+2,1)</f>
        <v>78989</v>
      </c>
      <c r="B84" t="str">
        <f ca="1">TEXT(DATE(YEAR(Invoer!$A$5),1,1)+MOD(ROWS(B$2:B84)-1,DATE(YEAR(Invoer!$A$5),12,31)-DATE(YEAR(Invoer!$A$5),1,1)+1),"jjjjmmdd")</f>
        <v>19130324</v>
      </c>
      <c r="C84" s="5">
        <v>1</v>
      </c>
      <c r="D84" s="69" t="str">
        <f t="shared" ca="1" si="2"/>
        <v>—</v>
      </c>
      <c r="E84" s="10">
        <f t="shared" ca="1" si="3"/>
        <v>7</v>
      </c>
    </row>
    <row r="85" spans="1:5" x14ac:dyDescent="0.25">
      <c r="A85" s="4">
        <f ca="1">INDEX(Stations,INT((ROWS(A$2:A85)-1)/(DATE(YEAR(Invoer!$A$5),12,31)-DATE(YEAR(Invoer!$A$5),1,1)+1))+2,1)</f>
        <v>78989</v>
      </c>
      <c r="B85" t="str">
        <f ca="1">TEXT(DATE(YEAR(Invoer!$A$5),1,1)+MOD(ROWS(B$2:B85)-1,DATE(YEAR(Invoer!$A$5),12,31)-DATE(YEAR(Invoer!$A$5),1,1)+1),"jjjjmmdd")</f>
        <v>19130325</v>
      </c>
      <c r="C85" s="5">
        <v>1</v>
      </c>
      <c r="D85" s="69" t="str">
        <f t="shared" ca="1" si="2"/>
        <v>—</v>
      </c>
      <c r="E85" s="10">
        <f t="shared" ca="1" si="3"/>
        <v>7</v>
      </c>
    </row>
    <row r="86" spans="1:5" x14ac:dyDescent="0.25">
      <c r="A86" s="4">
        <f ca="1">INDEX(Stations,INT((ROWS(A$2:A86)-1)/(DATE(YEAR(Invoer!$A$5),12,31)-DATE(YEAR(Invoer!$A$5),1,1)+1))+2,1)</f>
        <v>78989</v>
      </c>
      <c r="B86" t="str">
        <f ca="1">TEXT(DATE(YEAR(Invoer!$A$5),1,1)+MOD(ROWS(B$2:B86)-1,DATE(YEAR(Invoer!$A$5),12,31)-DATE(YEAR(Invoer!$A$5),1,1)+1),"jjjjmmdd")</f>
        <v>19130326</v>
      </c>
      <c r="C86" s="5">
        <v>1</v>
      </c>
      <c r="D86" s="69" t="str">
        <f t="shared" ca="1" si="2"/>
        <v>—</v>
      </c>
      <c r="E86" s="10">
        <f t="shared" ca="1" si="3"/>
        <v>7</v>
      </c>
    </row>
    <row r="87" spans="1:5" x14ac:dyDescent="0.25">
      <c r="A87" s="4">
        <f ca="1">INDEX(Stations,INT((ROWS(A$2:A87)-1)/(DATE(YEAR(Invoer!$A$5),12,31)-DATE(YEAR(Invoer!$A$5),1,1)+1))+2,1)</f>
        <v>78989</v>
      </c>
      <c r="B87" t="str">
        <f ca="1">TEXT(DATE(YEAR(Invoer!$A$5),1,1)+MOD(ROWS(B$2:B87)-1,DATE(YEAR(Invoer!$A$5),12,31)-DATE(YEAR(Invoer!$A$5),1,1)+1),"jjjjmmdd")</f>
        <v>19130327</v>
      </c>
      <c r="C87" s="5">
        <v>1</v>
      </c>
      <c r="D87" s="69" t="str">
        <f t="shared" ca="1" si="2"/>
        <v>—</v>
      </c>
      <c r="E87" s="10">
        <f t="shared" ca="1" si="3"/>
        <v>7</v>
      </c>
    </row>
    <row r="88" spans="1:5" x14ac:dyDescent="0.25">
      <c r="A88" s="4">
        <f ca="1">INDEX(Stations,INT((ROWS(A$2:A88)-1)/(DATE(YEAR(Invoer!$A$5),12,31)-DATE(YEAR(Invoer!$A$5),1,1)+1))+2,1)</f>
        <v>78989</v>
      </c>
      <c r="B88" t="str">
        <f ca="1">TEXT(DATE(YEAR(Invoer!$A$5),1,1)+MOD(ROWS(B$2:B88)-1,DATE(YEAR(Invoer!$A$5),12,31)-DATE(YEAR(Invoer!$A$5),1,1)+1),"jjjjmmdd")</f>
        <v>19130328</v>
      </c>
      <c r="C88" s="5">
        <v>1</v>
      </c>
      <c r="D88" s="69" t="str">
        <f t="shared" ca="1" si="2"/>
        <v>—</v>
      </c>
      <c r="E88" s="10">
        <f t="shared" ca="1" si="3"/>
        <v>7</v>
      </c>
    </row>
    <row r="89" spans="1:5" x14ac:dyDescent="0.25">
      <c r="A89" s="4">
        <f ca="1">INDEX(Stations,INT((ROWS(A$2:A89)-1)/(DATE(YEAR(Invoer!$A$5),12,31)-DATE(YEAR(Invoer!$A$5),1,1)+1))+2,1)</f>
        <v>78989</v>
      </c>
      <c r="B89" t="str">
        <f ca="1">TEXT(DATE(YEAR(Invoer!$A$5),1,1)+MOD(ROWS(B$2:B89)-1,DATE(YEAR(Invoer!$A$5),12,31)-DATE(YEAR(Invoer!$A$5),1,1)+1),"jjjjmmdd")</f>
        <v>19130329</v>
      </c>
      <c r="C89" s="5">
        <v>1</v>
      </c>
      <c r="D89" s="69" t="str">
        <f t="shared" ca="1" si="2"/>
        <v>—</v>
      </c>
      <c r="E89" s="10">
        <f t="shared" ca="1" si="3"/>
        <v>7</v>
      </c>
    </row>
    <row r="90" spans="1:5" x14ac:dyDescent="0.25">
      <c r="A90" s="4">
        <f ca="1">INDEX(Stations,INT((ROWS(A$2:A90)-1)/(DATE(YEAR(Invoer!$A$5),12,31)-DATE(YEAR(Invoer!$A$5),1,1)+1))+2,1)</f>
        <v>78989</v>
      </c>
      <c r="B90" t="str">
        <f ca="1">TEXT(DATE(YEAR(Invoer!$A$5),1,1)+MOD(ROWS(B$2:B90)-1,DATE(YEAR(Invoer!$A$5),12,31)-DATE(YEAR(Invoer!$A$5),1,1)+1),"jjjjmmdd")</f>
        <v>19130330</v>
      </c>
      <c r="C90" s="5">
        <v>1</v>
      </c>
      <c r="D90" s="69" t="str">
        <f t="shared" ca="1" si="2"/>
        <v>—</v>
      </c>
      <c r="E90" s="10">
        <f t="shared" ca="1" si="3"/>
        <v>7</v>
      </c>
    </row>
    <row r="91" spans="1:5" x14ac:dyDescent="0.25">
      <c r="A91" s="4">
        <f ca="1">INDEX(Stations,INT((ROWS(A$2:A91)-1)/(DATE(YEAR(Invoer!$A$5),12,31)-DATE(YEAR(Invoer!$A$5),1,1)+1))+2,1)</f>
        <v>78989</v>
      </c>
      <c r="B91" t="str">
        <f ca="1">TEXT(DATE(YEAR(Invoer!$A$5),1,1)+MOD(ROWS(B$2:B91)-1,DATE(YEAR(Invoer!$A$5),12,31)-DATE(YEAR(Invoer!$A$5),1,1)+1),"jjjjmmdd")</f>
        <v>19130331</v>
      </c>
      <c r="C91" s="5">
        <v>1</v>
      </c>
      <c r="D91" s="69" t="str">
        <f t="shared" ca="1" si="2"/>
        <v>—</v>
      </c>
      <c r="E91" s="10">
        <f t="shared" ca="1" si="3"/>
        <v>7</v>
      </c>
    </row>
    <row r="92" spans="1:5" x14ac:dyDescent="0.25">
      <c r="A92" s="4">
        <f ca="1">INDEX(Stations,INT((ROWS(A$2:A92)-1)/(DATE(YEAR(Invoer!$A$5),12,31)-DATE(YEAR(Invoer!$A$5),1,1)+1))+2,1)</f>
        <v>78989</v>
      </c>
      <c r="B92" t="str">
        <f ca="1">TEXT(DATE(YEAR(Invoer!$A$5),1,1)+MOD(ROWS(B$2:B92)-1,DATE(YEAR(Invoer!$A$5),12,31)-DATE(YEAR(Invoer!$A$5),1,1)+1),"jjjjmmdd")</f>
        <v>19130401</v>
      </c>
      <c r="C92" s="5">
        <v>1</v>
      </c>
      <c r="D92" s="69" t="str">
        <f t="shared" ca="1" si="2"/>
        <v>—</v>
      </c>
      <c r="E92" s="10">
        <f t="shared" ca="1" si="3"/>
        <v>7</v>
      </c>
    </row>
    <row r="93" spans="1:5" x14ac:dyDescent="0.25">
      <c r="A93" s="4">
        <f ca="1">INDEX(Stations,INT((ROWS(A$2:A93)-1)/(DATE(YEAR(Invoer!$A$5),12,31)-DATE(YEAR(Invoer!$A$5),1,1)+1))+2,1)</f>
        <v>78989</v>
      </c>
      <c r="B93" t="str">
        <f ca="1">TEXT(DATE(YEAR(Invoer!$A$5),1,1)+MOD(ROWS(B$2:B93)-1,DATE(YEAR(Invoer!$A$5),12,31)-DATE(YEAR(Invoer!$A$5),1,1)+1),"jjjjmmdd")</f>
        <v>19130402</v>
      </c>
      <c r="C93" s="5">
        <v>1</v>
      </c>
      <c r="D93" s="69" t="str">
        <f t="shared" ca="1" si="2"/>
        <v>—</v>
      </c>
      <c r="E93" s="10">
        <f t="shared" ca="1" si="3"/>
        <v>7</v>
      </c>
    </row>
    <row r="94" spans="1:5" x14ac:dyDescent="0.25">
      <c r="A94" s="4">
        <f ca="1">INDEX(Stations,INT((ROWS(A$2:A94)-1)/(DATE(YEAR(Invoer!$A$5),12,31)-DATE(YEAR(Invoer!$A$5),1,1)+1))+2,1)</f>
        <v>78989</v>
      </c>
      <c r="B94" t="str">
        <f ca="1">TEXT(DATE(YEAR(Invoer!$A$5),1,1)+MOD(ROWS(B$2:B94)-1,DATE(YEAR(Invoer!$A$5),12,31)-DATE(YEAR(Invoer!$A$5),1,1)+1),"jjjjmmdd")</f>
        <v>19130403</v>
      </c>
      <c r="C94" s="5">
        <v>1</v>
      </c>
      <c r="D94" s="69" t="str">
        <f t="shared" ca="1" si="2"/>
        <v>—</v>
      </c>
      <c r="E94" s="10">
        <f t="shared" ca="1" si="3"/>
        <v>7</v>
      </c>
    </row>
    <row r="95" spans="1:5" x14ac:dyDescent="0.25">
      <c r="A95" s="4">
        <f ca="1">INDEX(Stations,INT((ROWS(A$2:A95)-1)/(DATE(YEAR(Invoer!$A$5),12,31)-DATE(YEAR(Invoer!$A$5),1,1)+1))+2,1)</f>
        <v>78989</v>
      </c>
      <c r="B95" t="str">
        <f ca="1">TEXT(DATE(YEAR(Invoer!$A$5),1,1)+MOD(ROWS(B$2:B95)-1,DATE(YEAR(Invoer!$A$5),12,31)-DATE(YEAR(Invoer!$A$5),1,1)+1),"jjjjmmdd")</f>
        <v>19130404</v>
      </c>
      <c r="C95" s="5">
        <v>1</v>
      </c>
      <c r="D95" s="69" t="str">
        <f t="shared" ca="1" si="2"/>
        <v>—</v>
      </c>
      <c r="E95" s="10">
        <f t="shared" ca="1" si="3"/>
        <v>7</v>
      </c>
    </row>
    <row r="96" spans="1:5" x14ac:dyDescent="0.25">
      <c r="A96" s="4">
        <f ca="1">INDEX(Stations,INT((ROWS(A$2:A96)-1)/(DATE(YEAR(Invoer!$A$5),12,31)-DATE(YEAR(Invoer!$A$5),1,1)+1))+2,1)</f>
        <v>78989</v>
      </c>
      <c r="B96" t="str">
        <f ca="1">TEXT(DATE(YEAR(Invoer!$A$5),1,1)+MOD(ROWS(B$2:B96)-1,DATE(YEAR(Invoer!$A$5),12,31)-DATE(YEAR(Invoer!$A$5),1,1)+1),"jjjjmmdd")</f>
        <v>19130405</v>
      </c>
      <c r="C96" s="5">
        <v>1</v>
      </c>
      <c r="D96" s="69" t="str">
        <f t="shared" ca="1" si="2"/>
        <v>—</v>
      </c>
      <c r="E96" s="10">
        <f t="shared" ca="1" si="3"/>
        <v>7</v>
      </c>
    </row>
    <row r="97" spans="1:5" x14ac:dyDescent="0.25">
      <c r="A97" s="4">
        <f ca="1">INDEX(Stations,INT((ROWS(A$2:A97)-1)/(DATE(YEAR(Invoer!$A$5),12,31)-DATE(YEAR(Invoer!$A$5),1,1)+1))+2,1)</f>
        <v>78989</v>
      </c>
      <c r="B97" t="str">
        <f ca="1">TEXT(DATE(YEAR(Invoer!$A$5),1,1)+MOD(ROWS(B$2:B97)-1,DATE(YEAR(Invoer!$A$5),12,31)-DATE(YEAR(Invoer!$A$5),1,1)+1),"jjjjmmdd")</f>
        <v>19130406</v>
      </c>
      <c r="C97" s="5">
        <v>1</v>
      </c>
      <c r="D97" s="69" t="str">
        <f t="shared" ca="1" si="2"/>
        <v>—</v>
      </c>
      <c r="E97" s="10">
        <f t="shared" ca="1" si="3"/>
        <v>7</v>
      </c>
    </row>
    <row r="98" spans="1:5" x14ac:dyDescent="0.25">
      <c r="A98" s="4">
        <f ca="1">INDEX(Stations,INT((ROWS(A$2:A98)-1)/(DATE(YEAR(Invoer!$A$5),12,31)-DATE(YEAR(Invoer!$A$5),1,1)+1))+2,1)</f>
        <v>78989</v>
      </c>
      <c r="B98" t="str">
        <f ca="1">TEXT(DATE(YEAR(Invoer!$A$5),1,1)+MOD(ROWS(B$2:B98)-1,DATE(YEAR(Invoer!$A$5),12,31)-DATE(YEAR(Invoer!$A$5),1,1)+1),"jjjjmmdd")</f>
        <v>19130407</v>
      </c>
      <c r="C98" s="5">
        <v>1</v>
      </c>
      <c r="D98" s="69" t="str">
        <f t="shared" ca="1" si="2"/>
        <v>—</v>
      </c>
      <c r="E98" s="10">
        <f t="shared" ca="1" si="3"/>
        <v>7</v>
      </c>
    </row>
    <row r="99" spans="1:5" x14ac:dyDescent="0.25">
      <c r="A99" s="4">
        <f ca="1">INDEX(Stations,INT((ROWS(A$2:A99)-1)/(DATE(YEAR(Invoer!$A$5),12,31)-DATE(YEAR(Invoer!$A$5),1,1)+1))+2,1)</f>
        <v>78989</v>
      </c>
      <c r="B99" t="str">
        <f ca="1">TEXT(DATE(YEAR(Invoer!$A$5),1,1)+MOD(ROWS(B$2:B99)-1,DATE(YEAR(Invoer!$A$5),12,31)-DATE(YEAR(Invoer!$A$5),1,1)+1),"jjjjmmdd")</f>
        <v>19130408</v>
      </c>
      <c r="C99" s="5">
        <v>1</v>
      </c>
      <c r="D99" s="69" t="str">
        <f t="shared" ca="1" si="2"/>
        <v>—</v>
      </c>
      <c r="E99" s="10">
        <f t="shared" ca="1" si="3"/>
        <v>7</v>
      </c>
    </row>
    <row r="100" spans="1:5" x14ac:dyDescent="0.25">
      <c r="A100" s="4">
        <f ca="1">INDEX(Stations,INT((ROWS(A$2:A100)-1)/(DATE(YEAR(Invoer!$A$5),12,31)-DATE(YEAR(Invoer!$A$5),1,1)+1))+2,1)</f>
        <v>78989</v>
      </c>
      <c r="B100" t="str">
        <f ca="1">TEXT(DATE(YEAR(Invoer!$A$5),1,1)+MOD(ROWS(B$2:B100)-1,DATE(YEAR(Invoer!$A$5),12,31)-DATE(YEAR(Invoer!$A$5),1,1)+1),"jjjjmmdd")</f>
        <v>19130409</v>
      </c>
      <c r="C100" s="5">
        <v>1</v>
      </c>
      <c r="D100" s="69" t="str">
        <f t="shared" ca="1" si="2"/>
        <v>—</v>
      </c>
      <c r="E100" s="10">
        <f t="shared" ca="1" si="3"/>
        <v>7</v>
      </c>
    </row>
    <row r="101" spans="1:5" x14ac:dyDescent="0.25">
      <c r="A101" s="4">
        <f ca="1">INDEX(Stations,INT((ROWS(A$2:A101)-1)/(DATE(YEAR(Invoer!$A$5),12,31)-DATE(YEAR(Invoer!$A$5),1,1)+1))+2,1)</f>
        <v>78989</v>
      </c>
      <c r="B101" t="str">
        <f ca="1">TEXT(DATE(YEAR(Invoer!$A$5),1,1)+MOD(ROWS(B$2:B101)-1,DATE(YEAR(Invoer!$A$5),12,31)-DATE(YEAR(Invoer!$A$5),1,1)+1),"jjjjmmdd")</f>
        <v>19130410</v>
      </c>
      <c r="C101" s="5">
        <v>1</v>
      </c>
      <c r="D101" s="69" t="str">
        <f t="shared" ca="1" si="2"/>
        <v>—</v>
      </c>
      <c r="E101" s="10">
        <f t="shared" ca="1" si="3"/>
        <v>7</v>
      </c>
    </row>
    <row r="102" spans="1:5" x14ac:dyDescent="0.25">
      <c r="A102" s="4">
        <f ca="1">INDEX(Stations,INT((ROWS(A$2:A102)-1)/(DATE(YEAR(Invoer!$A$5),12,31)-DATE(YEAR(Invoer!$A$5),1,1)+1))+2,1)</f>
        <v>78989</v>
      </c>
      <c r="B102" t="str">
        <f ca="1">TEXT(DATE(YEAR(Invoer!$A$5),1,1)+MOD(ROWS(B$2:B102)-1,DATE(YEAR(Invoer!$A$5),12,31)-DATE(YEAR(Invoer!$A$5),1,1)+1),"jjjjmmdd")</f>
        <v>19130411</v>
      </c>
      <c r="C102" s="5">
        <v>1</v>
      </c>
      <c r="D102" s="69" t="str">
        <f t="shared" ca="1" si="2"/>
        <v>—</v>
      </c>
      <c r="E102" s="10">
        <f t="shared" ca="1" si="3"/>
        <v>7</v>
      </c>
    </row>
    <row r="103" spans="1:5" x14ac:dyDescent="0.25">
      <c r="A103" s="4">
        <f ca="1">INDEX(Stations,INT((ROWS(A$2:A103)-1)/(DATE(YEAR(Invoer!$A$5),12,31)-DATE(YEAR(Invoer!$A$5),1,1)+1))+2,1)</f>
        <v>78989</v>
      </c>
      <c r="B103" t="str">
        <f ca="1">TEXT(DATE(YEAR(Invoer!$A$5),1,1)+MOD(ROWS(B$2:B103)-1,DATE(YEAR(Invoer!$A$5),12,31)-DATE(YEAR(Invoer!$A$5),1,1)+1),"jjjjmmdd")</f>
        <v>19130412</v>
      </c>
      <c r="C103" s="5">
        <v>1</v>
      </c>
      <c r="D103" s="69" t="str">
        <f t="shared" ca="1" si="2"/>
        <v>—</v>
      </c>
      <c r="E103" s="10">
        <f t="shared" ca="1" si="3"/>
        <v>7</v>
      </c>
    </row>
    <row r="104" spans="1:5" x14ac:dyDescent="0.25">
      <c r="A104" s="4">
        <f ca="1">INDEX(Stations,INT((ROWS(A$2:A104)-1)/(DATE(YEAR(Invoer!$A$5),12,31)-DATE(YEAR(Invoer!$A$5),1,1)+1))+2,1)</f>
        <v>78989</v>
      </c>
      <c r="B104" t="str">
        <f ca="1">TEXT(DATE(YEAR(Invoer!$A$5),1,1)+MOD(ROWS(B$2:B104)-1,DATE(YEAR(Invoer!$A$5),12,31)-DATE(YEAR(Invoer!$A$5),1,1)+1),"jjjjmmdd")</f>
        <v>19130413</v>
      </c>
      <c r="C104" s="5">
        <v>1</v>
      </c>
      <c r="D104" s="69" t="str">
        <f t="shared" ca="1" si="2"/>
        <v>—</v>
      </c>
      <c r="E104" s="10">
        <f t="shared" ca="1" si="3"/>
        <v>7</v>
      </c>
    </row>
    <row r="105" spans="1:5" x14ac:dyDescent="0.25">
      <c r="A105" s="4">
        <f ca="1">INDEX(Stations,INT((ROWS(A$2:A105)-1)/(DATE(YEAR(Invoer!$A$5),12,31)-DATE(YEAR(Invoer!$A$5),1,1)+1))+2,1)</f>
        <v>78989</v>
      </c>
      <c r="B105" t="str">
        <f ca="1">TEXT(DATE(YEAR(Invoer!$A$5),1,1)+MOD(ROWS(B$2:B105)-1,DATE(YEAR(Invoer!$A$5),12,31)-DATE(YEAR(Invoer!$A$5),1,1)+1),"jjjjmmdd")</f>
        <v>19130414</v>
      </c>
      <c r="C105" s="5">
        <v>1</v>
      </c>
      <c r="D105" s="69" t="str">
        <f t="shared" ca="1" si="2"/>
        <v>—</v>
      </c>
      <c r="E105" s="10">
        <f t="shared" ca="1" si="3"/>
        <v>7</v>
      </c>
    </row>
    <row r="106" spans="1:5" x14ac:dyDescent="0.25">
      <c r="A106" s="4">
        <f ca="1">INDEX(Stations,INT((ROWS(A$2:A106)-1)/(DATE(YEAR(Invoer!$A$5),12,31)-DATE(YEAR(Invoer!$A$5),1,1)+1))+2,1)</f>
        <v>78989</v>
      </c>
      <c r="B106" t="str">
        <f ca="1">TEXT(DATE(YEAR(Invoer!$A$5),1,1)+MOD(ROWS(B$2:B106)-1,DATE(YEAR(Invoer!$A$5),12,31)-DATE(YEAR(Invoer!$A$5),1,1)+1),"jjjjmmdd")</f>
        <v>19130415</v>
      </c>
      <c r="C106" s="5">
        <v>1</v>
      </c>
      <c r="D106" s="69" t="str">
        <f t="shared" ca="1" si="2"/>
        <v>—</v>
      </c>
      <c r="E106" s="10">
        <f t="shared" ca="1" si="3"/>
        <v>7</v>
      </c>
    </row>
    <row r="107" spans="1:5" x14ac:dyDescent="0.25">
      <c r="A107" s="4">
        <f ca="1">INDEX(Stations,INT((ROWS(A$2:A107)-1)/(DATE(YEAR(Invoer!$A$5),12,31)-DATE(YEAR(Invoer!$A$5),1,1)+1))+2,1)</f>
        <v>78989</v>
      </c>
      <c r="B107" t="str">
        <f ca="1">TEXT(DATE(YEAR(Invoer!$A$5),1,1)+MOD(ROWS(B$2:B107)-1,DATE(YEAR(Invoer!$A$5),12,31)-DATE(YEAR(Invoer!$A$5),1,1)+1),"jjjjmmdd")</f>
        <v>19130416</v>
      </c>
      <c r="C107" s="5">
        <v>1</v>
      </c>
      <c r="D107" s="69" t="str">
        <f t="shared" ca="1" si="2"/>
        <v>—</v>
      </c>
      <c r="E107" s="10">
        <f t="shared" ca="1" si="3"/>
        <v>7</v>
      </c>
    </row>
    <row r="108" spans="1:5" x14ac:dyDescent="0.25">
      <c r="A108" s="4">
        <f ca="1">INDEX(Stations,INT((ROWS(A$2:A108)-1)/(DATE(YEAR(Invoer!$A$5),12,31)-DATE(YEAR(Invoer!$A$5),1,1)+1))+2,1)</f>
        <v>78989</v>
      </c>
      <c r="B108" t="str">
        <f ca="1">TEXT(DATE(YEAR(Invoer!$A$5),1,1)+MOD(ROWS(B$2:B108)-1,DATE(YEAR(Invoer!$A$5),12,31)-DATE(YEAR(Invoer!$A$5),1,1)+1),"jjjjmmdd")</f>
        <v>19130417</v>
      </c>
      <c r="C108" s="5">
        <v>1</v>
      </c>
      <c r="D108" s="69" t="str">
        <f t="shared" ca="1" si="2"/>
        <v>—</v>
      </c>
      <c r="E108" s="10">
        <f t="shared" ca="1" si="3"/>
        <v>7</v>
      </c>
    </row>
    <row r="109" spans="1:5" x14ac:dyDescent="0.25">
      <c r="A109" s="4">
        <f ca="1">INDEX(Stations,INT((ROWS(A$2:A109)-1)/(DATE(YEAR(Invoer!$A$5),12,31)-DATE(YEAR(Invoer!$A$5),1,1)+1))+2,1)</f>
        <v>78989</v>
      </c>
      <c r="B109" t="str">
        <f ca="1">TEXT(DATE(YEAR(Invoer!$A$5),1,1)+MOD(ROWS(B$2:B109)-1,DATE(YEAR(Invoer!$A$5),12,31)-DATE(YEAR(Invoer!$A$5),1,1)+1),"jjjjmmdd")</f>
        <v>19130418</v>
      </c>
      <c r="C109" s="5">
        <v>1</v>
      </c>
      <c r="D109" s="69" t="str">
        <f t="shared" ca="1" si="2"/>
        <v>—</v>
      </c>
      <c r="E109" s="10">
        <f t="shared" ca="1" si="3"/>
        <v>7</v>
      </c>
    </row>
    <row r="110" spans="1:5" x14ac:dyDescent="0.25">
      <c r="A110" s="4">
        <f ca="1">INDEX(Stations,INT((ROWS(A$2:A110)-1)/(DATE(YEAR(Invoer!$A$5),12,31)-DATE(YEAR(Invoer!$A$5),1,1)+1))+2,1)</f>
        <v>78989</v>
      </c>
      <c r="B110" t="str">
        <f ca="1">TEXT(DATE(YEAR(Invoer!$A$5),1,1)+MOD(ROWS(B$2:B110)-1,DATE(YEAR(Invoer!$A$5),12,31)-DATE(YEAR(Invoer!$A$5),1,1)+1),"jjjjmmdd")</f>
        <v>19130419</v>
      </c>
      <c r="C110" s="5">
        <v>1</v>
      </c>
      <c r="D110" s="69" t="str">
        <f t="shared" ca="1" si="2"/>
        <v>—</v>
      </c>
      <c r="E110" s="10">
        <f t="shared" ca="1" si="3"/>
        <v>7</v>
      </c>
    </row>
    <row r="111" spans="1:5" x14ac:dyDescent="0.25">
      <c r="A111" s="4">
        <f ca="1">INDEX(Stations,INT((ROWS(A$2:A111)-1)/(DATE(YEAR(Invoer!$A$5),12,31)-DATE(YEAR(Invoer!$A$5),1,1)+1))+2,1)</f>
        <v>78989</v>
      </c>
      <c r="B111" t="str">
        <f ca="1">TEXT(DATE(YEAR(Invoer!$A$5),1,1)+MOD(ROWS(B$2:B111)-1,DATE(YEAR(Invoer!$A$5),12,31)-DATE(YEAR(Invoer!$A$5),1,1)+1),"jjjjmmdd")</f>
        <v>19130420</v>
      </c>
      <c r="C111" s="5">
        <v>1</v>
      </c>
      <c r="D111" s="69" t="str">
        <f t="shared" ca="1" si="2"/>
        <v>—</v>
      </c>
      <c r="E111" s="10">
        <f t="shared" ca="1" si="3"/>
        <v>7</v>
      </c>
    </row>
    <row r="112" spans="1:5" x14ac:dyDescent="0.25">
      <c r="A112" s="4">
        <f ca="1">INDEX(Stations,INT((ROWS(A$2:A112)-1)/(DATE(YEAR(Invoer!$A$5),12,31)-DATE(YEAR(Invoer!$A$5),1,1)+1))+2,1)</f>
        <v>78989</v>
      </c>
      <c r="B112" t="str">
        <f ca="1">TEXT(DATE(YEAR(Invoer!$A$5),1,1)+MOD(ROWS(B$2:B112)-1,DATE(YEAR(Invoer!$A$5),12,31)-DATE(YEAR(Invoer!$A$5),1,1)+1),"jjjjmmdd")</f>
        <v>19130421</v>
      </c>
      <c r="C112" s="5">
        <v>1</v>
      </c>
      <c r="D112" s="69" t="str">
        <f t="shared" ca="1" si="2"/>
        <v>—</v>
      </c>
      <c r="E112" s="10">
        <f t="shared" ca="1" si="3"/>
        <v>7</v>
      </c>
    </row>
    <row r="113" spans="1:5" x14ac:dyDescent="0.25">
      <c r="A113" s="4">
        <f ca="1">INDEX(Stations,INT((ROWS(A$2:A113)-1)/(DATE(YEAR(Invoer!$A$5),12,31)-DATE(YEAR(Invoer!$A$5),1,1)+1))+2,1)</f>
        <v>78989</v>
      </c>
      <c r="B113" t="str">
        <f ca="1">TEXT(DATE(YEAR(Invoer!$A$5),1,1)+MOD(ROWS(B$2:B113)-1,DATE(YEAR(Invoer!$A$5),12,31)-DATE(YEAR(Invoer!$A$5),1,1)+1),"jjjjmmdd")</f>
        <v>19130422</v>
      </c>
      <c r="C113" s="5">
        <v>1</v>
      </c>
      <c r="D113" s="69" t="str">
        <f t="shared" ca="1" si="2"/>
        <v>—</v>
      </c>
      <c r="E113" s="10">
        <f t="shared" ca="1" si="3"/>
        <v>7</v>
      </c>
    </row>
    <row r="114" spans="1:5" x14ac:dyDescent="0.25">
      <c r="A114" s="4">
        <f ca="1">INDEX(Stations,INT((ROWS(A$2:A114)-1)/(DATE(YEAR(Invoer!$A$5),12,31)-DATE(YEAR(Invoer!$A$5),1,1)+1))+2,1)</f>
        <v>78989</v>
      </c>
      <c r="B114" t="str">
        <f ca="1">TEXT(DATE(YEAR(Invoer!$A$5),1,1)+MOD(ROWS(B$2:B114)-1,DATE(YEAR(Invoer!$A$5),12,31)-DATE(YEAR(Invoer!$A$5),1,1)+1),"jjjjmmdd")</f>
        <v>19130423</v>
      </c>
      <c r="C114" s="5">
        <v>1</v>
      </c>
      <c r="D114" s="69" t="str">
        <f t="shared" ca="1" si="2"/>
        <v>—</v>
      </c>
      <c r="E114" s="10">
        <f t="shared" ca="1" si="3"/>
        <v>7</v>
      </c>
    </row>
    <row r="115" spans="1:5" x14ac:dyDescent="0.25">
      <c r="A115" s="4">
        <f ca="1">INDEX(Stations,INT((ROWS(A$2:A115)-1)/(DATE(YEAR(Invoer!$A$5),12,31)-DATE(YEAR(Invoer!$A$5),1,1)+1))+2,1)</f>
        <v>78989</v>
      </c>
      <c r="B115" t="str">
        <f ca="1">TEXT(DATE(YEAR(Invoer!$A$5),1,1)+MOD(ROWS(B$2:B115)-1,DATE(YEAR(Invoer!$A$5),12,31)-DATE(YEAR(Invoer!$A$5),1,1)+1),"jjjjmmdd")</f>
        <v>19130424</v>
      </c>
      <c r="C115" s="5">
        <v>1</v>
      </c>
      <c r="D115" s="69" t="str">
        <f t="shared" ca="1" si="2"/>
        <v>—</v>
      </c>
      <c r="E115" s="10">
        <f t="shared" ca="1" si="3"/>
        <v>7</v>
      </c>
    </row>
    <row r="116" spans="1:5" x14ac:dyDescent="0.25">
      <c r="A116" s="4">
        <f ca="1">INDEX(Stations,INT((ROWS(A$2:A116)-1)/(DATE(YEAR(Invoer!$A$5),12,31)-DATE(YEAR(Invoer!$A$5),1,1)+1))+2,1)</f>
        <v>78989</v>
      </c>
      <c r="B116" t="str">
        <f ca="1">TEXT(DATE(YEAR(Invoer!$A$5),1,1)+MOD(ROWS(B$2:B116)-1,DATE(YEAR(Invoer!$A$5),12,31)-DATE(YEAR(Invoer!$A$5),1,1)+1),"jjjjmmdd")</f>
        <v>19130425</v>
      </c>
      <c r="C116" s="5">
        <v>1</v>
      </c>
      <c r="D116" s="69" t="str">
        <f t="shared" ca="1" si="2"/>
        <v>—</v>
      </c>
      <c r="E116" s="10">
        <f t="shared" ca="1" si="3"/>
        <v>7</v>
      </c>
    </row>
    <row r="117" spans="1:5" x14ac:dyDescent="0.25">
      <c r="A117" s="4">
        <f ca="1">INDEX(Stations,INT((ROWS(A$2:A117)-1)/(DATE(YEAR(Invoer!$A$5),12,31)-DATE(YEAR(Invoer!$A$5),1,1)+1))+2,1)</f>
        <v>78989</v>
      </c>
      <c r="B117" t="str">
        <f ca="1">TEXT(DATE(YEAR(Invoer!$A$5),1,1)+MOD(ROWS(B$2:B117)-1,DATE(YEAR(Invoer!$A$5),12,31)-DATE(YEAR(Invoer!$A$5),1,1)+1),"jjjjmmdd")</f>
        <v>19130426</v>
      </c>
      <c r="C117" s="5">
        <v>1</v>
      </c>
      <c r="D117" s="69" t="str">
        <f t="shared" ca="1" si="2"/>
        <v>—</v>
      </c>
      <c r="E117" s="10">
        <f t="shared" ca="1" si="3"/>
        <v>7</v>
      </c>
    </row>
    <row r="118" spans="1:5" x14ac:dyDescent="0.25">
      <c r="A118" s="4">
        <f ca="1">INDEX(Stations,INT((ROWS(A$2:A118)-1)/(DATE(YEAR(Invoer!$A$5),12,31)-DATE(YEAR(Invoer!$A$5),1,1)+1))+2,1)</f>
        <v>78989</v>
      </c>
      <c r="B118" t="str">
        <f ca="1">TEXT(DATE(YEAR(Invoer!$A$5),1,1)+MOD(ROWS(B$2:B118)-1,DATE(YEAR(Invoer!$A$5),12,31)-DATE(YEAR(Invoer!$A$5),1,1)+1),"jjjjmmdd")</f>
        <v>19130427</v>
      </c>
      <c r="C118" s="5">
        <v>1</v>
      </c>
      <c r="D118" s="69" t="str">
        <f t="shared" ca="1" si="2"/>
        <v>—</v>
      </c>
      <c r="E118" s="10">
        <f t="shared" ca="1" si="3"/>
        <v>7</v>
      </c>
    </row>
    <row r="119" spans="1:5" x14ac:dyDescent="0.25">
      <c r="A119" s="4">
        <f ca="1">INDEX(Stations,INT((ROWS(A$2:A119)-1)/(DATE(YEAR(Invoer!$A$5),12,31)-DATE(YEAR(Invoer!$A$5),1,1)+1))+2,1)</f>
        <v>78989</v>
      </c>
      <c r="B119" t="str">
        <f ca="1">TEXT(DATE(YEAR(Invoer!$A$5),1,1)+MOD(ROWS(B$2:B119)-1,DATE(YEAR(Invoer!$A$5),12,31)-DATE(YEAR(Invoer!$A$5),1,1)+1),"jjjjmmdd")</f>
        <v>19130428</v>
      </c>
      <c r="C119" s="5">
        <v>1</v>
      </c>
      <c r="D119" s="69" t="str">
        <f t="shared" ca="1" si="2"/>
        <v>—</v>
      </c>
      <c r="E119" s="10">
        <f t="shared" ca="1" si="3"/>
        <v>7</v>
      </c>
    </row>
    <row r="120" spans="1:5" x14ac:dyDescent="0.25">
      <c r="A120" s="4">
        <f ca="1">INDEX(Stations,INT((ROWS(A$2:A120)-1)/(DATE(YEAR(Invoer!$A$5),12,31)-DATE(YEAR(Invoer!$A$5),1,1)+1))+2,1)</f>
        <v>78989</v>
      </c>
      <c r="B120" t="str">
        <f ca="1">TEXT(DATE(YEAR(Invoer!$A$5),1,1)+MOD(ROWS(B$2:B120)-1,DATE(YEAR(Invoer!$A$5),12,31)-DATE(YEAR(Invoer!$A$5),1,1)+1),"jjjjmmdd")</f>
        <v>19130429</v>
      </c>
      <c r="C120" s="5">
        <v>1</v>
      </c>
      <c r="D120" s="69" t="str">
        <f t="shared" ca="1" si="2"/>
        <v>—</v>
      </c>
      <c r="E120" s="10">
        <f t="shared" ca="1" si="3"/>
        <v>7</v>
      </c>
    </row>
    <row r="121" spans="1:5" x14ac:dyDescent="0.25">
      <c r="A121" s="4">
        <f ca="1">INDEX(Stations,INT((ROWS(A$2:A121)-1)/(DATE(YEAR(Invoer!$A$5),12,31)-DATE(YEAR(Invoer!$A$5),1,1)+1))+2,1)</f>
        <v>78989</v>
      </c>
      <c r="B121" t="str">
        <f ca="1">TEXT(DATE(YEAR(Invoer!$A$5),1,1)+MOD(ROWS(B$2:B121)-1,DATE(YEAR(Invoer!$A$5),12,31)-DATE(YEAR(Invoer!$A$5),1,1)+1),"jjjjmmdd")</f>
        <v>19130430</v>
      </c>
      <c r="C121" s="5">
        <v>1</v>
      </c>
      <c r="D121" s="69" t="str">
        <f t="shared" ca="1" si="2"/>
        <v>—</v>
      </c>
      <c r="E121" s="10">
        <f t="shared" ca="1" si="3"/>
        <v>7</v>
      </c>
    </row>
    <row r="122" spans="1:5" x14ac:dyDescent="0.25">
      <c r="A122" s="4">
        <f ca="1">INDEX(Stations,INT((ROWS(A$2:A122)-1)/(DATE(YEAR(Invoer!$A$5),12,31)-DATE(YEAR(Invoer!$A$5),1,1)+1))+2,1)</f>
        <v>78989</v>
      </c>
      <c r="B122" t="str">
        <f ca="1">TEXT(DATE(YEAR(Invoer!$A$5),1,1)+MOD(ROWS(B$2:B122)-1,DATE(YEAR(Invoer!$A$5),12,31)-DATE(YEAR(Invoer!$A$5),1,1)+1),"jjjjmmdd")</f>
        <v>19130501</v>
      </c>
      <c r="C122" s="5">
        <v>1</v>
      </c>
      <c r="D122" s="69" t="str">
        <f t="shared" ca="1" si="2"/>
        <v>—</v>
      </c>
      <c r="E122" s="10">
        <f t="shared" ca="1" si="3"/>
        <v>7</v>
      </c>
    </row>
    <row r="123" spans="1:5" x14ac:dyDescent="0.25">
      <c r="A123" s="4">
        <f ca="1">INDEX(Stations,INT((ROWS(A$2:A123)-1)/(DATE(YEAR(Invoer!$A$5),12,31)-DATE(YEAR(Invoer!$A$5),1,1)+1))+2,1)</f>
        <v>78989</v>
      </c>
      <c r="B123" t="str">
        <f ca="1">TEXT(DATE(YEAR(Invoer!$A$5),1,1)+MOD(ROWS(B$2:B123)-1,DATE(YEAR(Invoer!$A$5),12,31)-DATE(YEAR(Invoer!$A$5),1,1)+1),"jjjjmmdd")</f>
        <v>19130502</v>
      </c>
      <c r="C123" s="5">
        <v>1</v>
      </c>
      <c r="D123" s="69" t="str">
        <f t="shared" ca="1" si="2"/>
        <v>—</v>
      </c>
      <c r="E123" s="10">
        <f t="shared" ca="1" si="3"/>
        <v>7</v>
      </c>
    </row>
    <row r="124" spans="1:5" x14ac:dyDescent="0.25">
      <c r="A124" s="4">
        <f ca="1">INDEX(Stations,INT((ROWS(A$2:A124)-1)/(DATE(YEAR(Invoer!$A$5),12,31)-DATE(YEAR(Invoer!$A$5),1,1)+1))+2,1)</f>
        <v>78989</v>
      </c>
      <c r="B124" t="str">
        <f ca="1">TEXT(DATE(YEAR(Invoer!$A$5),1,1)+MOD(ROWS(B$2:B124)-1,DATE(YEAR(Invoer!$A$5),12,31)-DATE(YEAR(Invoer!$A$5),1,1)+1),"jjjjmmdd")</f>
        <v>19130503</v>
      </c>
      <c r="C124" s="5">
        <v>1</v>
      </c>
      <c r="D124" s="69" t="str">
        <f t="shared" ca="1" si="2"/>
        <v>—</v>
      </c>
      <c r="E124" s="10">
        <f t="shared" ca="1" si="3"/>
        <v>7</v>
      </c>
    </row>
    <row r="125" spans="1:5" x14ac:dyDescent="0.25">
      <c r="A125" s="4">
        <f ca="1">INDEX(Stations,INT((ROWS(A$2:A125)-1)/(DATE(YEAR(Invoer!$A$5),12,31)-DATE(YEAR(Invoer!$A$5),1,1)+1))+2,1)</f>
        <v>78989</v>
      </c>
      <c r="B125" t="str">
        <f ca="1">TEXT(DATE(YEAR(Invoer!$A$5),1,1)+MOD(ROWS(B$2:B125)-1,DATE(YEAR(Invoer!$A$5),12,31)-DATE(YEAR(Invoer!$A$5),1,1)+1),"jjjjmmdd")</f>
        <v>19130504</v>
      </c>
      <c r="C125" s="5">
        <v>1</v>
      </c>
      <c r="D125" s="69" t="str">
        <f t="shared" ca="1" si="2"/>
        <v>—</v>
      </c>
      <c r="E125" s="10">
        <f t="shared" ca="1" si="3"/>
        <v>7</v>
      </c>
    </row>
    <row r="126" spans="1:5" x14ac:dyDescent="0.25">
      <c r="A126" s="4">
        <f ca="1">INDEX(Stations,INT((ROWS(A$2:A126)-1)/(DATE(YEAR(Invoer!$A$5),12,31)-DATE(YEAR(Invoer!$A$5),1,1)+1))+2,1)</f>
        <v>78989</v>
      </c>
      <c r="B126" t="str">
        <f ca="1">TEXT(DATE(YEAR(Invoer!$A$5),1,1)+MOD(ROWS(B$2:B126)-1,DATE(YEAR(Invoer!$A$5),12,31)-DATE(YEAR(Invoer!$A$5),1,1)+1),"jjjjmmdd")</f>
        <v>19130505</v>
      </c>
      <c r="C126" s="5">
        <v>1</v>
      </c>
      <c r="D126" s="69" t="str">
        <f t="shared" ca="1" si="2"/>
        <v>—</v>
      </c>
      <c r="E126" s="10">
        <f t="shared" ca="1" si="3"/>
        <v>7</v>
      </c>
    </row>
    <row r="127" spans="1:5" x14ac:dyDescent="0.25">
      <c r="A127" s="4">
        <f ca="1">INDEX(Stations,INT((ROWS(A$2:A127)-1)/(DATE(YEAR(Invoer!$A$5),12,31)-DATE(YEAR(Invoer!$A$5),1,1)+1))+2,1)</f>
        <v>78989</v>
      </c>
      <c r="B127" t="str">
        <f ca="1">TEXT(DATE(YEAR(Invoer!$A$5),1,1)+MOD(ROWS(B$2:B127)-1,DATE(YEAR(Invoer!$A$5),12,31)-DATE(YEAR(Invoer!$A$5),1,1)+1),"jjjjmmdd")</f>
        <v>19130506</v>
      </c>
      <c r="C127" s="5">
        <v>1</v>
      </c>
      <c r="D127" s="69" t="str">
        <f t="shared" ca="1" si="2"/>
        <v>—</v>
      </c>
      <c r="E127" s="10">
        <f t="shared" ca="1" si="3"/>
        <v>7</v>
      </c>
    </row>
    <row r="128" spans="1:5" x14ac:dyDescent="0.25">
      <c r="A128" s="4">
        <f ca="1">INDEX(Stations,INT((ROWS(A$2:A128)-1)/(DATE(YEAR(Invoer!$A$5),12,31)-DATE(YEAR(Invoer!$A$5),1,1)+1))+2,1)</f>
        <v>78989</v>
      </c>
      <c r="B128" t="str">
        <f ca="1">TEXT(DATE(YEAR(Invoer!$A$5),1,1)+MOD(ROWS(B$2:B128)-1,DATE(YEAR(Invoer!$A$5),12,31)-DATE(YEAR(Invoer!$A$5),1,1)+1),"jjjjmmdd")</f>
        <v>19130507</v>
      </c>
      <c r="C128" s="5">
        <v>1</v>
      </c>
      <c r="D128" s="69" t="str">
        <f t="shared" ca="1" si="2"/>
        <v>—</v>
      </c>
      <c r="E128" s="10">
        <f t="shared" ca="1" si="3"/>
        <v>7</v>
      </c>
    </row>
    <row r="129" spans="1:5" x14ac:dyDescent="0.25">
      <c r="A129" s="4">
        <f ca="1">INDEX(Stations,INT((ROWS(A$2:A129)-1)/(DATE(YEAR(Invoer!$A$5),12,31)-DATE(YEAR(Invoer!$A$5),1,1)+1))+2,1)</f>
        <v>78989</v>
      </c>
      <c r="B129" t="str">
        <f ca="1">TEXT(DATE(YEAR(Invoer!$A$5),1,1)+MOD(ROWS(B$2:B129)-1,DATE(YEAR(Invoer!$A$5),12,31)-DATE(YEAR(Invoer!$A$5),1,1)+1),"jjjjmmdd")</f>
        <v>19130508</v>
      </c>
      <c r="C129" s="5">
        <v>1</v>
      </c>
      <c r="D129" s="69" t="str">
        <f t="shared" ca="1" si="2"/>
        <v>—</v>
      </c>
      <c r="E129" s="10">
        <f t="shared" ca="1" si="3"/>
        <v>7</v>
      </c>
    </row>
    <row r="130" spans="1:5" x14ac:dyDescent="0.25">
      <c r="A130" s="4">
        <f ca="1">INDEX(Stations,INT((ROWS(A$2:A130)-1)/(DATE(YEAR(Invoer!$A$5),12,31)-DATE(YEAR(Invoer!$A$5),1,1)+1))+2,1)</f>
        <v>78989</v>
      </c>
      <c r="B130" t="str">
        <f ca="1">TEXT(DATE(YEAR(Invoer!$A$5),1,1)+MOD(ROWS(B$2:B130)-1,DATE(YEAR(Invoer!$A$5),12,31)-DATE(YEAR(Invoer!$A$5),1,1)+1),"jjjjmmdd")</f>
        <v>19130509</v>
      </c>
      <c r="C130" s="5">
        <v>1</v>
      </c>
      <c r="D130" s="69" t="str">
        <f t="shared" ref="D130:D193" ca="1" si="4">IF(OR(ISBLANK(VLOOKUP(DATEVALUE(LEFT(B130,4)&amp;"-"&amp;MID(B130,5,2)&amp;"-"&amp;RIGHT(B130,2)),Data,MATCH(LEFT(VLOOKUP(D$1,Parameters,2,FALSE()),3)&amp;"*",OFFSET(Data,0,0,1),0),FALSE())),AND(ISTEXT(VLOOKUP(DATEVALUE(LEFT(B130,4)&amp;"-"&amp;MID(B130,5,2)&amp;"-"&amp;RIGHT(B130,2)),Data,MATCH(LEFT(VLOOKUP(D$1,Parameters,2,FALSE()),3)&amp;"*",OFFSET(Data,0,0,1),0),FALSE())),NOT(EXACT(VLOOKUP(DATEVALUE(LEFT(B130,4)&amp;"-"&amp;MID(B130,5,2)&amp;"-"&amp;RIGHT(B130,2)),Data,MATCH(LEFT(VLOOKUP(D$1,Parameters,2,FALSE()),3)&amp;"*",OFFSET(Data,0,0,1),0),FALSE()),"T")))),"—",IF(ISTEXT(VLOOKUP(DATEVALUE(LEFT(B130,4)&amp;"-"&amp;MID(B130,5,2)&amp;"-"&amp;RIGHT(B130,2)),Data,MATCH(LEFT(VLOOKUP(D$1,Parameters,2,FALSE()),3)&amp;"*",OFFSET(Data,0,0,1),0),FALSE())),VLOOKUP(DATEVALUE(LEFT(B130,4)&amp;"-"&amp;MID(B130,5,2)&amp;"-"&amp;RIGHT(B130,2)),Data,MATCH(LEFT(VLOOKUP(D$1,Parameters,2,FALSE()),3)&amp;"*",OFFSET(Data,0,0,1),0),FALSE()),ROUND(0.254*VLOOKUP(DATEVALUE(LEFT(B130,4)&amp;"-"&amp;MID(B130,5,2)&amp;"-"&amp;RIGHT(B130,2)),Data,MATCH(LEFT(VLOOKUP(D$1,Parameters,2,FALSE()),3)&amp;"*",OFFSET(Data,0,0,1),0),FALSE()),1)))</f>
        <v>—</v>
      </c>
      <c r="E130" s="10">
        <f t="shared" ref="E130:E193" ca="1" si="5">IF(OR(ISBLANK(VLOOKUP(DATEVALUE(LEFT(B130,4)&amp;"-"&amp;MID(B130,5,2)&amp;"-"&amp;RIGHT(B130,2)),Data,MATCH(LEFT(VLOOKUP(MID(E$1,2,LEN(E$1)-1),Parameters,2,FALSE()),3)&amp;"*",OFFSET(Data,0,0,1),0),FALSE())),AND(ISTEXT(VLOOKUP(DATEVALUE(LEFT(B130,4)&amp;"-"&amp;MID(B130,5,2)&amp;"-"&amp;RIGHT(B130,2)),Data,MATCH(LEFT(VLOOKUP(MID(E$1,2,LEN(E$1)-1),Parameters,2,FALSE()),3)&amp;"*",OFFSET(Data,0,0,1),0),FALSE())),NOT(EXACT(VLOOKUP(DATEVALUE(LEFT(B130,4)&amp;"-"&amp;MID(B130,5,2)&amp;"-"&amp;RIGHT(B130,2)),Data,MATCH(LEFT(VLOOKUP(MID(E$1,2,LEN(E$1)-1),Parameters,2,FALSE()),3)&amp;"*",OFFSET(Data,0,0,1),0),FALSE()),"T")))),Lacking,IF(ISNA(MATCH(DATEVALUE(LEFT(B130,4)&amp;"-"&amp;MID(B130,5,2)&amp;"-"&amp;RIGHT(B130,2)),OFFSET(Catalogus,0,0,,1),0)),Ok,VLOOKUP(DATEVALUE(LEFT(B130,4)&amp;"-"&amp;MID(B130,5,2)&amp;"-"&amp;RIGHT(B130,2)),Catalogus,MATCH(LEFT(VLOOKUP(MID(E$1,2,LEN(E$1)-1),Parameters,2,FALSE()),3)&amp;"*",OFFSET(Catalogus,0,0,1),0),FALSE())))</f>
        <v>7</v>
      </c>
    </row>
    <row r="131" spans="1:5" x14ac:dyDescent="0.25">
      <c r="A131" s="4">
        <f ca="1">INDEX(Stations,INT((ROWS(A$2:A131)-1)/(DATE(YEAR(Invoer!$A$5),12,31)-DATE(YEAR(Invoer!$A$5),1,1)+1))+2,1)</f>
        <v>78989</v>
      </c>
      <c r="B131" t="str">
        <f ca="1">TEXT(DATE(YEAR(Invoer!$A$5),1,1)+MOD(ROWS(B$2:B131)-1,DATE(YEAR(Invoer!$A$5),12,31)-DATE(YEAR(Invoer!$A$5),1,1)+1),"jjjjmmdd")</f>
        <v>19130510</v>
      </c>
      <c r="C131" s="5">
        <v>1</v>
      </c>
      <c r="D131" s="69" t="str">
        <f t="shared" ca="1" si="4"/>
        <v>—</v>
      </c>
      <c r="E131" s="10">
        <f t="shared" ca="1" si="5"/>
        <v>7</v>
      </c>
    </row>
    <row r="132" spans="1:5" x14ac:dyDescent="0.25">
      <c r="A132" s="4">
        <f ca="1">INDEX(Stations,INT((ROWS(A$2:A132)-1)/(DATE(YEAR(Invoer!$A$5),12,31)-DATE(YEAR(Invoer!$A$5),1,1)+1))+2,1)</f>
        <v>78989</v>
      </c>
      <c r="B132" t="str">
        <f ca="1">TEXT(DATE(YEAR(Invoer!$A$5),1,1)+MOD(ROWS(B$2:B132)-1,DATE(YEAR(Invoer!$A$5),12,31)-DATE(YEAR(Invoer!$A$5),1,1)+1),"jjjjmmdd")</f>
        <v>19130511</v>
      </c>
      <c r="C132" s="5">
        <v>1</v>
      </c>
      <c r="D132" s="69" t="str">
        <f t="shared" ca="1" si="4"/>
        <v>—</v>
      </c>
      <c r="E132" s="10">
        <f t="shared" ca="1" si="5"/>
        <v>7</v>
      </c>
    </row>
    <row r="133" spans="1:5" x14ac:dyDescent="0.25">
      <c r="A133" s="4">
        <f ca="1">INDEX(Stations,INT((ROWS(A$2:A133)-1)/(DATE(YEAR(Invoer!$A$5),12,31)-DATE(YEAR(Invoer!$A$5),1,1)+1))+2,1)</f>
        <v>78989</v>
      </c>
      <c r="B133" t="str">
        <f ca="1">TEXT(DATE(YEAR(Invoer!$A$5),1,1)+MOD(ROWS(B$2:B133)-1,DATE(YEAR(Invoer!$A$5),12,31)-DATE(YEAR(Invoer!$A$5),1,1)+1),"jjjjmmdd")</f>
        <v>19130512</v>
      </c>
      <c r="C133" s="5">
        <v>1</v>
      </c>
      <c r="D133" s="69" t="str">
        <f t="shared" ca="1" si="4"/>
        <v>—</v>
      </c>
      <c r="E133" s="10">
        <f t="shared" ca="1" si="5"/>
        <v>7</v>
      </c>
    </row>
    <row r="134" spans="1:5" x14ac:dyDescent="0.25">
      <c r="A134" s="4">
        <f ca="1">INDEX(Stations,INT((ROWS(A$2:A134)-1)/(DATE(YEAR(Invoer!$A$5),12,31)-DATE(YEAR(Invoer!$A$5),1,1)+1))+2,1)</f>
        <v>78989</v>
      </c>
      <c r="B134" t="str">
        <f ca="1">TEXT(DATE(YEAR(Invoer!$A$5),1,1)+MOD(ROWS(B$2:B134)-1,DATE(YEAR(Invoer!$A$5),12,31)-DATE(YEAR(Invoer!$A$5),1,1)+1),"jjjjmmdd")</f>
        <v>19130513</v>
      </c>
      <c r="C134" s="5">
        <v>1</v>
      </c>
      <c r="D134" s="69" t="str">
        <f t="shared" ca="1" si="4"/>
        <v>—</v>
      </c>
      <c r="E134" s="10">
        <f t="shared" ca="1" si="5"/>
        <v>7</v>
      </c>
    </row>
    <row r="135" spans="1:5" x14ac:dyDescent="0.25">
      <c r="A135" s="4">
        <f ca="1">INDEX(Stations,INT((ROWS(A$2:A135)-1)/(DATE(YEAR(Invoer!$A$5),12,31)-DATE(YEAR(Invoer!$A$5),1,1)+1))+2,1)</f>
        <v>78989</v>
      </c>
      <c r="B135" t="str">
        <f ca="1">TEXT(DATE(YEAR(Invoer!$A$5),1,1)+MOD(ROWS(B$2:B135)-1,DATE(YEAR(Invoer!$A$5),12,31)-DATE(YEAR(Invoer!$A$5),1,1)+1),"jjjjmmdd")</f>
        <v>19130514</v>
      </c>
      <c r="C135" s="5">
        <v>1</v>
      </c>
      <c r="D135" s="69" t="str">
        <f t="shared" ca="1" si="4"/>
        <v>—</v>
      </c>
      <c r="E135" s="10">
        <f t="shared" ca="1" si="5"/>
        <v>7</v>
      </c>
    </row>
    <row r="136" spans="1:5" x14ac:dyDescent="0.25">
      <c r="A136" s="4">
        <f ca="1">INDEX(Stations,INT((ROWS(A$2:A136)-1)/(DATE(YEAR(Invoer!$A$5),12,31)-DATE(YEAR(Invoer!$A$5),1,1)+1))+2,1)</f>
        <v>78989</v>
      </c>
      <c r="B136" t="str">
        <f ca="1">TEXT(DATE(YEAR(Invoer!$A$5),1,1)+MOD(ROWS(B$2:B136)-1,DATE(YEAR(Invoer!$A$5),12,31)-DATE(YEAR(Invoer!$A$5),1,1)+1),"jjjjmmdd")</f>
        <v>19130515</v>
      </c>
      <c r="C136" s="5">
        <v>1</v>
      </c>
      <c r="D136" s="69" t="str">
        <f t="shared" ca="1" si="4"/>
        <v>—</v>
      </c>
      <c r="E136" s="10">
        <f t="shared" ca="1" si="5"/>
        <v>7</v>
      </c>
    </row>
    <row r="137" spans="1:5" x14ac:dyDescent="0.25">
      <c r="A137" s="4">
        <f ca="1">INDEX(Stations,INT((ROWS(A$2:A137)-1)/(DATE(YEAR(Invoer!$A$5),12,31)-DATE(YEAR(Invoer!$A$5),1,1)+1))+2,1)</f>
        <v>78989</v>
      </c>
      <c r="B137" t="str">
        <f ca="1">TEXT(DATE(YEAR(Invoer!$A$5),1,1)+MOD(ROWS(B$2:B137)-1,DATE(YEAR(Invoer!$A$5),12,31)-DATE(YEAR(Invoer!$A$5),1,1)+1),"jjjjmmdd")</f>
        <v>19130516</v>
      </c>
      <c r="C137" s="5">
        <v>1</v>
      </c>
      <c r="D137" s="69" t="str">
        <f t="shared" ca="1" si="4"/>
        <v>—</v>
      </c>
      <c r="E137" s="10">
        <f t="shared" ca="1" si="5"/>
        <v>7</v>
      </c>
    </row>
    <row r="138" spans="1:5" x14ac:dyDescent="0.25">
      <c r="A138" s="4">
        <f ca="1">INDEX(Stations,INT((ROWS(A$2:A138)-1)/(DATE(YEAR(Invoer!$A$5),12,31)-DATE(YEAR(Invoer!$A$5),1,1)+1))+2,1)</f>
        <v>78989</v>
      </c>
      <c r="B138" t="str">
        <f ca="1">TEXT(DATE(YEAR(Invoer!$A$5),1,1)+MOD(ROWS(B$2:B138)-1,DATE(YEAR(Invoer!$A$5),12,31)-DATE(YEAR(Invoer!$A$5),1,1)+1),"jjjjmmdd")</f>
        <v>19130517</v>
      </c>
      <c r="C138" s="5">
        <v>1</v>
      </c>
      <c r="D138" s="69" t="str">
        <f t="shared" ca="1" si="4"/>
        <v>—</v>
      </c>
      <c r="E138" s="10">
        <f t="shared" ca="1" si="5"/>
        <v>7</v>
      </c>
    </row>
    <row r="139" spans="1:5" x14ac:dyDescent="0.25">
      <c r="A139" s="4">
        <f ca="1">INDEX(Stations,INT((ROWS(A$2:A139)-1)/(DATE(YEAR(Invoer!$A$5),12,31)-DATE(YEAR(Invoer!$A$5),1,1)+1))+2,1)</f>
        <v>78989</v>
      </c>
      <c r="B139" t="str">
        <f ca="1">TEXT(DATE(YEAR(Invoer!$A$5),1,1)+MOD(ROWS(B$2:B139)-1,DATE(YEAR(Invoer!$A$5),12,31)-DATE(YEAR(Invoer!$A$5),1,1)+1),"jjjjmmdd")</f>
        <v>19130518</v>
      </c>
      <c r="C139" s="5">
        <v>1</v>
      </c>
      <c r="D139" s="69" t="str">
        <f t="shared" ca="1" si="4"/>
        <v>—</v>
      </c>
      <c r="E139" s="10">
        <f t="shared" ca="1" si="5"/>
        <v>7</v>
      </c>
    </row>
    <row r="140" spans="1:5" x14ac:dyDescent="0.25">
      <c r="A140" s="4">
        <f ca="1">INDEX(Stations,INT((ROWS(A$2:A140)-1)/(DATE(YEAR(Invoer!$A$5),12,31)-DATE(YEAR(Invoer!$A$5),1,1)+1))+2,1)</f>
        <v>78989</v>
      </c>
      <c r="B140" t="str">
        <f ca="1">TEXT(DATE(YEAR(Invoer!$A$5),1,1)+MOD(ROWS(B$2:B140)-1,DATE(YEAR(Invoer!$A$5),12,31)-DATE(YEAR(Invoer!$A$5),1,1)+1),"jjjjmmdd")</f>
        <v>19130519</v>
      </c>
      <c r="C140" s="5">
        <v>1</v>
      </c>
      <c r="D140" s="69" t="str">
        <f t="shared" ca="1" si="4"/>
        <v>—</v>
      </c>
      <c r="E140" s="10">
        <f t="shared" ca="1" si="5"/>
        <v>7</v>
      </c>
    </row>
    <row r="141" spans="1:5" x14ac:dyDescent="0.25">
      <c r="A141" s="4">
        <f ca="1">INDEX(Stations,INT((ROWS(A$2:A141)-1)/(DATE(YEAR(Invoer!$A$5),12,31)-DATE(YEAR(Invoer!$A$5),1,1)+1))+2,1)</f>
        <v>78989</v>
      </c>
      <c r="B141" t="str">
        <f ca="1">TEXT(DATE(YEAR(Invoer!$A$5),1,1)+MOD(ROWS(B$2:B141)-1,DATE(YEAR(Invoer!$A$5),12,31)-DATE(YEAR(Invoer!$A$5),1,1)+1),"jjjjmmdd")</f>
        <v>19130520</v>
      </c>
      <c r="C141" s="5">
        <v>1</v>
      </c>
      <c r="D141" s="69" t="str">
        <f t="shared" ca="1" si="4"/>
        <v>—</v>
      </c>
      <c r="E141" s="10">
        <f t="shared" ca="1" si="5"/>
        <v>7</v>
      </c>
    </row>
    <row r="142" spans="1:5" x14ac:dyDescent="0.25">
      <c r="A142" s="4">
        <f ca="1">INDEX(Stations,INT((ROWS(A$2:A142)-1)/(DATE(YEAR(Invoer!$A$5),12,31)-DATE(YEAR(Invoer!$A$5),1,1)+1))+2,1)</f>
        <v>78989</v>
      </c>
      <c r="B142" t="str">
        <f ca="1">TEXT(DATE(YEAR(Invoer!$A$5),1,1)+MOD(ROWS(B$2:B142)-1,DATE(YEAR(Invoer!$A$5),12,31)-DATE(YEAR(Invoer!$A$5),1,1)+1),"jjjjmmdd")</f>
        <v>19130521</v>
      </c>
      <c r="C142" s="5">
        <v>1</v>
      </c>
      <c r="D142" s="69" t="str">
        <f t="shared" ca="1" si="4"/>
        <v>—</v>
      </c>
      <c r="E142" s="10">
        <f t="shared" ca="1" si="5"/>
        <v>7</v>
      </c>
    </row>
    <row r="143" spans="1:5" x14ac:dyDescent="0.25">
      <c r="A143" s="4">
        <f ca="1">INDEX(Stations,INT((ROWS(A$2:A143)-1)/(DATE(YEAR(Invoer!$A$5),12,31)-DATE(YEAR(Invoer!$A$5),1,1)+1))+2,1)</f>
        <v>78989</v>
      </c>
      <c r="B143" t="str">
        <f ca="1">TEXT(DATE(YEAR(Invoer!$A$5),1,1)+MOD(ROWS(B$2:B143)-1,DATE(YEAR(Invoer!$A$5),12,31)-DATE(YEAR(Invoer!$A$5),1,1)+1),"jjjjmmdd")</f>
        <v>19130522</v>
      </c>
      <c r="C143" s="5">
        <v>1</v>
      </c>
      <c r="D143" s="69" t="str">
        <f t="shared" ca="1" si="4"/>
        <v>—</v>
      </c>
      <c r="E143" s="10">
        <f t="shared" ca="1" si="5"/>
        <v>7</v>
      </c>
    </row>
    <row r="144" spans="1:5" x14ac:dyDescent="0.25">
      <c r="A144" s="4">
        <f ca="1">INDEX(Stations,INT((ROWS(A$2:A144)-1)/(DATE(YEAR(Invoer!$A$5),12,31)-DATE(YEAR(Invoer!$A$5),1,1)+1))+2,1)</f>
        <v>78989</v>
      </c>
      <c r="B144" t="str">
        <f ca="1">TEXT(DATE(YEAR(Invoer!$A$5),1,1)+MOD(ROWS(B$2:B144)-1,DATE(YEAR(Invoer!$A$5),12,31)-DATE(YEAR(Invoer!$A$5),1,1)+1),"jjjjmmdd")</f>
        <v>19130523</v>
      </c>
      <c r="C144" s="5">
        <v>1</v>
      </c>
      <c r="D144" s="69" t="str">
        <f t="shared" ca="1" si="4"/>
        <v>—</v>
      </c>
      <c r="E144" s="10">
        <f t="shared" ca="1" si="5"/>
        <v>7</v>
      </c>
    </row>
    <row r="145" spans="1:5" x14ac:dyDescent="0.25">
      <c r="A145" s="4">
        <f ca="1">INDEX(Stations,INT((ROWS(A$2:A145)-1)/(DATE(YEAR(Invoer!$A$5),12,31)-DATE(YEAR(Invoer!$A$5),1,1)+1))+2,1)</f>
        <v>78989</v>
      </c>
      <c r="B145" t="str">
        <f ca="1">TEXT(DATE(YEAR(Invoer!$A$5),1,1)+MOD(ROWS(B$2:B145)-1,DATE(YEAR(Invoer!$A$5),12,31)-DATE(YEAR(Invoer!$A$5),1,1)+1),"jjjjmmdd")</f>
        <v>19130524</v>
      </c>
      <c r="C145" s="5">
        <v>1</v>
      </c>
      <c r="D145" s="69" t="str">
        <f t="shared" ca="1" si="4"/>
        <v>—</v>
      </c>
      <c r="E145" s="10">
        <f t="shared" ca="1" si="5"/>
        <v>7</v>
      </c>
    </row>
    <row r="146" spans="1:5" x14ac:dyDescent="0.25">
      <c r="A146" s="4">
        <f ca="1">INDEX(Stations,INT((ROWS(A$2:A146)-1)/(DATE(YEAR(Invoer!$A$5),12,31)-DATE(YEAR(Invoer!$A$5),1,1)+1))+2,1)</f>
        <v>78989</v>
      </c>
      <c r="B146" t="str">
        <f ca="1">TEXT(DATE(YEAR(Invoer!$A$5),1,1)+MOD(ROWS(B$2:B146)-1,DATE(YEAR(Invoer!$A$5),12,31)-DATE(YEAR(Invoer!$A$5),1,1)+1),"jjjjmmdd")</f>
        <v>19130525</v>
      </c>
      <c r="C146" s="5">
        <v>1</v>
      </c>
      <c r="D146" s="69" t="str">
        <f t="shared" ca="1" si="4"/>
        <v>—</v>
      </c>
      <c r="E146" s="10">
        <f t="shared" ca="1" si="5"/>
        <v>7</v>
      </c>
    </row>
    <row r="147" spans="1:5" x14ac:dyDescent="0.25">
      <c r="A147" s="4">
        <f ca="1">INDEX(Stations,INT((ROWS(A$2:A147)-1)/(DATE(YEAR(Invoer!$A$5),12,31)-DATE(YEAR(Invoer!$A$5),1,1)+1))+2,1)</f>
        <v>78989</v>
      </c>
      <c r="B147" t="str">
        <f ca="1">TEXT(DATE(YEAR(Invoer!$A$5),1,1)+MOD(ROWS(B$2:B147)-1,DATE(YEAR(Invoer!$A$5),12,31)-DATE(YEAR(Invoer!$A$5),1,1)+1),"jjjjmmdd")</f>
        <v>19130526</v>
      </c>
      <c r="C147" s="5">
        <v>1</v>
      </c>
      <c r="D147" s="69" t="str">
        <f t="shared" ca="1" si="4"/>
        <v>—</v>
      </c>
      <c r="E147" s="10">
        <f t="shared" ca="1" si="5"/>
        <v>7</v>
      </c>
    </row>
    <row r="148" spans="1:5" x14ac:dyDescent="0.25">
      <c r="A148" s="4">
        <f ca="1">INDEX(Stations,INT((ROWS(A$2:A148)-1)/(DATE(YEAR(Invoer!$A$5),12,31)-DATE(YEAR(Invoer!$A$5),1,1)+1))+2,1)</f>
        <v>78989</v>
      </c>
      <c r="B148" t="str">
        <f ca="1">TEXT(DATE(YEAR(Invoer!$A$5),1,1)+MOD(ROWS(B$2:B148)-1,DATE(YEAR(Invoer!$A$5),12,31)-DATE(YEAR(Invoer!$A$5),1,1)+1),"jjjjmmdd")</f>
        <v>19130527</v>
      </c>
      <c r="C148" s="5">
        <v>1</v>
      </c>
      <c r="D148" s="69" t="str">
        <f t="shared" ca="1" si="4"/>
        <v>—</v>
      </c>
      <c r="E148" s="10">
        <f t="shared" ca="1" si="5"/>
        <v>7</v>
      </c>
    </row>
    <row r="149" spans="1:5" x14ac:dyDescent="0.25">
      <c r="A149" s="4">
        <f ca="1">INDEX(Stations,INT((ROWS(A$2:A149)-1)/(DATE(YEAR(Invoer!$A$5),12,31)-DATE(YEAR(Invoer!$A$5),1,1)+1))+2,1)</f>
        <v>78989</v>
      </c>
      <c r="B149" t="str">
        <f ca="1">TEXT(DATE(YEAR(Invoer!$A$5),1,1)+MOD(ROWS(B$2:B149)-1,DATE(YEAR(Invoer!$A$5),12,31)-DATE(YEAR(Invoer!$A$5),1,1)+1),"jjjjmmdd")</f>
        <v>19130528</v>
      </c>
      <c r="C149" s="5">
        <v>1</v>
      </c>
      <c r="D149" s="69" t="str">
        <f t="shared" ca="1" si="4"/>
        <v>—</v>
      </c>
      <c r="E149" s="10">
        <f t="shared" ca="1" si="5"/>
        <v>7</v>
      </c>
    </row>
    <row r="150" spans="1:5" x14ac:dyDescent="0.25">
      <c r="A150" s="4">
        <f ca="1">INDEX(Stations,INT((ROWS(A$2:A150)-1)/(DATE(YEAR(Invoer!$A$5),12,31)-DATE(YEAR(Invoer!$A$5),1,1)+1))+2,1)</f>
        <v>78989</v>
      </c>
      <c r="B150" t="str">
        <f ca="1">TEXT(DATE(YEAR(Invoer!$A$5),1,1)+MOD(ROWS(B$2:B150)-1,DATE(YEAR(Invoer!$A$5),12,31)-DATE(YEAR(Invoer!$A$5),1,1)+1),"jjjjmmdd")</f>
        <v>19130529</v>
      </c>
      <c r="C150" s="5">
        <v>1</v>
      </c>
      <c r="D150" s="69" t="str">
        <f t="shared" ca="1" si="4"/>
        <v>—</v>
      </c>
      <c r="E150" s="10">
        <f t="shared" ca="1" si="5"/>
        <v>7</v>
      </c>
    </row>
    <row r="151" spans="1:5" x14ac:dyDescent="0.25">
      <c r="A151" s="4">
        <f ca="1">INDEX(Stations,INT((ROWS(A$2:A151)-1)/(DATE(YEAR(Invoer!$A$5),12,31)-DATE(YEAR(Invoer!$A$5),1,1)+1))+2,1)</f>
        <v>78989</v>
      </c>
      <c r="B151" t="str">
        <f ca="1">TEXT(DATE(YEAR(Invoer!$A$5),1,1)+MOD(ROWS(B$2:B151)-1,DATE(YEAR(Invoer!$A$5),12,31)-DATE(YEAR(Invoer!$A$5),1,1)+1),"jjjjmmdd")</f>
        <v>19130530</v>
      </c>
      <c r="C151" s="5">
        <v>1</v>
      </c>
      <c r="D151" s="69" t="str">
        <f t="shared" ca="1" si="4"/>
        <v>—</v>
      </c>
      <c r="E151" s="10">
        <f t="shared" ca="1" si="5"/>
        <v>7</v>
      </c>
    </row>
    <row r="152" spans="1:5" x14ac:dyDescent="0.25">
      <c r="A152" s="4">
        <f ca="1">INDEX(Stations,INT((ROWS(A$2:A152)-1)/(DATE(YEAR(Invoer!$A$5),12,31)-DATE(YEAR(Invoer!$A$5),1,1)+1))+2,1)</f>
        <v>78989</v>
      </c>
      <c r="B152" t="str">
        <f ca="1">TEXT(DATE(YEAR(Invoer!$A$5),1,1)+MOD(ROWS(B$2:B152)-1,DATE(YEAR(Invoer!$A$5),12,31)-DATE(YEAR(Invoer!$A$5),1,1)+1),"jjjjmmdd")</f>
        <v>19130531</v>
      </c>
      <c r="C152" s="5">
        <v>1</v>
      </c>
      <c r="D152" s="69" t="str">
        <f t="shared" ca="1" si="4"/>
        <v>—</v>
      </c>
      <c r="E152" s="10">
        <f t="shared" ca="1" si="5"/>
        <v>7</v>
      </c>
    </row>
    <row r="153" spans="1:5" x14ac:dyDescent="0.25">
      <c r="A153" s="4">
        <f ca="1">INDEX(Stations,INT((ROWS(A$2:A153)-1)/(DATE(YEAR(Invoer!$A$5),12,31)-DATE(YEAR(Invoer!$A$5),1,1)+1))+2,1)</f>
        <v>78989</v>
      </c>
      <c r="B153" t="str">
        <f ca="1">TEXT(DATE(YEAR(Invoer!$A$5),1,1)+MOD(ROWS(B$2:B153)-1,DATE(YEAR(Invoer!$A$5),12,31)-DATE(YEAR(Invoer!$A$5),1,1)+1),"jjjjmmdd")</f>
        <v>19130601</v>
      </c>
      <c r="C153" s="5">
        <v>1</v>
      </c>
      <c r="D153" s="69" t="str">
        <f t="shared" ca="1" si="4"/>
        <v>—</v>
      </c>
      <c r="E153" s="10">
        <f t="shared" ca="1" si="5"/>
        <v>7</v>
      </c>
    </row>
    <row r="154" spans="1:5" x14ac:dyDescent="0.25">
      <c r="A154" s="4">
        <f ca="1">INDEX(Stations,INT((ROWS(A$2:A154)-1)/(DATE(YEAR(Invoer!$A$5),12,31)-DATE(YEAR(Invoer!$A$5),1,1)+1))+2,1)</f>
        <v>78989</v>
      </c>
      <c r="B154" t="str">
        <f ca="1">TEXT(DATE(YEAR(Invoer!$A$5),1,1)+MOD(ROWS(B$2:B154)-1,DATE(YEAR(Invoer!$A$5),12,31)-DATE(YEAR(Invoer!$A$5),1,1)+1),"jjjjmmdd")</f>
        <v>19130602</v>
      </c>
      <c r="C154" s="5">
        <v>1</v>
      </c>
      <c r="D154" s="69" t="str">
        <f t="shared" ca="1" si="4"/>
        <v>—</v>
      </c>
      <c r="E154" s="10">
        <f t="shared" ca="1" si="5"/>
        <v>7</v>
      </c>
    </row>
    <row r="155" spans="1:5" x14ac:dyDescent="0.25">
      <c r="A155" s="4">
        <f ca="1">INDEX(Stations,INT((ROWS(A$2:A155)-1)/(DATE(YEAR(Invoer!$A$5),12,31)-DATE(YEAR(Invoer!$A$5),1,1)+1))+2,1)</f>
        <v>78989</v>
      </c>
      <c r="B155" t="str">
        <f ca="1">TEXT(DATE(YEAR(Invoer!$A$5),1,1)+MOD(ROWS(B$2:B155)-1,DATE(YEAR(Invoer!$A$5),12,31)-DATE(YEAR(Invoer!$A$5),1,1)+1),"jjjjmmdd")</f>
        <v>19130603</v>
      </c>
      <c r="C155" s="5">
        <v>1</v>
      </c>
      <c r="D155" s="69" t="str">
        <f t="shared" ca="1" si="4"/>
        <v>—</v>
      </c>
      <c r="E155" s="10">
        <f t="shared" ca="1" si="5"/>
        <v>7</v>
      </c>
    </row>
    <row r="156" spans="1:5" x14ac:dyDescent="0.25">
      <c r="A156" s="4">
        <f ca="1">INDEX(Stations,INT((ROWS(A$2:A156)-1)/(DATE(YEAR(Invoer!$A$5),12,31)-DATE(YEAR(Invoer!$A$5),1,1)+1))+2,1)</f>
        <v>78989</v>
      </c>
      <c r="B156" t="str">
        <f ca="1">TEXT(DATE(YEAR(Invoer!$A$5),1,1)+MOD(ROWS(B$2:B156)-1,DATE(YEAR(Invoer!$A$5),12,31)-DATE(YEAR(Invoer!$A$5),1,1)+1),"jjjjmmdd")</f>
        <v>19130604</v>
      </c>
      <c r="C156" s="5">
        <v>1</v>
      </c>
      <c r="D156" s="69" t="str">
        <f t="shared" ca="1" si="4"/>
        <v>—</v>
      </c>
      <c r="E156" s="10">
        <f t="shared" ca="1" si="5"/>
        <v>7</v>
      </c>
    </row>
    <row r="157" spans="1:5" x14ac:dyDescent="0.25">
      <c r="A157" s="4">
        <f ca="1">INDEX(Stations,INT((ROWS(A$2:A157)-1)/(DATE(YEAR(Invoer!$A$5),12,31)-DATE(YEAR(Invoer!$A$5),1,1)+1))+2,1)</f>
        <v>78989</v>
      </c>
      <c r="B157" t="str">
        <f ca="1">TEXT(DATE(YEAR(Invoer!$A$5),1,1)+MOD(ROWS(B$2:B157)-1,DATE(YEAR(Invoer!$A$5),12,31)-DATE(YEAR(Invoer!$A$5),1,1)+1),"jjjjmmdd")</f>
        <v>19130605</v>
      </c>
      <c r="C157" s="5">
        <v>1</v>
      </c>
      <c r="D157" s="69" t="str">
        <f t="shared" ca="1" si="4"/>
        <v>—</v>
      </c>
      <c r="E157" s="10">
        <f t="shared" ca="1" si="5"/>
        <v>7</v>
      </c>
    </row>
    <row r="158" spans="1:5" x14ac:dyDescent="0.25">
      <c r="A158" s="4">
        <f ca="1">INDEX(Stations,INT((ROWS(A$2:A158)-1)/(DATE(YEAR(Invoer!$A$5),12,31)-DATE(YEAR(Invoer!$A$5),1,1)+1))+2,1)</f>
        <v>78989</v>
      </c>
      <c r="B158" t="str">
        <f ca="1">TEXT(DATE(YEAR(Invoer!$A$5),1,1)+MOD(ROWS(B$2:B158)-1,DATE(YEAR(Invoer!$A$5),12,31)-DATE(YEAR(Invoer!$A$5),1,1)+1),"jjjjmmdd")</f>
        <v>19130606</v>
      </c>
      <c r="C158" s="5">
        <v>1</v>
      </c>
      <c r="D158" s="69" t="str">
        <f t="shared" ca="1" si="4"/>
        <v>—</v>
      </c>
      <c r="E158" s="10">
        <f t="shared" ca="1" si="5"/>
        <v>7</v>
      </c>
    </row>
    <row r="159" spans="1:5" x14ac:dyDescent="0.25">
      <c r="A159" s="4">
        <f ca="1">INDEX(Stations,INT((ROWS(A$2:A159)-1)/(DATE(YEAR(Invoer!$A$5),12,31)-DATE(YEAR(Invoer!$A$5),1,1)+1))+2,1)</f>
        <v>78989</v>
      </c>
      <c r="B159" t="str">
        <f ca="1">TEXT(DATE(YEAR(Invoer!$A$5),1,1)+MOD(ROWS(B$2:B159)-1,DATE(YEAR(Invoer!$A$5),12,31)-DATE(YEAR(Invoer!$A$5),1,1)+1),"jjjjmmdd")</f>
        <v>19130607</v>
      </c>
      <c r="C159" s="5">
        <v>1</v>
      </c>
      <c r="D159" s="69" t="str">
        <f t="shared" ca="1" si="4"/>
        <v>—</v>
      </c>
      <c r="E159" s="10">
        <f t="shared" ca="1" si="5"/>
        <v>7</v>
      </c>
    </row>
    <row r="160" spans="1:5" x14ac:dyDescent="0.25">
      <c r="A160" s="4">
        <f ca="1">INDEX(Stations,INT((ROWS(A$2:A160)-1)/(DATE(YEAR(Invoer!$A$5),12,31)-DATE(YEAR(Invoer!$A$5),1,1)+1))+2,1)</f>
        <v>78989</v>
      </c>
      <c r="B160" t="str">
        <f ca="1">TEXT(DATE(YEAR(Invoer!$A$5),1,1)+MOD(ROWS(B$2:B160)-1,DATE(YEAR(Invoer!$A$5),12,31)-DATE(YEAR(Invoer!$A$5),1,1)+1),"jjjjmmdd")</f>
        <v>19130608</v>
      </c>
      <c r="C160" s="5">
        <v>1</v>
      </c>
      <c r="D160" s="69" t="str">
        <f t="shared" ca="1" si="4"/>
        <v>—</v>
      </c>
      <c r="E160" s="10">
        <f t="shared" ca="1" si="5"/>
        <v>7</v>
      </c>
    </row>
    <row r="161" spans="1:5" x14ac:dyDescent="0.25">
      <c r="A161" s="4">
        <f ca="1">INDEX(Stations,INT((ROWS(A$2:A161)-1)/(DATE(YEAR(Invoer!$A$5),12,31)-DATE(YEAR(Invoer!$A$5),1,1)+1))+2,1)</f>
        <v>78989</v>
      </c>
      <c r="B161" t="str">
        <f ca="1">TEXT(DATE(YEAR(Invoer!$A$5),1,1)+MOD(ROWS(B$2:B161)-1,DATE(YEAR(Invoer!$A$5),12,31)-DATE(YEAR(Invoer!$A$5),1,1)+1),"jjjjmmdd")</f>
        <v>19130609</v>
      </c>
      <c r="C161" s="5">
        <v>1</v>
      </c>
      <c r="D161" s="69" t="str">
        <f t="shared" ca="1" si="4"/>
        <v>—</v>
      </c>
      <c r="E161" s="10">
        <f t="shared" ca="1" si="5"/>
        <v>7</v>
      </c>
    </row>
    <row r="162" spans="1:5" x14ac:dyDescent="0.25">
      <c r="A162" s="4">
        <f ca="1">INDEX(Stations,INT((ROWS(A$2:A162)-1)/(DATE(YEAR(Invoer!$A$5),12,31)-DATE(YEAR(Invoer!$A$5),1,1)+1))+2,1)</f>
        <v>78989</v>
      </c>
      <c r="B162" t="str">
        <f ca="1">TEXT(DATE(YEAR(Invoer!$A$5),1,1)+MOD(ROWS(B$2:B162)-1,DATE(YEAR(Invoer!$A$5),12,31)-DATE(YEAR(Invoer!$A$5),1,1)+1),"jjjjmmdd")</f>
        <v>19130610</v>
      </c>
      <c r="C162" s="5">
        <v>1</v>
      </c>
      <c r="D162" s="69" t="str">
        <f t="shared" ca="1" si="4"/>
        <v>—</v>
      </c>
      <c r="E162" s="10">
        <f t="shared" ca="1" si="5"/>
        <v>7</v>
      </c>
    </row>
    <row r="163" spans="1:5" x14ac:dyDescent="0.25">
      <c r="A163" s="4">
        <f ca="1">INDEX(Stations,INT((ROWS(A$2:A163)-1)/(DATE(YEAR(Invoer!$A$5),12,31)-DATE(YEAR(Invoer!$A$5),1,1)+1))+2,1)</f>
        <v>78989</v>
      </c>
      <c r="B163" t="str">
        <f ca="1">TEXT(DATE(YEAR(Invoer!$A$5),1,1)+MOD(ROWS(B$2:B163)-1,DATE(YEAR(Invoer!$A$5),12,31)-DATE(YEAR(Invoer!$A$5),1,1)+1),"jjjjmmdd")</f>
        <v>19130611</v>
      </c>
      <c r="C163" s="5">
        <v>1</v>
      </c>
      <c r="D163" s="69" t="str">
        <f t="shared" ca="1" si="4"/>
        <v>—</v>
      </c>
      <c r="E163" s="10">
        <f t="shared" ca="1" si="5"/>
        <v>7</v>
      </c>
    </row>
    <row r="164" spans="1:5" x14ac:dyDescent="0.25">
      <c r="A164" s="4">
        <f ca="1">INDEX(Stations,INT((ROWS(A$2:A164)-1)/(DATE(YEAR(Invoer!$A$5),12,31)-DATE(YEAR(Invoer!$A$5),1,1)+1))+2,1)</f>
        <v>78989</v>
      </c>
      <c r="B164" t="str">
        <f ca="1">TEXT(DATE(YEAR(Invoer!$A$5),1,1)+MOD(ROWS(B$2:B164)-1,DATE(YEAR(Invoer!$A$5),12,31)-DATE(YEAR(Invoer!$A$5),1,1)+1),"jjjjmmdd")</f>
        <v>19130612</v>
      </c>
      <c r="C164" s="5">
        <v>1</v>
      </c>
      <c r="D164" s="69" t="str">
        <f t="shared" ca="1" si="4"/>
        <v>—</v>
      </c>
      <c r="E164" s="10">
        <f t="shared" ca="1" si="5"/>
        <v>7</v>
      </c>
    </row>
    <row r="165" spans="1:5" x14ac:dyDescent="0.25">
      <c r="A165" s="4">
        <f ca="1">INDEX(Stations,INT((ROWS(A$2:A165)-1)/(DATE(YEAR(Invoer!$A$5),12,31)-DATE(YEAR(Invoer!$A$5),1,1)+1))+2,1)</f>
        <v>78989</v>
      </c>
      <c r="B165" t="str">
        <f ca="1">TEXT(DATE(YEAR(Invoer!$A$5),1,1)+MOD(ROWS(B$2:B165)-1,DATE(YEAR(Invoer!$A$5),12,31)-DATE(YEAR(Invoer!$A$5),1,1)+1),"jjjjmmdd")</f>
        <v>19130613</v>
      </c>
      <c r="C165" s="5">
        <v>1</v>
      </c>
      <c r="D165" s="69" t="str">
        <f t="shared" ca="1" si="4"/>
        <v>—</v>
      </c>
      <c r="E165" s="10">
        <f t="shared" ca="1" si="5"/>
        <v>7</v>
      </c>
    </row>
    <row r="166" spans="1:5" x14ac:dyDescent="0.25">
      <c r="A166" s="4">
        <f ca="1">INDEX(Stations,INT((ROWS(A$2:A166)-1)/(DATE(YEAR(Invoer!$A$5),12,31)-DATE(YEAR(Invoer!$A$5),1,1)+1))+2,1)</f>
        <v>78989</v>
      </c>
      <c r="B166" t="str">
        <f ca="1">TEXT(DATE(YEAR(Invoer!$A$5),1,1)+MOD(ROWS(B$2:B166)-1,DATE(YEAR(Invoer!$A$5),12,31)-DATE(YEAR(Invoer!$A$5),1,1)+1),"jjjjmmdd")</f>
        <v>19130614</v>
      </c>
      <c r="C166" s="5">
        <v>1</v>
      </c>
      <c r="D166" s="69" t="str">
        <f t="shared" ca="1" si="4"/>
        <v>—</v>
      </c>
      <c r="E166" s="10">
        <f t="shared" ca="1" si="5"/>
        <v>7</v>
      </c>
    </row>
    <row r="167" spans="1:5" x14ac:dyDescent="0.25">
      <c r="A167" s="4">
        <f ca="1">INDEX(Stations,INT((ROWS(A$2:A167)-1)/(DATE(YEAR(Invoer!$A$5),12,31)-DATE(YEAR(Invoer!$A$5),1,1)+1))+2,1)</f>
        <v>78989</v>
      </c>
      <c r="B167" t="str">
        <f ca="1">TEXT(DATE(YEAR(Invoer!$A$5),1,1)+MOD(ROWS(B$2:B167)-1,DATE(YEAR(Invoer!$A$5),12,31)-DATE(YEAR(Invoer!$A$5),1,1)+1),"jjjjmmdd")</f>
        <v>19130615</v>
      </c>
      <c r="C167" s="5">
        <v>1</v>
      </c>
      <c r="D167" s="69" t="str">
        <f t="shared" ca="1" si="4"/>
        <v>—</v>
      </c>
      <c r="E167" s="10">
        <f t="shared" ca="1" si="5"/>
        <v>7</v>
      </c>
    </row>
    <row r="168" spans="1:5" x14ac:dyDescent="0.25">
      <c r="A168" s="4">
        <f ca="1">INDEX(Stations,INT((ROWS(A$2:A168)-1)/(DATE(YEAR(Invoer!$A$5),12,31)-DATE(YEAR(Invoer!$A$5),1,1)+1))+2,1)</f>
        <v>78989</v>
      </c>
      <c r="B168" t="str">
        <f ca="1">TEXT(DATE(YEAR(Invoer!$A$5),1,1)+MOD(ROWS(B$2:B168)-1,DATE(YEAR(Invoer!$A$5),12,31)-DATE(YEAR(Invoer!$A$5),1,1)+1),"jjjjmmdd")</f>
        <v>19130616</v>
      </c>
      <c r="C168" s="5">
        <v>1</v>
      </c>
      <c r="D168" s="69" t="str">
        <f t="shared" ca="1" si="4"/>
        <v>—</v>
      </c>
      <c r="E168" s="10">
        <f t="shared" ca="1" si="5"/>
        <v>7</v>
      </c>
    </row>
    <row r="169" spans="1:5" x14ac:dyDescent="0.25">
      <c r="A169" s="4">
        <f ca="1">INDEX(Stations,INT((ROWS(A$2:A169)-1)/(DATE(YEAR(Invoer!$A$5),12,31)-DATE(YEAR(Invoer!$A$5),1,1)+1))+2,1)</f>
        <v>78989</v>
      </c>
      <c r="B169" t="str">
        <f ca="1">TEXT(DATE(YEAR(Invoer!$A$5),1,1)+MOD(ROWS(B$2:B169)-1,DATE(YEAR(Invoer!$A$5),12,31)-DATE(YEAR(Invoer!$A$5),1,1)+1),"jjjjmmdd")</f>
        <v>19130617</v>
      </c>
      <c r="C169" s="5">
        <v>1</v>
      </c>
      <c r="D169" s="69" t="str">
        <f t="shared" ca="1" si="4"/>
        <v>—</v>
      </c>
      <c r="E169" s="10">
        <f t="shared" ca="1" si="5"/>
        <v>7</v>
      </c>
    </row>
    <row r="170" spans="1:5" x14ac:dyDescent="0.25">
      <c r="A170" s="4">
        <f ca="1">INDEX(Stations,INT((ROWS(A$2:A170)-1)/(DATE(YEAR(Invoer!$A$5),12,31)-DATE(YEAR(Invoer!$A$5),1,1)+1))+2,1)</f>
        <v>78989</v>
      </c>
      <c r="B170" t="str">
        <f ca="1">TEXT(DATE(YEAR(Invoer!$A$5),1,1)+MOD(ROWS(B$2:B170)-1,DATE(YEAR(Invoer!$A$5),12,31)-DATE(YEAR(Invoer!$A$5),1,1)+1),"jjjjmmdd")</f>
        <v>19130618</v>
      </c>
      <c r="C170" s="5">
        <v>1</v>
      </c>
      <c r="D170" s="69" t="str">
        <f t="shared" ca="1" si="4"/>
        <v>—</v>
      </c>
      <c r="E170" s="10">
        <f t="shared" ca="1" si="5"/>
        <v>7</v>
      </c>
    </row>
    <row r="171" spans="1:5" x14ac:dyDescent="0.25">
      <c r="A171" s="4">
        <f ca="1">INDEX(Stations,INT((ROWS(A$2:A171)-1)/(DATE(YEAR(Invoer!$A$5),12,31)-DATE(YEAR(Invoer!$A$5),1,1)+1))+2,1)</f>
        <v>78989</v>
      </c>
      <c r="B171" t="str">
        <f ca="1">TEXT(DATE(YEAR(Invoer!$A$5),1,1)+MOD(ROWS(B$2:B171)-1,DATE(YEAR(Invoer!$A$5),12,31)-DATE(YEAR(Invoer!$A$5),1,1)+1),"jjjjmmdd")</f>
        <v>19130619</v>
      </c>
      <c r="C171" s="5">
        <v>1</v>
      </c>
      <c r="D171" s="69" t="str">
        <f t="shared" ca="1" si="4"/>
        <v>—</v>
      </c>
      <c r="E171" s="10">
        <f t="shared" ca="1" si="5"/>
        <v>7</v>
      </c>
    </row>
    <row r="172" spans="1:5" x14ac:dyDescent="0.25">
      <c r="A172" s="4">
        <f ca="1">INDEX(Stations,INT((ROWS(A$2:A172)-1)/(DATE(YEAR(Invoer!$A$5),12,31)-DATE(YEAR(Invoer!$A$5),1,1)+1))+2,1)</f>
        <v>78989</v>
      </c>
      <c r="B172" t="str">
        <f ca="1">TEXT(DATE(YEAR(Invoer!$A$5),1,1)+MOD(ROWS(B$2:B172)-1,DATE(YEAR(Invoer!$A$5),12,31)-DATE(YEAR(Invoer!$A$5),1,1)+1),"jjjjmmdd")</f>
        <v>19130620</v>
      </c>
      <c r="C172" s="5">
        <v>1</v>
      </c>
      <c r="D172" s="69" t="str">
        <f t="shared" ca="1" si="4"/>
        <v>—</v>
      </c>
      <c r="E172" s="10">
        <f t="shared" ca="1" si="5"/>
        <v>7</v>
      </c>
    </row>
    <row r="173" spans="1:5" x14ac:dyDescent="0.25">
      <c r="A173" s="4">
        <f ca="1">INDEX(Stations,INT((ROWS(A$2:A173)-1)/(DATE(YEAR(Invoer!$A$5),12,31)-DATE(YEAR(Invoer!$A$5),1,1)+1))+2,1)</f>
        <v>78989</v>
      </c>
      <c r="B173" t="str">
        <f ca="1">TEXT(DATE(YEAR(Invoer!$A$5),1,1)+MOD(ROWS(B$2:B173)-1,DATE(YEAR(Invoer!$A$5),12,31)-DATE(YEAR(Invoer!$A$5),1,1)+1),"jjjjmmdd")</f>
        <v>19130621</v>
      </c>
      <c r="C173" s="5">
        <v>1</v>
      </c>
      <c r="D173" s="69" t="str">
        <f t="shared" ca="1" si="4"/>
        <v>—</v>
      </c>
      <c r="E173" s="10">
        <f t="shared" ca="1" si="5"/>
        <v>7</v>
      </c>
    </row>
    <row r="174" spans="1:5" x14ac:dyDescent="0.25">
      <c r="A174" s="4">
        <f ca="1">INDEX(Stations,INT((ROWS(A$2:A174)-1)/(DATE(YEAR(Invoer!$A$5),12,31)-DATE(YEAR(Invoer!$A$5),1,1)+1))+2,1)</f>
        <v>78989</v>
      </c>
      <c r="B174" t="str">
        <f ca="1">TEXT(DATE(YEAR(Invoer!$A$5),1,1)+MOD(ROWS(B$2:B174)-1,DATE(YEAR(Invoer!$A$5),12,31)-DATE(YEAR(Invoer!$A$5),1,1)+1),"jjjjmmdd")</f>
        <v>19130622</v>
      </c>
      <c r="C174" s="5">
        <v>1</v>
      </c>
      <c r="D174" s="69" t="str">
        <f t="shared" ca="1" si="4"/>
        <v>—</v>
      </c>
      <c r="E174" s="10">
        <f t="shared" ca="1" si="5"/>
        <v>7</v>
      </c>
    </row>
    <row r="175" spans="1:5" x14ac:dyDescent="0.25">
      <c r="A175" s="4">
        <f ca="1">INDEX(Stations,INT((ROWS(A$2:A175)-1)/(DATE(YEAR(Invoer!$A$5),12,31)-DATE(YEAR(Invoer!$A$5),1,1)+1))+2,1)</f>
        <v>78989</v>
      </c>
      <c r="B175" t="str">
        <f ca="1">TEXT(DATE(YEAR(Invoer!$A$5),1,1)+MOD(ROWS(B$2:B175)-1,DATE(YEAR(Invoer!$A$5),12,31)-DATE(YEAR(Invoer!$A$5),1,1)+1),"jjjjmmdd")</f>
        <v>19130623</v>
      </c>
      <c r="C175" s="5">
        <v>1</v>
      </c>
      <c r="D175" s="69" t="str">
        <f t="shared" ca="1" si="4"/>
        <v>—</v>
      </c>
      <c r="E175" s="10">
        <f t="shared" ca="1" si="5"/>
        <v>7</v>
      </c>
    </row>
    <row r="176" spans="1:5" x14ac:dyDescent="0.25">
      <c r="A176" s="4">
        <f ca="1">INDEX(Stations,INT((ROWS(A$2:A176)-1)/(DATE(YEAR(Invoer!$A$5),12,31)-DATE(YEAR(Invoer!$A$5),1,1)+1))+2,1)</f>
        <v>78989</v>
      </c>
      <c r="B176" t="str">
        <f ca="1">TEXT(DATE(YEAR(Invoer!$A$5),1,1)+MOD(ROWS(B$2:B176)-1,DATE(YEAR(Invoer!$A$5),12,31)-DATE(YEAR(Invoer!$A$5),1,1)+1),"jjjjmmdd")</f>
        <v>19130624</v>
      </c>
      <c r="C176" s="5">
        <v>1</v>
      </c>
      <c r="D176" s="69" t="str">
        <f t="shared" ca="1" si="4"/>
        <v>—</v>
      </c>
      <c r="E176" s="10">
        <f t="shared" ca="1" si="5"/>
        <v>7</v>
      </c>
    </row>
    <row r="177" spans="1:5" x14ac:dyDescent="0.25">
      <c r="A177" s="4">
        <f ca="1">INDEX(Stations,INT((ROWS(A$2:A177)-1)/(DATE(YEAR(Invoer!$A$5),12,31)-DATE(YEAR(Invoer!$A$5),1,1)+1))+2,1)</f>
        <v>78989</v>
      </c>
      <c r="B177" t="str">
        <f ca="1">TEXT(DATE(YEAR(Invoer!$A$5),1,1)+MOD(ROWS(B$2:B177)-1,DATE(YEAR(Invoer!$A$5),12,31)-DATE(YEAR(Invoer!$A$5),1,1)+1),"jjjjmmdd")</f>
        <v>19130625</v>
      </c>
      <c r="C177" s="5">
        <v>1</v>
      </c>
      <c r="D177" s="69" t="str">
        <f t="shared" ca="1" si="4"/>
        <v>—</v>
      </c>
      <c r="E177" s="10">
        <f t="shared" ca="1" si="5"/>
        <v>7</v>
      </c>
    </row>
    <row r="178" spans="1:5" x14ac:dyDescent="0.25">
      <c r="A178" s="4">
        <f ca="1">INDEX(Stations,INT((ROWS(A$2:A178)-1)/(DATE(YEAR(Invoer!$A$5),12,31)-DATE(YEAR(Invoer!$A$5),1,1)+1))+2,1)</f>
        <v>78989</v>
      </c>
      <c r="B178" t="str">
        <f ca="1">TEXT(DATE(YEAR(Invoer!$A$5),1,1)+MOD(ROWS(B$2:B178)-1,DATE(YEAR(Invoer!$A$5),12,31)-DATE(YEAR(Invoer!$A$5),1,1)+1),"jjjjmmdd")</f>
        <v>19130626</v>
      </c>
      <c r="C178" s="5">
        <v>1</v>
      </c>
      <c r="D178" s="69" t="str">
        <f t="shared" ca="1" si="4"/>
        <v>—</v>
      </c>
      <c r="E178" s="10">
        <f t="shared" ca="1" si="5"/>
        <v>7</v>
      </c>
    </row>
    <row r="179" spans="1:5" x14ac:dyDescent="0.25">
      <c r="A179" s="4">
        <f ca="1">INDEX(Stations,INT((ROWS(A$2:A179)-1)/(DATE(YEAR(Invoer!$A$5),12,31)-DATE(YEAR(Invoer!$A$5),1,1)+1))+2,1)</f>
        <v>78989</v>
      </c>
      <c r="B179" t="str">
        <f ca="1">TEXT(DATE(YEAR(Invoer!$A$5),1,1)+MOD(ROWS(B$2:B179)-1,DATE(YEAR(Invoer!$A$5),12,31)-DATE(YEAR(Invoer!$A$5),1,1)+1),"jjjjmmdd")</f>
        <v>19130627</v>
      </c>
      <c r="C179" s="5">
        <v>1</v>
      </c>
      <c r="D179" s="69" t="str">
        <f t="shared" ca="1" si="4"/>
        <v>—</v>
      </c>
      <c r="E179" s="10">
        <f t="shared" ca="1" si="5"/>
        <v>7</v>
      </c>
    </row>
    <row r="180" spans="1:5" x14ac:dyDescent="0.25">
      <c r="A180" s="4">
        <f ca="1">INDEX(Stations,INT((ROWS(A$2:A180)-1)/(DATE(YEAR(Invoer!$A$5),12,31)-DATE(YEAR(Invoer!$A$5),1,1)+1))+2,1)</f>
        <v>78989</v>
      </c>
      <c r="B180" t="str">
        <f ca="1">TEXT(DATE(YEAR(Invoer!$A$5),1,1)+MOD(ROWS(B$2:B180)-1,DATE(YEAR(Invoer!$A$5),12,31)-DATE(YEAR(Invoer!$A$5),1,1)+1),"jjjjmmdd")</f>
        <v>19130628</v>
      </c>
      <c r="C180" s="5">
        <v>1</v>
      </c>
      <c r="D180" s="69" t="str">
        <f t="shared" ca="1" si="4"/>
        <v>—</v>
      </c>
      <c r="E180" s="10">
        <f t="shared" ca="1" si="5"/>
        <v>7</v>
      </c>
    </row>
    <row r="181" spans="1:5" x14ac:dyDescent="0.25">
      <c r="A181" s="4">
        <f ca="1">INDEX(Stations,INT((ROWS(A$2:A181)-1)/(DATE(YEAR(Invoer!$A$5),12,31)-DATE(YEAR(Invoer!$A$5),1,1)+1))+2,1)</f>
        <v>78989</v>
      </c>
      <c r="B181" t="str">
        <f ca="1">TEXT(DATE(YEAR(Invoer!$A$5),1,1)+MOD(ROWS(B$2:B181)-1,DATE(YEAR(Invoer!$A$5),12,31)-DATE(YEAR(Invoer!$A$5),1,1)+1),"jjjjmmdd")</f>
        <v>19130629</v>
      </c>
      <c r="C181" s="5">
        <v>1</v>
      </c>
      <c r="D181" s="69" t="str">
        <f t="shared" ca="1" si="4"/>
        <v>—</v>
      </c>
      <c r="E181" s="10">
        <f t="shared" ca="1" si="5"/>
        <v>7</v>
      </c>
    </row>
    <row r="182" spans="1:5" x14ac:dyDescent="0.25">
      <c r="A182" s="4">
        <f ca="1">INDEX(Stations,INT((ROWS(A$2:A182)-1)/(DATE(YEAR(Invoer!$A$5),12,31)-DATE(YEAR(Invoer!$A$5),1,1)+1))+2,1)</f>
        <v>78989</v>
      </c>
      <c r="B182" t="str">
        <f ca="1">TEXT(DATE(YEAR(Invoer!$A$5),1,1)+MOD(ROWS(B$2:B182)-1,DATE(YEAR(Invoer!$A$5),12,31)-DATE(YEAR(Invoer!$A$5),1,1)+1),"jjjjmmdd")</f>
        <v>19130630</v>
      </c>
      <c r="C182" s="5">
        <v>1</v>
      </c>
      <c r="D182" s="69" t="str">
        <f t="shared" ca="1" si="4"/>
        <v>—</v>
      </c>
      <c r="E182" s="10">
        <f t="shared" ca="1" si="5"/>
        <v>7</v>
      </c>
    </row>
    <row r="183" spans="1:5" x14ac:dyDescent="0.25">
      <c r="A183" s="4">
        <f ca="1">INDEX(Stations,INT((ROWS(A$2:A183)-1)/(DATE(YEAR(Invoer!$A$5),12,31)-DATE(YEAR(Invoer!$A$5),1,1)+1))+2,1)</f>
        <v>78989</v>
      </c>
      <c r="B183" t="str">
        <f ca="1">TEXT(DATE(YEAR(Invoer!$A$5),1,1)+MOD(ROWS(B$2:B183)-1,DATE(YEAR(Invoer!$A$5),12,31)-DATE(YEAR(Invoer!$A$5),1,1)+1),"jjjjmmdd")</f>
        <v>19130701</v>
      </c>
      <c r="C183" s="5">
        <v>1</v>
      </c>
      <c r="D183" s="69" t="str">
        <f t="shared" ca="1" si="4"/>
        <v>—</v>
      </c>
      <c r="E183" s="10">
        <f t="shared" ca="1" si="5"/>
        <v>7</v>
      </c>
    </row>
    <row r="184" spans="1:5" x14ac:dyDescent="0.25">
      <c r="A184" s="4">
        <f ca="1">INDEX(Stations,INT((ROWS(A$2:A184)-1)/(DATE(YEAR(Invoer!$A$5),12,31)-DATE(YEAR(Invoer!$A$5),1,1)+1))+2,1)</f>
        <v>78989</v>
      </c>
      <c r="B184" t="str">
        <f ca="1">TEXT(DATE(YEAR(Invoer!$A$5),1,1)+MOD(ROWS(B$2:B184)-1,DATE(YEAR(Invoer!$A$5),12,31)-DATE(YEAR(Invoer!$A$5),1,1)+1),"jjjjmmdd")</f>
        <v>19130702</v>
      </c>
      <c r="C184" s="5">
        <v>1</v>
      </c>
      <c r="D184" s="69" t="str">
        <f t="shared" ca="1" si="4"/>
        <v>—</v>
      </c>
      <c r="E184" s="10">
        <f t="shared" ca="1" si="5"/>
        <v>7</v>
      </c>
    </row>
    <row r="185" spans="1:5" x14ac:dyDescent="0.25">
      <c r="A185" s="4">
        <f ca="1">INDEX(Stations,INT((ROWS(A$2:A185)-1)/(DATE(YEAR(Invoer!$A$5),12,31)-DATE(YEAR(Invoer!$A$5),1,1)+1))+2,1)</f>
        <v>78989</v>
      </c>
      <c r="B185" t="str">
        <f ca="1">TEXT(DATE(YEAR(Invoer!$A$5),1,1)+MOD(ROWS(B$2:B185)-1,DATE(YEAR(Invoer!$A$5),12,31)-DATE(YEAR(Invoer!$A$5),1,1)+1),"jjjjmmdd")</f>
        <v>19130703</v>
      </c>
      <c r="C185" s="5">
        <v>1</v>
      </c>
      <c r="D185" s="69" t="str">
        <f t="shared" ca="1" si="4"/>
        <v>—</v>
      </c>
      <c r="E185" s="10">
        <f t="shared" ca="1" si="5"/>
        <v>7</v>
      </c>
    </row>
    <row r="186" spans="1:5" x14ac:dyDescent="0.25">
      <c r="A186" s="4">
        <f ca="1">INDEX(Stations,INT((ROWS(A$2:A186)-1)/(DATE(YEAR(Invoer!$A$5),12,31)-DATE(YEAR(Invoer!$A$5),1,1)+1))+2,1)</f>
        <v>78989</v>
      </c>
      <c r="B186" t="str">
        <f ca="1">TEXT(DATE(YEAR(Invoer!$A$5),1,1)+MOD(ROWS(B$2:B186)-1,DATE(YEAR(Invoer!$A$5),12,31)-DATE(YEAR(Invoer!$A$5),1,1)+1),"jjjjmmdd")</f>
        <v>19130704</v>
      </c>
      <c r="C186" s="5">
        <v>1</v>
      </c>
      <c r="D186" s="69" t="str">
        <f t="shared" ca="1" si="4"/>
        <v>—</v>
      </c>
      <c r="E186" s="10">
        <f t="shared" ca="1" si="5"/>
        <v>7</v>
      </c>
    </row>
    <row r="187" spans="1:5" x14ac:dyDescent="0.25">
      <c r="A187" s="4">
        <f ca="1">INDEX(Stations,INT((ROWS(A$2:A187)-1)/(DATE(YEAR(Invoer!$A$5),12,31)-DATE(YEAR(Invoer!$A$5),1,1)+1))+2,1)</f>
        <v>78989</v>
      </c>
      <c r="B187" t="str">
        <f ca="1">TEXT(DATE(YEAR(Invoer!$A$5),1,1)+MOD(ROWS(B$2:B187)-1,DATE(YEAR(Invoer!$A$5),12,31)-DATE(YEAR(Invoer!$A$5),1,1)+1),"jjjjmmdd")</f>
        <v>19130705</v>
      </c>
      <c r="C187" s="5">
        <v>1</v>
      </c>
      <c r="D187" s="69" t="str">
        <f t="shared" ca="1" si="4"/>
        <v>—</v>
      </c>
      <c r="E187" s="10">
        <f t="shared" ca="1" si="5"/>
        <v>7</v>
      </c>
    </row>
    <row r="188" spans="1:5" x14ac:dyDescent="0.25">
      <c r="A188" s="4">
        <f ca="1">INDEX(Stations,INT((ROWS(A$2:A188)-1)/(DATE(YEAR(Invoer!$A$5),12,31)-DATE(YEAR(Invoer!$A$5),1,1)+1))+2,1)</f>
        <v>78989</v>
      </c>
      <c r="B188" t="str">
        <f ca="1">TEXT(DATE(YEAR(Invoer!$A$5),1,1)+MOD(ROWS(B$2:B188)-1,DATE(YEAR(Invoer!$A$5),12,31)-DATE(YEAR(Invoer!$A$5),1,1)+1),"jjjjmmdd")</f>
        <v>19130706</v>
      </c>
      <c r="C188" s="5">
        <v>1</v>
      </c>
      <c r="D188" s="69" t="str">
        <f t="shared" ca="1" si="4"/>
        <v>—</v>
      </c>
      <c r="E188" s="10">
        <f t="shared" ca="1" si="5"/>
        <v>7</v>
      </c>
    </row>
    <row r="189" spans="1:5" x14ac:dyDescent="0.25">
      <c r="A189" s="4">
        <f ca="1">INDEX(Stations,INT((ROWS(A$2:A189)-1)/(DATE(YEAR(Invoer!$A$5),12,31)-DATE(YEAR(Invoer!$A$5),1,1)+1))+2,1)</f>
        <v>78989</v>
      </c>
      <c r="B189" t="str">
        <f ca="1">TEXT(DATE(YEAR(Invoer!$A$5),1,1)+MOD(ROWS(B$2:B189)-1,DATE(YEAR(Invoer!$A$5),12,31)-DATE(YEAR(Invoer!$A$5),1,1)+1),"jjjjmmdd")</f>
        <v>19130707</v>
      </c>
      <c r="C189" s="5">
        <v>1</v>
      </c>
      <c r="D189" s="69" t="str">
        <f t="shared" ca="1" si="4"/>
        <v>—</v>
      </c>
      <c r="E189" s="10">
        <f t="shared" ca="1" si="5"/>
        <v>7</v>
      </c>
    </row>
    <row r="190" spans="1:5" x14ac:dyDescent="0.25">
      <c r="A190" s="4">
        <f ca="1">INDEX(Stations,INT((ROWS(A$2:A190)-1)/(DATE(YEAR(Invoer!$A$5),12,31)-DATE(YEAR(Invoer!$A$5),1,1)+1))+2,1)</f>
        <v>78989</v>
      </c>
      <c r="B190" t="str">
        <f ca="1">TEXT(DATE(YEAR(Invoer!$A$5),1,1)+MOD(ROWS(B$2:B190)-1,DATE(YEAR(Invoer!$A$5),12,31)-DATE(YEAR(Invoer!$A$5),1,1)+1),"jjjjmmdd")</f>
        <v>19130708</v>
      </c>
      <c r="C190" s="5">
        <v>1</v>
      </c>
      <c r="D190" s="69" t="str">
        <f t="shared" ca="1" si="4"/>
        <v>—</v>
      </c>
      <c r="E190" s="10">
        <f t="shared" ca="1" si="5"/>
        <v>7</v>
      </c>
    </row>
    <row r="191" spans="1:5" x14ac:dyDescent="0.25">
      <c r="A191" s="4">
        <f ca="1">INDEX(Stations,INT((ROWS(A$2:A191)-1)/(DATE(YEAR(Invoer!$A$5),12,31)-DATE(YEAR(Invoer!$A$5),1,1)+1))+2,1)</f>
        <v>78989</v>
      </c>
      <c r="B191" t="str">
        <f ca="1">TEXT(DATE(YEAR(Invoer!$A$5),1,1)+MOD(ROWS(B$2:B191)-1,DATE(YEAR(Invoer!$A$5),12,31)-DATE(YEAR(Invoer!$A$5),1,1)+1),"jjjjmmdd")</f>
        <v>19130709</v>
      </c>
      <c r="C191" s="5">
        <v>1</v>
      </c>
      <c r="D191" s="69" t="str">
        <f t="shared" ca="1" si="4"/>
        <v>—</v>
      </c>
      <c r="E191" s="10">
        <f t="shared" ca="1" si="5"/>
        <v>7</v>
      </c>
    </row>
    <row r="192" spans="1:5" x14ac:dyDescent="0.25">
      <c r="A192" s="4">
        <f ca="1">INDEX(Stations,INT((ROWS(A$2:A192)-1)/(DATE(YEAR(Invoer!$A$5),12,31)-DATE(YEAR(Invoer!$A$5),1,1)+1))+2,1)</f>
        <v>78989</v>
      </c>
      <c r="B192" t="str">
        <f ca="1">TEXT(DATE(YEAR(Invoer!$A$5),1,1)+MOD(ROWS(B$2:B192)-1,DATE(YEAR(Invoer!$A$5),12,31)-DATE(YEAR(Invoer!$A$5),1,1)+1),"jjjjmmdd")</f>
        <v>19130710</v>
      </c>
      <c r="C192" s="5">
        <v>1</v>
      </c>
      <c r="D192" s="69" t="str">
        <f t="shared" ca="1" si="4"/>
        <v>—</v>
      </c>
      <c r="E192" s="10">
        <f t="shared" ca="1" si="5"/>
        <v>7</v>
      </c>
    </row>
    <row r="193" spans="1:5" x14ac:dyDescent="0.25">
      <c r="A193" s="4">
        <f ca="1">INDEX(Stations,INT((ROWS(A$2:A193)-1)/(DATE(YEAR(Invoer!$A$5),12,31)-DATE(YEAR(Invoer!$A$5),1,1)+1))+2,1)</f>
        <v>78989</v>
      </c>
      <c r="B193" t="str">
        <f ca="1">TEXT(DATE(YEAR(Invoer!$A$5),1,1)+MOD(ROWS(B$2:B193)-1,DATE(YEAR(Invoer!$A$5),12,31)-DATE(YEAR(Invoer!$A$5),1,1)+1),"jjjjmmdd")</f>
        <v>19130711</v>
      </c>
      <c r="C193" s="5">
        <v>1</v>
      </c>
      <c r="D193" s="69" t="str">
        <f t="shared" ca="1" si="4"/>
        <v>—</v>
      </c>
      <c r="E193" s="10">
        <f t="shared" ca="1" si="5"/>
        <v>7</v>
      </c>
    </row>
    <row r="194" spans="1:5" x14ac:dyDescent="0.25">
      <c r="A194" s="4">
        <f ca="1">INDEX(Stations,INT((ROWS(A$2:A194)-1)/(DATE(YEAR(Invoer!$A$5),12,31)-DATE(YEAR(Invoer!$A$5),1,1)+1))+2,1)</f>
        <v>78989</v>
      </c>
      <c r="B194" t="str">
        <f ca="1">TEXT(DATE(YEAR(Invoer!$A$5),1,1)+MOD(ROWS(B$2:B194)-1,DATE(YEAR(Invoer!$A$5),12,31)-DATE(YEAR(Invoer!$A$5),1,1)+1),"jjjjmmdd")</f>
        <v>19130712</v>
      </c>
      <c r="C194" s="5">
        <v>1</v>
      </c>
      <c r="D194" s="69" t="str">
        <f t="shared" ref="D194:D257" ca="1" si="6">IF(OR(ISBLANK(VLOOKUP(DATEVALUE(LEFT(B194,4)&amp;"-"&amp;MID(B194,5,2)&amp;"-"&amp;RIGHT(B194,2)),Data,MATCH(LEFT(VLOOKUP(D$1,Parameters,2,FALSE()),3)&amp;"*",OFFSET(Data,0,0,1),0),FALSE())),AND(ISTEXT(VLOOKUP(DATEVALUE(LEFT(B194,4)&amp;"-"&amp;MID(B194,5,2)&amp;"-"&amp;RIGHT(B194,2)),Data,MATCH(LEFT(VLOOKUP(D$1,Parameters,2,FALSE()),3)&amp;"*",OFFSET(Data,0,0,1),0),FALSE())),NOT(EXACT(VLOOKUP(DATEVALUE(LEFT(B194,4)&amp;"-"&amp;MID(B194,5,2)&amp;"-"&amp;RIGHT(B194,2)),Data,MATCH(LEFT(VLOOKUP(D$1,Parameters,2,FALSE()),3)&amp;"*",OFFSET(Data,0,0,1),0),FALSE()),"T")))),"—",IF(ISTEXT(VLOOKUP(DATEVALUE(LEFT(B194,4)&amp;"-"&amp;MID(B194,5,2)&amp;"-"&amp;RIGHT(B194,2)),Data,MATCH(LEFT(VLOOKUP(D$1,Parameters,2,FALSE()),3)&amp;"*",OFFSET(Data,0,0,1),0),FALSE())),VLOOKUP(DATEVALUE(LEFT(B194,4)&amp;"-"&amp;MID(B194,5,2)&amp;"-"&amp;RIGHT(B194,2)),Data,MATCH(LEFT(VLOOKUP(D$1,Parameters,2,FALSE()),3)&amp;"*",OFFSET(Data,0,0,1),0),FALSE()),ROUND(0.254*VLOOKUP(DATEVALUE(LEFT(B194,4)&amp;"-"&amp;MID(B194,5,2)&amp;"-"&amp;RIGHT(B194,2)),Data,MATCH(LEFT(VLOOKUP(D$1,Parameters,2,FALSE()),3)&amp;"*",OFFSET(Data,0,0,1),0),FALSE()),1)))</f>
        <v>—</v>
      </c>
      <c r="E194" s="10">
        <f t="shared" ref="E194:E257" ca="1" si="7">IF(OR(ISBLANK(VLOOKUP(DATEVALUE(LEFT(B194,4)&amp;"-"&amp;MID(B194,5,2)&amp;"-"&amp;RIGHT(B194,2)),Data,MATCH(LEFT(VLOOKUP(MID(E$1,2,LEN(E$1)-1),Parameters,2,FALSE()),3)&amp;"*",OFFSET(Data,0,0,1),0),FALSE())),AND(ISTEXT(VLOOKUP(DATEVALUE(LEFT(B194,4)&amp;"-"&amp;MID(B194,5,2)&amp;"-"&amp;RIGHT(B194,2)),Data,MATCH(LEFT(VLOOKUP(MID(E$1,2,LEN(E$1)-1),Parameters,2,FALSE()),3)&amp;"*",OFFSET(Data,0,0,1),0),FALSE())),NOT(EXACT(VLOOKUP(DATEVALUE(LEFT(B194,4)&amp;"-"&amp;MID(B194,5,2)&amp;"-"&amp;RIGHT(B194,2)),Data,MATCH(LEFT(VLOOKUP(MID(E$1,2,LEN(E$1)-1),Parameters,2,FALSE()),3)&amp;"*",OFFSET(Data,0,0,1),0),FALSE()),"T")))),Lacking,IF(ISNA(MATCH(DATEVALUE(LEFT(B194,4)&amp;"-"&amp;MID(B194,5,2)&amp;"-"&amp;RIGHT(B194,2)),OFFSET(Catalogus,0,0,,1),0)),Ok,VLOOKUP(DATEVALUE(LEFT(B194,4)&amp;"-"&amp;MID(B194,5,2)&amp;"-"&amp;RIGHT(B194,2)),Catalogus,MATCH(LEFT(VLOOKUP(MID(E$1,2,LEN(E$1)-1),Parameters,2,FALSE()),3)&amp;"*",OFFSET(Catalogus,0,0,1),0),FALSE())))</f>
        <v>7</v>
      </c>
    </row>
    <row r="195" spans="1:5" x14ac:dyDescent="0.25">
      <c r="A195" s="4">
        <f ca="1">INDEX(Stations,INT((ROWS(A$2:A195)-1)/(DATE(YEAR(Invoer!$A$5),12,31)-DATE(YEAR(Invoer!$A$5),1,1)+1))+2,1)</f>
        <v>78989</v>
      </c>
      <c r="B195" t="str">
        <f ca="1">TEXT(DATE(YEAR(Invoer!$A$5),1,1)+MOD(ROWS(B$2:B195)-1,DATE(YEAR(Invoer!$A$5),12,31)-DATE(YEAR(Invoer!$A$5),1,1)+1),"jjjjmmdd")</f>
        <v>19130713</v>
      </c>
      <c r="C195" s="5">
        <v>1</v>
      </c>
      <c r="D195" s="69" t="str">
        <f t="shared" ca="1" si="6"/>
        <v>—</v>
      </c>
      <c r="E195" s="10">
        <f t="shared" ca="1" si="7"/>
        <v>7</v>
      </c>
    </row>
    <row r="196" spans="1:5" x14ac:dyDescent="0.25">
      <c r="A196" s="4">
        <f ca="1">INDEX(Stations,INT((ROWS(A$2:A196)-1)/(DATE(YEAR(Invoer!$A$5),12,31)-DATE(YEAR(Invoer!$A$5),1,1)+1))+2,1)</f>
        <v>78989</v>
      </c>
      <c r="B196" t="str">
        <f ca="1">TEXT(DATE(YEAR(Invoer!$A$5),1,1)+MOD(ROWS(B$2:B196)-1,DATE(YEAR(Invoer!$A$5),12,31)-DATE(YEAR(Invoer!$A$5),1,1)+1),"jjjjmmdd")</f>
        <v>19130714</v>
      </c>
      <c r="C196" s="5">
        <v>1</v>
      </c>
      <c r="D196" s="69" t="str">
        <f t="shared" ca="1" si="6"/>
        <v>—</v>
      </c>
      <c r="E196" s="10">
        <f t="shared" ca="1" si="7"/>
        <v>7</v>
      </c>
    </row>
    <row r="197" spans="1:5" x14ac:dyDescent="0.25">
      <c r="A197" s="4">
        <f ca="1">INDEX(Stations,INT((ROWS(A$2:A197)-1)/(DATE(YEAR(Invoer!$A$5),12,31)-DATE(YEAR(Invoer!$A$5),1,1)+1))+2,1)</f>
        <v>78989</v>
      </c>
      <c r="B197" t="str">
        <f ca="1">TEXT(DATE(YEAR(Invoer!$A$5),1,1)+MOD(ROWS(B$2:B197)-1,DATE(YEAR(Invoer!$A$5),12,31)-DATE(YEAR(Invoer!$A$5),1,1)+1),"jjjjmmdd")</f>
        <v>19130715</v>
      </c>
      <c r="C197" s="5">
        <v>1</v>
      </c>
      <c r="D197" s="69" t="str">
        <f t="shared" ca="1" si="6"/>
        <v>—</v>
      </c>
      <c r="E197" s="10">
        <f t="shared" ca="1" si="7"/>
        <v>7</v>
      </c>
    </row>
    <row r="198" spans="1:5" x14ac:dyDescent="0.25">
      <c r="A198" s="4">
        <f ca="1">INDEX(Stations,INT((ROWS(A$2:A198)-1)/(DATE(YEAR(Invoer!$A$5),12,31)-DATE(YEAR(Invoer!$A$5),1,1)+1))+2,1)</f>
        <v>78989</v>
      </c>
      <c r="B198" t="str">
        <f ca="1">TEXT(DATE(YEAR(Invoer!$A$5),1,1)+MOD(ROWS(B$2:B198)-1,DATE(YEAR(Invoer!$A$5),12,31)-DATE(YEAR(Invoer!$A$5),1,1)+1),"jjjjmmdd")</f>
        <v>19130716</v>
      </c>
      <c r="C198" s="5">
        <v>1</v>
      </c>
      <c r="D198" s="69" t="str">
        <f t="shared" ca="1" si="6"/>
        <v>—</v>
      </c>
      <c r="E198" s="10">
        <f t="shared" ca="1" si="7"/>
        <v>7</v>
      </c>
    </row>
    <row r="199" spans="1:5" x14ac:dyDescent="0.25">
      <c r="A199" s="4">
        <f ca="1">INDEX(Stations,INT((ROWS(A$2:A199)-1)/(DATE(YEAR(Invoer!$A$5),12,31)-DATE(YEAR(Invoer!$A$5),1,1)+1))+2,1)</f>
        <v>78989</v>
      </c>
      <c r="B199" t="str">
        <f ca="1">TEXT(DATE(YEAR(Invoer!$A$5),1,1)+MOD(ROWS(B$2:B199)-1,DATE(YEAR(Invoer!$A$5),12,31)-DATE(YEAR(Invoer!$A$5),1,1)+1),"jjjjmmdd")</f>
        <v>19130717</v>
      </c>
      <c r="C199" s="5">
        <v>1</v>
      </c>
      <c r="D199" s="69" t="str">
        <f t="shared" ca="1" si="6"/>
        <v>—</v>
      </c>
      <c r="E199" s="10">
        <f t="shared" ca="1" si="7"/>
        <v>7</v>
      </c>
    </row>
    <row r="200" spans="1:5" x14ac:dyDescent="0.25">
      <c r="A200" s="4">
        <f ca="1">INDEX(Stations,INT((ROWS(A$2:A200)-1)/(DATE(YEAR(Invoer!$A$5),12,31)-DATE(YEAR(Invoer!$A$5),1,1)+1))+2,1)</f>
        <v>78989</v>
      </c>
      <c r="B200" t="str">
        <f ca="1">TEXT(DATE(YEAR(Invoer!$A$5),1,1)+MOD(ROWS(B$2:B200)-1,DATE(YEAR(Invoer!$A$5),12,31)-DATE(YEAR(Invoer!$A$5),1,1)+1),"jjjjmmdd")</f>
        <v>19130718</v>
      </c>
      <c r="C200" s="5">
        <v>1</v>
      </c>
      <c r="D200" s="69" t="str">
        <f t="shared" ca="1" si="6"/>
        <v>—</v>
      </c>
      <c r="E200" s="10">
        <f t="shared" ca="1" si="7"/>
        <v>7</v>
      </c>
    </row>
    <row r="201" spans="1:5" x14ac:dyDescent="0.25">
      <c r="A201" s="4">
        <f ca="1">INDEX(Stations,INT((ROWS(A$2:A201)-1)/(DATE(YEAR(Invoer!$A$5),12,31)-DATE(YEAR(Invoer!$A$5),1,1)+1))+2,1)</f>
        <v>78989</v>
      </c>
      <c r="B201" t="str">
        <f ca="1">TEXT(DATE(YEAR(Invoer!$A$5),1,1)+MOD(ROWS(B$2:B201)-1,DATE(YEAR(Invoer!$A$5),12,31)-DATE(YEAR(Invoer!$A$5),1,1)+1),"jjjjmmdd")</f>
        <v>19130719</v>
      </c>
      <c r="C201" s="5">
        <v>1</v>
      </c>
      <c r="D201" s="69" t="str">
        <f t="shared" ca="1" si="6"/>
        <v>—</v>
      </c>
      <c r="E201" s="10">
        <f t="shared" ca="1" si="7"/>
        <v>7</v>
      </c>
    </row>
    <row r="202" spans="1:5" x14ac:dyDescent="0.25">
      <c r="A202" s="4">
        <f ca="1">INDEX(Stations,INT((ROWS(A$2:A202)-1)/(DATE(YEAR(Invoer!$A$5),12,31)-DATE(YEAR(Invoer!$A$5),1,1)+1))+2,1)</f>
        <v>78989</v>
      </c>
      <c r="B202" t="str">
        <f ca="1">TEXT(DATE(YEAR(Invoer!$A$5),1,1)+MOD(ROWS(B$2:B202)-1,DATE(YEAR(Invoer!$A$5),12,31)-DATE(YEAR(Invoer!$A$5),1,1)+1),"jjjjmmdd")</f>
        <v>19130720</v>
      </c>
      <c r="C202" s="5">
        <v>1</v>
      </c>
      <c r="D202" s="69" t="str">
        <f t="shared" ca="1" si="6"/>
        <v>—</v>
      </c>
      <c r="E202" s="10">
        <f t="shared" ca="1" si="7"/>
        <v>7</v>
      </c>
    </row>
    <row r="203" spans="1:5" x14ac:dyDescent="0.25">
      <c r="A203" s="4">
        <f ca="1">INDEX(Stations,INT((ROWS(A$2:A203)-1)/(DATE(YEAR(Invoer!$A$5),12,31)-DATE(YEAR(Invoer!$A$5),1,1)+1))+2,1)</f>
        <v>78989</v>
      </c>
      <c r="B203" t="str">
        <f ca="1">TEXT(DATE(YEAR(Invoer!$A$5),1,1)+MOD(ROWS(B$2:B203)-1,DATE(YEAR(Invoer!$A$5),12,31)-DATE(YEAR(Invoer!$A$5),1,1)+1),"jjjjmmdd")</f>
        <v>19130721</v>
      </c>
      <c r="C203" s="5">
        <v>1</v>
      </c>
      <c r="D203" s="69" t="str">
        <f t="shared" ca="1" si="6"/>
        <v>—</v>
      </c>
      <c r="E203" s="10">
        <f t="shared" ca="1" si="7"/>
        <v>7</v>
      </c>
    </row>
    <row r="204" spans="1:5" x14ac:dyDescent="0.25">
      <c r="A204" s="4">
        <f ca="1">INDEX(Stations,INT((ROWS(A$2:A204)-1)/(DATE(YEAR(Invoer!$A$5),12,31)-DATE(YEAR(Invoer!$A$5),1,1)+1))+2,1)</f>
        <v>78989</v>
      </c>
      <c r="B204" t="str">
        <f ca="1">TEXT(DATE(YEAR(Invoer!$A$5),1,1)+MOD(ROWS(B$2:B204)-1,DATE(YEAR(Invoer!$A$5),12,31)-DATE(YEAR(Invoer!$A$5),1,1)+1),"jjjjmmdd")</f>
        <v>19130722</v>
      </c>
      <c r="C204" s="5">
        <v>1</v>
      </c>
      <c r="D204" s="69" t="str">
        <f t="shared" ca="1" si="6"/>
        <v>—</v>
      </c>
      <c r="E204" s="10">
        <f t="shared" ca="1" si="7"/>
        <v>7</v>
      </c>
    </row>
    <row r="205" spans="1:5" x14ac:dyDescent="0.25">
      <c r="A205" s="4">
        <f ca="1">INDEX(Stations,INT((ROWS(A$2:A205)-1)/(DATE(YEAR(Invoer!$A$5),12,31)-DATE(YEAR(Invoer!$A$5),1,1)+1))+2,1)</f>
        <v>78989</v>
      </c>
      <c r="B205" t="str">
        <f ca="1">TEXT(DATE(YEAR(Invoer!$A$5),1,1)+MOD(ROWS(B$2:B205)-1,DATE(YEAR(Invoer!$A$5),12,31)-DATE(YEAR(Invoer!$A$5),1,1)+1),"jjjjmmdd")</f>
        <v>19130723</v>
      </c>
      <c r="C205" s="5">
        <v>1</v>
      </c>
      <c r="D205" s="69" t="str">
        <f t="shared" ca="1" si="6"/>
        <v>—</v>
      </c>
      <c r="E205" s="10">
        <f t="shared" ca="1" si="7"/>
        <v>7</v>
      </c>
    </row>
    <row r="206" spans="1:5" x14ac:dyDescent="0.25">
      <c r="A206" s="4">
        <f ca="1">INDEX(Stations,INT((ROWS(A$2:A206)-1)/(DATE(YEAR(Invoer!$A$5),12,31)-DATE(YEAR(Invoer!$A$5),1,1)+1))+2,1)</f>
        <v>78989</v>
      </c>
      <c r="B206" t="str">
        <f ca="1">TEXT(DATE(YEAR(Invoer!$A$5),1,1)+MOD(ROWS(B$2:B206)-1,DATE(YEAR(Invoer!$A$5),12,31)-DATE(YEAR(Invoer!$A$5),1,1)+1),"jjjjmmdd")</f>
        <v>19130724</v>
      </c>
      <c r="C206" s="5">
        <v>1</v>
      </c>
      <c r="D206" s="69" t="str">
        <f t="shared" ca="1" si="6"/>
        <v>—</v>
      </c>
      <c r="E206" s="10">
        <f t="shared" ca="1" si="7"/>
        <v>7</v>
      </c>
    </row>
    <row r="207" spans="1:5" x14ac:dyDescent="0.25">
      <c r="A207" s="4">
        <f ca="1">INDEX(Stations,INT((ROWS(A$2:A207)-1)/(DATE(YEAR(Invoer!$A$5),12,31)-DATE(YEAR(Invoer!$A$5),1,1)+1))+2,1)</f>
        <v>78989</v>
      </c>
      <c r="B207" t="str">
        <f ca="1">TEXT(DATE(YEAR(Invoer!$A$5),1,1)+MOD(ROWS(B$2:B207)-1,DATE(YEAR(Invoer!$A$5),12,31)-DATE(YEAR(Invoer!$A$5),1,1)+1),"jjjjmmdd")</f>
        <v>19130725</v>
      </c>
      <c r="C207" s="5">
        <v>1</v>
      </c>
      <c r="D207" s="69" t="str">
        <f t="shared" ca="1" si="6"/>
        <v>—</v>
      </c>
      <c r="E207" s="10">
        <f t="shared" ca="1" si="7"/>
        <v>7</v>
      </c>
    </row>
    <row r="208" spans="1:5" x14ac:dyDescent="0.25">
      <c r="A208" s="4">
        <f ca="1">INDEX(Stations,INT((ROWS(A$2:A208)-1)/(DATE(YEAR(Invoer!$A$5),12,31)-DATE(YEAR(Invoer!$A$5),1,1)+1))+2,1)</f>
        <v>78989</v>
      </c>
      <c r="B208" t="str">
        <f ca="1">TEXT(DATE(YEAR(Invoer!$A$5),1,1)+MOD(ROWS(B$2:B208)-1,DATE(YEAR(Invoer!$A$5),12,31)-DATE(YEAR(Invoer!$A$5),1,1)+1),"jjjjmmdd")</f>
        <v>19130726</v>
      </c>
      <c r="C208" s="5">
        <v>1</v>
      </c>
      <c r="D208" s="69" t="str">
        <f t="shared" ca="1" si="6"/>
        <v>—</v>
      </c>
      <c r="E208" s="10">
        <f t="shared" ca="1" si="7"/>
        <v>7</v>
      </c>
    </row>
    <row r="209" spans="1:5" x14ac:dyDescent="0.25">
      <c r="A209" s="4">
        <f ca="1">INDEX(Stations,INT((ROWS(A$2:A209)-1)/(DATE(YEAR(Invoer!$A$5),12,31)-DATE(YEAR(Invoer!$A$5),1,1)+1))+2,1)</f>
        <v>78989</v>
      </c>
      <c r="B209" t="str">
        <f ca="1">TEXT(DATE(YEAR(Invoer!$A$5),1,1)+MOD(ROWS(B$2:B209)-1,DATE(YEAR(Invoer!$A$5),12,31)-DATE(YEAR(Invoer!$A$5),1,1)+1),"jjjjmmdd")</f>
        <v>19130727</v>
      </c>
      <c r="C209" s="5">
        <v>1</v>
      </c>
      <c r="D209" s="69" t="str">
        <f t="shared" ca="1" si="6"/>
        <v>—</v>
      </c>
      <c r="E209" s="10">
        <f t="shared" ca="1" si="7"/>
        <v>7</v>
      </c>
    </row>
    <row r="210" spans="1:5" x14ac:dyDescent="0.25">
      <c r="A210" s="4">
        <f ca="1">INDEX(Stations,INT((ROWS(A$2:A210)-1)/(DATE(YEAR(Invoer!$A$5),12,31)-DATE(YEAR(Invoer!$A$5),1,1)+1))+2,1)</f>
        <v>78989</v>
      </c>
      <c r="B210" t="str">
        <f ca="1">TEXT(DATE(YEAR(Invoer!$A$5),1,1)+MOD(ROWS(B$2:B210)-1,DATE(YEAR(Invoer!$A$5),12,31)-DATE(YEAR(Invoer!$A$5),1,1)+1),"jjjjmmdd")</f>
        <v>19130728</v>
      </c>
      <c r="C210" s="5">
        <v>1</v>
      </c>
      <c r="D210" s="69" t="str">
        <f t="shared" ca="1" si="6"/>
        <v>—</v>
      </c>
      <c r="E210" s="10">
        <f t="shared" ca="1" si="7"/>
        <v>7</v>
      </c>
    </row>
    <row r="211" spans="1:5" x14ac:dyDescent="0.25">
      <c r="A211" s="4">
        <f ca="1">INDEX(Stations,INT((ROWS(A$2:A211)-1)/(DATE(YEAR(Invoer!$A$5),12,31)-DATE(YEAR(Invoer!$A$5),1,1)+1))+2,1)</f>
        <v>78989</v>
      </c>
      <c r="B211" t="str">
        <f ca="1">TEXT(DATE(YEAR(Invoer!$A$5),1,1)+MOD(ROWS(B$2:B211)-1,DATE(YEAR(Invoer!$A$5),12,31)-DATE(YEAR(Invoer!$A$5),1,1)+1),"jjjjmmdd")</f>
        <v>19130729</v>
      </c>
      <c r="C211" s="5">
        <v>1</v>
      </c>
      <c r="D211" s="69" t="str">
        <f t="shared" ca="1" si="6"/>
        <v>—</v>
      </c>
      <c r="E211" s="10">
        <f t="shared" ca="1" si="7"/>
        <v>7</v>
      </c>
    </row>
    <row r="212" spans="1:5" x14ac:dyDescent="0.25">
      <c r="A212" s="4">
        <f ca="1">INDEX(Stations,INT((ROWS(A$2:A212)-1)/(DATE(YEAR(Invoer!$A$5),12,31)-DATE(YEAR(Invoer!$A$5),1,1)+1))+2,1)</f>
        <v>78989</v>
      </c>
      <c r="B212" t="str">
        <f ca="1">TEXT(DATE(YEAR(Invoer!$A$5),1,1)+MOD(ROWS(B$2:B212)-1,DATE(YEAR(Invoer!$A$5),12,31)-DATE(YEAR(Invoer!$A$5),1,1)+1),"jjjjmmdd")</f>
        <v>19130730</v>
      </c>
      <c r="C212" s="5">
        <v>1</v>
      </c>
      <c r="D212" s="69" t="str">
        <f t="shared" ca="1" si="6"/>
        <v>—</v>
      </c>
      <c r="E212" s="10">
        <f t="shared" ca="1" si="7"/>
        <v>7</v>
      </c>
    </row>
    <row r="213" spans="1:5" x14ac:dyDescent="0.25">
      <c r="A213" s="4">
        <f ca="1">INDEX(Stations,INT((ROWS(A$2:A213)-1)/(DATE(YEAR(Invoer!$A$5),12,31)-DATE(YEAR(Invoer!$A$5),1,1)+1))+2,1)</f>
        <v>78989</v>
      </c>
      <c r="B213" t="str">
        <f ca="1">TEXT(DATE(YEAR(Invoer!$A$5),1,1)+MOD(ROWS(B$2:B213)-1,DATE(YEAR(Invoer!$A$5),12,31)-DATE(YEAR(Invoer!$A$5),1,1)+1),"jjjjmmdd")</f>
        <v>19130731</v>
      </c>
      <c r="C213" s="5">
        <v>1</v>
      </c>
      <c r="D213" s="69" t="str">
        <f t="shared" ca="1" si="6"/>
        <v>—</v>
      </c>
      <c r="E213" s="10">
        <f t="shared" ca="1" si="7"/>
        <v>7</v>
      </c>
    </row>
    <row r="214" spans="1:5" x14ac:dyDescent="0.25">
      <c r="A214" s="4">
        <f ca="1">INDEX(Stations,INT((ROWS(A$2:A214)-1)/(DATE(YEAR(Invoer!$A$5),12,31)-DATE(YEAR(Invoer!$A$5),1,1)+1))+2,1)</f>
        <v>78989</v>
      </c>
      <c r="B214" t="str">
        <f ca="1">TEXT(DATE(YEAR(Invoer!$A$5),1,1)+MOD(ROWS(B$2:B214)-1,DATE(YEAR(Invoer!$A$5),12,31)-DATE(YEAR(Invoer!$A$5),1,1)+1),"jjjjmmdd")</f>
        <v>19130801</v>
      </c>
      <c r="C214" s="5">
        <v>1</v>
      </c>
      <c r="D214" s="69" t="str">
        <f t="shared" ca="1" si="6"/>
        <v>—</v>
      </c>
      <c r="E214" s="10">
        <f t="shared" ca="1" si="7"/>
        <v>7</v>
      </c>
    </row>
    <row r="215" spans="1:5" x14ac:dyDescent="0.25">
      <c r="A215" s="4">
        <f ca="1">INDEX(Stations,INT((ROWS(A$2:A215)-1)/(DATE(YEAR(Invoer!$A$5),12,31)-DATE(YEAR(Invoer!$A$5),1,1)+1))+2,1)</f>
        <v>78989</v>
      </c>
      <c r="B215" t="str">
        <f ca="1">TEXT(DATE(YEAR(Invoer!$A$5),1,1)+MOD(ROWS(B$2:B215)-1,DATE(YEAR(Invoer!$A$5),12,31)-DATE(YEAR(Invoer!$A$5),1,1)+1),"jjjjmmdd")</f>
        <v>19130802</v>
      </c>
      <c r="C215" s="5">
        <v>1</v>
      </c>
      <c r="D215" s="69" t="str">
        <f t="shared" ca="1" si="6"/>
        <v>—</v>
      </c>
      <c r="E215" s="10">
        <f t="shared" ca="1" si="7"/>
        <v>7</v>
      </c>
    </row>
    <row r="216" spans="1:5" x14ac:dyDescent="0.25">
      <c r="A216" s="4">
        <f ca="1">INDEX(Stations,INT((ROWS(A$2:A216)-1)/(DATE(YEAR(Invoer!$A$5),12,31)-DATE(YEAR(Invoer!$A$5),1,1)+1))+2,1)</f>
        <v>78989</v>
      </c>
      <c r="B216" t="str">
        <f ca="1">TEXT(DATE(YEAR(Invoer!$A$5),1,1)+MOD(ROWS(B$2:B216)-1,DATE(YEAR(Invoer!$A$5),12,31)-DATE(YEAR(Invoer!$A$5),1,1)+1),"jjjjmmdd")</f>
        <v>19130803</v>
      </c>
      <c r="C216" s="5">
        <v>1</v>
      </c>
      <c r="D216" s="69" t="str">
        <f t="shared" ca="1" si="6"/>
        <v>—</v>
      </c>
      <c r="E216" s="10">
        <f t="shared" ca="1" si="7"/>
        <v>7</v>
      </c>
    </row>
    <row r="217" spans="1:5" x14ac:dyDescent="0.25">
      <c r="A217" s="4">
        <f ca="1">INDEX(Stations,INT((ROWS(A$2:A217)-1)/(DATE(YEAR(Invoer!$A$5),12,31)-DATE(YEAR(Invoer!$A$5),1,1)+1))+2,1)</f>
        <v>78989</v>
      </c>
      <c r="B217" t="str">
        <f ca="1">TEXT(DATE(YEAR(Invoer!$A$5),1,1)+MOD(ROWS(B$2:B217)-1,DATE(YEAR(Invoer!$A$5),12,31)-DATE(YEAR(Invoer!$A$5),1,1)+1),"jjjjmmdd")</f>
        <v>19130804</v>
      </c>
      <c r="C217" s="5">
        <v>1</v>
      </c>
      <c r="D217" s="69" t="str">
        <f t="shared" ca="1" si="6"/>
        <v>—</v>
      </c>
      <c r="E217" s="10">
        <f t="shared" ca="1" si="7"/>
        <v>7</v>
      </c>
    </row>
    <row r="218" spans="1:5" x14ac:dyDescent="0.25">
      <c r="A218" s="4">
        <f ca="1">INDEX(Stations,INT((ROWS(A$2:A218)-1)/(DATE(YEAR(Invoer!$A$5),12,31)-DATE(YEAR(Invoer!$A$5),1,1)+1))+2,1)</f>
        <v>78989</v>
      </c>
      <c r="B218" t="str">
        <f ca="1">TEXT(DATE(YEAR(Invoer!$A$5),1,1)+MOD(ROWS(B$2:B218)-1,DATE(YEAR(Invoer!$A$5),12,31)-DATE(YEAR(Invoer!$A$5),1,1)+1),"jjjjmmdd")</f>
        <v>19130805</v>
      </c>
      <c r="C218" s="5">
        <v>1</v>
      </c>
      <c r="D218" s="69" t="str">
        <f t="shared" ca="1" si="6"/>
        <v>—</v>
      </c>
      <c r="E218" s="10">
        <f t="shared" ca="1" si="7"/>
        <v>7</v>
      </c>
    </row>
    <row r="219" spans="1:5" x14ac:dyDescent="0.25">
      <c r="A219" s="4">
        <f ca="1">INDEX(Stations,INT((ROWS(A$2:A219)-1)/(DATE(YEAR(Invoer!$A$5),12,31)-DATE(YEAR(Invoer!$A$5),1,1)+1))+2,1)</f>
        <v>78989</v>
      </c>
      <c r="B219" t="str">
        <f ca="1">TEXT(DATE(YEAR(Invoer!$A$5),1,1)+MOD(ROWS(B$2:B219)-1,DATE(YEAR(Invoer!$A$5),12,31)-DATE(YEAR(Invoer!$A$5),1,1)+1),"jjjjmmdd")</f>
        <v>19130806</v>
      </c>
      <c r="C219" s="5">
        <v>1</v>
      </c>
      <c r="D219" s="69" t="str">
        <f t="shared" ca="1" si="6"/>
        <v>—</v>
      </c>
      <c r="E219" s="10">
        <f t="shared" ca="1" si="7"/>
        <v>7</v>
      </c>
    </row>
    <row r="220" spans="1:5" x14ac:dyDescent="0.25">
      <c r="A220" s="4">
        <f ca="1">INDEX(Stations,INT((ROWS(A$2:A220)-1)/(DATE(YEAR(Invoer!$A$5),12,31)-DATE(YEAR(Invoer!$A$5),1,1)+1))+2,1)</f>
        <v>78989</v>
      </c>
      <c r="B220" t="str">
        <f ca="1">TEXT(DATE(YEAR(Invoer!$A$5),1,1)+MOD(ROWS(B$2:B220)-1,DATE(YEAR(Invoer!$A$5),12,31)-DATE(YEAR(Invoer!$A$5),1,1)+1),"jjjjmmdd")</f>
        <v>19130807</v>
      </c>
      <c r="C220" s="5">
        <v>1</v>
      </c>
      <c r="D220" s="69" t="str">
        <f t="shared" ca="1" si="6"/>
        <v>—</v>
      </c>
      <c r="E220" s="10">
        <f t="shared" ca="1" si="7"/>
        <v>7</v>
      </c>
    </row>
    <row r="221" spans="1:5" x14ac:dyDescent="0.25">
      <c r="A221" s="4">
        <f ca="1">INDEX(Stations,INT((ROWS(A$2:A221)-1)/(DATE(YEAR(Invoer!$A$5),12,31)-DATE(YEAR(Invoer!$A$5),1,1)+1))+2,1)</f>
        <v>78989</v>
      </c>
      <c r="B221" t="str">
        <f ca="1">TEXT(DATE(YEAR(Invoer!$A$5),1,1)+MOD(ROWS(B$2:B221)-1,DATE(YEAR(Invoer!$A$5),12,31)-DATE(YEAR(Invoer!$A$5),1,1)+1),"jjjjmmdd")</f>
        <v>19130808</v>
      </c>
      <c r="C221" s="5">
        <v>1</v>
      </c>
      <c r="D221" s="69" t="str">
        <f t="shared" ca="1" si="6"/>
        <v>—</v>
      </c>
      <c r="E221" s="10">
        <f t="shared" ca="1" si="7"/>
        <v>7</v>
      </c>
    </row>
    <row r="222" spans="1:5" x14ac:dyDescent="0.25">
      <c r="A222" s="4">
        <f ca="1">INDEX(Stations,INT((ROWS(A$2:A222)-1)/(DATE(YEAR(Invoer!$A$5),12,31)-DATE(YEAR(Invoer!$A$5),1,1)+1))+2,1)</f>
        <v>78989</v>
      </c>
      <c r="B222" t="str">
        <f ca="1">TEXT(DATE(YEAR(Invoer!$A$5),1,1)+MOD(ROWS(B$2:B222)-1,DATE(YEAR(Invoer!$A$5),12,31)-DATE(YEAR(Invoer!$A$5),1,1)+1),"jjjjmmdd")</f>
        <v>19130809</v>
      </c>
      <c r="C222" s="5">
        <v>1</v>
      </c>
      <c r="D222" s="69" t="str">
        <f t="shared" ca="1" si="6"/>
        <v>—</v>
      </c>
      <c r="E222" s="10">
        <f t="shared" ca="1" si="7"/>
        <v>7</v>
      </c>
    </row>
    <row r="223" spans="1:5" x14ac:dyDescent="0.25">
      <c r="A223" s="4">
        <f ca="1">INDEX(Stations,INT((ROWS(A$2:A223)-1)/(DATE(YEAR(Invoer!$A$5),12,31)-DATE(YEAR(Invoer!$A$5),1,1)+1))+2,1)</f>
        <v>78989</v>
      </c>
      <c r="B223" t="str">
        <f ca="1">TEXT(DATE(YEAR(Invoer!$A$5),1,1)+MOD(ROWS(B$2:B223)-1,DATE(YEAR(Invoer!$A$5),12,31)-DATE(YEAR(Invoer!$A$5),1,1)+1),"jjjjmmdd")</f>
        <v>19130810</v>
      </c>
      <c r="C223" s="5">
        <v>1</v>
      </c>
      <c r="D223" s="69" t="str">
        <f t="shared" ca="1" si="6"/>
        <v>—</v>
      </c>
      <c r="E223" s="10">
        <f t="shared" ca="1" si="7"/>
        <v>7</v>
      </c>
    </row>
    <row r="224" spans="1:5" x14ac:dyDescent="0.25">
      <c r="A224" s="4">
        <f ca="1">INDEX(Stations,INT((ROWS(A$2:A224)-1)/(DATE(YEAR(Invoer!$A$5),12,31)-DATE(YEAR(Invoer!$A$5),1,1)+1))+2,1)</f>
        <v>78989</v>
      </c>
      <c r="B224" t="str">
        <f ca="1">TEXT(DATE(YEAR(Invoer!$A$5),1,1)+MOD(ROWS(B$2:B224)-1,DATE(YEAR(Invoer!$A$5),12,31)-DATE(YEAR(Invoer!$A$5),1,1)+1),"jjjjmmdd")</f>
        <v>19130811</v>
      </c>
      <c r="C224" s="5">
        <v>1</v>
      </c>
      <c r="D224" s="69" t="str">
        <f t="shared" ca="1" si="6"/>
        <v>—</v>
      </c>
      <c r="E224" s="10">
        <f t="shared" ca="1" si="7"/>
        <v>7</v>
      </c>
    </row>
    <row r="225" spans="1:5" x14ac:dyDescent="0.25">
      <c r="A225" s="4">
        <f ca="1">INDEX(Stations,INT((ROWS(A$2:A225)-1)/(DATE(YEAR(Invoer!$A$5),12,31)-DATE(YEAR(Invoer!$A$5),1,1)+1))+2,1)</f>
        <v>78989</v>
      </c>
      <c r="B225" t="str">
        <f ca="1">TEXT(DATE(YEAR(Invoer!$A$5),1,1)+MOD(ROWS(B$2:B225)-1,DATE(YEAR(Invoer!$A$5),12,31)-DATE(YEAR(Invoer!$A$5),1,1)+1),"jjjjmmdd")</f>
        <v>19130812</v>
      </c>
      <c r="C225" s="5">
        <v>1</v>
      </c>
      <c r="D225" s="69" t="str">
        <f t="shared" ca="1" si="6"/>
        <v>—</v>
      </c>
      <c r="E225" s="10">
        <f t="shared" ca="1" si="7"/>
        <v>7</v>
      </c>
    </row>
    <row r="226" spans="1:5" x14ac:dyDescent="0.25">
      <c r="A226" s="4">
        <f ca="1">INDEX(Stations,INT((ROWS(A$2:A226)-1)/(DATE(YEAR(Invoer!$A$5),12,31)-DATE(YEAR(Invoer!$A$5),1,1)+1))+2,1)</f>
        <v>78989</v>
      </c>
      <c r="B226" t="str">
        <f ca="1">TEXT(DATE(YEAR(Invoer!$A$5),1,1)+MOD(ROWS(B$2:B226)-1,DATE(YEAR(Invoer!$A$5),12,31)-DATE(YEAR(Invoer!$A$5),1,1)+1),"jjjjmmdd")</f>
        <v>19130813</v>
      </c>
      <c r="C226" s="5">
        <v>1</v>
      </c>
      <c r="D226" s="69" t="str">
        <f t="shared" ca="1" si="6"/>
        <v>—</v>
      </c>
      <c r="E226" s="10">
        <f t="shared" ca="1" si="7"/>
        <v>7</v>
      </c>
    </row>
    <row r="227" spans="1:5" x14ac:dyDescent="0.25">
      <c r="A227" s="4">
        <f ca="1">INDEX(Stations,INT((ROWS(A$2:A227)-1)/(DATE(YEAR(Invoer!$A$5),12,31)-DATE(YEAR(Invoer!$A$5),1,1)+1))+2,1)</f>
        <v>78989</v>
      </c>
      <c r="B227" t="str">
        <f ca="1">TEXT(DATE(YEAR(Invoer!$A$5),1,1)+MOD(ROWS(B$2:B227)-1,DATE(YEAR(Invoer!$A$5),12,31)-DATE(YEAR(Invoer!$A$5),1,1)+1),"jjjjmmdd")</f>
        <v>19130814</v>
      </c>
      <c r="C227" s="5">
        <v>1</v>
      </c>
      <c r="D227" s="69" t="str">
        <f t="shared" ca="1" si="6"/>
        <v>—</v>
      </c>
      <c r="E227" s="10">
        <f t="shared" ca="1" si="7"/>
        <v>7</v>
      </c>
    </row>
    <row r="228" spans="1:5" x14ac:dyDescent="0.25">
      <c r="A228" s="4">
        <f ca="1">INDEX(Stations,INT((ROWS(A$2:A228)-1)/(DATE(YEAR(Invoer!$A$5),12,31)-DATE(YEAR(Invoer!$A$5),1,1)+1))+2,1)</f>
        <v>78989</v>
      </c>
      <c r="B228" t="str">
        <f ca="1">TEXT(DATE(YEAR(Invoer!$A$5),1,1)+MOD(ROWS(B$2:B228)-1,DATE(YEAR(Invoer!$A$5),12,31)-DATE(YEAR(Invoer!$A$5),1,1)+1),"jjjjmmdd")</f>
        <v>19130815</v>
      </c>
      <c r="C228" s="5">
        <v>1</v>
      </c>
      <c r="D228" s="69" t="str">
        <f t="shared" ca="1" si="6"/>
        <v>—</v>
      </c>
      <c r="E228" s="10">
        <f t="shared" ca="1" si="7"/>
        <v>7</v>
      </c>
    </row>
    <row r="229" spans="1:5" x14ac:dyDescent="0.25">
      <c r="A229" s="4">
        <f ca="1">INDEX(Stations,INT((ROWS(A$2:A229)-1)/(DATE(YEAR(Invoer!$A$5),12,31)-DATE(YEAR(Invoer!$A$5),1,1)+1))+2,1)</f>
        <v>78989</v>
      </c>
      <c r="B229" t="str">
        <f ca="1">TEXT(DATE(YEAR(Invoer!$A$5),1,1)+MOD(ROWS(B$2:B229)-1,DATE(YEAR(Invoer!$A$5),12,31)-DATE(YEAR(Invoer!$A$5),1,1)+1),"jjjjmmdd")</f>
        <v>19130816</v>
      </c>
      <c r="C229" s="5">
        <v>1</v>
      </c>
      <c r="D229" s="69" t="str">
        <f t="shared" ca="1" si="6"/>
        <v>—</v>
      </c>
      <c r="E229" s="10">
        <f t="shared" ca="1" si="7"/>
        <v>7</v>
      </c>
    </row>
    <row r="230" spans="1:5" x14ac:dyDescent="0.25">
      <c r="A230" s="4">
        <f ca="1">INDEX(Stations,INT((ROWS(A$2:A230)-1)/(DATE(YEAR(Invoer!$A$5),12,31)-DATE(YEAR(Invoer!$A$5),1,1)+1))+2,1)</f>
        <v>78989</v>
      </c>
      <c r="B230" t="str">
        <f ca="1">TEXT(DATE(YEAR(Invoer!$A$5),1,1)+MOD(ROWS(B$2:B230)-1,DATE(YEAR(Invoer!$A$5),12,31)-DATE(YEAR(Invoer!$A$5),1,1)+1),"jjjjmmdd")</f>
        <v>19130817</v>
      </c>
      <c r="C230" s="5">
        <v>1</v>
      </c>
      <c r="D230" s="69" t="str">
        <f t="shared" ca="1" si="6"/>
        <v>—</v>
      </c>
      <c r="E230" s="10">
        <f t="shared" ca="1" si="7"/>
        <v>7</v>
      </c>
    </row>
    <row r="231" spans="1:5" x14ac:dyDescent="0.25">
      <c r="A231" s="4">
        <f ca="1">INDEX(Stations,INT((ROWS(A$2:A231)-1)/(DATE(YEAR(Invoer!$A$5),12,31)-DATE(YEAR(Invoer!$A$5),1,1)+1))+2,1)</f>
        <v>78989</v>
      </c>
      <c r="B231" t="str">
        <f ca="1">TEXT(DATE(YEAR(Invoer!$A$5),1,1)+MOD(ROWS(B$2:B231)-1,DATE(YEAR(Invoer!$A$5),12,31)-DATE(YEAR(Invoer!$A$5),1,1)+1),"jjjjmmdd")</f>
        <v>19130818</v>
      </c>
      <c r="C231" s="5">
        <v>1</v>
      </c>
      <c r="D231" s="69" t="str">
        <f t="shared" ca="1" si="6"/>
        <v>—</v>
      </c>
      <c r="E231" s="10">
        <f t="shared" ca="1" si="7"/>
        <v>7</v>
      </c>
    </row>
    <row r="232" spans="1:5" x14ac:dyDescent="0.25">
      <c r="A232" s="4">
        <f ca="1">INDEX(Stations,INT((ROWS(A$2:A232)-1)/(DATE(YEAR(Invoer!$A$5),12,31)-DATE(YEAR(Invoer!$A$5),1,1)+1))+2,1)</f>
        <v>78989</v>
      </c>
      <c r="B232" t="str">
        <f ca="1">TEXT(DATE(YEAR(Invoer!$A$5),1,1)+MOD(ROWS(B$2:B232)-1,DATE(YEAR(Invoer!$A$5),12,31)-DATE(YEAR(Invoer!$A$5),1,1)+1),"jjjjmmdd")</f>
        <v>19130819</v>
      </c>
      <c r="C232" s="5">
        <v>1</v>
      </c>
      <c r="D232" s="69" t="str">
        <f t="shared" ca="1" si="6"/>
        <v>—</v>
      </c>
      <c r="E232" s="10">
        <f t="shared" ca="1" si="7"/>
        <v>7</v>
      </c>
    </row>
    <row r="233" spans="1:5" x14ac:dyDescent="0.25">
      <c r="A233" s="4">
        <f ca="1">INDEX(Stations,INT((ROWS(A$2:A233)-1)/(DATE(YEAR(Invoer!$A$5),12,31)-DATE(YEAR(Invoer!$A$5),1,1)+1))+2,1)</f>
        <v>78989</v>
      </c>
      <c r="B233" t="str">
        <f ca="1">TEXT(DATE(YEAR(Invoer!$A$5),1,1)+MOD(ROWS(B$2:B233)-1,DATE(YEAR(Invoer!$A$5),12,31)-DATE(YEAR(Invoer!$A$5),1,1)+1),"jjjjmmdd")</f>
        <v>19130820</v>
      </c>
      <c r="C233" s="5">
        <v>1</v>
      </c>
      <c r="D233" s="69" t="str">
        <f t="shared" ca="1" si="6"/>
        <v>—</v>
      </c>
      <c r="E233" s="10">
        <f t="shared" ca="1" si="7"/>
        <v>7</v>
      </c>
    </row>
    <row r="234" spans="1:5" x14ac:dyDescent="0.25">
      <c r="A234" s="4">
        <f ca="1">INDEX(Stations,INT((ROWS(A$2:A234)-1)/(DATE(YEAR(Invoer!$A$5),12,31)-DATE(YEAR(Invoer!$A$5),1,1)+1))+2,1)</f>
        <v>78989</v>
      </c>
      <c r="B234" t="str">
        <f ca="1">TEXT(DATE(YEAR(Invoer!$A$5),1,1)+MOD(ROWS(B$2:B234)-1,DATE(YEAR(Invoer!$A$5),12,31)-DATE(YEAR(Invoer!$A$5),1,1)+1),"jjjjmmdd")</f>
        <v>19130821</v>
      </c>
      <c r="C234" s="5">
        <v>1</v>
      </c>
      <c r="D234" s="69" t="str">
        <f t="shared" ca="1" si="6"/>
        <v>—</v>
      </c>
      <c r="E234" s="10">
        <f t="shared" ca="1" si="7"/>
        <v>7</v>
      </c>
    </row>
    <row r="235" spans="1:5" x14ac:dyDescent="0.25">
      <c r="A235" s="4">
        <f ca="1">INDEX(Stations,INT((ROWS(A$2:A235)-1)/(DATE(YEAR(Invoer!$A$5),12,31)-DATE(YEAR(Invoer!$A$5),1,1)+1))+2,1)</f>
        <v>78989</v>
      </c>
      <c r="B235" t="str">
        <f ca="1">TEXT(DATE(YEAR(Invoer!$A$5),1,1)+MOD(ROWS(B$2:B235)-1,DATE(YEAR(Invoer!$A$5),12,31)-DATE(YEAR(Invoer!$A$5),1,1)+1),"jjjjmmdd")</f>
        <v>19130822</v>
      </c>
      <c r="C235" s="5">
        <v>1</v>
      </c>
      <c r="D235" s="69" t="str">
        <f t="shared" ca="1" si="6"/>
        <v>—</v>
      </c>
      <c r="E235" s="10">
        <f t="shared" ca="1" si="7"/>
        <v>7</v>
      </c>
    </row>
    <row r="236" spans="1:5" x14ac:dyDescent="0.25">
      <c r="A236" s="4">
        <f ca="1">INDEX(Stations,INT((ROWS(A$2:A236)-1)/(DATE(YEAR(Invoer!$A$5),12,31)-DATE(YEAR(Invoer!$A$5),1,1)+1))+2,1)</f>
        <v>78989</v>
      </c>
      <c r="B236" t="str">
        <f ca="1">TEXT(DATE(YEAR(Invoer!$A$5),1,1)+MOD(ROWS(B$2:B236)-1,DATE(YEAR(Invoer!$A$5),12,31)-DATE(YEAR(Invoer!$A$5),1,1)+1),"jjjjmmdd")</f>
        <v>19130823</v>
      </c>
      <c r="C236" s="5">
        <v>1</v>
      </c>
      <c r="D236" s="69" t="str">
        <f t="shared" ca="1" si="6"/>
        <v>—</v>
      </c>
      <c r="E236" s="10">
        <f t="shared" ca="1" si="7"/>
        <v>7</v>
      </c>
    </row>
    <row r="237" spans="1:5" x14ac:dyDescent="0.25">
      <c r="A237" s="4">
        <f ca="1">INDEX(Stations,INT((ROWS(A$2:A237)-1)/(DATE(YEAR(Invoer!$A$5),12,31)-DATE(YEAR(Invoer!$A$5),1,1)+1))+2,1)</f>
        <v>78989</v>
      </c>
      <c r="B237" t="str">
        <f ca="1">TEXT(DATE(YEAR(Invoer!$A$5),1,1)+MOD(ROWS(B$2:B237)-1,DATE(YEAR(Invoer!$A$5),12,31)-DATE(YEAR(Invoer!$A$5),1,1)+1),"jjjjmmdd")</f>
        <v>19130824</v>
      </c>
      <c r="C237" s="5">
        <v>1</v>
      </c>
      <c r="D237" s="69" t="str">
        <f t="shared" ca="1" si="6"/>
        <v>—</v>
      </c>
      <c r="E237" s="10">
        <f t="shared" ca="1" si="7"/>
        <v>7</v>
      </c>
    </row>
    <row r="238" spans="1:5" x14ac:dyDescent="0.25">
      <c r="A238" s="4">
        <f ca="1">INDEX(Stations,INT((ROWS(A$2:A238)-1)/(DATE(YEAR(Invoer!$A$5),12,31)-DATE(YEAR(Invoer!$A$5),1,1)+1))+2,1)</f>
        <v>78989</v>
      </c>
      <c r="B238" t="str">
        <f ca="1">TEXT(DATE(YEAR(Invoer!$A$5),1,1)+MOD(ROWS(B$2:B238)-1,DATE(YEAR(Invoer!$A$5),12,31)-DATE(YEAR(Invoer!$A$5),1,1)+1),"jjjjmmdd")</f>
        <v>19130825</v>
      </c>
      <c r="C238" s="5">
        <v>1</v>
      </c>
      <c r="D238" s="69" t="str">
        <f t="shared" ca="1" si="6"/>
        <v>—</v>
      </c>
      <c r="E238" s="10">
        <f t="shared" ca="1" si="7"/>
        <v>7</v>
      </c>
    </row>
    <row r="239" spans="1:5" x14ac:dyDescent="0.25">
      <c r="A239" s="4">
        <f ca="1">INDEX(Stations,INT((ROWS(A$2:A239)-1)/(DATE(YEAR(Invoer!$A$5),12,31)-DATE(YEAR(Invoer!$A$5),1,1)+1))+2,1)</f>
        <v>78989</v>
      </c>
      <c r="B239" t="str">
        <f ca="1">TEXT(DATE(YEAR(Invoer!$A$5),1,1)+MOD(ROWS(B$2:B239)-1,DATE(YEAR(Invoer!$A$5),12,31)-DATE(YEAR(Invoer!$A$5),1,1)+1),"jjjjmmdd")</f>
        <v>19130826</v>
      </c>
      <c r="C239" s="5">
        <v>1</v>
      </c>
      <c r="D239" s="69" t="str">
        <f t="shared" ca="1" si="6"/>
        <v>—</v>
      </c>
      <c r="E239" s="10">
        <f t="shared" ca="1" si="7"/>
        <v>7</v>
      </c>
    </row>
    <row r="240" spans="1:5" x14ac:dyDescent="0.25">
      <c r="A240" s="4">
        <f ca="1">INDEX(Stations,INT((ROWS(A$2:A240)-1)/(DATE(YEAR(Invoer!$A$5),12,31)-DATE(YEAR(Invoer!$A$5),1,1)+1))+2,1)</f>
        <v>78989</v>
      </c>
      <c r="B240" t="str">
        <f ca="1">TEXT(DATE(YEAR(Invoer!$A$5),1,1)+MOD(ROWS(B$2:B240)-1,DATE(YEAR(Invoer!$A$5),12,31)-DATE(YEAR(Invoer!$A$5),1,1)+1),"jjjjmmdd")</f>
        <v>19130827</v>
      </c>
      <c r="C240" s="5">
        <v>1</v>
      </c>
      <c r="D240" s="69" t="str">
        <f t="shared" ca="1" si="6"/>
        <v>—</v>
      </c>
      <c r="E240" s="10">
        <f t="shared" ca="1" si="7"/>
        <v>7</v>
      </c>
    </row>
    <row r="241" spans="1:5" x14ac:dyDescent="0.25">
      <c r="A241" s="4">
        <f ca="1">INDEX(Stations,INT((ROWS(A$2:A241)-1)/(DATE(YEAR(Invoer!$A$5),12,31)-DATE(YEAR(Invoer!$A$5),1,1)+1))+2,1)</f>
        <v>78989</v>
      </c>
      <c r="B241" t="str">
        <f ca="1">TEXT(DATE(YEAR(Invoer!$A$5),1,1)+MOD(ROWS(B$2:B241)-1,DATE(YEAR(Invoer!$A$5),12,31)-DATE(YEAR(Invoer!$A$5),1,1)+1),"jjjjmmdd")</f>
        <v>19130828</v>
      </c>
      <c r="C241" s="5">
        <v>1</v>
      </c>
      <c r="D241" s="69" t="str">
        <f t="shared" ca="1" si="6"/>
        <v>—</v>
      </c>
      <c r="E241" s="10">
        <f t="shared" ca="1" si="7"/>
        <v>7</v>
      </c>
    </row>
    <row r="242" spans="1:5" x14ac:dyDescent="0.25">
      <c r="A242" s="4">
        <f ca="1">INDEX(Stations,INT((ROWS(A$2:A242)-1)/(DATE(YEAR(Invoer!$A$5),12,31)-DATE(YEAR(Invoer!$A$5),1,1)+1))+2,1)</f>
        <v>78989</v>
      </c>
      <c r="B242" t="str">
        <f ca="1">TEXT(DATE(YEAR(Invoer!$A$5),1,1)+MOD(ROWS(B$2:B242)-1,DATE(YEAR(Invoer!$A$5),12,31)-DATE(YEAR(Invoer!$A$5),1,1)+1),"jjjjmmdd")</f>
        <v>19130829</v>
      </c>
      <c r="C242" s="5">
        <v>1</v>
      </c>
      <c r="D242" s="69" t="str">
        <f t="shared" ca="1" si="6"/>
        <v>—</v>
      </c>
      <c r="E242" s="10">
        <f t="shared" ca="1" si="7"/>
        <v>7</v>
      </c>
    </row>
    <row r="243" spans="1:5" x14ac:dyDescent="0.25">
      <c r="A243" s="4">
        <f ca="1">INDEX(Stations,INT((ROWS(A$2:A243)-1)/(DATE(YEAR(Invoer!$A$5),12,31)-DATE(YEAR(Invoer!$A$5),1,1)+1))+2,1)</f>
        <v>78989</v>
      </c>
      <c r="B243" t="str">
        <f ca="1">TEXT(DATE(YEAR(Invoer!$A$5),1,1)+MOD(ROWS(B$2:B243)-1,DATE(YEAR(Invoer!$A$5),12,31)-DATE(YEAR(Invoer!$A$5),1,1)+1),"jjjjmmdd")</f>
        <v>19130830</v>
      </c>
      <c r="C243" s="5">
        <v>1</v>
      </c>
      <c r="D243" s="69" t="str">
        <f t="shared" ca="1" si="6"/>
        <v>—</v>
      </c>
      <c r="E243" s="10">
        <f t="shared" ca="1" si="7"/>
        <v>7</v>
      </c>
    </row>
    <row r="244" spans="1:5" x14ac:dyDescent="0.25">
      <c r="A244" s="4">
        <f ca="1">INDEX(Stations,INT((ROWS(A$2:A244)-1)/(DATE(YEAR(Invoer!$A$5),12,31)-DATE(YEAR(Invoer!$A$5),1,1)+1))+2,1)</f>
        <v>78989</v>
      </c>
      <c r="B244" t="str">
        <f ca="1">TEXT(DATE(YEAR(Invoer!$A$5),1,1)+MOD(ROWS(B$2:B244)-1,DATE(YEAR(Invoer!$A$5),12,31)-DATE(YEAR(Invoer!$A$5),1,1)+1),"jjjjmmdd")</f>
        <v>19130831</v>
      </c>
      <c r="C244" s="5">
        <v>1</v>
      </c>
      <c r="D244" s="69" t="str">
        <f t="shared" ca="1" si="6"/>
        <v>—</v>
      </c>
      <c r="E244" s="10">
        <f t="shared" ca="1" si="7"/>
        <v>7</v>
      </c>
    </row>
    <row r="245" spans="1:5" x14ac:dyDescent="0.25">
      <c r="A245" s="4">
        <f ca="1">INDEX(Stations,INT((ROWS(A$2:A245)-1)/(DATE(YEAR(Invoer!$A$5),12,31)-DATE(YEAR(Invoer!$A$5),1,1)+1))+2,1)</f>
        <v>78989</v>
      </c>
      <c r="B245" t="str">
        <f ca="1">TEXT(DATE(YEAR(Invoer!$A$5),1,1)+MOD(ROWS(B$2:B245)-1,DATE(YEAR(Invoer!$A$5),12,31)-DATE(YEAR(Invoer!$A$5),1,1)+1),"jjjjmmdd")</f>
        <v>19130901</v>
      </c>
      <c r="C245" s="5">
        <v>1</v>
      </c>
      <c r="D245" s="69" t="str">
        <f t="shared" ca="1" si="6"/>
        <v>—</v>
      </c>
      <c r="E245" s="10">
        <f t="shared" ca="1" si="7"/>
        <v>7</v>
      </c>
    </row>
    <row r="246" spans="1:5" x14ac:dyDescent="0.25">
      <c r="A246" s="4">
        <f ca="1">INDEX(Stations,INT((ROWS(A$2:A246)-1)/(DATE(YEAR(Invoer!$A$5),12,31)-DATE(YEAR(Invoer!$A$5),1,1)+1))+2,1)</f>
        <v>78989</v>
      </c>
      <c r="B246" t="str">
        <f ca="1">TEXT(DATE(YEAR(Invoer!$A$5),1,1)+MOD(ROWS(B$2:B246)-1,DATE(YEAR(Invoer!$A$5),12,31)-DATE(YEAR(Invoer!$A$5),1,1)+1),"jjjjmmdd")</f>
        <v>19130902</v>
      </c>
      <c r="C246" s="5">
        <v>1</v>
      </c>
      <c r="D246" s="69" t="str">
        <f t="shared" ca="1" si="6"/>
        <v>—</v>
      </c>
      <c r="E246" s="10">
        <f t="shared" ca="1" si="7"/>
        <v>7</v>
      </c>
    </row>
    <row r="247" spans="1:5" x14ac:dyDescent="0.25">
      <c r="A247" s="4">
        <f ca="1">INDEX(Stations,INT((ROWS(A$2:A247)-1)/(DATE(YEAR(Invoer!$A$5),12,31)-DATE(YEAR(Invoer!$A$5),1,1)+1))+2,1)</f>
        <v>78989</v>
      </c>
      <c r="B247" t="str">
        <f ca="1">TEXT(DATE(YEAR(Invoer!$A$5),1,1)+MOD(ROWS(B$2:B247)-1,DATE(YEAR(Invoer!$A$5),12,31)-DATE(YEAR(Invoer!$A$5),1,1)+1),"jjjjmmdd")</f>
        <v>19130903</v>
      </c>
      <c r="C247" s="5">
        <v>1</v>
      </c>
      <c r="D247" s="69" t="str">
        <f t="shared" ca="1" si="6"/>
        <v>—</v>
      </c>
      <c r="E247" s="10">
        <f t="shared" ca="1" si="7"/>
        <v>7</v>
      </c>
    </row>
    <row r="248" spans="1:5" x14ac:dyDescent="0.25">
      <c r="A248" s="4">
        <f ca="1">INDEX(Stations,INT((ROWS(A$2:A248)-1)/(DATE(YEAR(Invoer!$A$5),12,31)-DATE(YEAR(Invoer!$A$5),1,1)+1))+2,1)</f>
        <v>78989</v>
      </c>
      <c r="B248" t="str">
        <f ca="1">TEXT(DATE(YEAR(Invoer!$A$5),1,1)+MOD(ROWS(B$2:B248)-1,DATE(YEAR(Invoer!$A$5),12,31)-DATE(YEAR(Invoer!$A$5),1,1)+1),"jjjjmmdd")</f>
        <v>19130904</v>
      </c>
      <c r="C248" s="5">
        <v>1</v>
      </c>
      <c r="D248" s="69" t="str">
        <f t="shared" ca="1" si="6"/>
        <v>—</v>
      </c>
      <c r="E248" s="10">
        <f t="shared" ca="1" si="7"/>
        <v>7</v>
      </c>
    </row>
    <row r="249" spans="1:5" x14ac:dyDescent="0.25">
      <c r="A249" s="4">
        <f ca="1">INDEX(Stations,INT((ROWS(A$2:A249)-1)/(DATE(YEAR(Invoer!$A$5),12,31)-DATE(YEAR(Invoer!$A$5),1,1)+1))+2,1)</f>
        <v>78989</v>
      </c>
      <c r="B249" t="str">
        <f ca="1">TEXT(DATE(YEAR(Invoer!$A$5),1,1)+MOD(ROWS(B$2:B249)-1,DATE(YEAR(Invoer!$A$5),12,31)-DATE(YEAR(Invoer!$A$5),1,1)+1),"jjjjmmdd")</f>
        <v>19130905</v>
      </c>
      <c r="C249" s="5">
        <v>1</v>
      </c>
      <c r="D249" s="69" t="str">
        <f t="shared" ca="1" si="6"/>
        <v>—</v>
      </c>
      <c r="E249" s="10">
        <f t="shared" ca="1" si="7"/>
        <v>7</v>
      </c>
    </row>
    <row r="250" spans="1:5" x14ac:dyDescent="0.25">
      <c r="A250" s="4">
        <f ca="1">INDEX(Stations,INT((ROWS(A$2:A250)-1)/(DATE(YEAR(Invoer!$A$5),12,31)-DATE(YEAR(Invoer!$A$5),1,1)+1))+2,1)</f>
        <v>78989</v>
      </c>
      <c r="B250" t="str">
        <f ca="1">TEXT(DATE(YEAR(Invoer!$A$5),1,1)+MOD(ROWS(B$2:B250)-1,DATE(YEAR(Invoer!$A$5),12,31)-DATE(YEAR(Invoer!$A$5),1,1)+1),"jjjjmmdd")</f>
        <v>19130906</v>
      </c>
      <c r="C250" s="5">
        <v>1</v>
      </c>
      <c r="D250" s="69" t="str">
        <f t="shared" ca="1" si="6"/>
        <v>—</v>
      </c>
      <c r="E250" s="10">
        <f t="shared" ca="1" si="7"/>
        <v>7</v>
      </c>
    </row>
    <row r="251" spans="1:5" x14ac:dyDescent="0.25">
      <c r="A251" s="4">
        <f ca="1">INDEX(Stations,INT((ROWS(A$2:A251)-1)/(DATE(YEAR(Invoer!$A$5),12,31)-DATE(YEAR(Invoer!$A$5),1,1)+1))+2,1)</f>
        <v>78989</v>
      </c>
      <c r="B251" t="str">
        <f ca="1">TEXT(DATE(YEAR(Invoer!$A$5),1,1)+MOD(ROWS(B$2:B251)-1,DATE(YEAR(Invoer!$A$5),12,31)-DATE(YEAR(Invoer!$A$5),1,1)+1),"jjjjmmdd")</f>
        <v>19130907</v>
      </c>
      <c r="C251" s="5">
        <v>1</v>
      </c>
      <c r="D251" s="69" t="str">
        <f t="shared" ca="1" si="6"/>
        <v>—</v>
      </c>
      <c r="E251" s="10">
        <f t="shared" ca="1" si="7"/>
        <v>7</v>
      </c>
    </row>
    <row r="252" spans="1:5" x14ac:dyDescent="0.25">
      <c r="A252" s="4">
        <f ca="1">INDEX(Stations,INT((ROWS(A$2:A252)-1)/(DATE(YEAR(Invoer!$A$5),12,31)-DATE(YEAR(Invoer!$A$5),1,1)+1))+2,1)</f>
        <v>78989</v>
      </c>
      <c r="B252" t="str">
        <f ca="1">TEXT(DATE(YEAR(Invoer!$A$5),1,1)+MOD(ROWS(B$2:B252)-1,DATE(YEAR(Invoer!$A$5),12,31)-DATE(YEAR(Invoer!$A$5),1,1)+1),"jjjjmmdd")</f>
        <v>19130908</v>
      </c>
      <c r="C252" s="5">
        <v>1</v>
      </c>
      <c r="D252" s="69" t="str">
        <f t="shared" ca="1" si="6"/>
        <v>—</v>
      </c>
      <c r="E252" s="10">
        <f t="shared" ca="1" si="7"/>
        <v>7</v>
      </c>
    </row>
    <row r="253" spans="1:5" x14ac:dyDescent="0.25">
      <c r="A253" s="4">
        <f ca="1">INDEX(Stations,INT((ROWS(A$2:A253)-1)/(DATE(YEAR(Invoer!$A$5),12,31)-DATE(YEAR(Invoer!$A$5),1,1)+1))+2,1)</f>
        <v>78989</v>
      </c>
      <c r="B253" t="str">
        <f ca="1">TEXT(DATE(YEAR(Invoer!$A$5),1,1)+MOD(ROWS(B$2:B253)-1,DATE(YEAR(Invoer!$A$5),12,31)-DATE(YEAR(Invoer!$A$5),1,1)+1),"jjjjmmdd")</f>
        <v>19130909</v>
      </c>
      <c r="C253" s="5">
        <v>1</v>
      </c>
      <c r="D253" s="69" t="str">
        <f t="shared" ca="1" si="6"/>
        <v>—</v>
      </c>
      <c r="E253" s="10">
        <f t="shared" ca="1" si="7"/>
        <v>7</v>
      </c>
    </row>
    <row r="254" spans="1:5" x14ac:dyDescent="0.25">
      <c r="A254" s="4">
        <f ca="1">INDEX(Stations,INT((ROWS(A$2:A254)-1)/(DATE(YEAR(Invoer!$A$5),12,31)-DATE(YEAR(Invoer!$A$5),1,1)+1))+2,1)</f>
        <v>78989</v>
      </c>
      <c r="B254" t="str">
        <f ca="1">TEXT(DATE(YEAR(Invoer!$A$5),1,1)+MOD(ROWS(B$2:B254)-1,DATE(YEAR(Invoer!$A$5),12,31)-DATE(YEAR(Invoer!$A$5),1,1)+1),"jjjjmmdd")</f>
        <v>19130910</v>
      </c>
      <c r="C254" s="5">
        <v>1</v>
      </c>
      <c r="D254" s="69" t="str">
        <f t="shared" ca="1" si="6"/>
        <v>—</v>
      </c>
      <c r="E254" s="10">
        <f t="shared" ca="1" si="7"/>
        <v>7</v>
      </c>
    </row>
    <row r="255" spans="1:5" x14ac:dyDescent="0.25">
      <c r="A255" s="4">
        <f ca="1">INDEX(Stations,INT((ROWS(A$2:A255)-1)/(DATE(YEAR(Invoer!$A$5),12,31)-DATE(YEAR(Invoer!$A$5),1,1)+1))+2,1)</f>
        <v>78989</v>
      </c>
      <c r="B255" t="str">
        <f ca="1">TEXT(DATE(YEAR(Invoer!$A$5),1,1)+MOD(ROWS(B$2:B255)-1,DATE(YEAR(Invoer!$A$5),12,31)-DATE(YEAR(Invoer!$A$5),1,1)+1),"jjjjmmdd")</f>
        <v>19130911</v>
      </c>
      <c r="C255" s="5">
        <v>1</v>
      </c>
      <c r="D255" s="69" t="str">
        <f t="shared" ca="1" si="6"/>
        <v>—</v>
      </c>
      <c r="E255" s="10">
        <f t="shared" ca="1" si="7"/>
        <v>7</v>
      </c>
    </row>
    <row r="256" spans="1:5" x14ac:dyDescent="0.25">
      <c r="A256" s="4">
        <f ca="1">INDEX(Stations,INT((ROWS(A$2:A256)-1)/(DATE(YEAR(Invoer!$A$5),12,31)-DATE(YEAR(Invoer!$A$5),1,1)+1))+2,1)</f>
        <v>78989</v>
      </c>
      <c r="B256" t="str">
        <f ca="1">TEXT(DATE(YEAR(Invoer!$A$5),1,1)+MOD(ROWS(B$2:B256)-1,DATE(YEAR(Invoer!$A$5),12,31)-DATE(YEAR(Invoer!$A$5),1,1)+1),"jjjjmmdd")</f>
        <v>19130912</v>
      </c>
      <c r="C256" s="5">
        <v>1</v>
      </c>
      <c r="D256" s="69" t="str">
        <f t="shared" ca="1" si="6"/>
        <v>—</v>
      </c>
      <c r="E256" s="10">
        <f t="shared" ca="1" si="7"/>
        <v>7</v>
      </c>
    </row>
    <row r="257" spans="1:5" x14ac:dyDescent="0.25">
      <c r="A257" s="4">
        <f ca="1">INDEX(Stations,INT((ROWS(A$2:A257)-1)/(DATE(YEAR(Invoer!$A$5),12,31)-DATE(YEAR(Invoer!$A$5),1,1)+1))+2,1)</f>
        <v>78989</v>
      </c>
      <c r="B257" t="str">
        <f ca="1">TEXT(DATE(YEAR(Invoer!$A$5),1,1)+MOD(ROWS(B$2:B257)-1,DATE(YEAR(Invoer!$A$5),12,31)-DATE(YEAR(Invoer!$A$5),1,1)+1),"jjjjmmdd")</f>
        <v>19130913</v>
      </c>
      <c r="C257" s="5">
        <v>1</v>
      </c>
      <c r="D257" s="69" t="str">
        <f t="shared" ca="1" si="6"/>
        <v>—</v>
      </c>
      <c r="E257" s="10">
        <f t="shared" ca="1" si="7"/>
        <v>7</v>
      </c>
    </row>
    <row r="258" spans="1:5" x14ac:dyDescent="0.25">
      <c r="A258" s="4">
        <f ca="1">INDEX(Stations,INT((ROWS(A$2:A258)-1)/(DATE(YEAR(Invoer!$A$5),12,31)-DATE(YEAR(Invoer!$A$5),1,1)+1))+2,1)</f>
        <v>78989</v>
      </c>
      <c r="B258" t="str">
        <f ca="1">TEXT(DATE(YEAR(Invoer!$A$5),1,1)+MOD(ROWS(B$2:B258)-1,DATE(YEAR(Invoer!$A$5),12,31)-DATE(YEAR(Invoer!$A$5),1,1)+1),"jjjjmmdd")</f>
        <v>19130914</v>
      </c>
      <c r="C258" s="5">
        <v>1</v>
      </c>
      <c r="D258" s="69" t="str">
        <f t="shared" ref="D258:D321" ca="1" si="8">IF(OR(ISBLANK(VLOOKUP(DATEVALUE(LEFT(B258,4)&amp;"-"&amp;MID(B258,5,2)&amp;"-"&amp;RIGHT(B258,2)),Data,MATCH(LEFT(VLOOKUP(D$1,Parameters,2,FALSE()),3)&amp;"*",OFFSET(Data,0,0,1),0),FALSE())),AND(ISTEXT(VLOOKUP(DATEVALUE(LEFT(B258,4)&amp;"-"&amp;MID(B258,5,2)&amp;"-"&amp;RIGHT(B258,2)),Data,MATCH(LEFT(VLOOKUP(D$1,Parameters,2,FALSE()),3)&amp;"*",OFFSET(Data,0,0,1),0),FALSE())),NOT(EXACT(VLOOKUP(DATEVALUE(LEFT(B258,4)&amp;"-"&amp;MID(B258,5,2)&amp;"-"&amp;RIGHT(B258,2)),Data,MATCH(LEFT(VLOOKUP(D$1,Parameters,2,FALSE()),3)&amp;"*",OFFSET(Data,0,0,1),0),FALSE()),"T")))),"—",IF(ISTEXT(VLOOKUP(DATEVALUE(LEFT(B258,4)&amp;"-"&amp;MID(B258,5,2)&amp;"-"&amp;RIGHT(B258,2)),Data,MATCH(LEFT(VLOOKUP(D$1,Parameters,2,FALSE()),3)&amp;"*",OFFSET(Data,0,0,1),0),FALSE())),VLOOKUP(DATEVALUE(LEFT(B258,4)&amp;"-"&amp;MID(B258,5,2)&amp;"-"&amp;RIGHT(B258,2)),Data,MATCH(LEFT(VLOOKUP(D$1,Parameters,2,FALSE()),3)&amp;"*",OFFSET(Data,0,0,1),0),FALSE()),ROUND(0.254*VLOOKUP(DATEVALUE(LEFT(B258,4)&amp;"-"&amp;MID(B258,5,2)&amp;"-"&amp;RIGHT(B258,2)),Data,MATCH(LEFT(VLOOKUP(D$1,Parameters,2,FALSE()),3)&amp;"*",OFFSET(Data,0,0,1),0),FALSE()),1)))</f>
        <v>—</v>
      </c>
      <c r="E258" s="10">
        <f t="shared" ref="E258:E321" ca="1" si="9">IF(OR(ISBLANK(VLOOKUP(DATEVALUE(LEFT(B258,4)&amp;"-"&amp;MID(B258,5,2)&amp;"-"&amp;RIGHT(B258,2)),Data,MATCH(LEFT(VLOOKUP(MID(E$1,2,LEN(E$1)-1),Parameters,2,FALSE()),3)&amp;"*",OFFSET(Data,0,0,1),0),FALSE())),AND(ISTEXT(VLOOKUP(DATEVALUE(LEFT(B258,4)&amp;"-"&amp;MID(B258,5,2)&amp;"-"&amp;RIGHT(B258,2)),Data,MATCH(LEFT(VLOOKUP(MID(E$1,2,LEN(E$1)-1),Parameters,2,FALSE()),3)&amp;"*",OFFSET(Data,0,0,1),0),FALSE())),NOT(EXACT(VLOOKUP(DATEVALUE(LEFT(B258,4)&amp;"-"&amp;MID(B258,5,2)&amp;"-"&amp;RIGHT(B258,2)),Data,MATCH(LEFT(VLOOKUP(MID(E$1,2,LEN(E$1)-1),Parameters,2,FALSE()),3)&amp;"*",OFFSET(Data,0,0,1),0),FALSE()),"T")))),Lacking,IF(ISNA(MATCH(DATEVALUE(LEFT(B258,4)&amp;"-"&amp;MID(B258,5,2)&amp;"-"&amp;RIGHT(B258,2)),OFFSET(Catalogus,0,0,,1),0)),Ok,VLOOKUP(DATEVALUE(LEFT(B258,4)&amp;"-"&amp;MID(B258,5,2)&amp;"-"&amp;RIGHT(B258,2)),Catalogus,MATCH(LEFT(VLOOKUP(MID(E$1,2,LEN(E$1)-1),Parameters,2,FALSE()),3)&amp;"*",OFFSET(Catalogus,0,0,1),0),FALSE())))</f>
        <v>7</v>
      </c>
    </row>
    <row r="259" spans="1:5" x14ac:dyDescent="0.25">
      <c r="A259" s="4">
        <f ca="1">INDEX(Stations,INT((ROWS(A$2:A259)-1)/(DATE(YEAR(Invoer!$A$5),12,31)-DATE(YEAR(Invoer!$A$5),1,1)+1))+2,1)</f>
        <v>78989</v>
      </c>
      <c r="B259" t="str">
        <f ca="1">TEXT(DATE(YEAR(Invoer!$A$5),1,1)+MOD(ROWS(B$2:B259)-1,DATE(YEAR(Invoer!$A$5),12,31)-DATE(YEAR(Invoer!$A$5),1,1)+1),"jjjjmmdd")</f>
        <v>19130915</v>
      </c>
      <c r="C259" s="5">
        <v>1</v>
      </c>
      <c r="D259" s="69" t="str">
        <f t="shared" ca="1" si="8"/>
        <v>—</v>
      </c>
      <c r="E259" s="10">
        <f t="shared" ca="1" si="9"/>
        <v>7</v>
      </c>
    </row>
    <row r="260" spans="1:5" x14ac:dyDescent="0.25">
      <c r="A260" s="4">
        <f ca="1">INDEX(Stations,INT((ROWS(A$2:A260)-1)/(DATE(YEAR(Invoer!$A$5),12,31)-DATE(YEAR(Invoer!$A$5),1,1)+1))+2,1)</f>
        <v>78989</v>
      </c>
      <c r="B260" t="str">
        <f ca="1">TEXT(DATE(YEAR(Invoer!$A$5),1,1)+MOD(ROWS(B$2:B260)-1,DATE(YEAR(Invoer!$A$5),12,31)-DATE(YEAR(Invoer!$A$5),1,1)+1),"jjjjmmdd")</f>
        <v>19130916</v>
      </c>
      <c r="C260" s="5">
        <v>1</v>
      </c>
      <c r="D260" s="69" t="str">
        <f t="shared" ca="1" si="8"/>
        <v>—</v>
      </c>
      <c r="E260" s="10">
        <f t="shared" ca="1" si="9"/>
        <v>7</v>
      </c>
    </row>
    <row r="261" spans="1:5" x14ac:dyDescent="0.25">
      <c r="A261" s="4">
        <f ca="1">INDEX(Stations,INT((ROWS(A$2:A261)-1)/(DATE(YEAR(Invoer!$A$5),12,31)-DATE(YEAR(Invoer!$A$5),1,1)+1))+2,1)</f>
        <v>78989</v>
      </c>
      <c r="B261" t="str">
        <f ca="1">TEXT(DATE(YEAR(Invoer!$A$5),1,1)+MOD(ROWS(B$2:B261)-1,DATE(YEAR(Invoer!$A$5),12,31)-DATE(YEAR(Invoer!$A$5),1,1)+1),"jjjjmmdd")</f>
        <v>19130917</v>
      </c>
      <c r="C261" s="5">
        <v>1</v>
      </c>
      <c r="D261" s="69" t="str">
        <f t="shared" ca="1" si="8"/>
        <v>—</v>
      </c>
      <c r="E261" s="10">
        <f t="shared" ca="1" si="9"/>
        <v>7</v>
      </c>
    </row>
    <row r="262" spans="1:5" x14ac:dyDescent="0.25">
      <c r="A262" s="4">
        <f ca="1">INDEX(Stations,INT((ROWS(A$2:A262)-1)/(DATE(YEAR(Invoer!$A$5),12,31)-DATE(YEAR(Invoer!$A$5),1,1)+1))+2,1)</f>
        <v>78989</v>
      </c>
      <c r="B262" t="str">
        <f ca="1">TEXT(DATE(YEAR(Invoer!$A$5),1,1)+MOD(ROWS(B$2:B262)-1,DATE(YEAR(Invoer!$A$5),12,31)-DATE(YEAR(Invoer!$A$5),1,1)+1),"jjjjmmdd")</f>
        <v>19130918</v>
      </c>
      <c r="C262" s="5">
        <v>1</v>
      </c>
      <c r="D262" s="69" t="str">
        <f t="shared" ca="1" si="8"/>
        <v>—</v>
      </c>
      <c r="E262" s="10">
        <f t="shared" ca="1" si="9"/>
        <v>7</v>
      </c>
    </row>
    <row r="263" spans="1:5" x14ac:dyDescent="0.25">
      <c r="A263" s="4">
        <f ca="1">INDEX(Stations,INT((ROWS(A$2:A263)-1)/(DATE(YEAR(Invoer!$A$5),12,31)-DATE(YEAR(Invoer!$A$5),1,1)+1))+2,1)</f>
        <v>78989</v>
      </c>
      <c r="B263" t="str">
        <f ca="1">TEXT(DATE(YEAR(Invoer!$A$5),1,1)+MOD(ROWS(B$2:B263)-1,DATE(YEAR(Invoer!$A$5),12,31)-DATE(YEAR(Invoer!$A$5),1,1)+1),"jjjjmmdd")</f>
        <v>19130919</v>
      </c>
      <c r="C263" s="5">
        <v>1</v>
      </c>
      <c r="D263" s="69" t="str">
        <f t="shared" ca="1" si="8"/>
        <v>—</v>
      </c>
      <c r="E263" s="10">
        <f t="shared" ca="1" si="9"/>
        <v>7</v>
      </c>
    </row>
    <row r="264" spans="1:5" x14ac:dyDescent="0.25">
      <c r="A264" s="4">
        <f ca="1">INDEX(Stations,INT((ROWS(A$2:A264)-1)/(DATE(YEAR(Invoer!$A$5),12,31)-DATE(YEAR(Invoer!$A$5),1,1)+1))+2,1)</f>
        <v>78989</v>
      </c>
      <c r="B264" t="str">
        <f ca="1">TEXT(DATE(YEAR(Invoer!$A$5),1,1)+MOD(ROWS(B$2:B264)-1,DATE(YEAR(Invoer!$A$5),12,31)-DATE(YEAR(Invoer!$A$5),1,1)+1),"jjjjmmdd")</f>
        <v>19130920</v>
      </c>
      <c r="C264" s="5">
        <v>1</v>
      </c>
      <c r="D264" s="69" t="str">
        <f t="shared" ca="1" si="8"/>
        <v>—</v>
      </c>
      <c r="E264" s="10">
        <f t="shared" ca="1" si="9"/>
        <v>7</v>
      </c>
    </row>
    <row r="265" spans="1:5" x14ac:dyDescent="0.25">
      <c r="A265" s="4">
        <f ca="1">INDEX(Stations,INT((ROWS(A$2:A265)-1)/(DATE(YEAR(Invoer!$A$5),12,31)-DATE(YEAR(Invoer!$A$5),1,1)+1))+2,1)</f>
        <v>78989</v>
      </c>
      <c r="B265" t="str">
        <f ca="1">TEXT(DATE(YEAR(Invoer!$A$5),1,1)+MOD(ROWS(B$2:B265)-1,DATE(YEAR(Invoer!$A$5),12,31)-DATE(YEAR(Invoer!$A$5),1,1)+1),"jjjjmmdd")</f>
        <v>19130921</v>
      </c>
      <c r="C265" s="5">
        <v>1</v>
      </c>
      <c r="D265" s="69" t="str">
        <f t="shared" ca="1" si="8"/>
        <v>—</v>
      </c>
      <c r="E265" s="10">
        <f t="shared" ca="1" si="9"/>
        <v>7</v>
      </c>
    </row>
    <row r="266" spans="1:5" x14ac:dyDescent="0.25">
      <c r="A266" s="4">
        <f ca="1">INDEX(Stations,INT((ROWS(A$2:A266)-1)/(DATE(YEAR(Invoer!$A$5),12,31)-DATE(YEAR(Invoer!$A$5),1,1)+1))+2,1)</f>
        <v>78989</v>
      </c>
      <c r="B266" t="str">
        <f ca="1">TEXT(DATE(YEAR(Invoer!$A$5),1,1)+MOD(ROWS(B$2:B266)-1,DATE(YEAR(Invoer!$A$5),12,31)-DATE(YEAR(Invoer!$A$5),1,1)+1),"jjjjmmdd")</f>
        <v>19130922</v>
      </c>
      <c r="C266" s="5">
        <v>1</v>
      </c>
      <c r="D266" s="69" t="str">
        <f t="shared" ca="1" si="8"/>
        <v>—</v>
      </c>
      <c r="E266" s="10">
        <f t="shared" ca="1" si="9"/>
        <v>7</v>
      </c>
    </row>
    <row r="267" spans="1:5" x14ac:dyDescent="0.25">
      <c r="A267" s="4">
        <f ca="1">INDEX(Stations,INT((ROWS(A$2:A267)-1)/(DATE(YEAR(Invoer!$A$5),12,31)-DATE(YEAR(Invoer!$A$5),1,1)+1))+2,1)</f>
        <v>78989</v>
      </c>
      <c r="B267" t="str">
        <f ca="1">TEXT(DATE(YEAR(Invoer!$A$5),1,1)+MOD(ROWS(B$2:B267)-1,DATE(YEAR(Invoer!$A$5),12,31)-DATE(YEAR(Invoer!$A$5),1,1)+1),"jjjjmmdd")</f>
        <v>19130923</v>
      </c>
      <c r="C267" s="5">
        <v>1</v>
      </c>
      <c r="D267" s="69" t="str">
        <f t="shared" ca="1" si="8"/>
        <v>—</v>
      </c>
      <c r="E267" s="10">
        <f t="shared" ca="1" si="9"/>
        <v>7</v>
      </c>
    </row>
    <row r="268" spans="1:5" x14ac:dyDescent="0.25">
      <c r="A268" s="4">
        <f ca="1">INDEX(Stations,INT((ROWS(A$2:A268)-1)/(DATE(YEAR(Invoer!$A$5),12,31)-DATE(YEAR(Invoer!$A$5),1,1)+1))+2,1)</f>
        <v>78989</v>
      </c>
      <c r="B268" t="str">
        <f ca="1">TEXT(DATE(YEAR(Invoer!$A$5),1,1)+MOD(ROWS(B$2:B268)-1,DATE(YEAR(Invoer!$A$5),12,31)-DATE(YEAR(Invoer!$A$5),1,1)+1),"jjjjmmdd")</f>
        <v>19130924</v>
      </c>
      <c r="C268" s="5">
        <v>1</v>
      </c>
      <c r="D268" s="69" t="str">
        <f t="shared" ca="1" si="8"/>
        <v>—</v>
      </c>
      <c r="E268" s="10">
        <f t="shared" ca="1" si="9"/>
        <v>7</v>
      </c>
    </row>
    <row r="269" spans="1:5" x14ac:dyDescent="0.25">
      <c r="A269" s="4">
        <f ca="1">INDEX(Stations,INT((ROWS(A$2:A269)-1)/(DATE(YEAR(Invoer!$A$5),12,31)-DATE(YEAR(Invoer!$A$5),1,1)+1))+2,1)</f>
        <v>78989</v>
      </c>
      <c r="B269" t="str">
        <f ca="1">TEXT(DATE(YEAR(Invoer!$A$5),1,1)+MOD(ROWS(B$2:B269)-1,DATE(YEAR(Invoer!$A$5),12,31)-DATE(YEAR(Invoer!$A$5),1,1)+1),"jjjjmmdd")</f>
        <v>19130925</v>
      </c>
      <c r="C269" s="5">
        <v>1</v>
      </c>
      <c r="D269" s="69" t="str">
        <f t="shared" ca="1" si="8"/>
        <v>—</v>
      </c>
      <c r="E269" s="10">
        <f t="shared" ca="1" si="9"/>
        <v>7</v>
      </c>
    </row>
    <row r="270" spans="1:5" x14ac:dyDescent="0.25">
      <c r="A270" s="4">
        <f ca="1">INDEX(Stations,INT((ROWS(A$2:A270)-1)/(DATE(YEAR(Invoer!$A$5),12,31)-DATE(YEAR(Invoer!$A$5),1,1)+1))+2,1)</f>
        <v>78989</v>
      </c>
      <c r="B270" t="str">
        <f ca="1">TEXT(DATE(YEAR(Invoer!$A$5),1,1)+MOD(ROWS(B$2:B270)-1,DATE(YEAR(Invoer!$A$5),12,31)-DATE(YEAR(Invoer!$A$5),1,1)+1),"jjjjmmdd")</f>
        <v>19130926</v>
      </c>
      <c r="C270" s="5">
        <v>1</v>
      </c>
      <c r="D270" s="69" t="str">
        <f t="shared" ca="1" si="8"/>
        <v>—</v>
      </c>
      <c r="E270" s="10">
        <f t="shared" ca="1" si="9"/>
        <v>7</v>
      </c>
    </row>
    <row r="271" spans="1:5" x14ac:dyDescent="0.25">
      <c r="A271" s="4">
        <f ca="1">INDEX(Stations,INT((ROWS(A$2:A271)-1)/(DATE(YEAR(Invoer!$A$5),12,31)-DATE(YEAR(Invoer!$A$5),1,1)+1))+2,1)</f>
        <v>78989</v>
      </c>
      <c r="B271" t="str">
        <f ca="1">TEXT(DATE(YEAR(Invoer!$A$5),1,1)+MOD(ROWS(B$2:B271)-1,DATE(YEAR(Invoer!$A$5),12,31)-DATE(YEAR(Invoer!$A$5),1,1)+1),"jjjjmmdd")</f>
        <v>19130927</v>
      </c>
      <c r="C271" s="5">
        <v>1</v>
      </c>
      <c r="D271" s="69" t="str">
        <f t="shared" ca="1" si="8"/>
        <v>—</v>
      </c>
      <c r="E271" s="10">
        <f t="shared" ca="1" si="9"/>
        <v>7</v>
      </c>
    </row>
    <row r="272" spans="1:5" x14ac:dyDescent="0.25">
      <c r="A272" s="4">
        <f ca="1">INDEX(Stations,INT((ROWS(A$2:A272)-1)/(DATE(YEAR(Invoer!$A$5),12,31)-DATE(YEAR(Invoer!$A$5),1,1)+1))+2,1)</f>
        <v>78989</v>
      </c>
      <c r="B272" t="str">
        <f ca="1">TEXT(DATE(YEAR(Invoer!$A$5),1,1)+MOD(ROWS(B$2:B272)-1,DATE(YEAR(Invoer!$A$5),12,31)-DATE(YEAR(Invoer!$A$5),1,1)+1),"jjjjmmdd")</f>
        <v>19130928</v>
      </c>
      <c r="C272" s="5">
        <v>1</v>
      </c>
      <c r="D272" s="69" t="str">
        <f t="shared" ca="1" si="8"/>
        <v>—</v>
      </c>
      <c r="E272" s="10">
        <f t="shared" ca="1" si="9"/>
        <v>7</v>
      </c>
    </row>
    <row r="273" spans="1:5" x14ac:dyDescent="0.25">
      <c r="A273" s="4">
        <f ca="1">INDEX(Stations,INT((ROWS(A$2:A273)-1)/(DATE(YEAR(Invoer!$A$5),12,31)-DATE(YEAR(Invoer!$A$5),1,1)+1))+2,1)</f>
        <v>78989</v>
      </c>
      <c r="B273" t="str">
        <f ca="1">TEXT(DATE(YEAR(Invoer!$A$5),1,1)+MOD(ROWS(B$2:B273)-1,DATE(YEAR(Invoer!$A$5),12,31)-DATE(YEAR(Invoer!$A$5),1,1)+1),"jjjjmmdd")</f>
        <v>19130929</v>
      </c>
      <c r="C273" s="5">
        <v>1</v>
      </c>
      <c r="D273" s="69" t="str">
        <f t="shared" ca="1" si="8"/>
        <v>—</v>
      </c>
      <c r="E273" s="10">
        <f t="shared" ca="1" si="9"/>
        <v>7</v>
      </c>
    </row>
    <row r="274" spans="1:5" x14ac:dyDescent="0.25">
      <c r="A274" s="4">
        <f ca="1">INDEX(Stations,INT((ROWS(A$2:A274)-1)/(DATE(YEAR(Invoer!$A$5),12,31)-DATE(YEAR(Invoer!$A$5),1,1)+1))+2,1)</f>
        <v>78989</v>
      </c>
      <c r="B274" t="str">
        <f ca="1">TEXT(DATE(YEAR(Invoer!$A$5),1,1)+MOD(ROWS(B$2:B274)-1,DATE(YEAR(Invoer!$A$5),12,31)-DATE(YEAR(Invoer!$A$5),1,1)+1),"jjjjmmdd")</f>
        <v>19130930</v>
      </c>
      <c r="C274" s="5">
        <v>1</v>
      </c>
      <c r="D274" s="69" t="str">
        <f t="shared" ca="1" si="8"/>
        <v>—</v>
      </c>
      <c r="E274" s="10">
        <f t="shared" ca="1" si="9"/>
        <v>7</v>
      </c>
    </row>
    <row r="275" spans="1:5" x14ac:dyDescent="0.25">
      <c r="A275" s="4">
        <f ca="1">INDEX(Stations,INT((ROWS(A$2:A275)-1)/(DATE(YEAR(Invoer!$A$5),12,31)-DATE(YEAR(Invoer!$A$5),1,1)+1))+2,1)</f>
        <v>78989</v>
      </c>
      <c r="B275" t="str">
        <f ca="1">TEXT(DATE(YEAR(Invoer!$A$5),1,1)+MOD(ROWS(B$2:B275)-1,DATE(YEAR(Invoer!$A$5),12,31)-DATE(YEAR(Invoer!$A$5),1,1)+1),"jjjjmmdd")</f>
        <v>19131001</v>
      </c>
      <c r="C275" s="5">
        <v>1</v>
      </c>
      <c r="D275" s="69" t="str">
        <f t="shared" ca="1" si="8"/>
        <v>—</v>
      </c>
      <c r="E275" s="10">
        <f t="shared" ca="1" si="9"/>
        <v>7</v>
      </c>
    </row>
    <row r="276" spans="1:5" x14ac:dyDescent="0.25">
      <c r="A276" s="4">
        <f ca="1">INDEX(Stations,INT((ROWS(A$2:A276)-1)/(DATE(YEAR(Invoer!$A$5),12,31)-DATE(YEAR(Invoer!$A$5),1,1)+1))+2,1)</f>
        <v>78989</v>
      </c>
      <c r="B276" t="str">
        <f ca="1">TEXT(DATE(YEAR(Invoer!$A$5),1,1)+MOD(ROWS(B$2:B276)-1,DATE(YEAR(Invoer!$A$5),12,31)-DATE(YEAR(Invoer!$A$5),1,1)+1),"jjjjmmdd")</f>
        <v>19131002</v>
      </c>
      <c r="C276" s="5">
        <v>1</v>
      </c>
      <c r="D276" s="69" t="str">
        <f t="shared" ca="1" si="8"/>
        <v>—</v>
      </c>
      <c r="E276" s="10">
        <f t="shared" ca="1" si="9"/>
        <v>7</v>
      </c>
    </row>
    <row r="277" spans="1:5" x14ac:dyDescent="0.25">
      <c r="A277" s="4">
        <f ca="1">INDEX(Stations,INT((ROWS(A$2:A277)-1)/(DATE(YEAR(Invoer!$A$5),12,31)-DATE(YEAR(Invoer!$A$5),1,1)+1))+2,1)</f>
        <v>78989</v>
      </c>
      <c r="B277" t="str">
        <f ca="1">TEXT(DATE(YEAR(Invoer!$A$5),1,1)+MOD(ROWS(B$2:B277)-1,DATE(YEAR(Invoer!$A$5),12,31)-DATE(YEAR(Invoer!$A$5),1,1)+1),"jjjjmmdd")</f>
        <v>19131003</v>
      </c>
      <c r="C277" s="5">
        <v>1</v>
      </c>
      <c r="D277" s="69" t="str">
        <f t="shared" ca="1" si="8"/>
        <v>—</v>
      </c>
      <c r="E277" s="10">
        <f t="shared" ca="1" si="9"/>
        <v>7</v>
      </c>
    </row>
    <row r="278" spans="1:5" x14ac:dyDescent="0.25">
      <c r="A278" s="4">
        <f ca="1">INDEX(Stations,INT((ROWS(A$2:A278)-1)/(DATE(YEAR(Invoer!$A$5),12,31)-DATE(YEAR(Invoer!$A$5),1,1)+1))+2,1)</f>
        <v>78989</v>
      </c>
      <c r="B278" t="str">
        <f ca="1">TEXT(DATE(YEAR(Invoer!$A$5),1,1)+MOD(ROWS(B$2:B278)-1,DATE(YEAR(Invoer!$A$5),12,31)-DATE(YEAR(Invoer!$A$5),1,1)+1),"jjjjmmdd")</f>
        <v>19131004</v>
      </c>
      <c r="C278" s="5">
        <v>1</v>
      </c>
      <c r="D278" s="69" t="str">
        <f t="shared" ca="1" si="8"/>
        <v>—</v>
      </c>
      <c r="E278" s="10">
        <f t="shared" ca="1" si="9"/>
        <v>7</v>
      </c>
    </row>
    <row r="279" spans="1:5" x14ac:dyDescent="0.25">
      <c r="A279" s="4">
        <f ca="1">INDEX(Stations,INT((ROWS(A$2:A279)-1)/(DATE(YEAR(Invoer!$A$5),12,31)-DATE(YEAR(Invoer!$A$5),1,1)+1))+2,1)</f>
        <v>78989</v>
      </c>
      <c r="B279" t="str">
        <f ca="1">TEXT(DATE(YEAR(Invoer!$A$5),1,1)+MOD(ROWS(B$2:B279)-1,DATE(YEAR(Invoer!$A$5),12,31)-DATE(YEAR(Invoer!$A$5),1,1)+1),"jjjjmmdd")</f>
        <v>19131005</v>
      </c>
      <c r="C279" s="5">
        <v>1</v>
      </c>
      <c r="D279" s="69" t="str">
        <f t="shared" ca="1" si="8"/>
        <v>—</v>
      </c>
      <c r="E279" s="10">
        <f t="shared" ca="1" si="9"/>
        <v>7</v>
      </c>
    </row>
    <row r="280" spans="1:5" x14ac:dyDescent="0.25">
      <c r="A280" s="4">
        <f ca="1">INDEX(Stations,INT((ROWS(A$2:A280)-1)/(DATE(YEAR(Invoer!$A$5),12,31)-DATE(YEAR(Invoer!$A$5),1,1)+1))+2,1)</f>
        <v>78989</v>
      </c>
      <c r="B280" t="str">
        <f ca="1">TEXT(DATE(YEAR(Invoer!$A$5),1,1)+MOD(ROWS(B$2:B280)-1,DATE(YEAR(Invoer!$A$5),12,31)-DATE(YEAR(Invoer!$A$5),1,1)+1),"jjjjmmdd")</f>
        <v>19131006</v>
      </c>
      <c r="C280" s="5">
        <v>1</v>
      </c>
      <c r="D280" s="69" t="str">
        <f t="shared" ca="1" si="8"/>
        <v>—</v>
      </c>
      <c r="E280" s="10">
        <f t="shared" ca="1" si="9"/>
        <v>7</v>
      </c>
    </row>
    <row r="281" spans="1:5" x14ac:dyDescent="0.25">
      <c r="A281" s="4">
        <f ca="1">INDEX(Stations,INT((ROWS(A$2:A281)-1)/(DATE(YEAR(Invoer!$A$5),12,31)-DATE(YEAR(Invoer!$A$5),1,1)+1))+2,1)</f>
        <v>78989</v>
      </c>
      <c r="B281" t="str">
        <f ca="1">TEXT(DATE(YEAR(Invoer!$A$5),1,1)+MOD(ROWS(B$2:B281)-1,DATE(YEAR(Invoer!$A$5),12,31)-DATE(YEAR(Invoer!$A$5),1,1)+1),"jjjjmmdd")</f>
        <v>19131007</v>
      </c>
      <c r="C281" s="5">
        <v>1</v>
      </c>
      <c r="D281" s="69" t="str">
        <f t="shared" ca="1" si="8"/>
        <v>—</v>
      </c>
      <c r="E281" s="10">
        <f t="shared" ca="1" si="9"/>
        <v>7</v>
      </c>
    </row>
    <row r="282" spans="1:5" x14ac:dyDescent="0.25">
      <c r="A282" s="4">
        <f ca="1">INDEX(Stations,INT((ROWS(A$2:A282)-1)/(DATE(YEAR(Invoer!$A$5),12,31)-DATE(YEAR(Invoer!$A$5),1,1)+1))+2,1)</f>
        <v>78989</v>
      </c>
      <c r="B282" t="str">
        <f ca="1">TEXT(DATE(YEAR(Invoer!$A$5),1,1)+MOD(ROWS(B$2:B282)-1,DATE(YEAR(Invoer!$A$5),12,31)-DATE(YEAR(Invoer!$A$5),1,1)+1),"jjjjmmdd")</f>
        <v>19131008</v>
      </c>
      <c r="C282" s="5">
        <v>1</v>
      </c>
      <c r="D282" s="69" t="str">
        <f t="shared" ca="1" si="8"/>
        <v>—</v>
      </c>
      <c r="E282" s="10">
        <f t="shared" ca="1" si="9"/>
        <v>7</v>
      </c>
    </row>
    <row r="283" spans="1:5" x14ac:dyDescent="0.25">
      <c r="A283" s="4">
        <f ca="1">INDEX(Stations,INT((ROWS(A$2:A283)-1)/(DATE(YEAR(Invoer!$A$5),12,31)-DATE(YEAR(Invoer!$A$5),1,1)+1))+2,1)</f>
        <v>78989</v>
      </c>
      <c r="B283" t="str">
        <f ca="1">TEXT(DATE(YEAR(Invoer!$A$5),1,1)+MOD(ROWS(B$2:B283)-1,DATE(YEAR(Invoer!$A$5),12,31)-DATE(YEAR(Invoer!$A$5),1,1)+1),"jjjjmmdd")</f>
        <v>19131009</v>
      </c>
      <c r="C283" s="5">
        <v>1</v>
      </c>
      <c r="D283" s="69" t="str">
        <f t="shared" ca="1" si="8"/>
        <v>—</v>
      </c>
      <c r="E283" s="10">
        <f t="shared" ca="1" si="9"/>
        <v>7</v>
      </c>
    </row>
    <row r="284" spans="1:5" x14ac:dyDescent="0.25">
      <c r="A284" s="4">
        <f ca="1">INDEX(Stations,INT((ROWS(A$2:A284)-1)/(DATE(YEAR(Invoer!$A$5),12,31)-DATE(YEAR(Invoer!$A$5),1,1)+1))+2,1)</f>
        <v>78989</v>
      </c>
      <c r="B284" t="str">
        <f ca="1">TEXT(DATE(YEAR(Invoer!$A$5),1,1)+MOD(ROWS(B$2:B284)-1,DATE(YEAR(Invoer!$A$5),12,31)-DATE(YEAR(Invoer!$A$5),1,1)+1),"jjjjmmdd")</f>
        <v>19131010</v>
      </c>
      <c r="C284" s="5">
        <v>1</v>
      </c>
      <c r="D284" s="69" t="str">
        <f t="shared" ca="1" si="8"/>
        <v>—</v>
      </c>
      <c r="E284" s="10">
        <f t="shared" ca="1" si="9"/>
        <v>7</v>
      </c>
    </row>
    <row r="285" spans="1:5" x14ac:dyDescent="0.25">
      <c r="A285" s="4">
        <f ca="1">INDEX(Stations,INT((ROWS(A$2:A285)-1)/(DATE(YEAR(Invoer!$A$5),12,31)-DATE(YEAR(Invoer!$A$5),1,1)+1))+2,1)</f>
        <v>78989</v>
      </c>
      <c r="B285" t="str">
        <f ca="1">TEXT(DATE(YEAR(Invoer!$A$5),1,1)+MOD(ROWS(B$2:B285)-1,DATE(YEAR(Invoer!$A$5),12,31)-DATE(YEAR(Invoer!$A$5),1,1)+1),"jjjjmmdd")</f>
        <v>19131011</v>
      </c>
      <c r="C285" s="5">
        <v>1</v>
      </c>
      <c r="D285" s="69" t="str">
        <f t="shared" ca="1" si="8"/>
        <v>—</v>
      </c>
      <c r="E285" s="10">
        <f t="shared" ca="1" si="9"/>
        <v>7</v>
      </c>
    </row>
    <row r="286" spans="1:5" x14ac:dyDescent="0.25">
      <c r="A286" s="4">
        <f ca="1">INDEX(Stations,INT((ROWS(A$2:A286)-1)/(DATE(YEAR(Invoer!$A$5),12,31)-DATE(YEAR(Invoer!$A$5),1,1)+1))+2,1)</f>
        <v>78989</v>
      </c>
      <c r="B286" t="str">
        <f ca="1">TEXT(DATE(YEAR(Invoer!$A$5),1,1)+MOD(ROWS(B$2:B286)-1,DATE(YEAR(Invoer!$A$5),12,31)-DATE(YEAR(Invoer!$A$5),1,1)+1),"jjjjmmdd")</f>
        <v>19131012</v>
      </c>
      <c r="C286" s="5">
        <v>1</v>
      </c>
      <c r="D286" s="69" t="str">
        <f t="shared" ca="1" si="8"/>
        <v>—</v>
      </c>
      <c r="E286" s="10">
        <f t="shared" ca="1" si="9"/>
        <v>7</v>
      </c>
    </row>
    <row r="287" spans="1:5" x14ac:dyDescent="0.25">
      <c r="A287" s="4">
        <f ca="1">INDEX(Stations,INT((ROWS(A$2:A287)-1)/(DATE(YEAR(Invoer!$A$5),12,31)-DATE(YEAR(Invoer!$A$5),1,1)+1))+2,1)</f>
        <v>78989</v>
      </c>
      <c r="B287" t="str">
        <f ca="1">TEXT(DATE(YEAR(Invoer!$A$5),1,1)+MOD(ROWS(B$2:B287)-1,DATE(YEAR(Invoer!$A$5),12,31)-DATE(YEAR(Invoer!$A$5),1,1)+1),"jjjjmmdd")</f>
        <v>19131013</v>
      </c>
      <c r="C287" s="5">
        <v>1</v>
      </c>
      <c r="D287" s="69" t="str">
        <f t="shared" ca="1" si="8"/>
        <v>—</v>
      </c>
      <c r="E287" s="10">
        <f t="shared" ca="1" si="9"/>
        <v>7</v>
      </c>
    </row>
    <row r="288" spans="1:5" x14ac:dyDescent="0.25">
      <c r="A288" s="4">
        <f ca="1">INDEX(Stations,INT((ROWS(A$2:A288)-1)/(DATE(YEAR(Invoer!$A$5),12,31)-DATE(YEAR(Invoer!$A$5),1,1)+1))+2,1)</f>
        <v>78989</v>
      </c>
      <c r="B288" t="str">
        <f ca="1">TEXT(DATE(YEAR(Invoer!$A$5),1,1)+MOD(ROWS(B$2:B288)-1,DATE(YEAR(Invoer!$A$5),12,31)-DATE(YEAR(Invoer!$A$5),1,1)+1),"jjjjmmdd")</f>
        <v>19131014</v>
      </c>
      <c r="C288" s="5">
        <v>1</v>
      </c>
      <c r="D288" s="69" t="str">
        <f t="shared" ca="1" si="8"/>
        <v>—</v>
      </c>
      <c r="E288" s="10">
        <f t="shared" ca="1" si="9"/>
        <v>7</v>
      </c>
    </row>
    <row r="289" spans="1:5" x14ac:dyDescent="0.25">
      <c r="A289" s="4">
        <f ca="1">INDEX(Stations,INT((ROWS(A$2:A289)-1)/(DATE(YEAR(Invoer!$A$5),12,31)-DATE(YEAR(Invoer!$A$5),1,1)+1))+2,1)</f>
        <v>78989</v>
      </c>
      <c r="B289" t="str">
        <f ca="1">TEXT(DATE(YEAR(Invoer!$A$5),1,1)+MOD(ROWS(B$2:B289)-1,DATE(YEAR(Invoer!$A$5),12,31)-DATE(YEAR(Invoer!$A$5),1,1)+1),"jjjjmmdd")</f>
        <v>19131015</v>
      </c>
      <c r="C289" s="5">
        <v>1</v>
      </c>
      <c r="D289" s="69" t="str">
        <f t="shared" ca="1" si="8"/>
        <v>—</v>
      </c>
      <c r="E289" s="10">
        <f t="shared" ca="1" si="9"/>
        <v>7</v>
      </c>
    </row>
    <row r="290" spans="1:5" x14ac:dyDescent="0.25">
      <c r="A290" s="4">
        <f ca="1">INDEX(Stations,INT((ROWS(A$2:A290)-1)/(DATE(YEAR(Invoer!$A$5),12,31)-DATE(YEAR(Invoer!$A$5),1,1)+1))+2,1)</f>
        <v>78989</v>
      </c>
      <c r="B290" t="str">
        <f ca="1">TEXT(DATE(YEAR(Invoer!$A$5),1,1)+MOD(ROWS(B$2:B290)-1,DATE(YEAR(Invoer!$A$5),12,31)-DATE(YEAR(Invoer!$A$5),1,1)+1),"jjjjmmdd")</f>
        <v>19131016</v>
      </c>
      <c r="C290" s="5">
        <v>1</v>
      </c>
      <c r="D290" s="69" t="str">
        <f t="shared" ca="1" si="8"/>
        <v>—</v>
      </c>
      <c r="E290" s="10">
        <f t="shared" ca="1" si="9"/>
        <v>7</v>
      </c>
    </row>
    <row r="291" spans="1:5" x14ac:dyDescent="0.25">
      <c r="A291" s="4">
        <f ca="1">INDEX(Stations,INT((ROWS(A$2:A291)-1)/(DATE(YEAR(Invoer!$A$5),12,31)-DATE(YEAR(Invoer!$A$5),1,1)+1))+2,1)</f>
        <v>78989</v>
      </c>
      <c r="B291" t="str">
        <f ca="1">TEXT(DATE(YEAR(Invoer!$A$5),1,1)+MOD(ROWS(B$2:B291)-1,DATE(YEAR(Invoer!$A$5),12,31)-DATE(YEAR(Invoer!$A$5),1,1)+1),"jjjjmmdd")</f>
        <v>19131017</v>
      </c>
      <c r="C291" s="5">
        <v>1</v>
      </c>
      <c r="D291" s="69" t="str">
        <f t="shared" ca="1" si="8"/>
        <v>—</v>
      </c>
      <c r="E291" s="10">
        <f t="shared" ca="1" si="9"/>
        <v>7</v>
      </c>
    </row>
    <row r="292" spans="1:5" x14ac:dyDescent="0.25">
      <c r="A292" s="4">
        <f ca="1">INDEX(Stations,INT((ROWS(A$2:A292)-1)/(DATE(YEAR(Invoer!$A$5),12,31)-DATE(YEAR(Invoer!$A$5),1,1)+1))+2,1)</f>
        <v>78989</v>
      </c>
      <c r="B292" t="str">
        <f ca="1">TEXT(DATE(YEAR(Invoer!$A$5),1,1)+MOD(ROWS(B$2:B292)-1,DATE(YEAR(Invoer!$A$5),12,31)-DATE(YEAR(Invoer!$A$5),1,1)+1),"jjjjmmdd")</f>
        <v>19131018</v>
      </c>
      <c r="C292" s="5">
        <v>1</v>
      </c>
      <c r="D292" s="69" t="str">
        <f t="shared" ca="1" si="8"/>
        <v>—</v>
      </c>
      <c r="E292" s="10">
        <f t="shared" ca="1" si="9"/>
        <v>7</v>
      </c>
    </row>
    <row r="293" spans="1:5" x14ac:dyDescent="0.25">
      <c r="A293" s="4">
        <f ca="1">INDEX(Stations,INT((ROWS(A$2:A293)-1)/(DATE(YEAR(Invoer!$A$5),12,31)-DATE(YEAR(Invoer!$A$5),1,1)+1))+2,1)</f>
        <v>78989</v>
      </c>
      <c r="B293" t="str">
        <f ca="1">TEXT(DATE(YEAR(Invoer!$A$5),1,1)+MOD(ROWS(B$2:B293)-1,DATE(YEAR(Invoer!$A$5),12,31)-DATE(YEAR(Invoer!$A$5),1,1)+1),"jjjjmmdd")</f>
        <v>19131019</v>
      </c>
      <c r="C293" s="5">
        <v>1</v>
      </c>
      <c r="D293" s="69" t="str">
        <f t="shared" ca="1" si="8"/>
        <v>—</v>
      </c>
      <c r="E293" s="10">
        <f t="shared" ca="1" si="9"/>
        <v>7</v>
      </c>
    </row>
    <row r="294" spans="1:5" x14ac:dyDescent="0.25">
      <c r="A294" s="4">
        <f ca="1">INDEX(Stations,INT((ROWS(A$2:A294)-1)/(DATE(YEAR(Invoer!$A$5),12,31)-DATE(YEAR(Invoer!$A$5),1,1)+1))+2,1)</f>
        <v>78989</v>
      </c>
      <c r="B294" t="str">
        <f ca="1">TEXT(DATE(YEAR(Invoer!$A$5),1,1)+MOD(ROWS(B$2:B294)-1,DATE(YEAR(Invoer!$A$5),12,31)-DATE(YEAR(Invoer!$A$5),1,1)+1),"jjjjmmdd")</f>
        <v>19131020</v>
      </c>
      <c r="C294" s="5">
        <v>1</v>
      </c>
      <c r="D294" s="69" t="str">
        <f t="shared" ca="1" si="8"/>
        <v>—</v>
      </c>
      <c r="E294" s="10">
        <f t="shared" ca="1" si="9"/>
        <v>7</v>
      </c>
    </row>
    <row r="295" spans="1:5" x14ac:dyDescent="0.25">
      <c r="A295" s="4">
        <f ca="1">INDEX(Stations,INT((ROWS(A$2:A295)-1)/(DATE(YEAR(Invoer!$A$5),12,31)-DATE(YEAR(Invoer!$A$5),1,1)+1))+2,1)</f>
        <v>78989</v>
      </c>
      <c r="B295" t="str">
        <f ca="1">TEXT(DATE(YEAR(Invoer!$A$5),1,1)+MOD(ROWS(B$2:B295)-1,DATE(YEAR(Invoer!$A$5),12,31)-DATE(YEAR(Invoer!$A$5),1,1)+1),"jjjjmmdd")</f>
        <v>19131021</v>
      </c>
      <c r="C295" s="5">
        <v>1</v>
      </c>
      <c r="D295" s="69" t="str">
        <f t="shared" ca="1" si="8"/>
        <v>—</v>
      </c>
      <c r="E295" s="10">
        <f t="shared" ca="1" si="9"/>
        <v>7</v>
      </c>
    </row>
    <row r="296" spans="1:5" x14ac:dyDescent="0.25">
      <c r="A296" s="4">
        <f ca="1">INDEX(Stations,INT((ROWS(A$2:A296)-1)/(DATE(YEAR(Invoer!$A$5),12,31)-DATE(YEAR(Invoer!$A$5),1,1)+1))+2,1)</f>
        <v>78989</v>
      </c>
      <c r="B296" t="str">
        <f ca="1">TEXT(DATE(YEAR(Invoer!$A$5),1,1)+MOD(ROWS(B$2:B296)-1,DATE(YEAR(Invoer!$A$5),12,31)-DATE(YEAR(Invoer!$A$5),1,1)+1),"jjjjmmdd")</f>
        <v>19131022</v>
      </c>
      <c r="C296" s="5">
        <v>1</v>
      </c>
      <c r="D296" s="69" t="str">
        <f t="shared" ca="1" si="8"/>
        <v>—</v>
      </c>
      <c r="E296" s="10">
        <f t="shared" ca="1" si="9"/>
        <v>7</v>
      </c>
    </row>
    <row r="297" spans="1:5" x14ac:dyDescent="0.25">
      <c r="A297" s="4">
        <f ca="1">INDEX(Stations,INT((ROWS(A$2:A297)-1)/(DATE(YEAR(Invoer!$A$5),12,31)-DATE(YEAR(Invoer!$A$5),1,1)+1))+2,1)</f>
        <v>78989</v>
      </c>
      <c r="B297" t="str">
        <f ca="1">TEXT(DATE(YEAR(Invoer!$A$5),1,1)+MOD(ROWS(B$2:B297)-1,DATE(YEAR(Invoer!$A$5),12,31)-DATE(YEAR(Invoer!$A$5),1,1)+1),"jjjjmmdd")</f>
        <v>19131023</v>
      </c>
      <c r="C297" s="5">
        <v>1</v>
      </c>
      <c r="D297" s="69" t="str">
        <f t="shared" ca="1" si="8"/>
        <v>—</v>
      </c>
      <c r="E297" s="10">
        <f t="shared" ca="1" si="9"/>
        <v>7</v>
      </c>
    </row>
    <row r="298" spans="1:5" x14ac:dyDescent="0.25">
      <c r="A298" s="4">
        <f ca="1">INDEX(Stations,INT((ROWS(A$2:A298)-1)/(DATE(YEAR(Invoer!$A$5),12,31)-DATE(YEAR(Invoer!$A$5),1,1)+1))+2,1)</f>
        <v>78989</v>
      </c>
      <c r="B298" t="str">
        <f ca="1">TEXT(DATE(YEAR(Invoer!$A$5),1,1)+MOD(ROWS(B$2:B298)-1,DATE(YEAR(Invoer!$A$5),12,31)-DATE(YEAR(Invoer!$A$5),1,1)+1),"jjjjmmdd")</f>
        <v>19131024</v>
      </c>
      <c r="C298" s="5">
        <v>1</v>
      </c>
      <c r="D298" s="69" t="str">
        <f t="shared" ca="1" si="8"/>
        <v>—</v>
      </c>
      <c r="E298" s="10">
        <f t="shared" ca="1" si="9"/>
        <v>7</v>
      </c>
    </row>
    <row r="299" spans="1:5" x14ac:dyDescent="0.25">
      <c r="A299" s="4">
        <f ca="1">INDEX(Stations,INT((ROWS(A$2:A299)-1)/(DATE(YEAR(Invoer!$A$5),12,31)-DATE(YEAR(Invoer!$A$5),1,1)+1))+2,1)</f>
        <v>78989</v>
      </c>
      <c r="B299" t="str">
        <f ca="1">TEXT(DATE(YEAR(Invoer!$A$5),1,1)+MOD(ROWS(B$2:B299)-1,DATE(YEAR(Invoer!$A$5),12,31)-DATE(YEAR(Invoer!$A$5),1,1)+1),"jjjjmmdd")</f>
        <v>19131025</v>
      </c>
      <c r="C299" s="5">
        <v>1</v>
      </c>
      <c r="D299" s="69" t="str">
        <f t="shared" ca="1" si="8"/>
        <v>—</v>
      </c>
      <c r="E299" s="10">
        <f t="shared" ca="1" si="9"/>
        <v>7</v>
      </c>
    </row>
    <row r="300" spans="1:5" x14ac:dyDescent="0.25">
      <c r="A300" s="4">
        <f ca="1">INDEX(Stations,INT((ROWS(A$2:A300)-1)/(DATE(YEAR(Invoer!$A$5),12,31)-DATE(YEAR(Invoer!$A$5),1,1)+1))+2,1)</f>
        <v>78989</v>
      </c>
      <c r="B300" t="str">
        <f ca="1">TEXT(DATE(YEAR(Invoer!$A$5),1,1)+MOD(ROWS(B$2:B300)-1,DATE(YEAR(Invoer!$A$5),12,31)-DATE(YEAR(Invoer!$A$5),1,1)+1),"jjjjmmdd")</f>
        <v>19131026</v>
      </c>
      <c r="C300" s="5">
        <v>1</v>
      </c>
      <c r="D300" s="69" t="str">
        <f t="shared" ca="1" si="8"/>
        <v>—</v>
      </c>
      <c r="E300" s="10">
        <f t="shared" ca="1" si="9"/>
        <v>7</v>
      </c>
    </row>
    <row r="301" spans="1:5" x14ac:dyDescent="0.25">
      <c r="A301" s="4">
        <f ca="1">INDEX(Stations,INT((ROWS(A$2:A301)-1)/(DATE(YEAR(Invoer!$A$5),12,31)-DATE(YEAR(Invoer!$A$5),1,1)+1))+2,1)</f>
        <v>78989</v>
      </c>
      <c r="B301" t="str">
        <f ca="1">TEXT(DATE(YEAR(Invoer!$A$5),1,1)+MOD(ROWS(B$2:B301)-1,DATE(YEAR(Invoer!$A$5),12,31)-DATE(YEAR(Invoer!$A$5),1,1)+1),"jjjjmmdd")</f>
        <v>19131027</v>
      </c>
      <c r="C301" s="5">
        <v>1</v>
      </c>
      <c r="D301" s="69" t="str">
        <f t="shared" ca="1" si="8"/>
        <v>—</v>
      </c>
      <c r="E301" s="10">
        <f t="shared" ca="1" si="9"/>
        <v>7</v>
      </c>
    </row>
    <row r="302" spans="1:5" x14ac:dyDescent="0.25">
      <c r="A302" s="4">
        <f ca="1">INDEX(Stations,INT((ROWS(A$2:A302)-1)/(DATE(YEAR(Invoer!$A$5),12,31)-DATE(YEAR(Invoer!$A$5),1,1)+1))+2,1)</f>
        <v>78989</v>
      </c>
      <c r="B302" t="str">
        <f ca="1">TEXT(DATE(YEAR(Invoer!$A$5),1,1)+MOD(ROWS(B$2:B302)-1,DATE(YEAR(Invoer!$A$5),12,31)-DATE(YEAR(Invoer!$A$5),1,1)+1),"jjjjmmdd")</f>
        <v>19131028</v>
      </c>
      <c r="C302" s="5">
        <v>1</v>
      </c>
      <c r="D302" s="69" t="str">
        <f t="shared" ca="1" si="8"/>
        <v>—</v>
      </c>
      <c r="E302" s="10">
        <f t="shared" ca="1" si="9"/>
        <v>7</v>
      </c>
    </row>
    <row r="303" spans="1:5" x14ac:dyDescent="0.25">
      <c r="A303" s="4">
        <f ca="1">INDEX(Stations,INT((ROWS(A$2:A303)-1)/(DATE(YEAR(Invoer!$A$5),12,31)-DATE(YEAR(Invoer!$A$5),1,1)+1))+2,1)</f>
        <v>78989</v>
      </c>
      <c r="B303" t="str">
        <f ca="1">TEXT(DATE(YEAR(Invoer!$A$5),1,1)+MOD(ROWS(B$2:B303)-1,DATE(YEAR(Invoer!$A$5),12,31)-DATE(YEAR(Invoer!$A$5),1,1)+1),"jjjjmmdd")</f>
        <v>19131029</v>
      </c>
      <c r="C303" s="5">
        <v>1</v>
      </c>
      <c r="D303" s="69" t="str">
        <f t="shared" ca="1" si="8"/>
        <v>—</v>
      </c>
      <c r="E303" s="10">
        <f t="shared" ca="1" si="9"/>
        <v>7</v>
      </c>
    </row>
    <row r="304" spans="1:5" x14ac:dyDescent="0.25">
      <c r="A304" s="4">
        <f ca="1">INDEX(Stations,INT((ROWS(A$2:A304)-1)/(DATE(YEAR(Invoer!$A$5),12,31)-DATE(YEAR(Invoer!$A$5),1,1)+1))+2,1)</f>
        <v>78989</v>
      </c>
      <c r="B304" t="str">
        <f ca="1">TEXT(DATE(YEAR(Invoer!$A$5),1,1)+MOD(ROWS(B$2:B304)-1,DATE(YEAR(Invoer!$A$5),12,31)-DATE(YEAR(Invoer!$A$5),1,1)+1),"jjjjmmdd")</f>
        <v>19131030</v>
      </c>
      <c r="C304" s="5">
        <v>1</v>
      </c>
      <c r="D304" s="69" t="str">
        <f t="shared" ca="1" si="8"/>
        <v>—</v>
      </c>
      <c r="E304" s="10">
        <f t="shared" ca="1" si="9"/>
        <v>7</v>
      </c>
    </row>
    <row r="305" spans="1:5" x14ac:dyDescent="0.25">
      <c r="A305" s="4">
        <f ca="1">INDEX(Stations,INT((ROWS(A$2:A305)-1)/(DATE(YEAR(Invoer!$A$5),12,31)-DATE(YEAR(Invoer!$A$5),1,1)+1))+2,1)</f>
        <v>78989</v>
      </c>
      <c r="B305" t="str">
        <f ca="1">TEXT(DATE(YEAR(Invoer!$A$5),1,1)+MOD(ROWS(B$2:B305)-1,DATE(YEAR(Invoer!$A$5),12,31)-DATE(YEAR(Invoer!$A$5),1,1)+1),"jjjjmmdd")</f>
        <v>19131031</v>
      </c>
      <c r="C305" s="5">
        <v>1</v>
      </c>
      <c r="D305" s="69" t="str">
        <f t="shared" ca="1" si="8"/>
        <v>—</v>
      </c>
      <c r="E305" s="10">
        <f t="shared" ca="1" si="9"/>
        <v>7</v>
      </c>
    </row>
    <row r="306" spans="1:5" x14ac:dyDescent="0.25">
      <c r="A306" s="4">
        <f ca="1">INDEX(Stations,INT((ROWS(A$2:A306)-1)/(DATE(YEAR(Invoer!$A$5),12,31)-DATE(YEAR(Invoer!$A$5),1,1)+1))+2,1)</f>
        <v>78989</v>
      </c>
      <c r="B306" t="str">
        <f ca="1">TEXT(DATE(YEAR(Invoer!$A$5),1,1)+MOD(ROWS(B$2:B306)-1,DATE(YEAR(Invoer!$A$5),12,31)-DATE(YEAR(Invoer!$A$5),1,1)+1),"jjjjmmdd")</f>
        <v>19131101</v>
      </c>
      <c r="C306" s="5">
        <v>1</v>
      </c>
      <c r="D306" s="69" t="str">
        <f t="shared" ca="1" si="8"/>
        <v>—</v>
      </c>
      <c r="E306" s="10">
        <f t="shared" ca="1" si="9"/>
        <v>7</v>
      </c>
    </row>
    <row r="307" spans="1:5" x14ac:dyDescent="0.25">
      <c r="A307" s="4">
        <f ca="1">INDEX(Stations,INT((ROWS(A$2:A307)-1)/(DATE(YEAR(Invoer!$A$5),12,31)-DATE(YEAR(Invoer!$A$5),1,1)+1))+2,1)</f>
        <v>78989</v>
      </c>
      <c r="B307" t="str">
        <f ca="1">TEXT(DATE(YEAR(Invoer!$A$5),1,1)+MOD(ROWS(B$2:B307)-1,DATE(YEAR(Invoer!$A$5),12,31)-DATE(YEAR(Invoer!$A$5),1,1)+1),"jjjjmmdd")</f>
        <v>19131102</v>
      </c>
      <c r="C307" s="5">
        <v>1</v>
      </c>
      <c r="D307" s="69" t="str">
        <f t="shared" ca="1" si="8"/>
        <v>—</v>
      </c>
      <c r="E307" s="10">
        <f t="shared" ca="1" si="9"/>
        <v>7</v>
      </c>
    </row>
    <row r="308" spans="1:5" x14ac:dyDescent="0.25">
      <c r="A308" s="4">
        <f ca="1">INDEX(Stations,INT((ROWS(A$2:A308)-1)/(DATE(YEAR(Invoer!$A$5),12,31)-DATE(YEAR(Invoer!$A$5),1,1)+1))+2,1)</f>
        <v>78989</v>
      </c>
      <c r="B308" t="str">
        <f ca="1">TEXT(DATE(YEAR(Invoer!$A$5),1,1)+MOD(ROWS(B$2:B308)-1,DATE(YEAR(Invoer!$A$5),12,31)-DATE(YEAR(Invoer!$A$5),1,1)+1),"jjjjmmdd")</f>
        <v>19131103</v>
      </c>
      <c r="C308" s="5">
        <v>1</v>
      </c>
      <c r="D308" s="69" t="str">
        <f t="shared" ca="1" si="8"/>
        <v>—</v>
      </c>
      <c r="E308" s="10">
        <f t="shared" ca="1" si="9"/>
        <v>7</v>
      </c>
    </row>
    <row r="309" spans="1:5" x14ac:dyDescent="0.25">
      <c r="A309" s="4">
        <f ca="1">INDEX(Stations,INT((ROWS(A$2:A309)-1)/(DATE(YEAR(Invoer!$A$5),12,31)-DATE(YEAR(Invoer!$A$5),1,1)+1))+2,1)</f>
        <v>78989</v>
      </c>
      <c r="B309" t="str">
        <f ca="1">TEXT(DATE(YEAR(Invoer!$A$5),1,1)+MOD(ROWS(B$2:B309)-1,DATE(YEAR(Invoer!$A$5),12,31)-DATE(YEAR(Invoer!$A$5),1,1)+1),"jjjjmmdd")</f>
        <v>19131104</v>
      </c>
      <c r="C309" s="5">
        <v>1</v>
      </c>
      <c r="D309" s="69" t="str">
        <f t="shared" ca="1" si="8"/>
        <v>—</v>
      </c>
      <c r="E309" s="10">
        <f t="shared" ca="1" si="9"/>
        <v>7</v>
      </c>
    </row>
    <row r="310" spans="1:5" x14ac:dyDescent="0.25">
      <c r="A310" s="4">
        <f ca="1">INDEX(Stations,INT((ROWS(A$2:A310)-1)/(DATE(YEAR(Invoer!$A$5),12,31)-DATE(YEAR(Invoer!$A$5),1,1)+1))+2,1)</f>
        <v>78989</v>
      </c>
      <c r="B310" t="str">
        <f ca="1">TEXT(DATE(YEAR(Invoer!$A$5),1,1)+MOD(ROWS(B$2:B310)-1,DATE(YEAR(Invoer!$A$5),12,31)-DATE(YEAR(Invoer!$A$5),1,1)+1),"jjjjmmdd")</f>
        <v>19131105</v>
      </c>
      <c r="C310" s="5">
        <v>1</v>
      </c>
      <c r="D310" s="69" t="str">
        <f t="shared" ca="1" si="8"/>
        <v>—</v>
      </c>
      <c r="E310" s="10">
        <f t="shared" ca="1" si="9"/>
        <v>7</v>
      </c>
    </row>
    <row r="311" spans="1:5" x14ac:dyDescent="0.25">
      <c r="A311" s="4">
        <f ca="1">INDEX(Stations,INT((ROWS(A$2:A311)-1)/(DATE(YEAR(Invoer!$A$5),12,31)-DATE(YEAR(Invoer!$A$5),1,1)+1))+2,1)</f>
        <v>78989</v>
      </c>
      <c r="B311" t="str">
        <f ca="1">TEXT(DATE(YEAR(Invoer!$A$5),1,1)+MOD(ROWS(B$2:B311)-1,DATE(YEAR(Invoer!$A$5),12,31)-DATE(YEAR(Invoer!$A$5),1,1)+1),"jjjjmmdd")</f>
        <v>19131106</v>
      </c>
      <c r="C311" s="5">
        <v>1</v>
      </c>
      <c r="D311" s="69" t="str">
        <f t="shared" ca="1" si="8"/>
        <v>—</v>
      </c>
      <c r="E311" s="10">
        <f t="shared" ca="1" si="9"/>
        <v>7</v>
      </c>
    </row>
    <row r="312" spans="1:5" x14ac:dyDescent="0.25">
      <c r="A312" s="4">
        <f ca="1">INDEX(Stations,INT((ROWS(A$2:A312)-1)/(DATE(YEAR(Invoer!$A$5),12,31)-DATE(YEAR(Invoer!$A$5),1,1)+1))+2,1)</f>
        <v>78989</v>
      </c>
      <c r="B312" t="str">
        <f ca="1">TEXT(DATE(YEAR(Invoer!$A$5),1,1)+MOD(ROWS(B$2:B312)-1,DATE(YEAR(Invoer!$A$5),12,31)-DATE(YEAR(Invoer!$A$5),1,1)+1),"jjjjmmdd")</f>
        <v>19131107</v>
      </c>
      <c r="C312" s="5">
        <v>1</v>
      </c>
      <c r="D312" s="69" t="str">
        <f t="shared" ca="1" si="8"/>
        <v>—</v>
      </c>
      <c r="E312" s="10">
        <f t="shared" ca="1" si="9"/>
        <v>7</v>
      </c>
    </row>
    <row r="313" spans="1:5" x14ac:dyDescent="0.25">
      <c r="A313" s="4">
        <f ca="1">INDEX(Stations,INT((ROWS(A$2:A313)-1)/(DATE(YEAR(Invoer!$A$5),12,31)-DATE(YEAR(Invoer!$A$5),1,1)+1))+2,1)</f>
        <v>78989</v>
      </c>
      <c r="B313" t="str">
        <f ca="1">TEXT(DATE(YEAR(Invoer!$A$5),1,1)+MOD(ROWS(B$2:B313)-1,DATE(YEAR(Invoer!$A$5),12,31)-DATE(YEAR(Invoer!$A$5),1,1)+1),"jjjjmmdd")</f>
        <v>19131108</v>
      </c>
      <c r="C313" s="5">
        <v>1</v>
      </c>
      <c r="D313" s="69" t="str">
        <f t="shared" ca="1" si="8"/>
        <v>—</v>
      </c>
      <c r="E313" s="10">
        <f t="shared" ca="1" si="9"/>
        <v>7</v>
      </c>
    </row>
    <row r="314" spans="1:5" x14ac:dyDescent="0.25">
      <c r="A314" s="4">
        <f ca="1">INDEX(Stations,INT((ROWS(A$2:A314)-1)/(DATE(YEAR(Invoer!$A$5),12,31)-DATE(YEAR(Invoer!$A$5),1,1)+1))+2,1)</f>
        <v>78989</v>
      </c>
      <c r="B314" t="str">
        <f ca="1">TEXT(DATE(YEAR(Invoer!$A$5),1,1)+MOD(ROWS(B$2:B314)-1,DATE(YEAR(Invoer!$A$5),12,31)-DATE(YEAR(Invoer!$A$5),1,1)+1),"jjjjmmdd")</f>
        <v>19131109</v>
      </c>
      <c r="C314" s="5">
        <v>1</v>
      </c>
      <c r="D314" s="69" t="str">
        <f t="shared" ca="1" si="8"/>
        <v>—</v>
      </c>
      <c r="E314" s="10">
        <f t="shared" ca="1" si="9"/>
        <v>7</v>
      </c>
    </row>
    <row r="315" spans="1:5" x14ac:dyDescent="0.25">
      <c r="A315" s="4">
        <f ca="1">INDEX(Stations,INT((ROWS(A$2:A315)-1)/(DATE(YEAR(Invoer!$A$5),12,31)-DATE(YEAR(Invoer!$A$5),1,1)+1))+2,1)</f>
        <v>78989</v>
      </c>
      <c r="B315" t="str">
        <f ca="1">TEXT(DATE(YEAR(Invoer!$A$5),1,1)+MOD(ROWS(B$2:B315)-1,DATE(YEAR(Invoer!$A$5),12,31)-DATE(YEAR(Invoer!$A$5),1,1)+1),"jjjjmmdd")</f>
        <v>19131110</v>
      </c>
      <c r="C315" s="5">
        <v>1</v>
      </c>
      <c r="D315" s="69" t="str">
        <f t="shared" ca="1" si="8"/>
        <v>—</v>
      </c>
      <c r="E315" s="10">
        <f t="shared" ca="1" si="9"/>
        <v>7</v>
      </c>
    </row>
    <row r="316" spans="1:5" x14ac:dyDescent="0.25">
      <c r="A316" s="4">
        <f ca="1">INDEX(Stations,INT((ROWS(A$2:A316)-1)/(DATE(YEAR(Invoer!$A$5),12,31)-DATE(YEAR(Invoer!$A$5),1,1)+1))+2,1)</f>
        <v>78989</v>
      </c>
      <c r="B316" t="str">
        <f ca="1">TEXT(DATE(YEAR(Invoer!$A$5),1,1)+MOD(ROWS(B$2:B316)-1,DATE(YEAR(Invoer!$A$5),12,31)-DATE(YEAR(Invoer!$A$5),1,1)+1),"jjjjmmdd")</f>
        <v>19131111</v>
      </c>
      <c r="C316" s="5">
        <v>1</v>
      </c>
      <c r="D316" s="69" t="str">
        <f t="shared" ca="1" si="8"/>
        <v>—</v>
      </c>
      <c r="E316" s="10">
        <f t="shared" ca="1" si="9"/>
        <v>7</v>
      </c>
    </row>
    <row r="317" spans="1:5" x14ac:dyDescent="0.25">
      <c r="A317" s="4">
        <f ca="1">INDEX(Stations,INT((ROWS(A$2:A317)-1)/(DATE(YEAR(Invoer!$A$5),12,31)-DATE(YEAR(Invoer!$A$5),1,1)+1))+2,1)</f>
        <v>78989</v>
      </c>
      <c r="B317" t="str">
        <f ca="1">TEXT(DATE(YEAR(Invoer!$A$5),1,1)+MOD(ROWS(B$2:B317)-1,DATE(YEAR(Invoer!$A$5),12,31)-DATE(YEAR(Invoer!$A$5),1,1)+1),"jjjjmmdd")</f>
        <v>19131112</v>
      </c>
      <c r="C317" s="5">
        <v>1</v>
      </c>
      <c r="D317" s="69" t="str">
        <f t="shared" ca="1" si="8"/>
        <v>—</v>
      </c>
      <c r="E317" s="10">
        <f t="shared" ca="1" si="9"/>
        <v>7</v>
      </c>
    </row>
    <row r="318" spans="1:5" x14ac:dyDescent="0.25">
      <c r="A318" s="4">
        <f ca="1">INDEX(Stations,INT((ROWS(A$2:A318)-1)/(DATE(YEAR(Invoer!$A$5),12,31)-DATE(YEAR(Invoer!$A$5),1,1)+1))+2,1)</f>
        <v>78989</v>
      </c>
      <c r="B318" t="str">
        <f ca="1">TEXT(DATE(YEAR(Invoer!$A$5),1,1)+MOD(ROWS(B$2:B318)-1,DATE(YEAR(Invoer!$A$5),12,31)-DATE(YEAR(Invoer!$A$5),1,1)+1),"jjjjmmdd")</f>
        <v>19131113</v>
      </c>
      <c r="C318" s="5">
        <v>1</v>
      </c>
      <c r="D318" s="69" t="str">
        <f t="shared" ca="1" si="8"/>
        <v>—</v>
      </c>
      <c r="E318" s="10">
        <f t="shared" ca="1" si="9"/>
        <v>7</v>
      </c>
    </row>
    <row r="319" spans="1:5" x14ac:dyDescent="0.25">
      <c r="A319" s="4">
        <f ca="1">INDEX(Stations,INT((ROWS(A$2:A319)-1)/(DATE(YEAR(Invoer!$A$5),12,31)-DATE(YEAR(Invoer!$A$5),1,1)+1))+2,1)</f>
        <v>78989</v>
      </c>
      <c r="B319" t="str">
        <f ca="1">TEXT(DATE(YEAR(Invoer!$A$5),1,1)+MOD(ROWS(B$2:B319)-1,DATE(YEAR(Invoer!$A$5),12,31)-DATE(YEAR(Invoer!$A$5),1,1)+1),"jjjjmmdd")</f>
        <v>19131114</v>
      </c>
      <c r="C319" s="5">
        <v>1</v>
      </c>
      <c r="D319" s="69" t="str">
        <f t="shared" ca="1" si="8"/>
        <v>—</v>
      </c>
      <c r="E319" s="10">
        <f t="shared" ca="1" si="9"/>
        <v>7</v>
      </c>
    </row>
    <row r="320" spans="1:5" x14ac:dyDescent="0.25">
      <c r="A320" s="4">
        <f ca="1">INDEX(Stations,INT((ROWS(A$2:A320)-1)/(DATE(YEAR(Invoer!$A$5),12,31)-DATE(YEAR(Invoer!$A$5),1,1)+1))+2,1)</f>
        <v>78989</v>
      </c>
      <c r="B320" t="str">
        <f ca="1">TEXT(DATE(YEAR(Invoer!$A$5),1,1)+MOD(ROWS(B$2:B320)-1,DATE(YEAR(Invoer!$A$5),12,31)-DATE(YEAR(Invoer!$A$5),1,1)+1),"jjjjmmdd")</f>
        <v>19131115</v>
      </c>
      <c r="C320" s="5">
        <v>1</v>
      </c>
      <c r="D320" s="69" t="str">
        <f t="shared" ca="1" si="8"/>
        <v>—</v>
      </c>
      <c r="E320" s="10">
        <f t="shared" ca="1" si="9"/>
        <v>7</v>
      </c>
    </row>
    <row r="321" spans="1:5" x14ac:dyDescent="0.25">
      <c r="A321" s="4">
        <f ca="1">INDEX(Stations,INT((ROWS(A$2:A321)-1)/(DATE(YEAR(Invoer!$A$5),12,31)-DATE(YEAR(Invoer!$A$5),1,1)+1))+2,1)</f>
        <v>78989</v>
      </c>
      <c r="B321" t="str">
        <f ca="1">TEXT(DATE(YEAR(Invoer!$A$5),1,1)+MOD(ROWS(B$2:B321)-1,DATE(YEAR(Invoer!$A$5),12,31)-DATE(YEAR(Invoer!$A$5),1,1)+1),"jjjjmmdd")</f>
        <v>19131116</v>
      </c>
      <c r="C321" s="5">
        <v>1</v>
      </c>
      <c r="D321" s="69" t="str">
        <f t="shared" ca="1" si="8"/>
        <v>—</v>
      </c>
      <c r="E321" s="10">
        <f t="shared" ca="1" si="9"/>
        <v>7</v>
      </c>
    </row>
    <row r="322" spans="1:5" x14ac:dyDescent="0.25">
      <c r="A322" s="4">
        <f ca="1">INDEX(Stations,INT((ROWS(A$2:A322)-1)/(DATE(YEAR(Invoer!$A$5),12,31)-DATE(YEAR(Invoer!$A$5),1,1)+1))+2,1)</f>
        <v>78989</v>
      </c>
      <c r="B322" t="str">
        <f ca="1">TEXT(DATE(YEAR(Invoer!$A$5),1,1)+MOD(ROWS(B$2:B322)-1,DATE(YEAR(Invoer!$A$5),12,31)-DATE(YEAR(Invoer!$A$5),1,1)+1),"jjjjmmdd")</f>
        <v>19131117</v>
      </c>
      <c r="C322" s="5">
        <v>1</v>
      </c>
      <c r="D322" s="69" t="str">
        <f t="shared" ref="D322:D366" ca="1" si="10">IF(OR(ISBLANK(VLOOKUP(DATEVALUE(LEFT(B322,4)&amp;"-"&amp;MID(B322,5,2)&amp;"-"&amp;RIGHT(B322,2)),Data,MATCH(LEFT(VLOOKUP(D$1,Parameters,2,FALSE()),3)&amp;"*",OFFSET(Data,0,0,1),0),FALSE())),AND(ISTEXT(VLOOKUP(DATEVALUE(LEFT(B322,4)&amp;"-"&amp;MID(B322,5,2)&amp;"-"&amp;RIGHT(B322,2)),Data,MATCH(LEFT(VLOOKUP(D$1,Parameters,2,FALSE()),3)&amp;"*",OFFSET(Data,0,0,1),0),FALSE())),NOT(EXACT(VLOOKUP(DATEVALUE(LEFT(B322,4)&amp;"-"&amp;MID(B322,5,2)&amp;"-"&amp;RIGHT(B322,2)),Data,MATCH(LEFT(VLOOKUP(D$1,Parameters,2,FALSE()),3)&amp;"*",OFFSET(Data,0,0,1),0),FALSE()),"T")))),"—",IF(ISTEXT(VLOOKUP(DATEVALUE(LEFT(B322,4)&amp;"-"&amp;MID(B322,5,2)&amp;"-"&amp;RIGHT(B322,2)),Data,MATCH(LEFT(VLOOKUP(D$1,Parameters,2,FALSE()),3)&amp;"*",OFFSET(Data,0,0,1),0),FALSE())),VLOOKUP(DATEVALUE(LEFT(B322,4)&amp;"-"&amp;MID(B322,5,2)&amp;"-"&amp;RIGHT(B322,2)),Data,MATCH(LEFT(VLOOKUP(D$1,Parameters,2,FALSE()),3)&amp;"*",OFFSET(Data,0,0,1),0),FALSE()),ROUND(0.254*VLOOKUP(DATEVALUE(LEFT(B322,4)&amp;"-"&amp;MID(B322,5,2)&amp;"-"&amp;RIGHT(B322,2)),Data,MATCH(LEFT(VLOOKUP(D$1,Parameters,2,FALSE()),3)&amp;"*",OFFSET(Data,0,0,1),0),FALSE()),1)))</f>
        <v>—</v>
      </c>
      <c r="E322" s="10">
        <f t="shared" ref="E322:E366" ca="1" si="11">IF(OR(ISBLANK(VLOOKUP(DATEVALUE(LEFT(B322,4)&amp;"-"&amp;MID(B322,5,2)&amp;"-"&amp;RIGHT(B322,2)),Data,MATCH(LEFT(VLOOKUP(MID(E$1,2,LEN(E$1)-1),Parameters,2,FALSE()),3)&amp;"*",OFFSET(Data,0,0,1),0),FALSE())),AND(ISTEXT(VLOOKUP(DATEVALUE(LEFT(B322,4)&amp;"-"&amp;MID(B322,5,2)&amp;"-"&amp;RIGHT(B322,2)),Data,MATCH(LEFT(VLOOKUP(MID(E$1,2,LEN(E$1)-1),Parameters,2,FALSE()),3)&amp;"*",OFFSET(Data,0,0,1),0),FALSE())),NOT(EXACT(VLOOKUP(DATEVALUE(LEFT(B322,4)&amp;"-"&amp;MID(B322,5,2)&amp;"-"&amp;RIGHT(B322,2)),Data,MATCH(LEFT(VLOOKUP(MID(E$1,2,LEN(E$1)-1),Parameters,2,FALSE()),3)&amp;"*",OFFSET(Data,0,0,1),0),FALSE()),"T")))),Lacking,IF(ISNA(MATCH(DATEVALUE(LEFT(B322,4)&amp;"-"&amp;MID(B322,5,2)&amp;"-"&amp;RIGHT(B322,2)),OFFSET(Catalogus,0,0,,1),0)),Ok,VLOOKUP(DATEVALUE(LEFT(B322,4)&amp;"-"&amp;MID(B322,5,2)&amp;"-"&amp;RIGHT(B322,2)),Catalogus,MATCH(LEFT(VLOOKUP(MID(E$1,2,LEN(E$1)-1),Parameters,2,FALSE()),3)&amp;"*",OFFSET(Catalogus,0,0,1),0),FALSE())))</f>
        <v>7</v>
      </c>
    </row>
    <row r="323" spans="1:5" x14ac:dyDescent="0.25">
      <c r="A323" s="4">
        <f ca="1">INDEX(Stations,INT((ROWS(A$2:A323)-1)/(DATE(YEAR(Invoer!$A$5),12,31)-DATE(YEAR(Invoer!$A$5),1,1)+1))+2,1)</f>
        <v>78989</v>
      </c>
      <c r="B323" t="str">
        <f ca="1">TEXT(DATE(YEAR(Invoer!$A$5),1,1)+MOD(ROWS(B$2:B323)-1,DATE(YEAR(Invoer!$A$5),12,31)-DATE(YEAR(Invoer!$A$5),1,1)+1),"jjjjmmdd")</f>
        <v>19131118</v>
      </c>
      <c r="C323" s="5">
        <v>1</v>
      </c>
      <c r="D323" s="69" t="str">
        <f t="shared" ca="1" si="10"/>
        <v>—</v>
      </c>
      <c r="E323" s="10">
        <f t="shared" ca="1" si="11"/>
        <v>7</v>
      </c>
    </row>
    <row r="324" spans="1:5" x14ac:dyDescent="0.25">
      <c r="A324" s="4">
        <f ca="1">INDEX(Stations,INT((ROWS(A$2:A324)-1)/(DATE(YEAR(Invoer!$A$5),12,31)-DATE(YEAR(Invoer!$A$5),1,1)+1))+2,1)</f>
        <v>78989</v>
      </c>
      <c r="B324" t="str">
        <f ca="1">TEXT(DATE(YEAR(Invoer!$A$5),1,1)+MOD(ROWS(B$2:B324)-1,DATE(YEAR(Invoer!$A$5),12,31)-DATE(YEAR(Invoer!$A$5),1,1)+1),"jjjjmmdd")</f>
        <v>19131119</v>
      </c>
      <c r="C324" s="5">
        <v>1</v>
      </c>
      <c r="D324" s="69" t="str">
        <f t="shared" ca="1" si="10"/>
        <v>—</v>
      </c>
      <c r="E324" s="10">
        <f t="shared" ca="1" si="11"/>
        <v>7</v>
      </c>
    </row>
    <row r="325" spans="1:5" x14ac:dyDescent="0.25">
      <c r="A325" s="4">
        <f ca="1">INDEX(Stations,INT((ROWS(A$2:A325)-1)/(DATE(YEAR(Invoer!$A$5),12,31)-DATE(YEAR(Invoer!$A$5),1,1)+1))+2,1)</f>
        <v>78989</v>
      </c>
      <c r="B325" t="str">
        <f ca="1">TEXT(DATE(YEAR(Invoer!$A$5),1,1)+MOD(ROWS(B$2:B325)-1,DATE(YEAR(Invoer!$A$5),12,31)-DATE(YEAR(Invoer!$A$5),1,1)+1),"jjjjmmdd")</f>
        <v>19131120</v>
      </c>
      <c r="C325" s="5">
        <v>1</v>
      </c>
      <c r="D325" s="69" t="str">
        <f t="shared" ca="1" si="10"/>
        <v>—</v>
      </c>
      <c r="E325" s="10">
        <f t="shared" ca="1" si="11"/>
        <v>7</v>
      </c>
    </row>
    <row r="326" spans="1:5" x14ac:dyDescent="0.25">
      <c r="A326" s="4">
        <f ca="1">INDEX(Stations,INT((ROWS(A$2:A326)-1)/(DATE(YEAR(Invoer!$A$5),12,31)-DATE(YEAR(Invoer!$A$5),1,1)+1))+2,1)</f>
        <v>78989</v>
      </c>
      <c r="B326" t="str">
        <f ca="1">TEXT(DATE(YEAR(Invoer!$A$5),1,1)+MOD(ROWS(B$2:B326)-1,DATE(YEAR(Invoer!$A$5),12,31)-DATE(YEAR(Invoer!$A$5),1,1)+1),"jjjjmmdd")</f>
        <v>19131121</v>
      </c>
      <c r="C326" s="5">
        <v>1</v>
      </c>
      <c r="D326" s="69" t="str">
        <f t="shared" ca="1" si="10"/>
        <v>—</v>
      </c>
      <c r="E326" s="10">
        <f t="shared" ca="1" si="11"/>
        <v>7</v>
      </c>
    </row>
    <row r="327" spans="1:5" x14ac:dyDescent="0.25">
      <c r="A327" s="4">
        <f ca="1">INDEX(Stations,INT((ROWS(A$2:A327)-1)/(DATE(YEAR(Invoer!$A$5),12,31)-DATE(YEAR(Invoer!$A$5),1,1)+1))+2,1)</f>
        <v>78989</v>
      </c>
      <c r="B327" t="str">
        <f ca="1">TEXT(DATE(YEAR(Invoer!$A$5),1,1)+MOD(ROWS(B$2:B327)-1,DATE(YEAR(Invoer!$A$5),12,31)-DATE(YEAR(Invoer!$A$5),1,1)+1),"jjjjmmdd")</f>
        <v>19131122</v>
      </c>
      <c r="C327" s="5">
        <v>1</v>
      </c>
      <c r="D327" s="69" t="str">
        <f t="shared" ca="1" si="10"/>
        <v>—</v>
      </c>
      <c r="E327" s="10">
        <f t="shared" ca="1" si="11"/>
        <v>7</v>
      </c>
    </row>
    <row r="328" spans="1:5" x14ac:dyDescent="0.25">
      <c r="A328" s="4">
        <f ca="1">INDEX(Stations,INT((ROWS(A$2:A328)-1)/(DATE(YEAR(Invoer!$A$5),12,31)-DATE(YEAR(Invoer!$A$5),1,1)+1))+2,1)</f>
        <v>78989</v>
      </c>
      <c r="B328" t="str">
        <f ca="1">TEXT(DATE(YEAR(Invoer!$A$5),1,1)+MOD(ROWS(B$2:B328)-1,DATE(YEAR(Invoer!$A$5),12,31)-DATE(YEAR(Invoer!$A$5),1,1)+1),"jjjjmmdd")</f>
        <v>19131123</v>
      </c>
      <c r="C328" s="5">
        <v>1</v>
      </c>
      <c r="D328" s="69" t="str">
        <f t="shared" ca="1" si="10"/>
        <v>—</v>
      </c>
      <c r="E328" s="10">
        <f t="shared" ca="1" si="11"/>
        <v>7</v>
      </c>
    </row>
    <row r="329" spans="1:5" x14ac:dyDescent="0.25">
      <c r="A329" s="4">
        <f ca="1">INDEX(Stations,INT((ROWS(A$2:A329)-1)/(DATE(YEAR(Invoer!$A$5),12,31)-DATE(YEAR(Invoer!$A$5),1,1)+1))+2,1)</f>
        <v>78989</v>
      </c>
      <c r="B329" t="str">
        <f ca="1">TEXT(DATE(YEAR(Invoer!$A$5),1,1)+MOD(ROWS(B$2:B329)-1,DATE(YEAR(Invoer!$A$5),12,31)-DATE(YEAR(Invoer!$A$5),1,1)+1),"jjjjmmdd")</f>
        <v>19131124</v>
      </c>
      <c r="C329" s="5">
        <v>1</v>
      </c>
      <c r="D329" s="69" t="str">
        <f t="shared" ca="1" si="10"/>
        <v>—</v>
      </c>
      <c r="E329" s="10">
        <f t="shared" ca="1" si="11"/>
        <v>7</v>
      </c>
    </row>
    <row r="330" spans="1:5" x14ac:dyDescent="0.25">
      <c r="A330" s="4">
        <f ca="1">INDEX(Stations,INT((ROWS(A$2:A330)-1)/(DATE(YEAR(Invoer!$A$5),12,31)-DATE(YEAR(Invoer!$A$5),1,1)+1))+2,1)</f>
        <v>78989</v>
      </c>
      <c r="B330" t="str">
        <f ca="1">TEXT(DATE(YEAR(Invoer!$A$5),1,1)+MOD(ROWS(B$2:B330)-1,DATE(YEAR(Invoer!$A$5),12,31)-DATE(YEAR(Invoer!$A$5),1,1)+1),"jjjjmmdd")</f>
        <v>19131125</v>
      </c>
      <c r="C330" s="5">
        <v>1</v>
      </c>
      <c r="D330" s="69" t="str">
        <f t="shared" ca="1" si="10"/>
        <v>—</v>
      </c>
      <c r="E330" s="10">
        <f t="shared" ca="1" si="11"/>
        <v>7</v>
      </c>
    </row>
    <row r="331" spans="1:5" x14ac:dyDescent="0.25">
      <c r="A331" s="4">
        <f ca="1">INDEX(Stations,INT((ROWS(A$2:A331)-1)/(DATE(YEAR(Invoer!$A$5),12,31)-DATE(YEAR(Invoer!$A$5),1,1)+1))+2,1)</f>
        <v>78989</v>
      </c>
      <c r="B331" t="str">
        <f ca="1">TEXT(DATE(YEAR(Invoer!$A$5),1,1)+MOD(ROWS(B$2:B331)-1,DATE(YEAR(Invoer!$A$5),12,31)-DATE(YEAR(Invoer!$A$5),1,1)+1),"jjjjmmdd")</f>
        <v>19131126</v>
      </c>
      <c r="C331" s="5">
        <v>1</v>
      </c>
      <c r="D331" s="69" t="str">
        <f t="shared" ca="1" si="10"/>
        <v>—</v>
      </c>
      <c r="E331" s="10">
        <f t="shared" ca="1" si="11"/>
        <v>7</v>
      </c>
    </row>
    <row r="332" spans="1:5" x14ac:dyDescent="0.25">
      <c r="A332" s="4">
        <f ca="1">INDEX(Stations,INT((ROWS(A$2:A332)-1)/(DATE(YEAR(Invoer!$A$5),12,31)-DATE(YEAR(Invoer!$A$5),1,1)+1))+2,1)</f>
        <v>78989</v>
      </c>
      <c r="B332" t="str">
        <f ca="1">TEXT(DATE(YEAR(Invoer!$A$5),1,1)+MOD(ROWS(B$2:B332)-1,DATE(YEAR(Invoer!$A$5),12,31)-DATE(YEAR(Invoer!$A$5),1,1)+1),"jjjjmmdd")</f>
        <v>19131127</v>
      </c>
      <c r="C332" s="5">
        <v>1</v>
      </c>
      <c r="D332" s="69" t="str">
        <f t="shared" ca="1" si="10"/>
        <v>—</v>
      </c>
      <c r="E332" s="10">
        <f t="shared" ca="1" si="11"/>
        <v>7</v>
      </c>
    </row>
    <row r="333" spans="1:5" x14ac:dyDescent="0.25">
      <c r="A333" s="4">
        <f ca="1">INDEX(Stations,INT((ROWS(A$2:A333)-1)/(DATE(YEAR(Invoer!$A$5),12,31)-DATE(YEAR(Invoer!$A$5),1,1)+1))+2,1)</f>
        <v>78989</v>
      </c>
      <c r="B333" t="str">
        <f ca="1">TEXT(DATE(YEAR(Invoer!$A$5),1,1)+MOD(ROWS(B$2:B333)-1,DATE(YEAR(Invoer!$A$5),12,31)-DATE(YEAR(Invoer!$A$5),1,1)+1),"jjjjmmdd")</f>
        <v>19131128</v>
      </c>
      <c r="C333" s="5">
        <v>1</v>
      </c>
      <c r="D333" s="69" t="str">
        <f t="shared" ca="1" si="10"/>
        <v>—</v>
      </c>
      <c r="E333" s="10">
        <f t="shared" ca="1" si="11"/>
        <v>7</v>
      </c>
    </row>
    <row r="334" spans="1:5" x14ac:dyDescent="0.25">
      <c r="A334" s="4">
        <f ca="1">INDEX(Stations,INT((ROWS(A$2:A334)-1)/(DATE(YEAR(Invoer!$A$5),12,31)-DATE(YEAR(Invoer!$A$5),1,1)+1))+2,1)</f>
        <v>78989</v>
      </c>
      <c r="B334" t="str">
        <f ca="1">TEXT(DATE(YEAR(Invoer!$A$5),1,1)+MOD(ROWS(B$2:B334)-1,DATE(YEAR(Invoer!$A$5),12,31)-DATE(YEAR(Invoer!$A$5),1,1)+1),"jjjjmmdd")</f>
        <v>19131129</v>
      </c>
      <c r="C334" s="5">
        <v>1</v>
      </c>
      <c r="D334" s="69" t="str">
        <f t="shared" ca="1" si="10"/>
        <v>—</v>
      </c>
      <c r="E334" s="10">
        <f t="shared" ca="1" si="11"/>
        <v>7</v>
      </c>
    </row>
    <row r="335" spans="1:5" x14ac:dyDescent="0.25">
      <c r="A335" s="4">
        <f ca="1">INDEX(Stations,INT((ROWS(A$2:A335)-1)/(DATE(YEAR(Invoer!$A$5),12,31)-DATE(YEAR(Invoer!$A$5),1,1)+1))+2,1)</f>
        <v>78989</v>
      </c>
      <c r="B335" t="str">
        <f ca="1">TEXT(DATE(YEAR(Invoer!$A$5),1,1)+MOD(ROWS(B$2:B335)-1,DATE(YEAR(Invoer!$A$5),12,31)-DATE(YEAR(Invoer!$A$5),1,1)+1),"jjjjmmdd")</f>
        <v>19131130</v>
      </c>
      <c r="C335" s="5">
        <v>1</v>
      </c>
      <c r="D335" s="69" t="str">
        <f t="shared" ca="1" si="10"/>
        <v>—</v>
      </c>
      <c r="E335" s="10">
        <f t="shared" ca="1" si="11"/>
        <v>7</v>
      </c>
    </row>
    <row r="336" spans="1:5" x14ac:dyDescent="0.25">
      <c r="A336" s="4">
        <f ca="1">INDEX(Stations,INT((ROWS(A$2:A336)-1)/(DATE(YEAR(Invoer!$A$5),12,31)-DATE(YEAR(Invoer!$A$5),1,1)+1))+2,1)</f>
        <v>78989</v>
      </c>
      <c r="B336" t="str">
        <f ca="1">TEXT(DATE(YEAR(Invoer!$A$5),1,1)+MOD(ROWS(B$2:B336)-1,DATE(YEAR(Invoer!$A$5),12,31)-DATE(YEAR(Invoer!$A$5),1,1)+1),"jjjjmmdd")</f>
        <v>19131201</v>
      </c>
      <c r="C336" s="5">
        <v>1</v>
      </c>
      <c r="D336" s="69" t="str">
        <f t="shared" ca="1" si="10"/>
        <v>—</v>
      </c>
      <c r="E336" s="10">
        <f t="shared" ca="1" si="11"/>
        <v>7</v>
      </c>
    </row>
    <row r="337" spans="1:5" x14ac:dyDescent="0.25">
      <c r="A337" s="4">
        <f ca="1">INDEX(Stations,INT((ROWS(A$2:A337)-1)/(DATE(YEAR(Invoer!$A$5),12,31)-DATE(YEAR(Invoer!$A$5),1,1)+1))+2,1)</f>
        <v>78989</v>
      </c>
      <c r="B337" t="str">
        <f ca="1">TEXT(DATE(YEAR(Invoer!$A$5),1,1)+MOD(ROWS(B$2:B337)-1,DATE(YEAR(Invoer!$A$5),12,31)-DATE(YEAR(Invoer!$A$5),1,1)+1),"jjjjmmdd")</f>
        <v>19131202</v>
      </c>
      <c r="C337" s="5">
        <v>1</v>
      </c>
      <c r="D337" s="69" t="str">
        <f t="shared" ca="1" si="10"/>
        <v>—</v>
      </c>
      <c r="E337" s="10">
        <f t="shared" ca="1" si="11"/>
        <v>7</v>
      </c>
    </row>
    <row r="338" spans="1:5" x14ac:dyDescent="0.25">
      <c r="A338" s="4">
        <f ca="1">INDEX(Stations,INT((ROWS(A$2:A338)-1)/(DATE(YEAR(Invoer!$A$5),12,31)-DATE(YEAR(Invoer!$A$5),1,1)+1))+2,1)</f>
        <v>78989</v>
      </c>
      <c r="B338" t="str">
        <f ca="1">TEXT(DATE(YEAR(Invoer!$A$5),1,1)+MOD(ROWS(B$2:B338)-1,DATE(YEAR(Invoer!$A$5),12,31)-DATE(YEAR(Invoer!$A$5),1,1)+1),"jjjjmmdd")</f>
        <v>19131203</v>
      </c>
      <c r="C338" s="5">
        <v>1</v>
      </c>
      <c r="D338" s="69" t="str">
        <f t="shared" ca="1" si="10"/>
        <v>—</v>
      </c>
      <c r="E338" s="10">
        <f t="shared" ca="1" si="11"/>
        <v>7</v>
      </c>
    </row>
    <row r="339" spans="1:5" x14ac:dyDescent="0.25">
      <c r="A339" s="4">
        <f ca="1">INDEX(Stations,INT((ROWS(A$2:A339)-1)/(DATE(YEAR(Invoer!$A$5),12,31)-DATE(YEAR(Invoer!$A$5),1,1)+1))+2,1)</f>
        <v>78989</v>
      </c>
      <c r="B339" t="str">
        <f ca="1">TEXT(DATE(YEAR(Invoer!$A$5),1,1)+MOD(ROWS(B$2:B339)-1,DATE(YEAR(Invoer!$A$5),12,31)-DATE(YEAR(Invoer!$A$5),1,1)+1),"jjjjmmdd")</f>
        <v>19131204</v>
      </c>
      <c r="C339" s="5">
        <v>1</v>
      </c>
      <c r="D339" s="69" t="str">
        <f t="shared" ca="1" si="10"/>
        <v>—</v>
      </c>
      <c r="E339" s="10">
        <f t="shared" ca="1" si="11"/>
        <v>7</v>
      </c>
    </row>
    <row r="340" spans="1:5" x14ac:dyDescent="0.25">
      <c r="A340" s="4">
        <f ca="1">INDEX(Stations,INT((ROWS(A$2:A340)-1)/(DATE(YEAR(Invoer!$A$5),12,31)-DATE(YEAR(Invoer!$A$5),1,1)+1))+2,1)</f>
        <v>78989</v>
      </c>
      <c r="B340" t="str">
        <f ca="1">TEXT(DATE(YEAR(Invoer!$A$5),1,1)+MOD(ROWS(B$2:B340)-1,DATE(YEAR(Invoer!$A$5),12,31)-DATE(YEAR(Invoer!$A$5),1,1)+1),"jjjjmmdd")</f>
        <v>19131205</v>
      </c>
      <c r="C340" s="5">
        <v>1</v>
      </c>
      <c r="D340" s="69" t="str">
        <f t="shared" ca="1" si="10"/>
        <v>—</v>
      </c>
      <c r="E340" s="10">
        <f t="shared" ca="1" si="11"/>
        <v>7</v>
      </c>
    </row>
    <row r="341" spans="1:5" x14ac:dyDescent="0.25">
      <c r="A341" s="4">
        <f ca="1">INDEX(Stations,INT((ROWS(A$2:A341)-1)/(DATE(YEAR(Invoer!$A$5),12,31)-DATE(YEAR(Invoer!$A$5),1,1)+1))+2,1)</f>
        <v>78989</v>
      </c>
      <c r="B341" t="str">
        <f ca="1">TEXT(DATE(YEAR(Invoer!$A$5),1,1)+MOD(ROWS(B$2:B341)-1,DATE(YEAR(Invoer!$A$5),12,31)-DATE(YEAR(Invoer!$A$5),1,1)+1),"jjjjmmdd")</f>
        <v>19131206</v>
      </c>
      <c r="C341" s="5">
        <v>1</v>
      </c>
      <c r="D341" s="69" t="str">
        <f t="shared" ca="1" si="10"/>
        <v>—</v>
      </c>
      <c r="E341" s="10">
        <f t="shared" ca="1" si="11"/>
        <v>7</v>
      </c>
    </row>
    <row r="342" spans="1:5" x14ac:dyDescent="0.25">
      <c r="A342" s="4">
        <f ca="1">INDEX(Stations,INT((ROWS(A$2:A342)-1)/(DATE(YEAR(Invoer!$A$5),12,31)-DATE(YEAR(Invoer!$A$5),1,1)+1))+2,1)</f>
        <v>78989</v>
      </c>
      <c r="B342" t="str">
        <f ca="1">TEXT(DATE(YEAR(Invoer!$A$5),1,1)+MOD(ROWS(B$2:B342)-1,DATE(YEAR(Invoer!$A$5),12,31)-DATE(YEAR(Invoer!$A$5),1,1)+1),"jjjjmmdd")</f>
        <v>19131207</v>
      </c>
      <c r="C342" s="5">
        <v>1</v>
      </c>
      <c r="D342" s="69" t="str">
        <f t="shared" ca="1" si="10"/>
        <v>—</v>
      </c>
      <c r="E342" s="10">
        <f t="shared" ca="1" si="11"/>
        <v>7</v>
      </c>
    </row>
    <row r="343" spans="1:5" x14ac:dyDescent="0.25">
      <c r="A343" s="4">
        <f ca="1">INDEX(Stations,INT((ROWS(A$2:A343)-1)/(DATE(YEAR(Invoer!$A$5),12,31)-DATE(YEAR(Invoer!$A$5),1,1)+1))+2,1)</f>
        <v>78989</v>
      </c>
      <c r="B343" t="str">
        <f ca="1">TEXT(DATE(YEAR(Invoer!$A$5),1,1)+MOD(ROWS(B$2:B343)-1,DATE(YEAR(Invoer!$A$5),12,31)-DATE(YEAR(Invoer!$A$5),1,1)+1),"jjjjmmdd")</f>
        <v>19131208</v>
      </c>
      <c r="C343" s="5">
        <v>1</v>
      </c>
      <c r="D343" s="69" t="str">
        <f t="shared" ca="1" si="10"/>
        <v>—</v>
      </c>
      <c r="E343" s="10">
        <f t="shared" ca="1" si="11"/>
        <v>7</v>
      </c>
    </row>
    <row r="344" spans="1:5" x14ac:dyDescent="0.25">
      <c r="A344" s="4">
        <f ca="1">INDEX(Stations,INT((ROWS(A$2:A344)-1)/(DATE(YEAR(Invoer!$A$5),12,31)-DATE(YEAR(Invoer!$A$5),1,1)+1))+2,1)</f>
        <v>78989</v>
      </c>
      <c r="B344" t="str">
        <f ca="1">TEXT(DATE(YEAR(Invoer!$A$5),1,1)+MOD(ROWS(B$2:B344)-1,DATE(YEAR(Invoer!$A$5),12,31)-DATE(YEAR(Invoer!$A$5),1,1)+1),"jjjjmmdd")</f>
        <v>19131209</v>
      </c>
      <c r="C344" s="5">
        <v>1</v>
      </c>
      <c r="D344" s="69" t="str">
        <f t="shared" ca="1" si="10"/>
        <v>—</v>
      </c>
      <c r="E344" s="10">
        <f t="shared" ca="1" si="11"/>
        <v>7</v>
      </c>
    </row>
    <row r="345" spans="1:5" x14ac:dyDescent="0.25">
      <c r="A345" s="4">
        <f ca="1">INDEX(Stations,INT((ROWS(A$2:A345)-1)/(DATE(YEAR(Invoer!$A$5),12,31)-DATE(YEAR(Invoer!$A$5),1,1)+1))+2,1)</f>
        <v>78989</v>
      </c>
      <c r="B345" t="str">
        <f ca="1">TEXT(DATE(YEAR(Invoer!$A$5),1,1)+MOD(ROWS(B$2:B345)-1,DATE(YEAR(Invoer!$A$5),12,31)-DATE(YEAR(Invoer!$A$5),1,1)+1),"jjjjmmdd")</f>
        <v>19131210</v>
      </c>
      <c r="C345" s="5">
        <v>1</v>
      </c>
      <c r="D345" s="69" t="str">
        <f t="shared" ca="1" si="10"/>
        <v>—</v>
      </c>
      <c r="E345" s="10">
        <f t="shared" ca="1" si="11"/>
        <v>7</v>
      </c>
    </row>
    <row r="346" spans="1:5" x14ac:dyDescent="0.25">
      <c r="A346" s="4">
        <f ca="1">INDEX(Stations,INT((ROWS(A$2:A346)-1)/(DATE(YEAR(Invoer!$A$5),12,31)-DATE(YEAR(Invoer!$A$5),1,1)+1))+2,1)</f>
        <v>78989</v>
      </c>
      <c r="B346" t="str">
        <f ca="1">TEXT(DATE(YEAR(Invoer!$A$5),1,1)+MOD(ROWS(B$2:B346)-1,DATE(YEAR(Invoer!$A$5),12,31)-DATE(YEAR(Invoer!$A$5),1,1)+1),"jjjjmmdd")</f>
        <v>19131211</v>
      </c>
      <c r="C346" s="5">
        <v>1</v>
      </c>
      <c r="D346" s="69" t="str">
        <f t="shared" ca="1" si="10"/>
        <v>—</v>
      </c>
      <c r="E346" s="10">
        <f t="shared" ca="1" si="11"/>
        <v>7</v>
      </c>
    </row>
    <row r="347" spans="1:5" x14ac:dyDescent="0.25">
      <c r="A347" s="4">
        <f ca="1">INDEX(Stations,INT((ROWS(A$2:A347)-1)/(DATE(YEAR(Invoer!$A$5),12,31)-DATE(YEAR(Invoer!$A$5),1,1)+1))+2,1)</f>
        <v>78989</v>
      </c>
      <c r="B347" t="str">
        <f ca="1">TEXT(DATE(YEAR(Invoer!$A$5),1,1)+MOD(ROWS(B$2:B347)-1,DATE(YEAR(Invoer!$A$5),12,31)-DATE(YEAR(Invoer!$A$5),1,1)+1),"jjjjmmdd")</f>
        <v>19131212</v>
      </c>
      <c r="C347" s="5">
        <v>1</v>
      </c>
      <c r="D347" s="69" t="str">
        <f t="shared" ca="1" si="10"/>
        <v>—</v>
      </c>
      <c r="E347" s="10">
        <f t="shared" ca="1" si="11"/>
        <v>7</v>
      </c>
    </row>
    <row r="348" spans="1:5" x14ac:dyDescent="0.25">
      <c r="A348" s="4">
        <f ca="1">INDEX(Stations,INT((ROWS(A$2:A348)-1)/(DATE(YEAR(Invoer!$A$5),12,31)-DATE(YEAR(Invoer!$A$5),1,1)+1))+2,1)</f>
        <v>78989</v>
      </c>
      <c r="B348" t="str">
        <f ca="1">TEXT(DATE(YEAR(Invoer!$A$5),1,1)+MOD(ROWS(B$2:B348)-1,DATE(YEAR(Invoer!$A$5),12,31)-DATE(YEAR(Invoer!$A$5),1,1)+1),"jjjjmmdd")</f>
        <v>19131213</v>
      </c>
      <c r="C348" s="5">
        <v>1</v>
      </c>
      <c r="D348" s="69" t="str">
        <f t="shared" ca="1" si="10"/>
        <v>—</v>
      </c>
      <c r="E348" s="10">
        <f t="shared" ca="1" si="11"/>
        <v>7</v>
      </c>
    </row>
    <row r="349" spans="1:5" x14ac:dyDescent="0.25">
      <c r="A349" s="4">
        <f ca="1">INDEX(Stations,INT((ROWS(A$2:A349)-1)/(DATE(YEAR(Invoer!$A$5),12,31)-DATE(YEAR(Invoer!$A$5),1,1)+1))+2,1)</f>
        <v>78989</v>
      </c>
      <c r="B349" t="str">
        <f ca="1">TEXT(DATE(YEAR(Invoer!$A$5),1,1)+MOD(ROWS(B$2:B349)-1,DATE(YEAR(Invoer!$A$5),12,31)-DATE(YEAR(Invoer!$A$5),1,1)+1),"jjjjmmdd")</f>
        <v>19131214</v>
      </c>
      <c r="C349" s="5">
        <v>1</v>
      </c>
      <c r="D349" s="69" t="str">
        <f t="shared" ca="1" si="10"/>
        <v>—</v>
      </c>
      <c r="E349" s="10">
        <f t="shared" ca="1" si="11"/>
        <v>7</v>
      </c>
    </row>
    <row r="350" spans="1:5" x14ac:dyDescent="0.25">
      <c r="A350" s="4">
        <f ca="1">INDEX(Stations,INT((ROWS(A$2:A350)-1)/(DATE(YEAR(Invoer!$A$5),12,31)-DATE(YEAR(Invoer!$A$5),1,1)+1))+2,1)</f>
        <v>78989</v>
      </c>
      <c r="B350" t="str">
        <f ca="1">TEXT(DATE(YEAR(Invoer!$A$5),1,1)+MOD(ROWS(B$2:B350)-1,DATE(YEAR(Invoer!$A$5),12,31)-DATE(YEAR(Invoer!$A$5),1,1)+1),"jjjjmmdd")</f>
        <v>19131215</v>
      </c>
      <c r="C350" s="5">
        <v>1</v>
      </c>
      <c r="D350" s="69" t="str">
        <f t="shared" ca="1" si="10"/>
        <v>—</v>
      </c>
      <c r="E350" s="10">
        <f t="shared" ca="1" si="11"/>
        <v>7</v>
      </c>
    </row>
    <row r="351" spans="1:5" x14ac:dyDescent="0.25">
      <c r="A351" s="4">
        <f ca="1">INDEX(Stations,INT((ROWS(A$2:A351)-1)/(DATE(YEAR(Invoer!$A$5),12,31)-DATE(YEAR(Invoer!$A$5),1,1)+1))+2,1)</f>
        <v>78989</v>
      </c>
      <c r="B351" t="str">
        <f ca="1">TEXT(DATE(YEAR(Invoer!$A$5),1,1)+MOD(ROWS(B$2:B351)-1,DATE(YEAR(Invoer!$A$5),12,31)-DATE(YEAR(Invoer!$A$5),1,1)+1),"jjjjmmdd")</f>
        <v>19131216</v>
      </c>
      <c r="C351" s="5">
        <v>1</v>
      </c>
      <c r="D351" s="69" t="str">
        <f t="shared" ca="1" si="10"/>
        <v>—</v>
      </c>
      <c r="E351" s="10">
        <f t="shared" ca="1" si="11"/>
        <v>7</v>
      </c>
    </row>
    <row r="352" spans="1:5" x14ac:dyDescent="0.25">
      <c r="A352" s="4">
        <f ca="1">INDEX(Stations,INT((ROWS(A$2:A352)-1)/(DATE(YEAR(Invoer!$A$5),12,31)-DATE(YEAR(Invoer!$A$5),1,1)+1))+2,1)</f>
        <v>78989</v>
      </c>
      <c r="B352" t="str">
        <f ca="1">TEXT(DATE(YEAR(Invoer!$A$5),1,1)+MOD(ROWS(B$2:B352)-1,DATE(YEAR(Invoer!$A$5),12,31)-DATE(YEAR(Invoer!$A$5),1,1)+1),"jjjjmmdd")</f>
        <v>19131217</v>
      </c>
      <c r="C352" s="5">
        <v>1</v>
      </c>
      <c r="D352" s="69" t="str">
        <f t="shared" ca="1" si="10"/>
        <v>—</v>
      </c>
      <c r="E352" s="10">
        <f t="shared" ca="1" si="11"/>
        <v>7</v>
      </c>
    </row>
    <row r="353" spans="1:5" x14ac:dyDescent="0.25">
      <c r="A353" s="4">
        <f ca="1">INDEX(Stations,INT((ROWS(A$2:A353)-1)/(DATE(YEAR(Invoer!$A$5),12,31)-DATE(YEAR(Invoer!$A$5),1,1)+1))+2,1)</f>
        <v>78989</v>
      </c>
      <c r="B353" t="str">
        <f ca="1">TEXT(DATE(YEAR(Invoer!$A$5),1,1)+MOD(ROWS(B$2:B353)-1,DATE(YEAR(Invoer!$A$5),12,31)-DATE(YEAR(Invoer!$A$5),1,1)+1),"jjjjmmdd")</f>
        <v>19131218</v>
      </c>
      <c r="C353" s="5">
        <v>1</v>
      </c>
      <c r="D353" s="69" t="str">
        <f t="shared" ca="1" si="10"/>
        <v>—</v>
      </c>
      <c r="E353" s="10">
        <f t="shared" ca="1" si="11"/>
        <v>7</v>
      </c>
    </row>
    <row r="354" spans="1:5" x14ac:dyDescent="0.25">
      <c r="A354" s="4">
        <f ca="1">INDEX(Stations,INT((ROWS(A$2:A354)-1)/(DATE(YEAR(Invoer!$A$5),12,31)-DATE(YEAR(Invoer!$A$5),1,1)+1))+2,1)</f>
        <v>78989</v>
      </c>
      <c r="B354" t="str">
        <f ca="1">TEXT(DATE(YEAR(Invoer!$A$5),1,1)+MOD(ROWS(B$2:B354)-1,DATE(YEAR(Invoer!$A$5),12,31)-DATE(YEAR(Invoer!$A$5),1,1)+1),"jjjjmmdd")</f>
        <v>19131219</v>
      </c>
      <c r="C354" s="5">
        <v>1</v>
      </c>
      <c r="D354" s="69" t="str">
        <f t="shared" ca="1" si="10"/>
        <v>—</v>
      </c>
      <c r="E354" s="10">
        <f t="shared" ca="1" si="11"/>
        <v>7</v>
      </c>
    </row>
    <row r="355" spans="1:5" x14ac:dyDescent="0.25">
      <c r="A355" s="4">
        <f ca="1">INDEX(Stations,INT((ROWS(A$2:A355)-1)/(DATE(YEAR(Invoer!$A$5),12,31)-DATE(YEAR(Invoer!$A$5),1,1)+1))+2,1)</f>
        <v>78989</v>
      </c>
      <c r="B355" t="str">
        <f ca="1">TEXT(DATE(YEAR(Invoer!$A$5),1,1)+MOD(ROWS(B$2:B355)-1,DATE(YEAR(Invoer!$A$5),12,31)-DATE(YEAR(Invoer!$A$5),1,1)+1),"jjjjmmdd")</f>
        <v>19131220</v>
      </c>
      <c r="C355" s="5">
        <v>1</v>
      </c>
      <c r="D355" s="69" t="str">
        <f t="shared" ca="1" si="10"/>
        <v>—</v>
      </c>
      <c r="E355" s="10">
        <f t="shared" ca="1" si="11"/>
        <v>7</v>
      </c>
    </row>
    <row r="356" spans="1:5" x14ac:dyDescent="0.25">
      <c r="A356" s="4">
        <f ca="1">INDEX(Stations,INT((ROWS(A$2:A356)-1)/(DATE(YEAR(Invoer!$A$5),12,31)-DATE(YEAR(Invoer!$A$5),1,1)+1))+2,1)</f>
        <v>78989</v>
      </c>
      <c r="B356" t="str">
        <f ca="1">TEXT(DATE(YEAR(Invoer!$A$5),1,1)+MOD(ROWS(B$2:B356)-1,DATE(YEAR(Invoer!$A$5),12,31)-DATE(YEAR(Invoer!$A$5),1,1)+1),"jjjjmmdd")</f>
        <v>19131221</v>
      </c>
      <c r="C356" s="5">
        <v>1</v>
      </c>
      <c r="D356" s="69" t="str">
        <f t="shared" ca="1" si="10"/>
        <v>—</v>
      </c>
      <c r="E356" s="10">
        <f t="shared" ca="1" si="11"/>
        <v>7</v>
      </c>
    </row>
    <row r="357" spans="1:5" x14ac:dyDescent="0.25">
      <c r="A357" s="4">
        <f ca="1">INDEX(Stations,INT((ROWS(A$2:A357)-1)/(DATE(YEAR(Invoer!$A$5),12,31)-DATE(YEAR(Invoer!$A$5),1,1)+1))+2,1)</f>
        <v>78989</v>
      </c>
      <c r="B357" t="str">
        <f ca="1">TEXT(DATE(YEAR(Invoer!$A$5),1,1)+MOD(ROWS(B$2:B357)-1,DATE(YEAR(Invoer!$A$5),12,31)-DATE(YEAR(Invoer!$A$5),1,1)+1),"jjjjmmdd")</f>
        <v>19131222</v>
      </c>
      <c r="C357" s="5">
        <v>1</v>
      </c>
      <c r="D357" s="69" t="str">
        <f t="shared" ca="1" si="10"/>
        <v>—</v>
      </c>
      <c r="E357" s="10">
        <f t="shared" ca="1" si="11"/>
        <v>7</v>
      </c>
    </row>
    <row r="358" spans="1:5" x14ac:dyDescent="0.25">
      <c r="A358" s="4">
        <f ca="1">INDEX(Stations,INT((ROWS(A$2:A358)-1)/(DATE(YEAR(Invoer!$A$5),12,31)-DATE(YEAR(Invoer!$A$5),1,1)+1))+2,1)</f>
        <v>78989</v>
      </c>
      <c r="B358" t="str">
        <f ca="1">TEXT(DATE(YEAR(Invoer!$A$5),1,1)+MOD(ROWS(B$2:B358)-1,DATE(YEAR(Invoer!$A$5),12,31)-DATE(YEAR(Invoer!$A$5),1,1)+1),"jjjjmmdd")</f>
        <v>19131223</v>
      </c>
      <c r="C358" s="5">
        <v>1</v>
      </c>
      <c r="D358" s="69" t="str">
        <f t="shared" ca="1" si="10"/>
        <v>—</v>
      </c>
      <c r="E358" s="10">
        <f t="shared" ca="1" si="11"/>
        <v>7</v>
      </c>
    </row>
    <row r="359" spans="1:5" x14ac:dyDescent="0.25">
      <c r="A359" s="4">
        <f ca="1">INDEX(Stations,INT((ROWS(A$2:A359)-1)/(DATE(YEAR(Invoer!$A$5),12,31)-DATE(YEAR(Invoer!$A$5),1,1)+1))+2,1)</f>
        <v>78989</v>
      </c>
      <c r="B359" t="str">
        <f ca="1">TEXT(DATE(YEAR(Invoer!$A$5),1,1)+MOD(ROWS(B$2:B359)-1,DATE(YEAR(Invoer!$A$5),12,31)-DATE(YEAR(Invoer!$A$5),1,1)+1),"jjjjmmdd")</f>
        <v>19131224</v>
      </c>
      <c r="C359" s="5">
        <v>1</v>
      </c>
      <c r="D359" s="69" t="str">
        <f t="shared" ca="1" si="10"/>
        <v>—</v>
      </c>
      <c r="E359" s="10">
        <f t="shared" ca="1" si="11"/>
        <v>7</v>
      </c>
    </row>
    <row r="360" spans="1:5" x14ac:dyDescent="0.25">
      <c r="A360" s="4">
        <f ca="1">INDEX(Stations,INT((ROWS(A$2:A360)-1)/(DATE(YEAR(Invoer!$A$5),12,31)-DATE(YEAR(Invoer!$A$5),1,1)+1))+2,1)</f>
        <v>78989</v>
      </c>
      <c r="B360" t="str">
        <f ca="1">TEXT(DATE(YEAR(Invoer!$A$5),1,1)+MOD(ROWS(B$2:B360)-1,DATE(YEAR(Invoer!$A$5),12,31)-DATE(YEAR(Invoer!$A$5),1,1)+1),"jjjjmmdd")</f>
        <v>19131225</v>
      </c>
      <c r="C360" s="5">
        <v>1</v>
      </c>
      <c r="D360" s="69" t="str">
        <f t="shared" ca="1" si="10"/>
        <v>—</v>
      </c>
      <c r="E360" s="10">
        <f t="shared" ca="1" si="11"/>
        <v>7</v>
      </c>
    </row>
    <row r="361" spans="1:5" x14ac:dyDescent="0.25">
      <c r="A361" s="4">
        <f ca="1">INDEX(Stations,INT((ROWS(A$2:A361)-1)/(DATE(YEAR(Invoer!$A$5),12,31)-DATE(YEAR(Invoer!$A$5),1,1)+1))+2,1)</f>
        <v>78989</v>
      </c>
      <c r="B361" t="str">
        <f ca="1">TEXT(DATE(YEAR(Invoer!$A$5),1,1)+MOD(ROWS(B$2:B361)-1,DATE(YEAR(Invoer!$A$5),12,31)-DATE(YEAR(Invoer!$A$5),1,1)+1),"jjjjmmdd")</f>
        <v>19131226</v>
      </c>
      <c r="C361" s="5">
        <v>1</v>
      </c>
      <c r="D361" s="69" t="str">
        <f t="shared" ca="1" si="10"/>
        <v>—</v>
      </c>
      <c r="E361" s="10">
        <f t="shared" ca="1" si="11"/>
        <v>7</v>
      </c>
    </row>
    <row r="362" spans="1:5" x14ac:dyDescent="0.25">
      <c r="A362" s="4">
        <f ca="1">INDEX(Stations,INT((ROWS(A$2:A362)-1)/(DATE(YEAR(Invoer!$A$5),12,31)-DATE(YEAR(Invoer!$A$5),1,1)+1))+2,1)</f>
        <v>78989</v>
      </c>
      <c r="B362" t="str">
        <f ca="1">TEXT(DATE(YEAR(Invoer!$A$5),1,1)+MOD(ROWS(B$2:B362)-1,DATE(YEAR(Invoer!$A$5),12,31)-DATE(YEAR(Invoer!$A$5),1,1)+1),"jjjjmmdd")</f>
        <v>19131227</v>
      </c>
      <c r="C362" s="5">
        <v>1</v>
      </c>
      <c r="D362" s="69" t="str">
        <f t="shared" ca="1" si="10"/>
        <v>—</v>
      </c>
      <c r="E362" s="10">
        <f t="shared" ca="1" si="11"/>
        <v>7</v>
      </c>
    </row>
    <row r="363" spans="1:5" x14ac:dyDescent="0.25">
      <c r="A363" s="4">
        <f ca="1">INDEX(Stations,INT((ROWS(A$2:A363)-1)/(DATE(YEAR(Invoer!$A$5),12,31)-DATE(YEAR(Invoer!$A$5),1,1)+1))+2,1)</f>
        <v>78989</v>
      </c>
      <c r="B363" t="str">
        <f ca="1">TEXT(DATE(YEAR(Invoer!$A$5),1,1)+MOD(ROWS(B$2:B363)-1,DATE(YEAR(Invoer!$A$5),12,31)-DATE(YEAR(Invoer!$A$5),1,1)+1),"jjjjmmdd")</f>
        <v>19131228</v>
      </c>
      <c r="C363" s="5">
        <v>1</v>
      </c>
      <c r="D363" s="69" t="str">
        <f t="shared" ca="1" si="10"/>
        <v>—</v>
      </c>
      <c r="E363" s="10">
        <f t="shared" ca="1" si="11"/>
        <v>7</v>
      </c>
    </row>
    <row r="364" spans="1:5" x14ac:dyDescent="0.25">
      <c r="A364" s="4">
        <f ca="1">INDEX(Stations,INT((ROWS(A$2:A364)-1)/(DATE(YEAR(Invoer!$A$5),12,31)-DATE(YEAR(Invoer!$A$5),1,1)+1))+2,1)</f>
        <v>78989</v>
      </c>
      <c r="B364" t="str">
        <f ca="1">TEXT(DATE(YEAR(Invoer!$A$5),1,1)+MOD(ROWS(B$2:B364)-1,DATE(YEAR(Invoer!$A$5),12,31)-DATE(YEAR(Invoer!$A$5),1,1)+1),"jjjjmmdd")</f>
        <v>19131229</v>
      </c>
      <c r="C364" s="5">
        <v>1</v>
      </c>
      <c r="D364" s="69" t="str">
        <f t="shared" ca="1" si="10"/>
        <v>—</v>
      </c>
      <c r="E364" s="10">
        <f t="shared" ca="1" si="11"/>
        <v>7</v>
      </c>
    </row>
    <row r="365" spans="1:5" x14ac:dyDescent="0.25">
      <c r="A365" s="4">
        <f ca="1">INDEX(Stations,INT((ROWS(A$2:A365)-1)/(DATE(YEAR(Invoer!$A$5),12,31)-DATE(YEAR(Invoer!$A$5),1,1)+1))+2,1)</f>
        <v>78989</v>
      </c>
      <c r="B365" t="str">
        <f ca="1">TEXT(DATE(YEAR(Invoer!$A$5),1,1)+MOD(ROWS(B$2:B365)-1,DATE(YEAR(Invoer!$A$5),12,31)-DATE(YEAR(Invoer!$A$5),1,1)+1),"jjjjmmdd")</f>
        <v>19131230</v>
      </c>
      <c r="C365" s="5">
        <v>1</v>
      </c>
      <c r="D365" s="69" t="str">
        <f t="shared" ca="1" si="10"/>
        <v>—</v>
      </c>
      <c r="E365" s="10">
        <f t="shared" ca="1" si="11"/>
        <v>7</v>
      </c>
    </row>
    <row r="366" spans="1:5" x14ac:dyDescent="0.25">
      <c r="A366" s="4">
        <f ca="1">INDEX(Stations,INT((ROWS(A$2:A366)-1)/(DATE(YEAR(Invoer!$A$5),12,31)-DATE(YEAR(Invoer!$A$5),1,1)+1))+2,1)</f>
        <v>78989</v>
      </c>
      <c r="B366" t="str">
        <f ca="1">TEXT(DATE(YEAR(Invoer!$A$5),1,1)+MOD(ROWS(B$2:B366)-1,DATE(YEAR(Invoer!$A$5),12,31)-DATE(YEAR(Invoer!$A$5),1,1)+1),"jjjjmmdd")</f>
        <v>19131231</v>
      </c>
      <c r="C366" s="5">
        <v>1</v>
      </c>
      <c r="D366" s="69" t="str">
        <f t="shared" ca="1" si="10"/>
        <v>—</v>
      </c>
      <c r="E366" s="10">
        <f t="shared" ca="1" si="11"/>
        <v>7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AO366"/>
  <sheetViews>
    <sheetView workbookViewId="0"/>
  </sheetViews>
  <sheetFormatPr defaultRowHeight="15" x14ac:dyDescent="0.25"/>
  <sheetData>
    <row r="1" spans="1:41" x14ac:dyDescent="0.25">
      <c r="A1" s="3" t="s">
        <v>1</v>
      </c>
      <c r="B1" s="2" t="s">
        <v>0</v>
      </c>
      <c r="C1" s="3" t="s">
        <v>38</v>
      </c>
      <c r="D1" s="3" t="s">
        <v>121</v>
      </c>
      <c r="E1" s="3" t="s">
        <v>127</v>
      </c>
      <c r="F1" s="3" t="s">
        <v>123</v>
      </c>
      <c r="G1" s="3" t="s">
        <v>126</v>
      </c>
      <c r="H1" s="3" t="s">
        <v>125</v>
      </c>
      <c r="I1" s="3" t="s">
        <v>128</v>
      </c>
      <c r="J1" s="3" t="s">
        <v>122</v>
      </c>
      <c r="K1" s="3" t="s">
        <v>129</v>
      </c>
      <c r="L1" s="3" t="s">
        <v>5</v>
      </c>
      <c r="M1" s="3" t="s">
        <v>6</v>
      </c>
      <c r="N1" s="3" t="s">
        <v>7</v>
      </c>
      <c r="O1" s="3" t="s">
        <v>37</v>
      </c>
      <c r="P1" s="3" t="s">
        <v>26</v>
      </c>
      <c r="Q1" s="3" t="s">
        <v>43</v>
      </c>
      <c r="R1" s="3" t="s">
        <v>117</v>
      </c>
      <c r="S1" s="3" t="s">
        <v>130</v>
      </c>
      <c r="T1" s="3" t="s">
        <v>30</v>
      </c>
      <c r="U1" s="3" t="s">
        <v>39</v>
      </c>
      <c r="V1" s="3" t="s">
        <v>29</v>
      </c>
      <c r="W1" s="3" t="s">
        <v>40</v>
      </c>
      <c r="X1" s="3" t="s">
        <v>28</v>
      </c>
      <c r="Y1" s="3" t="s">
        <v>42</v>
      </c>
      <c r="Z1" s="3" t="s">
        <v>27</v>
      </c>
      <c r="AA1" s="3" t="s">
        <v>41</v>
      </c>
      <c r="AB1" s="3" t="s">
        <v>31</v>
      </c>
      <c r="AC1" s="3" t="s">
        <v>44</v>
      </c>
      <c r="AD1" s="3" t="s">
        <v>32</v>
      </c>
      <c r="AE1" s="3" t="s">
        <v>45</v>
      </c>
      <c r="AF1" s="3" t="s">
        <v>118</v>
      </c>
      <c r="AG1" s="3" t="s">
        <v>131</v>
      </c>
      <c r="AH1" s="3" t="s">
        <v>119</v>
      </c>
      <c r="AI1" s="3" t="s">
        <v>132</v>
      </c>
      <c r="AJ1" s="3" t="s">
        <v>33</v>
      </c>
      <c r="AK1" s="3" t="s">
        <v>46</v>
      </c>
      <c r="AL1" s="3" t="s">
        <v>124</v>
      </c>
      <c r="AM1" s="3" t="s">
        <v>133</v>
      </c>
      <c r="AN1" s="3" t="s">
        <v>120</v>
      </c>
      <c r="AO1" s="3" t="s">
        <v>134</v>
      </c>
    </row>
    <row r="2" spans="1:41" x14ac:dyDescent="0.25">
      <c r="A2" s="4">
        <f t="shared" ref="A2:A65" si="0">INDEX(Stations,2,1)</f>
        <v>78989</v>
      </c>
      <c r="B2" t="str">
        <f ca="1">TEXT(DATE(YEAR(Invoer!$A$5),1,1)+ROWS(B$2:B2)-1,"jjjjmmdd")</f>
        <v>19130101</v>
      </c>
      <c r="C2" s="72">
        <f t="shared" ref="C2:C65" si="1">Tijd</f>
        <v>800</v>
      </c>
      <c r="D2" s="16" t="str">
        <f t="shared" ref="D2:D65" ca="1" si="2">IF(OR(ISBLANK(VLOOKUP(DATEVALUE(LEFT($B2,4)&amp;"-"&amp;MID($B2,5,2)&amp;"-"&amp;RIGHT($B2,2)),Data,MATCH(LEFT(VLOOKUP(D$1,Parameters,2,FALSE()),3)&amp;"*",OFFSET(Data,N(ISNA(MATCH(LEFT(VLOOKUP(D$1,Parameters,2,FALSE()),3)&amp;"*",OFFSET(Data,0,0,1),0))),0,1),0)+3*N(EXACT(D$1,"DFx")),FALSE())),ISTEXT(VLOOKUP(DATEVALUE(LEFT($B2,4)&amp;"-"&amp;MID($B2,5,2)&amp;"-"&amp;RIGHT($B2,2)),Data,MATCH(LEFT(VLOOKUP(D$1,Parameters,2,FALSE()),3)&amp;"*",OFFSET(Data,N(ISNA(MATCH(LEFT(VLOOKUP(D$1,Parameters,2,FALSE()),3)&amp;"*",OFFSET(Data,0,0,1),0))),0,1),0)+3*N(EXACT(D$1,"DFx")),FALSE()))),"—",ROUND(5*(VLOOKUP(DATEVALUE(LEFT($B2,4)&amp;"-"&amp;MID($B2,5,2)&amp;"-"&amp;RIGHT($B2,2)),Data,MATCH(LEFT(VLOOKUP(D$1,Parameters,2,FALSE()),3)&amp;"*",OFFSET(Data,N(ISNA(MATCH(LEFT(VLOOKUP(D$1,Parameters,2,FALSE()),3)&amp;"*",OFFSET(Data,0,0,1),0))),0,1),0)+3*N(EXACT(D$1,"DFx")),FALSE())-320)/90,1))</f>
        <v>—</v>
      </c>
      <c r="E2" s="15">
        <f t="shared" ref="E2:E65" ca="1" si="3">IF(OR(ISBLANK(VLOOKUP(DATEVALUE(LEFT($B2,4)&amp;"-"&amp;MID($B2,5,2)&amp;"-"&amp;RIGHT($B2,2)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2,4)&amp;"-"&amp;MID($B2,5,2)&amp;"-"&amp;RIGHT($B2,2)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2,4)&amp;"-"&amp;MID($B2,5,2)&amp;"-"&amp;RIGHT($B2,2)),OFFSET(Catalogus,0,0,,1),0)),Ok,VLOOKUP(DATEVALUE(LEFT($B2,4)&amp;"-"&amp;MID($B2,5,2)&amp;"-"&amp;RIGHT($B2,2)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2" s="73" t="str">
        <f t="shared" ref="F2:F65" ca="1" si="4">IF(OR(ISBLANK(VLOOKUP(DATEVALUE(LEFT($B2,4)&amp;"-"&amp;MID($B2,5,2)&amp;"-"&amp;RIGHT($B2,2)),Data,MATCH(LEFT(VLOOKUP(F$1,Parameters,2,FALSE()),3)&amp;"*",OFFSET(Data,N(ISNA(MATCH(LEFT(VLOOKUP(F$1,Parameters,2,FALSE()),3)&amp;"*",OFFSET(Data,0,0,1),0))),0,1),0)+3*N(EXACT(F$1,"DFx")),FALSE())),ISTEXT(VLOOKUP(DATEVALUE(LEFT($B2,4)&amp;"-"&amp;MID($B2,5,2)&amp;"-"&amp;RIGHT($B2,2)),Data,MATCH(LEFT(VLOOKUP(F$1,Parameters,2,FALSE()),3)&amp;"*",OFFSET(Data,N(ISNA(MATCH(LEFT(VLOOKUP(F$1,Parameters,2,FALSE()),3)&amp;"*",OFFSET(Data,0,0,1),0))),0,1),0)+3*N(EXACT(F$1,"DFx")),FALSE()))),"—",ROUND(0.0254*VLOOKUP(DATEVALUE(LEFT($B2,4)&amp;"-"&amp;MID($B2,5,2)&amp;"-"&amp;RIGHT($B2,2)),Data,MATCH(LEFT(VLOOKUP(F$1,Parameters,2,FALSE()),3)&amp;"*",OFFSET(Data,N(ISNA(MATCH(LEFT(VLOOKUP(F$1,Parameters,2,FALSE()),3)&amp;"*",OFFSET(Data,0,0,1),0))),0,1),0)+3*N(EXACT(F$1,"DFx")),FALSE()),2))</f>
        <v>—</v>
      </c>
      <c r="G2" s="15">
        <f t="shared" ref="G2:G65" ca="1" si="5">IF(OR(ISBLANK(VLOOKUP(DATEVALUE(LEFT($B2,4)&amp;"-"&amp;MID($B2,5,2)&amp;"-"&amp;RIGHT($B2,2)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2,4)&amp;"-"&amp;MID($B2,5,2)&amp;"-"&amp;RIGHT($B2,2)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2,4)&amp;"-"&amp;MID($B2,5,2)&amp;"-"&amp;RIGHT($B2,2)),OFFSET(Catalogus,0,0,,1),0)),Ok,VLOOKUP(DATEVALUE(LEFT($B2,4)&amp;"-"&amp;MID($B2,5,2)&amp;"-"&amp;RIGHT($B2,2)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2" s="73" t="str">
        <f t="shared" ref="H2:H65" ca="1" si="6">IF(OR(ISBLANK(VLOOKUP(DATEVALUE(LEFT($B2,4)&amp;"-"&amp;MID($B2,5,2)&amp;"-"&amp;RIGHT($B2,2)),Data,MATCH(LEFT(VLOOKUP(H$1,Parameters,2,FALSE()),3)&amp;"*",OFFSET(Data,N(ISNA(MATCH(LEFT(VLOOKUP(H$1,Parameters,2,FALSE()),3)&amp;"*",OFFSET(Data,0,0,1),0))),0,1),0)+3*N(EXACT(H$1,"DFx")),FALSE())),ISTEXT(VLOOKUP(DATEVALUE(LEFT($B2,4)&amp;"-"&amp;MID($B2,5,2)&amp;"-"&amp;RIGHT($B2,2)),Data,MATCH(LEFT(VLOOKUP(H$1,Parameters,2,FALSE()),3)&amp;"*",OFFSET(Data,N(ISNA(MATCH(LEFT(VLOOKUP(H$1,Parameters,2,FALSE()),3)&amp;"*",OFFSET(Data,0,0,1),0))),0,1),0)+3*N(EXACT(H$1,"DFx")),FALSE()))),"—",ROUND(0.0254*VLOOKUP(DATEVALUE(LEFT($B2,4)&amp;"-"&amp;MID($B2,5,2)&amp;"-"&amp;RIGHT($B2,2)),Data,MATCH(LEFT(VLOOKUP(H$1,Parameters,2,FALSE()),3)&amp;"*",OFFSET(Data,N(ISNA(MATCH(LEFT(VLOOKUP(H$1,Parameters,2,FALSE()),3)&amp;"*",OFFSET(Data,0,0,1),0))),0,1),0)+3*N(EXACT(H$1,"DFx")),FALSE()),2))</f>
        <v>—</v>
      </c>
      <c r="I2" s="15">
        <f t="shared" ref="I2:I65" ca="1" si="7">IF(OR(ISBLANK(VLOOKUP(DATEVALUE(LEFT($B2,4)&amp;"-"&amp;MID($B2,5,2)&amp;"-"&amp;RIGHT($B2,2)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2,4)&amp;"-"&amp;MID($B2,5,2)&amp;"-"&amp;RIGHT($B2,2)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2,4)&amp;"-"&amp;MID($B2,5,2)&amp;"-"&amp;RIGHT($B2,2)),OFFSET(Catalogus,0,0,,1),0)),Ok,VLOOKUP(DATEVALUE(LEFT($B2,4)&amp;"-"&amp;MID($B2,5,2)&amp;"-"&amp;RIGHT($B2,2)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2" s="73" t="str">
        <f t="shared" ref="J2:J65" ca="1" si="8">IF(OR(ISBLANK(VLOOKUP(DATEVALUE(LEFT($B2,4)&amp;"-"&amp;MID($B2,5,2)&amp;"-"&amp;RIGHT($B2,2)),Data,MATCH(LEFT(VLOOKUP(J$1,Parameters,2,FALSE()),3)&amp;"*",OFFSET(Data,N(ISNA(MATCH(LEFT(VLOOKUP(J$1,Parameters,2,FALSE()),3)&amp;"*",OFFSET(Data,0,0,1),0))),0,1),0)+3*N(EXACT(J$1,"DFx")),FALSE())),ISTEXT(VLOOKUP(DATEVALUE(LEFT($B2,4)&amp;"-"&amp;MID($B2,5,2)&amp;"-"&amp;RIGHT($B2,2)),Data,MATCH(LEFT(VLOOKUP(J$1,Parameters,2,FALSE()),3)&amp;"*",OFFSET(Data,N(ISNA(MATCH(LEFT(VLOOKUP(J$1,Parameters,2,FALSE()),3)&amp;"*",OFFSET(Data,0,0,1),0))),0,1),0)+3*N(EXACT(J$1,"DFx")),FALSE()))),"—",ROUND(0.0254*VLOOKUP(DATEVALUE(LEFT($B2,4)&amp;"-"&amp;MID($B2,5,2)&amp;"-"&amp;RIGHT($B2,2)),Data,MATCH(LEFT(VLOOKUP(J$1,Parameters,2,FALSE()),3)&amp;"*",OFFSET(Data,N(ISNA(MATCH(LEFT(VLOOKUP(J$1,Parameters,2,FALSE()),3)&amp;"*",OFFSET(Data,0,0,1),0))),0,1),0)+3*N(EXACT(J$1,"DFx")),FALSE()),2))</f>
        <v>—</v>
      </c>
      <c r="K2" s="15">
        <f t="shared" ref="K2:K65" ca="1" si="9">IF(OR(ISBLANK(VLOOKUP(DATEVALUE(LEFT($B2,4)&amp;"-"&amp;MID($B2,5,2)&amp;"-"&amp;RIGHT($B2,2)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2,4)&amp;"-"&amp;MID($B2,5,2)&amp;"-"&amp;RIGHT($B2,2)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2,4)&amp;"-"&amp;MID($B2,5,2)&amp;"-"&amp;RIGHT($B2,2)),OFFSET(Catalogus,0,0,,1),0)),Ok,VLOOKUP(DATEVALUE(LEFT($B2,4)&amp;"-"&amp;MID($B2,5,2)&amp;"-"&amp;RIGHT($B2,2)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2" s="16" t="str">
        <f t="shared" ref="L2:L65" ca="1" si="10">IF(OR(ISBLANK(VLOOKUP(DATEVALUE(LEFT($B2,4)&amp;"-"&amp;MID($B2,5,2)&amp;"-"&amp;RIGHT($B2,2)),Data,MATCH(LEFT(VLOOKUP(L$1,Parameters,2,FALSE()),3)&amp;"*",OFFSET(Data,N(ISNA(MATCH(LEFT(VLOOKUP(L$1,Parameters,2,FALSE()),3)&amp;"*",OFFSET(Data,0,0,1),0))),0,1),0)+3*N(EXACT(L$1,"DFx")),FALSE())),ISTEXT(VLOOKUP(DATEVALUE(LEFT($B2,4)&amp;"-"&amp;MID($B2,5,2)&amp;"-"&amp;RIGHT($B2,2)),Data,MATCH(LEFT(VLOOKUP(L$1,Parameters,2,FALSE()),3)&amp;"*",OFFSET(Data,N(ISNA(MATCH(LEFT(VLOOKUP(L$1,Parameters,2,FALSE()),3)&amp;"*",OFFSET(Data,0,0,1),0))),0,1),0)+3*N(EXACT(L$1,"DFx")),FALSE()))),"—",ROUND(0.254*VLOOKUP(DATEVALUE(LEFT($B2,4)&amp;"-"&amp;MID($B2,5,2)&amp;"-"&amp;RIGHT($B2,2)),Data,MATCH(LEFT(VLOOKUP(L$1,Parameters,2,FALSE()),3)&amp;"*",OFFSET(Data,N(ISNA(MATCH(LEFT(VLOOKUP(L$1,Parameters,2,FALSE()),3)&amp;"*",OFFSET(Data,0,0,1),0))),0,1),0)+3*N(EXACT(L$1,"DFx")),FALSE()),1))</f>
        <v>—</v>
      </c>
      <c r="M2" s="15">
        <f t="shared" ref="M2:M65" ca="1" si="11">IF(OR(ISBLANK(VLOOKUP(DATEVALUE(LEFT($B2,4)&amp;"-"&amp;MID($B2,5,2)&amp;"-"&amp;RIGHT($B2,2)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2,4)&amp;"-"&amp;MID($B2,5,2)&amp;"-"&amp;RIGHT($B2,2)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2,4)&amp;"-"&amp;MID($B2,5,2)&amp;"-"&amp;RIGHT($B2,2)),OFFSET(Catalogus,0,0,,1),0)),Ok,VLOOKUP(DATEVALUE(LEFT($B2,4)&amp;"-"&amp;MID($B2,5,2)&amp;"-"&amp;RIGHT($B2,2)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7</v>
      </c>
      <c r="N2" s="16" t="str">
        <f t="shared" ref="N2:N65" ca="1" si="12">IF(OR(ISBLANK(VLOOKUP(DATEVALUE(LEFT($B2,4)&amp;"-"&amp;MID($B2,5,2)&amp;"-"&amp;RIGHT($B2,2)),Data,MATCH(LEFT(VLOOKUP(N$1,Parameters,2,FALSE()),3)&amp;"*",OFFSET(Data,N(ISNA(MATCH(LEFT(VLOOKUP(N$1,Parameters,2,FALSE()),3)&amp;"*",OFFSET(Data,0,0,1),0))),0,1),0)+3*N(EXACT(N$1,"DFx")),FALSE())),ISTEXT(VLOOKUP(DATEVALUE(LEFT($B2,4)&amp;"-"&amp;MID($B2,5,2)&amp;"-"&amp;RIGHT($B2,2)),Data,MATCH(LEFT(VLOOKUP(N$1,Parameters,2,FALSE()),3)&amp;"*",OFFSET(Data,N(ISNA(MATCH(LEFT(VLOOKUP(N$1,Parameters,2,FALSE()),3)&amp;"*",OFFSET(Data,0,0,1),0))),0,1),0)+3*N(EXACT(N$1,"DFx")),FALSE()))),"—",ROUND(5*(VLOOKUP(DATEVALUE(LEFT($B2,4)&amp;"-"&amp;MID($B2,5,2)&amp;"-"&amp;RIGHT($B2,2)),Data,MATCH(LEFT(VLOOKUP(N$1,Parameters,2,FALSE()),3)&amp;"*",OFFSET(Data,N(ISNA(MATCH(LEFT(VLOOKUP(N$1,Parameters,2,FALSE()),3)&amp;"*",OFFSET(Data,0,0,1),0))),0,1),0)+3*N(EXACT(N$1,"DFx")),FALSE())-320)/90,1))</f>
        <v>—</v>
      </c>
      <c r="O2" s="15">
        <f t="shared" ref="O2:O65" ca="1" si="13">IF(OR(ISBLANK(VLOOKUP(DATEVALUE(LEFT($B2,4)&amp;"-"&amp;MID($B2,5,2)&amp;"-"&amp;RIGHT($B2,2)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2,4)&amp;"-"&amp;MID($B2,5,2)&amp;"-"&amp;RIGHT($B2,2)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2,4)&amp;"-"&amp;MID($B2,5,2)&amp;"-"&amp;RIGHT($B2,2)),OFFSET(Catalogus,0,0,,1),0)),Ok,VLOOKUP(DATEVALUE(LEFT($B2,4)&amp;"-"&amp;MID($B2,5,2)&amp;"-"&amp;RIGHT($B2,2)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2" s="16" t="str">
        <f t="shared" ref="P2:P65" ca="1" si="14">IF(OR(ISBLANK(VLOOKUP(DATEVALUE(LEFT($B2,4)&amp;"-"&amp;MID($B2,5,2)&amp;"-"&amp;RIGHT($B2,2)),Data,MATCH(LEFT(VLOOKUP(P$1,Parameters,2,FALSE()),3)&amp;"*",OFFSET(Data,N(ISNA(MATCH(LEFT(VLOOKUP(P$1,Parameters,2,FALSE()),3)&amp;"*",OFFSET(Data,0,0,1),0))),0,1),0)+3*N(EXACT(P$1,"DFx")),FALSE())),ISTEXT(VLOOKUP(DATEVALUE(LEFT($B2,4)&amp;"-"&amp;MID($B2,5,2)&amp;"-"&amp;RIGHT($B2,2)),Data,MATCH(LEFT(VLOOKUP(P$1,Parameters,2,FALSE()),3)&amp;"*",OFFSET(Data,N(ISNA(MATCH(LEFT(VLOOKUP(P$1,Parameters,2,FALSE()),3)&amp;"*",OFFSET(Data,0,0,1),0))),0,1),0)+3*N(EXACT(P$1,"DFx")),FALSE()))),"—",ROUND(5*(VLOOKUP(DATEVALUE(LEFT($B2,4)&amp;"-"&amp;MID($B2,5,2)&amp;"-"&amp;RIGHT($B2,2)),Data,MATCH(LEFT(VLOOKUP(P$1,Parameters,2,FALSE()),3)&amp;"*",OFFSET(Data,N(ISNA(MATCH(LEFT(VLOOKUP(P$1,Parameters,2,FALSE()),3)&amp;"*",OFFSET(Data,0,0,1),0))),0,1),0)+3*N(EXACT(P$1,"DFx")),FALSE())-320)/90,1))</f>
        <v>—</v>
      </c>
      <c r="Q2" s="15">
        <f t="shared" ref="Q2:Q65" ca="1" si="15">IF(OR(ISBLANK(VLOOKUP(DATEVALUE(LEFT($B2,4)&amp;"-"&amp;MID($B2,5,2)&amp;"-"&amp;RIGHT($B2,2)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2,4)&amp;"-"&amp;MID($B2,5,2)&amp;"-"&amp;RIGHT($B2,2)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2,4)&amp;"-"&amp;MID($B2,5,2)&amp;"-"&amp;RIGHT($B2,2)),OFFSET(Catalogus,0,0,,1),0)),Ok,VLOOKUP(DATEVALUE(LEFT($B2,4)&amp;"-"&amp;MID($B2,5,2)&amp;"-"&amp;RIGHT($B2,2)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2" s="16" t="str">
        <f t="shared" ref="R2:R65" ca="1" si="16">IF(OR(ISBLANK(VLOOKUP(DATEVALUE(LEFT($B2,4)&amp;"-"&amp;MID($B2,5,2)&amp;"-"&amp;RIGHT($B2,2)),Data,MATCH(LEFT(VLOOKUP(R$1,Parameters,2,FALSE()),3)&amp;"*",OFFSET(Data,N(ISNA(MATCH(LEFT(VLOOKUP(R$1,Parameters,2,FALSE()),3)&amp;"*",OFFSET(Data,0,0,1),0))),0,1),0)+3*N(EXACT(R$1,"DFx")),FALSE())),ISTEXT(VLOOKUP(DATEVALUE(LEFT($B2,4)&amp;"-"&amp;MID($B2,5,2)&amp;"-"&amp;RIGHT($B2,2)),Data,MATCH(LEFT(VLOOKUP(R$1,Parameters,2,FALSE()),3)&amp;"*",OFFSET(Data,N(ISNA(MATCH(LEFT(VLOOKUP(R$1,Parameters,2,FALSE()),3)&amp;"*",OFFSET(Data,0,0,1),0))),0,1),0)+3*N(EXACT(R$1,"DFx")),FALSE()))),"—",ROUND(5*(VLOOKUP(DATEVALUE(LEFT($B2,4)&amp;"-"&amp;MID($B2,5,2)&amp;"-"&amp;RIGHT($B2,2)),Data,MATCH(LEFT(VLOOKUP(R$1,Parameters,2,FALSE()),3)&amp;"*",OFFSET(Data,N(ISNA(MATCH(LEFT(VLOOKUP(R$1,Parameters,2,FALSE()),3)&amp;"*",OFFSET(Data,0,0,1),0))),0,1),0)+3*N(EXACT(R$1,"DFx")),FALSE())-320)/90,1))</f>
        <v>—</v>
      </c>
      <c r="S2" s="15">
        <f t="shared" ref="S2:S65" ca="1" si="17">IF(OR(ISBLANK(VLOOKUP(DATEVALUE(LEFT($B2,4)&amp;"-"&amp;MID($B2,5,2)&amp;"-"&amp;RIGHT($B2,2)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2,4)&amp;"-"&amp;MID($B2,5,2)&amp;"-"&amp;RIGHT($B2,2)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2,4)&amp;"-"&amp;MID($B2,5,2)&amp;"-"&amp;RIGHT($B2,2)),OFFSET(Catalogus,0,0,,1),0)),Ok,VLOOKUP(DATEVALUE(LEFT($B2,4)&amp;"-"&amp;MID($B2,5,2)&amp;"-"&amp;RIGHT($B2,2)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2" s="9" t="str">
        <f t="shared" ref="T2:T65" ca="1" si="18">IF(OR(ISBLANK(VLOOKUP(DATEVALUE(LEFT($B2,4)&amp;"-"&amp;MID($B2,5,2)&amp;"-"&amp;RIGHT($B2,2)),Data,MATCH(LEFT(VLOOKUP(T$1,Parameters,2,FALSE()),3)&amp;"*",OFFSET(Data,N(ISNA(MATCH(LEFT(VLOOKUP(T$1,Parameters,2,FALSE()),3)&amp;"*",OFFSET(Data,0,0,1),0))),0,1),0)+3*N(EXACT(T$1,"DFx")),FALSE())),ISTEXT(VLOOKUP(DATEVALUE(LEFT($B2,4)&amp;"-"&amp;MID($B2,5,2)&amp;"-"&amp;RIGHT($B2,2)),Data,MATCH(LEFT(VLOOKUP(T$1,Parameters,2,FALSE()),3)&amp;"*",OFFSET(Data,N(ISNA(MATCH(LEFT(VLOOKUP(T$1,Parameters,2,FALSE()),3)&amp;"*",OFFSET(Data,0,0,1),0))),0,1),0)+3*N(EXACT(T$1,"DFx")),FALSE()))),"—",VLOOKUP(DATEVALUE(LEFT($B2,4)&amp;"-"&amp;MID($B2,5,2)&amp;"-"&amp;RIGHT($B2,2)),Data,MATCH(LEFT(VLOOKUP(T$1,Parameters,2,FALSE()),3)&amp;"*",OFFSET(Data,N(ISNA(MATCH(LEFT(VLOOKUP(T$1,Parameters,2,FALSE()),3)&amp;"*",OFFSET(Data,0,0,1),0))),0,1),0)+3*N(EXACT(T$1,"DFx")),FALSE()))</f>
        <v>—</v>
      </c>
      <c r="U2" s="15">
        <f t="shared" ref="U2:U65" ca="1" si="19">IF(OR(ISBLANK(VLOOKUP(DATEVALUE(LEFT($B2,4)&amp;"-"&amp;MID($B2,5,2)&amp;"-"&amp;RIGHT($B2,2)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2,4)&amp;"-"&amp;MID($B2,5,2)&amp;"-"&amp;RIGHT($B2,2)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2,4)&amp;"-"&amp;MID($B2,5,2)&amp;"-"&amp;RIGHT($B2,2)),OFFSET(Catalogus,0,0,,1),0)),Ok,VLOOKUP(DATEVALUE(LEFT($B2,4)&amp;"-"&amp;MID($B2,5,2)&amp;"-"&amp;RIGHT($B2,2)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2" s="16" t="str">
        <f t="shared" ref="V2:V65" ca="1" si="20">IF(OR(ISBLANK(VLOOKUP(DATEVALUE(LEFT($B2,4)&amp;"-"&amp;MID($B2,5,2)&amp;"-"&amp;RIGHT($B2,2)),Data,MATCH(LEFT(VLOOKUP(V$1,Parameters,2,FALSE()),3)&amp;"*",OFFSET(Data,N(ISNA(MATCH(LEFT(VLOOKUP(V$1,Parameters,2,FALSE()),3)&amp;"*",OFFSET(Data,0,0,1),0))),0,1),0)+3*N(EXACT(V$1,"DFx")),FALSE())),ISTEXT(VLOOKUP(DATEVALUE(LEFT($B2,4)&amp;"-"&amp;MID($B2,5,2)&amp;"-"&amp;RIGHT($B2,2)),Data,MATCH(LEFT(VLOOKUP(V$1,Parameters,2,FALSE()),3)&amp;"*",OFFSET(Data,N(ISNA(MATCH(LEFT(VLOOKUP(V$1,Parameters,2,FALSE()),3)&amp;"*",OFFSET(Data,0,0,1),0))),0,1),0)+3*N(EXACT(V$1,"DFx")),FALSE()))),"—",ROUND(0.0254*VLOOKUP(DATEVALUE(LEFT($B2,4)&amp;"-"&amp;MID($B2,5,2)&amp;"-"&amp;RIGHT($B2,2)),Data,MATCH(LEFT(VLOOKUP(V$1,Parameters,2,FALSE()),3)&amp;"*",OFFSET(Data,N(ISNA(MATCH(LEFT(VLOOKUP(V$1,Parameters,2,FALSE()),3)&amp;"*",OFFSET(Data,0,0,1),0))),0,1),0)+3*N(EXACT(V$1,"DFx")),FALSE()),1))</f>
        <v>—</v>
      </c>
      <c r="W2" s="15">
        <f t="shared" ref="W2:W65" ca="1" si="21">IF(OR(ISBLANK(VLOOKUP(DATEVALUE(LEFT($B2,4)&amp;"-"&amp;MID($B2,5,2)&amp;"-"&amp;RIGHT($B2,2)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2,4)&amp;"-"&amp;MID($B2,5,2)&amp;"-"&amp;RIGHT($B2,2)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2,4)&amp;"-"&amp;MID($B2,5,2)&amp;"-"&amp;RIGHT($B2,2)),OFFSET(Catalogus,0,0,,1),0)),Ok,VLOOKUP(DATEVALUE(LEFT($B2,4)&amp;"-"&amp;MID($B2,5,2)&amp;"-"&amp;RIGHT($B2,2)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2" s="16" t="str">
        <f t="shared" ref="X2:X65" ca="1" si="22">IF(OR(ISBLANK(VLOOKUP(DATEVALUE(LEFT($B2,4)&amp;"-"&amp;MID($B2,5,2)&amp;"-"&amp;RIGHT($B2,2)),Data,MATCH(LEFT(VLOOKUP(X$1,Parameters,2,FALSE()),3)&amp;"*",OFFSET(Data,N(ISNA(MATCH(LEFT(VLOOKUP(X$1,Parameters,2,FALSE()),3)&amp;"*",OFFSET(Data,0,0,1),0))),0,1),0)+3*N(EXACT(X$1,"DFx")),FALSE())),ISTEXT(VLOOKUP(DATEVALUE(LEFT($B2,4)&amp;"-"&amp;MID($B2,5,2)&amp;"-"&amp;RIGHT($B2,2)),Data,MATCH(LEFT(VLOOKUP(X$1,Parameters,2,FALSE()),3)&amp;"*",OFFSET(Data,N(ISNA(MATCH(LEFT(VLOOKUP(X$1,Parameters,2,FALSE()),3)&amp;"*",OFFSET(Data,0,0,1),0))),0,1),0)+3*N(EXACT(X$1,"DFx")),FALSE()))),"—",ROUND(5*(VLOOKUP(DATEVALUE(LEFT($B2,4)&amp;"-"&amp;MID($B2,5,2)&amp;"-"&amp;RIGHT($B2,2)),Data,MATCH(LEFT(VLOOKUP(X$1,Parameters,2,FALSE()),3)&amp;"*",OFFSET(Data,N(ISNA(MATCH(LEFT(VLOOKUP(X$1,Parameters,2,FALSE()),3)&amp;"*",OFFSET(Data,0,0,1),0))),0,1),0)+3*N(EXACT(X$1,"DFx")),FALSE())-320)/90,1))</f>
        <v>—</v>
      </c>
      <c r="Y2" s="15">
        <f t="shared" ref="Y2:Y65" ca="1" si="23">IF(OR(ISBLANK(VLOOKUP(DATEVALUE(LEFT($B2,4)&amp;"-"&amp;MID($B2,5,2)&amp;"-"&amp;RIGHT($B2,2)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2,4)&amp;"-"&amp;MID($B2,5,2)&amp;"-"&amp;RIGHT($B2,2)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2,4)&amp;"-"&amp;MID($B2,5,2)&amp;"-"&amp;RIGHT($B2,2)),OFFSET(Catalogus,0,0,,1),0)),Ok,VLOOKUP(DATEVALUE(LEFT($B2,4)&amp;"-"&amp;MID($B2,5,2)&amp;"-"&amp;RIGHT($B2,2)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7</v>
      </c>
      <c r="Z2" s="16" t="str">
        <f t="shared" ref="Z2:Z65" ca="1" si="24">IF(OR(ISBLANK(VLOOKUP(DATEVALUE(LEFT($B2,4)&amp;"-"&amp;MID($B2,5,2)&amp;"-"&amp;RIGHT($B2,2)),Data,MATCH(LEFT(VLOOKUP(Z$1,Parameters,2,FALSE()),3)&amp;"*",OFFSET(Data,N(ISNA(MATCH(LEFT(VLOOKUP(Z$1,Parameters,2,FALSE()),3)&amp;"*",OFFSET(Data,0,0,1),0))),0,1),0)+3*N(EXACT(Z$1,"DFx")),FALSE())),ISTEXT(VLOOKUP(DATEVALUE(LEFT($B2,4)&amp;"-"&amp;MID($B2,5,2)&amp;"-"&amp;RIGHT($B2,2)),Data,MATCH(LEFT(VLOOKUP(Z$1,Parameters,2,FALSE()),3)&amp;"*",OFFSET(Data,N(ISNA(MATCH(LEFT(VLOOKUP(Z$1,Parameters,2,FALSE()),3)&amp;"*",OFFSET(Data,0,0,1),0))),0,1),0)+3*N(EXACT(Z$1,"DFx")),FALSE()))),"—",ROUND(5*(VLOOKUP(DATEVALUE(LEFT($B2,4)&amp;"-"&amp;MID($B2,5,2)&amp;"-"&amp;RIGHT($B2,2)),Data,MATCH(LEFT(VLOOKUP(Z$1,Parameters,2,FALSE()),3)&amp;"*",OFFSET(Data,N(ISNA(MATCH(LEFT(VLOOKUP(Z$1,Parameters,2,FALSE()),3)&amp;"*",OFFSET(Data,0,0,1),0))),0,1),0)+3*N(EXACT(Z$1,"DFx")),FALSE())-320)/90,1))</f>
        <v>—</v>
      </c>
      <c r="AA2" s="15">
        <f t="shared" ref="AA2:AA65" ca="1" si="25">IF(OR(ISBLANK(VLOOKUP(DATEVALUE(LEFT($B2,4)&amp;"-"&amp;MID($B2,5,2)&amp;"-"&amp;RIGHT($B2,2)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2,4)&amp;"-"&amp;MID($B2,5,2)&amp;"-"&amp;RIGHT($B2,2)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2,4)&amp;"-"&amp;MID($B2,5,2)&amp;"-"&amp;RIGHT($B2,2)),OFFSET(Catalogus,0,0,,1),0)),Ok,VLOOKUP(DATEVALUE(LEFT($B2,4)&amp;"-"&amp;MID($B2,5,2)&amp;"-"&amp;RIGHT($B2,2)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7</v>
      </c>
      <c r="AB2" s="9" t="str">
        <f t="shared" ref="AB2:AB65" ca="1" si="26">IF(OR(ISBLANK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AND(ISTEXT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ISNA(MATCH(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,OFFSET(Windrichting,0,1,,1),0),1))</f>
        <v>—</v>
      </c>
      <c r="AC2" s="15">
        <f t="shared" ref="AC2:AC65" ca="1" si="27">IF(OR(ISBLANK(VLOOKUP(DATEVALUE(LEFT($B2,4)&amp;"-"&amp;MID($B2,5,2)&amp;"-"&amp;RIGHT($B2,2)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ISNA(MATCH(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2,4)&amp;"-"&amp;MID($B2,5,2)&amp;"-"&amp;RIGHT($B2,2)),OFFSET(Catalogus,0,0,,1),0)),Ok,VLOOKUP(DATEVALUE(LEFT($B2,4)&amp;"-"&amp;MID($B2,5,2)&amp;"-"&amp;RIGHT($B2,2)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7</v>
      </c>
      <c r="AD2" s="76" t="str">
        <f t="shared" ref="AD2:AD65" ca="1" si="28">IF(OR(ISBLANK(VLOOKUP(DATEVALUE(LEFT($B2,4)&amp;"-"&amp;MID($B2,5,2)&amp;"-"&amp;RIGHT($B2,2)),Data,MATCH(LEFT(VLOOKUP(AD$1,Parameters,2,FALSE()),3)&amp;"*",OFFSET(Data,N(ISNA(MATCH(LEFT(VLOOKUP(AD$1,Parameters,2,FALSE()),3)&amp;"*",OFFSET(Data,0,0,1),0))),0,1),0)+3*N(EXACT(AD$1,"DFx")),FALSE())),ISTEXT(VLOOKUP(DATEVALUE(LEFT($B2,4)&amp;"-"&amp;MID($B2,5,2)&amp;"-"&amp;RIGHT($B2,2)),Data,MATCH(LEFT(VLOOKUP(AD$1,Parameters,2,FALSE()),3)&amp;"*",OFFSET(Data,N(ISNA(MATCH(LEFT(VLOOKUP(AD$1,Parameters,2,FALSE()),3)&amp;"*",OFFSET(Data,0,0,1),0))),0,1),0)+3*N(EXACT(AD$1,"DFx")),FALSE()))),"—",ROUND(Kts*VLOOKUP(DATEVALUE(LEFT($B2,4)&amp;"-"&amp;MID($B2,5,2)&amp;"-"&amp;RIGHT($B2,2)),Data,MATCH(LEFT(VLOOKUP(AD$1,Parameters,2,FALSE()),3)&amp;"*",OFFSET(Data,N(ISNA(MATCH(LEFT(VLOOKUP(AD$1,Parameters,2,FALSE()),3)&amp;"*",OFFSET(Data,0,0,1),0))),0,1),0)+3*N(EXACT(AD$1,"DFx")),FALSE()),1))</f>
        <v>—</v>
      </c>
      <c r="AE2" s="15">
        <f t="shared" ref="AE2:AE65" ca="1" si="29">IF(OR(ISBLANK(VLOOKUP(DATEVALUE(LEFT($B2,4)&amp;"-"&amp;MID($B2,5,2)&amp;"-"&amp;RIGHT($B2,2)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2,4)&amp;"-"&amp;MID($B2,5,2)&amp;"-"&amp;RIGHT($B2,2)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2,4)&amp;"-"&amp;MID($B2,5,2)&amp;"-"&amp;RIGHT($B2,2)),OFFSET(Catalogus,0,0,,1),0)),Ok,VLOOKUP(DATEVALUE(LEFT($B2,4)&amp;"-"&amp;MID($B2,5,2)&amp;"-"&amp;RIGHT($B2,2)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7</v>
      </c>
      <c r="AF2" s="76" t="str">
        <f t="shared" ref="AF2:AF65" ca="1" si="30">IF(OR(ISBLANK(VLOOKUP(DATEVALUE(LEFT($B2,4)&amp;"-"&amp;MID($B2,5,2)&amp;"-"&amp;RIGHT($B2,2)),Data,MATCH(LEFT(VLOOKUP(AF$1,Parameters,2,FALSE()),3)&amp;"*",OFFSET(Data,N(ISNA(MATCH(LEFT(VLOOKUP(AF$1,Parameters,2,FALSE()),3)&amp;"*",OFFSET(Data,0,0,1),0))),0,1),0)+3*N(EXACT(AF$1,"DFx")),FALSE())),ISTEXT(VLOOKUP(DATEVALUE(LEFT($B2,4)&amp;"-"&amp;MID($B2,5,2)&amp;"-"&amp;RIGHT($B2,2)),Data,MATCH(LEFT(VLOOKUP(AF$1,Parameters,2,FALSE()),3)&amp;"*",OFFSET(Data,N(ISNA(MATCH(LEFT(VLOOKUP(AF$1,Parameters,2,FALSE()),3)&amp;"*",OFFSET(Data,0,0,1),0))),0,1),0)+3*N(EXACT(AF$1,"DFx")),FALSE()))),"—",ROUND(Kts*VLOOKUP(DATEVALUE(LEFT($B2,4)&amp;"-"&amp;MID($B2,5,2)&amp;"-"&amp;RIGHT($B2,2)),Data,MATCH(LEFT(VLOOKUP(AF$1,Parameters,2,FALSE()),3)&amp;"*",OFFSET(Data,N(ISNA(MATCH(LEFT(VLOOKUP(AF$1,Parameters,2,FALSE()),3)&amp;"*",OFFSET(Data,0,0,1),0))),0,1),0)+3*N(EXACT(AF$1,"DFx")),FALSE()),1))</f>
        <v>—</v>
      </c>
      <c r="AG2" s="15">
        <f t="shared" ref="AG2:AG65" ca="1" si="31">IF(OR(ISBLANK(VLOOKUP(DATEVALUE(LEFT($B2,4)&amp;"-"&amp;MID($B2,5,2)&amp;"-"&amp;RIGHT($B2,2)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2,4)&amp;"-"&amp;MID($B2,5,2)&amp;"-"&amp;RIGHT($B2,2)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2,4)&amp;"-"&amp;MID($B2,5,2)&amp;"-"&amp;RIGHT($B2,2)),OFFSET(Catalogus,0,0,,1),0)),Ok,VLOOKUP(DATEVALUE(LEFT($B2,4)&amp;"-"&amp;MID($B2,5,2)&amp;"-"&amp;RIGHT($B2,2)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2" s="9" t="str">
        <f t="shared" ref="AH2:AH65" ca="1" si="32">IF(OR(ISBLANK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AND(ISTEXT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ISNA(MATCH(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2" s="15">
        <f t="shared" ref="AI2:AI65" ca="1" si="33">IF(OR(ISBLANK(VLOOKUP(DATEVALUE(LEFT($B2,4)&amp;"-"&amp;MID($B2,5,2)&amp;"-"&amp;RIGHT($B2,2)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ISNA(MATCH(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2,4)&amp;"-"&amp;MID($B2,5,2)&amp;"-"&amp;RIGHT($B2,2)),OFFSET(Catalogus,0,0,,1),0)),Ok,VLOOKUP(DATEVALUE(LEFT($B2,4)&amp;"-"&amp;MID($B2,5,2)&amp;"-"&amp;RIGHT($B2,2)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2" s="26" t="str">
        <f t="shared" ref="AJ2:AJ65" ca="1" si="34">IF(OR(ISBLANK(VLOOKUP(DATEVALUE(LEFT($B2,4)&amp;"-"&amp;MID($B2,5,2)&amp;"-"&amp;RIGHT($B2,2)),Data,MATCH(LEFT(VLOOKUP(AJ$1,Parameters,2,FALSE()),3)&amp;"*",OFFSET(Data,N(ISNA(MATCH(LEFT(VLOOKUP(AJ$1,Parameters,2,FALSE()),3)&amp;"*",OFFSET(Data,0,0,1),0))),0,1),0)+3*N(EXACT(AJ$1,"DFx")),FALSE())),ISTEXT(VLOOKUP(DATEVALUE(LEFT($B2,4)&amp;"-"&amp;MID($B2,5,2)&amp;"-"&amp;RIGHT($B2,2)),Data,MATCH(LEFT(VLOOKUP(AJ$1,Parameters,2,FALSE()),3)&amp;"*",OFFSET(Data,N(ISNA(MATCH(LEFT(VLOOKUP(AJ$1,Parameters,2,FALSE()),3)&amp;"*",OFFSET(Data,0,0,1),0))),0,1),0)+3*N(EXACT(AJ$1,"DFx")),FALSE()))),"—",VLOOKUP(DATEVALUE(LEFT($B2,4)&amp;"-"&amp;MID($B2,5,2)&amp;"-"&amp;RIGHT($B2,2)),Data,MATCH(LEFT(VLOOKUP(AJ$1,Parameters,2,FALSE()),3)&amp;"*",OFFSET(Data,N(ISNA(MATCH(LEFT(VLOOKUP(AJ$1,Parameters,2,FALSE()),3)&amp;"*",OFFSET(Data,0,0,1),0))),0,1),0)+3*N(EXACT(AJ$1,"DFx")),FALSE()))</f>
        <v>—</v>
      </c>
      <c r="AK2" s="15">
        <f t="shared" ref="AK2:AK65" ca="1" si="35">IF(OR(ISBLANK(VLOOKUP(DATEVALUE(LEFT($B2,4)&amp;"-"&amp;MID($B2,5,2)&amp;"-"&amp;RIGHT($B2,2)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2,4)&amp;"-"&amp;MID($B2,5,2)&amp;"-"&amp;RIGHT($B2,2)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2,4)&amp;"-"&amp;MID($B2,5,2)&amp;"-"&amp;RIGHT($B2,2)),OFFSET(Catalogus,0,0,,1),0)),Ok,VLOOKUP(DATEVALUE(LEFT($B2,4)&amp;"-"&amp;MID($B2,5,2)&amp;"-"&amp;RIGHT($B2,2)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2" s="9" t="str">
        <f t="shared" ref="AL2:AL65" ca="1" si="36">IF(OR(ISBLANK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,AND(ISTEXT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,EXACT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,"—"))),"—",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</f>
        <v>—</v>
      </c>
      <c r="AM2" s="15">
        <f t="shared" ref="AM2:AM65" ca="1" si="37">IF(OR(ISBLANK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,AND(ISTEXT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,EXACT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,"—"))),Lacking,IF(ISNA(MATCH(DATEVALUE(LEFT($B2,4)&amp;"-"&amp;MID($B2,5,2)&amp;"-"&amp;RIGHT($B2,2)),OFFSET(Catalogus,0,0,,1),0)),Ok,VLOOKUP(DATEVALUE(LEFT($B2,4)&amp;"-"&amp;MID($B2,5,2)&amp;"-"&amp;RIGHT($B2,2)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2" s="9" t="str">
        <f t="shared" ref="AN2:AN65" ca="1" si="38">IF(OR(ISBLANK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AND(ISTEXT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ISNA(MATCH(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2" s="15">
        <f t="shared" ref="AO2:AO65" ca="1" si="39">IF(OR(ISBLANK(VLOOKUP(DATEVALUE(LEFT($B2,4)&amp;"-"&amp;MID($B2,5,2)&amp;"-"&amp;RIGHT($B2,2)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ISNA(MATCH(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2,4)&amp;"-"&amp;MID($B2,5,2)&amp;"-"&amp;RIGHT($B2,2)),OFFSET(Catalogus,0,0,,1),0)),Ok,VLOOKUP(DATEVALUE(LEFT($B2,4)&amp;"-"&amp;MID($B2,5,2)&amp;"-"&amp;RIGHT($B2,2)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3" spans="1:41" x14ac:dyDescent="0.25">
      <c r="A3" s="4">
        <f t="shared" si="0"/>
        <v>78989</v>
      </c>
      <c r="B3" t="str">
        <f ca="1">TEXT(DATE(YEAR(Invoer!$A$5),1,1)+ROWS(B$2:B3)-1,"jjjjmmdd")</f>
        <v>19130102</v>
      </c>
      <c r="C3" s="72">
        <f t="shared" si="1"/>
        <v>800</v>
      </c>
      <c r="D3" s="16" t="str">
        <f t="shared" ca="1" si="2"/>
        <v>—</v>
      </c>
      <c r="E3" s="15">
        <f t="shared" ca="1" si="3"/>
        <v>7</v>
      </c>
      <c r="F3" s="73" t="str">
        <f t="shared" ca="1" si="4"/>
        <v>—</v>
      </c>
      <c r="G3" s="15">
        <f t="shared" ca="1" si="5"/>
        <v>7</v>
      </c>
      <c r="H3" s="73" t="str">
        <f t="shared" ca="1" si="6"/>
        <v>—</v>
      </c>
      <c r="I3" s="15">
        <f t="shared" ca="1" si="7"/>
        <v>7</v>
      </c>
      <c r="J3" s="73" t="str">
        <f t="shared" ca="1" si="8"/>
        <v>—</v>
      </c>
      <c r="K3" s="15">
        <f t="shared" ca="1" si="9"/>
        <v>7</v>
      </c>
      <c r="L3" s="16" t="str">
        <f t="shared" ca="1" si="10"/>
        <v>—</v>
      </c>
      <c r="M3" s="15">
        <f t="shared" ca="1" si="11"/>
        <v>7</v>
      </c>
      <c r="N3" s="16" t="str">
        <f t="shared" ca="1" si="12"/>
        <v>—</v>
      </c>
      <c r="O3" s="15">
        <f t="shared" ca="1" si="13"/>
        <v>7</v>
      </c>
      <c r="P3" s="16" t="str">
        <f t="shared" ca="1" si="14"/>
        <v>—</v>
      </c>
      <c r="Q3" s="15">
        <f t="shared" ca="1" si="15"/>
        <v>7</v>
      </c>
      <c r="R3" s="16" t="str">
        <f t="shared" ca="1" si="16"/>
        <v>—</v>
      </c>
      <c r="S3" s="15">
        <f t="shared" ca="1" si="17"/>
        <v>7</v>
      </c>
      <c r="T3" s="9" t="str">
        <f t="shared" ca="1" si="18"/>
        <v>—</v>
      </c>
      <c r="U3" s="15">
        <f t="shared" ca="1" si="19"/>
        <v>7</v>
      </c>
      <c r="V3" s="16" t="str">
        <f t="shared" ca="1" si="20"/>
        <v>—</v>
      </c>
      <c r="W3" s="15">
        <f t="shared" ca="1" si="21"/>
        <v>7</v>
      </c>
      <c r="X3" s="16" t="str">
        <f t="shared" ca="1" si="22"/>
        <v>—</v>
      </c>
      <c r="Y3" s="15">
        <f t="shared" ca="1" si="23"/>
        <v>7</v>
      </c>
      <c r="Z3" s="16" t="str">
        <f t="shared" ca="1" si="24"/>
        <v>—</v>
      </c>
      <c r="AA3" s="15">
        <f t="shared" ca="1" si="25"/>
        <v>7</v>
      </c>
      <c r="AB3" s="9" t="str">
        <f t="shared" ca="1" si="26"/>
        <v>—</v>
      </c>
      <c r="AC3" s="15">
        <f t="shared" ca="1" si="27"/>
        <v>7</v>
      </c>
      <c r="AD3" s="76" t="str">
        <f t="shared" ca="1" si="28"/>
        <v>—</v>
      </c>
      <c r="AE3" s="15">
        <f t="shared" ca="1" si="29"/>
        <v>7</v>
      </c>
      <c r="AF3" s="76" t="str">
        <f t="shared" ca="1" si="30"/>
        <v>—</v>
      </c>
      <c r="AG3" s="15">
        <f t="shared" ca="1" si="31"/>
        <v>7</v>
      </c>
      <c r="AH3" s="9" t="str">
        <f t="shared" ca="1" si="32"/>
        <v>—</v>
      </c>
      <c r="AI3" s="15">
        <f t="shared" ca="1" si="33"/>
        <v>7</v>
      </c>
      <c r="AJ3" s="26" t="str">
        <f t="shared" ca="1" si="34"/>
        <v>—</v>
      </c>
      <c r="AK3" s="15">
        <f t="shared" ca="1" si="35"/>
        <v>7</v>
      </c>
      <c r="AL3" s="9" t="str">
        <f t="shared" ca="1" si="36"/>
        <v>—</v>
      </c>
      <c r="AM3" s="15">
        <f t="shared" ca="1" si="37"/>
        <v>7</v>
      </c>
      <c r="AN3" s="9" t="str">
        <f t="shared" ca="1" si="38"/>
        <v>—</v>
      </c>
      <c r="AO3" s="15">
        <f t="shared" ca="1" si="39"/>
        <v>7</v>
      </c>
    </row>
    <row r="4" spans="1:41" x14ac:dyDescent="0.25">
      <c r="A4" s="4">
        <f t="shared" si="0"/>
        <v>78989</v>
      </c>
      <c r="B4" t="str">
        <f ca="1">TEXT(DATE(YEAR(Invoer!$A$5),1,1)+ROWS(B$2:B4)-1,"jjjjmmdd")</f>
        <v>19130103</v>
      </c>
      <c r="C4" s="72">
        <f t="shared" si="1"/>
        <v>800</v>
      </c>
      <c r="D4" s="16" t="str">
        <f t="shared" ca="1" si="2"/>
        <v>—</v>
      </c>
      <c r="E4" s="15">
        <f t="shared" ca="1" si="3"/>
        <v>7</v>
      </c>
      <c r="F4" s="73" t="str">
        <f t="shared" ca="1" si="4"/>
        <v>—</v>
      </c>
      <c r="G4" s="15">
        <f t="shared" ca="1" si="5"/>
        <v>7</v>
      </c>
      <c r="H4" s="73" t="str">
        <f t="shared" ca="1" si="6"/>
        <v>—</v>
      </c>
      <c r="I4" s="15">
        <f t="shared" ca="1" si="7"/>
        <v>7</v>
      </c>
      <c r="J4" s="73" t="str">
        <f t="shared" ca="1" si="8"/>
        <v>—</v>
      </c>
      <c r="K4" s="15">
        <f t="shared" ca="1" si="9"/>
        <v>7</v>
      </c>
      <c r="L4" s="16" t="str">
        <f t="shared" ca="1" si="10"/>
        <v>—</v>
      </c>
      <c r="M4" s="15">
        <f t="shared" ca="1" si="11"/>
        <v>7</v>
      </c>
      <c r="N4" s="16" t="str">
        <f t="shared" ca="1" si="12"/>
        <v>—</v>
      </c>
      <c r="O4" s="15">
        <f t="shared" ca="1" si="13"/>
        <v>7</v>
      </c>
      <c r="P4" s="16" t="str">
        <f t="shared" ca="1" si="14"/>
        <v>—</v>
      </c>
      <c r="Q4" s="15">
        <f t="shared" ca="1" si="15"/>
        <v>7</v>
      </c>
      <c r="R4" s="16" t="str">
        <f t="shared" ca="1" si="16"/>
        <v>—</v>
      </c>
      <c r="S4" s="15">
        <f t="shared" ca="1" si="17"/>
        <v>7</v>
      </c>
      <c r="T4" s="9" t="str">
        <f t="shared" ca="1" si="18"/>
        <v>—</v>
      </c>
      <c r="U4" s="15">
        <f t="shared" ca="1" si="19"/>
        <v>7</v>
      </c>
      <c r="V4" s="16" t="str">
        <f t="shared" ca="1" si="20"/>
        <v>—</v>
      </c>
      <c r="W4" s="15">
        <f t="shared" ca="1" si="21"/>
        <v>7</v>
      </c>
      <c r="X4" s="16" t="str">
        <f t="shared" ca="1" si="22"/>
        <v>—</v>
      </c>
      <c r="Y4" s="15">
        <f t="shared" ca="1" si="23"/>
        <v>7</v>
      </c>
      <c r="Z4" s="16" t="str">
        <f t="shared" ca="1" si="24"/>
        <v>—</v>
      </c>
      <c r="AA4" s="15">
        <f t="shared" ca="1" si="25"/>
        <v>7</v>
      </c>
      <c r="AB4" s="9" t="str">
        <f t="shared" ca="1" si="26"/>
        <v>—</v>
      </c>
      <c r="AC4" s="15">
        <f t="shared" ca="1" si="27"/>
        <v>7</v>
      </c>
      <c r="AD4" s="76" t="str">
        <f t="shared" ca="1" si="28"/>
        <v>—</v>
      </c>
      <c r="AE4" s="15">
        <f t="shared" ca="1" si="29"/>
        <v>7</v>
      </c>
      <c r="AF4" s="76" t="str">
        <f t="shared" ca="1" si="30"/>
        <v>—</v>
      </c>
      <c r="AG4" s="15">
        <f t="shared" ca="1" si="31"/>
        <v>7</v>
      </c>
      <c r="AH4" s="9" t="str">
        <f t="shared" ca="1" si="32"/>
        <v>—</v>
      </c>
      <c r="AI4" s="15">
        <f t="shared" ca="1" si="33"/>
        <v>7</v>
      </c>
      <c r="AJ4" s="26" t="str">
        <f t="shared" ca="1" si="34"/>
        <v>—</v>
      </c>
      <c r="AK4" s="15">
        <f t="shared" ca="1" si="35"/>
        <v>7</v>
      </c>
      <c r="AL4" s="9" t="str">
        <f t="shared" ca="1" si="36"/>
        <v>—</v>
      </c>
      <c r="AM4" s="15">
        <f t="shared" ca="1" si="37"/>
        <v>7</v>
      </c>
      <c r="AN4" s="9" t="str">
        <f t="shared" ca="1" si="38"/>
        <v>—</v>
      </c>
      <c r="AO4" s="15">
        <f t="shared" ca="1" si="39"/>
        <v>7</v>
      </c>
    </row>
    <row r="5" spans="1:41" x14ac:dyDescent="0.25">
      <c r="A5" s="4">
        <f t="shared" si="0"/>
        <v>78989</v>
      </c>
      <c r="B5" t="str">
        <f ca="1">TEXT(DATE(YEAR(Invoer!$A$5),1,1)+ROWS(B$2:B5)-1,"jjjjmmdd")</f>
        <v>19130104</v>
      </c>
      <c r="C5" s="72">
        <f t="shared" si="1"/>
        <v>800</v>
      </c>
      <c r="D5" s="16" t="str">
        <f t="shared" ca="1" si="2"/>
        <v>—</v>
      </c>
      <c r="E5" s="15">
        <f t="shared" ca="1" si="3"/>
        <v>7</v>
      </c>
      <c r="F5" s="73" t="str">
        <f t="shared" ca="1" si="4"/>
        <v>—</v>
      </c>
      <c r="G5" s="15">
        <f t="shared" ca="1" si="5"/>
        <v>7</v>
      </c>
      <c r="H5" s="73" t="str">
        <f t="shared" ca="1" si="6"/>
        <v>—</v>
      </c>
      <c r="I5" s="15">
        <f t="shared" ca="1" si="7"/>
        <v>7</v>
      </c>
      <c r="J5" s="73" t="str">
        <f t="shared" ca="1" si="8"/>
        <v>—</v>
      </c>
      <c r="K5" s="15">
        <f t="shared" ca="1" si="9"/>
        <v>7</v>
      </c>
      <c r="L5" s="16" t="str">
        <f t="shared" ca="1" si="10"/>
        <v>—</v>
      </c>
      <c r="M5" s="15">
        <f t="shared" ca="1" si="11"/>
        <v>7</v>
      </c>
      <c r="N5" s="16" t="str">
        <f t="shared" ca="1" si="12"/>
        <v>—</v>
      </c>
      <c r="O5" s="15">
        <f t="shared" ca="1" si="13"/>
        <v>7</v>
      </c>
      <c r="P5" s="16" t="str">
        <f t="shared" ca="1" si="14"/>
        <v>—</v>
      </c>
      <c r="Q5" s="15">
        <f t="shared" ca="1" si="15"/>
        <v>7</v>
      </c>
      <c r="R5" s="16" t="str">
        <f t="shared" ca="1" si="16"/>
        <v>—</v>
      </c>
      <c r="S5" s="15">
        <f t="shared" ca="1" si="17"/>
        <v>7</v>
      </c>
      <c r="T5" s="9" t="str">
        <f t="shared" ca="1" si="18"/>
        <v>—</v>
      </c>
      <c r="U5" s="15">
        <f t="shared" ca="1" si="19"/>
        <v>7</v>
      </c>
      <c r="V5" s="16" t="str">
        <f t="shared" ca="1" si="20"/>
        <v>—</v>
      </c>
      <c r="W5" s="15">
        <f t="shared" ca="1" si="21"/>
        <v>7</v>
      </c>
      <c r="X5" s="16" t="str">
        <f t="shared" ca="1" si="22"/>
        <v>—</v>
      </c>
      <c r="Y5" s="15">
        <f t="shared" ca="1" si="23"/>
        <v>7</v>
      </c>
      <c r="Z5" s="16" t="str">
        <f t="shared" ca="1" si="24"/>
        <v>—</v>
      </c>
      <c r="AA5" s="15">
        <f t="shared" ca="1" si="25"/>
        <v>7</v>
      </c>
      <c r="AB5" s="9" t="str">
        <f t="shared" ca="1" si="26"/>
        <v>—</v>
      </c>
      <c r="AC5" s="15">
        <f t="shared" ca="1" si="27"/>
        <v>7</v>
      </c>
      <c r="AD5" s="76" t="str">
        <f t="shared" ca="1" si="28"/>
        <v>—</v>
      </c>
      <c r="AE5" s="15">
        <f t="shared" ca="1" si="29"/>
        <v>7</v>
      </c>
      <c r="AF5" s="76" t="str">
        <f t="shared" ca="1" si="30"/>
        <v>—</v>
      </c>
      <c r="AG5" s="15">
        <f t="shared" ca="1" si="31"/>
        <v>7</v>
      </c>
      <c r="AH5" s="9" t="str">
        <f t="shared" ca="1" si="32"/>
        <v>—</v>
      </c>
      <c r="AI5" s="15">
        <f t="shared" ca="1" si="33"/>
        <v>7</v>
      </c>
      <c r="AJ5" s="26" t="str">
        <f t="shared" ca="1" si="34"/>
        <v>—</v>
      </c>
      <c r="AK5" s="15">
        <f t="shared" ca="1" si="35"/>
        <v>7</v>
      </c>
      <c r="AL5" s="9" t="str">
        <f t="shared" ca="1" si="36"/>
        <v>—</v>
      </c>
      <c r="AM5" s="15">
        <f t="shared" ca="1" si="37"/>
        <v>7</v>
      </c>
      <c r="AN5" s="9" t="str">
        <f t="shared" ca="1" si="38"/>
        <v>—</v>
      </c>
      <c r="AO5" s="15">
        <f t="shared" ca="1" si="39"/>
        <v>7</v>
      </c>
    </row>
    <row r="6" spans="1:41" x14ac:dyDescent="0.25">
      <c r="A6" s="4">
        <f t="shared" si="0"/>
        <v>78989</v>
      </c>
      <c r="B6" t="str">
        <f ca="1">TEXT(DATE(YEAR(Invoer!$A$5),1,1)+ROWS(B$2:B6)-1,"jjjjmmdd")</f>
        <v>19130105</v>
      </c>
      <c r="C6" s="72">
        <f t="shared" si="1"/>
        <v>800</v>
      </c>
      <c r="D6" s="16" t="str">
        <f t="shared" ca="1" si="2"/>
        <v>—</v>
      </c>
      <c r="E6" s="15">
        <f t="shared" ca="1" si="3"/>
        <v>7</v>
      </c>
      <c r="F6" s="73" t="str">
        <f t="shared" ca="1" si="4"/>
        <v>—</v>
      </c>
      <c r="G6" s="15">
        <f t="shared" ca="1" si="5"/>
        <v>7</v>
      </c>
      <c r="H6" s="73" t="str">
        <f t="shared" ca="1" si="6"/>
        <v>—</v>
      </c>
      <c r="I6" s="15">
        <f t="shared" ca="1" si="7"/>
        <v>7</v>
      </c>
      <c r="J6" s="73" t="str">
        <f t="shared" ca="1" si="8"/>
        <v>—</v>
      </c>
      <c r="K6" s="15">
        <f t="shared" ca="1" si="9"/>
        <v>7</v>
      </c>
      <c r="L6" s="16" t="str">
        <f t="shared" ca="1" si="10"/>
        <v>—</v>
      </c>
      <c r="M6" s="15">
        <f t="shared" ca="1" si="11"/>
        <v>7</v>
      </c>
      <c r="N6" s="16" t="str">
        <f t="shared" ca="1" si="12"/>
        <v>—</v>
      </c>
      <c r="O6" s="15">
        <f t="shared" ca="1" si="13"/>
        <v>7</v>
      </c>
      <c r="P6" s="16" t="str">
        <f t="shared" ca="1" si="14"/>
        <v>—</v>
      </c>
      <c r="Q6" s="15">
        <f t="shared" ca="1" si="15"/>
        <v>7</v>
      </c>
      <c r="R6" s="16" t="str">
        <f t="shared" ca="1" si="16"/>
        <v>—</v>
      </c>
      <c r="S6" s="15">
        <f t="shared" ca="1" si="17"/>
        <v>7</v>
      </c>
      <c r="T6" s="9" t="str">
        <f t="shared" ca="1" si="18"/>
        <v>—</v>
      </c>
      <c r="U6" s="15">
        <f t="shared" ca="1" si="19"/>
        <v>7</v>
      </c>
      <c r="V6" s="16" t="str">
        <f t="shared" ca="1" si="20"/>
        <v>—</v>
      </c>
      <c r="W6" s="15">
        <f t="shared" ca="1" si="21"/>
        <v>7</v>
      </c>
      <c r="X6" s="16" t="str">
        <f t="shared" ca="1" si="22"/>
        <v>—</v>
      </c>
      <c r="Y6" s="15">
        <f t="shared" ca="1" si="23"/>
        <v>7</v>
      </c>
      <c r="Z6" s="16" t="str">
        <f t="shared" ca="1" si="24"/>
        <v>—</v>
      </c>
      <c r="AA6" s="15">
        <f t="shared" ca="1" si="25"/>
        <v>7</v>
      </c>
      <c r="AB6" s="9" t="str">
        <f t="shared" ca="1" si="26"/>
        <v>—</v>
      </c>
      <c r="AC6" s="15">
        <f t="shared" ca="1" si="27"/>
        <v>7</v>
      </c>
      <c r="AD6" s="76" t="str">
        <f t="shared" ca="1" si="28"/>
        <v>—</v>
      </c>
      <c r="AE6" s="15">
        <f t="shared" ca="1" si="29"/>
        <v>7</v>
      </c>
      <c r="AF6" s="76" t="str">
        <f t="shared" ca="1" si="30"/>
        <v>—</v>
      </c>
      <c r="AG6" s="15">
        <f t="shared" ca="1" si="31"/>
        <v>7</v>
      </c>
      <c r="AH6" s="9" t="str">
        <f t="shared" ca="1" si="32"/>
        <v>—</v>
      </c>
      <c r="AI6" s="15">
        <f t="shared" ca="1" si="33"/>
        <v>7</v>
      </c>
      <c r="AJ6" s="26" t="str">
        <f t="shared" ca="1" si="34"/>
        <v>—</v>
      </c>
      <c r="AK6" s="15">
        <f t="shared" ca="1" si="35"/>
        <v>7</v>
      </c>
      <c r="AL6" s="9" t="str">
        <f t="shared" ca="1" si="36"/>
        <v>—</v>
      </c>
      <c r="AM6" s="15">
        <f t="shared" ca="1" si="37"/>
        <v>7</v>
      </c>
      <c r="AN6" s="9" t="str">
        <f t="shared" ca="1" si="38"/>
        <v>—</v>
      </c>
      <c r="AO6" s="15">
        <f t="shared" ca="1" si="39"/>
        <v>7</v>
      </c>
    </row>
    <row r="7" spans="1:41" x14ac:dyDescent="0.25">
      <c r="A7" s="4">
        <f t="shared" si="0"/>
        <v>78989</v>
      </c>
      <c r="B7" t="str">
        <f ca="1">TEXT(DATE(YEAR(Invoer!$A$5),1,1)+ROWS(B$2:B7)-1,"jjjjmmdd")</f>
        <v>19130106</v>
      </c>
      <c r="C7" s="72">
        <f t="shared" si="1"/>
        <v>800</v>
      </c>
      <c r="D7" s="16" t="str">
        <f t="shared" ca="1" si="2"/>
        <v>—</v>
      </c>
      <c r="E7" s="15">
        <f t="shared" ca="1" si="3"/>
        <v>7</v>
      </c>
      <c r="F7" s="73" t="str">
        <f t="shared" ca="1" si="4"/>
        <v>—</v>
      </c>
      <c r="G7" s="15">
        <f t="shared" ca="1" si="5"/>
        <v>7</v>
      </c>
      <c r="H7" s="73" t="str">
        <f t="shared" ca="1" si="6"/>
        <v>—</v>
      </c>
      <c r="I7" s="15">
        <f t="shared" ca="1" si="7"/>
        <v>7</v>
      </c>
      <c r="J7" s="73" t="str">
        <f t="shared" ca="1" si="8"/>
        <v>—</v>
      </c>
      <c r="K7" s="15">
        <f t="shared" ca="1" si="9"/>
        <v>7</v>
      </c>
      <c r="L7" s="16" t="str">
        <f t="shared" ca="1" si="10"/>
        <v>—</v>
      </c>
      <c r="M7" s="15">
        <f t="shared" ca="1" si="11"/>
        <v>7</v>
      </c>
      <c r="N7" s="16" t="str">
        <f t="shared" ca="1" si="12"/>
        <v>—</v>
      </c>
      <c r="O7" s="15">
        <f t="shared" ca="1" si="13"/>
        <v>7</v>
      </c>
      <c r="P7" s="16" t="str">
        <f t="shared" ca="1" si="14"/>
        <v>—</v>
      </c>
      <c r="Q7" s="15">
        <f t="shared" ca="1" si="15"/>
        <v>7</v>
      </c>
      <c r="R7" s="16" t="str">
        <f t="shared" ca="1" si="16"/>
        <v>—</v>
      </c>
      <c r="S7" s="15">
        <f t="shared" ca="1" si="17"/>
        <v>7</v>
      </c>
      <c r="T7" s="9" t="str">
        <f t="shared" ca="1" si="18"/>
        <v>—</v>
      </c>
      <c r="U7" s="15">
        <f t="shared" ca="1" si="19"/>
        <v>7</v>
      </c>
      <c r="V7" s="16" t="str">
        <f t="shared" ca="1" si="20"/>
        <v>—</v>
      </c>
      <c r="W7" s="15">
        <f t="shared" ca="1" si="21"/>
        <v>7</v>
      </c>
      <c r="X7" s="16" t="str">
        <f t="shared" ca="1" si="22"/>
        <v>—</v>
      </c>
      <c r="Y7" s="15">
        <f t="shared" ca="1" si="23"/>
        <v>7</v>
      </c>
      <c r="Z7" s="16" t="str">
        <f t="shared" ca="1" si="24"/>
        <v>—</v>
      </c>
      <c r="AA7" s="15">
        <f t="shared" ca="1" si="25"/>
        <v>7</v>
      </c>
      <c r="AB7" s="9" t="str">
        <f t="shared" ca="1" si="26"/>
        <v>—</v>
      </c>
      <c r="AC7" s="15">
        <f t="shared" ca="1" si="27"/>
        <v>7</v>
      </c>
      <c r="AD7" s="76" t="str">
        <f t="shared" ca="1" si="28"/>
        <v>—</v>
      </c>
      <c r="AE7" s="15">
        <f t="shared" ca="1" si="29"/>
        <v>7</v>
      </c>
      <c r="AF7" s="76" t="str">
        <f t="shared" ca="1" si="30"/>
        <v>—</v>
      </c>
      <c r="AG7" s="15">
        <f t="shared" ca="1" si="31"/>
        <v>7</v>
      </c>
      <c r="AH7" s="9" t="str">
        <f t="shared" ca="1" si="32"/>
        <v>—</v>
      </c>
      <c r="AI7" s="15">
        <f t="shared" ca="1" si="33"/>
        <v>7</v>
      </c>
      <c r="AJ7" s="26" t="str">
        <f t="shared" ca="1" si="34"/>
        <v>—</v>
      </c>
      <c r="AK7" s="15">
        <f t="shared" ca="1" si="35"/>
        <v>7</v>
      </c>
      <c r="AL7" s="9" t="str">
        <f t="shared" ca="1" si="36"/>
        <v>—</v>
      </c>
      <c r="AM7" s="15">
        <f t="shared" ca="1" si="37"/>
        <v>7</v>
      </c>
      <c r="AN7" s="9" t="str">
        <f t="shared" ca="1" si="38"/>
        <v>—</v>
      </c>
      <c r="AO7" s="15">
        <f t="shared" ca="1" si="39"/>
        <v>7</v>
      </c>
    </row>
    <row r="8" spans="1:41" x14ac:dyDescent="0.25">
      <c r="A8" s="4">
        <f t="shared" si="0"/>
        <v>78989</v>
      </c>
      <c r="B8" t="str">
        <f ca="1">TEXT(DATE(YEAR(Invoer!$A$5),1,1)+ROWS(B$2:B8)-1,"jjjjmmdd")</f>
        <v>19130107</v>
      </c>
      <c r="C8" s="72">
        <f t="shared" si="1"/>
        <v>800</v>
      </c>
      <c r="D8" s="16" t="str">
        <f t="shared" ca="1" si="2"/>
        <v>—</v>
      </c>
      <c r="E8" s="15">
        <f t="shared" ca="1" si="3"/>
        <v>7</v>
      </c>
      <c r="F8" s="73" t="str">
        <f t="shared" ca="1" si="4"/>
        <v>—</v>
      </c>
      <c r="G8" s="15">
        <f t="shared" ca="1" si="5"/>
        <v>7</v>
      </c>
      <c r="H8" s="73" t="str">
        <f t="shared" ca="1" si="6"/>
        <v>—</v>
      </c>
      <c r="I8" s="15">
        <f t="shared" ca="1" si="7"/>
        <v>7</v>
      </c>
      <c r="J8" s="73" t="str">
        <f t="shared" ca="1" si="8"/>
        <v>—</v>
      </c>
      <c r="K8" s="15">
        <f t="shared" ca="1" si="9"/>
        <v>7</v>
      </c>
      <c r="L8" s="16" t="str">
        <f t="shared" ca="1" si="10"/>
        <v>—</v>
      </c>
      <c r="M8" s="15">
        <f t="shared" ca="1" si="11"/>
        <v>7</v>
      </c>
      <c r="N8" s="16" t="str">
        <f t="shared" ca="1" si="12"/>
        <v>—</v>
      </c>
      <c r="O8" s="15">
        <f t="shared" ca="1" si="13"/>
        <v>7</v>
      </c>
      <c r="P8" s="16" t="str">
        <f t="shared" ca="1" si="14"/>
        <v>—</v>
      </c>
      <c r="Q8" s="15">
        <f t="shared" ca="1" si="15"/>
        <v>7</v>
      </c>
      <c r="R8" s="16" t="str">
        <f t="shared" ca="1" si="16"/>
        <v>—</v>
      </c>
      <c r="S8" s="15">
        <f t="shared" ca="1" si="17"/>
        <v>7</v>
      </c>
      <c r="T8" s="9" t="str">
        <f t="shared" ca="1" si="18"/>
        <v>—</v>
      </c>
      <c r="U8" s="15">
        <f t="shared" ca="1" si="19"/>
        <v>7</v>
      </c>
      <c r="V8" s="16" t="str">
        <f t="shared" ca="1" si="20"/>
        <v>—</v>
      </c>
      <c r="W8" s="15">
        <f t="shared" ca="1" si="21"/>
        <v>7</v>
      </c>
      <c r="X8" s="16" t="str">
        <f t="shared" ca="1" si="22"/>
        <v>—</v>
      </c>
      <c r="Y8" s="15">
        <f t="shared" ca="1" si="23"/>
        <v>7</v>
      </c>
      <c r="Z8" s="16" t="str">
        <f t="shared" ca="1" si="24"/>
        <v>—</v>
      </c>
      <c r="AA8" s="15">
        <f t="shared" ca="1" si="25"/>
        <v>7</v>
      </c>
      <c r="AB8" s="9" t="str">
        <f t="shared" ca="1" si="26"/>
        <v>—</v>
      </c>
      <c r="AC8" s="15">
        <f t="shared" ca="1" si="27"/>
        <v>7</v>
      </c>
      <c r="AD8" s="76" t="str">
        <f t="shared" ca="1" si="28"/>
        <v>—</v>
      </c>
      <c r="AE8" s="15">
        <f t="shared" ca="1" si="29"/>
        <v>7</v>
      </c>
      <c r="AF8" s="76" t="str">
        <f t="shared" ca="1" si="30"/>
        <v>—</v>
      </c>
      <c r="AG8" s="15">
        <f t="shared" ca="1" si="31"/>
        <v>7</v>
      </c>
      <c r="AH8" s="9" t="str">
        <f t="shared" ca="1" si="32"/>
        <v>—</v>
      </c>
      <c r="AI8" s="15">
        <f t="shared" ca="1" si="33"/>
        <v>7</v>
      </c>
      <c r="AJ8" s="26" t="str">
        <f t="shared" ca="1" si="34"/>
        <v>—</v>
      </c>
      <c r="AK8" s="15">
        <f t="shared" ca="1" si="35"/>
        <v>7</v>
      </c>
      <c r="AL8" s="9" t="str">
        <f t="shared" ca="1" si="36"/>
        <v>—</v>
      </c>
      <c r="AM8" s="15">
        <f t="shared" ca="1" si="37"/>
        <v>7</v>
      </c>
      <c r="AN8" s="9" t="str">
        <f t="shared" ca="1" si="38"/>
        <v>—</v>
      </c>
      <c r="AO8" s="15">
        <f t="shared" ca="1" si="39"/>
        <v>7</v>
      </c>
    </row>
    <row r="9" spans="1:41" x14ac:dyDescent="0.25">
      <c r="A9" s="4">
        <f t="shared" si="0"/>
        <v>78989</v>
      </c>
      <c r="B9" t="str">
        <f ca="1">TEXT(DATE(YEAR(Invoer!$A$5),1,1)+ROWS(B$2:B9)-1,"jjjjmmdd")</f>
        <v>19130108</v>
      </c>
      <c r="C9" s="72">
        <f t="shared" si="1"/>
        <v>800</v>
      </c>
      <c r="D9" s="16" t="str">
        <f t="shared" ca="1" si="2"/>
        <v>—</v>
      </c>
      <c r="E9" s="15">
        <f t="shared" ca="1" si="3"/>
        <v>7</v>
      </c>
      <c r="F9" s="73" t="str">
        <f t="shared" ca="1" si="4"/>
        <v>—</v>
      </c>
      <c r="G9" s="15">
        <f t="shared" ca="1" si="5"/>
        <v>7</v>
      </c>
      <c r="H9" s="73" t="str">
        <f t="shared" ca="1" si="6"/>
        <v>—</v>
      </c>
      <c r="I9" s="15">
        <f t="shared" ca="1" si="7"/>
        <v>7</v>
      </c>
      <c r="J9" s="73" t="str">
        <f t="shared" ca="1" si="8"/>
        <v>—</v>
      </c>
      <c r="K9" s="15">
        <f t="shared" ca="1" si="9"/>
        <v>7</v>
      </c>
      <c r="L9" s="16" t="str">
        <f t="shared" ca="1" si="10"/>
        <v>—</v>
      </c>
      <c r="M9" s="15">
        <f t="shared" ca="1" si="11"/>
        <v>7</v>
      </c>
      <c r="N9" s="16" t="str">
        <f t="shared" ca="1" si="12"/>
        <v>—</v>
      </c>
      <c r="O9" s="15">
        <f t="shared" ca="1" si="13"/>
        <v>7</v>
      </c>
      <c r="P9" s="16" t="str">
        <f t="shared" ca="1" si="14"/>
        <v>—</v>
      </c>
      <c r="Q9" s="15">
        <f t="shared" ca="1" si="15"/>
        <v>7</v>
      </c>
      <c r="R9" s="16" t="str">
        <f t="shared" ca="1" si="16"/>
        <v>—</v>
      </c>
      <c r="S9" s="15">
        <f t="shared" ca="1" si="17"/>
        <v>7</v>
      </c>
      <c r="T9" s="9" t="str">
        <f t="shared" ca="1" si="18"/>
        <v>—</v>
      </c>
      <c r="U9" s="15">
        <f t="shared" ca="1" si="19"/>
        <v>7</v>
      </c>
      <c r="V9" s="16" t="str">
        <f t="shared" ca="1" si="20"/>
        <v>—</v>
      </c>
      <c r="W9" s="15">
        <f t="shared" ca="1" si="21"/>
        <v>7</v>
      </c>
      <c r="X9" s="16" t="str">
        <f t="shared" ca="1" si="22"/>
        <v>—</v>
      </c>
      <c r="Y9" s="15">
        <f t="shared" ca="1" si="23"/>
        <v>7</v>
      </c>
      <c r="Z9" s="16" t="str">
        <f t="shared" ca="1" si="24"/>
        <v>—</v>
      </c>
      <c r="AA9" s="15">
        <f t="shared" ca="1" si="25"/>
        <v>7</v>
      </c>
      <c r="AB9" s="9" t="str">
        <f t="shared" ca="1" si="26"/>
        <v>—</v>
      </c>
      <c r="AC9" s="15">
        <f t="shared" ca="1" si="27"/>
        <v>7</v>
      </c>
      <c r="AD9" s="76" t="str">
        <f t="shared" ca="1" si="28"/>
        <v>—</v>
      </c>
      <c r="AE9" s="15">
        <f t="shared" ca="1" si="29"/>
        <v>7</v>
      </c>
      <c r="AF9" s="76" t="str">
        <f t="shared" ca="1" si="30"/>
        <v>—</v>
      </c>
      <c r="AG9" s="15">
        <f t="shared" ca="1" si="31"/>
        <v>7</v>
      </c>
      <c r="AH9" s="9" t="str">
        <f t="shared" ca="1" si="32"/>
        <v>—</v>
      </c>
      <c r="AI9" s="15">
        <f t="shared" ca="1" si="33"/>
        <v>7</v>
      </c>
      <c r="AJ9" s="26" t="str">
        <f t="shared" ca="1" si="34"/>
        <v>—</v>
      </c>
      <c r="AK9" s="15">
        <f t="shared" ca="1" si="35"/>
        <v>7</v>
      </c>
      <c r="AL9" s="9" t="str">
        <f t="shared" ca="1" si="36"/>
        <v>—</v>
      </c>
      <c r="AM9" s="15">
        <f t="shared" ca="1" si="37"/>
        <v>7</v>
      </c>
      <c r="AN9" s="9" t="str">
        <f t="shared" ca="1" si="38"/>
        <v>—</v>
      </c>
      <c r="AO9" s="15">
        <f t="shared" ca="1" si="39"/>
        <v>7</v>
      </c>
    </row>
    <row r="10" spans="1:41" x14ac:dyDescent="0.25">
      <c r="A10" s="4">
        <f t="shared" si="0"/>
        <v>78989</v>
      </c>
      <c r="B10" t="str">
        <f ca="1">TEXT(DATE(YEAR(Invoer!$A$5),1,1)+ROWS(B$2:B10)-1,"jjjjmmdd")</f>
        <v>19130109</v>
      </c>
      <c r="C10" s="72">
        <f t="shared" si="1"/>
        <v>800</v>
      </c>
      <c r="D10" s="16" t="str">
        <f t="shared" ca="1" si="2"/>
        <v>—</v>
      </c>
      <c r="E10" s="15">
        <f t="shared" ca="1" si="3"/>
        <v>7</v>
      </c>
      <c r="F10" s="73" t="str">
        <f t="shared" ca="1" si="4"/>
        <v>—</v>
      </c>
      <c r="G10" s="15">
        <f t="shared" ca="1" si="5"/>
        <v>7</v>
      </c>
      <c r="H10" s="73" t="str">
        <f t="shared" ca="1" si="6"/>
        <v>—</v>
      </c>
      <c r="I10" s="15">
        <f t="shared" ca="1" si="7"/>
        <v>7</v>
      </c>
      <c r="J10" s="73" t="str">
        <f t="shared" ca="1" si="8"/>
        <v>—</v>
      </c>
      <c r="K10" s="15">
        <f t="shared" ca="1" si="9"/>
        <v>7</v>
      </c>
      <c r="L10" s="16" t="str">
        <f t="shared" ca="1" si="10"/>
        <v>—</v>
      </c>
      <c r="M10" s="15">
        <f t="shared" ca="1" si="11"/>
        <v>7</v>
      </c>
      <c r="N10" s="16" t="str">
        <f t="shared" ca="1" si="12"/>
        <v>—</v>
      </c>
      <c r="O10" s="15">
        <f t="shared" ca="1" si="13"/>
        <v>7</v>
      </c>
      <c r="P10" s="16" t="str">
        <f t="shared" ca="1" si="14"/>
        <v>—</v>
      </c>
      <c r="Q10" s="15">
        <f t="shared" ca="1" si="15"/>
        <v>7</v>
      </c>
      <c r="R10" s="16" t="str">
        <f t="shared" ca="1" si="16"/>
        <v>—</v>
      </c>
      <c r="S10" s="15">
        <f t="shared" ca="1" si="17"/>
        <v>7</v>
      </c>
      <c r="T10" s="9" t="str">
        <f t="shared" ca="1" si="18"/>
        <v>—</v>
      </c>
      <c r="U10" s="15">
        <f t="shared" ca="1" si="19"/>
        <v>7</v>
      </c>
      <c r="V10" s="16" t="str">
        <f t="shared" ca="1" si="20"/>
        <v>—</v>
      </c>
      <c r="W10" s="15">
        <f t="shared" ca="1" si="21"/>
        <v>7</v>
      </c>
      <c r="X10" s="16" t="str">
        <f t="shared" ca="1" si="22"/>
        <v>—</v>
      </c>
      <c r="Y10" s="15">
        <f t="shared" ca="1" si="23"/>
        <v>7</v>
      </c>
      <c r="Z10" s="16" t="str">
        <f t="shared" ca="1" si="24"/>
        <v>—</v>
      </c>
      <c r="AA10" s="15">
        <f t="shared" ca="1" si="25"/>
        <v>7</v>
      </c>
      <c r="AB10" s="9" t="str">
        <f t="shared" ca="1" si="26"/>
        <v>—</v>
      </c>
      <c r="AC10" s="15">
        <f t="shared" ca="1" si="27"/>
        <v>7</v>
      </c>
      <c r="AD10" s="76" t="str">
        <f t="shared" ca="1" si="28"/>
        <v>—</v>
      </c>
      <c r="AE10" s="15">
        <f t="shared" ca="1" si="29"/>
        <v>7</v>
      </c>
      <c r="AF10" s="76" t="str">
        <f t="shared" ca="1" si="30"/>
        <v>—</v>
      </c>
      <c r="AG10" s="15">
        <f t="shared" ca="1" si="31"/>
        <v>7</v>
      </c>
      <c r="AH10" s="9" t="str">
        <f t="shared" ca="1" si="32"/>
        <v>—</v>
      </c>
      <c r="AI10" s="15">
        <f t="shared" ca="1" si="33"/>
        <v>7</v>
      </c>
      <c r="AJ10" s="26" t="str">
        <f t="shared" ca="1" si="34"/>
        <v>—</v>
      </c>
      <c r="AK10" s="15">
        <f t="shared" ca="1" si="35"/>
        <v>7</v>
      </c>
      <c r="AL10" s="9" t="str">
        <f t="shared" ca="1" si="36"/>
        <v>—</v>
      </c>
      <c r="AM10" s="15">
        <f t="shared" ca="1" si="37"/>
        <v>7</v>
      </c>
      <c r="AN10" s="9" t="str">
        <f t="shared" ca="1" si="38"/>
        <v>—</v>
      </c>
      <c r="AO10" s="15">
        <f t="shared" ca="1" si="39"/>
        <v>7</v>
      </c>
    </row>
    <row r="11" spans="1:41" x14ac:dyDescent="0.25">
      <c r="A11" s="4">
        <f t="shared" si="0"/>
        <v>78989</v>
      </c>
      <c r="B11" t="str">
        <f ca="1">TEXT(DATE(YEAR(Invoer!$A$5),1,1)+ROWS(B$2:B11)-1,"jjjjmmdd")</f>
        <v>19130110</v>
      </c>
      <c r="C11" s="72">
        <f t="shared" si="1"/>
        <v>800</v>
      </c>
      <c r="D11" s="16" t="str">
        <f t="shared" ca="1" si="2"/>
        <v>—</v>
      </c>
      <c r="E11" s="15">
        <f t="shared" ca="1" si="3"/>
        <v>7</v>
      </c>
      <c r="F11" s="73" t="str">
        <f t="shared" ca="1" si="4"/>
        <v>—</v>
      </c>
      <c r="G11" s="15">
        <f t="shared" ca="1" si="5"/>
        <v>7</v>
      </c>
      <c r="H11" s="73" t="str">
        <f t="shared" ca="1" si="6"/>
        <v>—</v>
      </c>
      <c r="I11" s="15">
        <f t="shared" ca="1" si="7"/>
        <v>7</v>
      </c>
      <c r="J11" s="73" t="str">
        <f t="shared" ca="1" si="8"/>
        <v>—</v>
      </c>
      <c r="K11" s="15">
        <f t="shared" ca="1" si="9"/>
        <v>7</v>
      </c>
      <c r="L11" s="16" t="str">
        <f t="shared" ca="1" si="10"/>
        <v>—</v>
      </c>
      <c r="M11" s="15">
        <f t="shared" ca="1" si="11"/>
        <v>7</v>
      </c>
      <c r="N11" s="16" t="str">
        <f t="shared" ca="1" si="12"/>
        <v>—</v>
      </c>
      <c r="O11" s="15">
        <f t="shared" ca="1" si="13"/>
        <v>7</v>
      </c>
      <c r="P11" s="16" t="str">
        <f t="shared" ca="1" si="14"/>
        <v>—</v>
      </c>
      <c r="Q11" s="15">
        <f t="shared" ca="1" si="15"/>
        <v>7</v>
      </c>
      <c r="R11" s="16" t="str">
        <f t="shared" ca="1" si="16"/>
        <v>—</v>
      </c>
      <c r="S11" s="15">
        <f t="shared" ca="1" si="17"/>
        <v>7</v>
      </c>
      <c r="T11" s="9" t="str">
        <f t="shared" ca="1" si="18"/>
        <v>—</v>
      </c>
      <c r="U11" s="15">
        <f t="shared" ca="1" si="19"/>
        <v>7</v>
      </c>
      <c r="V11" s="16" t="str">
        <f t="shared" ca="1" si="20"/>
        <v>—</v>
      </c>
      <c r="W11" s="15">
        <f t="shared" ca="1" si="21"/>
        <v>7</v>
      </c>
      <c r="X11" s="16" t="str">
        <f t="shared" ca="1" si="22"/>
        <v>—</v>
      </c>
      <c r="Y11" s="15">
        <f t="shared" ca="1" si="23"/>
        <v>7</v>
      </c>
      <c r="Z11" s="16" t="str">
        <f t="shared" ca="1" si="24"/>
        <v>—</v>
      </c>
      <c r="AA11" s="15">
        <f t="shared" ca="1" si="25"/>
        <v>7</v>
      </c>
      <c r="AB11" s="9" t="str">
        <f t="shared" ca="1" si="26"/>
        <v>—</v>
      </c>
      <c r="AC11" s="15">
        <f t="shared" ca="1" si="27"/>
        <v>7</v>
      </c>
      <c r="AD11" s="76" t="str">
        <f t="shared" ca="1" si="28"/>
        <v>—</v>
      </c>
      <c r="AE11" s="15">
        <f t="shared" ca="1" si="29"/>
        <v>7</v>
      </c>
      <c r="AF11" s="76" t="str">
        <f t="shared" ca="1" si="30"/>
        <v>—</v>
      </c>
      <c r="AG11" s="15">
        <f t="shared" ca="1" si="31"/>
        <v>7</v>
      </c>
      <c r="AH11" s="9" t="str">
        <f t="shared" ca="1" si="32"/>
        <v>—</v>
      </c>
      <c r="AI11" s="15">
        <f t="shared" ca="1" si="33"/>
        <v>7</v>
      </c>
      <c r="AJ11" s="26" t="str">
        <f t="shared" ca="1" si="34"/>
        <v>—</v>
      </c>
      <c r="AK11" s="15">
        <f t="shared" ca="1" si="35"/>
        <v>7</v>
      </c>
      <c r="AL11" s="9" t="str">
        <f t="shared" ca="1" si="36"/>
        <v>—</v>
      </c>
      <c r="AM11" s="15">
        <f t="shared" ca="1" si="37"/>
        <v>7</v>
      </c>
      <c r="AN11" s="9" t="str">
        <f t="shared" ca="1" si="38"/>
        <v>—</v>
      </c>
      <c r="AO11" s="15">
        <f t="shared" ca="1" si="39"/>
        <v>7</v>
      </c>
    </row>
    <row r="12" spans="1:41" x14ac:dyDescent="0.25">
      <c r="A12" s="4">
        <f t="shared" si="0"/>
        <v>78989</v>
      </c>
      <c r="B12" t="str">
        <f ca="1">TEXT(DATE(YEAR(Invoer!$A$5),1,1)+ROWS(B$2:B12)-1,"jjjjmmdd")</f>
        <v>19130111</v>
      </c>
      <c r="C12" s="72">
        <f t="shared" si="1"/>
        <v>800</v>
      </c>
      <c r="D12" s="16" t="str">
        <f t="shared" ca="1" si="2"/>
        <v>—</v>
      </c>
      <c r="E12" s="15">
        <f t="shared" ca="1" si="3"/>
        <v>7</v>
      </c>
      <c r="F12" s="73" t="str">
        <f t="shared" ca="1" si="4"/>
        <v>—</v>
      </c>
      <c r="G12" s="15">
        <f t="shared" ca="1" si="5"/>
        <v>7</v>
      </c>
      <c r="H12" s="73" t="str">
        <f t="shared" ca="1" si="6"/>
        <v>—</v>
      </c>
      <c r="I12" s="15">
        <f t="shared" ca="1" si="7"/>
        <v>7</v>
      </c>
      <c r="J12" s="73" t="str">
        <f t="shared" ca="1" si="8"/>
        <v>—</v>
      </c>
      <c r="K12" s="15">
        <f t="shared" ca="1" si="9"/>
        <v>7</v>
      </c>
      <c r="L12" s="16" t="str">
        <f t="shared" ca="1" si="10"/>
        <v>—</v>
      </c>
      <c r="M12" s="15">
        <f t="shared" ca="1" si="11"/>
        <v>7</v>
      </c>
      <c r="N12" s="16" t="str">
        <f t="shared" ca="1" si="12"/>
        <v>—</v>
      </c>
      <c r="O12" s="15">
        <f t="shared" ca="1" si="13"/>
        <v>7</v>
      </c>
      <c r="P12" s="16" t="str">
        <f t="shared" ca="1" si="14"/>
        <v>—</v>
      </c>
      <c r="Q12" s="15">
        <f t="shared" ca="1" si="15"/>
        <v>7</v>
      </c>
      <c r="R12" s="16" t="str">
        <f t="shared" ca="1" si="16"/>
        <v>—</v>
      </c>
      <c r="S12" s="15">
        <f t="shared" ca="1" si="17"/>
        <v>7</v>
      </c>
      <c r="T12" s="9" t="str">
        <f t="shared" ca="1" si="18"/>
        <v>—</v>
      </c>
      <c r="U12" s="15">
        <f t="shared" ca="1" si="19"/>
        <v>7</v>
      </c>
      <c r="V12" s="16" t="str">
        <f t="shared" ca="1" si="20"/>
        <v>—</v>
      </c>
      <c r="W12" s="15">
        <f t="shared" ca="1" si="21"/>
        <v>7</v>
      </c>
      <c r="X12" s="16" t="str">
        <f t="shared" ca="1" si="22"/>
        <v>—</v>
      </c>
      <c r="Y12" s="15">
        <f t="shared" ca="1" si="23"/>
        <v>7</v>
      </c>
      <c r="Z12" s="16" t="str">
        <f t="shared" ca="1" si="24"/>
        <v>—</v>
      </c>
      <c r="AA12" s="15">
        <f t="shared" ca="1" si="25"/>
        <v>7</v>
      </c>
      <c r="AB12" s="9" t="str">
        <f t="shared" ca="1" si="26"/>
        <v>—</v>
      </c>
      <c r="AC12" s="15">
        <f t="shared" ca="1" si="27"/>
        <v>7</v>
      </c>
      <c r="AD12" s="76" t="str">
        <f t="shared" ca="1" si="28"/>
        <v>—</v>
      </c>
      <c r="AE12" s="15">
        <f t="shared" ca="1" si="29"/>
        <v>7</v>
      </c>
      <c r="AF12" s="76" t="str">
        <f t="shared" ca="1" si="30"/>
        <v>—</v>
      </c>
      <c r="AG12" s="15">
        <f t="shared" ca="1" si="31"/>
        <v>7</v>
      </c>
      <c r="AH12" s="9" t="str">
        <f t="shared" ca="1" si="32"/>
        <v>—</v>
      </c>
      <c r="AI12" s="15">
        <f t="shared" ca="1" si="33"/>
        <v>7</v>
      </c>
      <c r="AJ12" s="26" t="str">
        <f t="shared" ca="1" si="34"/>
        <v>—</v>
      </c>
      <c r="AK12" s="15">
        <f t="shared" ca="1" si="35"/>
        <v>7</v>
      </c>
      <c r="AL12" s="9" t="str">
        <f t="shared" ca="1" si="36"/>
        <v>—</v>
      </c>
      <c r="AM12" s="15">
        <f t="shared" ca="1" si="37"/>
        <v>7</v>
      </c>
      <c r="AN12" s="9" t="str">
        <f t="shared" ca="1" si="38"/>
        <v>—</v>
      </c>
      <c r="AO12" s="15">
        <f t="shared" ca="1" si="39"/>
        <v>7</v>
      </c>
    </row>
    <row r="13" spans="1:41" x14ac:dyDescent="0.25">
      <c r="A13" s="4">
        <f t="shared" si="0"/>
        <v>78989</v>
      </c>
      <c r="B13" t="str">
        <f ca="1">TEXT(DATE(YEAR(Invoer!$A$5),1,1)+ROWS(B$2:B13)-1,"jjjjmmdd")</f>
        <v>19130112</v>
      </c>
      <c r="C13" s="72">
        <f t="shared" si="1"/>
        <v>800</v>
      </c>
      <c r="D13" s="16" t="str">
        <f t="shared" ca="1" si="2"/>
        <v>—</v>
      </c>
      <c r="E13" s="15">
        <f t="shared" ca="1" si="3"/>
        <v>7</v>
      </c>
      <c r="F13" s="73" t="str">
        <f t="shared" ca="1" si="4"/>
        <v>—</v>
      </c>
      <c r="G13" s="15">
        <f t="shared" ca="1" si="5"/>
        <v>7</v>
      </c>
      <c r="H13" s="73" t="str">
        <f t="shared" ca="1" si="6"/>
        <v>—</v>
      </c>
      <c r="I13" s="15">
        <f t="shared" ca="1" si="7"/>
        <v>7</v>
      </c>
      <c r="J13" s="73" t="str">
        <f t="shared" ca="1" si="8"/>
        <v>—</v>
      </c>
      <c r="K13" s="15">
        <f t="shared" ca="1" si="9"/>
        <v>7</v>
      </c>
      <c r="L13" s="16" t="str">
        <f t="shared" ca="1" si="10"/>
        <v>—</v>
      </c>
      <c r="M13" s="15">
        <f t="shared" ca="1" si="11"/>
        <v>7</v>
      </c>
      <c r="N13" s="16" t="str">
        <f t="shared" ca="1" si="12"/>
        <v>—</v>
      </c>
      <c r="O13" s="15">
        <f t="shared" ca="1" si="13"/>
        <v>7</v>
      </c>
      <c r="P13" s="16" t="str">
        <f t="shared" ca="1" si="14"/>
        <v>—</v>
      </c>
      <c r="Q13" s="15">
        <f t="shared" ca="1" si="15"/>
        <v>7</v>
      </c>
      <c r="R13" s="16" t="str">
        <f t="shared" ca="1" si="16"/>
        <v>—</v>
      </c>
      <c r="S13" s="15">
        <f t="shared" ca="1" si="17"/>
        <v>7</v>
      </c>
      <c r="T13" s="9" t="str">
        <f t="shared" ca="1" si="18"/>
        <v>—</v>
      </c>
      <c r="U13" s="15">
        <f t="shared" ca="1" si="19"/>
        <v>7</v>
      </c>
      <c r="V13" s="16" t="str">
        <f t="shared" ca="1" si="20"/>
        <v>—</v>
      </c>
      <c r="W13" s="15">
        <f t="shared" ca="1" si="21"/>
        <v>7</v>
      </c>
      <c r="X13" s="16" t="str">
        <f t="shared" ca="1" si="22"/>
        <v>—</v>
      </c>
      <c r="Y13" s="15">
        <f t="shared" ca="1" si="23"/>
        <v>7</v>
      </c>
      <c r="Z13" s="16" t="str">
        <f t="shared" ca="1" si="24"/>
        <v>—</v>
      </c>
      <c r="AA13" s="15">
        <f t="shared" ca="1" si="25"/>
        <v>7</v>
      </c>
      <c r="AB13" s="9" t="str">
        <f t="shared" ca="1" si="26"/>
        <v>—</v>
      </c>
      <c r="AC13" s="15">
        <f t="shared" ca="1" si="27"/>
        <v>7</v>
      </c>
      <c r="AD13" s="76" t="str">
        <f t="shared" ca="1" si="28"/>
        <v>—</v>
      </c>
      <c r="AE13" s="15">
        <f t="shared" ca="1" si="29"/>
        <v>7</v>
      </c>
      <c r="AF13" s="76" t="str">
        <f t="shared" ca="1" si="30"/>
        <v>—</v>
      </c>
      <c r="AG13" s="15">
        <f t="shared" ca="1" si="31"/>
        <v>7</v>
      </c>
      <c r="AH13" s="9" t="str">
        <f t="shared" ca="1" si="32"/>
        <v>—</v>
      </c>
      <c r="AI13" s="15">
        <f t="shared" ca="1" si="33"/>
        <v>7</v>
      </c>
      <c r="AJ13" s="26" t="str">
        <f t="shared" ca="1" si="34"/>
        <v>—</v>
      </c>
      <c r="AK13" s="15">
        <f t="shared" ca="1" si="35"/>
        <v>7</v>
      </c>
      <c r="AL13" s="9" t="str">
        <f t="shared" ca="1" si="36"/>
        <v>—</v>
      </c>
      <c r="AM13" s="15">
        <f t="shared" ca="1" si="37"/>
        <v>7</v>
      </c>
      <c r="AN13" s="9" t="str">
        <f t="shared" ca="1" si="38"/>
        <v>—</v>
      </c>
      <c r="AO13" s="15">
        <f t="shared" ca="1" si="39"/>
        <v>7</v>
      </c>
    </row>
    <row r="14" spans="1:41" x14ac:dyDescent="0.25">
      <c r="A14" s="4">
        <f t="shared" si="0"/>
        <v>78989</v>
      </c>
      <c r="B14" t="str">
        <f ca="1">TEXT(DATE(YEAR(Invoer!$A$5),1,1)+ROWS(B$2:B14)-1,"jjjjmmdd")</f>
        <v>19130113</v>
      </c>
      <c r="C14" s="72">
        <f t="shared" si="1"/>
        <v>800</v>
      </c>
      <c r="D14" s="16" t="str">
        <f t="shared" ca="1" si="2"/>
        <v>—</v>
      </c>
      <c r="E14" s="15">
        <f t="shared" ca="1" si="3"/>
        <v>7</v>
      </c>
      <c r="F14" s="73" t="str">
        <f t="shared" ca="1" si="4"/>
        <v>—</v>
      </c>
      <c r="G14" s="15">
        <f t="shared" ca="1" si="5"/>
        <v>7</v>
      </c>
      <c r="H14" s="73" t="str">
        <f t="shared" ca="1" si="6"/>
        <v>—</v>
      </c>
      <c r="I14" s="15">
        <f t="shared" ca="1" si="7"/>
        <v>7</v>
      </c>
      <c r="J14" s="73" t="str">
        <f t="shared" ca="1" si="8"/>
        <v>—</v>
      </c>
      <c r="K14" s="15">
        <f t="shared" ca="1" si="9"/>
        <v>7</v>
      </c>
      <c r="L14" s="16" t="str">
        <f t="shared" ca="1" si="10"/>
        <v>—</v>
      </c>
      <c r="M14" s="15">
        <f t="shared" ca="1" si="11"/>
        <v>7</v>
      </c>
      <c r="N14" s="16" t="str">
        <f t="shared" ca="1" si="12"/>
        <v>—</v>
      </c>
      <c r="O14" s="15">
        <f t="shared" ca="1" si="13"/>
        <v>7</v>
      </c>
      <c r="P14" s="16" t="str">
        <f t="shared" ca="1" si="14"/>
        <v>—</v>
      </c>
      <c r="Q14" s="15">
        <f t="shared" ca="1" si="15"/>
        <v>7</v>
      </c>
      <c r="R14" s="16" t="str">
        <f t="shared" ca="1" si="16"/>
        <v>—</v>
      </c>
      <c r="S14" s="15">
        <f t="shared" ca="1" si="17"/>
        <v>7</v>
      </c>
      <c r="T14" s="9" t="str">
        <f t="shared" ca="1" si="18"/>
        <v>—</v>
      </c>
      <c r="U14" s="15">
        <f t="shared" ca="1" si="19"/>
        <v>7</v>
      </c>
      <c r="V14" s="16" t="str">
        <f t="shared" ca="1" si="20"/>
        <v>—</v>
      </c>
      <c r="W14" s="15">
        <f t="shared" ca="1" si="21"/>
        <v>7</v>
      </c>
      <c r="X14" s="16" t="str">
        <f t="shared" ca="1" si="22"/>
        <v>—</v>
      </c>
      <c r="Y14" s="15">
        <f t="shared" ca="1" si="23"/>
        <v>7</v>
      </c>
      <c r="Z14" s="16" t="str">
        <f t="shared" ca="1" si="24"/>
        <v>—</v>
      </c>
      <c r="AA14" s="15">
        <f t="shared" ca="1" si="25"/>
        <v>7</v>
      </c>
      <c r="AB14" s="9" t="str">
        <f t="shared" ca="1" si="26"/>
        <v>—</v>
      </c>
      <c r="AC14" s="15">
        <f t="shared" ca="1" si="27"/>
        <v>7</v>
      </c>
      <c r="AD14" s="76" t="str">
        <f t="shared" ca="1" si="28"/>
        <v>—</v>
      </c>
      <c r="AE14" s="15">
        <f t="shared" ca="1" si="29"/>
        <v>7</v>
      </c>
      <c r="AF14" s="76" t="str">
        <f t="shared" ca="1" si="30"/>
        <v>—</v>
      </c>
      <c r="AG14" s="15">
        <f t="shared" ca="1" si="31"/>
        <v>7</v>
      </c>
      <c r="AH14" s="9" t="str">
        <f t="shared" ca="1" si="32"/>
        <v>—</v>
      </c>
      <c r="AI14" s="15">
        <f t="shared" ca="1" si="33"/>
        <v>7</v>
      </c>
      <c r="AJ14" s="26" t="str">
        <f t="shared" ca="1" si="34"/>
        <v>—</v>
      </c>
      <c r="AK14" s="15">
        <f t="shared" ca="1" si="35"/>
        <v>7</v>
      </c>
      <c r="AL14" s="9" t="str">
        <f t="shared" ca="1" si="36"/>
        <v>—</v>
      </c>
      <c r="AM14" s="15">
        <f t="shared" ca="1" si="37"/>
        <v>7</v>
      </c>
      <c r="AN14" s="9" t="str">
        <f t="shared" ca="1" si="38"/>
        <v>—</v>
      </c>
      <c r="AO14" s="15">
        <f t="shared" ca="1" si="39"/>
        <v>7</v>
      </c>
    </row>
    <row r="15" spans="1:41" x14ac:dyDescent="0.25">
      <c r="A15" s="4">
        <f t="shared" si="0"/>
        <v>78989</v>
      </c>
      <c r="B15" t="str">
        <f ca="1">TEXT(DATE(YEAR(Invoer!$A$5),1,1)+ROWS(B$2:B15)-1,"jjjjmmdd")</f>
        <v>19130114</v>
      </c>
      <c r="C15" s="72">
        <f t="shared" si="1"/>
        <v>800</v>
      </c>
      <c r="D15" s="16" t="str">
        <f t="shared" ca="1" si="2"/>
        <v>—</v>
      </c>
      <c r="E15" s="15">
        <f t="shared" ca="1" si="3"/>
        <v>7</v>
      </c>
      <c r="F15" s="73" t="str">
        <f t="shared" ca="1" si="4"/>
        <v>—</v>
      </c>
      <c r="G15" s="15">
        <f t="shared" ca="1" si="5"/>
        <v>7</v>
      </c>
      <c r="H15" s="73" t="str">
        <f t="shared" ca="1" si="6"/>
        <v>—</v>
      </c>
      <c r="I15" s="15">
        <f t="shared" ca="1" si="7"/>
        <v>7</v>
      </c>
      <c r="J15" s="73" t="str">
        <f t="shared" ca="1" si="8"/>
        <v>—</v>
      </c>
      <c r="K15" s="15">
        <f t="shared" ca="1" si="9"/>
        <v>7</v>
      </c>
      <c r="L15" s="16" t="str">
        <f t="shared" ca="1" si="10"/>
        <v>—</v>
      </c>
      <c r="M15" s="15">
        <f t="shared" ca="1" si="11"/>
        <v>7</v>
      </c>
      <c r="N15" s="16" t="str">
        <f t="shared" ca="1" si="12"/>
        <v>—</v>
      </c>
      <c r="O15" s="15">
        <f t="shared" ca="1" si="13"/>
        <v>7</v>
      </c>
      <c r="P15" s="16" t="str">
        <f t="shared" ca="1" si="14"/>
        <v>—</v>
      </c>
      <c r="Q15" s="15">
        <f t="shared" ca="1" si="15"/>
        <v>7</v>
      </c>
      <c r="R15" s="16" t="str">
        <f t="shared" ca="1" si="16"/>
        <v>—</v>
      </c>
      <c r="S15" s="15">
        <f t="shared" ca="1" si="17"/>
        <v>7</v>
      </c>
      <c r="T15" s="9" t="str">
        <f t="shared" ca="1" si="18"/>
        <v>—</v>
      </c>
      <c r="U15" s="15">
        <f t="shared" ca="1" si="19"/>
        <v>7</v>
      </c>
      <c r="V15" s="16" t="str">
        <f t="shared" ca="1" si="20"/>
        <v>—</v>
      </c>
      <c r="W15" s="15">
        <f t="shared" ca="1" si="21"/>
        <v>7</v>
      </c>
      <c r="X15" s="16" t="str">
        <f t="shared" ca="1" si="22"/>
        <v>—</v>
      </c>
      <c r="Y15" s="15">
        <f t="shared" ca="1" si="23"/>
        <v>7</v>
      </c>
      <c r="Z15" s="16" t="str">
        <f t="shared" ca="1" si="24"/>
        <v>—</v>
      </c>
      <c r="AA15" s="15">
        <f t="shared" ca="1" si="25"/>
        <v>7</v>
      </c>
      <c r="AB15" s="9" t="str">
        <f t="shared" ca="1" si="26"/>
        <v>—</v>
      </c>
      <c r="AC15" s="15">
        <f t="shared" ca="1" si="27"/>
        <v>7</v>
      </c>
      <c r="AD15" s="76" t="str">
        <f t="shared" ca="1" si="28"/>
        <v>—</v>
      </c>
      <c r="AE15" s="15">
        <f t="shared" ca="1" si="29"/>
        <v>7</v>
      </c>
      <c r="AF15" s="76" t="str">
        <f t="shared" ca="1" si="30"/>
        <v>—</v>
      </c>
      <c r="AG15" s="15">
        <f t="shared" ca="1" si="31"/>
        <v>7</v>
      </c>
      <c r="AH15" s="9" t="str">
        <f t="shared" ca="1" si="32"/>
        <v>—</v>
      </c>
      <c r="AI15" s="15">
        <f t="shared" ca="1" si="33"/>
        <v>7</v>
      </c>
      <c r="AJ15" s="26" t="str">
        <f t="shared" ca="1" si="34"/>
        <v>—</v>
      </c>
      <c r="AK15" s="15">
        <f t="shared" ca="1" si="35"/>
        <v>7</v>
      </c>
      <c r="AL15" s="9" t="str">
        <f t="shared" ca="1" si="36"/>
        <v>—</v>
      </c>
      <c r="AM15" s="15">
        <f t="shared" ca="1" si="37"/>
        <v>7</v>
      </c>
      <c r="AN15" s="9" t="str">
        <f t="shared" ca="1" si="38"/>
        <v>—</v>
      </c>
      <c r="AO15" s="15">
        <f t="shared" ca="1" si="39"/>
        <v>7</v>
      </c>
    </row>
    <row r="16" spans="1:41" x14ac:dyDescent="0.25">
      <c r="A16" s="4">
        <f t="shared" si="0"/>
        <v>78989</v>
      </c>
      <c r="B16" t="str">
        <f ca="1">TEXT(DATE(YEAR(Invoer!$A$5),1,1)+ROWS(B$2:B16)-1,"jjjjmmdd")</f>
        <v>19130115</v>
      </c>
      <c r="C16" s="72">
        <f t="shared" si="1"/>
        <v>800</v>
      </c>
      <c r="D16" s="16" t="str">
        <f t="shared" ca="1" si="2"/>
        <v>—</v>
      </c>
      <c r="E16" s="15">
        <f t="shared" ca="1" si="3"/>
        <v>7</v>
      </c>
      <c r="F16" s="73" t="str">
        <f t="shared" ca="1" si="4"/>
        <v>—</v>
      </c>
      <c r="G16" s="15">
        <f t="shared" ca="1" si="5"/>
        <v>7</v>
      </c>
      <c r="H16" s="73" t="str">
        <f t="shared" ca="1" si="6"/>
        <v>—</v>
      </c>
      <c r="I16" s="15">
        <f t="shared" ca="1" si="7"/>
        <v>7</v>
      </c>
      <c r="J16" s="73" t="str">
        <f t="shared" ca="1" si="8"/>
        <v>—</v>
      </c>
      <c r="K16" s="15">
        <f t="shared" ca="1" si="9"/>
        <v>7</v>
      </c>
      <c r="L16" s="16" t="str">
        <f t="shared" ca="1" si="10"/>
        <v>—</v>
      </c>
      <c r="M16" s="15">
        <f t="shared" ca="1" si="11"/>
        <v>7</v>
      </c>
      <c r="N16" s="16" t="str">
        <f t="shared" ca="1" si="12"/>
        <v>—</v>
      </c>
      <c r="O16" s="15">
        <f t="shared" ca="1" si="13"/>
        <v>7</v>
      </c>
      <c r="P16" s="16" t="str">
        <f t="shared" ca="1" si="14"/>
        <v>—</v>
      </c>
      <c r="Q16" s="15">
        <f t="shared" ca="1" si="15"/>
        <v>7</v>
      </c>
      <c r="R16" s="16" t="str">
        <f t="shared" ca="1" si="16"/>
        <v>—</v>
      </c>
      <c r="S16" s="15">
        <f t="shared" ca="1" si="17"/>
        <v>7</v>
      </c>
      <c r="T16" s="9" t="str">
        <f t="shared" ca="1" si="18"/>
        <v>—</v>
      </c>
      <c r="U16" s="15">
        <f t="shared" ca="1" si="19"/>
        <v>7</v>
      </c>
      <c r="V16" s="16" t="str">
        <f t="shared" ca="1" si="20"/>
        <v>—</v>
      </c>
      <c r="W16" s="15">
        <f t="shared" ca="1" si="21"/>
        <v>7</v>
      </c>
      <c r="X16" s="16" t="str">
        <f t="shared" ca="1" si="22"/>
        <v>—</v>
      </c>
      <c r="Y16" s="15">
        <f t="shared" ca="1" si="23"/>
        <v>7</v>
      </c>
      <c r="Z16" s="16" t="str">
        <f t="shared" ca="1" si="24"/>
        <v>—</v>
      </c>
      <c r="AA16" s="15">
        <f t="shared" ca="1" si="25"/>
        <v>7</v>
      </c>
      <c r="AB16" s="9" t="str">
        <f t="shared" ca="1" si="26"/>
        <v>—</v>
      </c>
      <c r="AC16" s="15">
        <f t="shared" ca="1" si="27"/>
        <v>7</v>
      </c>
      <c r="AD16" s="76" t="str">
        <f t="shared" ca="1" si="28"/>
        <v>—</v>
      </c>
      <c r="AE16" s="15">
        <f t="shared" ca="1" si="29"/>
        <v>7</v>
      </c>
      <c r="AF16" s="76" t="str">
        <f t="shared" ca="1" si="30"/>
        <v>—</v>
      </c>
      <c r="AG16" s="15">
        <f t="shared" ca="1" si="31"/>
        <v>7</v>
      </c>
      <c r="AH16" s="9" t="str">
        <f t="shared" ca="1" si="32"/>
        <v>—</v>
      </c>
      <c r="AI16" s="15">
        <f t="shared" ca="1" si="33"/>
        <v>7</v>
      </c>
      <c r="AJ16" s="26" t="str">
        <f t="shared" ca="1" si="34"/>
        <v>—</v>
      </c>
      <c r="AK16" s="15">
        <f t="shared" ca="1" si="35"/>
        <v>7</v>
      </c>
      <c r="AL16" s="9" t="str">
        <f t="shared" ca="1" si="36"/>
        <v>—</v>
      </c>
      <c r="AM16" s="15">
        <f t="shared" ca="1" si="37"/>
        <v>7</v>
      </c>
      <c r="AN16" s="9" t="str">
        <f t="shared" ca="1" si="38"/>
        <v>—</v>
      </c>
      <c r="AO16" s="15">
        <f t="shared" ca="1" si="39"/>
        <v>7</v>
      </c>
    </row>
    <row r="17" spans="1:41" x14ac:dyDescent="0.25">
      <c r="A17" s="4">
        <f t="shared" si="0"/>
        <v>78989</v>
      </c>
      <c r="B17" t="str">
        <f ca="1">TEXT(DATE(YEAR(Invoer!$A$5),1,1)+ROWS(B$2:B17)-1,"jjjjmmdd")</f>
        <v>19130116</v>
      </c>
      <c r="C17" s="72">
        <f t="shared" si="1"/>
        <v>800</v>
      </c>
      <c r="D17" s="16" t="str">
        <f t="shared" ca="1" si="2"/>
        <v>—</v>
      </c>
      <c r="E17" s="15">
        <f t="shared" ca="1" si="3"/>
        <v>7</v>
      </c>
      <c r="F17" s="73" t="str">
        <f t="shared" ca="1" si="4"/>
        <v>—</v>
      </c>
      <c r="G17" s="15">
        <f t="shared" ca="1" si="5"/>
        <v>7</v>
      </c>
      <c r="H17" s="73" t="str">
        <f t="shared" ca="1" si="6"/>
        <v>—</v>
      </c>
      <c r="I17" s="15">
        <f t="shared" ca="1" si="7"/>
        <v>7</v>
      </c>
      <c r="J17" s="73" t="str">
        <f t="shared" ca="1" si="8"/>
        <v>—</v>
      </c>
      <c r="K17" s="15">
        <f t="shared" ca="1" si="9"/>
        <v>7</v>
      </c>
      <c r="L17" s="16" t="str">
        <f t="shared" ca="1" si="10"/>
        <v>—</v>
      </c>
      <c r="M17" s="15">
        <f t="shared" ca="1" si="11"/>
        <v>7</v>
      </c>
      <c r="N17" s="16" t="str">
        <f t="shared" ca="1" si="12"/>
        <v>—</v>
      </c>
      <c r="O17" s="15">
        <f t="shared" ca="1" si="13"/>
        <v>7</v>
      </c>
      <c r="P17" s="16" t="str">
        <f t="shared" ca="1" si="14"/>
        <v>—</v>
      </c>
      <c r="Q17" s="15">
        <f t="shared" ca="1" si="15"/>
        <v>7</v>
      </c>
      <c r="R17" s="16" t="str">
        <f t="shared" ca="1" si="16"/>
        <v>—</v>
      </c>
      <c r="S17" s="15">
        <f t="shared" ca="1" si="17"/>
        <v>7</v>
      </c>
      <c r="T17" s="9" t="str">
        <f t="shared" ca="1" si="18"/>
        <v>—</v>
      </c>
      <c r="U17" s="15">
        <f t="shared" ca="1" si="19"/>
        <v>7</v>
      </c>
      <c r="V17" s="16" t="str">
        <f t="shared" ca="1" si="20"/>
        <v>—</v>
      </c>
      <c r="W17" s="15">
        <f t="shared" ca="1" si="21"/>
        <v>7</v>
      </c>
      <c r="X17" s="16" t="str">
        <f t="shared" ca="1" si="22"/>
        <v>—</v>
      </c>
      <c r="Y17" s="15">
        <f t="shared" ca="1" si="23"/>
        <v>7</v>
      </c>
      <c r="Z17" s="16" t="str">
        <f t="shared" ca="1" si="24"/>
        <v>—</v>
      </c>
      <c r="AA17" s="15">
        <f t="shared" ca="1" si="25"/>
        <v>7</v>
      </c>
      <c r="AB17" s="9" t="str">
        <f t="shared" ca="1" si="26"/>
        <v>—</v>
      </c>
      <c r="AC17" s="15">
        <f t="shared" ca="1" si="27"/>
        <v>7</v>
      </c>
      <c r="AD17" s="76" t="str">
        <f t="shared" ca="1" si="28"/>
        <v>—</v>
      </c>
      <c r="AE17" s="15">
        <f t="shared" ca="1" si="29"/>
        <v>7</v>
      </c>
      <c r="AF17" s="76" t="str">
        <f t="shared" ca="1" si="30"/>
        <v>—</v>
      </c>
      <c r="AG17" s="15">
        <f t="shared" ca="1" si="31"/>
        <v>7</v>
      </c>
      <c r="AH17" s="9" t="str">
        <f t="shared" ca="1" si="32"/>
        <v>—</v>
      </c>
      <c r="AI17" s="15">
        <f t="shared" ca="1" si="33"/>
        <v>7</v>
      </c>
      <c r="AJ17" s="26" t="str">
        <f t="shared" ca="1" si="34"/>
        <v>—</v>
      </c>
      <c r="AK17" s="15">
        <f t="shared" ca="1" si="35"/>
        <v>7</v>
      </c>
      <c r="AL17" s="9" t="str">
        <f t="shared" ca="1" si="36"/>
        <v>—</v>
      </c>
      <c r="AM17" s="15">
        <f t="shared" ca="1" si="37"/>
        <v>7</v>
      </c>
      <c r="AN17" s="9" t="str">
        <f t="shared" ca="1" si="38"/>
        <v>—</v>
      </c>
      <c r="AO17" s="15">
        <f t="shared" ca="1" si="39"/>
        <v>7</v>
      </c>
    </row>
    <row r="18" spans="1:41" x14ac:dyDescent="0.25">
      <c r="A18" s="4">
        <f t="shared" si="0"/>
        <v>78989</v>
      </c>
      <c r="B18" t="str">
        <f ca="1">TEXT(DATE(YEAR(Invoer!$A$5),1,1)+ROWS(B$2:B18)-1,"jjjjmmdd")</f>
        <v>19130117</v>
      </c>
      <c r="C18" s="72">
        <f t="shared" si="1"/>
        <v>800</v>
      </c>
      <c r="D18" s="16" t="str">
        <f t="shared" ca="1" si="2"/>
        <v>—</v>
      </c>
      <c r="E18" s="15">
        <f t="shared" ca="1" si="3"/>
        <v>7</v>
      </c>
      <c r="F18" s="73" t="str">
        <f t="shared" ca="1" si="4"/>
        <v>—</v>
      </c>
      <c r="G18" s="15">
        <f t="shared" ca="1" si="5"/>
        <v>7</v>
      </c>
      <c r="H18" s="73" t="str">
        <f t="shared" ca="1" si="6"/>
        <v>—</v>
      </c>
      <c r="I18" s="15">
        <f t="shared" ca="1" si="7"/>
        <v>7</v>
      </c>
      <c r="J18" s="73" t="str">
        <f t="shared" ca="1" si="8"/>
        <v>—</v>
      </c>
      <c r="K18" s="15">
        <f t="shared" ca="1" si="9"/>
        <v>7</v>
      </c>
      <c r="L18" s="16" t="str">
        <f t="shared" ca="1" si="10"/>
        <v>—</v>
      </c>
      <c r="M18" s="15">
        <f t="shared" ca="1" si="11"/>
        <v>7</v>
      </c>
      <c r="N18" s="16" t="str">
        <f t="shared" ca="1" si="12"/>
        <v>—</v>
      </c>
      <c r="O18" s="15">
        <f t="shared" ca="1" si="13"/>
        <v>7</v>
      </c>
      <c r="P18" s="16" t="str">
        <f t="shared" ca="1" si="14"/>
        <v>—</v>
      </c>
      <c r="Q18" s="15">
        <f t="shared" ca="1" si="15"/>
        <v>7</v>
      </c>
      <c r="R18" s="16" t="str">
        <f t="shared" ca="1" si="16"/>
        <v>—</v>
      </c>
      <c r="S18" s="15">
        <f t="shared" ca="1" si="17"/>
        <v>7</v>
      </c>
      <c r="T18" s="9" t="str">
        <f t="shared" ca="1" si="18"/>
        <v>—</v>
      </c>
      <c r="U18" s="15">
        <f t="shared" ca="1" si="19"/>
        <v>7</v>
      </c>
      <c r="V18" s="16" t="str">
        <f t="shared" ca="1" si="20"/>
        <v>—</v>
      </c>
      <c r="W18" s="15">
        <f t="shared" ca="1" si="21"/>
        <v>7</v>
      </c>
      <c r="X18" s="16" t="str">
        <f t="shared" ca="1" si="22"/>
        <v>—</v>
      </c>
      <c r="Y18" s="15">
        <f t="shared" ca="1" si="23"/>
        <v>7</v>
      </c>
      <c r="Z18" s="16" t="str">
        <f t="shared" ca="1" si="24"/>
        <v>—</v>
      </c>
      <c r="AA18" s="15">
        <f t="shared" ca="1" si="25"/>
        <v>7</v>
      </c>
      <c r="AB18" s="9" t="str">
        <f t="shared" ca="1" si="26"/>
        <v>—</v>
      </c>
      <c r="AC18" s="15">
        <f t="shared" ca="1" si="27"/>
        <v>7</v>
      </c>
      <c r="AD18" s="76" t="str">
        <f t="shared" ca="1" si="28"/>
        <v>—</v>
      </c>
      <c r="AE18" s="15">
        <f t="shared" ca="1" si="29"/>
        <v>7</v>
      </c>
      <c r="AF18" s="76" t="str">
        <f t="shared" ca="1" si="30"/>
        <v>—</v>
      </c>
      <c r="AG18" s="15">
        <f t="shared" ca="1" si="31"/>
        <v>7</v>
      </c>
      <c r="AH18" s="9" t="str">
        <f t="shared" ca="1" si="32"/>
        <v>—</v>
      </c>
      <c r="AI18" s="15">
        <f t="shared" ca="1" si="33"/>
        <v>7</v>
      </c>
      <c r="AJ18" s="26" t="str">
        <f t="shared" ca="1" si="34"/>
        <v>—</v>
      </c>
      <c r="AK18" s="15">
        <f t="shared" ca="1" si="35"/>
        <v>7</v>
      </c>
      <c r="AL18" s="9" t="str">
        <f t="shared" ca="1" si="36"/>
        <v>—</v>
      </c>
      <c r="AM18" s="15">
        <f t="shared" ca="1" si="37"/>
        <v>7</v>
      </c>
      <c r="AN18" s="9" t="str">
        <f t="shared" ca="1" si="38"/>
        <v>—</v>
      </c>
      <c r="AO18" s="15">
        <f t="shared" ca="1" si="39"/>
        <v>7</v>
      </c>
    </row>
    <row r="19" spans="1:41" x14ac:dyDescent="0.25">
      <c r="A19" s="4">
        <f t="shared" si="0"/>
        <v>78989</v>
      </c>
      <c r="B19" t="str">
        <f ca="1">TEXT(DATE(YEAR(Invoer!$A$5),1,1)+ROWS(B$2:B19)-1,"jjjjmmdd")</f>
        <v>19130118</v>
      </c>
      <c r="C19" s="72">
        <f t="shared" si="1"/>
        <v>800</v>
      </c>
      <c r="D19" s="16" t="str">
        <f t="shared" ca="1" si="2"/>
        <v>—</v>
      </c>
      <c r="E19" s="15">
        <f t="shared" ca="1" si="3"/>
        <v>7</v>
      </c>
      <c r="F19" s="73" t="str">
        <f t="shared" ca="1" si="4"/>
        <v>—</v>
      </c>
      <c r="G19" s="15">
        <f t="shared" ca="1" si="5"/>
        <v>7</v>
      </c>
      <c r="H19" s="73" t="str">
        <f t="shared" ca="1" si="6"/>
        <v>—</v>
      </c>
      <c r="I19" s="15">
        <f t="shared" ca="1" si="7"/>
        <v>7</v>
      </c>
      <c r="J19" s="73" t="str">
        <f t="shared" ca="1" si="8"/>
        <v>—</v>
      </c>
      <c r="K19" s="15">
        <f t="shared" ca="1" si="9"/>
        <v>7</v>
      </c>
      <c r="L19" s="16" t="str">
        <f t="shared" ca="1" si="10"/>
        <v>—</v>
      </c>
      <c r="M19" s="15">
        <f t="shared" ca="1" si="11"/>
        <v>7</v>
      </c>
      <c r="N19" s="16" t="str">
        <f t="shared" ca="1" si="12"/>
        <v>—</v>
      </c>
      <c r="O19" s="15">
        <f t="shared" ca="1" si="13"/>
        <v>7</v>
      </c>
      <c r="P19" s="16" t="str">
        <f t="shared" ca="1" si="14"/>
        <v>—</v>
      </c>
      <c r="Q19" s="15">
        <f t="shared" ca="1" si="15"/>
        <v>7</v>
      </c>
      <c r="R19" s="16" t="str">
        <f t="shared" ca="1" si="16"/>
        <v>—</v>
      </c>
      <c r="S19" s="15">
        <f t="shared" ca="1" si="17"/>
        <v>7</v>
      </c>
      <c r="T19" s="9" t="str">
        <f t="shared" ca="1" si="18"/>
        <v>—</v>
      </c>
      <c r="U19" s="15">
        <f t="shared" ca="1" si="19"/>
        <v>7</v>
      </c>
      <c r="V19" s="16" t="str">
        <f t="shared" ca="1" si="20"/>
        <v>—</v>
      </c>
      <c r="W19" s="15">
        <f t="shared" ca="1" si="21"/>
        <v>7</v>
      </c>
      <c r="X19" s="16" t="str">
        <f t="shared" ca="1" si="22"/>
        <v>—</v>
      </c>
      <c r="Y19" s="15">
        <f t="shared" ca="1" si="23"/>
        <v>7</v>
      </c>
      <c r="Z19" s="16" t="str">
        <f t="shared" ca="1" si="24"/>
        <v>—</v>
      </c>
      <c r="AA19" s="15">
        <f t="shared" ca="1" si="25"/>
        <v>7</v>
      </c>
      <c r="AB19" s="9" t="str">
        <f t="shared" ca="1" si="26"/>
        <v>—</v>
      </c>
      <c r="AC19" s="15">
        <f t="shared" ca="1" si="27"/>
        <v>7</v>
      </c>
      <c r="AD19" s="76" t="str">
        <f t="shared" ca="1" si="28"/>
        <v>—</v>
      </c>
      <c r="AE19" s="15">
        <f t="shared" ca="1" si="29"/>
        <v>7</v>
      </c>
      <c r="AF19" s="76" t="str">
        <f t="shared" ca="1" si="30"/>
        <v>—</v>
      </c>
      <c r="AG19" s="15">
        <f t="shared" ca="1" si="31"/>
        <v>7</v>
      </c>
      <c r="AH19" s="9" t="str">
        <f t="shared" ca="1" si="32"/>
        <v>—</v>
      </c>
      <c r="AI19" s="15">
        <f t="shared" ca="1" si="33"/>
        <v>7</v>
      </c>
      <c r="AJ19" s="26" t="str">
        <f t="shared" ca="1" si="34"/>
        <v>—</v>
      </c>
      <c r="AK19" s="15">
        <f t="shared" ca="1" si="35"/>
        <v>7</v>
      </c>
      <c r="AL19" s="9" t="str">
        <f t="shared" ca="1" si="36"/>
        <v>—</v>
      </c>
      <c r="AM19" s="15">
        <f t="shared" ca="1" si="37"/>
        <v>7</v>
      </c>
      <c r="AN19" s="9" t="str">
        <f t="shared" ca="1" si="38"/>
        <v>—</v>
      </c>
      <c r="AO19" s="15">
        <f t="shared" ca="1" si="39"/>
        <v>7</v>
      </c>
    </row>
    <row r="20" spans="1:41" x14ac:dyDescent="0.25">
      <c r="A20" s="4">
        <f t="shared" si="0"/>
        <v>78989</v>
      </c>
      <c r="B20" t="str">
        <f ca="1">TEXT(DATE(YEAR(Invoer!$A$5),1,1)+ROWS(B$2:B20)-1,"jjjjmmdd")</f>
        <v>19130119</v>
      </c>
      <c r="C20" s="72">
        <f t="shared" si="1"/>
        <v>800</v>
      </c>
      <c r="D20" s="16" t="str">
        <f t="shared" ca="1" si="2"/>
        <v>—</v>
      </c>
      <c r="E20" s="15">
        <f t="shared" ca="1" si="3"/>
        <v>7</v>
      </c>
      <c r="F20" s="73" t="str">
        <f t="shared" ca="1" si="4"/>
        <v>—</v>
      </c>
      <c r="G20" s="15">
        <f t="shared" ca="1" si="5"/>
        <v>7</v>
      </c>
      <c r="H20" s="73" t="str">
        <f t="shared" ca="1" si="6"/>
        <v>—</v>
      </c>
      <c r="I20" s="15">
        <f t="shared" ca="1" si="7"/>
        <v>7</v>
      </c>
      <c r="J20" s="73" t="str">
        <f t="shared" ca="1" si="8"/>
        <v>—</v>
      </c>
      <c r="K20" s="15">
        <f t="shared" ca="1" si="9"/>
        <v>7</v>
      </c>
      <c r="L20" s="16" t="str">
        <f t="shared" ca="1" si="10"/>
        <v>—</v>
      </c>
      <c r="M20" s="15">
        <f t="shared" ca="1" si="11"/>
        <v>7</v>
      </c>
      <c r="N20" s="16" t="str">
        <f t="shared" ca="1" si="12"/>
        <v>—</v>
      </c>
      <c r="O20" s="15">
        <f t="shared" ca="1" si="13"/>
        <v>7</v>
      </c>
      <c r="P20" s="16" t="str">
        <f t="shared" ca="1" si="14"/>
        <v>—</v>
      </c>
      <c r="Q20" s="15">
        <f t="shared" ca="1" si="15"/>
        <v>7</v>
      </c>
      <c r="R20" s="16" t="str">
        <f t="shared" ca="1" si="16"/>
        <v>—</v>
      </c>
      <c r="S20" s="15">
        <f t="shared" ca="1" si="17"/>
        <v>7</v>
      </c>
      <c r="T20" s="9" t="str">
        <f t="shared" ca="1" si="18"/>
        <v>—</v>
      </c>
      <c r="U20" s="15">
        <f t="shared" ca="1" si="19"/>
        <v>7</v>
      </c>
      <c r="V20" s="16" t="str">
        <f t="shared" ca="1" si="20"/>
        <v>—</v>
      </c>
      <c r="W20" s="15">
        <f t="shared" ca="1" si="21"/>
        <v>7</v>
      </c>
      <c r="X20" s="16" t="str">
        <f t="shared" ca="1" si="22"/>
        <v>—</v>
      </c>
      <c r="Y20" s="15">
        <f t="shared" ca="1" si="23"/>
        <v>7</v>
      </c>
      <c r="Z20" s="16" t="str">
        <f t="shared" ca="1" si="24"/>
        <v>—</v>
      </c>
      <c r="AA20" s="15">
        <f t="shared" ca="1" si="25"/>
        <v>7</v>
      </c>
      <c r="AB20" s="9" t="str">
        <f t="shared" ca="1" si="26"/>
        <v>—</v>
      </c>
      <c r="AC20" s="15">
        <f t="shared" ca="1" si="27"/>
        <v>7</v>
      </c>
      <c r="AD20" s="76" t="str">
        <f t="shared" ca="1" si="28"/>
        <v>—</v>
      </c>
      <c r="AE20" s="15">
        <f t="shared" ca="1" si="29"/>
        <v>7</v>
      </c>
      <c r="AF20" s="76" t="str">
        <f t="shared" ca="1" si="30"/>
        <v>—</v>
      </c>
      <c r="AG20" s="15">
        <f t="shared" ca="1" si="31"/>
        <v>7</v>
      </c>
      <c r="AH20" s="9" t="str">
        <f t="shared" ca="1" si="32"/>
        <v>—</v>
      </c>
      <c r="AI20" s="15">
        <f t="shared" ca="1" si="33"/>
        <v>7</v>
      </c>
      <c r="AJ20" s="26" t="str">
        <f t="shared" ca="1" si="34"/>
        <v>—</v>
      </c>
      <c r="AK20" s="15">
        <f t="shared" ca="1" si="35"/>
        <v>7</v>
      </c>
      <c r="AL20" s="9" t="str">
        <f t="shared" ca="1" si="36"/>
        <v>—</v>
      </c>
      <c r="AM20" s="15">
        <f t="shared" ca="1" si="37"/>
        <v>7</v>
      </c>
      <c r="AN20" s="9" t="str">
        <f t="shared" ca="1" si="38"/>
        <v>—</v>
      </c>
      <c r="AO20" s="15">
        <f t="shared" ca="1" si="39"/>
        <v>7</v>
      </c>
    </row>
    <row r="21" spans="1:41" x14ac:dyDescent="0.25">
      <c r="A21" s="4">
        <f t="shared" si="0"/>
        <v>78989</v>
      </c>
      <c r="B21" t="str">
        <f ca="1">TEXT(DATE(YEAR(Invoer!$A$5),1,1)+ROWS(B$2:B21)-1,"jjjjmmdd")</f>
        <v>19130120</v>
      </c>
      <c r="C21" s="72">
        <f t="shared" si="1"/>
        <v>800</v>
      </c>
      <c r="D21" s="16" t="str">
        <f t="shared" ca="1" si="2"/>
        <v>—</v>
      </c>
      <c r="E21" s="15">
        <f t="shared" ca="1" si="3"/>
        <v>7</v>
      </c>
      <c r="F21" s="73" t="str">
        <f t="shared" ca="1" si="4"/>
        <v>—</v>
      </c>
      <c r="G21" s="15">
        <f t="shared" ca="1" si="5"/>
        <v>7</v>
      </c>
      <c r="H21" s="73" t="str">
        <f t="shared" ca="1" si="6"/>
        <v>—</v>
      </c>
      <c r="I21" s="15">
        <f t="shared" ca="1" si="7"/>
        <v>7</v>
      </c>
      <c r="J21" s="73" t="str">
        <f t="shared" ca="1" si="8"/>
        <v>—</v>
      </c>
      <c r="K21" s="15">
        <f t="shared" ca="1" si="9"/>
        <v>7</v>
      </c>
      <c r="L21" s="16" t="str">
        <f t="shared" ca="1" si="10"/>
        <v>—</v>
      </c>
      <c r="M21" s="15">
        <f t="shared" ca="1" si="11"/>
        <v>7</v>
      </c>
      <c r="N21" s="16" t="str">
        <f t="shared" ca="1" si="12"/>
        <v>—</v>
      </c>
      <c r="O21" s="15">
        <f t="shared" ca="1" si="13"/>
        <v>7</v>
      </c>
      <c r="P21" s="16" t="str">
        <f t="shared" ca="1" si="14"/>
        <v>—</v>
      </c>
      <c r="Q21" s="15">
        <f t="shared" ca="1" si="15"/>
        <v>7</v>
      </c>
      <c r="R21" s="16" t="str">
        <f t="shared" ca="1" si="16"/>
        <v>—</v>
      </c>
      <c r="S21" s="15">
        <f t="shared" ca="1" si="17"/>
        <v>7</v>
      </c>
      <c r="T21" s="9" t="str">
        <f t="shared" ca="1" si="18"/>
        <v>—</v>
      </c>
      <c r="U21" s="15">
        <f t="shared" ca="1" si="19"/>
        <v>7</v>
      </c>
      <c r="V21" s="16" t="str">
        <f t="shared" ca="1" si="20"/>
        <v>—</v>
      </c>
      <c r="W21" s="15">
        <f t="shared" ca="1" si="21"/>
        <v>7</v>
      </c>
      <c r="X21" s="16" t="str">
        <f t="shared" ca="1" si="22"/>
        <v>—</v>
      </c>
      <c r="Y21" s="15">
        <f t="shared" ca="1" si="23"/>
        <v>7</v>
      </c>
      <c r="Z21" s="16" t="str">
        <f t="shared" ca="1" si="24"/>
        <v>—</v>
      </c>
      <c r="AA21" s="15">
        <f t="shared" ca="1" si="25"/>
        <v>7</v>
      </c>
      <c r="AB21" s="9" t="str">
        <f t="shared" ca="1" si="26"/>
        <v>—</v>
      </c>
      <c r="AC21" s="15">
        <f t="shared" ca="1" si="27"/>
        <v>7</v>
      </c>
      <c r="AD21" s="76" t="str">
        <f t="shared" ca="1" si="28"/>
        <v>—</v>
      </c>
      <c r="AE21" s="15">
        <f t="shared" ca="1" si="29"/>
        <v>7</v>
      </c>
      <c r="AF21" s="76" t="str">
        <f t="shared" ca="1" si="30"/>
        <v>—</v>
      </c>
      <c r="AG21" s="15">
        <f t="shared" ca="1" si="31"/>
        <v>7</v>
      </c>
      <c r="AH21" s="9" t="str">
        <f t="shared" ca="1" si="32"/>
        <v>—</v>
      </c>
      <c r="AI21" s="15">
        <f t="shared" ca="1" si="33"/>
        <v>7</v>
      </c>
      <c r="AJ21" s="26" t="str">
        <f t="shared" ca="1" si="34"/>
        <v>—</v>
      </c>
      <c r="AK21" s="15">
        <f t="shared" ca="1" si="35"/>
        <v>7</v>
      </c>
      <c r="AL21" s="9" t="str">
        <f t="shared" ca="1" si="36"/>
        <v>—</v>
      </c>
      <c r="AM21" s="15">
        <f t="shared" ca="1" si="37"/>
        <v>7</v>
      </c>
      <c r="AN21" s="9" t="str">
        <f t="shared" ca="1" si="38"/>
        <v>—</v>
      </c>
      <c r="AO21" s="15">
        <f t="shared" ca="1" si="39"/>
        <v>7</v>
      </c>
    </row>
    <row r="22" spans="1:41" x14ac:dyDescent="0.25">
      <c r="A22" s="4">
        <f t="shared" si="0"/>
        <v>78989</v>
      </c>
      <c r="B22" t="str">
        <f ca="1">TEXT(DATE(YEAR(Invoer!$A$5),1,1)+ROWS(B$2:B22)-1,"jjjjmmdd")</f>
        <v>19130121</v>
      </c>
      <c r="C22" s="72">
        <f t="shared" si="1"/>
        <v>800</v>
      </c>
      <c r="D22" s="16" t="str">
        <f t="shared" ca="1" si="2"/>
        <v>—</v>
      </c>
      <c r="E22" s="15">
        <f t="shared" ca="1" si="3"/>
        <v>7</v>
      </c>
      <c r="F22" s="73" t="str">
        <f t="shared" ca="1" si="4"/>
        <v>—</v>
      </c>
      <c r="G22" s="15">
        <f t="shared" ca="1" si="5"/>
        <v>7</v>
      </c>
      <c r="H22" s="73" t="str">
        <f t="shared" ca="1" si="6"/>
        <v>—</v>
      </c>
      <c r="I22" s="15">
        <f t="shared" ca="1" si="7"/>
        <v>7</v>
      </c>
      <c r="J22" s="73" t="str">
        <f t="shared" ca="1" si="8"/>
        <v>—</v>
      </c>
      <c r="K22" s="15">
        <f t="shared" ca="1" si="9"/>
        <v>7</v>
      </c>
      <c r="L22" s="16" t="str">
        <f t="shared" ca="1" si="10"/>
        <v>—</v>
      </c>
      <c r="M22" s="15">
        <f t="shared" ca="1" si="11"/>
        <v>7</v>
      </c>
      <c r="N22" s="16" t="str">
        <f t="shared" ca="1" si="12"/>
        <v>—</v>
      </c>
      <c r="O22" s="15">
        <f t="shared" ca="1" si="13"/>
        <v>7</v>
      </c>
      <c r="P22" s="16" t="str">
        <f t="shared" ca="1" si="14"/>
        <v>—</v>
      </c>
      <c r="Q22" s="15">
        <f t="shared" ca="1" si="15"/>
        <v>7</v>
      </c>
      <c r="R22" s="16" t="str">
        <f t="shared" ca="1" si="16"/>
        <v>—</v>
      </c>
      <c r="S22" s="15">
        <f t="shared" ca="1" si="17"/>
        <v>7</v>
      </c>
      <c r="T22" s="9" t="str">
        <f t="shared" ca="1" si="18"/>
        <v>—</v>
      </c>
      <c r="U22" s="15">
        <f t="shared" ca="1" si="19"/>
        <v>7</v>
      </c>
      <c r="V22" s="16" t="str">
        <f t="shared" ca="1" si="20"/>
        <v>—</v>
      </c>
      <c r="W22" s="15">
        <f t="shared" ca="1" si="21"/>
        <v>7</v>
      </c>
      <c r="X22" s="16" t="str">
        <f t="shared" ca="1" si="22"/>
        <v>—</v>
      </c>
      <c r="Y22" s="15">
        <f t="shared" ca="1" si="23"/>
        <v>7</v>
      </c>
      <c r="Z22" s="16" t="str">
        <f t="shared" ca="1" si="24"/>
        <v>—</v>
      </c>
      <c r="AA22" s="15">
        <f t="shared" ca="1" si="25"/>
        <v>7</v>
      </c>
      <c r="AB22" s="9" t="str">
        <f t="shared" ca="1" si="26"/>
        <v>—</v>
      </c>
      <c r="AC22" s="15">
        <f t="shared" ca="1" si="27"/>
        <v>7</v>
      </c>
      <c r="AD22" s="76" t="str">
        <f t="shared" ca="1" si="28"/>
        <v>—</v>
      </c>
      <c r="AE22" s="15">
        <f t="shared" ca="1" si="29"/>
        <v>7</v>
      </c>
      <c r="AF22" s="76" t="str">
        <f t="shared" ca="1" si="30"/>
        <v>—</v>
      </c>
      <c r="AG22" s="15">
        <f t="shared" ca="1" si="31"/>
        <v>7</v>
      </c>
      <c r="AH22" s="9" t="str">
        <f t="shared" ca="1" si="32"/>
        <v>—</v>
      </c>
      <c r="AI22" s="15">
        <f t="shared" ca="1" si="33"/>
        <v>7</v>
      </c>
      <c r="AJ22" s="26" t="str">
        <f t="shared" ca="1" si="34"/>
        <v>—</v>
      </c>
      <c r="AK22" s="15">
        <f t="shared" ca="1" si="35"/>
        <v>7</v>
      </c>
      <c r="AL22" s="9" t="str">
        <f t="shared" ca="1" si="36"/>
        <v>—</v>
      </c>
      <c r="AM22" s="15">
        <f t="shared" ca="1" si="37"/>
        <v>7</v>
      </c>
      <c r="AN22" s="9" t="str">
        <f t="shared" ca="1" si="38"/>
        <v>—</v>
      </c>
      <c r="AO22" s="15">
        <f t="shared" ca="1" si="39"/>
        <v>7</v>
      </c>
    </row>
    <row r="23" spans="1:41" x14ac:dyDescent="0.25">
      <c r="A23" s="4">
        <f t="shared" si="0"/>
        <v>78989</v>
      </c>
      <c r="B23" t="str">
        <f ca="1">TEXT(DATE(YEAR(Invoer!$A$5),1,1)+ROWS(B$2:B23)-1,"jjjjmmdd")</f>
        <v>19130122</v>
      </c>
      <c r="C23" s="72">
        <f t="shared" si="1"/>
        <v>800</v>
      </c>
      <c r="D23" s="16" t="str">
        <f t="shared" ca="1" si="2"/>
        <v>—</v>
      </c>
      <c r="E23" s="15">
        <f t="shared" ca="1" si="3"/>
        <v>7</v>
      </c>
      <c r="F23" s="73" t="str">
        <f t="shared" ca="1" si="4"/>
        <v>—</v>
      </c>
      <c r="G23" s="15">
        <f t="shared" ca="1" si="5"/>
        <v>7</v>
      </c>
      <c r="H23" s="73" t="str">
        <f t="shared" ca="1" si="6"/>
        <v>—</v>
      </c>
      <c r="I23" s="15">
        <f t="shared" ca="1" si="7"/>
        <v>7</v>
      </c>
      <c r="J23" s="73" t="str">
        <f t="shared" ca="1" si="8"/>
        <v>—</v>
      </c>
      <c r="K23" s="15">
        <f t="shared" ca="1" si="9"/>
        <v>7</v>
      </c>
      <c r="L23" s="16" t="str">
        <f t="shared" ca="1" si="10"/>
        <v>—</v>
      </c>
      <c r="M23" s="15">
        <f t="shared" ca="1" si="11"/>
        <v>7</v>
      </c>
      <c r="N23" s="16" t="str">
        <f t="shared" ca="1" si="12"/>
        <v>—</v>
      </c>
      <c r="O23" s="15">
        <f t="shared" ca="1" si="13"/>
        <v>7</v>
      </c>
      <c r="P23" s="16" t="str">
        <f t="shared" ca="1" si="14"/>
        <v>—</v>
      </c>
      <c r="Q23" s="15">
        <f t="shared" ca="1" si="15"/>
        <v>7</v>
      </c>
      <c r="R23" s="16" t="str">
        <f t="shared" ca="1" si="16"/>
        <v>—</v>
      </c>
      <c r="S23" s="15">
        <f t="shared" ca="1" si="17"/>
        <v>7</v>
      </c>
      <c r="T23" s="9" t="str">
        <f t="shared" ca="1" si="18"/>
        <v>—</v>
      </c>
      <c r="U23" s="15">
        <f t="shared" ca="1" si="19"/>
        <v>7</v>
      </c>
      <c r="V23" s="16" t="str">
        <f t="shared" ca="1" si="20"/>
        <v>—</v>
      </c>
      <c r="W23" s="15">
        <f t="shared" ca="1" si="21"/>
        <v>7</v>
      </c>
      <c r="X23" s="16" t="str">
        <f t="shared" ca="1" si="22"/>
        <v>—</v>
      </c>
      <c r="Y23" s="15">
        <f t="shared" ca="1" si="23"/>
        <v>7</v>
      </c>
      <c r="Z23" s="16" t="str">
        <f t="shared" ca="1" si="24"/>
        <v>—</v>
      </c>
      <c r="AA23" s="15">
        <f t="shared" ca="1" si="25"/>
        <v>7</v>
      </c>
      <c r="AB23" s="9" t="str">
        <f t="shared" ca="1" si="26"/>
        <v>—</v>
      </c>
      <c r="AC23" s="15">
        <f t="shared" ca="1" si="27"/>
        <v>7</v>
      </c>
      <c r="AD23" s="76" t="str">
        <f t="shared" ca="1" si="28"/>
        <v>—</v>
      </c>
      <c r="AE23" s="15">
        <f t="shared" ca="1" si="29"/>
        <v>7</v>
      </c>
      <c r="AF23" s="76" t="str">
        <f t="shared" ca="1" si="30"/>
        <v>—</v>
      </c>
      <c r="AG23" s="15">
        <f t="shared" ca="1" si="31"/>
        <v>7</v>
      </c>
      <c r="AH23" s="9" t="str">
        <f t="shared" ca="1" si="32"/>
        <v>—</v>
      </c>
      <c r="AI23" s="15">
        <f t="shared" ca="1" si="33"/>
        <v>7</v>
      </c>
      <c r="AJ23" s="26" t="str">
        <f t="shared" ca="1" si="34"/>
        <v>—</v>
      </c>
      <c r="AK23" s="15">
        <f t="shared" ca="1" si="35"/>
        <v>7</v>
      </c>
      <c r="AL23" s="9" t="str">
        <f t="shared" ca="1" si="36"/>
        <v>—</v>
      </c>
      <c r="AM23" s="15">
        <f t="shared" ca="1" si="37"/>
        <v>7</v>
      </c>
      <c r="AN23" s="9" t="str">
        <f t="shared" ca="1" si="38"/>
        <v>—</v>
      </c>
      <c r="AO23" s="15">
        <f t="shared" ca="1" si="39"/>
        <v>7</v>
      </c>
    </row>
    <row r="24" spans="1:41" x14ac:dyDescent="0.25">
      <c r="A24" s="4">
        <f t="shared" si="0"/>
        <v>78989</v>
      </c>
      <c r="B24" t="str">
        <f ca="1">TEXT(DATE(YEAR(Invoer!$A$5),1,1)+ROWS(B$2:B24)-1,"jjjjmmdd")</f>
        <v>19130123</v>
      </c>
      <c r="C24" s="72">
        <f t="shared" si="1"/>
        <v>800</v>
      </c>
      <c r="D24" s="16" t="str">
        <f t="shared" ca="1" si="2"/>
        <v>—</v>
      </c>
      <c r="E24" s="15">
        <f t="shared" ca="1" si="3"/>
        <v>7</v>
      </c>
      <c r="F24" s="73" t="str">
        <f t="shared" ca="1" si="4"/>
        <v>—</v>
      </c>
      <c r="G24" s="15">
        <f t="shared" ca="1" si="5"/>
        <v>7</v>
      </c>
      <c r="H24" s="73" t="str">
        <f t="shared" ca="1" si="6"/>
        <v>—</v>
      </c>
      <c r="I24" s="15">
        <f t="shared" ca="1" si="7"/>
        <v>7</v>
      </c>
      <c r="J24" s="73" t="str">
        <f t="shared" ca="1" si="8"/>
        <v>—</v>
      </c>
      <c r="K24" s="15">
        <f t="shared" ca="1" si="9"/>
        <v>7</v>
      </c>
      <c r="L24" s="16" t="str">
        <f t="shared" ca="1" si="10"/>
        <v>—</v>
      </c>
      <c r="M24" s="15">
        <f t="shared" ca="1" si="11"/>
        <v>7</v>
      </c>
      <c r="N24" s="16" t="str">
        <f t="shared" ca="1" si="12"/>
        <v>—</v>
      </c>
      <c r="O24" s="15">
        <f t="shared" ca="1" si="13"/>
        <v>7</v>
      </c>
      <c r="P24" s="16" t="str">
        <f t="shared" ca="1" si="14"/>
        <v>—</v>
      </c>
      <c r="Q24" s="15">
        <f t="shared" ca="1" si="15"/>
        <v>7</v>
      </c>
      <c r="R24" s="16" t="str">
        <f t="shared" ca="1" si="16"/>
        <v>—</v>
      </c>
      <c r="S24" s="15">
        <f t="shared" ca="1" si="17"/>
        <v>7</v>
      </c>
      <c r="T24" s="9" t="str">
        <f t="shared" ca="1" si="18"/>
        <v>—</v>
      </c>
      <c r="U24" s="15">
        <f t="shared" ca="1" si="19"/>
        <v>7</v>
      </c>
      <c r="V24" s="16" t="str">
        <f t="shared" ca="1" si="20"/>
        <v>—</v>
      </c>
      <c r="W24" s="15">
        <f t="shared" ca="1" si="21"/>
        <v>7</v>
      </c>
      <c r="X24" s="16" t="str">
        <f t="shared" ca="1" si="22"/>
        <v>—</v>
      </c>
      <c r="Y24" s="15">
        <f t="shared" ca="1" si="23"/>
        <v>7</v>
      </c>
      <c r="Z24" s="16" t="str">
        <f t="shared" ca="1" si="24"/>
        <v>—</v>
      </c>
      <c r="AA24" s="15">
        <f t="shared" ca="1" si="25"/>
        <v>7</v>
      </c>
      <c r="AB24" s="9" t="str">
        <f t="shared" ca="1" si="26"/>
        <v>—</v>
      </c>
      <c r="AC24" s="15">
        <f t="shared" ca="1" si="27"/>
        <v>7</v>
      </c>
      <c r="AD24" s="76" t="str">
        <f t="shared" ca="1" si="28"/>
        <v>—</v>
      </c>
      <c r="AE24" s="15">
        <f t="shared" ca="1" si="29"/>
        <v>7</v>
      </c>
      <c r="AF24" s="76" t="str">
        <f t="shared" ca="1" si="30"/>
        <v>—</v>
      </c>
      <c r="AG24" s="15">
        <f t="shared" ca="1" si="31"/>
        <v>7</v>
      </c>
      <c r="AH24" s="9" t="str">
        <f t="shared" ca="1" si="32"/>
        <v>—</v>
      </c>
      <c r="AI24" s="15">
        <f t="shared" ca="1" si="33"/>
        <v>7</v>
      </c>
      <c r="AJ24" s="26" t="str">
        <f t="shared" ca="1" si="34"/>
        <v>—</v>
      </c>
      <c r="AK24" s="15">
        <f t="shared" ca="1" si="35"/>
        <v>7</v>
      </c>
      <c r="AL24" s="9" t="str">
        <f t="shared" ca="1" si="36"/>
        <v>—</v>
      </c>
      <c r="AM24" s="15">
        <f t="shared" ca="1" si="37"/>
        <v>7</v>
      </c>
      <c r="AN24" s="9" t="str">
        <f t="shared" ca="1" si="38"/>
        <v>—</v>
      </c>
      <c r="AO24" s="15">
        <f t="shared" ca="1" si="39"/>
        <v>7</v>
      </c>
    </row>
    <row r="25" spans="1:41" x14ac:dyDescent="0.25">
      <c r="A25" s="4">
        <f t="shared" si="0"/>
        <v>78989</v>
      </c>
      <c r="B25" t="str">
        <f ca="1">TEXT(DATE(YEAR(Invoer!$A$5),1,1)+ROWS(B$2:B25)-1,"jjjjmmdd")</f>
        <v>19130124</v>
      </c>
      <c r="C25" s="72">
        <f t="shared" si="1"/>
        <v>800</v>
      </c>
      <c r="D25" s="16" t="str">
        <f t="shared" ca="1" si="2"/>
        <v>—</v>
      </c>
      <c r="E25" s="15">
        <f t="shared" ca="1" si="3"/>
        <v>7</v>
      </c>
      <c r="F25" s="73" t="str">
        <f t="shared" ca="1" si="4"/>
        <v>—</v>
      </c>
      <c r="G25" s="15">
        <f t="shared" ca="1" si="5"/>
        <v>7</v>
      </c>
      <c r="H25" s="73" t="str">
        <f t="shared" ca="1" si="6"/>
        <v>—</v>
      </c>
      <c r="I25" s="15">
        <f t="shared" ca="1" si="7"/>
        <v>7</v>
      </c>
      <c r="J25" s="73" t="str">
        <f t="shared" ca="1" si="8"/>
        <v>—</v>
      </c>
      <c r="K25" s="15">
        <f t="shared" ca="1" si="9"/>
        <v>7</v>
      </c>
      <c r="L25" s="16" t="str">
        <f t="shared" ca="1" si="10"/>
        <v>—</v>
      </c>
      <c r="M25" s="15">
        <f t="shared" ca="1" si="11"/>
        <v>7</v>
      </c>
      <c r="N25" s="16" t="str">
        <f t="shared" ca="1" si="12"/>
        <v>—</v>
      </c>
      <c r="O25" s="15">
        <f t="shared" ca="1" si="13"/>
        <v>7</v>
      </c>
      <c r="P25" s="16" t="str">
        <f t="shared" ca="1" si="14"/>
        <v>—</v>
      </c>
      <c r="Q25" s="15">
        <f t="shared" ca="1" si="15"/>
        <v>7</v>
      </c>
      <c r="R25" s="16" t="str">
        <f t="shared" ca="1" si="16"/>
        <v>—</v>
      </c>
      <c r="S25" s="15">
        <f t="shared" ca="1" si="17"/>
        <v>7</v>
      </c>
      <c r="T25" s="9" t="str">
        <f t="shared" ca="1" si="18"/>
        <v>—</v>
      </c>
      <c r="U25" s="15">
        <f t="shared" ca="1" si="19"/>
        <v>7</v>
      </c>
      <c r="V25" s="16" t="str">
        <f t="shared" ca="1" si="20"/>
        <v>—</v>
      </c>
      <c r="W25" s="15">
        <f t="shared" ca="1" si="21"/>
        <v>7</v>
      </c>
      <c r="X25" s="16" t="str">
        <f t="shared" ca="1" si="22"/>
        <v>—</v>
      </c>
      <c r="Y25" s="15">
        <f t="shared" ca="1" si="23"/>
        <v>7</v>
      </c>
      <c r="Z25" s="16" t="str">
        <f t="shared" ca="1" si="24"/>
        <v>—</v>
      </c>
      <c r="AA25" s="15">
        <f t="shared" ca="1" si="25"/>
        <v>7</v>
      </c>
      <c r="AB25" s="9" t="str">
        <f t="shared" ca="1" si="26"/>
        <v>—</v>
      </c>
      <c r="AC25" s="15">
        <f t="shared" ca="1" si="27"/>
        <v>7</v>
      </c>
      <c r="AD25" s="76" t="str">
        <f t="shared" ca="1" si="28"/>
        <v>—</v>
      </c>
      <c r="AE25" s="15">
        <f t="shared" ca="1" si="29"/>
        <v>7</v>
      </c>
      <c r="AF25" s="76" t="str">
        <f t="shared" ca="1" si="30"/>
        <v>—</v>
      </c>
      <c r="AG25" s="15">
        <f t="shared" ca="1" si="31"/>
        <v>7</v>
      </c>
      <c r="AH25" s="9" t="str">
        <f t="shared" ca="1" si="32"/>
        <v>—</v>
      </c>
      <c r="AI25" s="15">
        <f t="shared" ca="1" si="33"/>
        <v>7</v>
      </c>
      <c r="AJ25" s="26" t="str">
        <f t="shared" ca="1" si="34"/>
        <v>—</v>
      </c>
      <c r="AK25" s="15">
        <f t="shared" ca="1" si="35"/>
        <v>7</v>
      </c>
      <c r="AL25" s="9" t="str">
        <f t="shared" ca="1" si="36"/>
        <v>—</v>
      </c>
      <c r="AM25" s="15">
        <f t="shared" ca="1" si="37"/>
        <v>7</v>
      </c>
      <c r="AN25" s="9" t="str">
        <f t="shared" ca="1" si="38"/>
        <v>—</v>
      </c>
      <c r="AO25" s="15">
        <f t="shared" ca="1" si="39"/>
        <v>7</v>
      </c>
    </row>
    <row r="26" spans="1:41" x14ac:dyDescent="0.25">
      <c r="A26" s="4">
        <f t="shared" si="0"/>
        <v>78989</v>
      </c>
      <c r="B26" t="str">
        <f ca="1">TEXT(DATE(YEAR(Invoer!$A$5),1,1)+ROWS(B$2:B26)-1,"jjjjmmdd")</f>
        <v>19130125</v>
      </c>
      <c r="C26" s="72">
        <f t="shared" si="1"/>
        <v>800</v>
      </c>
      <c r="D26" s="16" t="str">
        <f t="shared" ca="1" si="2"/>
        <v>—</v>
      </c>
      <c r="E26" s="15">
        <f t="shared" ca="1" si="3"/>
        <v>7</v>
      </c>
      <c r="F26" s="73" t="str">
        <f t="shared" ca="1" si="4"/>
        <v>—</v>
      </c>
      <c r="G26" s="15">
        <f t="shared" ca="1" si="5"/>
        <v>7</v>
      </c>
      <c r="H26" s="73" t="str">
        <f t="shared" ca="1" si="6"/>
        <v>—</v>
      </c>
      <c r="I26" s="15">
        <f t="shared" ca="1" si="7"/>
        <v>7</v>
      </c>
      <c r="J26" s="73" t="str">
        <f t="shared" ca="1" si="8"/>
        <v>—</v>
      </c>
      <c r="K26" s="15">
        <f t="shared" ca="1" si="9"/>
        <v>7</v>
      </c>
      <c r="L26" s="16" t="str">
        <f t="shared" ca="1" si="10"/>
        <v>—</v>
      </c>
      <c r="M26" s="15">
        <f t="shared" ca="1" si="11"/>
        <v>7</v>
      </c>
      <c r="N26" s="16" t="str">
        <f t="shared" ca="1" si="12"/>
        <v>—</v>
      </c>
      <c r="O26" s="15">
        <f t="shared" ca="1" si="13"/>
        <v>7</v>
      </c>
      <c r="P26" s="16" t="str">
        <f t="shared" ca="1" si="14"/>
        <v>—</v>
      </c>
      <c r="Q26" s="15">
        <f t="shared" ca="1" si="15"/>
        <v>7</v>
      </c>
      <c r="R26" s="16" t="str">
        <f t="shared" ca="1" si="16"/>
        <v>—</v>
      </c>
      <c r="S26" s="15">
        <f t="shared" ca="1" si="17"/>
        <v>7</v>
      </c>
      <c r="T26" s="9" t="str">
        <f t="shared" ca="1" si="18"/>
        <v>—</v>
      </c>
      <c r="U26" s="15">
        <f t="shared" ca="1" si="19"/>
        <v>7</v>
      </c>
      <c r="V26" s="16" t="str">
        <f t="shared" ca="1" si="20"/>
        <v>—</v>
      </c>
      <c r="W26" s="15">
        <f t="shared" ca="1" si="21"/>
        <v>7</v>
      </c>
      <c r="X26" s="16" t="str">
        <f t="shared" ca="1" si="22"/>
        <v>—</v>
      </c>
      <c r="Y26" s="15">
        <f t="shared" ca="1" si="23"/>
        <v>7</v>
      </c>
      <c r="Z26" s="16" t="str">
        <f t="shared" ca="1" si="24"/>
        <v>—</v>
      </c>
      <c r="AA26" s="15">
        <f t="shared" ca="1" si="25"/>
        <v>7</v>
      </c>
      <c r="AB26" s="9" t="str">
        <f t="shared" ca="1" si="26"/>
        <v>—</v>
      </c>
      <c r="AC26" s="15">
        <f t="shared" ca="1" si="27"/>
        <v>7</v>
      </c>
      <c r="AD26" s="76" t="str">
        <f t="shared" ca="1" si="28"/>
        <v>—</v>
      </c>
      <c r="AE26" s="15">
        <f t="shared" ca="1" si="29"/>
        <v>7</v>
      </c>
      <c r="AF26" s="76" t="str">
        <f t="shared" ca="1" si="30"/>
        <v>—</v>
      </c>
      <c r="AG26" s="15">
        <f t="shared" ca="1" si="31"/>
        <v>7</v>
      </c>
      <c r="AH26" s="9" t="str">
        <f t="shared" ca="1" si="32"/>
        <v>—</v>
      </c>
      <c r="AI26" s="15">
        <f t="shared" ca="1" si="33"/>
        <v>7</v>
      </c>
      <c r="AJ26" s="26" t="str">
        <f t="shared" ca="1" si="34"/>
        <v>—</v>
      </c>
      <c r="AK26" s="15">
        <f t="shared" ca="1" si="35"/>
        <v>7</v>
      </c>
      <c r="AL26" s="9" t="str">
        <f t="shared" ca="1" si="36"/>
        <v>—</v>
      </c>
      <c r="AM26" s="15">
        <f t="shared" ca="1" si="37"/>
        <v>7</v>
      </c>
      <c r="AN26" s="9" t="str">
        <f t="shared" ca="1" si="38"/>
        <v>—</v>
      </c>
      <c r="AO26" s="15">
        <f t="shared" ca="1" si="39"/>
        <v>7</v>
      </c>
    </row>
    <row r="27" spans="1:41" x14ac:dyDescent="0.25">
      <c r="A27" s="4">
        <f t="shared" si="0"/>
        <v>78989</v>
      </c>
      <c r="B27" t="str">
        <f ca="1">TEXT(DATE(YEAR(Invoer!$A$5),1,1)+ROWS(B$2:B27)-1,"jjjjmmdd")</f>
        <v>19130126</v>
      </c>
      <c r="C27" s="72">
        <f t="shared" si="1"/>
        <v>800</v>
      </c>
      <c r="D27" s="16" t="str">
        <f t="shared" ca="1" si="2"/>
        <v>—</v>
      </c>
      <c r="E27" s="15">
        <f t="shared" ca="1" si="3"/>
        <v>7</v>
      </c>
      <c r="F27" s="73" t="str">
        <f t="shared" ca="1" si="4"/>
        <v>—</v>
      </c>
      <c r="G27" s="15">
        <f t="shared" ca="1" si="5"/>
        <v>7</v>
      </c>
      <c r="H27" s="73" t="str">
        <f t="shared" ca="1" si="6"/>
        <v>—</v>
      </c>
      <c r="I27" s="15">
        <f t="shared" ca="1" si="7"/>
        <v>7</v>
      </c>
      <c r="J27" s="73" t="str">
        <f t="shared" ca="1" si="8"/>
        <v>—</v>
      </c>
      <c r="K27" s="15">
        <f t="shared" ca="1" si="9"/>
        <v>7</v>
      </c>
      <c r="L27" s="16" t="str">
        <f t="shared" ca="1" si="10"/>
        <v>—</v>
      </c>
      <c r="M27" s="15">
        <f t="shared" ca="1" si="11"/>
        <v>7</v>
      </c>
      <c r="N27" s="16" t="str">
        <f t="shared" ca="1" si="12"/>
        <v>—</v>
      </c>
      <c r="O27" s="15">
        <f t="shared" ca="1" si="13"/>
        <v>7</v>
      </c>
      <c r="P27" s="16" t="str">
        <f t="shared" ca="1" si="14"/>
        <v>—</v>
      </c>
      <c r="Q27" s="15">
        <f t="shared" ca="1" si="15"/>
        <v>7</v>
      </c>
      <c r="R27" s="16" t="str">
        <f t="shared" ca="1" si="16"/>
        <v>—</v>
      </c>
      <c r="S27" s="15">
        <f t="shared" ca="1" si="17"/>
        <v>7</v>
      </c>
      <c r="T27" s="9" t="str">
        <f t="shared" ca="1" si="18"/>
        <v>—</v>
      </c>
      <c r="U27" s="15">
        <f t="shared" ca="1" si="19"/>
        <v>7</v>
      </c>
      <c r="V27" s="16" t="str">
        <f t="shared" ca="1" si="20"/>
        <v>—</v>
      </c>
      <c r="W27" s="15">
        <f t="shared" ca="1" si="21"/>
        <v>7</v>
      </c>
      <c r="X27" s="16" t="str">
        <f t="shared" ca="1" si="22"/>
        <v>—</v>
      </c>
      <c r="Y27" s="15">
        <f t="shared" ca="1" si="23"/>
        <v>7</v>
      </c>
      <c r="Z27" s="16" t="str">
        <f t="shared" ca="1" si="24"/>
        <v>—</v>
      </c>
      <c r="AA27" s="15">
        <f t="shared" ca="1" si="25"/>
        <v>7</v>
      </c>
      <c r="AB27" s="9" t="str">
        <f t="shared" ca="1" si="26"/>
        <v>—</v>
      </c>
      <c r="AC27" s="15">
        <f t="shared" ca="1" si="27"/>
        <v>7</v>
      </c>
      <c r="AD27" s="76" t="str">
        <f t="shared" ca="1" si="28"/>
        <v>—</v>
      </c>
      <c r="AE27" s="15">
        <f t="shared" ca="1" si="29"/>
        <v>7</v>
      </c>
      <c r="AF27" s="76" t="str">
        <f t="shared" ca="1" si="30"/>
        <v>—</v>
      </c>
      <c r="AG27" s="15">
        <f t="shared" ca="1" si="31"/>
        <v>7</v>
      </c>
      <c r="AH27" s="9" t="str">
        <f t="shared" ca="1" si="32"/>
        <v>—</v>
      </c>
      <c r="AI27" s="15">
        <f t="shared" ca="1" si="33"/>
        <v>7</v>
      </c>
      <c r="AJ27" s="26" t="str">
        <f t="shared" ca="1" si="34"/>
        <v>—</v>
      </c>
      <c r="AK27" s="15">
        <f t="shared" ca="1" si="35"/>
        <v>7</v>
      </c>
      <c r="AL27" s="9" t="str">
        <f t="shared" ca="1" si="36"/>
        <v>—</v>
      </c>
      <c r="AM27" s="15">
        <f t="shared" ca="1" si="37"/>
        <v>7</v>
      </c>
      <c r="AN27" s="9" t="str">
        <f t="shared" ca="1" si="38"/>
        <v>—</v>
      </c>
      <c r="AO27" s="15">
        <f t="shared" ca="1" si="39"/>
        <v>7</v>
      </c>
    </row>
    <row r="28" spans="1:41" x14ac:dyDescent="0.25">
      <c r="A28" s="4">
        <f t="shared" si="0"/>
        <v>78989</v>
      </c>
      <c r="B28" t="str">
        <f ca="1">TEXT(DATE(YEAR(Invoer!$A$5),1,1)+ROWS(B$2:B28)-1,"jjjjmmdd")</f>
        <v>19130127</v>
      </c>
      <c r="C28" s="72">
        <f t="shared" si="1"/>
        <v>800</v>
      </c>
      <c r="D28" s="16" t="str">
        <f t="shared" ca="1" si="2"/>
        <v>—</v>
      </c>
      <c r="E28" s="15">
        <f t="shared" ca="1" si="3"/>
        <v>7</v>
      </c>
      <c r="F28" s="73" t="str">
        <f t="shared" ca="1" si="4"/>
        <v>—</v>
      </c>
      <c r="G28" s="15">
        <f t="shared" ca="1" si="5"/>
        <v>7</v>
      </c>
      <c r="H28" s="73" t="str">
        <f t="shared" ca="1" si="6"/>
        <v>—</v>
      </c>
      <c r="I28" s="15">
        <f t="shared" ca="1" si="7"/>
        <v>7</v>
      </c>
      <c r="J28" s="73" t="str">
        <f t="shared" ca="1" si="8"/>
        <v>—</v>
      </c>
      <c r="K28" s="15">
        <f t="shared" ca="1" si="9"/>
        <v>7</v>
      </c>
      <c r="L28" s="16" t="str">
        <f t="shared" ca="1" si="10"/>
        <v>—</v>
      </c>
      <c r="M28" s="15">
        <f t="shared" ca="1" si="11"/>
        <v>7</v>
      </c>
      <c r="N28" s="16" t="str">
        <f t="shared" ca="1" si="12"/>
        <v>—</v>
      </c>
      <c r="O28" s="15">
        <f t="shared" ca="1" si="13"/>
        <v>7</v>
      </c>
      <c r="P28" s="16" t="str">
        <f t="shared" ca="1" si="14"/>
        <v>—</v>
      </c>
      <c r="Q28" s="15">
        <f t="shared" ca="1" si="15"/>
        <v>7</v>
      </c>
      <c r="R28" s="16" t="str">
        <f t="shared" ca="1" si="16"/>
        <v>—</v>
      </c>
      <c r="S28" s="15">
        <f t="shared" ca="1" si="17"/>
        <v>7</v>
      </c>
      <c r="T28" s="9" t="str">
        <f t="shared" ca="1" si="18"/>
        <v>—</v>
      </c>
      <c r="U28" s="15">
        <f t="shared" ca="1" si="19"/>
        <v>7</v>
      </c>
      <c r="V28" s="16" t="str">
        <f t="shared" ca="1" si="20"/>
        <v>—</v>
      </c>
      <c r="W28" s="15">
        <f t="shared" ca="1" si="21"/>
        <v>7</v>
      </c>
      <c r="X28" s="16" t="str">
        <f t="shared" ca="1" si="22"/>
        <v>—</v>
      </c>
      <c r="Y28" s="15">
        <f t="shared" ca="1" si="23"/>
        <v>7</v>
      </c>
      <c r="Z28" s="16" t="str">
        <f t="shared" ca="1" si="24"/>
        <v>—</v>
      </c>
      <c r="AA28" s="15">
        <f t="shared" ca="1" si="25"/>
        <v>7</v>
      </c>
      <c r="AB28" s="9" t="str">
        <f t="shared" ca="1" si="26"/>
        <v>—</v>
      </c>
      <c r="AC28" s="15">
        <f t="shared" ca="1" si="27"/>
        <v>7</v>
      </c>
      <c r="AD28" s="76" t="str">
        <f t="shared" ca="1" si="28"/>
        <v>—</v>
      </c>
      <c r="AE28" s="15">
        <f t="shared" ca="1" si="29"/>
        <v>7</v>
      </c>
      <c r="AF28" s="76" t="str">
        <f t="shared" ca="1" si="30"/>
        <v>—</v>
      </c>
      <c r="AG28" s="15">
        <f t="shared" ca="1" si="31"/>
        <v>7</v>
      </c>
      <c r="AH28" s="9" t="str">
        <f t="shared" ca="1" si="32"/>
        <v>—</v>
      </c>
      <c r="AI28" s="15">
        <f t="shared" ca="1" si="33"/>
        <v>7</v>
      </c>
      <c r="AJ28" s="26" t="str">
        <f t="shared" ca="1" si="34"/>
        <v>—</v>
      </c>
      <c r="AK28" s="15">
        <f t="shared" ca="1" si="35"/>
        <v>7</v>
      </c>
      <c r="AL28" s="9" t="str">
        <f t="shared" ca="1" si="36"/>
        <v>—</v>
      </c>
      <c r="AM28" s="15">
        <f t="shared" ca="1" si="37"/>
        <v>7</v>
      </c>
      <c r="AN28" s="9" t="str">
        <f t="shared" ca="1" si="38"/>
        <v>—</v>
      </c>
      <c r="AO28" s="15">
        <f t="shared" ca="1" si="39"/>
        <v>7</v>
      </c>
    </row>
    <row r="29" spans="1:41" x14ac:dyDescent="0.25">
      <c r="A29" s="4">
        <f t="shared" si="0"/>
        <v>78989</v>
      </c>
      <c r="B29" t="str">
        <f ca="1">TEXT(DATE(YEAR(Invoer!$A$5),1,1)+ROWS(B$2:B29)-1,"jjjjmmdd")</f>
        <v>19130128</v>
      </c>
      <c r="C29" s="72">
        <f t="shared" si="1"/>
        <v>800</v>
      </c>
      <c r="D29" s="16" t="str">
        <f t="shared" ca="1" si="2"/>
        <v>—</v>
      </c>
      <c r="E29" s="15">
        <f t="shared" ca="1" si="3"/>
        <v>7</v>
      </c>
      <c r="F29" s="73" t="str">
        <f t="shared" ca="1" si="4"/>
        <v>—</v>
      </c>
      <c r="G29" s="15">
        <f t="shared" ca="1" si="5"/>
        <v>7</v>
      </c>
      <c r="H29" s="73" t="str">
        <f t="shared" ca="1" si="6"/>
        <v>—</v>
      </c>
      <c r="I29" s="15">
        <f t="shared" ca="1" si="7"/>
        <v>7</v>
      </c>
      <c r="J29" s="73" t="str">
        <f t="shared" ca="1" si="8"/>
        <v>—</v>
      </c>
      <c r="K29" s="15">
        <f t="shared" ca="1" si="9"/>
        <v>7</v>
      </c>
      <c r="L29" s="16" t="str">
        <f t="shared" ca="1" si="10"/>
        <v>—</v>
      </c>
      <c r="M29" s="15">
        <f t="shared" ca="1" si="11"/>
        <v>7</v>
      </c>
      <c r="N29" s="16" t="str">
        <f t="shared" ca="1" si="12"/>
        <v>—</v>
      </c>
      <c r="O29" s="15">
        <f t="shared" ca="1" si="13"/>
        <v>7</v>
      </c>
      <c r="P29" s="16" t="str">
        <f t="shared" ca="1" si="14"/>
        <v>—</v>
      </c>
      <c r="Q29" s="15">
        <f t="shared" ca="1" si="15"/>
        <v>7</v>
      </c>
      <c r="R29" s="16" t="str">
        <f t="shared" ca="1" si="16"/>
        <v>—</v>
      </c>
      <c r="S29" s="15">
        <f t="shared" ca="1" si="17"/>
        <v>7</v>
      </c>
      <c r="T29" s="9" t="str">
        <f t="shared" ca="1" si="18"/>
        <v>—</v>
      </c>
      <c r="U29" s="15">
        <f t="shared" ca="1" si="19"/>
        <v>7</v>
      </c>
      <c r="V29" s="16" t="str">
        <f t="shared" ca="1" si="20"/>
        <v>—</v>
      </c>
      <c r="W29" s="15">
        <f t="shared" ca="1" si="21"/>
        <v>7</v>
      </c>
      <c r="X29" s="16" t="str">
        <f t="shared" ca="1" si="22"/>
        <v>—</v>
      </c>
      <c r="Y29" s="15">
        <f t="shared" ca="1" si="23"/>
        <v>7</v>
      </c>
      <c r="Z29" s="16" t="str">
        <f t="shared" ca="1" si="24"/>
        <v>—</v>
      </c>
      <c r="AA29" s="15">
        <f t="shared" ca="1" si="25"/>
        <v>7</v>
      </c>
      <c r="AB29" s="9" t="str">
        <f t="shared" ca="1" si="26"/>
        <v>—</v>
      </c>
      <c r="AC29" s="15">
        <f t="shared" ca="1" si="27"/>
        <v>7</v>
      </c>
      <c r="AD29" s="76" t="str">
        <f t="shared" ca="1" si="28"/>
        <v>—</v>
      </c>
      <c r="AE29" s="15">
        <f t="shared" ca="1" si="29"/>
        <v>7</v>
      </c>
      <c r="AF29" s="76" t="str">
        <f t="shared" ca="1" si="30"/>
        <v>—</v>
      </c>
      <c r="AG29" s="15">
        <f t="shared" ca="1" si="31"/>
        <v>7</v>
      </c>
      <c r="AH29" s="9" t="str">
        <f t="shared" ca="1" si="32"/>
        <v>—</v>
      </c>
      <c r="AI29" s="15">
        <f t="shared" ca="1" si="33"/>
        <v>7</v>
      </c>
      <c r="AJ29" s="26" t="str">
        <f t="shared" ca="1" si="34"/>
        <v>—</v>
      </c>
      <c r="AK29" s="15">
        <f t="shared" ca="1" si="35"/>
        <v>7</v>
      </c>
      <c r="AL29" s="9" t="str">
        <f t="shared" ca="1" si="36"/>
        <v>—</v>
      </c>
      <c r="AM29" s="15">
        <f t="shared" ca="1" si="37"/>
        <v>7</v>
      </c>
      <c r="AN29" s="9" t="str">
        <f t="shared" ca="1" si="38"/>
        <v>—</v>
      </c>
      <c r="AO29" s="15">
        <f t="shared" ca="1" si="39"/>
        <v>7</v>
      </c>
    </row>
    <row r="30" spans="1:41" x14ac:dyDescent="0.25">
      <c r="A30" s="4">
        <f t="shared" si="0"/>
        <v>78989</v>
      </c>
      <c r="B30" t="str">
        <f ca="1">TEXT(DATE(YEAR(Invoer!$A$5),1,1)+ROWS(B$2:B30)-1,"jjjjmmdd")</f>
        <v>19130129</v>
      </c>
      <c r="C30" s="72">
        <f t="shared" si="1"/>
        <v>800</v>
      </c>
      <c r="D30" s="16" t="str">
        <f t="shared" ca="1" si="2"/>
        <v>—</v>
      </c>
      <c r="E30" s="15">
        <f t="shared" ca="1" si="3"/>
        <v>7</v>
      </c>
      <c r="F30" s="73" t="str">
        <f t="shared" ca="1" si="4"/>
        <v>—</v>
      </c>
      <c r="G30" s="15">
        <f t="shared" ca="1" si="5"/>
        <v>7</v>
      </c>
      <c r="H30" s="73" t="str">
        <f t="shared" ca="1" si="6"/>
        <v>—</v>
      </c>
      <c r="I30" s="15">
        <f t="shared" ca="1" si="7"/>
        <v>7</v>
      </c>
      <c r="J30" s="73" t="str">
        <f t="shared" ca="1" si="8"/>
        <v>—</v>
      </c>
      <c r="K30" s="15">
        <f t="shared" ca="1" si="9"/>
        <v>7</v>
      </c>
      <c r="L30" s="16" t="str">
        <f t="shared" ca="1" si="10"/>
        <v>—</v>
      </c>
      <c r="M30" s="15">
        <f t="shared" ca="1" si="11"/>
        <v>7</v>
      </c>
      <c r="N30" s="16" t="str">
        <f t="shared" ca="1" si="12"/>
        <v>—</v>
      </c>
      <c r="O30" s="15">
        <f t="shared" ca="1" si="13"/>
        <v>7</v>
      </c>
      <c r="P30" s="16" t="str">
        <f t="shared" ca="1" si="14"/>
        <v>—</v>
      </c>
      <c r="Q30" s="15">
        <f t="shared" ca="1" si="15"/>
        <v>7</v>
      </c>
      <c r="R30" s="16" t="str">
        <f t="shared" ca="1" si="16"/>
        <v>—</v>
      </c>
      <c r="S30" s="15">
        <f t="shared" ca="1" si="17"/>
        <v>7</v>
      </c>
      <c r="T30" s="9" t="str">
        <f t="shared" ca="1" si="18"/>
        <v>—</v>
      </c>
      <c r="U30" s="15">
        <f t="shared" ca="1" si="19"/>
        <v>7</v>
      </c>
      <c r="V30" s="16" t="str">
        <f t="shared" ca="1" si="20"/>
        <v>—</v>
      </c>
      <c r="W30" s="15">
        <f t="shared" ca="1" si="21"/>
        <v>7</v>
      </c>
      <c r="X30" s="16" t="str">
        <f t="shared" ca="1" si="22"/>
        <v>—</v>
      </c>
      <c r="Y30" s="15">
        <f t="shared" ca="1" si="23"/>
        <v>7</v>
      </c>
      <c r="Z30" s="16" t="str">
        <f t="shared" ca="1" si="24"/>
        <v>—</v>
      </c>
      <c r="AA30" s="15">
        <f t="shared" ca="1" si="25"/>
        <v>7</v>
      </c>
      <c r="AB30" s="9" t="str">
        <f t="shared" ca="1" si="26"/>
        <v>—</v>
      </c>
      <c r="AC30" s="15">
        <f t="shared" ca="1" si="27"/>
        <v>7</v>
      </c>
      <c r="AD30" s="76" t="str">
        <f t="shared" ca="1" si="28"/>
        <v>—</v>
      </c>
      <c r="AE30" s="15">
        <f t="shared" ca="1" si="29"/>
        <v>7</v>
      </c>
      <c r="AF30" s="76" t="str">
        <f t="shared" ca="1" si="30"/>
        <v>—</v>
      </c>
      <c r="AG30" s="15">
        <f t="shared" ca="1" si="31"/>
        <v>7</v>
      </c>
      <c r="AH30" s="9" t="str">
        <f t="shared" ca="1" si="32"/>
        <v>—</v>
      </c>
      <c r="AI30" s="15">
        <f t="shared" ca="1" si="33"/>
        <v>7</v>
      </c>
      <c r="AJ30" s="26" t="str">
        <f t="shared" ca="1" si="34"/>
        <v>—</v>
      </c>
      <c r="AK30" s="15">
        <f t="shared" ca="1" si="35"/>
        <v>7</v>
      </c>
      <c r="AL30" s="9" t="str">
        <f t="shared" ca="1" si="36"/>
        <v>—</v>
      </c>
      <c r="AM30" s="15">
        <f t="shared" ca="1" si="37"/>
        <v>7</v>
      </c>
      <c r="AN30" s="9" t="str">
        <f t="shared" ca="1" si="38"/>
        <v>—</v>
      </c>
      <c r="AO30" s="15">
        <f t="shared" ca="1" si="39"/>
        <v>7</v>
      </c>
    </row>
    <row r="31" spans="1:41" x14ac:dyDescent="0.25">
      <c r="A31" s="4">
        <f t="shared" si="0"/>
        <v>78989</v>
      </c>
      <c r="B31" t="str">
        <f ca="1">TEXT(DATE(YEAR(Invoer!$A$5),1,1)+ROWS(B$2:B31)-1,"jjjjmmdd")</f>
        <v>19130130</v>
      </c>
      <c r="C31" s="72">
        <f t="shared" si="1"/>
        <v>800</v>
      </c>
      <c r="D31" s="16" t="str">
        <f t="shared" ca="1" si="2"/>
        <v>—</v>
      </c>
      <c r="E31" s="15">
        <f t="shared" ca="1" si="3"/>
        <v>7</v>
      </c>
      <c r="F31" s="73" t="str">
        <f t="shared" ca="1" si="4"/>
        <v>—</v>
      </c>
      <c r="G31" s="15">
        <f t="shared" ca="1" si="5"/>
        <v>7</v>
      </c>
      <c r="H31" s="73" t="str">
        <f t="shared" ca="1" si="6"/>
        <v>—</v>
      </c>
      <c r="I31" s="15">
        <f t="shared" ca="1" si="7"/>
        <v>7</v>
      </c>
      <c r="J31" s="73" t="str">
        <f t="shared" ca="1" si="8"/>
        <v>—</v>
      </c>
      <c r="K31" s="15">
        <f t="shared" ca="1" si="9"/>
        <v>7</v>
      </c>
      <c r="L31" s="16" t="str">
        <f t="shared" ca="1" si="10"/>
        <v>—</v>
      </c>
      <c r="M31" s="15">
        <f t="shared" ca="1" si="11"/>
        <v>7</v>
      </c>
      <c r="N31" s="16" t="str">
        <f t="shared" ca="1" si="12"/>
        <v>—</v>
      </c>
      <c r="O31" s="15">
        <f t="shared" ca="1" si="13"/>
        <v>7</v>
      </c>
      <c r="P31" s="16" t="str">
        <f t="shared" ca="1" si="14"/>
        <v>—</v>
      </c>
      <c r="Q31" s="15">
        <f t="shared" ca="1" si="15"/>
        <v>7</v>
      </c>
      <c r="R31" s="16" t="str">
        <f t="shared" ca="1" si="16"/>
        <v>—</v>
      </c>
      <c r="S31" s="15">
        <f t="shared" ca="1" si="17"/>
        <v>7</v>
      </c>
      <c r="T31" s="9" t="str">
        <f t="shared" ca="1" si="18"/>
        <v>—</v>
      </c>
      <c r="U31" s="15">
        <f t="shared" ca="1" si="19"/>
        <v>7</v>
      </c>
      <c r="V31" s="16" t="str">
        <f t="shared" ca="1" si="20"/>
        <v>—</v>
      </c>
      <c r="W31" s="15">
        <f t="shared" ca="1" si="21"/>
        <v>7</v>
      </c>
      <c r="X31" s="16" t="str">
        <f t="shared" ca="1" si="22"/>
        <v>—</v>
      </c>
      <c r="Y31" s="15">
        <f t="shared" ca="1" si="23"/>
        <v>7</v>
      </c>
      <c r="Z31" s="16" t="str">
        <f t="shared" ca="1" si="24"/>
        <v>—</v>
      </c>
      <c r="AA31" s="15">
        <f t="shared" ca="1" si="25"/>
        <v>7</v>
      </c>
      <c r="AB31" s="9" t="str">
        <f t="shared" ca="1" si="26"/>
        <v>—</v>
      </c>
      <c r="AC31" s="15">
        <f t="shared" ca="1" si="27"/>
        <v>7</v>
      </c>
      <c r="AD31" s="76" t="str">
        <f t="shared" ca="1" si="28"/>
        <v>—</v>
      </c>
      <c r="AE31" s="15">
        <f t="shared" ca="1" si="29"/>
        <v>7</v>
      </c>
      <c r="AF31" s="76" t="str">
        <f t="shared" ca="1" si="30"/>
        <v>—</v>
      </c>
      <c r="AG31" s="15">
        <f t="shared" ca="1" si="31"/>
        <v>7</v>
      </c>
      <c r="AH31" s="9" t="str">
        <f t="shared" ca="1" si="32"/>
        <v>—</v>
      </c>
      <c r="AI31" s="15">
        <f t="shared" ca="1" si="33"/>
        <v>7</v>
      </c>
      <c r="AJ31" s="26" t="str">
        <f t="shared" ca="1" si="34"/>
        <v>—</v>
      </c>
      <c r="AK31" s="15">
        <f t="shared" ca="1" si="35"/>
        <v>7</v>
      </c>
      <c r="AL31" s="9" t="str">
        <f t="shared" ca="1" si="36"/>
        <v>—</v>
      </c>
      <c r="AM31" s="15">
        <f t="shared" ca="1" si="37"/>
        <v>7</v>
      </c>
      <c r="AN31" s="9" t="str">
        <f t="shared" ca="1" si="38"/>
        <v>—</v>
      </c>
      <c r="AO31" s="15">
        <f t="shared" ca="1" si="39"/>
        <v>7</v>
      </c>
    </row>
    <row r="32" spans="1:41" x14ac:dyDescent="0.25">
      <c r="A32" s="4">
        <f t="shared" si="0"/>
        <v>78989</v>
      </c>
      <c r="B32" t="str">
        <f ca="1">TEXT(DATE(YEAR(Invoer!$A$5),1,1)+ROWS(B$2:B32)-1,"jjjjmmdd")</f>
        <v>19130131</v>
      </c>
      <c r="C32" s="72">
        <f t="shared" si="1"/>
        <v>800</v>
      </c>
      <c r="D32" s="16" t="str">
        <f t="shared" ca="1" si="2"/>
        <v>—</v>
      </c>
      <c r="E32" s="15">
        <f t="shared" ca="1" si="3"/>
        <v>7</v>
      </c>
      <c r="F32" s="73" t="str">
        <f t="shared" ca="1" si="4"/>
        <v>—</v>
      </c>
      <c r="G32" s="15">
        <f t="shared" ca="1" si="5"/>
        <v>7</v>
      </c>
      <c r="H32" s="73" t="str">
        <f t="shared" ca="1" si="6"/>
        <v>—</v>
      </c>
      <c r="I32" s="15">
        <f t="shared" ca="1" si="7"/>
        <v>7</v>
      </c>
      <c r="J32" s="73" t="str">
        <f t="shared" ca="1" si="8"/>
        <v>—</v>
      </c>
      <c r="K32" s="15">
        <f t="shared" ca="1" si="9"/>
        <v>7</v>
      </c>
      <c r="L32" s="16" t="str">
        <f t="shared" ca="1" si="10"/>
        <v>—</v>
      </c>
      <c r="M32" s="15">
        <f t="shared" ca="1" si="11"/>
        <v>7</v>
      </c>
      <c r="N32" s="16" t="str">
        <f t="shared" ca="1" si="12"/>
        <v>—</v>
      </c>
      <c r="O32" s="15">
        <f t="shared" ca="1" si="13"/>
        <v>7</v>
      </c>
      <c r="P32" s="16" t="str">
        <f t="shared" ca="1" si="14"/>
        <v>—</v>
      </c>
      <c r="Q32" s="15">
        <f t="shared" ca="1" si="15"/>
        <v>7</v>
      </c>
      <c r="R32" s="16" t="str">
        <f t="shared" ca="1" si="16"/>
        <v>—</v>
      </c>
      <c r="S32" s="15">
        <f t="shared" ca="1" si="17"/>
        <v>7</v>
      </c>
      <c r="T32" s="9" t="str">
        <f t="shared" ca="1" si="18"/>
        <v>—</v>
      </c>
      <c r="U32" s="15">
        <f t="shared" ca="1" si="19"/>
        <v>7</v>
      </c>
      <c r="V32" s="16" t="str">
        <f t="shared" ca="1" si="20"/>
        <v>—</v>
      </c>
      <c r="W32" s="15">
        <f t="shared" ca="1" si="21"/>
        <v>7</v>
      </c>
      <c r="X32" s="16" t="str">
        <f t="shared" ca="1" si="22"/>
        <v>—</v>
      </c>
      <c r="Y32" s="15">
        <f t="shared" ca="1" si="23"/>
        <v>7</v>
      </c>
      <c r="Z32" s="16" t="str">
        <f t="shared" ca="1" si="24"/>
        <v>—</v>
      </c>
      <c r="AA32" s="15">
        <f t="shared" ca="1" si="25"/>
        <v>7</v>
      </c>
      <c r="AB32" s="9" t="str">
        <f t="shared" ca="1" si="26"/>
        <v>—</v>
      </c>
      <c r="AC32" s="15">
        <f t="shared" ca="1" si="27"/>
        <v>7</v>
      </c>
      <c r="AD32" s="76" t="str">
        <f t="shared" ca="1" si="28"/>
        <v>—</v>
      </c>
      <c r="AE32" s="15">
        <f t="shared" ca="1" si="29"/>
        <v>7</v>
      </c>
      <c r="AF32" s="76" t="str">
        <f t="shared" ca="1" si="30"/>
        <v>—</v>
      </c>
      <c r="AG32" s="15">
        <f t="shared" ca="1" si="31"/>
        <v>7</v>
      </c>
      <c r="AH32" s="9" t="str">
        <f t="shared" ca="1" si="32"/>
        <v>—</v>
      </c>
      <c r="AI32" s="15">
        <f t="shared" ca="1" si="33"/>
        <v>7</v>
      </c>
      <c r="AJ32" s="26" t="str">
        <f t="shared" ca="1" si="34"/>
        <v>—</v>
      </c>
      <c r="AK32" s="15">
        <f t="shared" ca="1" si="35"/>
        <v>7</v>
      </c>
      <c r="AL32" s="9" t="str">
        <f t="shared" ca="1" si="36"/>
        <v>—</v>
      </c>
      <c r="AM32" s="15">
        <f t="shared" ca="1" si="37"/>
        <v>7</v>
      </c>
      <c r="AN32" s="9" t="str">
        <f t="shared" ca="1" si="38"/>
        <v>—</v>
      </c>
      <c r="AO32" s="15">
        <f t="shared" ca="1" si="39"/>
        <v>7</v>
      </c>
    </row>
    <row r="33" spans="1:41" x14ac:dyDescent="0.25">
      <c r="A33" s="4">
        <f t="shared" si="0"/>
        <v>78989</v>
      </c>
      <c r="B33" t="str">
        <f ca="1">TEXT(DATE(YEAR(Invoer!$A$5),1,1)+ROWS(B$2:B33)-1,"jjjjmmdd")</f>
        <v>19130201</v>
      </c>
      <c r="C33" s="72">
        <f t="shared" si="1"/>
        <v>800</v>
      </c>
      <c r="D33" s="16" t="str">
        <f t="shared" ca="1" si="2"/>
        <v>—</v>
      </c>
      <c r="E33" s="15">
        <f t="shared" ca="1" si="3"/>
        <v>7</v>
      </c>
      <c r="F33" s="73" t="str">
        <f t="shared" ca="1" si="4"/>
        <v>—</v>
      </c>
      <c r="G33" s="15">
        <f t="shared" ca="1" si="5"/>
        <v>7</v>
      </c>
      <c r="H33" s="73" t="str">
        <f t="shared" ca="1" si="6"/>
        <v>—</v>
      </c>
      <c r="I33" s="15">
        <f t="shared" ca="1" si="7"/>
        <v>7</v>
      </c>
      <c r="J33" s="73" t="str">
        <f t="shared" ca="1" si="8"/>
        <v>—</v>
      </c>
      <c r="K33" s="15">
        <f t="shared" ca="1" si="9"/>
        <v>7</v>
      </c>
      <c r="L33" s="16" t="str">
        <f t="shared" ca="1" si="10"/>
        <v>—</v>
      </c>
      <c r="M33" s="15">
        <f t="shared" ca="1" si="11"/>
        <v>7</v>
      </c>
      <c r="N33" s="16" t="str">
        <f t="shared" ca="1" si="12"/>
        <v>—</v>
      </c>
      <c r="O33" s="15">
        <f t="shared" ca="1" si="13"/>
        <v>7</v>
      </c>
      <c r="P33" s="16" t="str">
        <f t="shared" ca="1" si="14"/>
        <v>—</v>
      </c>
      <c r="Q33" s="15">
        <f t="shared" ca="1" si="15"/>
        <v>7</v>
      </c>
      <c r="R33" s="16" t="str">
        <f t="shared" ca="1" si="16"/>
        <v>—</v>
      </c>
      <c r="S33" s="15">
        <f t="shared" ca="1" si="17"/>
        <v>7</v>
      </c>
      <c r="T33" s="9" t="str">
        <f t="shared" ca="1" si="18"/>
        <v>—</v>
      </c>
      <c r="U33" s="15">
        <f t="shared" ca="1" si="19"/>
        <v>7</v>
      </c>
      <c r="V33" s="16" t="str">
        <f t="shared" ca="1" si="20"/>
        <v>—</v>
      </c>
      <c r="W33" s="15">
        <f t="shared" ca="1" si="21"/>
        <v>7</v>
      </c>
      <c r="X33" s="16" t="str">
        <f t="shared" ca="1" si="22"/>
        <v>—</v>
      </c>
      <c r="Y33" s="15">
        <f t="shared" ca="1" si="23"/>
        <v>7</v>
      </c>
      <c r="Z33" s="16" t="str">
        <f t="shared" ca="1" si="24"/>
        <v>—</v>
      </c>
      <c r="AA33" s="15">
        <f t="shared" ca="1" si="25"/>
        <v>7</v>
      </c>
      <c r="AB33" s="9" t="str">
        <f t="shared" ca="1" si="26"/>
        <v>—</v>
      </c>
      <c r="AC33" s="15">
        <f t="shared" ca="1" si="27"/>
        <v>7</v>
      </c>
      <c r="AD33" s="76" t="str">
        <f t="shared" ca="1" si="28"/>
        <v>—</v>
      </c>
      <c r="AE33" s="15">
        <f t="shared" ca="1" si="29"/>
        <v>7</v>
      </c>
      <c r="AF33" s="76" t="str">
        <f t="shared" ca="1" si="30"/>
        <v>—</v>
      </c>
      <c r="AG33" s="15">
        <f t="shared" ca="1" si="31"/>
        <v>7</v>
      </c>
      <c r="AH33" s="9" t="str">
        <f t="shared" ca="1" si="32"/>
        <v>—</v>
      </c>
      <c r="AI33" s="15">
        <f t="shared" ca="1" si="33"/>
        <v>7</v>
      </c>
      <c r="AJ33" s="26" t="str">
        <f t="shared" ca="1" si="34"/>
        <v>—</v>
      </c>
      <c r="AK33" s="15">
        <f t="shared" ca="1" si="35"/>
        <v>7</v>
      </c>
      <c r="AL33" s="9" t="str">
        <f t="shared" ca="1" si="36"/>
        <v>—</v>
      </c>
      <c r="AM33" s="15">
        <f t="shared" ca="1" si="37"/>
        <v>7</v>
      </c>
      <c r="AN33" s="9" t="str">
        <f t="shared" ca="1" si="38"/>
        <v>—</v>
      </c>
      <c r="AO33" s="15">
        <f t="shared" ca="1" si="39"/>
        <v>7</v>
      </c>
    </row>
    <row r="34" spans="1:41" x14ac:dyDescent="0.25">
      <c r="A34" s="4">
        <f t="shared" si="0"/>
        <v>78989</v>
      </c>
      <c r="B34" t="str">
        <f ca="1">TEXT(DATE(YEAR(Invoer!$A$5),1,1)+ROWS(B$2:B34)-1,"jjjjmmdd")</f>
        <v>19130202</v>
      </c>
      <c r="C34" s="72">
        <f t="shared" si="1"/>
        <v>800</v>
      </c>
      <c r="D34" s="16" t="str">
        <f t="shared" ca="1" si="2"/>
        <v>—</v>
      </c>
      <c r="E34" s="15">
        <f t="shared" ca="1" si="3"/>
        <v>7</v>
      </c>
      <c r="F34" s="73" t="str">
        <f t="shared" ca="1" si="4"/>
        <v>—</v>
      </c>
      <c r="G34" s="15">
        <f t="shared" ca="1" si="5"/>
        <v>7</v>
      </c>
      <c r="H34" s="73" t="str">
        <f t="shared" ca="1" si="6"/>
        <v>—</v>
      </c>
      <c r="I34" s="15">
        <f t="shared" ca="1" si="7"/>
        <v>7</v>
      </c>
      <c r="J34" s="73" t="str">
        <f t="shared" ca="1" si="8"/>
        <v>—</v>
      </c>
      <c r="K34" s="15">
        <f t="shared" ca="1" si="9"/>
        <v>7</v>
      </c>
      <c r="L34" s="16" t="str">
        <f t="shared" ca="1" si="10"/>
        <v>—</v>
      </c>
      <c r="M34" s="15">
        <f t="shared" ca="1" si="11"/>
        <v>7</v>
      </c>
      <c r="N34" s="16" t="str">
        <f t="shared" ca="1" si="12"/>
        <v>—</v>
      </c>
      <c r="O34" s="15">
        <f t="shared" ca="1" si="13"/>
        <v>7</v>
      </c>
      <c r="P34" s="16" t="str">
        <f t="shared" ca="1" si="14"/>
        <v>—</v>
      </c>
      <c r="Q34" s="15">
        <f t="shared" ca="1" si="15"/>
        <v>7</v>
      </c>
      <c r="R34" s="16" t="str">
        <f t="shared" ca="1" si="16"/>
        <v>—</v>
      </c>
      <c r="S34" s="15">
        <f t="shared" ca="1" si="17"/>
        <v>7</v>
      </c>
      <c r="T34" s="9" t="str">
        <f t="shared" ca="1" si="18"/>
        <v>—</v>
      </c>
      <c r="U34" s="15">
        <f t="shared" ca="1" si="19"/>
        <v>7</v>
      </c>
      <c r="V34" s="16" t="str">
        <f t="shared" ca="1" si="20"/>
        <v>—</v>
      </c>
      <c r="W34" s="15">
        <f t="shared" ca="1" si="21"/>
        <v>7</v>
      </c>
      <c r="X34" s="16" t="str">
        <f t="shared" ca="1" si="22"/>
        <v>—</v>
      </c>
      <c r="Y34" s="15">
        <f t="shared" ca="1" si="23"/>
        <v>7</v>
      </c>
      <c r="Z34" s="16" t="str">
        <f t="shared" ca="1" si="24"/>
        <v>—</v>
      </c>
      <c r="AA34" s="15">
        <f t="shared" ca="1" si="25"/>
        <v>7</v>
      </c>
      <c r="AB34" s="9" t="str">
        <f t="shared" ca="1" si="26"/>
        <v>—</v>
      </c>
      <c r="AC34" s="15">
        <f t="shared" ca="1" si="27"/>
        <v>7</v>
      </c>
      <c r="AD34" s="76" t="str">
        <f t="shared" ca="1" si="28"/>
        <v>—</v>
      </c>
      <c r="AE34" s="15">
        <f t="shared" ca="1" si="29"/>
        <v>7</v>
      </c>
      <c r="AF34" s="76" t="str">
        <f t="shared" ca="1" si="30"/>
        <v>—</v>
      </c>
      <c r="AG34" s="15">
        <f t="shared" ca="1" si="31"/>
        <v>7</v>
      </c>
      <c r="AH34" s="9" t="str">
        <f t="shared" ca="1" si="32"/>
        <v>—</v>
      </c>
      <c r="AI34" s="15">
        <f t="shared" ca="1" si="33"/>
        <v>7</v>
      </c>
      <c r="AJ34" s="26" t="str">
        <f t="shared" ca="1" si="34"/>
        <v>—</v>
      </c>
      <c r="AK34" s="15">
        <f t="shared" ca="1" si="35"/>
        <v>7</v>
      </c>
      <c r="AL34" s="9" t="str">
        <f t="shared" ca="1" si="36"/>
        <v>—</v>
      </c>
      <c r="AM34" s="15">
        <f t="shared" ca="1" si="37"/>
        <v>7</v>
      </c>
      <c r="AN34" s="9" t="str">
        <f t="shared" ca="1" si="38"/>
        <v>—</v>
      </c>
      <c r="AO34" s="15">
        <f t="shared" ca="1" si="39"/>
        <v>7</v>
      </c>
    </row>
    <row r="35" spans="1:41" x14ac:dyDescent="0.25">
      <c r="A35" s="4">
        <f t="shared" si="0"/>
        <v>78989</v>
      </c>
      <c r="B35" t="str">
        <f ca="1">TEXT(DATE(YEAR(Invoer!$A$5),1,1)+ROWS(B$2:B35)-1,"jjjjmmdd")</f>
        <v>19130203</v>
      </c>
      <c r="C35" s="72">
        <f t="shared" si="1"/>
        <v>800</v>
      </c>
      <c r="D35" s="16" t="str">
        <f t="shared" ca="1" si="2"/>
        <v>—</v>
      </c>
      <c r="E35" s="15">
        <f t="shared" ca="1" si="3"/>
        <v>7</v>
      </c>
      <c r="F35" s="73" t="str">
        <f t="shared" ca="1" si="4"/>
        <v>—</v>
      </c>
      <c r="G35" s="15">
        <f t="shared" ca="1" si="5"/>
        <v>7</v>
      </c>
      <c r="H35" s="73" t="str">
        <f t="shared" ca="1" si="6"/>
        <v>—</v>
      </c>
      <c r="I35" s="15">
        <f t="shared" ca="1" si="7"/>
        <v>7</v>
      </c>
      <c r="J35" s="73" t="str">
        <f t="shared" ca="1" si="8"/>
        <v>—</v>
      </c>
      <c r="K35" s="15">
        <f t="shared" ca="1" si="9"/>
        <v>7</v>
      </c>
      <c r="L35" s="16" t="str">
        <f t="shared" ca="1" si="10"/>
        <v>—</v>
      </c>
      <c r="M35" s="15">
        <f t="shared" ca="1" si="11"/>
        <v>7</v>
      </c>
      <c r="N35" s="16" t="str">
        <f t="shared" ca="1" si="12"/>
        <v>—</v>
      </c>
      <c r="O35" s="15">
        <f t="shared" ca="1" si="13"/>
        <v>7</v>
      </c>
      <c r="P35" s="16" t="str">
        <f t="shared" ca="1" si="14"/>
        <v>—</v>
      </c>
      <c r="Q35" s="15">
        <f t="shared" ca="1" si="15"/>
        <v>7</v>
      </c>
      <c r="R35" s="16" t="str">
        <f t="shared" ca="1" si="16"/>
        <v>—</v>
      </c>
      <c r="S35" s="15">
        <f t="shared" ca="1" si="17"/>
        <v>7</v>
      </c>
      <c r="T35" s="9" t="str">
        <f t="shared" ca="1" si="18"/>
        <v>—</v>
      </c>
      <c r="U35" s="15">
        <f t="shared" ca="1" si="19"/>
        <v>7</v>
      </c>
      <c r="V35" s="16" t="str">
        <f t="shared" ca="1" si="20"/>
        <v>—</v>
      </c>
      <c r="W35" s="15">
        <f t="shared" ca="1" si="21"/>
        <v>7</v>
      </c>
      <c r="X35" s="16" t="str">
        <f t="shared" ca="1" si="22"/>
        <v>—</v>
      </c>
      <c r="Y35" s="15">
        <f t="shared" ca="1" si="23"/>
        <v>7</v>
      </c>
      <c r="Z35" s="16" t="str">
        <f t="shared" ca="1" si="24"/>
        <v>—</v>
      </c>
      <c r="AA35" s="15">
        <f t="shared" ca="1" si="25"/>
        <v>7</v>
      </c>
      <c r="AB35" s="9" t="str">
        <f t="shared" ca="1" si="26"/>
        <v>—</v>
      </c>
      <c r="AC35" s="15">
        <f t="shared" ca="1" si="27"/>
        <v>7</v>
      </c>
      <c r="AD35" s="76" t="str">
        <f t="shared" ca="1" si="28"/>
        <v>—</v>
      </c>
      <c r="AE35" s="15">
        <f t="shared" ca="1" si="29"/>
        <v>7</v>
      </c>
      <c r="AF35" s="76" t="str">
        <f t="shared" ca="1" si="30"/>
        <v>—</v>
      </c>
      <c r="AG35" s="15">
        <f t="shared" ca="1" si="31"/>
        <v>7</v>
      </c>
      <c r="AH35" s="9" t="str">
        <f t="shared" ca="1" si="32"/>
        <v>—</v>
      </c>
      <c r="AI35" s="15">
        <f t="shared" ca="1" si="33"/>
        <v>7</v>
      </c>
      <c r="AJ35" s="26" t="str">
        <f t="shared" ca="1" si="34"/>
        <v>—</v>
      </c>
      <c r="AK35" s="15">
        <f t="shared" ca="1" si="35"/>
        <v>7</v>
      </c>
      <c r="AL35" s="9" t="str">
        <f t="shared" ca="1" si="36"/>
        <v>—</v>
      </c>
      <c r="AM35" s="15">
        <f t="shared" ca="1" si="37"/>
        <v>7</v>
      </c>
      <c r="AN35" s="9" t="str">
        <f t="shared" ca="1" si="38"/>
        <v>—</v>
      </c>
      <c r="AO35" s="15">
        <f t="shared" ca="1" si="39"/>
        <v>7</v>
      </c>
    </row>
    <row r="36" spans="1:41" x14ac:dyDescent="0.25">
      <c r="A36" s="4">
        <f t="shared" si="0"/>
        <v>78989</v>
      </c>
      <c r="B36" t="str">
        <f ca="1">TEXT(DATE(YEAR(Invoer!$A$5),1,1)+ROWS(B$2:B36)-1,"jjjjmmdd")</f>
        <v>19130204</v>
      </c>
      <c r="C36" s="72">
        <f t="shared" si="1"/>
        <v>800</v>
      </c>
      <c r="D36" s="16" t="str">
        <f t="shared" ca="1" si="2"/>
        <v>—</v>
      </c>
      <c r="E36" s="15">
        <f t="shared" ca="1" si="3"/>
        <v>7</v>
      </c>
      <c r="F36" s="73" t="str">
        <f t="shared" ca="1" si="4"/>
        <v>—</v>
      </c>
      <c r="G36" s="15">
        <f t="shared" ca="1" si="5"/>
        <v>7</v>
      </c>
      <c r="H36" s="73" t="str">
        <f t="shared" ca="1" si="6"/>
        <v>—</v>
      </c>
      <c r="I36" s="15">
        <f t="shared" ca="1" si="7"/>
        <v>7</v>
      </c>
      <c r="J36" s="73" t="str">
        <f t="shared" ca="1" si="8"/>
        <v>—</v>
      </c>
      <c r="K36" s="15">
        <f t="shared" ca="1" si="9"/>
        <v>7</v>
      </c>
      <c r="L36" s="16" t="str">
        <f t="shared" ca="1" si="10"/>
        <v>—</v>
      </c>
      <c r="M36" s="15">
        <f t="shared" ca="1" si="11"/>
        <v>7</v>
      </c>
      <c r="N36" s="16" t="str">
        <f t="shared" ca="1" si="12"/>
        <v>—</v>
      </c>
      <c r="O36" s="15">
        <f t="shared" ca="1" si="13"/>
        <v>7</v>
      </c>
      <c r="P36" s="16" t="str">
        <f t="shared" ca="1" si="14"/>
        <v>—</v>
      </c>
      <c r="Q36" s="15">
        <f t="shared" ca="1" si="15"/>
        <v>7</v>
      </c>
      <c r="R36" s="16" t="str">
        <f t="shared" ca="1" si="16"/>
        <v>—</v>
      </c>
      <c r="S36" s="15">
        <f t="shared" ca="1" si="17"/>
        <v>7</v>
      </c>
      <c r="T36" s="9" t="str">
        <f t="shared" ca="1" si="18"/>
        <v>—</v>
      </c>
      <c r="U36" s="15">
        <f t="shared" ca="1" si="19"/>
        <v>7</v>
      </c>
      <c r="V36" s="16" t="str">
        <f t="shared" ca="1" si="20"/>
        <v>—</v>
      </c>
      <c r="W36" s="15">
        <f t="shared" ca="1" si="21"/>
        <v>7</v>
      </c>
      <c r="X36" s="16" t="str">
        <f t="shared" ca="1" si="22"/>
        <v>—</v>
      </c>
      <c r="Y36" s="15">
        <f t="shared" ca="1" si="23"/>
        <v>7</v>
      </c>
      <c r="Z36" s="16" t="str">
        <f t="shared" ca="1" si="24"/>
        <v>—</v>
      </c>
      <c r="AA36" s="15">
        <f t="shared" ca="1" si="25"/>
        <v>7</v>
      </c>
      <c r="AB36" s="9" t="str">
        <f t="shared" ca="1" si="26"/>
        <v>—</v>
      </c>
      <c r="AC36" s="15">
        <f t="shared" ca="1" si="27"/>
        <v>7</v>
      </c>
      <c r="AD36" s="76" t="str">
        <f t="shared" ca="1" si="28"/>
        <v>—</v>
      </c>
      <c r="AE36" s="15">
        <f t="shared" ca="1" si="29"/>
        <v>7</v>
      </c>
      <c r="AF36" s="76" t="str">
        <f t="shared" ca="1" si="30"/>
        <v>—</v>
      </c>
      <c r="AG36" s="15">
        <f t="shared" ca="1" si="31"/>
        <v>7</v>
      </c>
      <c r="AH36" s="9" t="str">
        <f t="shared" ca="1" si="32"/>
        <v>—</v>
      </c>
      <c r="AI36" s="15">
        <f t="shared" ca="1" si="33"/>
        <v>7</v>
      </c>
      <c r="AJ36" s="26" t="str">
        <f t="shared" ca="1" si="34"/>
        <v>—</v>
      </c>
      <c r="AK36" s="15">
        <f t="shared" ca="1" si="35"/>
        <v>7</v>
      </c>
      <c r="AL36" s="9" t="str">
        <f t="shared" ca="1" si="36"/>
        <v>—</v>
      </c>
      <c r="AM36" s="15">
        <f t="shared" ca="1" si="37"/>
        <v>7</v>
      </c>
      <c r="AN36" s="9" t="str">
        <f t="shared" ca="1" si="38"/>
        <v>—</v>
      </c>
      <c r="AO36" s="15">
        <f t="shared" ca="1" si="39"/>
        <v>7</v>
      </c>
    </row>
    <row r="37" spans="1:41" x14ac:dyDescent="0.25">
      <c r="A37" s="4">
        <f t="shared" si="0"/>
        <v>78989</v>
      </c>
      <c r="B37" t="str">
        <f ca="1">TEXT(DATE(YEAR(Invoer!$A$5),1,1)+ROWS(B$2:B37)-1,"jjjjmmdd")</f>
        <v>19130205</v>
      </c>
      <c r="C37" s="72">
        <f t="shared" si="1"/>
        <v>800</v>
      </c>
      <c r="D37" s="16" t="str">
        <f t="shared" ca="1" si="2"/>
        <v>—</v>
      </c>
      <c r="E37" s="15">
        <f t="shared" ca="1" si="3"/>
        <v>7</v>
      </c>
      <c r="F37" s="73" t="str">
        <f t="shared" ca="1" si="4"/>
        <v>—</v>
      </c>
      <c r="G37" s="15">
        <f t="shared" ca="1" si="5"/>
        <v>7</v>
      </c>
      <c r="H37" s="73" t="str">
        <f t="shared" ca="1" si="6"/>
        <v>—</v>
      </c>
      <c r="I37" s="15">
        <f t="shared" ca="1" si="7"/>
        <v>7</v>
      </c>
      <c r="J37" s="73" t="str">
        <f t="shared" ca="1" si="8"/>
        <v>—</v>
      </c>
      <c r="K37" s="15">
        <f t="shared" ca="1" si="9"/>
        <v>7</v>
      </c>
      <c r="L37" s="16" t="str">
        <f t="shared" ca="1" si="10"/>
        <v>—</v>
      </c>
      <c r="M37" s="15">
        <f t="shared" ca="1" si="11"/>
        <v>7</v>
      </c>
      <c r="N37" s="16" t="str">
        <f t="shared" ca="1" si="12"/>
        <v>—</v>
      </c>
      <c r="O37" s="15">
        <f t="shared" ca="1" si="13"/>
        <v>7</v>
      </c>
      <c r="P37" s="16" t="str">
        <f t="shared" ca="1" si="14"/>
        <v>—</v>
      </c>
      <c r="Q37" s="15">
        <f t="shared" ca="1" si="15"/>
        <v>7</v>
      </c>
      <c r="R37" s="16" t="str">
        <f t="shared" ca="1" si="16"/>
        <v>—</v>
      </c>
      <c r="S37" s="15">
        <f t="shared" ca="1" si="17"/>
        <v>7</v>
      </c>
      <c r="T37" s="9" t="str">
        <f t="shared" ca="1" si="18"/>
        <v>—</v>
      </c>
      <c r="U37" s="15">
        <f t="shared" ca="1" si="19"/>
        <v>7</v>
      </c>
      <c r="V37" s="16" t="str">
        <f t="shared" ca="1" si="20"/>
        <v>—</v>
      </c>
      <c r="W37" s="15">
        <f t="shared" ca="1" si="21"/>
        <v>7</v>
      </c>
      <c r="X37" s="16" t="str">
        <f t="shared" ca="1" si="22"/>
        <v>—</v>
      </c>
      <c r="Y37" s="15">
        <f t="shared" ca="1" si="23"/>
        <v>7</v>
      </c>
      <c r="Z37" s="16" t="str">
        <f t="shared" ca="1" si="24"/>
        <v>—</v>
      </c>
      <c r="AA37" s="15">
        <f t="shared" ca="1" si="25"/>
        <v>7</v>
      </c>
      <c r="AB37" s="9" t="str">
        <f t="shared" ca="1" si="26"/>
        <v>—</v>
      </c>
      <c r="AC37" s="15">
        <f t="shared" ca="1" si="27"/>
        <v>7</v>
      </c>
      <c r="AD37" s="76" t="str">
        <f t="shared" ca="1" si="28"/>
        <v>—</v>
      </c>
      <c r="AE37" s="15">
        <f t="shared" ca="1" si="29"/>
        <v>7</v>
      </c>
      <c r="AF37" s="76" t="str">
        <f t="shared" ca="1" si="30"/>
        <v>—</v>
      </c>
      <c r="AG37" s="15">
        <f t="shared" ca="1" si="31"/>
        <v>7</v>
      </c>
      <c r="AH37" s="9" t="str">
        <f t="shared" ca="1" si="32"/>
        <v>—</v>
      </c>
      <c r="AI37" s="15">
        <f t="shared" ca="1" si="33"/>
        <v>7</v>
      </c>
      <c r="AJ37" s="26" t="str">
        <f t="shared" ca="1" si="34"/>
        <v>—</v>
      </c>
      <c r="AK37" s="15">
        <f t="shared" ca="1" si="35"/>
        <v>7</v>
      </c>
      <c r="AL37" s="9" t="str">
        <f t="shared" ca="1" si="36"/>
        <v>—</v>
      </c>
      <c r="AM37" s="15">
        <f t="shared" ca="1" si="37"/>
        <v>7</v>
      </c>
      <c r="AN37" s="9" t="str">
        <f t="shared" ca="1" si="38"/>
        <v>—</v>
      </c>
      <c r="AO37" s="15">
        <f t="shared" ca="1" si="39"/>
        <v>7</v>
      </c>
    </row>
    <row r="38" spans="1:41" x14ac:dyDescent="0.25">
      <c r="A38" s="4">
        <f t="shared" si="0"/>
        <v>78989</v>
      </c>
      <c r="B38" t="str">
        <f ca="1">TEXT(DATE(YEAR(Invoer!$A$5),1,1)+ROWS(B$2:B38)-1,"jjjjmmdd")</f>
        <v>19130206</v>
      </c>
      <c r="C38" s="72">
        <f t="shared" si="1"/>
        <v>800</v>
      </c>
      <c r="D38" s="16" t="str">
        <f t="shared" ca="1" si="2"/>
        <v>—</v>
      </c>
      <c r="E38" s="15">
        <f t="shared" ca="1" si="3"/>
        <v>7</v>
      </c>
      <c r="F38" s="73" t="str">
        <f t="shared" ca="1" si="4"/>
        <v>—</v>
      </c>
      <c r="G38" s="15">
        <f t="shared" ca="1" si="5"/>
        <v>7</v>
      </c>
      <c r="H38" s="73" t="str">
        <f t="shared" ca="1" si="6"/>
        <v>—</v>
      </c>
      <c r="I38" s="15">
        <f t="shared" ca="1" si="7"/>
        <v>7</v>
      </c>
      <c r="J38" s="73" t="str">
        <f t="shared" ca="1" si="8"/>
        <v>—</v>
      </c>
      <c r="K38" s="15">
        <f t="shared" ca="1" si="9"/>
        <v>7</v>
      </c>
      <c r="L38" s="16" t="str">
        <f t="shared" ca="1" si="10"/>
        <v>—</v>
      </c>
      <c r="M38" s="15">
        <f t="shared" ca="1" si="11"/>
        <v>7</v>
      </c>
      <c r="N38" s="16" t="str">
        <f t="shared" ca="1" si="12"/>
        <v>—</v>
      </c>
      <c r="O38" s="15">
        <f t="shared" ca="1" si="13"/>
        <v>7</v>
      </c>
      <c r="P38" s="16" t="str">
        <f t="shared" ca="1" si="14"/>
        <v>—</v>
      </c>
      <c r="Q38" s="15">
        <f t="shared" ca="1" si="15"/>
        <v>7</v>
      </c>
      <c r="R38" s="16" t="str">
        <f t="shared" ca="1" si="16"/>
        <v>—</v>
      </c>
      <c r="S38" s="15">
        <f t="shared" ca="1" si="17"/>
        <v>7</v>
      </c>
      <c r="T38" s="9" t="str">
        <f t="shared" ca="1" si="18"/>
        <v>—</v>
      </c>
      <c r="U38" s="15">
        <f t="shared" ca="1" si="19"/>
        <v>7</v>
      </c>
      <c r="V38" s="16" t="str">
        <f t="shared" ca="1" si="20"/>
        <v>—</v>
      </c>
      <c r="W38" s="15">
        <f t="shared" ca="1" si="21"/>
        <v>7</v>
      </c>
      <c r="X38" s="16" t="str">
        <f t="shared" ca="1" si="22"/>
        <v>—</v>
      </c>
      <c r="Y38" s="15">
        <f t="shared" ca="1" si="23"/>
        <v>7</v>
      </c>
      <c r="Z38" s="16" t="str">
        <f t="shared" ca="1" si="24"/>
        <v>—</v>
      </c>
      <c r="AA38" s="15">
        <f t="shared" ca="1" si="25"/>
        <v>7</v>
      </c>
      <c r="AB38" s="9" t="str">
        <f t="shared" ca="1" si="26"/>
        <v>—</v>
      </c>
      <c r="AC38" s="15">
        <f t="shared" ca="1" si="27"/>
        <v>7</v>
      </c>
      <c r="AD38" s="76" t="str">
        <f t="shared" ca="1" si="28"/>
        <v>—</v>
      </c>
      <c r="AE38" s="15">
        <f t="shared" ca="1" si="29"/>
        <v>7</v>
      </c>
      <c r="AF38" s="76" t="str">
        <f t="shared" ca="1" si="30"/>
        <v>—</v>
      </c>
      <c r="AG38" s="15">
        <f t="shared" ca="1" si="31"/>
        <v>7</v>
      </c>
      <c r="AH38" s="9" t="str">
        <f t="shared" ca="1" si="32"/>
        <v>—</v>
      </c>
      <c r="AI38" s="15">
        <f t="shared" ca="1" si="33"/>
        <v>7</v>
      </c>
      <c r="AJ38" s="26" t="str">
        <f t="shared" ca="1" si="34"/>
        <v>—</v>
      </c>
      <c r="AK38" s="15">
        <f t="shared" ca="1" si="35"/>
        <v>7</v>
      </c>
      <c r="AL38" s="9" t="str">
        <f t="shared" ca="1" si="36"/>
        <v>—</v>
      </c>
      <c r="AM38" s="15">
        <f t="shared" ca="1" si="37"/>
        <v>7</v>
      </c>
      <c r="AN38" s="9" t="str">
        <f t="shared" ca="1" si="38"/>
        <v>—</v>
      </c>
      <c r="AO38" s="15">
        <f t="shared" ca="1" si="39"/>
        <v>7</v>
      </c>
    </row>
    <row r="39" spans="1:41" x14ac:dyDescent="0.25">
      <c r="A39" s="4">
        <f t="shared" si="0"/>
        <v>78989</v>
      </c>
      <c r="B39" t="str">
        <f ca="1">TEXT(DATE(YEAR(Invoer!$A$5),1,1)+ROWS(B$2:B39)-1,"jjjjmmdd")</f>
        <v>19130207</v>
      </c>
      <c r="C39" s="72">
        <f t="shared" si="1"/>
        <v>800</v>
      </c>
      <c r="D39" s="16" t="str">
        <f t="shared" ca="1" si="2"/>
        <v>—</v>
      </c>
      <c r="E39" s="15">
        <f t="shared" ca="1" si="3"/>
        <v>7</v>
      </c>
      <c r="F39" s="73" t="str">
        <f t="shared" ca="1" si="4"/>
        <v>—</v>
      </c>
      <c r="G39" s="15">
        <f t="shared" ca="1" si="5"/>
        <v>7</v>
      </c>
      <c r="H39" s="73" t="str">
        <f t="shared" ca="1" si="6"/>
        <v>—</v>
      </c>
      <c r="I39" s="15">
        <f t="shared" ca="1" si="7"/>
        <v>7</v>
      </c>
      <c r="J39" s="73" t="str">
        <f t="shared" ca="1" si="8"/>
        <v>—</v>
      </c>
      <c r="K39" s="15">
        <f t="shared" ca="1" si="9"/>
        <v>7</v>
      </c>
      <c r="L39" s="16" t="str">
        <f t="shared" ca="1" si="10"/>
        <v>—</v>
      </c>
      <c r="M39" s="15">
        <f t="shared" ca="1" si="11"/>
        <v>7</v>
      </c>
      <c r="N39" s="16" t="str">
        <f t="shared" ca="1" si="12"/>
        <v>—</v>
      </c>
      <c r="O39" s="15">
        <f t="shared" ca="1" si="13"/>
        <v>7</v>
      </c>
      <c r="P39" s="16" t="str">
        <f t="shared" ca="1" si="14"/>
        <v>—</v>
      </c>
      <c r="Q39" s="15">
        <f t="shared" ca="1" si="15"/>
        <v>7</v>
      </c>
      <c r="R39" s="16" t="str">
        <f t="shared" ca="1" si="16"/>
        <v>—</v>
      </c>
      <c r="S39" s="15">
        <f t="shared" ca="1" si="17"/>
        <v>7</v>
      </c>
      <c r="T39" s="9" t="str">
        <f t="shared" ca="1" si="18"/>
        <v>—</v>
      </c>
      <c r="U39" s="15">
        <f t="shared" ca="1" si="19"/>
        <v>7</v>
      </c>
      <c r="V39" s="16" t="str">
        <f t="shared" ca="1" si="20"/>
        <v>—</v>
      </c>
      <c r="W39" s="15">
        <f t="shared" ca="1" si="21"/>
        <v>7</v>
      </c>
      <c r="X39" s="16" t="str">
        <f t="shared" ca="1" si="22"/>
        <v>—</v>
      </c>
      <c r="Y39" s="15">
        <f t="shared" ca="1" si="23"/>
        <v>7</v>
      </c>
      <c r="Z39" s="16" t="str">
        <f t="shared" ca="1" si="24"/>
        <v>—</v>
      </c>
      <c r="AA39" s="15">
        <f t="shared" ca="1" si="25"/>
        <v>7</v>
      </c>
      <c r="AB39" s="9" t="str">
        <f t="shared" ca="1" si="26"/>
        <v>—</v>
      </c>
      <c r="AC39" s="15">
        <f t="shared" ca="1" si="27"/>
        <v>7</v>
      </c>
      <c r="AD39" s="76" t="str">
        <f t="shared" ca="1" si="28"/>
        <v>—</v>
      </c>
      <c r="AE39" s="15">
        <f t="shared" ca="1" si="29"/>
        <v>7</v>
      </c>
      <c r="AF39" s="76" t="str">
        <f t="shared" ca="1" si="30"/>
        <v>—</v>
      </c>
      <c r="AG39" s="15">
        <f t="shared" ca="1" si="31"/>
        <v>7</v>
      </c>
      <c r="AH39" s="9" t="str">
        <f t="shared" ca="1" si="32"/>
        <v>—</v>
      </c>
      <c r="AI39" s="15">
        <f t="shared" ca="1" si="33"/>
        <v>7</v>
      </c>
      <c r="AJ39" s="26" t="str">
        <f t="shared" ca="1" si="34"/>
        <v>—</v>
      </c>
      <c r="AK39" s="15">
        <f t="shared" ca="1" si="35"/>
        <v>7</v>
      </c>
      <c r="AL39" s="9" t="str">
        <f t="shared" ca="1" si="36"/>
        <v>—</v>
      </c>
      <c r="AM39" s="15">
        <f t="shared" ca="1" si="37"/>
        <v>7</v>
      </c>
      <c r="AN39" s="9" t="str">
        <f t="shared" ca="1" si="38"/>
        <v>—</v>
      </c>
      <c r="AO39" s="15">
        <f t="shared" ca="1" si="39"/>
        <v>7</v>
      </c>
    </row>
    <row r="40" spans="1:41" x14ac:dyDescent="0.25">
      <c r="A40" s="4">
        <f t="shared" si="0"/>
        <v>78989</v>
      </c>
      <c r="B40" t="str">
        <f ca="1">TEXT(DATE(YEAR(Invoer!$A$5),1,1)+ROWS(B$2:B40)-1,"jjjjmmdd")</f>
        <v>19130208</v>
      </c>
      <c r="C40" s="72">
        <f t="shared" si="1"/>
        <v>800</v>
      </c>
      <c r="D40" s="16" t="str">
        <f t="shared" ca="1" si="2"/>
        <v>—</v>
      </c>
      <c r="E40" s="15">
        <f t="shared" ca="1" si="3"/>
        <v>7</v>
      </c>
      <c r="F40" s="73" t="str">
        <f t="shared" ca="1" si="4"/>
        <v>—</v>
      </c>
      <c r="G40" s="15">
        <f t="shared" ca="1" si="5"/>
        <v>7</v>
      </c>
      <c r="H40" s="73" t="str">
        <f t="shared" ca="1" si="6"/>
        <v>—</v>
      </c>
      <c r="I40" s="15">
        <f t="shared" ca="1" si="7"/>
        <v>7</v>
      </c>
      <c r="J40" s="73" t="str">
        <f t="shared" ca="1" si="8"/>
        <v>—</v>
      </c>
      <c r="K40" s="15">
        <f t="shared" ca="1" si="9"/>
        <v>7</v>
      </c>
      <c r="L40" s="16" t="str">
        <f t="shared" ca="1" si="10"/>
        <v>—</v>
      </c>
      <c r="M40" s="15">
        <f t="shared" ca="1" si="11"/>
        <v>7</v>
      </c>
      <c r="N40" s="16" t="str">
        <f t="shared" ca="1" si="12"/>
        <v>—</v>
      </c>
      <c r="O40" s="15">
        <f t="shared" ca="1" si="13"/>
        <v>7</v>
      </c>
      <c r="P40" s="16" t="str">
        <f t="shared" ca="1" si="14"/>
        <v>—</v>
      </c>
      <c r="Q40" s="15">
        <f t="shared" ca="1" si="15"/>
        <v>7</v>
      </c>
      <c r="R40" s="16" t="str">
        <f t="shared" ca="1" si="16"/>
        <v>—</v>
      </c>
      <c r="S40" s="15">
        <f t="shared" ca="1" si="17"/>
        <v>7</v>
      </c>
      <c r="T40" s="9" t="str">
        <f t="shared" ca="1" si="18"/>
        <v>—</v>
      </c>
      <c r="U40" s="15">
        <f t="shared" ca="1" si="19"/>
        <v>7</v>
      </c>
      <c r="V40" s="16" t="str">
        <f t="shared" ca="1" si="20"/>
        <v>—</v>
      </c>
      <c r="W40" s="15">
        <f t="shared" ca="1" si="21"/>
        <v>7</v>
      </c>
      <c r="X40" s="16" t="str">
        <f t="shared" ca="1" si="22"/>
        <v>—</v>
      </c>
      <c r="Y40" s="15">
        <f t="shared" ca="1" si="23"/>
        <v>7</v>
      </c>
      <c r="Z40" s="16" t="str">
        <f t="shared" ca="1" si="24"/>
        <v>—</v>
      </c>
      <c r="AA40" s="15">
        <f t="shared" ca="1" si="25"/>
        <v>7</v>
      </c>
      <c r="AB40" s="9" t="str">
        <f t="shared" ca="1" si="26"/>
        <v>—</v>
      </c>
      <c r="AC40" s="15">
        <f t="shared" ca="1" si="27"/>
        <v>7</v>
      </c>
      <c r="AD40" s="76" t="str">
        <f t="shared" ca="1" si="28"/>
        <v>—</v>
      </c>
      <c r="AE40" s="15">
        <f t="shared" ca="1" si="29"/>
        <v>7</v>
      </c>
      <c r="AF40" s="76" t="str">
        <f t="shared" ca="1" si="30"/>
        <v>—</v>
      </c>
      <c r="AG40" s="15">
        <f t="shared" ca="1" si="31"/>
        <v>7</v>
      </c>
      <c r="AH40" s="9" t="str">
        <f t="shared" ca="1" si="32"/>
        <v>—</v>
      </c>
      <c r="AI40" s="15">
        <f t="shared" ca="1" si="33"/>
        <v>7</v>
      </c>
      <c r="AJ40" s="26" t="str">
        <f t="shared" ca="1" si="34"/>
        <v>—</v>
      </c>
      <c r="AK40" s="15">
        <f t="shared" ca="1" si="35"/>
        <v>7</v>
      </c>
      <c r="AL40" s="9" t="str">
        <f t="shared" ca="1" si="36"/>
        <v>—</v>
      </c>
      <c r="AM40" s="15">
        <f t="shared" ca="1" si="37"/>
        <v>7</v>
      </c>
      <c r="AN40" s="9" t="str">
        <f t="shared" ca="1" si="38"/>
        <v>—</v>
      </c>
      <c r="AO40" s="15">
        <f t="shared" ca="1" si="39"/>
        <v>7</v>
      </c>
    </row>
    <row r="41" spans="1:41" x14ac:dyDescent="0.25">
      <c r="A41" s="4">
        <f t="shared" si="0"/>
        <v>78989</v>
      </c>
      <c r="B41" t="str">
        <f ca="1">TEXT(DATE(YEAR(Invoer!$A$5),1,1)+ROWS(B$2:B41)-1,"jjjjmmdd")</f>
        <v>19130209</v>
      </c>
      <c r="C41" s="72">
        <f t="shared" si="1"/>
        <v>800</v>
      </c>
      <c r="D41" s="16" t="str">
        <f t="shared" ca="1" si="2"/>
        <v>—</v>
      </c>
      <c r="E41" s="15">
        <f t="shared" ca="1" si="3"/>
        <v>7</v>
      </c>
      <c r="F41" s="73" t="str">
        <f t="shared" ca="1" si="4"/>
        <v>—</v>
      </c>
      <c r="G41" s="15">
        <f t="shared" ca="1" si="5"/>
        <v>7</v>
      </c>
      <c r="H41" s="73" t="str">
        <f t="shared" ca="1" si="6"/>
        <v>—</v>
      </c>
      <c r="I41" s="15">
        <f t="shared" ca="1" si="7"/>
        <v>7</v>
      </c>
      <c r="J41" s="73" t="str">
        <f t="shared" ca="1" si="8"/>
        <v>—</v>
      </c>
      <c r="K41" s="15">
        <f t="shared" ca="1" si="9"/>
        <v>7</v>
      </c>
      <c r="L41" s="16" t="str">
        <f t="shared" ca="1" si="10"/>
        <v>—</v>
      </c>
      <c r="M41" s="15">
        <f t="shared" ca="1" si="11"/>
        <v>7</v>
      </c>
      <c r="N41" s="16" t="str">
        <f t="shared" ca="1" si="12"/>
        <v>—</v>
      </c>
      <c r="O41" s="15">
        <f t="shared" ca="1" si="13"/>
        <v>7</v>
      </c>
      <c r="P41" s="16" t="str">
        <f t="shared" ca="1" si="14"/>
        <v>—</v>
      </c>
      <c r="Q41" s="15">
        <f t="shared" ca="1" si="15"/>
        <v>7</v>
      </c>
      <c r="R41" s="16" t="str">
        <f t="shared" ca="1" si="16"/>
        <v>—</v>
      </c>
      <c r="S41" s="15">
        <f t="shared" ca="1" si="17"/>
        <v>7</v>
      </c>
      <c r="T41" s="9" t="str">
        <f t="shared" ca="1" si="18"/>
        <v>—</v>
      </c>
      <c r="U41" s="15">
        <f t="shared" ca="1" si="19"/>
        <v>7</v>
      </c>
      <c r="V41" s="16" t="str">
        <f t="shared" ca="1" si="20"/>
        <v>—</v>
      </c>
      <c r="W41" s="15">
        <f t="shared" ca="1" si="21"/>
        <v>7</v>
      </c>
      <c r="X41" s="16" t="str">
        <f t="shared" ca="1" si="22"/>
        <v>—</v>
      </c>
      <c r="Y41" s="15">
        <f t="shared" ca="1" si="23"/>
        <v>7</v>
      </c>
      <c r="Z41" s="16" t="str">
        <f t="shared" ca="1" si="24"/>
        <v>—</v>
      </c>
      <c r="AA41" s="15">
        <f t="shared" ca="1" si="25"/>
        <v>7</v>
      </c>
      <c r="AB41" s="9" t="str">
        <f t="shared" ca="1" si="26"/>
        <v>—</v>
      </c>
      <c r="AC41" s="15">
        <f t="shared" ca="1" si="27"/>
        <v>7</v>
      </c>
      <c r="AD41" s="76" t="str">
        <f t="shared" ca="1" si="28"/>
        <v>—</v>
      </c>
      <c r="AE41" s="15">
        <f t="shared" ca="1" si="29"/>
        <v>7</v>
      </c>
      <c r="AF41" s="76" t="str">
        <f t="shared" ca="1" si="30"/>
        <v>—</v>
      </c>
      <c r="AG41" s="15">
        <f t="shared" ca="1" si="31"/>
        <v>7</v>
      </c>
      <c r="AH41" s="9" t="str">
        <f t="shared" ca="1" si="32"/>
        <v>—</v>
      </c>
      <c r="AI41" s="15">
        <f t="shared" ca="1" si="33"/>
        <v>7</v>
      </c>
      <c r="AJ41" s="26" t="str">
        <f t="shared" ca="1" si="34"/>
        <v>—</v>
      </c>
      <c r="AK41" s="15">
        <f t="shared" ca="1" si="35"/>
        <v>7</v>
      </c>
      <c r="AL41" s="9" t="str">
        <f t="shared" ca="1" si="36"/>
        <v>—</v>
      </c>
      <c r="AM41" s="15">
        <f t="shared" ca="1" si="37"/>
        <v>7</v>
      </c>
      <c r="AN41" s="9" t="str">
        <f t="shared" ca="1" si="38"/>
        <v>—</v>
      </c>
      <c r="AO41" s="15">
        <f t="shared" ca="1" si="39"/>
        <v>7</v>
      </c>
    </row>
    <row r="42" spans="1:41" x14ac:dyDescent="0.25">
      <c r="A42" s="4">
        <f t="shared" si="0"/>
        <v>78989</v>
      </c>
      <c r="B42" t="str">
        <f ca="1">TEXT(DATE(YEAR(Invoer!$A$5),1,1)+ROWS(B$2:B42)-1,"jjjjmmdd")</f>
        <v>19130210</v>
      </c>
      <c r="C42" s="72">
        <f t="shared" si="1"/>
        <v>800</v>
      </c>
      <c r="D42" s="16" t="str">
        <f t="shared" ca="1" si="2"/>
        <v>—</v>
      </c>
      <c r="E42" s="15">
        <f t="shared" ca="1" si="3"/>
        <v>7</v>
      </c>
      <c r="F42" s="73" t="str">
        <f t="shared" ca="1" si="4"/>
        <v>—</v>
      </c>
      <c r="G42" s="15">
        <f t="shared" ca="1" si="5"/>
        <v>7</v>
      </c>
      <c r="H42" s="73" t="str">
        <f t="shared" ca="1" si="6"/>
        <v>—</v>
      </c>
      <c r="I42" s="15">
        <f t="shared" ca="1" si="7"/>
        <v>7</v>
      </c>
      <c r="J42" s="73" t="str">
        <f t="shared" ca="1" si="8"/>
        <v>—</v>
      </c>
      <c r="K42" s="15">
        <f t="shared" ca="1" si="9"/>
        <v>7</v>
      </c>
      <c r="L42" s="16" t="str">
        <f t="shared" ca="1" si="10"/>
        <v>—</v>
      </c>
      <c r="M42" s="15">
        <f t="shared" ca="1" si="11"/>
        <v>7</v>
      </c>
      <c r="N42" s="16" t="str">
        <f t="shared" ca="1" si="12"/>
        <v>—</v>
      </c>
      <c r="O42" s="15">
        <f t="shared" ca="1" si="13"/>
        <v>7</v>
      </c>
      <c r="P42" s="16" t="str">
        <f t="shared" ca="1" si="14"/>
        <v>—</v>
      </c>
      <c r="Q42" s="15">
        <f t="shared" ca="1" si="15"/>
        <v>7</v>
      </c>
      <c r="R42" s="16" t="str">
        <f t="shared" ca="1" si="16"/>
        <v>—</v>
      </c>
      <c r="S42" s="15">
        <f t="shared" ca="1" si="17"/>
        <v>7</v>
      </c>
      <c r="T42" s="9" t="str">
        <f t="shared" ca="1" si="18"/>
        <v>—</v>
      </c>
      <c r="U42" s="15">
        <f t="shared" ca="1" si="19"/>
        <v>7</v>
      </c>
      <c r="V42" s="16" t="str">
        <f t="shared" ca="1" si="20"/>
        <v>—</v>
      </c>
      <c r="W42" s="15">
        <f t="shared" ca="1" si="21"/>
        <v>7</v>
      </c>
      <c r="X42" s="16" t="str">
        <f t="shared" ca="1" si="22"/>
        <v>—</v>
      </c>
      <c r="Y42" s="15">
        <f t="shared" ca="1" si="23"/>
        <v>7</v>
      </c>
      <c r="Z42" s="16" t="str">
        <f t="shared" ca="1" si="24"/>
        <v>—</v>
      </c>
      <c r="AA42" s="15">
        <f t="shared" ca="1" si="25"/>
        <v>7</v>
      </c>
      <c r="AB42" s="9" t="str">
        <f t="shared" ca="1" si="26"/>
        <v>—</v>
      </c>
      <c r="AC42" s="15">
        <f t="shared" ca="1" si="27"/>
        <v>7</v>
      </c>
      <c r="AD42" s="76" t="str">
        <f t="shared" ca="1" si="28"/>
        <v>—</v>
      </c>
      <c r="AE42" s="15">
        <f t="shared" ca="1" si="29"/>
        <v>7</v>
      </c>
      <c r="AF42" s="76" t="str">
        <f t="shared" ca="1" si="30"/>
        <v>—</v>
      </c>
      <c r="AG42" s="15">
        <f t="shared" ca="1" si="31"/>
        <v>7</v>
      </c>
      <c r="AH42" s="9" t="str">
        <f t="shared" ca="1" si="32"/>
        <v>—</v>
      </c>
      <c r="AI42" s="15">
        <f t="shared" ca="1" si="33"/>
        <v>7</v>
      </c>
      <c r="AJ42" s="26" t="str">
        <f t="shared" ca="1" si="34"/>
        <v>—</v>
      </c>
      <c r="AK42" s="15">
        <f t="shared" ca="1" si="35"/>
        <v>7</v>
      </c>
      <c r="AL42" s="9" t="str">
        <f t="shared" ca="1" si="36"/>
        <v>—</v>
      </c>
      <c r="AM42" s="15">
        <f t="shared" ca="1" si="37"/>
        <v>7</v>
      </c>
      <c r="AN42" s="9" t="str">
        <f t="shared" ca="1" si="38"/>
        <v>—</v>
      </c>
      <c r="AO42" s="15">
        <f t="shared" ca="1" si="39"/>
        <v>7</v>
      </c>
    </row>
    <row r="43" spans="1:41" x14ac:dyDescent="0.25">
      <c r="A43" s="4">
        <f t="shared" si="0"/>
        <v>78989</v>
      </c>
      <c r="B43" t="str">
        <f ca="1">TEXT(DATE(YEAR(Invoer!$A$5),1,1)+ROWS(B$2:B43)-1,"jjjjmmdd")</f>
        <v>19130211</v>
      </c>
      <c r="C43" s="72">
        <f t="shared" si="1"/>
        <v>800</v>
      </c>
      <c r="D43" s="16" t="str">
        <f t="shared" ca="1" si="2"/>
        <v>—</v>
      </c>
      <c r="E43" s="15">
        <f t="shared" ca="1" si="3"/>
        <v>7</v>
      </c>
      <c r="F43" s="73" t="str">
        <f t="shared" ca="1" si="4"/>
        <v>—</v>
      </c>
      <c r="G43" s="15">
        <f t="shared" ca="1" si="5"/>
        <v>7</v>
      </c>
      <c r="H43" s="73" t="str">
        <f t="shared" ca="1" si="6"/>
        <v>—</v>
      </c>
      <c r="I43" s="15">
        <f t="shared" ca="1" si="7"/>
        <v>7</v>
      </c>
      <c r="J43" s="73" t="str">
        <f t="shared" ca="1" si="8"/>
        <v>—</v>
      </c>
      <c r="K43" s="15">
        <f t="shared" ca="1" si="9"/>
        <v>7</v>
      </c>
      <c r="L43" s="16" t="str">
        <f t="shared" ca="1" si="10"/>
        <v>—</v>
      </c>
      <c r="M43" s="15">
        <f t="shared" ca="1" si="11"/>
        <v>7</v>
      </c>
      <c r="N43" s="16" t="str">
        <f t="shared" ca="1" si="12"/>
        <v>—</v>
      </c>
      <c r="O43" s="15">
        <f t="shared" ca="1" si="13"/>
        <v>7</v>
      </c>
      <c r="P43" s="16" t="str">
        <f t="shared" ca="1" si="14"/>
        <v>—</v>
      </c>
      <c r="Q43" s="15">
        <f t="shared" ca="1" si="15"/>
        <v>7</v>
      </c>
      <c r="R43" s="16" t="str">
        <f t="shared" ca="1" si="16"/>
        <v>—</v>
      </c>
      <c r="S43" s="15">
        <f t="shared" ca="1" si="17"/>
        <v>7</v>
      </c>
      <c r="T43" s="9" t="str">
        <f t="shared" ca="1" si="18"/>
        <v>—</v>
      </c>
      <c r="U43" s="15">
        <f t="shared" ca="1" si="19"/>
        <v>7</v>
      </c>
      <c r="V43" s="16" t="str">
        <f t="shared" ca="1" si="20"/>
        <v>—</v>
      </c>
      <c r="W43" s="15">
        <f t="shared" ca="1" si="21"/>
        <v>7</v>
      </c>
      <c r="X43" s="16" t="str">
        <f t="shared" ca="1" si="22"/>
        <v>—</v>
      </c>
      <c r="Y43" s="15">
        <f t="shared" ca="1" si="23"/>
        <v>7</v>
      </c>
      <c r="Z43" s="16" t="str">
        <f t="shared" ca="1" si="24"/>
        <v>—</v>
      </c>
      <c r="AA43" s="15">
        <f t="shared" ca="1" si="25"/>
        <v>7</v>
      </c>
      <c r="AB43" s="9" t="str">
        <f t="shared" ca="1" si="26"/>
        <v>—</v>
      </c>
      <c r="AC43" s="15">
        <f t="shared" ca="1" si="27"/>
        <v>7</v>
      </c>
      <c r="AD43" s="76" t="str">
        <f t="shared" ca="1" si="28"/>
        <v>—</v>
      </c>
      <c r="AE43" s="15">
        <f t="shared" ca="1" si="29"/>
        <v>7</v>
      </c>
      <c r="AF43" s="76" t="str">
        <f t="shared" ca="1" si="30"/>
        <v>—</v>
      </c>
      <c r="AG43" s="15">
        <f t="shared" ca="1" si="31"/>
        <v>7</v>
      </c>
      <c r="AH43" s="9" t="str">
        <f t="shared" ca="1" si="32"/>
        <v>—</v>
      </c>
      <c r="AI43" s="15">
        <f t="shared" ca="1" si="33"/>
        <v>7</v>
      </c>
      <c r="AJ43" s="26" t="str">
        <f t="shared" ca="1" si="34"/>
        <v>—</v>
      </c>
      <c r="AK43" s="15">
        <f t="shared" ca="1" si="35"/>
        <v>7</v>
      </c>
      <c r="AL43" s="9" t="str">
        <f t="shared" ca="1" si="36"/>
        <v>—</v>
      </c>
      <c r="AM43" s="15">
        <f t="shared" ca="1" si="37"/>
        <v>7</v>
      </c>
      <c r="AN43" s="9" t="str">
        <f t="shared" ca="1" si="38"/>
        <v>—</v>
      </c>
      <c r="AO43" s="15">
        <f t="shared" ca="1" si="39"/>
        <v>7</v>
      </c>
    </row>
    <row r="44" spans="1:41" x14ac:dyDescent="0.25">
      <c r="A44" s="4">
        <f t="shared" si="0"/>
        <v>78989</v>
      </c>
      <c r="B44" t="str">
        <f ca="1">TEXT(DATE(YEAR(Invoer!$A$5),1,1)+ROWS(B$2:B44)-1,"jjjjmmdd")</f>
        <v>19130212</v>
      </c>
      <c r="C44" s="72">
        <f t="shared" si="1"/>
        <v>800</v>
      </c>
      <c r="D44" s="16" t="str">
        <f t="shared" ca="1" si="2"/>
        <v>—</v>
      </c>
      <c r="E44" s="15">
        <f t="shared" ca="1" si="3"/>
        <v>7</v>
      </c>
      <c r="F44" s="73" t="str">
        <f t="shared" ca="1" si="4"/>
        <v>—</v>
      </c>
      <c r="G44" s="15">
        <f t="shared" ca="1" si="5"/>
        <v>7</v>
      </c>
      <c r="H44" s="73" t="str">
        <f t="shared" ca="1" si="6"/>
        <v>—</v>
      </c>
      <c r="I44" s="15">
        <f t="shared" ca="1" si="7"/>
        <v>7</v>
      </c>
      <c r="J44" s="73" t="str">
        <f t="shared" ca="1" si="8"/>
        <v>—</v>
      </c>
      <c r="K44" s="15">
        <f t="shared" ca="1" si="9"/>
        <v>7</v>
      </c>
      <c r="L44" s="16" t="str">
        <f t="shared" ca="1" si="10"/>
        <v>—</v>
      </c>
      <c r="M44" s="15">
        <f t="shared" ca="1" si="11"/>
        <v>7</v>
      </c>
      <c r="N44" s="16" t="str">
        <f t="shared" ca="1" si="12"/>
        <v>—</v>
      </c>
      <c r="O44" s="15">
        <f t="shared" ca="1" si="13"/>
        <v>7</v>
      </c>
      <c r="P44" s="16" t="str">
        <f t="shared" ca="1" si="14"/>
        <v>—</v>
      </c>
      <c r="Q44" s="15">
        <f t="shared" ca="1" si="15"/>
        <v>7</v>
      </c>
      <c r="R44" s="16" t="str">
        <f t="shared" ca="1" si="16"/>
        <v>—</v>
      </c>
      <c r="S44" s="15">
        <f t="shared" ca="1" si="17"/>
        <v>7</v>
      </c>
      <c r="T44" s="9" t="str">
        <f t="shared" ca="1" si="18"/>
        <v>—</v>
      </c>
      <c r="U44" s="15">
        <f t="shared" ca="1" si="19"/>
        <v>7</v>
      </c>
      <c r="V44" s="16" t="str">
        <f t="shared" ca="1" si="20"/>
        <v>—</v>
      </c>
      <c r="W44" s="15">
        <f t="shared" ca="1" si="21"/>
        <v>7</v>
      </c>
      <c r="X44" s="16" t="str">
        <f t="shared" ca="1" si="22"/>
        <v>—</v>
      </c>
      <c r="Y44" s="15">
        <f t="shared" ca="1" si="23"/>
        <v>7</v>
      </c>
      <c r="Z44" s="16" t="str">
        <f t="shared" ca="1" si="24"/>
        <v>—</v>
      </c>
      <c r="AA44" s="15">
        <f t="shared" ca="1" si="25"/>
        <v>7</v>
      </c>
      <c r="AB44" s="9" t="str">
        <f t="shared" ca="1" si="26"/>
        <v>—</v>
      </c>
      <c r="AC44" s="15">
        <f t="shared" ca="1" si="27"/>
        <v>7</v>
      </c>
      <c r="AD44" s="76" t="str">
        <f t="shared" ca="1" si="28"/>
        <v>—</v>
      </c>
      <c r="AE44" s="15">
        <f t="shared" ca="1" si="29"/>
        <v>7</v>
      </c>
      <c r="AF44" s="76" t="str">
        <f t="shared" ca="1" si="30"/>
        <v>—</v>
      </c>
      <c r="AG44" s="15">
        <f t="shared" ca="1" si="31"/>
        <v>7</v>
      </c>
      <c r="AH44" s="9" t="str">
        <f t="shared" ca="1" si="32"/>
        <v>—</v>
      </c>
      <c r="AI44" s="15">
        <f t="shared" ca="1" si="33"/>
        <v>7</v>
      </c>
      <c r="AJ44" s="26" t="str">
        <f t="shared" ca="1" si="34"/>
        <v>—</v>
      </c>
      <c r="AK44" s="15">
        <f t="shared" ca="1" si="35"/>
        <v>7</v>
      </c>
      <c r="AL44" s="9" t="str">
        <f t="shared" ca="1" si="36"/>
        <v>—</v>
      </c>
      <c r="AM44" s="15">
        <f t="shared" ca="1" si="37"/>
        <v>7</v>
      </c>
      <c r="AN44" s="9" t="str">
        <f t="shared" ca="1" si="38"/>
        <v>—</v>
      </c>
      <c r="AO44" s="15">
        <f t="shared" ca="1" si="39"/>
        <v>7</v>
      </c>
    </row>
    <row r="45" spans="1:41" x14ac:dyDescent="0.25">
      <c r="A45" s="4">
        <f t="shared" si="0"/>
        <v>78989</v>
      </c>
      <c r="B45" t="str">
        <f ca="1">TEXT(DATE(YEAR(Invoer!$A$5),1,1)+ROWS(B$2:B45)-1,"jjjjmmdd")</f>
        <v>19130213</v>
      </c>
      <c r="C45" s="72">
        <f t="shared" si="1"/>
        <v>800</v>
      </c>
      <c r="D45" s="16" t="str">
        <f t="shared" ca="1" si="2"/>
        <v>—</v>
      </c>
      <c r="E45" s="15">
        <f t="shared" ca="1" si="3"/>
        <v>7</v>
      </c>
      <c r="F45" s="73" t="str">
        <f t="shared" ca="1" si="4"/>
        <v>—</v>
      </c>
      <c r="G45" s="15">
        <f t="shared" ca="1" si="5"/>
        <v>7</v>
      </c>
      <c r="H45" s="73" t="str">
        <f t="shared" ca="1" si="6"/>
        <v>—</v>
      </c>
      <c r="I45" s="15">
        <f t="shared" ca="1" si="7"/>
        <v>7</v>
      </c>
      <c r="J45" s="73" t="str">
        <f t="shared" ca="1" si="8"/>
        <v>—</v>
      </c>
      <c r="K45" s="15">
        <f t="shared" ca="1" si="9"/>
        <v>7</v>
      </c>
      <c r="L45" s="16" t="str">
        <f t="shared" ca="1" si="10"/>
        <v>—</v>
      </c>
      <c r="M45" s="15">
        <f t="shared" ca="1" si="11"/>
        <v>7</v>
      </c>
      <c r="N45" s="16" t="str">
        <f t="shared" ca="1" si="12"/>
        <v>—</v>
      </c>
      <c r="O45" s="15">
        <f t="shared" ca="1" si="13"/>
        <v>7</v>
      </c>
      <c r="P45" s="16" t="str">
        <f t="shared" ca="1" si="14"/>
        <v>—</v>
      </c>
      <c r="Q45" s="15">
        <f t="shared" ca="1" si="15"/>
        <v>7</v>
      </c>
      <c r="R45" s="16" t="str">
        <f t="shared" ca="1" si="16"/>
        <v>—</v>
      </c>
      <c r="S45" s="15">
        <f t="shared" ca="1" si="17"/>
        <v>7</v>
      </c>
      <c r="T45" s="9" t="str">
        <f t="shared" ca="1" si="18"/>
        <v>—</v>
      </c>
      <c r="U45" s="15">
        <f t="shared" ca="1" si="19"/>
        <v>7</v>
      </c>
      <c r="V45" s="16" t="str">
        <f t="shared" ca="1" si="20"/>
        <v>—</v>
      </c>
      <c r="W45" s="15">
        <f t="shared" ca="1" si="21"/>
        <v>7</v>
      </c>
      <c r="X45" s="16" t="str">
        <f t="shared" ca="1" si="22"/>
        <v>—</v>
      </c>
      <c r="Y45" s="15">
        <f t="shared" ca="1" si="23"/>
        <v>7</v>
      </c>
      <c r="Z45" s="16" t="str">
        <f t="shared" ca="1" si="24"/>
        <v>—</v>
      </c>
      <c r="AA45" s="15">
        <f t="shared" ca="1" si="25"/>
        <v>7</v>
      </c>
      <c r="AB45" s="9" t="str">
        <f t="shared" ca="1" si="26"/>
        <v>—</v>
      </c>
      <c r="AC45" s="15">
        <f t="shared" ca="1" si="27"/>
        <v>7</v>
      </c>
      <c r="AD45" s="76" t="str">
        <f t="shared" ca="1" si="28"/>
        <v>—</v>
      </c>
      <c r="AE45" s="15">
        <f t="shared" ca="1" si="29"/>
        <v>7</v>
      </c>
      <c r="AF45" s="76" t="str">
        <f t="shared" ca="1" si="30"/>
        <v>—</v>
      </c>
      <c r="AG45" s="15">
        <f t="shared" ca="1" si="31"/>
        <v>7</v>
      </c>
      <c r="AH45" s="9" t="str">
        <f t="shared" ca="1" si="32"/>
        <v>—</v>
      </c>
      <c r="AI45" s="15">
        <f t="shared" ca="1" si="33"/>
        <v>7</v>
      </c>
      <c r="AJ45" s="26" t="str">
        <f t="shared" ca="1" si="34"/>
        <v>—</v>
      </c>
      <c r="AK45" s="15">
        <f t="shared" ca="1" si="35"/>
        <v>7</v>
      </c>
      <c r="AL45" s="9" t="str">
        <f t="shared" ca="1" si="36"/>
        <v>—</v>
      </c>
      <c r="AM45" s="15">
        <f t="shared" ca="1" si="37"/>
        <v>7</v>
      </c>
      <c r="AN45" s="9" t="str">
        <f t="shared" ca="1" si="38"/>
        <v>—</v>
      </c>
      <c r="AO45" s="15">
        <f t="shared" ca="1" si="39"/>
        <v>7</v>
      </c>
    </row>
    <row r="46" spans="1:41" x14ac:dyDescent="0.25">
      <c r="A46" s="4">
        <f t="shared" si="0"/>
        <v>78989</v>
      </c>
      <c r="B46" t="str">
        <f ca="1">TEXT(DATE(YEAR(Invoer!$A$5),1,1)+ROWS(B$2:B46)-1,"jjjjmmdd")</f>
        <v>19130214</v>
      </c>
      <c r="C46" s="72">
        <f t="shared" si="1"/>
        <v>800</v>
      </c>
      <c r="D46" s="16" t="str">
        <f t="shared" ca="1" si="2"/>
        <v>—</v>
      </c>
      <c r="E46" s="15">
        <f t="shared" ca="1" si="3"/>
        <v>7</v>
      </c>
      <c r="F46" s="73" t="str">
        <f t="shared" ca="1" si="4"/>
        <v>—</v>
      </c>
      <c r="G46" s="15">
        <f t="shared" ca="1" si="5"/>
        <v>7</v>
      </c>
      <c r="H46" s="73" t="str">
        <f t="shared" ca="1" si="6"/>
        <v>—</v>
      </c>
      <c r="I46" s="15">
        <f t="shared" ca="1" si="7"/>
        <v>7</v>
      </c>
      <c r="J46" s="73" t="str">
        <f t="shared" ca="1" si="8"/>
        <v>—</v>
      </c>
      <c r="K46" s="15">
        <f t="shared" ca="1" si="9"/>
        <v>7</v>
      </c>
      <c r="L46" s="16" t="str">
        <f t="shared" ca="1" si="10"/>
        <v>—</v>
      </c>
      <c r="M46" s="15">
        <f t="shared" ca="1" si="11"/>
        <v>7</v>
      </c>
      <c r="N46" s="16" t="str">
        <f t="shared" ca="1" si="12"/>
        <v>—</v>
      </c>
      <c r="O46" s="15">
        <f t="shared" ca="1" si="13"/>
        <v>7</v>
      </c>
      <c r="P46" s="16" t="str">
        <f t="shared" ca="1" si="14"/>
        <v>—</v>
      </c>
      <c r="Q46" s="15">
        <f t="shared" ca="1" si="15"/>
        <v>7</v>
      </c>
      <c r="R46" s="16" t="str">
        <f t="shared" ca="1" si="16"/>
        <v>—</v>
      </c>
      <c r="S46" s="15">
        <f t="shared" ca="1" si="17"/>
        <v>7</v>
      </c>
      <c r="T46" s="9" t="str">
        <f t="shared" ca="1" si="18"/>
        <v>—</v>
      </c>
      <c r="U46" s="15">
        <f t="shared" ca="1" si="19"/>
        <v>7</v>
      </c>
      <c r="V46" s="16" t="str">
        <f t="shared" ca="1" si="20"/>
        <v>—</v>
      </c>
      <c r="W46" s="15">
        <f t="shared" ca="1" si="21"/>
        <v>7</v>
      </c>
      <c r="X46" s="16" t="str">
        <f t="shared" ca="1" si="22"/>
        <v>—</v>
      </c>
      <c r="Y46" s="15">
        <f t="shared" ca="1" si="23"/>
        <v>7</v>
      </c>
      <c r="Z46" s="16" t="str">
        <f t="shared" ca="1" si="24"/>
        <v>—</v>
      </c>
      <c r="AA46" s="15">
        <f t="shared" ca="1" si="25"/>
        <v>7</v>
      </c>
      <c r="AB46" s="9" t="str">
        <f t="shared" ca="1" si="26"/>
        <v>—</v>
      </c>
      <c r="AC46" s="15">
        <f t="shared" ca="1" si="27"/>
        <v>7</v>
      </c>
      <c r="AD46" s="76" t="str">
        <f t="shared" ca="1" si="28"/>
        <v>—</v>
      </c>
      <c r="AE46" s="15">
        <f t="shared" ca="1" si="29"/>
        <v>7</v>
      </c>
      <c r="AF46" s="76" t="str">
        <f t="shared" ca="1" si="30"/>
        <v>—</v>
      </c>
      <c r="AG46" s="15">
        <f t="shared" ca="1" si="31"/>
        <v>7</v>
      </c>
      <c r="AH46" s="9" t="str">
        <f t="shared" ca="1" si="32"/>
        <v>—</v>
      </c>
      <c r="AI46" s="15">
        <f t="shared" ca="1" si="33"/>
        <v>7</v>
      </c>
      <c r="AJ46" s="26" t="str">
        <f t="shared" ca="1" si="34"/>
        <v>—</v>
      </c>
      <c r="AK46" s="15">
        <f t="shared" ca="1" si="35"/>
        <v>7</v>
      </c>
      <c r="AL46" s="9" t="str">
        <f t="shared" ca="1" si="36"/>
        <v>—</v>
      </c>
      <c r="AM46" s="15">
        <f t="shared" ca="1" si="37"/>
        <v>7</v>
      </c>
      <c r="AN46" s="9" t="str">
        <f t="shared" ca="1" si="38"/>
        <v>—</v>
      </c>
      <c r="AO46" s="15">
        <f t="shared" ca="1" si="39"/>
        <v>7</v>
      </c>
    </row>
    <row r="47" spans="1:41" x14ac:dyDescent="0.25">
      <c r="A47" s="4">
        <f t="shared" si="0"/>
        <v>78989</v>
      </c>
      <c r="B47" t="str">
        <f ca="1">TEXT(DATE(YEAR(Invoer!$A$5),1,1)+ROWS(B$2:B47)-1,"jjjjmmdd")</f>
        <v>19130215</v>
      </c>
      <c r="C47" s="72">
        <f t="shared" si="1"/>
        <v>800</v>
      </c>
      <c r="D47" s="16" t="str">
        <f t="shared" ca="1" si="2"/>
        <v>—</v>
      </c>
      <c r="E47" s="15">
        <f t="shared" ca="1" si="3"/>
        <v>7</v>
      </c>
      <c r="F47" s="73" t="str">
        <f t="shared" ca="1" si="4"/>
        <v>—</v>
      </c>
      <c r="G47" s="15">
        <f t="shared" ca="1" si="5"/>
        <v>7</v>
      </c>
      <c r="H47" s="73" t="str">
        <f t="shared" ca="1" si="6"/>
        <v>—</v>
      </c>
      <c r="I47" s="15">
        <f t="shared" ca="1" si="7"/>
        <v>7</v>
      </c>
      <c r="J47" s="73" t="str">
        <f t="shared" ca="1" si="8"/>
        <v>—</v>
      </c>
      <c r="K47" s="15">
        <f t="shared" ca="1" si="9"/>
        <v>7</v>
      </c>
      <c r="L47" s="16" t="str">
        <f t="shared" ca="1" si="10"/>
        <v>—</v>
      </c>
      <c r="M47" s="15">
        <f t="shared" ca="1" si="11"/>
        <v>7</v>
      </c>
      <c r="N47" s="16" t="str">
        <f t="shared" ca="1" si="12"/>
        <v>—</v>
      </c>
      <c r="O47" s="15">
        <f t="shared" ca="1" si="13"/>
        <v>7</v>
      </c>
      <c r="P47" s="16" t="str">
        <f t="shared" ca="1" si="14"/>
        <v>—</v>
      </c>
      <c r="Q47" s="15">
        <f t="shared" ca="1" si="15"/>
        <v>7</v>
      </c>
      <c r="R47" s="16" t="str">
        <f t="shared" ca="1" si="16"/>
        <v>—</v>
      </c>
      <c r="S47" s="15">
        <f t="shared" ca="1" si="17"/>
        <v>7</v>
      </c>
      <c r="T47" s="9" t="str">
        <f t="shared" ca="1" si="18"/>
        <v>—</v>
      </c>
      <c r="U47" s="15">
        <f t="shared" ca="1" si="19"/>
        <v>7</v>
      </c>
      <c r="V47" s="16" t="str">
        <f t="shared" ca="1" si="20"/>
        <v>—</v>
      </c>
      <c r="W47" s="15">
        <f t="shared" ca="1" si="21"/>
        <v>7</v>
      </c>
      <c r="X47" s="16" t="str">
        <f t="shared" ca="1" si="22"/>
        <v>—</v>
      </c>
      <c r="Y47" s="15">
        <f t="shared" ca="1" si="23"/>
        <v>7</v>
      </c>
      <c r="Z47" s="16" t="str">
        <f t="shared" ca="1" si="24"/>
        <v>—</v>
      </c>
      <c r="AA47" s="15">
        <f t="shared" ca="1" si="25"/>
        <v>7</v>
      </c>
      <c r="AB47" s="9" t="str">
        <f t="shared" ca="1" si="26"/>
        <v>—</v>
      </c>
      <c r="AC47" s="15">
        <f t="shared" ca="1" si="27"/>
        <v>7</v>
      </c>
      <c r="AD47" s="76" t="str">
        <f t="shared" ca="1" si="28"/>
        <v>—</v>
      </c>
      <c r="AE47" s="15">
        <f t="shared" ca="1" si="29"/>
        <v>7</v>
      </c>
      <c r="AF47" s="76" t="str">
        <f t="shared" ca="1" si="30"/>
        <v>—</v>
      </c>
      <c r="AG47" s="15">
        <f t="shared" ca="1" si="31"/>
        <v>7</v>
      </c>
      <c r="AH47" s="9" t="str">
        <f t="shared" ca="1" si="32"/>
        <v>—</v>
      </c>
      <c r="AI47" s="15">
        <f t="shared" ca="1" si="33"/>
        <v>7</v>
      </c>
      <c r="AJ47" s="26" t="str">
        <f t="shared" ca="1" si="34"/>
        <v>—</v>
      </c>
      <c r="AK47" s="15">
        <f t="shared" ca="1" si="35"/>
        <v>7</v>
      </c>
      <c r="AL47" s="9" t="str">
        <f t="shared" ca="1" si="36"/>
        <v>—</v>
      </c>
      <c r="AM47" s="15">
        <f t="shared" ca="1" si="37"/>
        <v>7</v>
      </c>
      <c r="AN47" s="9" t="str">
        <f t="shared" ca="1" si="38"/>
        <v>—</v>
      </c>
      <c r="AO47" s="15">
        <f t="shared" ca="1" si="39"/>
        <v>7</v>
      </c>
    </row>
    <row r="48" spans="1:41" x14ac:dyDescent="0.25">
      <c r="A48" s="4">
        <f t="shared" si="0"/>
        <v>78989</v>
      </c>
      <c r="B48" t="str">
        <f ca="1">TEXT(DATE(YEAR(Invoer!$A$5),1,1)+ROWS(B$2:B48)-1,"jjjjmmdd")</f>
        <v>19130216</v>
      </c>
      <c r="C48" s="72">
        <f t="shared" si="1"/>
        <v>800</v>
      </c>
      <c r="D48" s="16" t="str">
        <f t="shared" ca="1" si="2"/>
        <v>—</v>
      </c>
      <c r="E48" s="15">
        <f t="shared" ca="1" si="3"/>
        <v>7</v>
      </c>
      <c r="F48" s="73" t="str">
        <f t="shared" ca="1" si="4"/>
        <v>—</v>
      </c>
      <c r="G48" s="15">
        <f t="shared" ca="1" si="5"/>
        <v>7</v>
      </c>
      <c r="H48" s="73" t="str">
        <f t="shared" ca="1" si="6"/>
        <v>—</v>
      </c>
      <c r="I48" s="15">
        <f t="shared" ca="1" si="7"/>
        <v>7</v>
      </c>
      <c r="J48" s="73" t="str">
        <f t="shared" ca="1" si="8"/>
        <v>—</v>
      </c>
      <c r="K48" s="15">
        <f t="shared" ca="1" si="9"/>
        <v>7</v>
      </c>
      <c r="L48" s="16" t="str">
        <f t="shared" ca="1" si="10"/>
        <v>—</v>
      </c>
      <c r="M48" s="15">
        <f t="shared" ca="1" si="11"/>
        <v>7</v>
      </c>
      <c r="N48" s="16" t="str">
        <f t="shared" ca="1" si="12"/>
        <v>—</v>
      </c>
      <c r="O48" s="15">
        <f t="shared" ca="1" si="13"/>
        <v>7</v>
      </c>
      <c r="P48" s="16" t="str">
        <f t="shared" ca="1" si="14"/>
        <v>—</v>
      </c>
      <c r="Q48" s="15">
        <f t="shared" ca="1" si="15"/>
        <v>7</v>
      </c>
      <c r="R48" s="16" t="str">
        <f t="shared" ca="1" si="16"/>
        <v>—</v>
      </c>
      <c r="S48" s="15">
        <f t="shared" ca="1" si="17"/>
        <v>7</v>
      </c>
      <c r="T48" s="9" t="str">
        <f t="shared" ca="1" si="18"/>
        <v>—</v>
      </c>
      <c r="U48" s="15">
        <f t="shared" ca="1" si="19"/>
        <v>7</v>
      </c>
      <c r="V48" s="16" t="str">
        <f t="shared" ca="1" si="20"/>
        <v>—</v>
      </c>
      <c r="W48" s="15">
        <f t="shared" ca="1" si="21"/>
        <v>7</v>
      </c>
      <c r="X48" s="16" t="str">
        <f t="shared" ca="1" si="22"/>
        <v>—</v>
      </c>
      <c r="Y48" s="15">
        <f t="shared" ca="1" si="23"/>
        <v>7</v>
      </c>
      <c r="Z48" s="16" t="str">
        <f t="shared" ca="1" si="24"/>
        <v>—</v>
      </c>
      <c r="AA48" s="15">
        <f t="shared" ca="1" si="25"/>
        <v>7</v>
      </c>
      <c r="AB48" s="9" t="str">
        <f t="shared" ca="1" si="26"/>
        <v>—</v>
      </c>
      <c r="AC48" s="15">
        <f t="shared" ca="1" si="27"/>
        <v>7</v>
      </c>
      <c r="AD48" s="76" t="str">
        <f t="shared" ca="1" si="28"/>
        <v>—</v>
      </c>
      <c r="AE48" s="15">
        <f t="shared" ca="1" si="29"/>
        <v>7</v>
      </c>
      <c r="AF48" s="76" t="str">
        <f t="shared" ca="1" si="30"/>
        <v>—</v>
      </c>
      <c r="AG48" s="15">
        <f t="shared" ca="1" si="31"/>
        <v>7</v>
      </c>
      <c r="AH48" s="9" t="str">
        <f t="shared" ca="1" si="32"/>
        <v>—</v>
      </c>
      <c r="AI48" s="15">
        <f t="shared" ca="1" si="33"/>
        <v>7</v>
      </c>
      <c r="AJ48" s="26" t="str">
        <f t="shared" ca="1" si="34"/>
        <v>—</v>
      </c>
      <c r="AK48" s="15">
        <f t="shared" ca="1" si="35"/>
        <v>7</v>
      </c>
      <c r="AL48" s="9" t="str">
        <f t="shared" ca="1" si="36"/>
        <v>—</v>
      </c>
      <c r="AM48" s="15">
        <f t="shared" ca="1" si="37"/>
        <v>7</v>
      </c>
      <c r="AN48" s="9" t="str">
        <f t="shared" ca="1" si="38"/>
        <v>—</v>
      </c>
      <c r="AO48" s="15">
        <f t="shared" ca="1" si="39"/>
        <v>7</v>
      </c>
    </row>
    <row r="49" spans="1:41" x14ac:dyDescent="0.25">
      <c r="A49" s="4">
        <f t="shared" si="0"/>
        <v>78989</v>
      </c>
      <c r="B49" t="str">
        <f ca="1">TEXT(DATE(YEAR(Invoer!$A$5),1,1)+ROWS(B$2:B49)-1,"jjjjmmdd")</f>
        <v>19130217</v>
      </c>
      <c r="C49" s="72">
        <f t="shared" si="1"/>
        <v>800</v>
      </c>
      <c r="D49" s="16" t="str">
        <f t="shared" ca="1" si="2"/>
        <v>—</v>
      </c>
      <c r="E49" s="15">
        <f t="shared" ca="1" si="3"/>
        <v>7</v>
      </c>
      <c r="F49" s="73" t="str">
        <f t="shared" ca="1" si="4"/>
        <v>—</v>
      </c>
      <c r="G49" s="15">
        <f t="shared" ca="1" si="5"/>
        <v>7</v>
      </c>
      <c r="H49" s="73" t="str">
        <f t="shared" ca="1" si="6"/>
        <v>—</v>
      </c>
      <c r="I49" s="15">
        <f t="shared" ca="1" si="7"/>
        <v>7</v>
      </c>
      <c r="J49" s="73" t="str">
        <f t="shared" ca="1" si="8"/>
        <v>—</v>
      </c>
      <c r="K49" s="15">
        <f t="shared" ca="1" si="9"/>
        <v>7</v>
      </c>
      <c r="L49" s="16" t="str">
        <f t="shared" ca="1" si="10"/>
        <v>—</v>
      </c>
      <c r="M49" s="15">
        <f t="shared" ca="1" si="11"/>
        <v>7</v>
      </c>
      <c r="N49" s="16" t="str">
        <f t="shared" ca="1" si="12"/>
        <v>—</v>
      </c>
      <c r="O49" s="15">
        <f t="shared" ca="1" si="13"/>
        <v>7</v>
      </c>
      <c r="P49" s="16" t="str">
        <f t="shared" ca="1" si="14"/>
        <v>—</v>
      </c>
      <c r="Q49" s="15">
        <f t="shared" ca="1" si="15"/>
        <v>7</v>
      </c>
      <c r="R49" s="16" t="str">
        <f t="shared" ca="1" si="16"/>
        <v>—</v>
      </c>
      <c r="S49" s="15">
        <f t="shared" ca="1" si="17"/>
        <v>7</v>
      </c>
      <c r="T49" s="9" t="str">
        <f t="shared" ca="1" si="18"/>
        <v>—</v>
      </c>
      <c r="U49" s="15">
        <f t="shared" ca="1" si="19"/>
        <v>7</v>
      </c>
      <c r="V49" s="16" t="str">
        <f t="shared" ca="1" si="20"/>
        <v>—</v>
      </c>
      <c r="W49" s="15">
        <f t="shared" ca="1" si="21"/>
        <v>7</v>
      </c>
      <c r="X49" s="16" t="str">
        <f t="shared" ca="1" si="22"/>
        <v>—</v>
      </c>
      <c r="Y49" s="15">
        <f t="shared" ca="1" si="23"/>
        <v>7</v>
      </c>
      <c r="Z49" s="16" t="str">
        <f t="shared" ca="1" si="24"/>
        <v>—</v>
      </c>
      <c r="AA49" s="15">
        <f t="shared" ca="1" si="25"/>
        <v>7</v>
      </c>
      <c r="AB49" s="9" t="str">
        <f t="shared" ca="1" si="26"/>
        <v>—</v>
      </c>
      <c r="AC49" s="15">
        <f t="shared" ca="1" si="27"/>
        <v>7</v>
      </c>
      <c r="AD49" s="76" t="str">
        <f t="shared" ca="1" si="28"/>
        <v>—</v>
      </c>
      <c r="AE49" s="15">
        <f t="shared" ca="1" si="29"/>
        <v>7</v>
      </c>
      <c r="AF49" s="76" t="str">
        <f t="shared" ca="1" si="30"/>
        <v>—</v>
      </c>
      <c r="AG49" s="15">
        <f t="shared" ca="1" si="31"/>
        <v>7</v>
      </c>
      <c r="AH49" s="9" t="str">
        <f t="shared" ca="1" si="32"/>
        <v>—</v>
      </c>
      <c r="AI49" s="15">
        <f t="shared" ca="1" si="33"/>
        <v>7</v>
      </c>
      <c r="AJ49" s="26" t="str">
        <f t="shared" ca="1" si="34"/>
        <v>—</v>
      </c>
      <c r="AK49" s="15">
        <f t="shared" ca="1" si="35"/>
        <v>7</v>
      </c>
      <c r="AL49" s="9" t="str">
        <f t="shared" ca="1" si="36"/>
        <v>—</v>
      </c>
      <c r="AM49" s="15">
        <f t="shared" ca="1" si="37"/>
        <v>7</v>
      </c>
      <c r="AN49" s="9" t="str">
        <f t="shared" ca="1" si="38"/>
        <v>—</v>
      </c>
      <c r="AO49" s="15">
        <f t="shared" ca="1" si="39"/>
        <v>7</v>
      </c>
    </row>
    <row r="50" spans="1:41" x14ac:dyDescent="0.25">
      <c r="A50" s="4">
        <f t="shared" si="0"/>
        <v>78989</v>
      </c>
      <c r="B50" t="str">
        <f ca="1">TEXT(DATE(YEAR(Invoer!$A$5),1,1)+ROWS(B$2:B50)-1,"jjjjmmdd")</f>
        <v>19130218</v>
      </c>
      <c r="C50" s="72">
        <f t="shared" si="1"/>
        <v>800</v>
      </c>
      <c r="D50" s="16" t="str">
        <f t="shared" ca="1" si="2"/>
        <v>—</v>
      </c>
      <c r="E50" s="15">
        <f t="shared" ca="1" si="3"/>
        <v>7</v>
      </c>
      <c r="F50" s="73" t="str">
        <f t="shared" ca="1" si="4"/>
        <v>—</v>
      </c>
      <c r="G50" s="15">
        <f t="shared" ca="1" si="5"/>
        <v>7</v>
      </c>
      <c r="H50" s="73" t="str">
        <f t="shared" ca="1" si="6"/>
        <v>—</v>
      </c>
      <c r="I50" s="15">
        <f t="shared" ca="1" si="7"/>
        <v>7</v>
      </c>
      <c r="J50" s="73" t="str">
        <f t="shared" ca="1" si="8"/>
        <v>—</v>
      </c>
      <c r="K50" s="15">
        <f t="shared" ca="1" si="9"/>
        <v>7</v>
      </c>
      <c r="L50" s="16" t="str">
        <f t="shared" ca="1" si="10"/>
        <v>—</v>
      </c>
      <c r="M50" s="15">
        <f t="shared" ca="1" si="11"/>
        <v>7</v>
      </c>
      <c r="N50" s="16" t="str">
        <f t="shared" ca="1" si="12"/>
        <v>—</v>
      </c>
      <c r="O50" s="15">
        <f t="shared" ca="1" si="13"/>
        <v>7</v>
      </c>
      <c r="P50" s="16" t="str">
        <f t="shared" ca="1" si="14"/>
        <v>—</v>
      </c>
      <c r="Q50" s="15">
        <f t="shared" ca="1" si="15"/>
        <v>7</v>
      </c>
      <c r="R50" s="16" t="str">
        <f t="shared" ca="1" si="16"/>
        <v>—</v>
      </c>
      <c r="S50" s="15">
        <f t="shared" ca="1" si="17"/>
        <v>7</v>
      </c>
      <c r="T50" s="9" t="str">
        <f t="shared" ca="1" si="18"/>
        <v>—</v>
      </c>
      <c r="U50" s="15">
        <f t="shared" ca="1" si="19"/>
        <v>7</v>
      </c>
      <c r="V50" s="16" t="str">
        <f t="shared" ca="1" si="20"/>
        <v>—</v>
      </c>
      <c r="W50" s="15">
        <f t="shared" ca="1" si="21"/>
        <v>7</v>
      </c>
      <c r="X50" s="16" t="str">
        <f t="shared" ca="1" si="22"/>
        <v>—</v>
      </c>
      <c r="Y50" s="15">
        <f t="shared" ca="1" si="23"/>
        <v>7</v>
      </c>
      <c r="Z50" s="16" t="str">
        <f t="shared" ca="1" si="24"/>
        <v>—</v>
      </c>
      <c r="AA50" s="15">
        <f t="shared" ca="1" si="25"/>
        <v>7</v>
      </c>
      <c r="AB50" s="9" t="str">
        <f t="shared" ca="1" si="26"/>
        <v>—</v>
      </c>
      <c r="AC50" s="15">
        <f t="shared" ca="1" si="27"/>
        <v>7</v>
      </c>
      <c r="AD50" s="76" t="str">
        <f t="shared" ca="1" si="28"/>
        <v>—</v>
      </c>
      <c r="AE50" s="15">
        <f t="shared" ca="1" si="29"/>
        <v>7</v>
      </c>
      <c r="AF50" s="76" t="str">
        <f t="shared" ca="1" si="30"/>
        <v>—</v>
      </c>
      <c r="AG50" s="15">
        <f t="shared" ca="1" si="31"/>
        <v>7</v>
      </c>
      <c r="AH50" s="9" t="str">
        <f t="shared" ca="1" si="32"/>
        <v>—</v>
      </c>
      <c r="AI50" s="15">
        <f t="shared" ca="1" si="33"/>
        <v>7</v>
      </c>
      <c r="AJ50" s="26" t="str">
        <f t="shared" ca="1" si="34"/>
        <v>—</v>
      </c>
      <c r="AK50" s="15">
        <f t="shared" ca="1" si="35"/>
        <v>7</v>
      </c>
      <c r="AL50" s="9" t="str">
        <f t="shared" ca="1" si="36"/>
        <v>—</v>
      </c>
      <c r="AM50" s="15">
        <f t="shared" ca="1" si="37"/>
        <v>7</v>
      </c>
      <c r="AN50" s="9" t="str">
        <f t="shared" ca="1" si="38"/>
        <v>—</v>
      </c>
      <c r="AO50" s="15">
        <f t="shared" ca="1" si="39"/>
        <v>7</v>
      </c>
    </row>
    <row r="51" spans="1:41" x14ac:dyDescent="0.25">
      <c r="A51" s="4">
        <f t="shared" si="0"/>
        <v>78989</v>
      </c>
      <c r="B51" t="str">
        <f ca="1">TEXT(DATE(YEAR(Invoer!$A$5),1,1)+ROWS(B$2:B51)-1,"jjjjmmdd")</f>
        <v>19130219</v>
      </c>
      <c r="C51" s="72">
        <f t="shared" si="1"/>
        <v>800</v>
      </c>
      <c r="D51" s="16" t="str">
        <f t="shared" ca="1" si="2"/>
        <v>—</v>
      </c>
      <c r="E51" s="15">
        <f t="shared" ca="1" si="3"/>
        <v>7</v>
      </c>
      <c r="F51" s="73" t="str">
        <f t="shared" ca="1" si="4"/>
        <v>—</v>
      </c>
      <c r="G51" s="15">
        <f t="shared" ca="1" si="5"/>
        <v>7</v>
      </c>
      <c r="H51" s="73" t="str">
        <f t="shared" ca="1" si="6"/>
        <v>—</v>
      </c>
      <c r="I51" s="15">
        <f t="shared" ca="1" si="7"/>
        <v>7</v>
      </c>
      <c r="J51" s="73" t="str">
        <f t="shared" ca="1" si="8"/>
        <v>—</v>
      </c>
      <c r="K51" s="15">
        <f t="shared" ca="1" si="9"/>
        <v>7</v>
      </c>
      <c r="L51" s="16" t="str">
        <f t="shared" ca="1" si="10"/>
        <v>—</v>
      </c>
      <c r="M51" s="15">
        <f t="shared" ca="1" si="11"/>
        <v>7</v>
      </c>
      <c r="N51" s="16" t="str">
        <f t="shared" ca="1" si="12"/>
        <v>—</v>
      </c>
      <c r="O51" s="15">
        <f t="shared" ca="1" si="13"/>
        <v>7</v>
      </c>
      <c r="P51" s="16" t="str">
        <f t="shared" ca="1" si="14"/>
        <v>—</v>
      </c>
      <c r="Q51" s="15">
        <f t="shared" ca="1" si="15"/>
        <v>7</v>
      </c>
      <c r="R51" s="16" t="str">
        <f t="shared" ca="1" si="16"/>
        <v>—</v>
      </c>
      <c r="S51" s="15">
        <f t="shared" ca="1" si="17"/>
        <v>7</v>
      </c>
      <c r="T51" s="9" t="str">
        <f t="shared" ca="1" si="18"/>
        <v>—</v>
      </c>
      <c r="U51" s="15">
        <f t="shared" ca="1" si="19"/>
        <v>7</v>
      </c>
      <c r="V51" s="16" t="str">
        <f t="shared" ca="1" si="20"/>
        <v>—</v>
      </c>
      <c r="W51" s="15">
        <f t="shared" ca="1" si="21"/>
        <v>7</v>
      </c>
      <c r="X51" s="16" t="str">
        <f t="shared" ca="1" si="22"/>
        <v>—</v>
      </c>
      <c r="Y51" s="15">
        <f t="shared" ca="1" si="23"/>
        <v>7</v>
      </c>
      <c r="Z51" s="16" t="str">
        <f t="shared" ca="1" si="24"/>
        <v>—</v>
      </c>
      <c r="AA51" s="15">
        <f t="shared" ca="1" si="25"/>
        <v>7</v>
      </c>
      <c r="AB51" s="9" t="str">
        <f t="shared" ca="1" si="26"/>
        <v>—</v>
      </c>
      <c r="AC51" s="15">
        <f t="shared" ca="1" si="27"/>
        <v>7</v>
      </c>
      <c r="AD51" s="76" t="str">
        <f t="shared" ca="1" si="28"/>
        <v>—</v>
      </c>
      <c r="AE51" s="15">
        <f t="shared" ca="1" si="29"/>
        <v>7</v>
      </c>
      <c r="AF51" s="76" t="str">
        <f t="shared" ca="1" si="30"/>
        <v>—</v>
      </c>
      <c r="AG51" s="15">
        <f t="shared" ca="1" si="31"/>
        <v>7</v>
      </c>
      <c r="AH51" s="9" t="str">
        <f t="shared" ca="1" si="32"/>
        <v>—</v>
      </c>
      <c r="AI51" s="15">
        <f t="shared" ca="1" si="33"/>
        <v>7</v>
      </c>
      <c r="AJ51" s="26" t="str">
        <f t="shared" ca="1" si="34"/>
        <v>—</v>
      </c>
      <c r="AK51" s="15">
        <f t="shared" ca="1" si="35"/>
        <v>7</v>
      </c>
      <c r="AL51" s="9" t="str">
        <f t="shared" ca="1" si="36"/>
        <v>—</v>
      </c>
      <c r="AM51" s="15">
        <f t="shared" ca="1" si="37"/>
        <v>7</v>
      </c>
      <c r="AN51" s="9" t="str">
        <f t="shared" ca="1" si="38"/>
        <v>—</v>
      </c>
      <c r="AO51" s="15">
        <f t="shared" ca="1" si="39"/>
        <v>7</v>
      </c>
    </row>
    <row r="52" spans="1:41" x14ac:dyDescent="0.25">
      <c r="A52" s="4">
        <f t="shared" si="0"/>
        <v>78989</v>
      </c>
      <c r="B52" t="str">
        <f ca="1">TEXT(DATE(YEAR(Invoer!$A$5),1,1)+ROWS(B$2:B52)-1,"jjjjmmdd")</f>
        <v>19130220</v>
      </c>
      <c r="C52" s="72">
        <f t="shared" si="1"/>
        <v>800</v>
      </c>
      <c r="D52" s="16" t="str">
        <f t="shared" ca="1" si="2"/>
        <v>—</v>
      </c>
      <c r="E52" s="15">
        <f t="shared" ca="1" si="3"/>
        <v>7</v>
      </c>
      <c r="F52" s="73" t="str">
        <f t="shared" ca="1" si="4"/>
        <v>—</v>
      </c>
      <c r="G52" s="15">
        <f t="shared" ca="1" si="5"/>
        <v>7</v>
      </c>
      <c r="H52" s="73" t="str">
        <f t="shared" ca="1" si="6"/>
        <v>—</v>
      </c>
      <c r="I52" s="15">
        <f t="shared" ca="1" si="7"/>
        <v>7</v>
      </c>
      <c r="J52" s="73" t="str">
        <f t="shared" ca="1" si="8"/>
        <v>—</v>
      </c>
      <c r="K52" s="15">
        <f t="shared" ca="1" si="9"/>
        <v>7</v>
      </c>
      <c r="L52" s="16" t="str">
        <f t="shared" ca="1" si="10"/>
        <v>—</v>
      </c>
      <c r="M52" s="15">
        <f t="shared" ca="1" si="11"/>
        <v>7</v>
      </c>
      <c r="N52" s="16" t="str">
        <f t="shared" ca="1" si="12"/>
        <v>—</v>
      </c>
      <c r="O52" s="15">
        <f t="shared" ca="1" si="13"/>
        <v>7</v>
      </c>
      <c r="P52" s="16" t="str">
        <f t="shared" ca="1" si="14"/>
        <v>—</v>
      </c>
      <c r="Q52" s="15">
        <f t="shared" ca="1" si="15"/>
        <v>7</v>
      </c>
      <c r="R52" s="16" t="str">
        <f t="shared" ca="1" si="16"/>
        <v>—</v>
      </c>
      <c r="S52" s="15">
        <f t="shared" ca="1" si="17"/>
        <v>7</v>
      </c>
      <c r="T52" s="9" t="str">
        <f t="shared" ca="1" si="18"/>
        <v>—</v>
      </c>
      <c r="U52" s="15">
        <f t="shared" ca="1" si="19"/>
        <v>7</v>
      </c>
      <c r="V52" s="16" t="str">
        <f t="shared" ca="1" si="20"/>
        <v>—</v>
      </c>
      <c r="W52" s="15">
        <f t="shared" ca="1" si="21"/>
        <v>7</v>
      </c>
      <c r="X52" s="16" t="str">
        <f t="shared" ca="1" si="22"/>
        <v>—</v>
      </c>
      <c r="Y52" s="15">
        <f t="shared" ca="1" si="23"/>
        <v>7</v>
      </c>
      <c r="Z52" s="16" t="str">
        <f t="shared" ca="1" si="24"/>
        <v>—</v>
      </c>
      <c r="AA52" s="15">
        <f t="shared" ca="1" si="25"/>
        <v>7</v>
      </c>
      <c r="AB52" s="9" t="str">
        <f t="shared" ca="1" si="26"/>
        <v>—</v>
      </c>
      <c r="AC52" s="15">
        <f t="shared" ca="1" si="27"/>
        <v>7</v>
      </c>
      <c r="AD52" s="76" t="str">
        <f t="shared" ca="1" si="28"/>
        <v>—</v>
      </c>
      <c r="AE52" s="15">
        <f t="shared" ca="1" si="29"/>
        <v>7</v>
      </c>
      <c r="AF52" s="76" t="str">
        <f t="shared" ca="1" si="30"/>
        <v>—</v>
      </c>
      <c r="AG52" s="15">
        <f t="shared" ca="1" si="31"/>
        <v>7</v>
      </c>
      <c r="AH52" s="9" t="str">
        <f t="shared" ca="1" si="32"/>
        <v>—</v>
      </c>
      <c r="AI52" s="15">
        <f t="shared" ca="1" si="33"/>
        <v>7</v>
      </c>
      <c r="AJ52" s="26" t="str">
        <f t="shared" ca="1" si="34"/>
        <v>—</v>
      </c>
      <c r="AK52" s="15">
        <f t="shared" ca="1" si="35"/>
        <v>7</v>
      </c>
      <c r="AL52" s="9" t="str">
        <f t="shared" ca="1" si="36"/>
        <v>—</v>
      </c>
      <c r="AM52" s="15">
        <f t="shared" ca="1" si="37"/>
        <v>7</v>
      </c>
      <c r="AN52" s="9" t="str">
        <f t="shared" ca="1" si="38"/>
        <v>—</v>
      </c>
      <c r="AO52" s="15">
        <f t="shared" ca="1" si="39"/>
        <v>7</v>
      </c>
    </row>
    <row r="53" spans="1:41" x14ac:dyDescent="0.25">
      <c r="A53" s="4">
        <f t="shared" si="0"/>
        <v>78989</v>
      </c>
      <c r="B53" t="str">
        <f ca="1">TEXT(DATE(YEAR(Invoer!$A$5),1,1)+ROWS(B$2:B53)-1,"jjjjmmdd")</f>
        <v>19130221</v>
      </c>
      <c r="C53" s="72">
        <f t="shared" si="1"/>
        <v>800</v>
      </c>
      <c r="D53" s="16" t="str">
        <f t="shared" ca="1" si="2"/>
        <v>—</v>
      </c>
      <c r="E53" s="15">
        <f t="shared" ca="1" si="3"/>
        <v>7</v>
      </c>
      <c r="F53" s="73" t="str">
        <f t="shared" ca="1" si="4"/>
        <v>—</v>
      </c>
      <c r="G53" s="15">
        <f t="shared" ca="1" si="5"/>
        <v>7</v>
      </c>
      <c r="H53" s="73" t="str">
        <f t="shared" ca="1" si="6"/>
        <v>—</v>
      </c>
      <c r="I53" s="15">
        <f t="shared" ca="1" si="7"/>
        <v>7</v>
      </c>
      <c r="J53" s="73" t="str">
        <f t="shared" ca="1" si="8"/>
        <v>—</v>
      </c>
      <c r="K53" s="15">
        <f t="shared" ca="1" si="9"/>
        <v>7</v>
      </c>
      <c r="L53" s="16" t="str">
        <f t="shared" ca="1" si="10"/>
        <v>—</v>
      </c>
      <c r="M53" s="15">
        <f t="shared" ca="1" si="11"/>
        <v>7</v>
      </c>
      <c r="N53" s="16" t="str">
        <f t="shared" ca="1" si="12"/>
        <v>—</v>
      </c>
      <c r="O53" s="15">
        <f t="shared" ca="1" si="13"/>
        <v>7</v>
      </c>
      <c r="P53" s="16" t="str">
        <f t="shared" ca="1" si="14"/>
        <v>—</v>
      </c>
      <c r="Q53" s="15">
        <f t="shared" ca="1" si="15"/>
        <v>7</v>
      </c>
      <c r="R53" s="16" t="str">
        <f t="shared" ca="1" si="16"/>
        <v>—</v>
      </c>
      <c r="S53" s="15">
        <f t="shared" ca="1" si="17"/>
        <v>7</v>
      </c>
      <c r="T53" s="9" t="str">
        <f t="shared" ca="1" si="18"/>
        <v>—</v>
      </c>
      <c r="U53" s="15">
        <f t="shared" ca="1" si="19"/>
        <v>7</v>
      </c>
      <c r="V53" s="16" t="str">
        <f t="shared" ca="1" si="20"/>
        <v>—</v>
      </c>
      <c r="W53" s="15">
        <f t="shared" ca="1" si="21"/>
        <v>7</v>
      </c>
      <c r="X53" s="16" t="str">
        <f t="shared" ca="1" si="22"/>
        <v>—</v>
      </c>
      <c r="Y53" s="15">
        <f t="shared" ca="1" si="23"/>
        <v>7</v>
      </c>
      <c r="Z53" s="16" t="str">
        <f t="shared" ca="1" si="24"/>
        <v>—</v>
      </c>
      <c r="AA53" s="15">
        <f t="shared" ca="1" si="25"/>
        <v>7</v>
      </c>
      <c r="AB53" s="9" t="str">
        <f t="shared" ca="1" si="26"/>
        <v>—</v>
      </c>
      <c r="AC53" s="15">
        <f t="shared" ca="1" si="27"/>
        <v>7</v>
      </c>
      <c r="AD53" s="76" t="str">
        <f t="shared" ca="1" si="28"/>
        <v>—</v>
      </c>
      <c r="AE53" s="15">
        <f t="shared" ca="1" si="29"/>
        <v>7</v>
      </c>
      <c r="AF53" s="76" t="str">
        <f t="shared" ca="1" si="30"/>
        <v>—</v>
      </c>
      <c r="AG53" s="15">
        <f t="shared" ca="1" si="31"/>
        <v>7</v>
      </c>
      <c r="AH53" s="9" t="str">
        <f t="shared" ca="1" si="32"/>
        <v>—</v>
      </c>
      <c r="AI53" s="15">
        <f t="shared" ca="1" si="33"/>
        <v>7</v>
      </c>
      <c r="AJ53" s="26" t="str">
        <f t="shared" ca="1" si="34"/>
        <v>—</v>
      </c>
      <c r="AK53" s="15">
        <f t="shared" ca="1" si="35"/>
        <v>7</v>
      </c>
      <c r="AL53" s="9" t="str">
        <f t="shared" ca="1" si="36"/>
        <v>—</v>
      </c>
      <c r="AM53" s="15">
        <f t="shared" ca="1" si="37"/>
        <v>7</v>
      </c>
      <c r="AN53" s="9" t="str">
        <f t="shared" ca="1" si="38"/>
        <v>—</v>
      </c>
      <c r="AO53" s="15">
        <f t="shared" ca="1" si="39"/>
        <v>7</v>
      </c>
    </row>
    <row r="54" spans="1:41" x14ac:dyDescent="0.25">
      <c r="A54" s="4">
        <f t="shared" si="0"/>
        <v>78989</v>
      </c>
      <c r="B54" t="str">
        <f ca="1">TEXT(DATE(YEAR(Invoer!$A$5),1,1)+ROWS(B$2:B54)-1,"jjjjmmdd")</f>
        <v>19130222</v>
      </c>
      <c r="C54" s="72">
        <f t="shared" si="1"/>
        <v>800</v>
      </c>
      <c r="D54" s="16" t="str">
        <f t="shared" ca="1" si="2"/>
        <v>—</v>
      </c>
      <c r="E54" s="15">
        <f t="shared" ca="1" si="3"/>
        <v>7</v>
      </c>
      <c r="F54" s="73" t="str">
        <f t="shared" ca="1" si="4"/>
        <v>—</v>
      </c>
      <c r="G54" s="15">
        <f t="shared" ca="1" si="5"/>
        <v>7</v>
      </c>
      <c r="H54" s="73" t="str">
        <f t="shared" ca="1" si="6"/>
        <v>—</v>
      </c>
      <c r="I54" s="15">
        <f t="shared" ca="1" si="7"/>
        <v>7</v>
      </c>
      <c r="J54" s="73" t="str">
        <f t="shared" ca="1" si="8"/>
        <v>—</v>
      </c>
      <c r="K54" s="15">
        <f t="shared" ca="1" si="9"/>
        <v>7</v>
      </c>
      <c r="L54" s="16" t="str">
        <f t="shared" ca="1" si="10"/>
        <v>—</v>
      </c>
      <c r="M54" s="15">
        <f t="shared" ca="1" si="11"/>
        <v>7</v>
      </c>
      <c r="N54" s="16" t="str">
        <f t="shared" ca="1" si="12"/>
        <v>—</v>
      </c>
      <c r="O54" s="15">
        <f t="shared" ca="1" si="13"/>
        <v>7</v>
      </c>
      <c r="P54" s="16" t="str">
        <f t="shared" ca="1" si="14"/>
        <v>—</v>
      </c>
      <c r="Q54" s="15">
        <f t="shared" ca="1" si="15"/>
        <v>7</v>
      </c>
      <c r="R54" s="16" t="str">
        <f t="shared" ca="1" si="16"/>
        <v>—</v>
      </c>
      <c r="S54" s="15">
        <f t="shared" ca="1" si="17"/>
        <v>7</v>
      </c>
      <c r="T54" s="9" t="str">
        <f t="shared" ca="1" si="18"/>
        <v>—</v>
      </c>
      <c r="U54" s="15">
        <f t="shared" ca="1" si="19"/>
        <v>7</v>
      </c>
      <c r="V54" s="16" t="str">
        <f t="shared" ca="1" si="20"/>
        <v>—</v>
      </c>
      <c r="W54" s="15">
        <f t="shared" ca="1" si="21"/>
        <v>7</v>
      </c>
      <c r="X54" s="16" t="str">
        <f t="shared" ca="1" si="22"/>
        <v>—</v>
      </c>
      <c r="Y54" s="15">
        <f t="shared" ca="1" si="23"/>
        <v>7</v>
      </c>
      <c r="Z54" s="16" t="str">
        <f t="shared" ca="1" si="24"/>
        <v>—</v>
      </c>
      <c r="AA54" s="15">
        <f t="shared" ca="1" si="25"/>
        <v>7</v>
      </c>
      <c r="AB54" s="9" t="str">
        <f t="shared" ca="1" si="26"/>
        <v>—</v>
      </c>
      <c r="AC54" s="15">
        <f t="shared" ca="1" si="27"/>
        <v>7</v>
      </c>
      <c r="AD54" s="76" t="str">
        <f t="shared" ca="1" si="28"/>
        <v>—</v>
      </c>
      <c r="AE54" s="15">
        <f t="shared" ca="1" si="29"/>
        <v>7</v>
      </c>
      <c r="AF54" s="76" t="str">
        <f t="shared" ca="1" si="30"/>
        <v>—</v>
      </c>
      <c r="AG54" s="15">
        <f t="shared" ca="1" si="31"/>
        <v>7</v>
      </c>
      <c r="AH54" s="9" t="str">
        <f t="shared" ca="1" si="32"/>
        <v>—</v>
      </c>
      <c r="AI54" s="15">
        <f t="shared" ca="1" si="33"/>
        <v>7</v>
      </c>
      <c r="AJ54" s="26" t="str">
        <f t="shared" ca="1" si="34"/>
        <v>—</v>
      </c>
      <c r="AK54" s="15">
        <f t="shared" ca="1" si="35"/>
        <v>7</v>
      </c>
      <c r="AL54" s="9" t="str">
        <f t="shared" ca="1" si="36"/>
        <v>—</v>
      </c>
      <c r="AM54" s="15">
        <f t="shared" ca="1" si="37"/>
        <v>7</v>
      </c>
      <c r="AN54" s="9" t="str">
        <f t="shared" ca="1" si="38"/>
        <v>—</v>
      </c>
      <c r="AO54" s="15">
        <f t="shared" ca="1" si="39"/>
        <v>7</v>
      </c>
    </row>
    <row r="55" spans="1:41" x14ac:dyDescent="0.25">
      <c r="A55" s="4">
        <f t="shared" si="0"/>
        <v>78989</v>
      </c>
      <c r="B55" t="str">
        <f ca="1">TEXT(DATE(YEAR(Invoer!$A$5),1,1)+ROWS(B$2:B55)-1,"jjjjmmdd")</f>
        <v>19130223</v>
      </c>
      <c r="C55" s="72">
        <f t="shared" si="1"/>
        <v>800</v>
      </c>
      <c r="D55" s="16" t="str">
        <f t="shared" ca="1" si="2"/>
        <v>—</v>
      </c>
      <c r="E55" s="15">
        <f t="shared" ca="1" si="3"/>
        <v>7</v>
      </c>
      <c r="F55" s="73" t="str">
        <f t="shared" ca="1" si="4"/>
        <v>—</v>
      </c>
      <c r="G55" s="15">
        <f t="shared" ca="1" si="5"/>
        <v>7</v>
      </c>
      <c r="H55" s="73" t="str">
        <f t="shared" ca="1" si="6"/>
        <v>—</v>
      </c>
      <c r="I55" s="15">
        <f t="shared" ca="1" si="7"/>
        <v>7</v>
      </c>
      <c r="J55" s="73" t="str">
        <f t="shared" ca="1" si="8"/>
        <v>—</v>
      </c>
      <c r="K55" s="15">
        <f t="shared" ca="1" si="9"/>
        <v>7</v>
      </c>
      <c r="L55" s="16" t="str">
        <f t="shared" ca="1" si="10"/>
        <v>—</v>
      </c>
      <c r="M55" s="15">
        <f t="shared" ca="1" si="11"/>
        <v>7</v>
      </c>
      <c r="N55" s="16" t="str">
        <f t="shared" ca="1" si="12"/>
        <v>—</v>
      </c>
      <c r="O55" s="15">
        <f t="shared" ca="1" si="13"/>
        <v>7</v>
      </c>
      <c r="P55" s="16" t="str">
        <f t="shared" ca="1" si="14"/>
        <v>—</v>
      </c>
      <c r="Q55" s="15">
        <f t="shared" ca="1" si="15"/>
        <v>7</v>
      </c>
      <c r="R55" s="16" t="str">
        <f t="shared" ca="1" si="16"/>
        <v>—</v>
      </c>
      <c r="S55" s="15">
        <f t="shared" ca="1" si="17"/>
        <v>7</v>
      </c>
      <c r="T55" s="9" t="str">
        <f t="shared" ca="1" si="18"/>
        <v>—</v>
      </c>
      <c r="U55" s="15">
        <f t="shared" ca="1" si="19"/>
        <v>7</v>
      </c>
      <c r="V55" s="16" t="str">
        <f t="shared" ca="1" si="20"/>
        <v>—</v>
      </c>
      <c r="W55" s="15">
        <f t="shared" ca="1" si="21"/>
        <v>7</v>
      </c>
      <c r="X55" s="16" t="str">
        <f t="shared" ca="1" si="22"/>
        <v>—</v>
      </c>
      <c r="Y55" s="15">
        <f t="shared" ca="1" si="23"/>
        <v>7</v>
      </c>
      <c r="Z55" s="16" t="str">
        <f t="shared" ca="1" si="24"/>
        <v>—</v>
      </c>
      <c r="AA55" s="15">
        <f t="shared" ca="1" si="25"/>
        <v>7</v>
      </c>
      <c r="AB55" s="9" t="str">
        <f t="shared" ca="1" si="26"/>
        <v>—</v>
      </c>
      <c r="AC55" s="15">
        <f t="shared" ca="1" si="27"/>
        <v>7</v>
      </c>
      <c r="AD55" s="76" t="str">
        <f t="shared" ca="1" si="28"/>
        <v>—</v>
      </c>
      <c r="AE55" s="15">
        <f t="shared" ca="1" si="29"/>
        <v>7</v>
      </c>
      <c r="AF55" s="76" t="str">
        <f t="shared" ca="1" si="30"/>
        <v>—</v>
      </c>
      <c r="AG55" s="15">
        <f t="shared" ca="1" si="31"/>
        <v>7</v>
      </c>
      <c r="AH55" s="9" t="str">
        <f t="shared" ca="1" si="32"/>
        <v>—</v>
      </c>
      <c r="AI55" s="15">
        <f t="shared" ca="1" si="33"/>
        <v>7</v>
      </c>
      <c r="AJ55" s="26" t="str">
        <f t="shared" ca="1" si="34"/>
        <v>—</v>
      </c>
      <c r="AK55" s="15">
        <f t="shared" ca="1" si="35"/>
        <v>7</v>
      </c>
      <c r="AL55" s="9" t="str">
        <f t="shared" ca="1" si="36"/>
        <v>—</v>
      </c>
      <c r="AM55" s="15">
        <f t="shared" ca="1" si="37"/>
        <v>7</v>
      </c>
      <c r="AN55" s="9" t="str">
        <f t="shared" ca="1" si="38"/>
        <v>—</v>
      </c>
      <c r="AO55" s="15">
        <f t="shared" ca="1" si="39"/>
        <v>7</v>
      </c>
    </row>
    <row r="56" spans="1:41" x14ac:dyDescent="0.25">
      <c r="A56" s="4">
        <f t="shared" si="0"/>
        <v>78989</v>
      </c>
      <c r="B56" t="str">
        <f ca="1">TEXT(DATE(YEAR(Invoer!$A$5),1,1)+ROWS(B$2:B56)-1,"jjjjmmdd")</f>
        <v>19130224</v>
      </c>
      <c r="C56" s="72">
        <f t="shared" si="1"/>
        <v>800</v>
      </c>
      <c r="D56" s="16" t="str">
        <f t="shared" ca="1" si="2"/>
        <v>—</v>
      </c>
      <c r="E56" s="15">
        <f t="shared" ca="1" si="3"/>
        <v>7</v>
      </c>
      <c r="F56" s="73" t="str">
        <f t="shared" ca="1" si="4"/>
        <v>—</v>
      </c>
      <c r="G56" s="15">
        <f t="shared" ca="1" si="5"/>
        <v>7</v>
      </c>
      <c r="H56" s="73" t="str">
        <f t="shared" ca="1" si="6"/>
        <v>—</v>
      </c>
      <c r="I56" s="15">
        <f t="shared" ca="1" si="7"/>
        <v>7</v>
      </c>
      <c r="J56" s="73" t="str">
        <f t="shared" ca="1" si="8"/>
        <v>—</v>
      </c>
      <c r="K56" s="15">
        <f t="shared" ca="1" si="9"/>
        <v>7</v>
      </c>
      <c r="L56" s="16" t="str">
        <f t="shared" ca="1" si="10"/>
        <v>—</v>
      </c>
      <c r="M56" s="15">
        <f t="shared" ca="1" si="11"/>
        <v>7</v>
      </c>
      <c r="N56" s="16" t="str">
        <f t="shared" ca="1" si="12"/>
        <v>—</v>
      </c>
      <c r="O56" s="15">
        <f t="shared" ca="1" si="13"/>
        <v>7</v>
      </c>
      <c r="P56" s="16" t="str">
        <f t="shared" ca="1" si="14"/>
        <v>—</v>
      </c>
      <c r="Q56" s="15">
        <f t="shared" ca="1" si="15"/>
        <v>7</v>
      </c>
      <c r="R56" s="16" t="str">
        <f t="shared" ca="1" si="16"/>
        <v>—</v>
      </c>
      <c r="S56" s="15">
        <f t="shared" ca="1" si="17"/>
        <v>7</v>
      </c>
      <c r="T56" s="9" t="str">
        <f t="shared" ca="1" si="18"/>
        <v>—</v>
      </c>
      <c r="U56" s="15">
        <f t="shared" ca="1" si="19"/>
        <v>7</v>
      </c>
      <c r="V56" s="16" t="str">
        <f t="shared" ca="1" si="20"/>
        <v>—</v>
      </c>
      <c r="W56" s="15">
        <f t="shared" ca="1" si="21"/>
        <v>7</v>
      </c>
      <c r="X56" s="16" t="str">
        <f t="shared" ca="1" si="22"/>
        <v>—</v>
      </c>
      <c r="Y56" s="15">
        <f t="shared" ca="1" si="23"/>
        <v>7</v>
      </c>
      <c r="Z56" s="16" t="str">
        <f t="shared" ca="1" si="24"/>
        <v>—</v>
      </c>
      <c r="AA56" s="15">
        <f t="shared" ca="1" si="25"/>
        <v>7</v>
      </c>
      <c r="AB56" s="9" t="str">
        <f t="shared" ca="1" si="26"/>
        <v>—</v>
      </c>
      <c r="AC56" s="15">
        <f t="shared" ca="1" si="27"/>
        <v>7</v>
      </c>
      <c r="AD56" s="76" t="str">
        <f t="shared" ca="1" si="28"/>
        <v>—</v>
      </c>
      <c r="AE56" s="15">
        <f t="shared" ca="1" si="29"/>
        <v>7</v>
      </c>
      <c r="AF56" s="76" t="str">
        <f t="shared" ca="1" si="30"/>
        <v>—</v>
      </c>
      <c r="AG56" s="15">
        <f t="shared" ca="1" si="31"/>
        <v>7</v>
      </c>
      <c r="AH56" s="9" t="str">
        <f t="shared" ca="1" si="32"/>
        <v>—</v>
      </c>
      <c r="AI56" s="15">
        <f t="shared" ca="1" si="33"/>
        <v>7</v>
      </c>
      <c r="AJ56" s="26" t="str">
        <f t="shared" ca="1" si="34"/>
        <v>—</v>
      </c>
      <c r="AK56" s="15">
        <f t="shared" ca="1" si="35"/>
        <v>7</v>
      </c>
      <c r="AL56" s="9" t="str">
        <f t="shared" ca="1" si="36"/>
        <v>—</v>
      </c>
      <c r="AM56" s="15">
        <f t="shared" ca="1" si="37"/>
        <v>7</v>
      </c>
      <c r="AN56" s="9" t="str">
        <f t="shared" ca="1" si="38"/>
        <v>—</v>
      </c>
      <c r="AO56" s="15">
        <f t="shared" ca="1" si="39"/>
        <v>7</v>
      </c>
    </row>
    <row r="57" spans="1:41" x14ac:dyDescent="0.25">
      <c r="A57" s="4">
        <f t="shared" si="0"/>
        <v>78989</v>
      </c>
      <c r="B57" t="str">
        <f ca="1">TEXT(DATE(YEAR(Invoer!$A$5),1,1)+ROWS(B$2:B57)-1,"jjjjmmdd")</f>
        <v>19130225</v>
      </c>
      <c r="C57" s="72">
        <f t="shared" si="1"/>
        <v>800</v>
      </c>
      <c r="D57" s="16" t="str">
        <f t="shared" ca="1" si="2"/>
        <v>—</v>
      </c>
      <c r="E57" s="15">
        <f t="shared" ca="1" si="3"/>
        <v>7</v>
      </c>
      <c r="F57" s="73" t="str">
        <f t="shared" ca="1" si="4"/>
        <v>—</v>
      </c>
      <c r="G57" s="15">
        <f t="shared" ca="1" si="5"/>
        <v>7</v>
      </c>
      <c r="H57" s="73" t="str">
        <f t="shared" ca="1" si="6"/>
        <v>—</v>
      </c>
      <c r="I57" s="15">
        <f t="shared" ca="1" si="7"/>
        <v>7</v>
      </c>
      <c r="J57" s="73" t="str">
        <f t="shared" ca="1" si="8"/>
        <v>—</v>
      </c>
      <c r="K57" s="15">
        <f t="shared" ca="1" si="9"/>
        <v>7</v>
      </c>
      <c r="L57" s="16" t="str">
        <f t="shared" ca="1" si="10"/>
        <v>—</v>
      </c>
      <c r="M57" s="15">
        <f t="shared" ca="1" si="11"/>
        <v>7</v>
      </c>
      <c r="N57" s="16" t="str">
        <f t="shared" ca="1" si="12"/>
        <v>—</v>
      </c>
      <c r="O57" s="15">
        <f t="shared" ca="1" si="13"/>
        <v>7</v>
      </c>
      <c r="P57" s="16" t="str">
        <f t="shared" ca="1" si="14"/>
        <v>—</v>
      </c>
      <c r="Q57" s="15">
        <f t="shared" ca="1" si="15"/>
        <v>7</v>
      </c>
      <c r="R57" s="16" t="str">
        <f t="shared" ca="1" si="16"/>
        <v>—</v>
      </c>
      <c r="S57" s="15">
        <f t="shared" ca="1" si="17"/>
        <v>7</v>
      </c>
      <c r="T57" s="9" t="str">
        <f t="shared" ca="1" si="18"/>
        <v>—</v>
      </c>
      <c r="U57" s="15">
        <f t="shared" ca="1" si="19"/>
        <v>7</v>
      </c>
      <c r="V57" s="16" t="str">
        <f t="shared" ca="1" si="20"/>
        <v>—</v>
      </c>
      <c r="W57" s="15">
        <f t="shared" ca="1" si="21"/>
        <v>7</v>
      </c>
      <c r="X57" s="16" t="str">
        <f t="shared" ca="1" si="22"/>
        <v>—</v>
      </c>
      <c r="Y57" s="15">
        <f t="shared" ca="1" si="23"/>
        <v>7</v>
      </c>
      <c r="Z57" s="16" t="str">
        <f t="shared" ca="1" si="24"/>
        <v>—</v>
      </c>
      <c r="AA57" s="15">
        <f t="shared" ca="1" si="25"/>
        <v>7</v>
      </c>
      <c r="AB57" s="9" t="str">
        <f t="shared" ca="1" si="26"/>
        <v>—</v>
      </c>
      <c r="AC57" s="15">
        <f t="shared" ca="1" si="27"/>
        <v>7</v>
      </c>
      <c r="AD57" s="76" t="str">
        <f t="shared" ca="1" si="28"/>
        <v>—</v>
      </c>
      <c r="AE57" s="15">
        <f t="shared" ca="1" si="29"/>
        <v>7</v>
      </c>
      <c r="AF57" s="76" t="str">
        <f t="shared" ca="1" si="30"/>
        <v>—</v>
      </c>
      <c r="AG57" s="15">
        <f t="shared" ca="1" si="31"/>
        <v>7</v>
      </c>
      <c r="AH57" s="9" t="str">
        <f t="shared" ca="1" si="32"/>
        <v>—</v>
      </c>
      <c r="AI57" s="15">
        <f t="shared" ca="1" si="33"/>
        <v>7</v>
      </c>
      <c r="AJ57" s="26" t="str">
        <f t="shared" ca="1" si="34"/>
        <v>—</v>
      </c>
      <c r="AK57" s="15">
        <f t="shared" ca="1" si="35"/>
        <v>7</v>
      </c>
      <c r="AL57" s="9" t="str">
        <f t="shared" ca="1" si="36"/>
        <v>—</v>
      </c>
      <c r="AM57" s="15">
        <f t="shared" ca="1" si="37"/>
        <v>7</v>
      </c>
      <c r="AN57" s="9" t="str">
        <f t="shared" ca="1" si="38"/>
        <v>—</v>
      </c>
      <c r="AO57" s="15">
        <f t="shared" ca="1" si="39"/>
        <v>7</v>
      </c>
    </row>
    <row r="58" spans="1:41" x14ac:dyDescent="0.25">
      <c r="A58" s="4">
        <f t="shared" si="0"/>
        <v>78989</v>
      </c>
      <c r="B58" t="str">
        <f ca="1">TEXT(DATE(YEAR(Invoer!$A$5),1,1)+ROWS(B$2:B58)-1,"jjjjmmdd")</f>
        <v>19130226</v>
      </c>
      <c r="C58" s="72">
        <f t="shared" si="1"/>
        <v>800</v>
      </c>
      <c r="D58" s="16" t="str">
        <f t="shared" ca="1" si="2"/>
        <v>—</v>
      </c>
      <c r="E58" s="15">
        <f t="shared" ca="1" si="3"/>
        <v>7</v>
      </c>
      <c r="F58" s="73" t="str">
        <f t="shared" ca="1" si="4"/>
        <v>—</v>
      </c>
      <c r="G58" s="15">
        <f t="shared" ca="1" si="5"/>
        <v>7</v>
      </c>
      <c r="H58" s="73" t="str">
        <f t="shared" ca="1" si="6"/>
        <v>—</v>
      </c>
      <c r="I58" s="15">
        <f t="shared" ca="1" si="7"/>
        <v>7</v>
      </c>
      <c r="J58" s="73" t="str">
        <f t="shared" ca="1" si="8"/>
        <v>—</v>
      </c>
      <c r="K58" s="15">
        <f t="shared" ca="1" si="9"/>
        <v>7</v>
      </c>
      <c r="L58" s="16" t="str">
        <f t="shared" ca="1" si="10"/>
        <v>—</v>
      </c>
      <c r="M58" s="15">
        <f t="shared" ca="1" si="11"/>
        <v>7</v>
      </c>
      <c r="N58" s="16" t="str">
        <f t="shared" ca="1" si="12"/>
        <v>—</v>
      </c>
      <c r="O58" s="15">
        <f t="shared" ca="1" si="13"/>
        <v>7</v>
      </c>
      <c r="P58" s="16" t="str">
        <f t="shared" ca="1" si="14"/>
        <v>—</v>
      </c>
      <c r="Q58" s="15">
        <f t="shared" ca="1" si="15"/>
        <v>7</v>
      </c>
      <c r="R58" s="16" t="str">
        <f t="shared" ca="1" si="16"/>
        <v>—</v>
      </c>
      <c r="S58" s="15">
        <f t="shared" ca="1" si="17"/>
        <v>7</v>
      </c>
      <c r="T58" s="9" t="str">
        <f t="shared" ca="1" si="18"/>
        <v>—</v>
      </c>
      <c r="U58" s="15">
        <f t="shared" ca="1" si="19"/>
        <v>7</v>
      </c>
      <c r="V58" s="16" t="str">
        <f t="shared" ca="1" si="20"/>
        <v>—</v>
      </c>
      <c r="W58" s="15">
        <f t="shared" ca="1" si="21"/>
        <v>7</v>
      </c>
      <c r="X58" s="16" t="str">
        <f t="shared" ca="1" si="22"/>
        <v>—</v>
      </c>
      <c r="Y58" s="15">
        <f t="shared" ca="1" si="23"/>
        <v>7</v>
      </c>
      <c r="Z58" s="16" t="str">
        <f t="shared" ca="1" si="24"/>
        <v>—</v>
      </c>
      <c r="AA58" s="15">
        <f t="shared" ca="1" si="25"/>
        <v>7</v>
      </c>
      <c r="AB58" s="9" t="str">
        <f t="shared" ca="1" si="26"/>
        <v>—</v>
      </c>
      <c r="AC58" s="15">
        <f t="shared" ca="1" si="27"/>
        <v>7</v>
      </c>
      <c r="AD58" s="76" t="str">
        <f t="shared" ca="1" si="28"/>
        <v>—</v>
      </c>
      <c r="AE58" s="15">
        <f t="shared" ca="1" si="29"/>
        <v>7</v>
      </c>
      <c r="AF58" s="76" t="str">
        <f t="shared" ca="1" si="30"/>
        <v>—</v>
      </c>
      <c r="AG58" s="15">
        <f t="shared" ca="1" si="31"/>
        <v>7</v>
      </c>
      <c r="AH58" s="9" t="str">
        <f t="shared" ca="1" si="32"/>
        <v>—</v>
      </c>
      <c r="AI58" s="15">
        <f t="shared" ca="1" si="33"/>
        <v>7</v>
      </c>
      <c r="AJ58" s="26" t="str">
        <f t="shared" ca="1" si="34"/>
        <v>—</v>
      </c>
      <c r="AK58" s="15">
        <f t="shared" ca="1" si="35"/>
        <v>7</v>
      </c>
      <c r="AL58" s="9" t="str">
        <f t="shared" ca="1" si="36"/>
        <v>—</v>
      </c>
      <c r="AM58" s="15">
        <f t="shared" ca="1" si="37"/>
        <v>7</v>
      </c>
      <c r="AN58" s="9" t="str">
        <f t="shared" ca="1" si="38"/>
        <v>—</v>
      </c>
      <c r="AO58" s="15">
        <f t="shared" ca="1" si="39"/>
        <v>7</v>
      </c>
    </row>
    <row r="59" spans="1:41" x14ac:dyDescent="0.25">
      <c r="A59" s="4">
        <f t="shared" si="0"/>
        <v>78989</v>
      </c>
      <c r="B59" t="str">
        <f ca="1">TEXT(DATE(YEAR(Invoer!$A$5),1,1)+ROWS(B$2:B59)-1,"jjjjmmdd")</f>
        <v>19130227</v>
      </c>
      <c r="C59" s="72">
        <f t="shared" si="1"/>
        <v>800</v>
      </c>
      <c r="D59" s="16" t="str">
        <f t="shared" ca="1" si="2"/>
        <v>—</v>
      </c>
      <c r="E59" s="15">
        <f t="shared" ca="1" si="3"/>
        <v>7</v>
      </c>
      <c r="F59" s="73" t="str">
        <f t="shared" ca="1" si="4"/>
        <v>—</v>
      </c>
      <c r="G59" s="15">
        <f t="shared" ca="1" si="5"/>
        <v>7</v>
      </c>
      <c r="H59" s="73" t="str">
        <f t="shared" ca="1" si="6"/>
        <v>—</v>
      </c>
      <c r="I59" s="15">
        <f t="shared" ca="1" si="7"/>
        <v>7</v>
      </c>
      <c r="J59" s="73" t="str">
        <f t="shared" ca="1" si="8"/>
        <v>—</v>
      </c>
      <c r="K59" s="15">
        <f t="shared" ca="1" si="9"/>
        <v>7</v>
      </c>
      <c r="L59" s="16" t="str">
        <f t="shared" ca="1" si="10"/>
        <v>—</v>
      </c>
      <c r="M59" s="15">
        <f t="shared" ca="1" si="11"/>
        <v>7</v>
      </c>
      <c r="N59" s="16" t="str">
        <f t="shared" ca="1" si="12"/>
        <v>—</v>
      </c>
      <c r="O59" s="15">
        <f t="shared" ca="1" si="13"/>
        <v>7</v>
      </c>
      <c r="P59" s="16" t="str">
        <f t="shared" ca="1" si="14"/>
        <v>—</v>
      </c>
      <c r="Q59" s="15">
        <f t="shared" ca="1" si="15"/>
        <v>7</v>
      </c>
      <c r="R59" s="16" t="str">
        <f t="shared" ca="1" si="16"/>
        <v>—</v>
      </c>
      <c r="S59" s="15">
        <f t="shared" ca="1" si="17"/>
        <v>7</v>
      </c>
      <c r="T59" s="9" t="str">
        <f t="shared" ca="1" si="18"/>
        <v>—</v>
      </c>
      <c r="U59" s="15">
        <f t="shared" ca="1" si="19"/>
        <v>7</v>
      </c>
      <c r="V59" s="16" t="str">
        <f t="shared" ca="1" si="20"/>
        <v>—</v>
      </c>
      <c r="W59" s="15">
        <f t="shared" ca="1" si="21"/>
        <v>7</v>
      </c>
      <c r="X59" s="16" t="str">
        <f t="shared" ca="1" si="22"/>
        <v>—</v>
      </c>
      <c r="Y59" s="15">
        <f t="shared" ca="1" si="23"/>
        <v>7</v>
      </c>
      <c r="Z59" s="16" t="str">
        <f t="shared" ca="1" si="24"/>
        <v>—</v>
      </c>
      <c r="AA59" s="15">
        <f t="shared" ca="1" si="25"/>
        <v>7</v>
      </c>
      <c r="AB59" s="9" t="str">
        <f t="shared" ca="1" si="26"/>
        <v>—</v>
      </c>
      <c r="AC59" s="15">
        <f t="shared" ca="1" si="27"/>
        <v>7</v>
      </c>
      <c r="AD59" s="76" t="str">
        <f t="shared" ca="1" si="28"/>
        <v>—</v>
      </c>
      <c r="AE59" s="15">
        <f t="shared" ca="1" si="29"/>
        <v>7</v>
      </c>
      <c r="AF59" s="76" t="str">
        <f t="shared" ca="1" si="30"/>
        <v>—</v>
      </c>
      <c r="AG59" s="15">
        <f t="shared" ca="1" si="31"/>
        <v>7</v>
      </c>
      <c r="AH59" s="9" t="str">
        <f t="shared" ca="1" si="32"/>
        <v>—</v>
      </c>
      <c r="AI59" s="15">
        <f t="shared" ca="1" si="33"/>
        <v>7</v>
      </c>
      <c r="AJ59" s="26" t="str">
        <f t="shared" ca="1" si="34"/>
        <v>—</v>
      </c>
      <c r="AK59" s="15">
        <f t="shared" ca="1" si="35"/>
        <v>7</v>
      </c>
      <c r="AL59" s="9" t="str">
        <f t="shared" ca="1" si="36"/>
        <v>—</v>
      </c>
      <c r="AM59" s="15">
        <f t="shared" ca="1" si="37"/>
        <v>7</v>
      </c>
      <c r="AN59" s="9" t="str">
        <f t="shared" ca="1" si="38"/>
        <v>—</v>
      </c>
      <c r="AO59" s="15">
        <f t="shared" ca="1" si="39"/>
        <v>7</v>
      </c>
    </row>
    <row r="60" spans="1:41" x14ac:dyDescent="0.25">
      <c r="A60" s="4">
        <f t="shared" si="0"/>
        <v>78989</v>
      </c>
      <c r="B60" t="str">
        <f ca="1">TEXT(DATE(YEAR(Invoer!$A$5),1,1)+ROWS(B$2:B60)-1,"jjjjmmdd")</f>
        <v>19130228</v>
      </c>
      <c r="C60" s="72">
        <f t="shared" si="1"/>
        <v>800</v>
      </c>
      <c r="D60" s="16" t="str">
        <f t="shared" ca="1" si="2"/>
        <v>—</v>
      </c>
      <c r="E60" s="15">
        <f t="shared" ca="1" si="3"/>
        <v>7</v>
      </c>
      <c r="F60" s="73" t="str">
        <f t="shared" ca="1" si="4"/>
        <v>—</v>
      </c>
      <c r="G60" s="15">
        <f t="shared" ca="1" si="5"/>
        <v>7</v>
      </c>
      <c r="H60" s="73" t="str">
        <f t="shared" ca="1" si="6"/>
        <v>—</v>
      </c>
      <c r="I60" s="15">
        <f t="shared" ca="1" si="7"/>
        <v>7</v>
      </c>
      <c r="J60" s="73" t="str">
        <f t="shared" ca="1" si="8"/>
        <v>—</v>
      </c>
      <c r="K60" s="15">
        <f t="shared" ca="1" si="9"/>
        <v>7</v>
      </c>
      <c r="L60" s="16" t="str">
        <f t="shared" ca="1" si="10"/>
        <v>—</v>
      </c>
      <c r="M60" s="15">
        <f t="shared" ca="1" si="11"/>
        <v>7</v>
      </c>
      <c r="N60" s="16" t="str">
        <f t="shared" ca="1" si="12"/>
        <v>—</v>
      </c>
      <c r="O60" s="15">
        <f t="shared" ca="1" si="13"/>
        <v>7</v>
      </c>
      <c r="P60" s="16" t="str">
        <f t="shared" ca="1" si="14"/>
        <v>—</v>
      </c>
      <c r="Q60" s="15">
        <f t="shared" ca="1" si="15"/>
        <v>7</v>
      </c>
      <c r="R60" s="16" t="str">
        <f t="shared" ca="1" si="16"/>
        <v>—</v>
      </c>
      <c r="S60" s="15">
        <f t="shared" ca="1" si="17"/>
        <v>7</v>
      </c>
      <c r="T60" s="9" t="str">
        <f t="shared" ca="1" si="18"/>
        <v>—</v>
      </c>
      <c r="U60" s="15">
        <f t="shared" ca="1" si="19"/>
        <v>7</v>
      </c>
      <c r="V60" s="16" t="str">
        <f t="shared" ca="1" si="20"/>
        <v>—</v>
      </c>
      <c r="W60" s="15">
        <f t="shared" ca="1" si="21"/>
        <v>7</v>
      </c>
      <c r="X60" s="16" t="str">
        <f t="shared" ca="1" si="22"/>
        <v>—</v>
      </c>
      <c r="Y60" s="15">
        <f t="shared" ca="1" si="23"/>
        <v>7</v>
      </c>
      <c r="Z60" s="16" t="str">
        <f t="shared" ca="1" si="24"/>
        <v>—</v>
      </c>
      <c r="AA60" s="15">
        <f t="shared" ca="1" si="25"/>
        <v>7</v>
      </c>
      <c r="AB60" s="9" t="str">
        <f t="shared" ca="1" si="26"/>
        <v>—</v>
      </c>
      <c r="AC60" s="15">
        <f t="shared" ca="1" si="27"/>
        <v>7</v>
      </c>
      <c r="AD60" s="76" t="str">
        <f t="shared" ca="1" si="28"/>
        <v>—</v>
      </c>
      <c r="AE60" s="15">
        <f t="shared" ca="1" si="29"/>
        <v>7</v>
      </c>
      <c r="AF60" s="76" t="str">
        <f t="shared" ca="1" si="30"/>
        <v>—</v>
      </c>
      <c r="AG60" s="15">
        <f t="shared" ca="1" si="31"/>
        <v>7</v>
      </c>
      <c r="AH60" s="9" t="str">
        <f t="shared" ca="1" si="32"/>
        <v>—</v>
      </c>
      <c r="AI60" s="15">
        <f t="shared" ca="1" si="33"/>
        <v>7</v>
      </c>
      <c r="AJ60" s="26" t="str">
        <f t="shared" ca="1" si="34"/>
        <v>—</v>
      </c>
      <c r="AK60" s="15">
        <f t="shared" ca="1" si="35"/>
        <v>7</v>
      </c>
      <c r="AL60" s="9" t="str">
        <f t="shared" ca="1" si="36"/>
        <v>—</v>
      </c>
      <c r="AM60" s="15">
        <f t="shared" ca="1" si="37"/>
        <v>7</v>
      </c>
      <c r="AN60" s="9" t="str">
        <f t="shared" ca="1" si="38"/>
        <v>—</v>
      </c>
      <c r="AO60" s="15">
        <f t="shared" ca="1" si="39"/>
        <v>7</v>
      </c>
    </row>
    <row r="61" spans="1:41" x14ac:dyDescent="0.25">
      <c r="A61" s="4">
        <f t="shared" si="0"/>
        <v>78989</v>
      </c>
      <c r="B61" t="str">
        <f ca="1">TEXT(DATE(YEAR(Invoer!$A$5),1,1)+ROWS(B$2:B61)-1,"jjjjmmdd")</f>
        <v>19130301</v>
      </c>
      <c r="C61" s="72">
        <f t="shared" si="1"/>
        <v>800</v>
      </c>
      <c r="D61" s="16" t="str">
        <f t="shared" ca="1" si="2"/>
        <v>—</v>
      </c>
      <c r="E61" s="15">
        <f t="shared" ca="1" si="3"/>
        <v>7</v>
      </c>
      <c r="F61" s="73" t="str">
        <f t="shared" ca="1" si="4"/>
        <v>—</v>
      </c>
      <c r="G61" s="15">
        <f t="shared" ca="1" si="5"/>
        <v>7</v>
      </c>
      <c r="H61" s="73" t="str">
        <f t="shared" ca="1" si="6"/>
        <v>—</v>
      </c>
      <c r="I61" s="15">
        <f t="shared" ca="1" si="7"/>
        <v>7</v>
      </c>
      <c r="J61" s="73" t="str">
        <f t="shared" ca="1" si="8"/>
        <v>—</v>
      </c>
      <c r="K61" s="15">
        <f t="shared" ca="1" si="9"/>
        <v>7</v>
      </c>
      <c r="L61" s="16" t="str">
        <f t="shared" ca="1" si="10"/>
        <v>—</v>
      </c>
      <c r="M61" s="15">
        <f t="shared" ca="1" si="11"/>
        <v>7</v>
      </c>
      <c r="N61" s="16" t="str">
        <f t="shared" ca="1" si="12"/>
        <v>—</v>
      </c>
      <c r="O61" s="15">
        <f t="shared" ca="1" si="13"/>
        <v>7</v>
      </c>
      <c r="P61" s="16" t="str">
        <f t="shared" ca="1" si="14"/>
        <v>—</v>
      </c>
      <c r="Q61" s="15">
        <f t="shared" ca="1" si="15"/>
        <v>7</v>
      </c>
      <c r="R61" s="16" t="str">
        <f t="shared" ca="1" si="16"/>
        <v>—</v>
      </c>
      <c r="S61" s="15">
        <f t="shared" ca="1" si="17"/>
        <v>7</v>
      </c>
      <c r="T61" s="9" t="str">
        <f t="shared" ca="1" si="18"/>
        <v>—</v>
      </c>
      <c r="U61" s="15">
        <f t="shared" ca="1" si="19"/>
        <v>7</v>
      </c>
      <c r="V61" s="16" t="str">
        <f t="shared" ca="1" si="20"/>
        <v>—</v>
      </c>
      <c r="W61" s="15">
        <f t="shared" ca="1" si="21"/>
        <v>7</v>
      </c>
      <c r="X61" s="16" t="str">
        <f t="shared" ca="1" si="22"/>
        <v>—</v>
      </c>
      <c r="Y61" s="15">
        <f t="shared" ca="1" si="23"/>
        <v>7</v>
      </c>
      <c r="Z61" s="16" t="str">
        <f t="shared" ca="1" si="24"/>
        <v>—</v>
      </c>
      <c r="AA61" s="15">
        <f t="shared" ca="1" si="25"/>
        <v>7</v>
      </c>
      <c r="AB61" s="9" t="str">
        <f t="shared" ca="1" si="26"/>
        <v>—</v>
      </c>
      <c r="AC61" s="15">
        <f t="shared" ca="1" si="27"/>
        <v>7</v>
      </c>
      <c r="AD61" s="76" t="str">
        <f t="shared" ca="1" si="28"/>
        <v>—</v>
      </c>
      <c r="AE61" s="15">
        <f t="shared" ca="1" si="29"/>
        <v>7</v>
      </c>
      <c r="AF61" s="76" t="str">
        <f t="shared" ca="1" si="30"/>
        <v>—</v>
      </c>
      <c r="AG61" s="15">
        <f t="shared" ca="1" si="31"/>
        <v>7</v>
      </c>
      <c r="AH61" s="9" t="str">
        <f t="shared" ca="1" si="32"/>
        <v>—</v>
      </c>
      <c r="AI61" s="15">
        <f t="shared" ca="1" si="33"/>
        <v>7</v>
      </c>
      <c r="AJ61" s="26" t="str">
        <f t="shared" ca="1" si="34"/>
        <v>—</v>
      </c>
      <c r="AK61" s="15">
        <f t="shared" ca="1" si="35"/>
        <v>7</v>
      </c>
      <c r="AL61" s="9" t="str">
        <f t="shared" ca="1" si="36"/>
        <v>—</v>
      </c>
      <c r="AM61" s="15">
        <f t="shared" ca="1" si="37"/>
        <v>7</v>
      </c>
      <c r="AN61" s="9" t="str">
        <f t="shared" ca="1" si="38"/>
        <v>—</v>
      </c>
      <c r="AO61" s="15">
        <f t="shared" ca="1" si="39"/>
        <v>7</v>
      </c>
    </row>
    <row r="62" spans="1:41" x14ac:dyDescent="0.25">
      <c r="A62" s="4">
        <f t="shared" si="0"/>
        <v>78989</v>
      </c>
      <c r="B62" t="str">
        <f ca="1">TEXT(DATE(YEAR(Invoer!$A$5),1,1)+ROWS(B$2:B62)-1,"jjjjmmdd")</f>
        <v>19130302</v>
      </c>
      <c r="C62" s="72">
        <f t="shared" si="1"/>
        <v>800</v>
      </c>
      <c r="D62" s="16" t="str">
        <f t="shared" ca="1" si="2"/>
        <v>—</v>
      </c>
      <c r="E62" s="15">
        <f t="shared" ca="1" si="3"/>
        <v>7</v>
      </c>
      <c r="F62" s="73" t="str">
        <f t="shared" ca="1" si="4"/>
        <v>—</v>
      </c>
      <c r="G62" s="15">
        <f t="shared" ca="1" si="5"/>
        <v>7</v>
      </c>
      <c r="H62" s="73" t="str">
        <f t="shared" ca="1" si="6"/>
        <v>—</v>
      </c>
      <c r="I62" s="15">
        <f t="shared" ca="1" si="7"/>
        <v>7</v>
      </c>
      <c r="J62" s="73" t="str">
        <f t="shared" ca="1" si="8"/>
        <v>—</v>
      </c>
      <c r="K62" s="15">
        <f t="shared" ca="1" si="9"/>
        <v>7</v>
      </c>
      <c r="L62" s="16" t="str">
        <f t="shared" ca="1" si="10"/>
        <v>—</v>
      </c>
      <c r="M62" s="15">
        <f t="shared" ca="1" si="11"/>
        <v>7</v>
      </c>
      <c r="N62" s="16" t="str">
        <f t="shared" ca="1" si="12"/>
        <v>—</v>
      </c>
      <c r="O62" s="15">
        <f t="shared" ca="1" si="13"/>
        <v>7</v>
      </c>
      <c r="P62" s="16" t="str">
        <f t="shared" ca="1" si="14"/>
        <v>—</v>
      </c>
      <c r="Q62" s="15">
        <f t="shared" ca="1" si="15"/>
        <v>7</v>
      </c>
      <c r="R62" s="16" t="str">
        <f t="shared" ca="1" si="16"/>
        <v>—</v>
      </c>
      <c r="S62" s="15">
        <f t="shared" ca="1" si="17"/>
        <v>7</v>
      </c>
      <c r="T62" s="9" t="str">
        <f t="shared" ca="1" si="18"/>
        <v>—</v>
      </c>
      <c r="U62" s="15">
        <f t="shared" ca="1" si="19"/>
        <v>7</v>
      </c>
      <c r="V62" s="16" t="str">
        <f t="shared" ca="1" si="20"/>
        <v>—</v>
      </c>
      <c r="W62" s="15">
        <f t="shared" ca="1" si="21"/>
        <v>7</v>
      </c>
      <c r="X62" s="16" t="str">
        <f t="shared" ca="1" si="22"/>
        <v>—</v>
      </c>
      <c r="Y62" s="15">
        <f t="shared" ca="1" si="23"/>
        <v>7</v>
      </c>
      <c r="Z62" s="16" t="str">
        <f t="shared" ca="1" si="24"/>
        <v>—</v>
      </c>
      <c r="AA62" s="15">
        <f t="shared" ca="1" si="25"/>
        <v>7</v>
      </c>
      <c r="AB62" s="9" t="str">
        <f t="shared" ca="1" si="26"/>
        <v>—</v>
      </c>
      <c r="AC62" s="15">
        <f t="shared" ca="1" si="27"/>
        <v>7</v>
      </c>
      <c r="AD62" s="76" t="str">
        <f t="shared" ca="1" si="28"/>
        <v>—</v>
      </c>
      <c r="AE62" s="15">
        <f t="shared" ca="1" si="29"/>
        <v>7</v>
      </c>
      <c r="AF62" s="76" t="str">
        <f t="shared" ca="1" si="30"/>
        <v>—</v>
      </c>
      <c r="AG62" s="15">
        <f t="shared" ca="1" si="31"/>
        <v>7</v>
      </c>
      <c r="AH62" s="9" t="str">
        <f t="shared" ca="1" si="32"/>
        <v>—</v>
      </c>
      <c r="AI62" s="15">
        <f t="shared" ca="1" si="33"/>
        <v>7</v>
      </c>
      <c r="AJ62" s="26" t="str">
        <f t="shared" ca="1" si="34"/>
        <v>—</v>
      </c>
      <c r="AK62" s="15">
        <f t="shared" ca="1" si="35"/>
        <v>7</v>
      </c>
      <c r="AL62" s="9" t="str">
        <f t="shared" ca="1" si="36"/>
        <v>—</v>
      </c>
      <c r="AM62" s="15">
        <f t="shared" ca="1" si="37"/>
        <v>7</v>
      </c>
      <c r="AN62" s="9" t="str">
        <f t="shared" ca="1" si="38"/>
        <v>—</v>
      </c>
      <c r="AO62" s="15">
        <f t="shared" ca="1" si="39"/>
        <v>7</v>
      </c>
    </row>
    <row r="63" spans="1:41" x14ac:dyDescent="0.25">
      <c r="A63" s="4">
        <f t="shared" si="0"/>
        <v>78989</v>
      </c>
      <c r="B63" t="str">
        <f ca="1">TEXT(DATE(YEAR(Invoer!$A$5),1,1)+ROWS(B$2:B63)-1,"jjjjmmdd")</f>
        <v>19130303</v>
      </c>
      <c r="C63" s="72">
        <f t="shared" si="1"/>
        <v>800</v>
      </c>
      <c r="D63" s="16" t="str">
        <f t="shared" ca="1" si="2"/>
        <v>—</v>
      </c>
      <c r="E63" s="15">
        <f t="shared" ca="1" si="3"/>
        <v>7</v>
      </c>
      <c r="F63" s="73" t="str">
        <f t="shared" ca="1" si="4"/>
        <v>—</v>
      </c>
      <c r="G63" s="15">
        <f t="shared" ca="1" si="5"/>
        <v>7</v>
      </c>
      <c r="H63" s="73" t="str">
        <f t="shared" ca="1" si="6"/>
        <v>—</v>
      </c>
      <c r="I63" s="15">
        <f t="shared" ca="1" si="7"/>
        <v>7</v>
      </c>
      <c r="J63" s="73" t="str">
        <f t="shared" ca="1" si="8"/>
        <v>—</v>
      </c>
      <c r="K63" s="15">
        <f t="shared" ca="1" si="9"/>
        <v>7</v>
      </c>
      <c r="L63" s="16" t="str">
        <f t="shared" ca="1" si="10"/>
        <v>—</v>
      </c>
      <c r="M63" s="15">
        <f t="shared" ca="1" si="11"/>
        <v>7</v>
      </c>
      <c r="N63" s="16" t="str">
        <f t="shared" ca="1" si="12"/>
        <v>—</v>
      </c>
      <c r="O63" s="15">
        <f t="shared" ca="1" si="13"/>
        <v>7</v>
      </c>
      <c r="P63" s="16" t="str">
        <f t="shared" ca="1" si="14"/>
        <v>—</v>
      </c>
      <c r="Q63" s="15">
        <f t="shared" ca="1" si="15"/>
        <v>7</v>
      </c>
      <c r="R63" s="16" t="str">
        <f t="shared" ca="1" si="16"/>
        <v>—</v>
      </c>
      <c r="S63" s="15">
        <f t="shared" ca="1" si="17"/>
        <v>7</v>
      </c>
      <c r="T63" s="9" t="str">
        <f t="shared" ca="1" si="18"/>
        <v>—</v>
      </c>
      <c r="U63" s="15">
        <f t="shared" ca="1" si="19"/>
        <v>7</v>
      </c>
      <c r="V63" s="16" t="str">
        <f t="shared" ca="1" si="20"/>
        <v>—</v>
      </c>
      <c r="W63" s="15">
        <f t="shared" ca="1" si="21"/>
        <v>7</v>
      </c>
      <c r="X63" s="16" t="str">
        <f t="shared" ca="1" si="22"/>
        <v>—</v>
      </c>
      <c r="Y63" s="15">
        <f t="shared" ca="1" si="23"/>
        <v>7</v>
      </c>
      <c r="Z63" s="16" t="str">
        <f t="shared" ca="1" si="24"/>
        <v>—</v>
      </c>
      <c r="AA63" s="15">
        <f t="shared" ca="1" si="25"/>
        <v>7</v>
      </c>
      <c r="AB63" s="9" t="str">
        <f t="shared" ca="1" si="26"/>
        <v>—</v>
      </c>
      <c r="AC63" s="15">
        <f t="shared" ca="1" si="27"/>
        <v>7</v>
      </c>
      <c r="AD63" s="76" t="str">
        <f t="shared" ca="1" si="28"/>
        <v>—</v>
      </c>
      <c r="AE63" s="15">
        <f t="shared" ca="1" si="29"/>
        <v>7</v>
      </c>
      <c r="AF63" s="76" t="str">
        <f t="shared" ca="1" si="30"/>
        <v>—</v>
      </c>
      <c r="AG63" s="15">
        <f t="shared" ca="1" si="31"/>
        <v>7</v>
      </c>
      <c r="AH63" s="9" t="str">
        <f t="shared" ca="1" si="32"/>
        <v>—</v>
      </c>
      <c r="AI63" s="15">
        <f t="shared" ca="1" si="33"/>
        <v>7</v>
      </c>
      <c r="AJ63" s="26" t="str">
        <f t="shared" ca="1" si="34"/>
        <v>—</v>
      </c>
      <c r="AK63" s="15">
        <f t="shared" ca="1" si="35"/>
        <v>7</v>
      </c>
      <c r="AL63" s="9" t="str">
        <f t="shared" ca="1" si="36"/>
        <v>—</v>
      </c>
      <c r="AM63" s="15">
        <f t="shared" ca="1" si="37"/>
        <v>7</v>
      </c>
      <c r="AN63" s="9" t="str">
        <f t="shared" ca="1" si="38"/>
        <v>—</v>
      </c>
      <c r="AO63" s="15">
        <f t="shared" ca="1" si="39"/>
        <v>7</v>
      </c>
    </row>
    <row r="64" spans="1:41" x14ac:dyDescent="0.25">
      <c r="A64" s="4">
        <f t="shared" si="0"/>
        <v>78989</v>
      </c>
      <c r="B64" t="str">
        <f ca="1">TEXT(DATE(YEAR(Invoer!$A$5),1,1)+ROWS(B$2:B64)-1,"jjjjmmdd")</f>
        <v>19130304</v>
      </c>
      <c r="C64" s="72">
        <f t="shared" si="1"/>
        <v>800</v>
      </c>
      <c r="D64" s="16" t="str">
        <f t="shared" ca="1" si="2"/>
        <v>—</v>
      </c>
      <c r="E64" s="15">
        <f t="shared" ca="1" si="3"/>
        <v>7</v>
      </c>
      <c r="F64" s="73" t="str">
        <f t="shared" ca="1" si="4"/>
        <v>—</v>
      </c>
      <c r="G64" s="15">
        <f t="shared" ca="1" si="5"/>
        <v>7</v>
      </c>
      <c r="H64" s="73" t="str">
        <f t="shared" ca="1" si="6"/>
        <v>—</v>
      </c>
      <c r="I64" s="15">
        <f t="shared" ca="1" si="7"/>
        <v>7</v>
      </c>
      <c r="J64" s="73" t="str">
        <f t="shared" ca="1" si="8"/>
        <v>—</v>
      </c>
      <c r="K64" s="15">
        <f t="shared" ca="1" si="9"/>
        <v>7</v>
      </c>
      <c r="L64" s="16" t="str">
        <f t="shared" ca="1" si="10"/>
        <v>—</v>
      </c>
      <c r="M64" s="15">
        <f t="shared" ca="1" si="11"/>
        <v>7</v>
      </c>
      <c r="N64" s="16" t="str">
        <f t="shared" ca="1" si="12"/>
        <v>—</v>
      </c>
      <c r="O64" s="15">
        <f t="shared" ca="1" si="13"/>
        <v>7</v>
      </c>
      <c r="P64" s="16" t="str">
        <f t="shared" ca="1" si="14"/>
        <v>—</v>
      </c>
      <c r="Q64" s="15">
        <f t="shared" ca="1" si="15"/>
        <v>7</v>
      </c>
      <c r="R64" s="16" t="str">
        <f t="shared" ca="1" si="16"/>
        <v>—</v>
      </c>
      <c r="S64" s="15">
        <f t="shared" ca="1" si="17"/>
        <v>7</v>
      </c>
      <c r="T64" s="9" t="str">
        <f t="shared" ca="1" si="18"/>
        <v>—</v>
      </c>
      <c r="U64" s="15">
        <f t="shared" ca="1" si="19"/>
        <v>7</v>
      </c>
      <c r="V64" s="16" t="str">
        <f t="shared" ca="1" si="20"/>
        <v>—</v>
      </c>
      <c r="W64" s="15">
        <f t="shared" ca="1" si="21"/>
        <v>7</v>
      </c>
      <c r="X64" s="16" t="str">
        <f t="shared" ca="1" si="22"/>
        <v>—</v>
      </c>
      <c r="Y64" s="15">
        <f t="shared" ca="1" si="23"/>
        <v>7</v>
      </c>
      <c r="Z64" s="16" t="str">
        <f t="shared" ca="1" si="24"/>
        <v>—</v>
      </c>
      <c r="AA64" s="15">
        <f t="shared" ca="1" si="25"/>
        <v>7</v>
      </c>
      <c r="AB64" s="9" t="str">
        <f t="shared" ca="1" si="26"/>
        <v>—</v>
      </c>
      <c r="AC64" s="15">
        <f t="shared" ca="1" si="27"/>
        <v>7</v>
      </c>
      <c r="AD64" s="76" t="str">
        <f t="shared" ca="1" si="28"/>
        <v>—</v>
      </c>
      <c r="AE64" s="15">
        <f t="shared" ca="1" si="29"/>
        <v>7</v>
      </c>
      <c r="AF64" s="76" t="str">
        <f t="shared" ca="1" si="30"/>
        <v>—</v>
      </c>
      <c r="AG64" s="15">
        <f t="shared" ca="1" si="31"/>
        <v>7</v>
      </c>
      <c r="AH64" s="9" t="str">
        <f t="shared" ca="1" si="32"/>
        <v>—</v>
      </c>
      <c r="AI64" s="15">
        <f t="shared" ca="1" si="33"/>
        <v>7</v>
      </c>
      <c r="AJ64" s="26" t="str">
        <f t="shared" ca="1" si="34"/>
        <v>—</v>
      </c>
      <c r="AK64" s="15">
        <f t="shared" ca="1" si="35"/>
        <v>7</v>
      </c>
      <c r="AL64" s="9" t="str">
        <f t="shared" ca="1" si="36"/>
        <v>—</v>
      </c>
      <c r="AM64" s="15">
        <f t="shared" ca="1" si="37"/>
        <v>7</v>
      </c>
      <c r="AN64" s="9" t="str">
        <f t="shared" ca="1" si="38"/>
        <v>—</v>
      </c>
      <c r="AO64" s="15">
        <f t="shared" ca="1" si="39"/>
        <v>7</v>
      </c>
    </row>
    <row r="65" spans="1:41" x14ac:dyDescent="0.25">
      <c r="A65" s="4">
        <f t="shared" si="0"/>
        <v>78989</v>
      </c>
      <c r="B65" t="str">
        <f ca="1">TEXT(DATE(YEAR(Invoer!$A$5),1,1)+ROWS(B$2:B65)-1,"jjjjmmdd")</f>
        <v>19130305</v>
      </c>
      <c r="C65" s="72">
        <f t="shared" si="1"/>
        <v>800</v>
      </c>
      <c r="D65" s="16" t="str">
        <f t="shared" ca="1" si="2"/>
        <v>—</v>
      </c>
      <c r="E65" s="15">
        <f t="shared" ca="1" si="3"/>
        <v>7</v>
      </c>
      <c r="F65" s="73" t="str">
        <f t="shared" ca="1" si="4"/>
        <v>—</v>
      </c>
      <c r="G65" s="15">
        <f t="shared" ca="1" si="5"/>
        <v>7</v>
      </c>
      <c r="H65" s="73" t="str">
        <f t="shared" ca="1" si="6"/>
        <v>—</v>
      </c>
      <c r="I65" s="15">
        <f t="shared" ca="1" si="7"/>
        <v>7</v>
      </c>
      <c r="J65" s="73" t="str">
        <f t="shared" ca="1" si="8"/>
        <v>—</v>
      </c>
      <c r="K65" s="15">
        <f t="shared" ca="1" si="9"/>
        <v>7</v>
      </c>
      <c r="L65" s="16" t="str">
        <f t="shared" ca="1" si="10"/>
        <v>—</v>
      </c>
      <c r="M65" s="15">
        <f t="shared" ca="1" si="11"/>
        <v>7</v>
      </c>
      <c r="N65" s="16" t="str">
        <f t="shared" ca="1" si="12"/>
        <v>—</v>
      </c>
      <c r="O65" s="15">
        <f t="shared" ca="1" si="13"/>
        <v>7</v>
      </c>
      <c r="P65" s="16" t="str">
        <f t="shared" ca="1" si="14"/>
        <v>—</v>
      </c>
      <c r="Q65" s="15">
        <f t="shared" ca="1" si="15"/>
        <v>7</v>
      </c>
      <c r="R65" s="16" t="str">
        <f t="shared" ca="1" si="16"/>
        <v>—</v>
      </c>
      <c r="S65" s="15">
        <f t="shared" ca="1" si="17"/>
        <v>7</v>
      </c>
      <c r="T65" s="9" t="str">
        <f t="shared" ca="1" si="18"/>
        <v>—</v>
      </c>
      <c r="U65" s="15">
        <f t="shared" ca="1" si="19"/>
        <v>7</v>
      </c>
      <c r="V65" s="16" t="str">
        <f t="shared" ca="1" si="20"/>
        <v>—</v>
      </c>
      <c r="W65" s="15">
        <f t="shared" ca="1" si="21"/>
        <v>7</v>
      </c>
      <c r="X65" s="16" t="str">
        <f t="shared" ca="1" si="22"/>
        <v>—</v>
      </c>
      <c r="Y65" s="15">
        <f t="shared" ca="1" si="23"/>
        <v>7</v>
      </c>
      <c r="Z65" s="16" t="str">
        <f t="shared" ca="1" si="24"/>
        <v>—</v>
      </c>
      <c r="AA65" s="15">
        <f t="shared" ca="1" si="25"/>
        <v>7</v>
      </c>
      <c r="AB65" s="9" t="str">
        <f t="shared" ca="1" si="26"/>
        <v>—</v>
      </c>
      <c r="AC65" s="15">
        <f t="shared" ca="1" si="27"/>
        <v>7</v>
      </c>
      <c r="AD65" s="76" t="str">
        <f t="shared" ca="1" si="28"/>
        <v>—</v>
      </c>
      <c r="AE65" s="15">
        <f t="shared" ca="1" si="29"/>
        <v>7</v>
      </c>
      <c r="AF65" s="76" t="str">
        <f t="shared" ca="1" si="30"/>
        <v>—</v>
      </c>
      <c r="AG65" s="15">
        <f t="shared" ca="1" si="31"/>
        <v>7</v>
      </c>
      <c r="AH65" s="9" t="str">
        <f t="shared" ca="1" si="32"/>
        <v>—</v>
      </c>
      <c r="AI65" s="15">
        <f t="shared" ca="1" si="33"/>
        <v>7</v>
      </c>
      <c r="AJ65" s="26" t="str">
        <f t="shared" ca="1" si="34"/>
        <v>—</v>
      </c>
      <c r="AK65" s="15">
        <f t="shared" ca="1" si="35"/>
        <v>7</v>
      </c>
      <c r="AL65" s="9" t="str">
        <f t="shared" ca="1" si="36"/>
        <v>—</v>
      </c>
      <c r="AM65" s="15">
        <f t="shared" ca="1" si="37"/>
        <v>7</v>
      </c>
      <c r="AN65" s="9" t="str">
        <f t="shared" ca="1" si="38"/>
        <v>—</v>
      </c>
      <c r="AO65" s="15">
        <f t="shared" ca="1" si="39"/>
        <v>7</v>
      </c>
    </row>
    <row r="66" spans="1:41" x14ac:dyDescent="0.25">
      <c r="A66" s="4">
        <f t="shared" ref="A66:A129" si="40">INDEX(Stations,2,1)</f>
        <v>78989</v>
      </c>
      <c r="B66" t="str">
        <f ca="1">TEXT(DATE(YEAR(Invoer!$A$5),1,1)+ROWS(B$2:B66)-1,"jjjjmmdd")</f>
        <v>19130306</v>
      </c>
      <c r="C66" s="72">
        <f t="shared" ref="C66:C129" si="41">Tijd</f>
        <v>800</v>
      </c>
      <c r="D66" s="16" t="str">
        <f t="shared" ref="D66:D129" ca="1" si="42">IF(OR(ISBLANK(VLOOKUP(DATEVALUE(LEFT($B66,4)&amp;"-"&amp;MID($B66,5,2)&amp;"-"&amp;RIGHT($B66,2)),Data,MATCH(LEFT(VLOOKUP(D$1,Parameters,2,FALSE()),3)&amp;"*",OFFSET(Data,N(ISNA(MATCH(LEFT(VLOOKUP(D$1,Parameters,2,FALSE()),3)&amp;"*",OFFSET(Data,0,0,1),0))),0,1),0)+3*N(EXACT(D$1,"DFx")),FALSE())),ISTEXT(VLOOKUP(DATEVALUE(LEFT($B66,4)&amp;"-"&amp;MID($B66,5,2)&amp;"-"&amp;RIGHT($B66,2)),Data,MATCH(LEFT(VLOOKUP(D$1,Parameters,2,FALSE()),3)&amp;"*",OFFSET(Data,N(ISNA(MATCH(LEFT(VLOOKUP(D$1,Parameters,2,FALSE()),3)&amp;"*",OFFSET(Data,0,0,1),0))),0,1),0)+3*N(EXACT(D$1,"DFx")),FALSE()))),"—",ROUND(5*(VLOOKUP(DATEVALUE(LEFT($B66,4)&amp;"-"&amp;MID($B66,5,2)&amp;"-"&amp;RIGHT($B66,2)),Data,MATCH(LEFT(VLOOKUP(D$1,Parameters,2,FALSE()),3)&amp;"*",OFFSET(Data,N(ISNA(MATCH(LEFT(VLOOKUP(D$1,Parameters,2,FALSE()),3)&amp;"*",OFFSET(Data,0,0,1),0))),0,1),0)+3*N(EXACT(D$1,"DFx")),FALSE())-320)/90,1))</f>
        <v>—</v>
      </c>
      <c r="E66" s="15">
        <f t="shared" ref="E66:E129" ca="1" si="43">IF(OR(ISBLANK(VLOOKUP(DATEVALUE(LEFT($B66,4)&amp;"-"&amp;MID($B66,5,2)&amp;"-"&amp;RIGHT($B66,2)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66,4)&amp;"-"&amp;MID($B66,5,2)&amp;"-"&amp;RIGHT($B66,2)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66,4)&amp;"-"&amp;MID($B66,5,2)&amp;"-"&amp;RIGHT($B66,2)),OFFSET(Catalogus,0,0,,1),0)),Ok,VLOOKUP(DATEVALUE(LEFT($B66,4)&amp;"-"&amp;MID($B66,5,2)&amp;"-"&amp;RIGHT($B66,2)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66" s="73" t="str">
        <f t="shared" ref="F66:F129" ca="1" si="44">IF(OR(ISBLANK(VLOOKUP(DATEVALUE(LEFT($B66,4)&amp;"-"&amp;MID($B66,5,2)&amp;"-"&amp;RIGHT($B66,2)),Data,MATCH(LEFT(VLOOKUP(F$1,Parameters,2,FALSE()),3)&amp;"*",OFFSET(Data,N(ISNA(MATCH(LEFT(VLOOKUP(F$1,Parameters,2,FALSE()),3)&amp;"*",OFFSET(Data,0,0,1),0))),0,1),0)+3*N(EXACT(F$1,"DFx")),FALSE())),ISTEXT(VLOOKUP(DATEVALUE(LEFT($B66,4)&amp;"-"&amp;MID($B66,5,2)&amp;"-"&amp;RIGHT($B66,2)),Data,MATCH(LEFT(VLOOKUP(F$1,Parameters,2,FALSE()),3)&amp;"*",OFFSET(Data,N(ISNA(MATCH(LEFT(VLOOKUP(F$1,Parameters,2,FALSE()),3)&amp;"*",OFFSET(Data,0,0,1),0))),0,1),0)+3*N(EXACT(F$1,"DFx")),FALSE()))),"—",ROUND(0.0254*VLOOKUP(DATEVALUE(LEFT($B66,4)&amp;"-"&amp;MID($B66,5,2)&amp;"-"&amp;RIGHT($B66,2)),Data,MATCH(LEFT(VLOOKUP(F$1,Parameters,2,FALSE()),3)&amp;"*",OFFSET(Data,N(ISNA(MATCH(LEFT(VLOOKUP(F$1,Parameters,2,FALSE()),3)&amp;"*",OFFSET(Data,0,0,1),0))),0,1),0)+3*N(EXACT(F$1,"DFx")),FALSE()),2))</f>
        <v>—</v>
      </c>
      <c r="G66" s="15">
        <f t="shared" ref="G66:G129" ca="1" si="45">IF(OR(ISBLANK(VLOOKUP(DATEVALUE(LEFT($B66,4)&amp;"-"&amp;MID($B66,5,2)&amp;"-"&amp;RIGHT($B66,2)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66,4)&amp;"-"&amp;MID($B66,5,2)&amp;"-"&amp;RIGHT($B66,2)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66,4)&amp;"-"&amp;MID($B66,5,2)&amp;"-"&amp;RIGHT($B66,2)),OFFSET(Catalogus,0,0,,1),0)),Ok,VLOOKUP(DATEVALUE(LEFT($B66,4)&amp;"-"&amp;MID($B66,5,2)&amp;"-"&amp;RIGHT($B66,2)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66" s="73" t="str">
        <f t="shared" ref="H66:H129" ca="1" si="46">IF(OR(ISBLANK(VLOOKUP(DATEVALUE(LEFT($B66,4)&amp;"-"&amp;MID($B66,5,2)&amp;"-"&amp;RIGHT($B66,2)),Data,MATCH(LEFT(VLOOKUP(H$1,Parameters,2,FALSE()),3)&amp;"*",OFFSET(Data,N(ISNA(MATCH(LEFT(VLOOKUP(H$1,Parameters,2,FALSE()),3)&amp;"*",OFFSET(Data,0,0,1),0))),0,1),0)+3*N(EXACT(H$1,"DFx")),FALSE())),ISTEXT(VLOOKUP(DATEVALUE(LEFT($B66,4)&amp;"-"&amp;MID($B66,5,2)&amp;"-"&amp;RIGHT($B66,2)),Data,MATCH(LEFT(VLOOKUP(H$1,Parameters,2,FALSE()),3)&amp;"*",OFFSET(Data,N(ISNA(MATCH(LEFT(VLOOKUP(H$1,Parameters,2,FALSE()),3)&amp;"*",OFFSET(Data,0,0,1),0))),0,1),0)+3*N(EXACT(H$1,"DFx")),FALSE()))),"—",ROUND(0.0254*VLOOKUP(DATEVALUE(LEFT($B66,4)&amp;"-"&amp;MID($B66,5,2)&amp;"-"&amp;RIGHT($B66,2)),Data,MATCH(LEFT(VLOOKUP(H$1,Parameters,2,FALSE()),3)&amp;"*",OFFSET(Data,N(ISNA(MATCH(LEFT(VLOOKUP(H$1,Parameters,2,FALSE()),3)&amp;"*",OFFSET(Data,0,0,1),0))),0,1),0)+3*N(EXACT(H$1,"DFx")),FALSE()),2))</f>
        <v>—</v>
      </c>
      <c r="I66" s="15">
        <f t="shared" ref="I66:I129" ca="1" si="47">IF(OR(ISBLANK(VLOOKUP(DATEVALUE(LEFT($B66,4)&amp;"-"&amp;MID($B66,5,2)&amp;"-"&amp;RIGHT($B66,2)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66,4)&amp;"-"&amp;MID($B66,5,2)&amp;"-"&amp;RIGHT($B66,2)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66,4)&amp;"-"&amp;MID($B66,5,2)&amp;"-"&amp;RIGHT($B66,2)),OFFSET(Catalogus,0,0,,1),0)),Ok,VLOOKUP(DATEVALUE(LEFT($B66,4)&amp;"-"&amp;MID($B66,5,2)&amp;"-"&amp;RIGHT($B66,2)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66" s="73" t="str">
        <f t="shared" ref="J66:J129" ca="1" si="48">IF(OR(ISBLANK(VLOOKUP(DATEVALUE(LEFT($B66,4)&amp;"-"&amp;MID($B66,5,2)&amp;"-"&amp;RIGHT($B66,2)),Data,MATCH(LEFT(VLOOKUP(J$1,Parameters,2,FALSE()),3)&amp;"*",OFFSET(Data,N(ISNA(MATCH(LEFT(VLOOKUP(J$1,Parameters,2,FALSE()),3)&amp;"*",OFFSET(Data,0,0,1),0))),0,1),0)+3*N(EXACT(J$1,"DFx")),FALSE())),ISTEXT(VLOOKUP(DATEVALUE(LEFT($B66,4)&amp;"-"&amp;MID($B66,5,2)&amp;"-"&amp;RIGHT($B66,2)),Data,MATCH(LEFT(VLOOKUP(J$1,Parameters,2,FALSE()),3)&amp;"*",OFFSET(Data,N(ISNA(MATCH(LEFT(VLOOKUP(J$1,Parameters,2,FALSE()),3)&amp;"*",OFFSET(Data,0,0,1),0))),0,1),0)+3*N(EXACT(J$1,"DFx")),FALSE()))),"—",ROUND(0.0254*VLOOKUP(DATEVALUE(LEFT($B66,4)&amp;"-"&amp;MID($B66,5,2)&amp;"-"&amp;RIGHT($B66,2)),Data,MATCH(LEFT(VLOOKUP(J$1,Parameters,2,FALSE()),3)&amp;"*",OFFSET(Data,N(ISNA(MATCH(LEFT(VLOOKUP(J$1,Parameters,2,FALSE()),3)&amp;"*",OFFSET(Data,0,0,1),0))),0,1),0)+3*N(EXACT(J$1,"DFx")),FALSE()),2))</f>
        <v>—</v>
      </c>
      <c r="K66" s="15">
        <f t="shared" ref="K66:K129" ca="1" si="49">IF(OR(ISBLANK(VLOOKUP(DATEVALUE(LEFT($B66,4)&amp;"-"&amp;MID($B66,5,2)&amp;"-"&amp;RIGHT($B66,2)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66,4)&amp;"-"&amp;MID($B66,5,2)&amp;"-"&amp;RIGHT($B66,2)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66,4)&amp;"-"&amp;MID($B66,5,2)&amp;"-"&amp;RIGHT($B66,2)),OFFSET(Catalogus,0,0,,1),0)),Ok,VLOOKUP(DATEVALUE(LEFT($B66,4)&amp;"-"&amp;MID($B66,5,2)&amp;"-"&amp;RIGHT($B66,2)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66" s="16" t="str">
        <f t="shared" ref="L66:L129" ca="1" si="50">IF(OR(ISBLANK(VLOOKUP(DATEVALUE(LEFT($B66,4)&amp;"-"&amp;MID($B66,5,2)&amp;"-"&amp;RIGHT($B66,2)),Data,MATCH(LEFT(VLOOKUP(L$1,Parameters,2,FALSE()),3)&amp;"*",OFFSET(Data,N(ISNA(MATCH(LEFT(VLOOKUP(L$1,Parameters,2,FALSE()),3)&amp;"*",OFFSET(Data,0,0,1),0))),0,1),0)+3*N(EXACT(L$1,"DFx")),FALSE())),ISTEXT(VLOOKUP(DATEVALUE(LEFT($B66,4)&amp;"-"&amp;MID($B66,5,2)&amp;"-"&amp;RIGHT($B66,2)),Data,MATCH(LEFT(VLOOKUP(L$1,Parameters,2,FALSE()),3)&amp;"*",OFFSET(Data,N(ISNA(MATCH(LEFT(VLOOKUP(L$1,Parameters,2,FALSE()),3)&amp;"*",OFFSET(Data,0,0,1),0))),0,1),0)+3*N(EXACT(L$1,"DFx")),FALSE()))),"—",ROUND(0.254*VLOOKUP(DATEVALUE(LEFT($B66,4)&amp;"-"&amp;MID($B66,5,2)&amp;"-"&amp;RIGHT($B66,2)),Data,MATCH(LEFT(VLOOKUP(L$1,Parameters,2,FALSE()),3)&amp;"*",OFFSET(Data,N(ISNA(MATCH(LEFT(VLOOKUP(L$1,Parameters,2,FALSE()),3)&amp;"*",OFFSET(Data,0,0,1),0))),0,1),0)+3*N(EXACT(L$1,"DFx")),FALSE()),1))</f>
        <v>—</v>
      </c>
      <c r="M66" s="15">
        <f t="shared" ref="M66:M129" ca="1" si="51">IF(OR(ISBLANK(VLOOKUP(DATEVALUE(LEFT($B66,4)&amp;"-"&amp;MID($B66,5,2)&amp;"-"&amp;RIGHT($B66,2)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66,4)&amp;"-"&amp;MID($B66,5,2)&amp;"-"&amp;RIGHT($B66,2)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66,4)&amp;"-"&amp;MID($B66,5,2)&amp;"-"&amp;RIGHT($B66,2)),OFFSET(Catalogus,0,0,,1),0)),Ok,VLOOKUP(DATEVALUE(LEFT($B66,4)&amp;"-"&amp;MID($B66,5,2)&amp;"-"&amp;RIGHT($B66,2)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7</v>
      </c>
      <c r="N66" s="16" t="str">
        <f t="shared" ref="N66:N129" ca="1" si="52">IF(OR(ISBLANK(VLOOKUP(DATEVALUE(LEFT($B66,4)&amp;"-"&amp;MID($B66,5,2)&amp;"-"&amp;RIGHT($B66,2)),Data,MATCH(LEFT(VLOOKUP(N$1,Parameters,2,FALSE()),3)&amp;"*",OFFSET(Data,N(ISNA(MATCH(LEFT(VLOOKUP(N$1,Parameters,2,FALSE()),3)&amp;"*",OFFSET(Data,0,0,1),0))),0,1),0)+3*N(EXACT(N$1,"DFx")),FALSE())),ISTEXT(VLOOKUP(DATEVALUE(LEFT($B66,4)&amp;"-"&amp;MID($B66,5,2)&amp;"-"&amp;RIGHT($B66,2)),Data,MATCH(LEFT(VLOOKUP(N$1,Parameters,2,FALSE()),3)&amp;"*",OFFSET(Data,N(ISNA(MATCH(LEFT(VLOOKUP(N$1,Parameters,2,FALSE()),3)&amp;"*",OFFSET(Data,0,0,1),0))),0,1),0)+3*N(EXACT(N$1,"DFx")),FALSE()))),"—",ROUND(5*(VLOOKUP(DATEVALUE(LEFT($B66,4)&amp;"-"&amp;MID($B66,5,2)&amp;"-"&amp;RIGHT($B66,2)),Data,MATCH(LEFT(VLOOKUP(N$1,Parameters,2,FALSE()),3)&amp;"*",OFFSET(Data,N(ISNA(MATCH(LEFT(VLOOKUP(N$1,Parameters,2,FALSE()),3)&amp;"*",OFFSET(Data,0,0,1),0))),0,1),0)+3*N(EXACT(N$1,"DFx")),FALSE())-320)/90,1))</f>
        <v>—</v>
      </c>
      <c r="O66" s="15">
        <f t="shared" ref="O66:O129" ca="1" si="53">IF(OR(ISBLANK(VLOOKUP(DATEVALUE(LEFT($B66,4)&amp;"-"&amp;MID($B66,5,2)&amp;"-"&amp;RIGHT($B66,2)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66,4)&amp;"-"&amp;MID($B66,5,2)&amp;"-"&amp;RIGHT($B66,2)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66,4)&amp;"-"&amp;MID($B66,5,2)&amp;"-"&amp;RIGHT($B66,2)),OFFSET(Catalogus,0,0,,1),0)),Ok,VLOOKUP(DATEVALUE(LEFT($B66,4)&amp;"-"&amp;MID($B66,5,2)&amp;"-"&amp;RIGHT($B66,2)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66" s="16" t="str">
        <f t="shared" ref="P66:P129" ca="1" si="54">IF(OR(ISBLANK(VLOOKUP(DATEVALUE(LEFT($B66,4)&amp;"-"&amp;MID($B66,5,2)&amp;"-"&amp;RIGHT($B66,2)),Data,MATCH(LEFT(VLOOKUP(P$1,Parameters,2,FALSE()),3)&amp;"*",OFFSET(Data,N(ISNA(MATCH(LEFT(VLOOKUP(P$1,Parameters,2,FALSE()),3)&amp;"*",OFFSET(Data,0,0,1),0))),0,1),0)+3*N(EXACT(P$1,"DFx")),FALSE())),ISTEXT(VLOOKUP(DATEVALUE(LEFT($B66,4)&amp;"-"&amp;MID($B66,5,2)&amp;"-"&amp;RIGHT($B66,2)),Data,MATCH(LEFT(VLOOKUP(P$1,Parameters,2,FALSE()),3)&amp;"*",OFFSET(Data,N(ISNA(MATCH(LEFT(VLOOKUP(P$1,Parameters,2,FALSE()),3)&amp;"*",OFFSET(Data,0,0,1),0))),0,1),0)+3*N(EXACT(P$1,"DFx")),FALSE()))),"—",ROUND(5*(VLOOKUP(DATEVALUE(LEFT($B66,4)&amp;"-"&amp;MID($B66,5,2)&amp;"-"&amp;RIGHT($B66,2)),Data,MATCH(LEFT(VLOOKUP(P$1,Parameters,2,FALSE()),3)&amp;"*",OFFSET(Data,N(ISNA(MATCH(LEFT(VLOOKUP(P$1,Parameters,2,FALSE()),3)&amp;"*",OFFSET(Data,0,0,1),0))),0,1),0)+3*N(EXACT(P$1,"DFx")),FALSE())-320)/90,1))</f>
        <v>—</v>
      </c>
      <c r="Q66" s="15">
        <f t="shared" ref="Q66:Q129" ca="1" si="55">IF(OR(ISBLANK(VLOOKUP(DATEVALUE(LEFT($B66,4)&amp;"-"&amp;MID($B66,5,2)&amp;"-"&amp;RIGHT($B66,2)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66,4)&amp;"-"&amp;MID($B66,5,2)&amp;"-"&amp;RIGHT($B66,2)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66,4)&amp;"-"&amp;MID($B66,5,2)&amp;"-"&amp;RIGHT($B66,2)),OFFSET(Catalogus,0,0,,1),0)),Ok,VLOOKUP(DATEVALUE(LEFT($B66,4)&amp;"-"&amp;MID($B66,5,2)&amp;"-"&amp;RIGHT($B66,2)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66" s="16" t="str">
        <f t="shared" ref="R66:R129" ca="1" si="56">IF(OR(ISBLANK(VLOOKUP(DATEVALUE(LEFT($B66,4)&amp;"-"&amp;MID($B66,5,2)&amp;"-"&amp;RIGHT($B66,2)),Data,MATCH(LEFT(VLOOKUP(R$1,Parameters,2,FALSE()),3)&amp;"*",OFFSET(Data,N(ISNA(MATCH(LEFT(VLOOKUP(R$1,Parameters,2,FALSE()),3)&amp;"*",OFFSET(Data,0,0,1),0))),0,1),0)+3*N(EXACT(R$1,"DFx")),FALSE())),ISTEXT(VLOOKUP(DATEVALUE(LEFT($B66,4)&amp;"-"&amp;MID($B66,5,2)&amp;"-"&amp;RIGHT($B66,2)),Data,MATCH(LEFT(VLOOKUP(R$1,Parameters,2,FALSE()),3)&amp;"*",OFFSET(Data,N(ISNA(MATCH(LEFT(VLOOKUP(R$1,Parameters,2,FALSE()),3)&amp;"*",OFFSET(Data,0,0,1),0))),0,1),0)+3*N(EXACT(R$1,"DFx")),FALSE()))),"—",ROUND(5*(VLOOKUP(DATEVALUE(LEFT($B66,4)&amp;"-"&amp;MID($B66,5,2)&amp;"-"&amp;RIGHT($B66,2)),Data,MATCH(LEFT(VLOOKUP(R$1,Parameters,2,FALSE()),3)&amp;"*",OFFSET(Data,N(ISNA(MATCH(LEFT(VLOOKUP(R$1,Parameters,2,FALSE()),3)&amp;"*",OFFSET(Data,0,0,1),0))),0,1),0)+3*N(EXACT(R$1,"DFx")),FALSE())-320)/90,1))</f>
        <v>—</v>
      </c>
      <c r="S66" s="15">
        <f t="shared" ref="S66:S129" ca="1" si="57">IF(OR(ISBLANK(VLOOKUP(DATEVALUE(LEFT($B66,4)&amp;"-"&amp;MID($B66,5,2)&amp;"-"&amp;RIGHT($B66,2)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66,4)&amp;"-"&amp;MID($B66,5,2)&amp;"-"&amp;RIGHT($B66,2)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66,4)&amp;"-"&amp;MID($B66,5,2)&amp;"-"&amp;RIGHT($B66,2)),OFFSET(Catalogus,0,0,,1),0)),Ok,VLOOKUP(DATEVALUE(LEFT($B66,4)&amp;"-"&amp;MID($B66,5,2)&amp;"-"&amp;RIGHT($B66,2)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66" s="9" t="str">
        <f t="shared" ref="T66:T129" ca="1" si="58">IF(OR(ISBLANK(VLOOKUP(DATEVALUE(LEFT($B66,4)&amp;"-"&amp;MID($B66,5,2)&amp;"-"&amp;RIGHT($B66,2)),Data,MATCH(LEFT(VLOOKUP(T$1,Parameters,2,FALSE()),3)&amp;"*",OFFSET(Data,N(ISNA(MATCH(LEFT(VLOOKUP(T$1,Parameters,2,FALSE()),3)&amp;"*",OFFSET(Data,0,0,1),0))),0,1),0)+3*N(EXACT(T$1,"DFx")),FALSE())),ISTEXT(VLOOKUP(DATEVALUE(LEFT($B66,4)&amp;"-"&amp;MID($B66,5,2)&amp;"-"&amp;RIGHT($B66,2)),Data,MATCH(LEFT(VLOOKUP(T$1,Parameters,2,FALSE()),3)&amp;"*",OFFSET(Data,N(ISNA(MATCH(LEFT(VLOOKUP(T$1,Parameters,2,FALSE()),3)&amp;"*",OFFSET(Data,0,0,1),0))),0,1),0)+3*N(EXACT(T$1,"DFx")),FALSE()))),"—",VLOOKUP(DATEVALUE(LEFT($B66,4)&amp;"-"&amp;MID($B66,5,2)&amp;"-"&amp;RIGHT($B66,2)),Data,MATCH(LEFT(VLOOKUP(T$1,Parameters,2,FALSE()),3)&amp;"*",OFFSET(Data,N(ISNA(MATCH(LEFT(VLOOKUP(T$1,Parameters,2,FALSE()),3)&amp;"*",OFFSET(Data,0,0,1),0))),0,1),0)+3*N(EXACT(T$1,"DFx")),FALSE()))</f>
        <v>—</v>
      </c>
      <c r="U66" s="15">
        <f t="shared" ref="U66:U129" ca="1" si="59">IF(OR(ISBLANK(VLOOKUP(DATEVALUE(LEFT($B66,4)&amp;"-"&amp;MID($B66,5,2)&amp;"-"&amp;RIGHT($B66,2)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66,4)&amp;"-"&amp;MID($B66,5,2)&amp;"-"&amp;RIGHT($B66,2)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66,4)&amp;"-"&amp;MID($B66,5,2)&amp;"-"&amp;RIGHT($B66,2)),OFFSET(Catalogus,0,0,,1),0)),Ok,VLOOKUP(DATEVALUE(LEFT($B66,4)&amp;"-"&amp;MID($B66,5,2)&amp;"-"&amp;RIGHT($B66,2)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66" s="16" t="str">
        <f t="shared" ref="V66:V129" ca="1" si="60">IF(OR(ISBLANK(VLOOKUP(DATEVALUE(LEFT($B66,4)&amp;"-"&amp;MID($B66,5,2)&amp;"-"&amp;RIGHT($B66,2)),Data,MATCH(LEFT(VLOOKUP(V$1,Parameters,2,FALSE()),3)&amp;"*",OFFSET(Data,N(ISNA(MATCH(LEFT(VLOOKUP(V$1,Parameters,2,FALSE()),3)&amp;"*",OFFSET(Data,0,0,1),0))),0,1),0)+3*N(EXACT(V$1,"DFx")),FALSE())),ISTEXT(VLOOKUP(DATEVALUE(LEFT($B66,4)&amp;"-"&amp;MID($B66,5,2)&amp;"-"&amp;RIGHT($B66,2)),Data,MATCH(LEFT(VLOOKUP(V$1,Parameters,2,FALSE()),3)&amp;"*",OFFSET(Data,N(ISNA(MATCH(LEFT(VLOOKUP(V$1,Parameters,2,FALSE()),3)&amp;"*",OFFSET(Data,0,0,1),0))),0,1),0)+3*N(EXACT(V$1,"DFx")),FALSE()))),"—",ROUND(0.0254*VLOOKUP(DATEVALUE(LEFT($B66,4)&amp;"-"&amp;MID($B66,5,2)&amp;"-"&amp;RIGHT($B66,2)),Data,MATCH(LEFT(VLOOKUP(V$1,Parameters,2,FALSE()),3)&amp;"*",OFFSET(Data,N(ISNA(MATCH(LEFT(VLOOKUP(V$1,Parameters,2,FALSE()),3)&amp;"*",OFFSET(Data,0,0,1),0))),0,1),0)+3*N(EXACT(V$1,"DFx")),FALSE()),1))</f>
        <v>—</v>
      </c>
      <c r="W66" s="15">
        <f t="shared" ref="W66:W129" ca="1" si="61">IF(OR(ISBLANK(VLOOKUP(DATEVALUE(LEFT($B66,4)&amp;"-"&amp;MID($B66,5,2)&amp;"-"&amp;RIGHT($B66,2)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66,4)&amp;"-"&amp;MID($B66,5,2)&amp;"-"&amp;RIGHT($B66,2)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66,4)&amp;"-"&amp;MID($B66,5,2)&amp;"-"&amp;RIGHT($B66,2)),OFFSET(Catalogus,0,0,,1),0)),Ok,VLOOKUP(DATEVALUE(LEFT($B66,4)&amp;"-"&amp;MID($B66,5,2)&amp;"-"&amp;RIGHT($B66,2)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66" s="16" t="str">
        <f t="shared" ref="X66:X129" ca="1" si="62">IF(OR(ISBLANK(VLOOKUP(DATEVALUE(LEFT($B66,4)&amp;"-"&amp;MID($B66,5,2)&amp;"-"&amp;RIGHT($B66,2)),Data,MATCH(LEFT(VLOOKUP(X$1,Parameters,2,FALSE()),3)&amp;"*",OFFSET(Data,N(ISNA(MATCH(LEFT(VLOOKUP(X$1,Parameters,2,FALSE()),3)&amp;"*",OFFSET(Data,0,0,1),0))),0,1),0)+3*N(EXACT(X$1,"DFx")),FALSE())),ISTEXT(VLOOKUP(DATEVALUE(LEFT($B66,4)&amp;"-"&amp;MID($B66,5,2)&amp;"-"&amp;RIGHT($B66,2)),Data,MATCH(LEFT(VLOOKUP(X$1,Parameters,2,FALSE()),3)&amp;"*",OFFSET(Data,N(ISNA(MATCH(LEFT(VLOOKUP(X$1,Parameters,2,FALSE()),3)&amp;"*",OFFSET(Data,0,0,1),0))),0,1),0)+3*N(EXACT(X$1,"DFx")),FALSE()))),"—",ROUND(5*(VLOOKUP(DATEVALUE(LEFT($B66,4)&amp;"-"&amp;MID($B66,5,2)&amp;"-"&amp;RIGHT($B66,2)),Data,MATCH(LEFT(VLOOKUP(X$1,Parameters,2,FALSE()),3)&amp;"*",OFFSET(Data,N(ISNA(MATCH(LEFT(VLOOKUP(X$1,Parameters,2,FALSE()),3)&amp;"*",OFFSET(Data,0,0,1),0))),0,1),0)+3*N(EXACT(X$1,"DFx")),FALSE())-320)/90,1))</f>
        <v>—</v>
      </c>
      <c r="Y66" s="15">
        <f t="shared" ref="Y66:Y129" ca="1" si="63">IF(OR(ISBLANK(VLOOKUP(DATEVALUE(LEFT($B66,4)&amp;"-"&amp;MID($B66,5,2)&amp;"-"&amp;RIGHT($B66,2)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66,4)&amp;"-"&amp;MID($B66,5,2)&amp;"-"&amp;RIGHT($B66,2)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66,4)&amp;"-"&amp;MID($B66,5,2)&amp;"-"&amp;RIGHT($B66,2)),OFFSET(Catalogus,0,0,,1),0)),Ok,VLOOKUP(DATEVALUE(LEFT($B66,4)&amp;"-"&amp;MID($B66,5,2)&amp;"-"&amp;RIGHT($B66,2)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7</v>
      </c>
      <c r="Z66" s="16" t="str">
        <f t="shared" ref="Z66:Z129" ca="1" si="64">IF(OR(ISBLANK(VLOOKUP(DATEVALUE(LEFT($B66,4)&amp;"-"&amp;MID($B66,5,2)&amp;"-"&amp;RIGHT($B66,2)),Data,MATCH(LEFT(VLOOKUP(Z$1,Parameters,2,FALSE()),3)&amp;"*",OFFSET(Data,N(ISNA(MATCH(LEFT(VLOOKUP(Z$1,Parameters,2,FALSE()),3)&amp;"*",OFFSET(Data,0,0,1),0))),0,1),0)+3*N(EXACT(Z$1,"DFx")),FALSE())),ISTEXT(VLOOKUP(DATEVALUE(LEFT($B66,4)&amp;"-"&amp;MID($B66,5,2)&amp;"-"&amp;RIGHT($B66,2)),Data,MATCH(LEFT(VLOOKUP(Z$1,Parameters,2,FALSE()),3)&amp;"*",OFFSET(Data,N(ISNA(MATCH(LEFT(VLOOKUP(Z$1,Parameters,2,FALSE()),3)&amp;"*",OFFSET(Data,0,0,1),0))),0,1),0)+3*N(EXACT(Z$1,"DFx")),FALSE()))),"—",ROUND(5*(VLOOKUP(DATEVALUE(LEFT($B66,4)&amp;"-"&amp;MID($B66,5,2)&amp;"-"&amp;RIGHT($B66,2)),Data,MATCH(LEFT(VLOOKUP(Z$1,Parameters,2,FALSE()),3)&amp;"*",OFFSET(Data,N(ISNA(MATCH(LEFT(VLOOKUP(Z$1,Parameters,2,FALSE()),3)&amp;"*",OFFSET(Data,0,0,1),0))),0,1),0)+3*N(EXACT(Z$1,"DFx")),FALSE())-320)/90,1))</f>
        <v>—</v>
      </c>
      <c r="AA66" s="15">
        <f t="shared" ref="AA66:AA129" ca="1" si="65">IF(OR(ISBLANK(VLOOKUP(DATEVALUE(LEFT($B66,4)&amp;"-"&amp;MID($B66,5,2)&amp;"-"&amp;RIGHT($B66,2)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66,4)&amp;"-"&amp;MID($B66,5,2)&amp;"-"&amp;RIGHT($B66,2)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66,4)&amp;"-"&amp;MID($B66,5,2)&amp;"-"&amp;RIGHT($B66,2)),OFFSET(Catalogus,0,0,,1),0)),Ok,VLOOKUP(DATEVALUE(LEFT($B66,4)&amp;"-"&amp;MID($B66,5,2)&amp;"-"&amp;RIGHT($B66,2)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7</v>
      </c>
      <c r="AB66" s="9" t="str">
        <f t="shared" ref="AB66:AB129" ca="1" si="66">IF(OR(ISBLANK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AND(ISTEXT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ISNA(MATCH(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,OFFSET(Windrichting,0,1,,1),0),1))</f>
        <v>—</v>
      </c>
      <c r="AC66" s="15">
        <f t="shared" ref="AC66:AC129" ca="1" si="67">IF(OR(ISBLANK(VLOOKUP(DATEVALUE(LEFT($B66,4)&amp;"-"&amp;MID($B66,5,2)&amp;"-"&amp;RIGHT($B66,2)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ISNA(MATCH(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66,4)&amp;"-"&amp;MID($B66,5,2)&amp;"-"&amp;RIGHT($B66,2)),OFFSET(Catalogus,0,0,,1),0)),Ok,VLOOKUP(DATEVALUE(LEFT($B66,4)&amp;"-"&amp;MID($B66,5,2)&amp;"-"&amp;RIGHT($B66,2)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7</v>
      </c>
      <c r="AD66" s="76" t="str">
        <f t="shared" ref="AD66:AD129" ca="1" si="68">IF(OR(ISBLANK(VLOOKUP(DATEVALUE(LEFT($B66,4)&amp;"-"&amp;MID($B66,5,2)&amp;"-"&amp;RIGHT($B66,2)),Data,MATCH(LEFT(VLOOKUP(AD$1,Parameters,2,FALSE()),3)&amp;"*",OFFSET(Data,N(ISNA(MATCH(LEFT(VLOOKUP(AD$1,Parameters,2,FALSE()),3)&amp;"*",OFFSET(Data,0,0,1),0))),0,1),0)+3*N(EXACT(AD$1,"DFx")),FALSE())),ISTEXT(VLOOKUP(DATEVALUE(LEFT($B66,4)&amp;"-"&amp;MID($B66,5,2)&amp;"-"&amp;RIGHT($B66,2)),Data,MATCH(LEFT(VLOOKUP(AD$1,Parameters,2,FALSE()),3)&amp;"*",OFFSET(Data,N(ISNA(MATCH(LEFT(VLOOKUP(AD$1,Parameters,2,FALSE()),3)&amp;"*",OFFSET(Data,0,0,1),0))),0,1),0)+3*N(EXACT(AD$1,"DFx")),FALSE()))),"—",ROUND(Kts*VLOOKUP(DATEVALUE(LEFT($B66,4)&amp;"-"&amp;MID($B66,5,2)&amp;"-"&amp;RIGHT($B66,2)),Data,MATCH(LEFT(VLOOKUP(AD$1,Parameters,2,FALSE()),3)&amp;"*",OFFSET(Data,N(ISNA(MATCH(LEFT(VLOOKUP(AD$1,Parameters,2,FALSE()),3)&amp;"*",OFFSET(Data,0,0,1),0))),0,1),0)+3*N(EXACT(AD$1,"DFx")),FALSE()),1))</f>
        <v>—</v>
      </c>
      <c r="AE66" s="15">
        <f t="shared" ref="AE66:AE129" ca="1" si="69">IF(OR(ISBLANK(VLOOKUP(DATEVALUE(LEFT($B66,4)&amp;"-"&amp;MID($B66,5,2)&amp;"-"&amp;RIGHT($B66,2)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66,4)&amp;"-"&amp;MID($B66,5,2)&amp;"-"&amp;RIGHT($B66,2)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66,4)&amp;"-"&amp;MID($B66,5,2)&amp;"-"&amp;RIGHT($B66,2)),OFFSET(Catalogus,0,0,,1),0)),Ok,VLOOKUP(DATEVALUE(LEFT($B66,4)&amp;"-"&amp;MID($B66,5,2)&amp;"-"&amp;RIGHT($B66,2)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7</v>
      </c>
      <c r="AF66" s="76" t="str">
        <f t="shared" ref="AF66:AF129" ca="1" si="70">IF(OR(ISBLANK(VLOOKUP(DATEVALUE(LEFT($B66,4)&amp;"-"&amp;MID($B66,5,2)&amp;"-"&amp;RIGHT($B66,2)),Data,MATCH(LEFT(VLOOKUP(AF$1,Parameters,2,FALSE()),3)&amp;"*",OFFSET(Data,N(ISNA(MATCH(LEFT(VLOOKUP(AF$1,Parameters,2,FALSE()),3)&amp;"*",OFFSET(Data,0,0,1),0))),0,1),0)+3*N(EXACT(AF$1,"DFx")),FALSE())),ISTEXT(VLOOKUP(DATEVALUE(LEFT($B66,4)&amp;"-"&amp;MID($B66,5,2)&amp;"-"&amp;RIGHT($B66,2)),Data,MATCH(LEFT(VLOOKUP(AF$1,Parameters,2,FALSE()),3)&amp;"*",OFFSET(Data,N(ISNA(MATCH(LEFT(VLOOKUP(AF$1,Parameters,2,FALSE()),3)&amp;"*",OFFSET(Data,0,0,1),0))),0,1),0)+3*N(EXACT(AF$1,"DFx")),FALSE()))),"—",ROUND(Kts*VLOOKUP(DATEVALUE(LEFT($B66,4)&amp;"-"&amp;MID($B66,5,2)&amp;"-"&amp;RIGHT($B66,2)),Data,MATCH(LEFT(VLOOKUP(AF$1,Parameters,2,FALSE()),3)&amp;"*",OFFSET(Data,N(ISNA(MATCH(LEFT(VLOOKUP(AF$1,Parameters,2,FALSE()),3)&amp;"*",OFFSET(Data,0,0,1),0))),0,1),0)+3*N(EXACT(AF$1,"DFx")),FALSE()),1))</f>
        <v>—</v>
      </c>
      <c r="AG66" s="15">
        <f t="shared" ref="AG66:AG129" ca="1" si="71">IF(OR(ISBLANK(VLOOKUP(DATEVALUE(LEFT($B66,4)&amp;"-"&amp;MID($B66,5,2)&amp;"-"&amp;RIGHT($B66,2)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66,4)&amp;"-"&amp;MID($B66,5,2)&amp;"-"&amp;RIGHT($B66,2)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66,4)&amp;"-"&amp;MID($B66,5,2)&amp;"-"&amp;RIGHT($B66,2)),OFFSET(Catalogus,0,0,,1),0)),Ok,VLOOKUP(DATEVALUE(LEFT($B66,4)&amp;"-"&amp;MID($B66,5,2)&amp;"-"&amp;RIGHT($B66,2)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66" s="9" t="str">
        <f t="shared" ref="AH66:AH129" ca="1" si="72">IF(OR(ISBLANK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AND(ISTEXT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ISNA(MATCH(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66" s="15">
        <f t="shared" ref="AI66:AI129" ca="1" si="73">IF(OR(ISBLANK(VLOOKUP(DATEVALUE(LEFT($B66,4)&amp;"-"&amp;MID($B66,5,2)&amp;"-"&amp;RIGHT($B66,2)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ISNA(MATCH(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66,4)&amp;"-"&amp;MID($B66,5,2)&amp;"-"&amp;RIGHT($B66,2)),OFFSET(Catalogus,0,0,,1),0)),Ok,VLOOKUP(DATEVALUE(LEFT($B66,4)&amp;"-"&amp;MID($B66,5,2)&amp;"-"&amp;RIGHT($B66,2)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66" s="26" t="str">
        <f t="shared" ref="AJ66:AJ129" ca="1" si="74">IF(OR(ISBLANK(VLOOKUP(DATEVALUE(LEFT($B66,4)&amp;"-"&amp;MID($B66,5,2)&amp;"-"&amp;RIGHT($B66,2)),Data,MATCH(LEFT(VLOOKUP(AJ$1,Parameters,2,FALSE()),3)&amp;"*",OFFSET(Data,N(ISNA(MATCH(LEFT(VLOOKUP(AJ$1,Parameters,2,FALSE()),3)&amp;"*",OFFSET(Data,0,0,1),0))),0,1),0)+3*N(EXACT(AJ$1,"DFx")),FALSE())),ISTEXT(VLOOKUP(DATEVALUE(LEFT($B66,4)&amp;"-"&amp;MID($B66,5,2)&amp;"-"&amp;RIGHT($B66,2)),Data,MATCH(LEFT(VLOOKUP(AJ$1,Parameters,2,FALSE()),3)&amp;"*",OFFSET(Data,N(ISNA(MATCH(LEFT(VLOOKUP(AJ$1,Parameters,2,FALSE()),3)&amp;"*",OFFSET(Data,0,0,1),0))),0,1),0)+3*N(EXACT(AJ$1,"DFx")),FALSE()))),"—",VLOOKUP(DATEVALUE(LEFT($B66,4)&amp;"-"&amp;MID($B66,5,2)&amp;"-"&amp;RIGHT($B66,2)),Data,MATCH(LEFT(VLOOKUP(AJ$1,Parameters,2,FALSE()),3)&amp;"*",OFFSET(Data,N(ISNA(MATCH(LEFT(VLOOKUP(AJ$1,Parameters,2,FALSE()),3)&amp;"*",OFFSET(Data,0,0,1),0))),0,1),0)+3*N(EXACT(AJ$1,"DFx")),FALSE()))</f>
        <v>—</v>
      </c>
      <c r="AK66" s="15">
        <f t="shared" ref="AK66:AK129" ca="1" si="75">IF(OR(ISBLANK(VLOOKUP(DATEVALUE(LEFT($B66,4)&amp;"-"&amp;MID($B66,5,2)&amp;"-"&amp;RIGHT($B66,2)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66,4)&amp;"-"&amp;MID($B66,5,2)&amp;"-"&amp;RIGHT($B66,2)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66,4)&amp;"-"&amp;MID($B66,5,2)&amp;"-"&amp;RIGHT($B66,2)),OFFSET(Catalogus,0,0,,1),0)),Ok,VLOOKUP(DATEVALUE(LEFT($B66,4)&amp;"-"&amp;MID($B66,5,2)&amp;"-"&amp;RIGHT($B66,2)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66" s="9" t="str">
        <f t="shared" ref="AL66:AL129" ca="1" si="76">IF(OR(ISBLANK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,AND(ISTEXT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,EXACT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,"—"))),"—",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</f>
        <v>—</v>
      </c>
      <c r="AM66" s="15">
        <f t="shared" ref="AM66:AM129" ca="1" si="77">IF(OR(ISBLANK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,AND(ISTEXT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,EXACT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,"—"))),Lacking,IF(ISNA(MATCH(DATEVALUE(LEFT($B66,4)&amp;"-"&amp;MID($B66,5,2)&amp;"-"&amp;RIGHT($B66,2)),OFFSET(Catalogus,0,0,,1),0)),Ok,VLOOKUP(DATEVALUE(LEFT($B66,4)&amp;"-"&amp;MID($B66,5,2)&amp;"-"&amp;RIGHT($B66,2)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66" s="9" t="str">
        <f t="shared" ref="AN66:AN129" ca="1" si="78">IF(OR(ISBLANK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AND(ISTEXT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ISNA(MATCH(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66" s="15">
        <f t="shared" ref="AO66:AO129" ca="1" si="79">IF(OR(ISBLANK(VLOOKUP(DATEVALUE(LEFT($B66,4)&amp;"-"&amp;MID($B66,5,2)&amp;"-"&amp;RIGHT($B66,2)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ISNA(MATCH(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66,4)&amp;"-"&amp;MID($B66,5,2)&amp;"-"&amp;RIGHT($B66,2)),OFFSET(Catalogus,0,0,,1),0)),Ok,VLOOKUP(DATEVALUE(LEFT($B66,4)&amp;"-"&amp;MID($B66,5,2)&amp;"-"&amp;RIGHT($B66,2)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67" spans="1:41" x14ac:dyDescent="0.25">
      <c r="A67" s="4">
        <f t="shared" si="40"/>
        <v>78989</v>
      </c>
      <c r="B67" t="str">
        <f ca="1">TEXT(DATE(YEAR(Invoer!$A$5),1,1)+ROWS(B$2:B67)-1,"jjjjmmdd")</f>
        <v>19130307</v>
      </c>
      <c r="C67" s="72">
        <f t="shared" si="41"/>
        <v>800</v>
      </c>
      <c r="D67" s="16" t="str">
        <f t="shared" ca="1" si="42"/>
        <v>—</v>
      </c>
      <c r="E67" s="15">
        <f t="shared" ca="1" si="43"/>
        <v>7</v>
      </c>
      <c r="F67" s="73" t="str">
        <f t="shared" ca="1" si="44"/>
        <v>—</v>
      </c>
      <c r="G67" s="15">
        <f t="shared" ca="1" si="45"/>
        <v>7</v>
      </c>
      <c r="H67" s="73" t="str">
        <f t="shared" ca="1" si="46"/>
        <v>—</v>
      </c>
      <c r="I67" s="15">
        <f t="shared" ca="1" si="47"/>
        <v>7</v>
      </c>
      <c r="J67" s="73" t="str">
        <f t="shared" ca="1" si="48"/>
        <v>—</v>
      </c>
      <c r="K67" s="15">
        <f t="shared" ca="1" si="49"/>
        <v>7</v>
      </c>
      <c r="L67" s="16" t="str">
        <f t="shared" ca="1" si="50"/>
        <v>—</v>
      </c>
      <c r="M67" s="15">
        <f t="shared" ca="1" si="51"/>
        <v>7</v>
      </c>
      <c r="N67" s="16" t="str">
        <f t="shared" ca="1" si="52"/>
        <v>—</v>
      </c>
      <c r="O67" s="15">
        <f t="shared" ca="1" si="53"/>
        <v>7</v>
      </c>
      <c r="P67" s="16" t="str">
        <f t="shared" ca="1" si="54"/>
        <v>—</v>
      </c>
      <c r="Q67" s="15">
        <f t="shared" ca="1" si="55"/>
        <v>7</v>
      </c>
      <c r="R67" s="16" t="str">
        <f t="shared" ca="1" si="56"/>
        <v>—</v>
      </c>
      <c r="S67" s="15">
        <f t="shared" ca="1" si="57"/>
        <v>7</v>
      </c>
      <c r="T67" s="9" t="str">
        <f t="shared" ca="1" si="58"/>
        <v>—</v>
      </c>
      <c r="U67" s="15">
        <f t="shared" ca="1" si="59"/>
        <v>7</v>
      </c>
      <c r="V67" s="16" t="str">
        <f t="shared" ca="1" si="60"/>
        <v>—</v>
      </c>
      <c r="W67" s="15">
        <f t="shared" ca="1" si="61"/>
        <v>7</v>
      </c>
      <c r="X67" s="16" t="str">
        <f t="shared" ca="1" si="62"/>
        <v>—</v>
      </c>
      <c r="Y67" s="15">
        <f t="shared" ca="1" si="63"/>
        <v>7</v>
      </c>
      <c r="Z67" s="16" t="str">
        <f t="shared" ca="1" si="64"/>
        <v>—</v>
      </c>
      <c r="AA67" s="15">
        <f t="shared" ca="1" si="65"/>
        <v>7</v>
      </c>
      <c r="AB67" s="9" t="str">
        <f t="shared" ca="1" si="66"/>
        <v>—</v>
      </c>
      <c r="AC67" s="15">
        <f t="shared" ca="1" si="67"/>
        <v>7</v>
      </c>
      <c r="AD67" s="76" t="str">
        <f t="shared" ca="1" si="68"/>
        <v>—</v>
      </c>
      <c r="AE67" s="15">
        <f t="shared" ca="1" si="69"/>
        <v>7</v>
      </c>
      <c r="AF67" s="76" t="str">
        <f t="shared" ca="1" si="70"/>
        <v>—</v>
      </c>
      <c r="AG67" s="15">
        <f t="shared" ca="1" si="71"/>
        <v>7</v>
      </c>
      <c r="AH67" s="9" t="str">
        <f t="shared" ca="1" si="72"/>
        <v>—</v>
      </c>
      <c r="AI67" s="15">
        <f t="shared" ca="1" si="73"/>
        <v>7</v>
      </c>
      <c r="AJ67" s="26" t="str">
        <f t="shared" ca="1" si="74"/>
        <v>—</v>
      </c>
      <c r="AK67" s="15">
        <f t="shared" ca="1" si="75"/>
        <v>7</v>
      </c>
      <c r="AL67" s="9" t="str">
        <f t="shared" ca="1" si="76"/>
        <v>—</v>
      </c>
      <c r="AM67" s="15">
        <f t="shared" ca="1" si="77"/>
        <v>7</v>
      </c>
      <c r="AN67" s="9" t="str">
        <f t="shared" ca="1" si="78"/>
        <v>—</v>
      </c>
      <c r="AO67" s="15">
        <f t="shared" ca="1" si="79"/>
        <v>7</v>
      </c>
    </row>
    <row r="68" spans="1:41" x14ac:dyDescent="0.25">
      <c r="A68" s="4">
        <f t="shared" si="40"/>
        <v>78989</v>
      </c>
      <c r="B68" t="str">
        <f ca="1">TEXT(DATE(YEAR(Invoer!$A$5),1,1)+ROWS(B$2:B68)-1,"jjjjmmdd")</f>
        <v>19130308</v>
      </c>
      <c r="C68" s="72">
        <f t="shared" si="41"/>
        <v>800</v>
      </c>
      <c r="D68" s="16" t="str">
        <f t="shared" ca="1" si="42"/>
        <v>—</v>
      </c>
      <c r="E68" s="15">
        <f t="shared" ca="1" si="43"/>
        <v>7</v>
      </c>
      <c r="F68" s="73" t="str">
        <f t="shared" ca="1" si="44"/>
        <v>—</v>
      </c>
      <c r="G68" s="15">
        <f t="shared" ca="1" si="45"/>
        <v>7</v>
      </c>
      <c r="H68" s="73" t="str">
        <f t="shared" ca="1" si="46"/>
        <v>—</v>
      </c>
      <c r="I68" s="15">
        <f t="shared" ca="1" si="47"/>
        <v>7</v>
      </c>
      <c r="J68" s="73" t="str">
        <f t="shared" ca="1" si="48"/>
        <v>—</v>
      </c>
      <c r="K68" s="15">
        <f t="shared" ca="1" si="49"/>
        <v>7</v>
      </c>
      <c r="L68" s="16" t="str">
        <f t="shared" ca="1" si="50"/>
        <v>—</v>
      </c>
      <c r="M68" s="15">
        <f t="shared" ca="1" si="51"/>
        <v>7</v>
      </c>
      <c r="N68" s="16" t="str">
        <f t="shared" ca="1" si="52"/>
        <v>—</v>
      </c>
      <c r="O68" s="15">
        <f t="shared" ca="1" si="53"/>
        <v>7</v>
      </c>
      <c r="P68" s="16" t="str">
        <f t="shared" ca="1" si="54"/>
        <v>—</v>
      </c>
      <c r="Q68" s="15">
        <f t="shared" ca="1" si="55"/>
        <v>7</v>
      </c>
      <c r="R68" s="16" t="str">
        <f t="shared" ca="1" si="56"/>
        <v>—</v>
      </c>
      <c r="S68" s="15">
        <f t="shared" ca="1" si="57"/>
        <v>7</v>
      </c>
      <c r="T68" s="9" t="str">
        <f t="shared" ca="1" si="58"/>
        <v>—</v>
      </c>
      <c r="U68" s="15">
        <f t="shared" ca="1" si="59"/>
        <v>7</v>
      </c>
      <c r="V68" s="16" t="str">
        <f t="shared" ca="1" si="60"/>
        <v>—</v>
      </c>
      <c r="W68" s="15">
        <f t="shared" ca="1" si="61"/>
        <v>7</v>
      </c>
      <c r="X68" s="16" t="str">
        <f t="shared" ca="1" si="62"/>
        <v>—</v>
      </c>
      <c r="Y68" s="15">
        <f t="shared" ca="1" si="63"/>
        <v>7</v>
      </c>
      <c r="Z68" s="16" t="str">
        <f t="shared" ca="1" si="64"/>
        <v>—</v>
      </c>
      <c r="AA68" s="15">
        <f t="shared" ca="1" si="65"/>
        <v>7</v>
      </c>
      <c r="AB68" s="9" t="str">
        <f t="shared" ca="1" si="66"/>
        <v>—</v>
      </c>
      <c r="AC68" s="15">
        <f t="shared" ca="1" si="67"/>
        <v>7</v>
      </c>
      <c r="AD68" s="76" t="str">
        <f t="shared" ca="1" si="68"/>
        <v>—</v>
      </c>
      <c r="AE68" s="15">
        <f t="shared" ca="1" si="69"/>
        <v>7</v>
      </c>
      <c r="AF68" s="76" t="str">
        <f t="shared" ca="1" si="70"/>
        <v>—</v>
      </c>
      <c r="AG68" s="15">
        <f t="shared" ca="1" si="71"/>
        <v>7</v>
      </c>
      <c r="AH68" s="9" t="str">
        <f t="shared" ca="1" si="72"/>
        <v>—</v>
      </c>
      <c r="AI68" s="15">
        <f t="shared" ca="1" si="73"/>
        <v>7</v>
      </c>
      <c r="AJ68" s="26" t="str">
        <f t="shared" ca="1" si="74"/>
        <v>—</v>
      </c>
      <c r="AK68" s="15">
        <f t="shared" ca="1" si="75"/>
        <v>7</v>
      </c>
      <c r="AL68" s="9" t="str">
        <f t="shared" ca="1" si="76"/>
        <v>—</v>
      </c>
      <c r="AM68" s="15">
        <f t="shared" ca="1" si="77"/>
        <v>7</v>
      </c>
      <c r="AN68" s="9" t="str">
        <f t="shared" ca="1" si="78"/>
        <v>—</v>
      </c>
      <c r="AO68" s="15">
        <f t="shared" ca="1" si="79"/>
        <v>7</v>
      </c>
    </row>
    <row r="69" spans="1:41" x14ac:dyDescent="0.25">
      <c r="A69" s="4">
        <f t="shared" si="40"/>
        <v>78989</v>
      </c>
      <c r="B69" t="str">
        <f ca="1">TEXT(DATE(YEAR(Invoer!$A$5),1,1)+ROWS(B$2:B69)-1,"jjjjmmdd")</f>
        <v>19130309</v>
      </c>
      <c r="C69" s="72">
        <f t="shared" si="41"/>
        <v>800</v>
      </c>
      <c r="D69" s="16" t="str">
        <f t="shared" ca="1" si="42"/>
        <v>—</v>
      </c>
      <c r="E69" s="15">
        <f t="shared" ca="1" si="43"/>
        <v>7</v>
      </c>
      <c r="F69" s="73" t="str">
        <f t="shared" ca="1" si="44"/>
        <v>—</v>
      </c>
      <c r="G69" s="15">
        <f t="shared" ca="1" si="45"/>
        <v>7</v>
      </c>
      <c r="H69" s="73" t="str">
        <f t="shared" ca="1" si="46"/>
        <v>—</v>
      </c>
      <c r="I69" s="15">
        <f t="shared" ca="1" si="47"/>
        <v>7</v>
      </c>
      <c r="J69" s="73" t="str">
        <f t="shared" ca="1" si="48"/>
        <v>—</v>
      </c>
      <c r="K69" s="15">
        <f t="shared" ca="1" si="49"/>
        <v>7</v>
      </c>
      <c r="L69" s="16" t="str">
        <f t="shared" ca="1" si="50"/>
        <v>—</v>
      </c>
      <c r="M69" s="15">
        <f t="shared" ca="1" si="51"/>
        <v>7</v>
      </c>
      <c r="N69" s="16" t="str">
        <f t="shared" ca="1" si="52"/>
        <v>—</v>
      </c>
      <c r="O69" s="15">
        <f t="shared" ca="1" si="53"/>
        <v>7</v>
      </c>
      <c r="P69" s="16" t="str">
        <f t="shared" ca="1" si="54"/>
        <v>—</v>
      </c>
      <c r="Q69" s="15">
        <f t="shared" ca="1" si="55"/>
        <v>7</v>
      </c>
      <c r="R69" s="16" t="str">
        <f t="shared" ca="1" si="56"/>
        <v>—</v>
      </c>
      <c r="S69" s="15">
        <f t="shared" ca="1" si="57"/>
        <v>7</v>
      </c>
      <c r="T69" s="9" t="str">
        <f t="shared" ca="1" si="58"/>
        <v>—</v>
      </c>
      <c r="U69" s="15">
        <f t="shared" ca="1" si="59"/>
        <v>7</v>
      </c>
      <c r="V69" s="16" t="str">
        <f t="shared" ca="1" si="60"/>
        <v>—</v>
      </c>
      <c r="W69" s="15">
        <f t="shared" ca="1" si="61"/>
        <v>7</v>
      </c>
      <c r="X69" s="16" t="str">
        <f t="shared" ca="1" si="62"/>
        <v>—</v>
      </c>
      <c r="Y69" s="15">
        <f t="shared" ca="1" si="63"/>
        <v>7</v>
      </c>
      <c r="Z69" s="16" t="str">
        <f t="shared" ca="1" si="64"/>
        <v>—</v>
      </c>
      <c r="AA69" s="15">
        <f t="shared" ca="1" si="65"/>
        <v>7</v>
      </c>
      <c r="AB69" s="9" t="str">
        <f t="shared" ca="1" si="66"/>
        <v>—</v>
      </c>
      <c r="AC69" s="15">
        <f t="shared" ca="1" si="67"/>
        <v>7</v>
      </c>
      <c r="AD69" s="76" t="str">
        <f t="shared" ca="1" si="68"/>
        <v>—</v>
      </c>
      <c r="AE69" s="15">
        <f t="shared" ca="1" si="69"/>
        <v>7</v>
      </c>
      <c r="AF69" s="76" t="str">
        <f t="shared" ca="1" si="70"/>
        <v>—</v>
      </c>
      <c r="AG69" s="15">
        <f t="shared" ca="1" si="71"/>
        <v>7</v>
      </c>
      <c r="AH69" s="9" t="str">
        <f t="shared" ca="1" si="72"/>
        <v>—</v>
      </c>
      <c r="AI69" s="15">
        <f t="shared" ca="1" si="73"/>
        <v>7</v>
      </c>
      <c r="AJ69" s="26" t="str">
        <f t="shared" ca="1" si="74"/>
        <v>—</v>
      </c>
      <c r="AK69" s="15">
        <f t="shared" ca="1" si="75"/>
        <v>7</v>
      </c>
      <c r="AL69" s="9" t="str">
        <f t="shared" ca="1" si="76"/>
        <v>—</v>
      </c>
      <c r="AM69" s="15">
        <f t="shared" ca="1" si="77"/>
        <v>7</v>
      </c>
      <c r="AN69" s="9" t="str">
        <f t="shared" ca="1" si="78"/>
        <v>—</v>
      </c>
      <c r="AO69" s="15">
        <f t="shared" ca="1" si="79"/>
        <v>7</v>
      </c>
    </row>
    <row r="70" spans="1:41" x14ac:dyDescent="0.25">
      <c r="A70" s="4">
        <f t="shared" si="40"/>
        <v>78989</v>
      </c>
      <c r="B70" t="str">
        <f ca="1">TEXT(DATE(YEAR(Invoer!$A$5),1,1)+ROWS(B$2:B70)-1,"jjjjmmdd")</f>
        <v>19130310</v>
      </c>
      <c r="C70" s="72">
        <f t="shared" si="41"/>
        <v>800</v>
      </c>
      <c r="D70" s="16" t="str">
        <f t="shared" ca="1" si="42"/>
        <v>—</v>
      </c>
      <c r="E70" s="15">
        <f t="shared" ca="1" si="43"/>
        <v>7</v>
      </c>
      <c r="F70" s="73" t="str">
        <f t="shared" ca="1" si="44"/>
        <v>—</v>
      </c>
      <c r="G70" s="15">
        <f t="shared" ca="1" si="45"/>
        <v>7</v>
      </c>
      <c r="H70" s="73" t="str">
        <f t="shared" ca="1" si="46"/>
        <v>—</v>
      </c>
      <c r="I70" s="15">
        <f t="shared" ca="1" si="47"/>
        <v>7</v>
      </c>
      <c r="J70" s="73" t="str">
        <f t="shared" ca="1" si="48"/>
        <v>—</v>
      </c>
      <c r="K70" s="15">
        <f t="shared" ca="1" si="49"/>
        <v>7</v>
      </c>
      <c r="L70" s="16" t="str">
        <f t="shared" ca="1" si="50"/>
        <v>—</v>
      </c>
      <c r="M70" s="15">
        <f t="shared" ca="1" si="51"/>
        <v>7</v>
      </c>
      <c r="N70" s="16" t="str">
        <f t="shared" ca="1" si="52"/>
        <v>—</v>
      </c>
      <c r="O70" s="15">
        <f t="shared" ca="1" si="53"/>
        <v>7</v>
      </c>
      <c r="P70" s="16" t="str">
        <f t="shared" ca="1" si="54"/>
        <v>—</v>
      </c>
      <c r="Q70" s="15">
        <f t="shared" ca="1" si="55"/>
        <v>7</v>
      </c>
      <c r="R70" s="16" t="str">
        <f t="shared" ca="1" si="56"/>
        <v>—</v>
      </c>
      <c r="S70" s="15">
        <f t="shared" ca="1" si="57"/>
        <v>7</v>
      </c>
      <c r="T70" s="9" t="str">
        <f t="shared" ca="1" si="58"/>
        <v>—</v>
      </c>
      <c r="U70" s="15">
        <f t="shared" ca="1" si="59"/>
        <v>7</v>
      </c>
      <c r="V70" s="16" t="str">
        <f t="shared" ca="1" si="60"/>
        <v>—</v>
      </c>
      <c r="W70" s="15">
        <f t="shared" ca="1" si="61"/>
        <v>7</v>
      </c>
      <c r="X70" s="16" t="str">
        <f t="shared" ca="1" si="62"/>
        <v>—</v>
      </c>
      <c r="Y70" s="15">
        <f t="shared" ca="1" si="63"/>
        <v>7</v>
      </c>
      <c r="Z70" s="16" t="str">
        <f t="shared" ca="1" si="64"/>
        <v>—</v>
      </c>
      <c r="AA70" s="15">
        <f t="shared" ca="1" si="65"/>
        <v>7</v>
      </c>
      <c r="AB70" s="9" t="str">
        <f t="shared" ca="1" si="66"/>
        <v>—</v>
      </c>
      <c r="AC70" s="15">
        <f t="shared" ca="1" si="67"/>
        <v>7</v>
      </c>
      <c r="AD70" s="76" t="str">
        <f t="shared" ca="1" si="68"/>
        <v>—</v>
      </c>
      <c r="AE70" s="15">
        <f t="shared" ca="1" si="69"/>
        <v>7</v>
      </c>
      <c r="AF70" s="76" t="str">
        <f t="shared" ca="1" si="70"/>
        <v>—</v>
      </c>
      <c r="AG70" s="15">
        <f t="shared" ca="1" si="71"/>
        <v>7</v>
      </c>
      <c r="AH70" s="9" t="str">
        <f t="shared" ca="1" si="72"/>
        <v>—</v>
      </c>
      <c r="AI70" s="15">
        <f t="shared" ca="1" si="73"/>
        <v>7</v>
      </c>
      <c r="AJ70" s="26" t="str">
        <f t="shared" ca="1" si="74"/>
        <v>—</v>
      </c>
      <c r="AK70" s="15">
        <f t="shared" ca="1" si="75"/>
        <v>7</v>
      </c>
      <c r="AL70" s="9" t="str">
        <f t="shared" ca="1" si="76"/>
        <v>—</v>
      </c>
      <c r="AM70" s="15">
        <f t="shared" ca="1" si="77"/>
        <v>7</v>
      </c>
      <c r="AN70" s="9" t="str">
        <f t="shared" ca="1" si="78"/>
        <v>—</v>
      </c>
      <c r="AO70" s="15">
        <f t="shared" ca="1" si="79"/>
        <v>7</v>
      </c>
    </row>
    <row r="71" spans="1:41" x14ac:dyDescent="0.25">
      <c r="A71" s="4">
        <f t="shared" si="40"/>
        <v>78989</v>
      </c>
      <c r="B71" t="str">
        <f ca="1">TEXT(DATE(YEAR(Invoer!$A$5),1,1)+ROWS(B$2:B71)-1,"jjjjmmdd")</f>
        <v>19130311</v>
      </c>
      <c r="C71" s="72">
        <f t="shared" si="41"/>
        <v>800</v>
      </c>
      <c r="D71" s="16" t="str">
        <f t="shared" ca="1" si="42"/>
        <v>—</v>
      </c>
      <c r="E71" s="15">
        <f t="shared" ca="1" si="43"/>
        <v>7</v>
      </c>
      <c r="F71" s="73" t="str">
        <f t="shared" ca="1" si="44"/>
        <v>—</v>
      </c>
      <c r="G71" s="15">
        <f t="shared" ca="1" si="45"/>
        <v>7</v>
      </c>
      <c r="H71" s="73" t="str">
        <f t="shared" ca="1" si="46"/>
        <v>—</v>
      </c>
      <c r="I71" s="15">
        <f t="shared" ca="1" si="47"/>
        <v>7</v>
      </c>
      <c r="J71" s="73" t="str">
        <f t="shared" ca="1" si="48"/>
        <v>—</v>
      </c>
      <c r="K71" s="15">
        <f t="shared" ca="1" si="49"/>
        <v>7</v>
      </c>
      <c r="L71" s="16" t="str">
        <f t="shared" ca="1" si="50"/>
        <v>—</v>
      </c>
      <c r="M71" s="15">
        <f t="shared" ca="1" si="51"/>
        <v>7</v>
      </c>
      <c r="N71" s="16" t="str">
        <f t="shared" ca="1" si="52"/>
        <v>—</v>
      </c>
      <c r="O71" s="15">
        <f t="shared" ca="1" si="53"/>
        <v>7</v>
      </c>
      <c r="P71" s="16" t="str">
        <f t="shared" ca="1" si="54"/>
        <v>—</v>
      </c>
      <c r="Q71" s="15">
        <f t="shared" ca="1" si="55"/>
        <v>7</v>
      </c>
      <c r="R71" s="16" t="str">
        <f t="shared" ca="1" si="56"/>
        <v>—</v>
      </c>
      <c r="S71" s="15">
        <f t="shared" ca="1" si="57"/>
        <v>7</v>
      </c>
      <c r="T71" s="9" t="str">
        <f t="shared" ca="1" si="58"/>
        <v>—</v>
      </c>
      <c r="U71" s="15">
        <f t="shared" ca="1" si="59"/>
        <v>7</v>
      </c>
      <c r="V71" s="16" t="str">
        <f t="shared" ca="1" si="60"/>
        <v>—</v>
      </c>
      <c r="W71" s="15">
        <f t="shared" ca="1" si="61"/>
        <v>7</v>
      </c>
      <c r="X71" s="16" t="str">
        <f t="shared" ca="1" si="62"/>
        <v>—</v>
      </c>
      <c r="Y71" s="15">
        <f t="shared" ca="1" si="63"/>
        <v>7</v>
      </c>
      <c r="Z71" s="16" t="str">
        <f t="shared" ca="1" si="64"/>
        <v>—</v>
      </c>
      <c r="AA71" s="15">
        <f t="shared" ca="1" si="65"/>
        <v>7</v>
      </c>
      <c r="AB71" s="9" t="str">
        <f t="shared" ca="1" si="66"/>
        <v>—</v>
      </c>
      <c r="AC71" s="15">
        <f t="shared" ca="1" si="67"/>
        <v>7</v>
      </c>
      <c r="AD71" s="76" t="str">
        <f t="shared" ca="1" si="68"/>
        <v>—</v>
      </c>
      <c r="AE71" s="15">
        <f t="shared" ca="1" si="69"/>
        <v>7</v>
      </c>
      <c r="AF71" s="76" t="str">
        <f t="shared" ca="1" si="70"/>
        <v>—</v>
      </c>
      <c r="AG71" s="15">
        <f t="shared" ca="1" si="71"/>
        <v>7</v>
      </c>
      <c r="AH71" s="9" t="str">
        <f t="shared" ca="1" si="72"/>
        <v>—</v>
      </c>
      <c r="AI71" s="15">
        <f t="shared" ca="1" si="73"/>
        <v>7</v>
      </c>
      <c r="AJ71" s="26" t="str">
        <f t="shared" ca="1" si="74"/>
        <v>—</v>
      </c>
      <c r="AK71" s="15">
        <f t="shared" ca="1" si="75"/>
        <v>7</v>
      </c>
      <c r="AL71" s="9" t="str">
        <f t="shared" ca="1" si="76"/>
        <v>—</v>
      </c>
      <c r="AM71" s="15">
        <f t="shared" ca="1" si="77"/>
        <v>7</v>
      </c>
      <c r="AN71" s="9" t="str">
        <f t="shared" ca="1" si="78"/>
        <v>—</v>
      </c>
      <c r="AO71" s="15">
        <f t="shared" ca="1" si="79"/>
        <v>7</v>
      </c>
    </row>
    <row r="72" spans="1:41" x14ac:dyDescent="0.25">
      <c r="A72" s="4">
        <f t="shared" si="40"/>
        <v>78989</v>
      </c>
      <c r="B72" t="str">
        <f ca="1">TEXT(DATE(YEAR(Invoer!$A$5),1,1)+ROWS(B$2:B72)-1,"jjjjmmdd")</f>
        <v>19130312</v>
      </c>
      <c r="C72" s="72">
        <f t="shared" si="41"/>
        <v>800</v>
      </c>
      <c r="D72" s="16" t="str">
        <f t="shared" ca="1" si="42"/>
        <v>—</v>
      </c>
      <c r="E72" s="15">
        <f t="shared" ca="1" si="43"/>
        <v>7</v>
      </c>
      <c r="F72" s="73" t="str">
        <f t="shared" ca="1" si="44"/>
        <v>—</v>
      </c>
      <c r="G72" s="15">
        <f t="shared" ca="1" si="45"/>
        <v>7</v>
      </c>
      <c r="H72" s="73" t="str">
        <f t="shared" ca="1" si="46"/>
        <v>—</v>
      </c>
      <c r="I72" s="15">
        <f t="shared" ca="1" si="47"/>
        <v>7</v>
      </c>
      <c r="J72" s="73" t="str">
        <f t="shared" ca="1" si="48"/>
        <v>—</v>
      </c>
      <c r="K72" s="15">
        <f t="shared" ca="1" si="49"/>
        <v>7</v>
      </c>
      <c r="L72" s="16" t="str">
        <f t="shared" ca="1" si="50"/>
        <v>—</v>
      </c>
      <c r="M72" s="15">
        <f t="shared" ca="1" si="51"/>
        <v>7</v>
      </c>
      <c r="N72" s="16" t="str">
        <f t="shared" ca="1" si="52"/>
        <v>—</v>
      </c>
      <c r="O72" s="15">
        <f t="shared" ca="1" si="53"/>
        <v>7</v>
      </c>
      <c r="P72" s="16" t="str">
        <f t="shared" ca="1" si="54"/>
        <v>—</v>
      </c>
      <c r="Q72" s="15">
        <f t="shared" ca="1" si="55"/>
        <v>7</v>
      </c>
      <c r="R72" s="16" t="str">
        <f t="shared" ca="1" si="56"/>
        <v>—</v>
      </c>
      <c r="S72" s="15">
        <f t="shared" ca="1" si="57"/>
        <v>7</v>
      </c>
      <c r="T72" s="9" t="str">
        <f t="shared" ca="1" si="58"/>
        <v>—</v>
      </c>
      <c r="U72" s="15">
        <f t="shared" ca="1" si="59"/>
        <v>7</v>
      </c>
      <c r="V72" s="16" t="str">
        <f t="shared" ca="1" si="60"/>
        <v>—</v>
      </c>
      <c r="W72" s="15">
        <f t="shared" ca="1" si="61"/>
        <v>7</v>
      </c>
      <c r="X72" s="16" t="str">
        <f t="shared" ca="1" si="62"/>
        <v>—</v>
      </c>
      <c r="Y72" s="15">
        <f t="shared" ca="1" si="63"/>
        <v>7</v>
      </c>
      <c r="Z72" s="16" t="str">
        <f t="shared" ca="1" si="64"/>
        <v>—</v>
      </c>
      <c r="AA72" s="15">
        <f t="shared" ca="1" si="65"/>
        <v>7</v>
      </c>
      <c r="AB72" s="9" t="str">
        <f t="shared" ca="1" si="66"/>
        <v>—</v>
      </c>
      <c r="AC72" s="15">
        <f t="shared" ca="1" si="67"/>
        <v>7</v>
      </c>
      <c r="AD72" s="76" t="str">
        <f t="shared" ca="1" si="68"/>
        <v>—</v>
      </c>
      <c r="AE72" s="15">
        <f t="shared" ca="1" si="69"/>
        <v>7</v>
      </c>
      <c r="AF72" s="76" t="str">
        <f t="shared" ca="1" si="70"/>
        <v>—</v>
      </c>
      <c r="AG72" s="15">
        <f t="shared" ca="1" si="71"/>
        <v>7</v>
      </c>
      <c r="AH72" s="9" t="str">
        <f t="shared" ca="1" si="72"/>
        <v>—</v>
      </c>
      <c r="AI72" s="15">
        <f t="shared" ca="1" si="73"/>
        <v>7</v>
      </c>
      <c r="AJ72" s="26" t="str">
        <f t="shared" ca="1" si="74"/>
        <v>—</v>
      </c>
      <c r="AK72" s="15">
        <f t="shared" ca="1" si="75"/>
        <v>7</v>
      </c>
      <c r="AL72" s="9" t="str">
        <f t="shared" ca="1" si="76"/>
        <v>—</v>
      </c>
      <c r="AM72" s="15">
        <f t="shared" ca="1" si="77"/>
        <v>7</v>
      </c>
      <c r="AN72" s="9" t="str">
        <f t="shared" ca="1" si="78"/>
        <v>—</v>
      </c>
      <c r="AO72" s="15">
        <f t="shared" ca="1" si="79"/>
        <v>7</v>
      </c>
    </row>
    <row r="73" spans="1:41" x14ac:dyDescent="0.25">
      <c r="A73" s="4">
        <f t="shared" si="40"/>
        <v>78989</v>
      </c>
      <c r="B73" t="str">
        <f ca="1">TEXT(DATE(YEAR(Invoer!$A$5),1,1)+ROWS(B$2:B73)-1,"jjjjmmdd")</f>
        <v>19130313</v>
      </c>
      <c r="C73" s="72">
        <f t="shared" si="41"/>
        <v>800</v>
      </c>
      <c r="D73" s="16" t="str">
        <f t="shared" ca="1" si="42"/>
        <v>—</v>
      </c>
      <c r="E73" s="15">
        <f t="shared" ca="1" si="43"/>
        <v>7</v>
      </c>
      <c r="F73" s="73" t="str">
        <f t="shared" ca="1" si="44"/>
        <v>—</v>
      </c>
      <c r="G73" s="15">
        <f t="shared" ca="1" si="45"/>
        <v>7</v>
      </c>
      <c r="H73" s="73" t="str">
        <f t="shared" ca="1" si="46"/>
        <v>—</v>
      </c>
      <c r="I73" s="15">
        <f t="shared" ca="1" si="47"/>
        <v>7</v>
      </c>
      <c r="J73" s="73" t="str">
        <f t="shared" ca="1" si="48"/>
        <v>—</v>
      </c>
      <c r="K73" s="15">
        <f t="shared" ca="1" si="49"/>
        <v>7</v>
      </c>
      <c r="L73" s="16" t="str">
        <f t="shared" ca="1" si="50"/>
        <v>—</v>
      </c>
      <c r="M73" s="15">
        <f t="shared" ca="1" si="51"/>
        <v>7</v>
      </c>
      <c r="N73" s="16" t="str">
        <f t="shared" ca="1" si="52"/>
        <v>—</v>
      </c>
      <c r="O73" s="15">
        <f t="shared" ca="1" si="53"/>
        <v>7</v>
      </c>
      <c r="P73" s="16" t="str">
        <f t="shared" ca="1" si="54"/>
        <v>—</v>
      </c>
      <c r="Q73" s="15">
        <f t="shared" ca="1" si="55"/>
        <v>7</v>
      </c>
      <c r="R73" s="16" t="str">
        <f t="shared" ca="1" si="56"/>
        <v>—</v>
      </c>
      <c r="S73" s="15">
        <f t="shared" ca="1" si="57"/>
        <v>7</v>
      </c>
      <c r="T73" s="9" t="str">
        <f t="shared" ca="1" si="58"/>
        <v>—</v>
      </c>
      <c r="U73" s="15">
        <f t="shared" ca="1" si="59"/>
        <v>7</v>
      </c>
      <c r="V73" s="16" t="str">
        <f t="shared" ca="1" si="60"/>
        <v>—</v>
      </c>
      <c r="W73" s="15">
        <f t="shared" ca="1" si="61"/>
        <v>7</v>
      </c>
      <c r="X73" s="16" t="str">
        <f t="shared" ca="1" si="62"/>
        <v>—</v>
      </c>
      <c r="Y73" s="15">
        <f t="shared" ca="1" si="63"/>
        <v>7</v>
      </c>
      <c r="Z73" s="16" t="str">
        <f t="shared" ca="1" si="64"/>
        <v>—</v>
      </c>
      <c r="AA73" s="15">
        <f t="shared" ca="1" si="65"/>
        <v>7</v>
      </c>
      <c r="AB73" s="9" t="str">
        <f t="shared" ca="1" si="66"/>
        <v>—</v>
      </c>
      <c r="AC73" s="15">
        <f t="shared" ca="1" si="67"/>
        <v>7</v>
      </c>
      <c r="AD73" s="76" t="str">
        <f t="shared" ca="1" si="68"/>
        <v>—</v>
      </c>
      <c r="AE73" s="15">
        <f t="shared" ca="1" si="69"/>
        <v>7</v>
      </c>
      <c r="AF73" s="76" t="str">
        <f t="shared" ca="1" si="70"/>
        <v>—</v>
      </c>
      <c r="AG73" s="15">
        <f t="shared" ca="1" si="71"/>
        <v>7</v>
      </c>
      <c r="AH73" s="9" t="str">
        <f t="shared" ca="1" si="72"/>
        <v>—</v>
      </c>
      <c r="AI73" s="15">
        <f t="shared" ca="1" si="73"/>
        <v>7</v>
      </c>
      <c r="AJ73" s="26" t="str">
        <f t="shared" ca="1" si="74"/>
        <v>—</v>
      </c>
      <c r="AK73" s="15">
        <f t="shared" ca="1" si="75"/>
        <v>7</v>
      </c>
      <c r="AL73" s="9" t="str">
        <f t="shared" ca="1" si="76"/>
        <v>—</v>
      </c>
      <c r="AM73" s="15">
        <f t="shared" ca="1" si="77"/>
        <v>7</v>
      </c>
      <c r="AN73" s="9" t="str">
        <f t="shared" ca="1" si="78"/>
        <v>—</v>
      </c>
      <c r="AO73" s="15">
        <f t="shared" ca="1" si="79"/>
        <v>7</v>
      </c>
    </row>
    <row r="74" spans="1:41" x14ac:dyDescent="0.25">
      <c r="A74" s="4">
        <f t="shared" si="40"/>
        <v>78989</v>
      </c>
      <c r="B74" t="str">
        <f ca="1">TEXT(DATE(YEAR(Invoer!$A$5),1,1)+ROWS(B$2:B74)-1,"jjjjmmdd")</f>
        <v>19130314</v>
      </c>
      <c r="C74" s="72">
        <f t="shared" si="41"/>
        <v>800</v>
      </c>
      <c r="D74" s="16" t="str">
        <f t="shared" ca="1" si="42"/>
        <v>—</v>
      </c>
      <c r="E74" s="15">
        <f t="shared" ca="1" si="43"/>
        <v>7</v>
      </c>
      <c r="F74" s="73" t="str">
        <f t="shared" ca="1" si="44"/>
        <v>—</v>
      </c>
      <c r="G74" s="15">
        <f t="shared" ca="1" si="45"/>
        <v>7</v>
      </c>
      <c r="H74" s="73" t="str">
        <f t="shared" ca="1" si="46"/>
        <v>—</v>
      </c>
      <c r="I74" s="15">
        <f t="shared" ca="1" si="47"/>
        <v>7</v>
      </c>
      <c r="J74" s="73" t="str">
        <f t="shared" ca="1" si="48"/>
        <v>—</v>
      </c>
      <c r="K74" s="15">
        <f t="shared" ca="1" si="49"/>
        <v>7</v>
      </c>
      <c r="L74" s="16" t="str">
        <f t="shared" ca="1" si="50"/>
        <v>—</v>
      </c>
      <c r="M74" s="15">
        <f t="shared" ca="1" si="51"/>
        <v>7</v>
      </c>
      <c r="N74" s="16" t="str">
        <f t="shared" ca="1" si="52"/>
        <v>—</v>
      </c>
      <c r="O74" s="15">
        <f t="shared" ca="1" si="53"/>
        <v>7</v>
      </c>
      <c r="P74" s="16" t="str">
        <f t="shared" ca="1" si="54"/>
        <v>—</v>
      </c>
      <c r="Q74" s="15">
        <f t="shared" ca="1" si="55"/>
        <v>7</v>
      </c>
      <c r="R74" s="16" t="str">
        <f t="shared" ca="1" si="56"/>
        <v>—</v>
      </c>
      <c r="S74" s="15">
        <f t="shared" ca="1" si="57"/>
        <v>7</v>
      </c>
      <c r="T74" s="9" t="str">
        <f t="shared" ca="1" si="58"/>
        <v>—</v>
      </c>
      <c r="U74" s="15">
        <f t="shared" ca="1" si="59"/>
        <v>7</v>
      </c>
      <c r="V74" s="16" t="str">
        <f t="shared" ca="1" si="60"/>
        <v>—</v>
      </c>
      <c r="W74" s="15">
        <f t="shared" ca="1" si="61"/>
        <v>7</v>
      </c>
      <c r="X74" s="16" t="str">
        <f t="shared" ca="1" si="62"/>
        <v>—</v>
      </c>
      <c r="Y74" s="15">
        <f t="shared" ca="1" si="63"/>
        <v>7</v>
      </c>
      <c r="Z74" s="16" t="str">
        <f t="shared" ca="1" si="64"/>
        <v>—</v>
      </c>
      <c r="AA74" s="15">
        <f t="shared" ca="1" si="65"/>
        <v>7</v>
      </c>
      <c r="AB74" s="9" t="str">
        <f t="shared" ca="1" si="66"/>
        <v>—</v>
      </c>
      <c r="AC74" s="15">
        <f t="shared" ca="1" si="67"/>
        <v>7</v>
      </c>
      <c r="AD74" s="76" t="str">
        <f t="shared" ca="1" si="68"/>
        <v>—</v>
      </c>
      <c r="AE74" s="15">
        <f t="shared" ca="1" si="69"/>
        <v>7</v>
      </c>
      <c r="AF74" s="76" t="str">
        <f t="shared" ca="1" si="70"/>
        <v>—</v>
      </c>
      <c r="AG74" s="15">
        <f t="shared" ca="1" si="71"/>
        <v>7</v>
      </c>
      <c r="AH74" s="9" t="str">
        <f t="shared" ca="1" si="72"/>
        <v>—</v>
      </c>
      <c r="AI74" s="15">
        <f t="shared" ca="1" si="73"/>
        <v>7</v>
      </c>
      <c r="AJ74" s="26" t="str">
        <f t="shared" ca="1" si="74"/>
        <v>—</v>
      </c>
      <c r="AK74" s="15">
        <f t="shared" ca="1" si="75"/>
        <v>7</v>
      </c>
      <c r="AL74" s="9" t="str">
        <f t="shared" ca="1" si="76"/>
        <v>—</v>
      </c>
      <c r="AM74" s="15">
        <f t="shared" ca="1" si="77"/>
        <v>7</v>
      </c>
      <c r="AN74" s="9" t="str">
        <f t="shared" ca="1" si="78"/>
        <v>—</v>
      </c>
      <c r="AO74" s="15">
        <f t="shared" ca="1" si="79"/>
        <v>7</v>
      </c>
    </row>
    <row r="75" spans="1:41" x14ac:dyDescent="0.25">
      <c r="A75" s="4">
        <f t="shared" si="40"/>
        <v>78989</v>
      </c>
      <c r="B75" t="str">
        <f ca="1">TEXT(DATE(YEAR(Invoer!$A$5),1,1)+ROWS(B$2:B75)-1,"jjjjmmdd")</f>
        <v>19130315</v>
      </c>
      <c r="C75" s="72">
        <f t="shared" si="41"/>
        <v>800</v>
      </c>
      <c r="D75" s="16" t="str">
        <f t="shared" ca="1" si="42"/>
        <v>—</v>
      </c>
      <c r="E75" s="15">
        <f t="shared" ca="1" si="43"/>
        <v>7</v>
      </c>
      <c r="F75" s="73" t="str">
        <f t="shared" ca="1" si="44"/>
        <v>—</v>
      </c>
      <c r="G75" s="15">
        <f t="shared" ca="1" si="45"/>
        <v>7</v>
      </c>
      <c r="H75" s="73" t="str">
        <f t="shared" ca="1" si="46"/>
        <v>—</v>
      </c>
      <c r="I75" s="15">
        <f t="shared" ca="1" si="47"/>
        <v>7</v>
      </c>
      <c r="J75" s="73" t="str">
        <f t="shared" ca="1" si="48"/>
        <v>—</v>
      </c>
      <c r="K75" s="15">
        <f t="shared" ca="1" si="49"/>
        <v>7</v>
      </c>
      <c r="L75" s="16" t="str">
        <f t="shared" ca="1" si="50"/>
        <v>—</v>
      </c>
      <c r="M75" s="15">
        <f t="shared" ca="1" si="51"/>
        <v>7</v>
      </c>
      <c r="N75" s="16" t="str">
        <f t="shared" ca="1" si="52"/>
        <v>—</v>
      </c>
      <c r="O75" s="15">
        <f t="shared" ca="1" si="53"/>
        <v>7</v>
      </c>
      <c r="P75" s="16" t="str">
        <f t="shared" ca="1" si="54"/>
        <v>—</v>
      </c>
      <c r="Q75" s="15">
        <f t="shared" ca="1" si="55"/>
        <v>7</v>
      </c>
      <c r="R75" s="16" t="str">
        <f t="shared" ca="1" si="56"/>
        <v>—</v>
      </c>
      <c r="S75" s="15">
        <f t="shared" ca="1" si="57"/>
        <v>7</v>
      </c>
      <c r="T75" s="9" t="str">
        <f t="shared" ca="1" si="58"/>
        <v>—</v>
      </c>
      <c r="U75" s="15">
        <f t="shared" ca="1" si="59"/>
        <v>7</v>
      </c>
      <c r="V75" s="16" t="str">
        <f t="shared" ca="1" si="60"/>
        <v>—</v>
      </c>
      <c r="W75" s="15">
        <f t="shared" ca="1" si="61"/>
        <v>7</v>
      </c>
      <c r="X75" s="16" t="str">
        <f t="shared" ca="1" si="62"/>
        <v>—</v>
      </c>
      <c r="Y75" s="15">
        <f t="shared" ca="1" si="63"/>
        <v>7</v>
      </c>
      <c r="Z75" s="16" t="str">
        <f t="shared" ca="1" si="64"/>
        <v>—</v>
      </c>
      <c r="AA75" s="15">
        <f t="shared" ca="1" si="65"/>
        <v>7</v>
      </c>
      <c r="AB75" s="9" t="str">
        <f t="shared" ca="1" si="66"/>
        <v>—</v>
      </c>
      <c r="AC75" s="15">
        <f t="shared" ca="1" si="67"/>
        <v>7</v>
      </c>
      <c r="AD75" s="76" t="str">
        <f t="shared" ca="1" si="68"/>
        <v>—</v>
      </c>
      <c r="AE75" s="15">
        <f t="shared" ca="1" si="69"/>
        <v>7</v>
      </c>
      <c r="AF75" s="76" t="str">
        <f t="shared" ca="1" si="70"/>
        <v>—</v>
      </c>
      <c r="AG75" s="15">
        <f t="shared" ca="1" si="71"/>
        <v>7</v>
      </c>
      <c r="AH75" s="9" t="str">
        <f t="shared" ca="1" si="72"/>
        <v>—</v>
      </c>
      <c r="AI75" s="15">
        <f t="shared" ca="1" si="73"/>
        <v>7</v>
      </c>
      <c r="AJ75" s="26" t="str">
        <f t="shared" ca="1" si="74"/>
        <v>—</v>
      </c>
      <c r="AK75" s="15">
        <f t="shared" ca="1" si="75"/>
        <v>7</v>
      </c>
      <c r="AL75" s="9" t="str">
        <f t="shared" ca="1" si="76"/>
        <v>—</v>
      </c>
      <c r="AM75" s="15">
        <f t="shared" ca="1" si="77"/>
        <v>7</v>
      </c>
      <c r="AN75" s="9" t="str">
        <f t="shared" ca="1" si="78"/>
        <v>—</v>
      </c>
      <c r="AO75" s="15">
        <f t="shared" ca="1" si="79"/>
        <v>7</v>
      </c>
    </row>
    <row r="76" spans="1:41" x14ac:dyDescent="0.25">
      <c r="A76" s="4">
        <f t="shared" si="40"/>
        <v>78989</v>
      </c>
      <c r="B76" t="str">
        <f ca="1">TEXT(DATE(YEAR(Invoer!$A$5),1,1)+ROWS(B$2:B76)-1,"jjjjmmdd")</f>
        <v>19130316</v>
      </c>
      <c r="C76" s="72">
        <f t="shared" si="41"/>
        <v>800</v>
      </c>
      <c r="D76" s="16" t="str">
        <f t="shared" ca="1" si="42"/>
        <v>—</v>
      </c>
      <c r="E76" s="15">
        <f t="shared" ca="1" si="43"/>
        <v>7</v>
      </c>
      <c r="F76" s="73" t="str">
        <f t="shared" ca="1" si="44"/>
        <v>—</v>
      </c>
      <c r="G76" s="15">
        <f t="shared" ca="1" si="45"/>
        <v>7</v>
      </c>
      <c r="H76" s="73" t="str">
        <f t="shared" ca="1" si="46"/>
        <v>—</v>
      </c>
      <c r="I76" s="15">
        <f t="shared" ca="1" si="47"/>
        <v>7</v>
      </c>
      <c r="J76" s="73" t="str">
        <f t="shared" ca="1" si="48"/>
        <v>—</v>
      </c>
      <c r="K76" s="15">
        <f t="shared" ca="1" si="49"/>
        <v>7</v>
      </c>
      <c r="L76" s="16" t="str">
        <f t="shared" ca="1" si="50"/>
        <v>—</v>
      </c>
      <c r="M76" s="15">
        <f t="shared" ca="1" si="51"/>
        <v>7</v>
      </c>
      <c r="N76" s="16" t="str">
        <f t="shared" ca="1" si="52"/>
        <v>—</v>
      </c>
      <c r="O76" s="15">
        <f t="shared" ca="1" si="53"/>
        <v>7</v>
      </c>
      <c r="P76" s="16" t="str">
        <f t="shared" ca="1" si="54"/>
        <v>—</v>
      </c>
      <c r="Q76" s="15">
        <f t="shared" ca="1" si="55"/>
        <v>7</v>
      </c>
      <c r="R76" s="16" t="str">
        <f t="shared" ca="1" si="56"/>
        <v>—</v>
      </c>
      <c r="S76" s="15">
        <f t="shared" ca="1" si="57"/>
        <v>7</v>
      </c>
      <c r="T76" s="9" t="str">
        <f t="shared" ca="1" si="58"/>
        <v>—</v>
      </c>
      <c r="U76" s="15">
        <f t="shared" ca="1" si="59"/>
        <v>7</v>
      </c>
      <c r="V76" s="16" t="str">
        <f t="shared" ca="1" si="60"/>
        <v>—</v>
      </c>
      <c r="W76" s="15">
        <f t="shared" ca="1" si="61"/>
        <v>7</v>
      </c>
      <c r="X76" s="16" t="str">
        <f t="shared" ca="1" si="62"/>
        <v>—</v>
      </c>
      <c r="Y76" s="15">
        <f t="shared" ca="1" si="63"/>
        <v>7</v>
      </c>
      <c r="Z76" s="16" t="str">
        <f t="shared" ca="1" si="64"/>
        <v>—</v>
      </c>
      <c r="AA76" s="15">
        <f t="shared" ca="1" si="65"/>
        <v>7</v>
      </c>
      <c r="AB76" s="9" t="str">
        <f t="shared" ca="1" si="66"/>
        <v>—</v>
      </c>
      <c r="AC76" s="15">
        <f t="shared" ca="1" si="67"/>
        <v>7</v>
      </c>
      <c r="AD76" s="76" t="str">
        <f t="shared" ca="1" si="68"/>
        <v>—</v>
      </c>
      <c r="AE76" s="15">
        <f t="shared" ca="1" si="69"/>
        <v>7</v>
      </c>
      <c r="AF76" s="76" t="str">
        <f t="shared" ca="1" si="70"/>
        <v>—</v>
      </c>
      <c r="AG76" s="15">
        <f t="shared" ca="1" si="71"/>
        <v>7</v>
      </c>
      <c r="AH76" s="9" t="str">
        <f t="shared" ca="1" si="72"/>
        <v>—</v>
      </c>
      <c r="AI76" s="15">
        <f t="shared" ca="1" si="73"/>
        <v>7</v>
      </c>
      <c r="AJ76" s="26" t="str">
        <f t="shared" ca="1" si="74"/>
        <v>—</v>
      </c>
      <c r="AK76" s="15">
        <f t="shared" ca="1" si="75"/>
        <v>7</v>
      </c>
      <c r="AL76" s="9" t="str">
        <f t="shared" ca="1" si="76"/>
        <v>—</v>
      </c>
      <c r="AM76" s="15">
        <f t="shared" ca="1" si="77"/>
        <v>7</v>
      </c>
      <c r="AN76" s="9" t="str">
        <f t="shared" ca="1" si="78"/>
        <v>—</v>
      </c>
      <c r="AO76" s="15">
        <f t="shared" ca="1" si="79"/>
        <v>7</v>
      </c>
    </row>
    <row r="77" spans="1:41" x14ac:dyDescent="0.25">
      <c r="A77" s="4">
        <f t="shared" si="40"/>
        <v>78989</v>
      </c>
      <c r="B77" t="str">
        <f ca="1">TEXT(DATE(YEAR(Invoer!$A$5),1,1)+ROWS(B$2:B77)-1,"jjjjmmdd")</f>
        <v>19130317</v>
      </c>
      <c r="C77" s="72">
        <f t="shared" si="41"/>
        <v>800</v>
      </c>
      <c r="D77" s="16" t="str">
        <f t="shared" ca="1" si="42"/>
        <v>—</v>
      </c>
      <c r="E77" s="15">
        <f t="shared" ca="1" si="43"/>
        <v>7</v>
      </c>
      <c r="F77" s="73" t="str">
        <f t="shared" ca="1" si="44"/>
        <v>—</v>
      </c>
      <c r="G77" s="15">
        <f t="shared" ca="1" si="45"/>
        <v>7</v>
      </c>
      <c r="H77" s="73" t="str">
        <f t="shared" ca="1" si="46"/>
        <v>—</v>
      </c>
      <c r="I77" s="15">
        <f t="shared" ca="1" si="47"/>
        <v>7</v>
      </c>
      <c r="J77" s="73" t="str">
        <f t="shared" ca="1" si="48"/>
        <v>—</v>
      </c>
      <c r="K77" s="15">
        <f t="shared" ca="1" si="49"/>
        <v>7</v>
      </c>
      <c r="L77" s="16" t="str">
        <f t="shared" ca="1" si="50"/>
        <v>—</v>
      </c>
      <c r="M77" s="15">
        <f t="shared" ca="1" si="51"/>
        <v>7</v>
      </c>
      <c r="N77" s="16" t="str">
        <f t="shared" ca="1" si="52"/>
        <v>—</v>
      </c>
      <c r="O77" s="15">
        <f t="shared" ca="1" si="53"/>
        <v>7</v>
      </c>
      <c r="P77" s="16" t="str">
        <f t="shared" ca="1" si="54"/>
        <v>—</v>
      </c>
      <c r="Q77" s="15">
        <f t="shared" ca="1" si="55"/>
        <v>7</v>
      </c>
      <c r="R77" s="16" t="str">
        <f t="shared" ca="1" si="56"/>
        <v>—</v>
      </c>
      <c r="S77" s="15">
        <f t="shared" ca="1" si="57"/>
        <v>7</v>
      </c>
      <c r="T77" s="9" t="str">
        <f t="shared" ca="1" si="58"/>
        <v>—</v>
      </c>
      <c r="U77" s="15">
        <f t="shared" ca="1" si="59"/>
        <v>7</v>
      </c>
      <c r="V77" s="16" t="str">
        <f t="shared" ca="1" si="60"/>
        <v>—</v>
      </c>
      <c r="W77" s="15">
        <f t="shared" ca="1" si="61"/>
        <v>7</v>
      </c>
      <c r="X77" s="16" t="str">
        <f t="shared" ca="1" si="62"/>
        <v>—</v>
      </c>
      <c r="Y77" s="15">
        <f t="shared" ca="1" si="63"/>
        <v>7</v>
      </c>
      <c r="Z77" s="16" t="str">
        <f t="shared" ca="1" si="64"/>
        <v>—</v>
      </c>
      <c r="AA77" s="15">
        <f t="shared" ca="1" si="65"/>
        <v>7</v>
      </c>
      <c r="AB77" s="9" t="str">
        <f t="shared" ca="1" si="66"/>
        <v>—</v>
      </c>
      <c r="AC77" s="15">
        <f t="shared" ca="1" si="67"/>
        <v>7</v>
      </c>
      <c r="AD77" s="76" t="str">
        <f t="shared" ca="1" si="68"/>
        <v>—</v>
      </c>
      <c r="AE77" s="15">
        <f t="shared" ca="1" si="69"/>
        <v>7</v>
      </c>
      <c r="AF77" s="76" t="str">
        <f t="shared" ca="1" si="70"/>
        <v>—</v>
      </c>
      <c r="AG77" s="15">
        <f t="shared" ca="1" si="71"/>
        <v>7</v>
      </c>
      <c r="AH77" s="9" t="str">
        <f t="shared" ca="1" si="72"/>
        <v>—</v>
      </c>
      <c r="AI77" s="15">
        <f t="shared" ca="1" si="73"/>
        <v>7</v>
      </c>
      <c r="AJ77" s="26" t="str">
        <f t="shared" ca="1" si="74"/>
        <v>—</v>
      </c>
      <c r="AK77" s="15">
        <f t="shared" ca="1" si="75"/>
        <v>7</v>
      </c>
      <c r="AL77" s="9" t="str">
        <f t="shared" ca="1" si="76"/>
        <v>—</v>
      </c>
      <c r="AM77" s="15">
        <f t="shared" ca="1" si="77"/>
        <v>7</v>
      </c>
      <c r="AN77" s="9" t="str">
        <f t="shared" ca="1" si="78"/>
        <v>—</v>
      </c>
      <c r="AO77" s="15">
        <f t="shared" ca="1" si="79"/>
        <v>7</v>
      </c>
    </row>
    <row r="78" spans="1:41" x14ac:dyDescent="0.25">
      <c r="A78" s="4">
        <f t="shared" si="40"/>
        <v>78989</v>
      </c>
      <c r="B78" t="str">
        <f ca="1">TEXT(DATE(YEAR(Invoer!$A$5),1,1)+ROWS(B$2:B78)-1,"jjjjmmdd")</f>
        <v>19130318</v>
      </c>
      <c r="C78" s="72">
        <f t="shared" si="41"/>
        <v>800</v>
      </c>
      <c r="D78" s="16" t="str">
        <f t="shared" ca="1" si="42"/>
        <v>—</v>
      </c>
      <c r="E78" s="15">
        <f t="shared" ca="1" si="43"/>
        <v>7</v>
      </c>
      <c r="F78" s="73" t="str">
        <f t="shared" ca="1" si="44"/>
        <v>—</v>
      </c>
      <c r="G78" s="15">
        <f t="shared" ca="1" si="45"/>
        <v>7</v>
      </c>
      <c r="H78" s="73" t="str">
        <f t="shared" ca="1" si="46"/>
        <v>—</v>
      </c>
      <c r="I78" s="15">
        <f t="shared" ca="1" si="47"/>
        <v>7</v>
      </c>
      <c r="J78" s="73" t="str">
        <f t="shared" ca="1" si="48"/>
        <v>—</v>
      </c>
      <c r="K78" s="15">
        <f t="shared" ca="1" si="49"/>
        <v>7</v>
      </c>
      <c r="L78" s="16" t="str">
        <f t="shared" ca="1" si="50"/>
        <v>—</v>
      </c>
      <c r="M78" s="15">
        <f t="shared" ca="1" si="51"/>
        <v>7</v>
      </c>
      <c r="N78" s="16" t="str">
        <f t="shared" ca="1" si="52"/>
        <v>—</v>
      </c>
      <c r="O78" s="15">
        <f t="shared" ca="1" si="53"/>
        <v>7</v>
      </c>
      <c r="P78" s="16" t="str">
        <f t="shared" ca="1" si="54"/>
        <v>—</v>
      </c>
      <c r="Q78" s="15">
        <f t="shared" ca="1" si="55"/>
        <v>7</v>
      </c>
      <c r="R78" s="16" t="str">
        <f t="shared" ca="1" si="56"/>
        <v>—</v>
      </c>
      <c r="S78" s="15">
        <f t="shared" ca="1" si="57"/>
        <v>7</v>
      </c>
      <c r="T78" s="9" t="str">
        <f t="shared" ca="1" si="58"/>
        <v>—</v>
      </c>
      <c r="U78" s="15">
        <f t="shared" ca="1" si="59"/>
        <v>7</v>
      </c>
      <c r="V78" s="16" t="str">
        <f t="shared" ca="1" si="60"/>
        <v>—</v>
      </c>
      <c r="W78" s="15">
        <f t="shared" ca="1" si="61"/>
        <v>7</v>
      </c>
      <c r="X78" s="16" t="str">
        <f t="shared" ca="1" si="62"/>
        <v>—</v>
      </c>
      <c r="Y78" s="15">
        <f t="shared" ca="1" si="63"/>
        <v>7</v>
      </c>
      <c r="Z78" s="16" t="str">
        <f t="shared" ca="1" si="64"/>
        <v>—</v>
      </c>
      <c r="AA78" s="15">
        <f t="shared" ca="1" si="65"/>
        <v>7</v>
      </c>
      <c r="AB78" s="9" t="str">
        <f t="shared" ca="1" si="66"/>
        <v>—</v>
      </c>
      <c r="AC78" s="15">
        <f t="shared" ca="1" si="67"/>
        <v>7</v>
      </c>
      <c r="AD78" s="76" t="str">
        <f t="shared" ca="1" si="68"/>
        <v>—</v>
      </c>
      <c r="AE78" s="15">
        <f t="shared" ca="1" si="69"/>
        <v>7</v>
      </c>
      <c r="AF78" s="76" t="str">
        <f t="shared" ca="1" si="70"/>
        <v>—</v>
      </c>
      <c r="AG78" s="15">
        <f t="shared" ca="1" si="71"/>
        <v>7</v>
      </c>
      <c r="AH78" s="9" t="str">
        <f t="shared" ca="1" si="72"/>
        <v>—</v>
      </c>
      <c r="AI78" s="15">
        <f t="shared" ca="1" si="73"/>
        <v>7</v>
      </c>
      <c r="AJ78" s="26" t="str">
        <f t="shared" ca="1" si="74"/>
        <v>—</v>
      </c>
      <c r="AK78" s="15">
        <f t="shared" ca="1" si="75"/>
        <v>7</v>
      </c>
      <c r="AL78" s="9" t="str">
        <f t="shared" ca="1" si="76"/>
        <v>—</v>
      </c>
      <c r="AM78" s="15">
        <f t="shared" ca="1" si="77"/>
        <v>7</v>
      </c>
      <c r="AN78" s="9" t="str">
        <f t="shared" ca="1" si="78"/>
        <v>—</v>
      </c>
      <c r="AO78" s="15">
        <f t="shared" ca="1" si="79"/>
        <v>7</v>
      </c>
    </row>
    <row r="79" spans="1:41" x14ac:dyDescent="0.25">
      <c r="A79" s="4">
        <f t="shared" si="40"/>
        <v>78989</v>
      </c>
      <c r="B79" t="str">
        <f ca="1">TEXT(DATE(YEAR(Invoer!$A$5),1,1)+ROWS(B$2:B79)-1,"jjjjmmdd")</f>
        <v>19130319</v>
      </c>
      <c r="C79" s="72">
        <f t="shared" si="41"/>
        <v>800</v>
      </c>
      <c r="D79" s="16" t="str">
        <f t="shared" ca="1" si="42"/>
        <v>—</v>
      </c>
      <c r="E79" s="15">
        <f t="shared" ca="1" si="43"/>
        <v>7</v>
      </c>
      <c r="F79" s="73" t="str">
        <f t="shared" ca="1" si="44"/>
        <v>—</v>
      </c>
      <c r="G79" s="15">
        <f t="shared" ca="1" si="45"/>
        <v>7</v>
      </c>
      <c r="H79" s="73" t="str">
        <f t="shared" ca="1" si="46"/>
        <v>—</v>
      </c>
      <c r="I79" s="15">
        <f t="shared" ca="1" si="47"/>
        <v>7</v>
      </c>
      <c r="J79" s="73" t="str">
        <f t="shared" ca="1" si="48"/>
        <v>—</v>
      </c>
      <c r="K79" s="15">
        <f t="shared" ca="1" si="49"/>
        <v>7</v>
      </c>
      <c r="L79" s="16" t="str">
        <f t="shared" ca="1" si="50"/>
        <v>—</v>
      </c>
      <c r="M79" s="15">
        <f t="shared" ca="1" si="51"/>
        <v>7</v>
      </c>
      <c r="N79" s="16" t="str">
        <f t="shared" ca="1" si="52"/>
        <v>—</v>
      </c>
      <c r="O79" s="15">
        <f t="shared" ca="1" si="53"/>
        <v>7</v>
      </c>
      <c r="P79" s="16" t="str">
        <f t="shared" ca="1" si="54"/>
        <v>—</v>
      </c>
      <c r="Q79" s="15">
        <f t="shared" ca="1" si="55"/>
        <v>7</v>
      </c>
      <c r="R79" s="16" t="str">
        <f t="shared" ca="1" si="56"/>
        <v>—</v>
      </c>
      <c r="S79" s="15">
        <f t="shared" ca="1" si="57"/>
        <v>7</v>
      </c>
      <c r="T79" s="9" t="str">
        <f t="shared" ca="1" si="58"/>
        <v>—</v>
      </c>
      <c r="U79" s="15">
        <f t="shared" ca="1" si="59"/>
        <v>7</v>
      </c>
      <c r="V79" s="16" t="str">
        <f t="shared" ca="1" si="60"/>
        <v>—</v>
      </c>
      <c r="W79" s="15">
        <f t="shared" ca="1" si="61"/>
        <v>7</v>
      </c>
      <c r="X79" s="16" t="str">
        <f t="shared" ca="1" si="62"/>
        <v>—</v>
      </c>
      <c r="Y79" s="15">
        <f t="shared" ca="1" si="63"/>
        <v>7</v>
      </c>
      <c r="Z79" s="16" t="str">
        <f t="shared" ca="1" si="64"/>
        <v>—</v>
      </c>
      <c r="AA79" s="15">
        <f t="shared" ca="1" si="65"/>
        <v>7</v>
      </c>
      <c r="AB79" s="9" t="str">
        <f t="shared" ca="1" si="66"/>
        <v>—</v>
      </c>
      <c r="AC79" s="15">
        <f t="shared" ca="1" si="67"/>
        <v>7</v>
      </c>
      <c r="AD79" s="76" t="str">
        <f t="shared" ca="1" si="68"/>
        <v>—</v>
      </c>
      <c r="AE79" s="15">
        <f t="shared" ca="1" si="69"/>
        <v>7</v>
      </c>
      <c r="AF79" s="76" t="str">
        <f t="shared" ca="1" si="70"/>
        <v>—</v>
      </c>
      <c r="AG79" s="15">
        <f t="shared" ca="1" si="71"/>
        <v>7</v>
      </c>
      <c r="AH79" s="9" t="str">
        <f t="shared" ca="1" si="72"/>
        <v>—</v>
      </c>
      <c r="AI79" s="15">
        <f t="shared" ca="1" si="73"/>
        <v>7</v>
      </c>
      <c r="AJ79" s="26" t="str">
        <f t="shared" ca="1" si="74"/>
        <v>—</v>
      </c>
      <c r="AK79" s="15">
        <f t="shared" ca="1" si="75"/>
        <v>7</v>
      </c>
      <c r="AL79" s="9" t="str">
        <f t="shared" ca="1" si="76"/>
        <v>—</v>
      </c>
      <c r="AM79" s="15">
        <f t="shared" ca="1" si="77"/>
        <v>7</v>
      </c>
      <c r="AN79" s="9" t="str">
        <f t="shared" ca="1" si="78"/>
        <v>—</v>
      </c>
      <c r="AO79" s="15">
        <f t="shared" ca="1" si="79"/>
        <v>7</v>
      </c>
    </row>
    <row r="80" spans="1:41" x14ac:dyDescent="0.25">
      <c r="A80" s="4">
        <f t="shared" si="40"/>
        <v>78989</v>
      </c>
      <c r="B80" t="str">
        <f ca="1">TEXT(DATE(YEAR(Invoer!$A$5),1,1)+ROWS(B$2:B80)-1,"jjjjmmdd")</f>
        <v>19130320</v>
      </c>
      <c r="C80" s="72">
        <f t="shared" si="41"/>
        <v>800</v>
      </c>
      <c r="D80" s="16" t="str">
        <f t="shared" ca="1" si="42"/>
        <v>—</v>
      </c>
      <c r="E80" s="15">
        <f t="shared" ca="1" si="43"/>
        <v>7</v>
      </c>
      <c r="F80" s="73" t="str">
        <f t="shared" ca="1" si="44"/>
        <v>—</v>
      </c>
      <c r="G80" s="15">
        <f t="shared" ca="1" si="45"/>
        <v>7</v>
      </c>
      <c r="H80" s="73" t="str">
        <f t="shared" ca="1" si="46"/>
        <v>—</v>
      </c>
      <c r="I80" s="15">
        <f t="shared" ca="1" si="47"/>
        <v>7</v>
      </c>
      <c r="J80" s="73" t="str">
        <f t="shared" ca="1" si="48"/>
        <v>—</v>
      </c>
      <c r="K80" s="15">
        <f t="shared" ca="1" si="49"/>
        <v>7</v>
      </c>
      <c r="L80" s="16" t="str">
        <f t="shared" ca="1" si="50"/>
        <v>—</v>
      </c>
      <c r="M80" s="15">
        <f t="shared" ca="1" si="51"/>
        <v>7</v>
      </c>
      <c r="N80" s="16" t="str">
        <f t="shared" ca="1" si="52"/>
        <v>—</v>
      </c>
      <c r="O80" s="15">
        <f t="shared" ca="1" si="53"/>
        <v>7</v>
      </c>
      <c r="P80" s="16" t="str">
        <f t="shared" ca="1" si="54"/>
        <v>—</v>
      </c>
      <c r="Q80" s="15">
        <f t="shared" ca="1" si="55"/>
        <v>7</v>
      </c>
      <c r="R80" s="16" t="str">
        <f t="shared" ca="1" si="56"/>
        <v>—</v>
      </c>
      <c r="S80" s="15">
        <f t="shared" ca="1" si="57"/>
        <v>7</v>
      </c>
      <c r="T80" s="9" t="str">
        <f t="shared" ca="1" si="58"/>
        <v>—</v>
      </c>
      <c r="U80" s="15">
        <f t="shared" ca="1" si="59"/>
        <v>7</v>
      </c>
      <c r="V80" s="16" t="str">
        <f t="shared" ca="1" si="60"/>
        <v>—</v>
      </c>
      <c r="W80" s="15">
        <f t="shared" ca="1" si="61"/>
        <v>7</v>
      </c>
      <c r="X80" s="16" t="str">
        <f t="shared" ca="1" si="62"/>
        <v>—</v>
      </c>
      <c r="Y80" s="15">
        <f t="shared" ca="1" si="63"/>
        <v>7</v>
      </c>
      <c r="Z80" s="16" t="str">
        <f t="shared" ca="1" si="64"/>
        <v>—</v>
      </c>
      <c r="AA80" s="15">
        <f t="shared" ca="1" si="65"/>
        <v>7</v>
      </c>
      <c r="AB80" s="9" t="str">
        <f t="shared" ca="1" si="66"/>
        <v>—</v>
      </c>
      <c r="AC80" s="15">
        <f t="shared" ca="1" si="67"/>
        <v>7</v>
      </c>
      <c r="AD80" s="76" t="str">
        <f t="shared" ca="1" si="68"/>
        <v>—</v>
      </c>
      <c r="AE80" s="15">
        <f t="shared" ca="1" si="69"/>
        <v>7</v>
      </c>
      <c r="AF80" s="76" t="str">
        <f t="shared" ca="1" si="70"/>
        <v>—</v>
      </c>
      <c r="AG80" s="15">
        <f t="shared" ca="1" si="71"/>
        <v>7</v>
      </c>
      <c r="AH80" s="9" t="str">
        <f t="shared" ca="1" si="72"/>
        <v>—</v>
      </c>
      <c r="AI80" s="15">
        <f t="shared" ca="1" si="73"/>
        <v>7</v>
      </c>
      <c r="AJ80" s="26" t="str">
        <f t="shared" ca="1" si="74"/>
        <v>—</v>
      </c>
      <c r="AK80" s="15">
        <f t="shared" ca="1" si="75"/>
        <v>7</v>
      </c>
      <c r="AL80" s="9" t="str">
        <f t="shared" ca="1" si="76"/>
        <v>—</v>
      </c>
      <c r="AM80" s="15">
        <f t="shared" ca="1" si="77"/>
        <v>7</v>
      </c>
      <c r="AN80" s="9" t="str">
        <f t="shared" ca="1" si="78"/>
        <v>—</v>
      </c>
      <c r="AO80" s="15">
        <f t="shared" ca="1" si="79"/>
        <v>7</v>
      </c>
    </row>
    <row r="81" spans="1:41" x14ac:dyDescent="0.25">
      <c r="A81" s="4">
        <f t="shared" si="40"/>
        <v>78989</v>
      </c>
      <c r="B81" t="str">
        <f ca="1">TEXT(DATE(YEAR(Invoer!$A$5),1,1)+ROWS(B$2:B81)-1,"jjjjmmdd")</f>
        <v>19130321</v>
      </c>
      <c r="C81" s="72">
        <f t="shared" si="41"/>
        <v>800</v>
      </c>
      <c r="D81" s="16" t="str">
        <f t="shared" ca="1" si="42"/>
        <v>—</v>
      </c>
      <c r="E81" s="15">
        <f t="shared" ca="1" si="43"/>
        <v>7</v>
      </c>
      <c r="F81" s="73" t="str">
        <f t="shared" ca="1" si="44"/>
        <v>—</v>
      </c>
      <c r="G81" s="15">
        <f t="shared" ca="1" si="45"/>
        <v>7</v>
      </c>
      <c r="H81" s="73" t="str">
        <f t="shared" ca="1" si="46"/>
        <v>—</v>
      </c>
      <c r="I81" s="15">
        <f t="shared" ca="1" si="47"/>
        <v>7</v>
      </c>
      <c r="J81" s="73" t="str">
        <f t="shared" ca="1" si="48"/>
        <v>—</v>
      </c>
      <c r="K81" s="15">
        <f t="shared" ca="1" si="49"/>
        <v>7</v>
      </c>
      <c r="L81" s="16" t="str">
        <f t="shared" ca="1" si="50"/>
        <v>—</v>
      </c>
      <c r="M81" s="15">
        <f t="shared" ca="1" si="51"/>
        <v>7</v>
      </c>
      <c r="N81" s="16" t="str">
        <f t="shared" ca="1" si="52"/>
        <v>—</v>
      </c>
      <c r="O81" s="15">
        <f t="shared" ca="1" si="53"/>
        <v>7</v>
      </c>
      <c r="P81" s="16" t="str">
        <f t="shared" ca="1" si="54"/>
        <v>—</v>
      </c>
      <c r="Q81" s="15">
        <f t="shared" ca="1" si="55"/>
        <v>7</v>
      </c>
      <c r="R81" s="16" t="str">
        <f t="shared" ca="1" si="56"/>
        <v>—</v>
      </c>
      <c r="S81" s="15">
        <f t="shared" ca="1" si="57"/>
        <v>7</v>
      </c>
      <c r="T81" s="9" t="str">
        <f t="shared" ca="1" si="58"/>
        <v>—</v>
      </c>
      <c r="U81" s="15">
        <f t="shared" ca="1" si="59"/>
        <v>7</v>
      </c>
      <c r="V81" s="16" t="str">
        <f t="shared" ca="1" si="60"/>
        <v>—</v>
      </c>
      <c r="W81" s="15">
        <f t="shared" ca="1" si="61"/>
        <v>7</v>
      </c>
      <c r="X81" s="16" t="str">
        <f t="shared" ca="1" si="62"/>
        <v>—</v>
      </c>
      <c r="Y81" s="15">
        <f t="shared" ca="1" si="63"/>
        <v>7</v>
      </c>
      <c r="Z81" s="16" t="str">
        <f t="shared" ca="1" si="64"/>
        <v>—</v>
      </c>
      <c r="AA81" s="15">
        <f t="shared" ca="1" si="65"/>
        <v>7</v>
      </c>
      <c r="AB81" s="9" t="str">
        <f t="shared" ca="1" si="66"/>
        <v>—</v>
      </c>
      <c r="AC81" s="15">
        <f t="shared" ca="1" si="67"/>
        <v>7</v>
      </c>
      <c r="AD81" s="76" t="str">
        <f t="shared" ca="1" si="68"/>
        <v>—</v>
      </c>
      <c r="AE81" s="15">
        <f t="shared" ca="1" si="69"/>
        <v>7</v>
      </c>
      <c r="AF81" s="76" t="str">
        <f t="shared" ca="1" si="70"/>
        <v>—</v>
      </c>
      <c r="AG81" s="15">
        <f t="shared" ca="1" si="71"/>
        <v>7</v>
      </c>
      <c r="AH81" s="9" t="str">
        <f t="shared" ca="1" si="72"/>
        <v>—</v>
      </c>
      <c r="AI81" s="15">
        <f t="shared" ca="1" si="73"/>
        <v>7</v>
      </c>
      <c r="AJ81" s="26" t="str">
        <f t="shared" ca="1" si="74"/>
        <v>—</v>
      </c>
      <c r="AK81" s="15">
        <f t="shared" ca="1" si="75"/>
        <v>7</v>
      </c>
      <c r="AL81" s="9" t="str">
        <f t="shared" ca="1" si="76"/>
        <v>—</v>
      </c>
      <c r="AM81" s="15">
        <f t="shared" ca="1" si="77"/>
        <v>7</v>
      </c>
      <c r="AN81" s="9" t="str">
        <f t="shared" ca="1" si="78"/>
        <v>—</v>
      </c>
      <c r="AO81" s="15">
        <f t="shared" ca="1" si="79"/>
        <v>7</v>
      </c>
    </row>
    <row r="82" spans="1:41" x14ac:dyDescent="0.25">
      <c r="A82" s="4">
        <f t="shared" si="40"/>
        <v>78989</v>
      </c>
      <c r="B82" t="str">
        <f ca="1">TEXT(DATE(YEAR(Invoer!$A$5),1,1)+ROWS(B$2:B82)-1,"jjjjmmdd")</f>
        <v>19130322</v>
      </c>
      <c r="C82" s="72">
        <f t="shared" si="41"/>
        <v>800</v>
      </c>
      <c r="D82" s="16" t="str">
        <f t="shared" ca="1" si="42"/>
        <v>—</v>
      </c>
      <c r="E82" s="15">
        <f t="shared" ca="1" si="43"/>
        <v>7</v>
      </c>
      <c r="F82" s="73" t="str">
        <f t="shared" ca="1" si="44"/>
        <v>—</v>
      </c>
      <c r="G82" s="15">
        <f t="shared" ca="1" si="45"/>
        <v>7</v>
      </c>
      <c r="H82" s="73" t="str">
        <f t="shared" ca="1" si="46"/>
        <v>—</v>
      </c>
      <c r="I82" s="15">
        <f t="shared" ca="1" si="47"/>
        <v>7</v>
      </c>
      <c r="J82" s="73" t="str">
        <f t="shared" ca="1" si="48"/>
        <v>—</v>
      </c>
      <c r="K82" s="15">
        <f t="shared" ca="1" si="49"/>
        <v>7</v>
      </c>
      <c r="L82" s="16" t="str">
        <f t="shared" ca="1" si="50"/>
        <v>—</v>
      </c>
      <c r="M82" s="15">
        <f t="shared" ca="1" si="51"/>
        <v>7</v>
      </c>
      <c r="N82" s="16" t="str">
        <f t="shared" ca="1" si="52"/>
        <v>—</v>
      </c>
      <c r="O82" s="15">
        <f t="shared" ca="1" si="53"/>
        <v>7</v>
      </c>
      <c r="P82" s="16" t="str">
        <f t="shared" ca="1" si="54"/>
        <v>—</v>
      </c>
      <c r="Q82" s="15">
        <f t="shared" ca="1" si="55"/>
        <v>7</v>
      </c>
      <c r="R82" s="16" t="str">
        <f t="shared" ca="1" si="56"/>
        <v>—</v>
      </c>
      <c r="S82" s="15">
        <f t="shared" ca="1" si="57"/>
        <v>7</v>
      </c>
      <c r="T82" s="9" t="str">
        <f t="shared" ca="1" si="58"/>
        <v>—</v>
      </c>
      <c r="U82" s="15">
        <f t="shared" ca="1" si="59"/>
        <v>7</v>
      </c>
      <c r="V82" s="16" t="str">
        <f t="shared" ca="1" si="60"/>
        <v>—</v>
      </c>
      <c r="W82" s="15">
        <f t="shared" ca="1" si="61"/>
        <v>7</v>
      </c>
      <c r="X82" s="16" t="str">
        <f t="shared" ca="1" si="62"/>
        <v>—</v>
      </c>
      <c r="Y82" s="15">
        <f t="shared" ca="1" si="63"/>
        <v>7</v>
      </c>
      <c r="Z82" s="16" t="str">
        <f t="shared" ca="1" si="64"/>
        <v>—</v>
      </c>
      <c r="AA82" s="15">
        <f t="shared" ca="1" si="65"/>
        <v>7</v>
      </c>
      <c r="AB82" s="9" t="str">
        <f t="shared" ca="1" si="66"/>
        <v>—</v>
      </c>
      <c r="AC82" s="15">
        <f t="shared" ca="1" si="67"/>
        <v>7</v>
      </c>
      <c r="AD82" s="76" t="str">
        <f t="shared" ca="1" si="68"/>
        <v>—</v>
      </c>
      <c r="AE82" s="15">
        <f t="shared" ca="1" si="69"/>
        <v>7</v>
      </c>
      <c r="AF82" s="76" t="str">
        <f t="shared" ca="1" si="70"/>
        <v>—</v>
      </c>
      <c r="AG82" s="15">
        <f t="shared" ca="1" si="71"/>
        <v>7</v>
      </c>
      <c r="AH82" s="9" t="str">
        <f t="shared" ca="1" si="72"/>
        <v>—</v>
      </c>
      <c r="AI82" s="15">
        <f t="shared" ca="1" si="73"/>
        <v>7</v>
      </c>
      <c r="AJ82" s="26" t="str">
        <f t="shared" ca="1" si="74"/>
        <v>—</v>
      </c>
      <c r="AK82" s="15">
        <f t="shared" ca="1" si="75"/>
        <v>7</v>
      </c>
      <c r="AL82" s="9" t="str">
        <f t="shared" ca="1" si="76"/>
        <v>—</v>
      </c>
      <c r="AM82" s="15">
        <f t="shared" ca="1" si="77"/>
        <v>7</v>
      </c>
      <c r="AN82" s="9" t="str">
        <f t="shared" ca="1" si="78"/>
        <v>—</v>
      </c>
      <c r="AO82" s="15">
        <f t="shared" ca="1" si="79"/>
        <v>7</v>
      </c>
    </row>
    <row r="83" spans="1:41" x14ac:dyDescent="0.25">
      <c r="A83" s="4">
        <f t="shared" si="40"/>
        <v>78989</v>
      </c>
      <c r="B83" t="str">
        <f ca="1">TEXT(DATE(YEAR(Invoer!$A$5),1,1)+ROWS(B$2:B83)-1,"jjjjmmdd")</f>
        <v>19130323</v>
      </c>
      <c r="C83" s="72">
        <f t="shared" si="41"/>
        <v>800</v>
      </c>
      <c r="D83" s="16" t="str">
        <f t="shared" ca="1" si="42"/>
        <v>—</v>
      </c>
      <c r="E83" s="15">
        <f t="shared" ca="1" si="43"/>
        <v>7</v>
      </c>
      <c r="F83" s="73" t="str">
        <f t="shared" ca="1" si="44"/>
        <v>—</v>
      </c>
      <c r="G83" s="15">
        <f t="shared" ca="1" si="45"/>
        <v>7</v>
      </c>
      <c r="H83" s="73" t="str">
        <f t="shared" ca="1" si="46"/>
        <v>—</v>
      </c>
      <c r="I83" s="15">
        <f t="shared" ca="1" si="47"/>
        <v>7</v>
      </c>
      <c r="J83" s="73" t="str">
        <f t="shared" ca="1" si="48"/>
        <v>—</v>
      </c>
      <c r="K83" s="15">
        <f t="shared" ca="1" si="49"/>
        <v>7</v>
      </c>
      <c r="L83" s="16" t="str">
        <f t="shared" ca="1" si="50"/>
        <v>—</v>
      </c>
      <c r="M83" s="15">
        <f t="shared" ca="1" si="51"/>
        <v>7</v>
      </c>
      <c r="N83" s="16" t="str">
        <f t="shared" ca="1" si="52"/>
        <v>—</v>
      </c>
      <c r="O83" s="15">
        <f t="shared" ca="1" si="53"/>
        <v>7</v>
      </c>
      <c r="P83" s="16" t="str">
        <f t="shared" ca="1" si="54"/>
        <v>—</v>
      </c>
      <c r="Q83" s="15">
        <f t="shared" ca="1" si="55"/>
        <v>7</v>
      </c>
      <c r="R83" s="16" t="str">
        <f t="shared" ca="1" si="56"/>
        <v>—</v>
      </c>
      <c r="S83" s="15">
        <f t="shared" ca="1" si="57"/>
        <v>7</v>
      </c>
      <c r="T83" s="9" t="str">
        <f t="shared" ca="1" si="58"/>
        <v>—</v>
      </c>
      <c r="U83" s="15">
        <f t="shared" ca="1" si="59"/>
        <v>7</v>
      </c>
      <c r="V83" s="16" t="str">
        <f t="shared" ca="1" si="60"/>
        <v>—</v>
      </c>
      <c r="W83" s="15">
        <f t="shared" ca="1" si="61"/>
        <v>7</v>
      </c>
      <c r="X83" s="16" t="str">
        <f t="shared" ca="1" si="62"/>
        <v>—</v>
      </c>
      <c r="Y83" s="15">
        <f t="shared" ca="1" si="63"/>
        <v>7</v>
      </c>
      <c r="Z83" s="16" t="str">
        <f t="shared" ca="1" si="64"/>
        <v>—</v>
      </c>
      <c r="AA83" s="15">
        <f t="shared" ca="1" si="65"/>
        <v>7</v>
      </c>
      <c r="AB83" s="9" t="str">
        <f t="shared" ca="1" si="66"/>
        <v>—</v>
      </c>
      <c r="AC83" s="15">
        <f t="shared" ca="1" si="67"/>
        <v>7</v>
      </c>
      <c r="AD83" s="76" t="str">
        <f t="shared" ca="1" si="68"/>
        <v>—</v>
      </c>
      <c r="AE83" s="15">
        <f t="shared" ca="1" si="69"/>
        <v>7</v>
      </c>
      <c r="AF83" s="76" t="str">
        <f t="shared" ca="1" si="70"/>
        <v>—</v>
      </c>
      <c r="AG83" s="15">
        <f t="shared" ca="1" si="71"/>
        <v>7</v>
      </c>
      <c r="AH83" s="9" t="str">
        <f t="shared" ca="1" si="72"/>
        <v>—</v>
      </c>
      <c r="AI83" s="15">
        <f t="shared" ca="1" si="73"/>
        <v>7</v>
      </c>
      <c r="AJ83" s="26" t="str">
        <f t="shared" ca="1" si="74"/>
        <v>—</v>
      </c>
      <c r="AK83" s="15">
        <f t="shared" ca="1" si="75"/>
        <v>7</v>
      </c>
      <c r="AL83" s="9" t="str">
        <f t="shared" ca="1" si="76"/>
        <v>—</v>
      </c>
      <c r="AM83" s="15">
        <f t="shared" ca="1" si="77"/>
        <v>7</v>
      </c>
      <c r="AN83" s="9" t="str">
        <f t="shared" ca="1" si="78"/>
        <v>—</v>
      </c>
      <c r="AO83" s="15">
        <f t="shared" ca="1" si="79"/>
        <v>7</v>
      </c>
    </row>
    <row r="84" spans="1:41" x14ac:dyDescent="0.25">
      <c r="A84" s="4">
        <f t="shared" si="40"/>
        <v>78989</v>
      </c>
      <c r="B84" t="str">
        <f ca="1">TEXT(DATE(YEAR(Invoer!$A$5),1,1)+ROWS(B$2:B84)-1,"jjjjmmdd")</f>
        <v>19130324</v>
      </c>
      <c r="C84" s="72">
        <f t="shared" si="41"/>
        <v>800</v>
      </c>
      <c r="D84" s="16" t="str">
        <f t="shared" ca="1" si="42"/>
        <v>—</v>
      </c>
      <c r="E84" s="15">
        <f t="shared" ca="1" si="43"/>
        <v>7</v>
      </c>
      <c r="F84" s="73" t="str">
        <f t="shared" ca="1" si="44"/>
        <v>—</v>
      </c>
      <c r="G84" s="15">
        <f t="shared" ca="1" si="45"/>
        <v>7</v>
      </c>
      <c r="H84" s="73" t="str">
        <f t="shared" ca="1" si="46"/>
        <v>—</v>
      </c>
      <c r="I84" s="15">
        <f t="shared" ca="1" si="47"/>
        <v>7</v>
      </c>
      <c r="J84" s="73" t="str">
        <f t="shared" ca="1" si="48"/>
        <v>—</v>
      </c>
      <c r="K84" s="15">
        <f t="shared" ca="1" si="49"/>
        <v>7</v>
      </c>
      <c r="L84" s="16" t="str">
        <f t="shared" ca="1" si="50"/>
        <v>—</v>
      </c>
      <c r="M84" s="15">
        <f t="shared" ca="1" si="51"/>
        <v>7</v>
      </c>
      <c r="N84" s="16" t="str">
        <f t="shared" ca="1" si="52"/>
        <v>—</v>
      </c>
      <c r="O84" s="15">
        <f t="shared" ca="1" si="53"/>
        <v>7</v>
      </c>
      <c r="P84" s="16" t="str">
        <f t="shared" ca="1" si="54"/>
        <v>—</v>
      </c>
      <c r="Q84" s="15">
        <f t="shared" ca="1" si="55"/>
        <v>7</v>
      </c>
      <c r="R84" s="16" t="str">
        <f t="shared" ca="1" si="56"/>
        <v>—</v>
      </c>
      <c r="S84" s="15">
        <f t="shared" ca="1" si="57"/>
        <v>7</v>
      </c>
      <c r="T84" s="9" t="str">
        <f t="shared" ca="1" si="58"/>
        <v>—</v>
      </c>
      <c r="U84" s="15">
        <f t="shared" ca="1" si="59"/>
        <v>7</v>
      </c>
      <c r="V84" s="16" t="str">
        <f t="shared" ca="1" si="60"/>
        <v>—</v>
      </c>
      <c r="W84" s="15">
        <f t="shared" ca="1" si="61"/>
        <v>7</v>
      </c>
      <c r="X84" s="16" t="str">
        <f t="shared" ca="1" si="62"/>
        <v>—</v>
      </c>
      <c r="Y84" s="15">
        <f t="shared" ca="1" si="63"/>
        <v>7</v>
      </c>
      <c r="Z84" s="16" t="str">
        <f t="shared" ca="1" si="64"/>
        <v>—</v>
      </c>
      <c r="AA84" s="15">
        <f t="shared" ca="1" si="65"/>
        <v>7</v>
      </c>
      <c r="AB84" s="9" t="str">
        <f t="shared" ca="1" si="66"/>
        <v>—</v>
      </c>
      <c r="AC84" s="15">
        <f t="shared" ca="1" si="67"/>
        <v>7</v>
      </c>
      <c r="AD84" s="76" t="str">
        <f t="shared" ca="1" si="68"/>
        <v>—</v>
      </c>
      <c r="AE84" s="15">
        <f t="shared" ca="1" si="69"/>
        <v>7</v>
      </c>
      <c r="AF84" s="76" t="str">
        <f t="shared" ca="1" si="70"/>
        <v>—</v>
      </c>
      <c r="AG84" s="15">
        <f t="shared" ca="1" si="71"/>
        <v>7</v>
      </c>
      <c r="AH84" s="9" t="str">
        <f t="shared" ca="1" si="72"/>
        <v>—</v>
      </c>
      <c r="AI84" s="15">
        <f t="shared" ca="1" si="73"/>
        <v>7</v>
      </c>
      <c r="AJ84" s="26" t="str">
        <f t="shared" ca="1" si="74"/>
        <v>—</v>
      </c>
      <c r="AK84" s="15">
        <f t="shared" ca="1" si="75"/>
        <v>7</v>
      </c>
      <c r="AL84" s="9" t="str">
        <f t="shared" ca="1" si="76"/>
        <v>—</v>
      </c>
      <c r="AM84" s="15">
        <f t="shared" ca="1" si="77"/>
        <v>7</v>
      </c>
      <c r="AN84" s="9" t="str">
        <f t="shared" ca="1" si="78"/>
        <v>—</v>
      </c>
      <c r="AO84" s="15">
        <f t="shared" ca="1" si="79"/>
        <v>7</v>
      </c>
    </row>
    <row r="85" spans="1:41" x14ac:dyDescent="0.25">
      <c r="A85" s="4">
        <f t="shared" si="40"/>
        <v>78989</v>
      </c>
      <c r="B85" t="str">
        <f ca="1">TEXT(DATE(YEAR(Invoer!$A$5),1,1)+ROWS(B$2:B85)-1,"jjjjmmdd")</f>
        <v>19130325</v>
      </c>
      <c r="C85" s="72">
        <f t="shared" si="41"/>
        <v>800</v>
      </c>
      <c r="D85" s="16" t="str">
        <f t="shared" ca="1" si="42"/>
        <v>—</v>
      </c>
      <c r="E85" s="15">
        <f t="shared" ca="1" si="43"/>
        <v>7</v>
      </c>
      <c r="F85" s="73" t="str">
        <f t="shared" ca="1" si="44"/>
        <v>—</v>
      </c>
      <c r="G85" s="15">
        <f t="shared" ca="1" si="45"/>
        <v>7</v>
      </c>
      <c r="H85" s="73" t="str">
        <f t="shared" ca="1" si="46"/>
        <v>—</v>
      </c>
      <c r="I85" s="15">
        <f t="shared" ca="1" si="47"/>
        <v>7</v>
      </c>
      <c r="J85" s="73" t="str">
        <f t="shared" ca="1" si="48"/>
        <v>—</v>
      </c>
      <c r="K85" s="15">
        <f t="shared" ca="1" si="49"/>
        <v>7</v>
      </c>
      <c r="L85" s="16" t="str">
        <f t="shared" ca="1" si="50"/>
        <v>—</v>
      </c>
      <c r="M85" s="15">
        <f t="shared" ca="1" si="51"/>
        <v>7</v>
      </c>
      <c r="N85" s="16" t="str">
        <f t="shared" ca="1" si="52"/>
        <v>—</v>
      </c>
      <c r="O85" s="15">
        <f t="shared" ca="1" si="53"/>
        <v>7</v>
      </c>
      <c r="P85" s="16" t="str">
        <f t="shared" ca="1" si="54"/>
        <v>—</v>
      </c>
      <c r="Q85" s="15">
        <f t="shared" ca="1" si="55"/>
        <v>7</v>
      </c>
      <c r="R85" s="16" t="str">
        <f t="shared" ca="1" si="56"/>
        <v>—</v>
      </c>
      <c r="S85" s="15">
        <f t="shared" ca="1" si="57"/>
        <v>7</v>
      </c>
      <c r="T85" s="9" t="str">
        <f t="shared" ca="1" si="58"/>
        <v>—</v>
      </c>
      <c r="U85" s="15">
        <f t="shared" ca="1" si="59"/>
        <v>7</v>
      </c>
      <c r="V85" s="16" t="str">
        <f t="shared" ca="1" si="60"/>
        <v>—</v>
      </c>
      <c r="W85" s="15">
        <f t="shared" ca="1" si="61"/>
        <v>7</v>
      </c>
      <c r="X85" s="16" t="str">
        <f t="shared" ca="1" si="62"/>
        <v>—</v>
      </c>
      <c r="Y85" s="15">
        <f t="shared" ca="1" si="63"/>
        <v>7</v>
      </c>
      <c r="Z85" s="16" t="str">
        <f t="shared" ca="1" si="64"/>
        <v>—</v>
      </c>
      <c r="AA85" s="15">
        <f t="shared" ca="1" si="65"/>
        <v>7</v>
      </c>
      <c r="AB85" s="9" t="str">
        <f t="shared" ca="1" si="66"/>
        <v>—</v>
      </c>
      <c r="AC85" s="15">
        <f t="shared" ca="1" si="67"/>
        <v>7</v>
      </c>
      <c r="AD85" s="76" t="str">
        <f t="shared" ca="1" si="68"/>
        <v>—</v>
      </c>
      <c r="AE85" s="15">
        <f t="shared" ca="1" si="69"/>
        <v>7</v>
      </c>
      <c r="AF85" s="76" t="str">
        <f t="shared" ca="1" si="70"/>
        <v>—</v>
      </c>
      <c r="AG85" s="15">
        <f t="shared" ca="1" si="71"/>
        <v>7</v>
      </c>
      <c r="AH85" s="9" t="str">
        <f t="shared" ca="1" si="72"/>
        <v>—</v>
      </c>
      <c r="AI85" s="15">
        <f t="shared" ca="1" si="73"/>
        <v>7</v>
      </c>
      <c r="AJ85" s="26" t="str">
        <f t="shared" ca="1" si="74"/>
        <v>—</v>
      </c>
      <c r="AK85" s="15">
        <f t="shared" ca="1" si="75"/>
        <v>7</v>
      </c>
      <c r="AL85" s="9" t="str">
        <f t="shared" ca="1" si="76"/>
        <v>—</v>
      </c>
      <c r="AM85" s="15">
        <f t="shared" ca="1" si="77"/>
        <v>7</v>
      </c>
      <c r="AN85" s="9" t="str">
        <f t="shared" ca="1" si="78"/>
        <v>—</v>
      </c>
      <c r="AO85" s="15">
        <f t="shared" ca="1" si="79"/>
        <v>7</v>
      </c>
    </row>
    <row r="86" spans="1:41" x14ac:dyDescent="0.25">
      <c r="A86" s="4">
        <f t="shared" si="40"/>
        <v>78989</v>
      </c>
      <c r="B86" t="str">
        <f ca="1">TEXT(DATE(YEAR(Invoer!$A$5),1,1)+ROWS(B$2:B86)-1,"jjjjmmdd")</f>
        <v>19130326</v>
      </c>
      <c r="C86" s="72">
        <f t="shared" si="41"/>
        <v>800</v>
      </c>
      <c r="D86" s="16" t="str">
        <f t="shared" ca="1" si="42"/>
        <v>—</v>
      </c>
      <c r="E86" s="15">
        <f t="shared" ca="1" si="43"/>
        <v>7</v>
      </c>
      <c r="F86" s="73" t="str">
        <f t="shared" ca="1" si="44"/>
        <v>—</v>
      </c>
      <c r="G86" s="15">
        <f t="shared" ca="1" si="45"/>
        <v>7</v>
      </c>
      <c r="H86" s="73" t="str">
        <f t="shared" ca="1" si="46"/>
        <v>—</v>
      </c>
      <c r="I86" s="15">
        <f t="shared" ca="1" si="47"/>
        <v>7</v>
      </c>
      <c r="J86" s="73" t="str">
        <f t="shared" ca="1" si="48"/>
        <v>—</v>
      </c>
      <c r="K86" s="15">
        <f t="shared" ca="1" si="49"/>
        <v>7</v>
      </c>
      <c r="L86" s="16" t="str">
        <f t="shared" ca="1" si="50"/>
        <v>—</v>
      </c>
      <c r="M86" s="15">
        <f t="shared" ca="1" si="51"/>
        <v>7</v>
      </c>
      <c r="N86" s="16" t="str">
        <f t="shared" ca="1" si="52"/>
        <v>—</v>
      </c>
      <c r="O86" s="15">
        <f t="shared" ca="1" si="53"/>
        <v>7</v>
      </c>
      <c r="P86" s="16" t="str">
        <f t="shared" ca="1" si="54"/>
        <v>—</v>
      </c>
      <c r="Q86" s="15">
        <f t="shared" ca="1" si="55"/>
        <v>7</v>
      </c>
      <c r="R86" s="16" t="str">
        <f t="shared" ca="1" si="56"/>
        <v>—</v>
      </c>
      <c r="S86" s="15">
        <f t="shared" ca="1" si="57"/>
        <v>7</v>
      </c>
      <c r="T86" s="9" t="str">
        <f t="shared" ca="1" si="58"/>
        <v>—</v>
      </c>
      <c r="U86" s="15">
        <f t="shared" ca="1" si="59"/>
        <v>7</v>
      </c>
      <c r="V86" s="16" t="str">
        <f t="shared" ca="1" si="60"/>
        <v>—</v>
      </c>
      <c r="W86" s="15">
        <f t="shared" ca="1" si="61"/>
        <v>7</v>
      </c>
      <c r="X86" s="16" t="str">
        <f t="shared" ca="1" si="62"/>
        <v>—</v>
      </c>
      <c r="Y86" s="15">
        <f t="shared" ca="1" si="63"/>
        <v>7</v>
      </c>
      <c r="Z86" s="16" t="str">
        <f t="shared" ca="1" si="64"/>
        <v>—</v>
      </c>
      <c r="AA86" s="15">
        <f t="shared" ca="1" si="65"/>
        <v>7</v>
      </c>
      <c r="AB86" s="9" t="str">
        <f t="shared" ca="1" si="66"/>
        <v>—</v>
      </c>
      <c r="AC86" s="15">
        <f t="shared" ca="1" si="67"/>
        <v>7</v>
      </c>
      <c r="AD86" s="76" t="str">
        <f t="shared" ca="1" si="68"/>
        <v>—</v>
      </c>
      <c r="AE86" s="15">
        <f t="shared" ca="1" si="69"/>
        <v>7</v>
      </c>
      <c r="AF86" s="76" t="str">
        <f t="shared" ca="1" si="70"/>
        <v>—</v>
      </c>
      <c r="AG86" s="15">
        <f t="shared" ca="1" si="71"/>
        <v>7</v>
      </c>
      <c r="AH86" s="9" t="str">
        <f t="shared" ca="1" si="72"/>
        <v>—</v>
      </c>
      <c r="AI86" s="15">
        <f t="shared" ca="1" si="73"/>
        <v>7</v>
      </c>
      <c r="AJ86" s="26" t="str">
        <f t="shared" ca="1" si="74"/>
        <v>—</v>
      </c>
      <c r="AK86" s="15">
        <f t="shared" ca="1" si="75"/>
        <v>7</v>
      </c>
      <c r="AL86" s="9" t="str">
        <f t="shared" ca="1" si="76"/>
        <v>—</v>
      </c>
      <c r="AM86" s="15">
        <f t="shared" ca="1" si="77"/>
        <v>7</v>
      </c>
      <c r="AN86" s="9" t="str">
        <f t="shared" ca="1" si="78"/>
        <v>—</v>
      </c>
      <c r="AO86" s="15">
        <f t="shared" ca="1" si="79"/>
        <v>7</v>
      </c>
    </row>
    <row r="87" spans="1:41" x14ac:dyDescent="0.25">
      <c r="A87" s="4">
        <f t="shared" si="40"/>
        <v>78989</v>
      </c>
      <c r="B87" t="str">
        <f ca="1">TEXT(DATE(YEAR(Invoer!$A$5),1,1)+ROWS(B$2:B87)-1,"jjjjmmdd")</f>
        <v>19130327</v>
      </c>
      <c r="C87" s="72">
        <f t="shared" si="41"/>
        <v>800</v>
      </c>
      <c r="D87" s="16" t="str">
        <f t="shared" ca="1" si="42"/>
        <v>—</v>
      </c>
      <c r="E87" s="15">
        <f t="shared" ca="1" si="43"/>
        <v>7</v>
      </c>
      <c r="F87" s="73" t="str">
        <f t="shared" ca="1" si="44"/>
        <v>—</v>
      </c>
      <c r="G87" s="15">
        <f t="shared" ca="1" si="45"/>
        <v>7</v>
      </c>
      <c r="H87" s="73" t="str">
        <f t="shared" ca="1" si="46"/>
        <v>—</v>
      </c>
      <c r="I87" s="15">
        <f t="shared" ca="1" si="47"/>
        <v>7</v>
      </c>
      <c r="J87" s="73" t="str">
        <f t="shared" ca="1" si="48"/>
        <v>—</v>
      </c>
      <c r="K87" s="15">
        <f t="shared" ca="1" si="49"/>
        <v>7</v>
      </c>
      <c r="L87" s="16" t="str">
        <f t="shared" ca="1" si="50"/>
        <v>—</v>
      </c>
      <c r="M87" s="15">
        <f t="shared" ca="1" si="51"/>
        <v>7</v>
      </c>
      <c r="N87" s="16" t="str">
        <f t="shared" ca="1" si="52"/>
        <v>—</v>
      </c>
      <c r="O87" s="15">
        <f t="shared" ca="1" si="53"/>
        <v>7</v>
      </c>
      <c r="P87" s="16" t="str">
        <f t="shared" ca="1" si="54"/>
        <v>—</v>
      </c>
      <c r="Q87" s="15">
        <f t="shared" ca="1" si="55"/>
        <v>7</v>
      </c>
      <c r="R87" s="16" t="str">
        <f t="shared" ca="1" si="56"/>
        <v>—</v>
      </c>
      <c r="S87" s="15">
        <f t="shared" ca="1" si="57"/>
        <v>7</v>
      </c>
      <c r="T87" s="9" t="str">
        <f t="shared" ca="1" si="58"/>
        <v>—</v>
      </c>
      <c r="U87" s="15">
        <f t="shared" ca="1" si="59"/>
        <v>7</v>
      </c>
      <c r="V87" s="16" t="str">
        <f t="shared" ca="1" si="60"/>
        <v>—</v>
      </c>
      <c r="W87" s="15">
        <f t="shared" ca="1" si="61"/>
        <v>7</v>
      </c>
      <c r="X87" s="16" t="str">
        <f t="shared" ca="1" si="62"/>
        <v>—</v>
      </c>
      <c r="Y87" s="15">
        <f t="shared" ca="1" si="63"/>
        <v>7</v>
      </c>
      <c r="Z87" s="16" t="str">
        <f t="shared" ca="1" si="64"/>
        <v>—</v>
      </c>
      <c r="AA87" s="15">
        <f t="shared" ca="1" si="65"/>
        <v>7</v>
      </c>
      <c r="AB87" s="9" t="str">
        <f t="shared" ca="1" si="66"/>
        <v>—</v>
      </c>
      <c r="AC87" s="15">
        <f t="shared" ca="1" si="67"/>
        <v>7</v>
      </c>
      <c r="AD87" s="76" t="str">
        <f t="shared" ca="1" si="68"/>
        <v>—</v>
      </c>
      <c r="AE87" s="15">
        <f t="shared" ca="1" si="69"/>
        <v>7</v>
      </c>
      <c r="AF87" s="76" t="str">
        <f t="shared" ca="1" si="70"/>
        <v>—</v>
      </c>
      <c r="AG87" s="15">
        <f t="shared" ca="1" si="71"/>
        <v>7</v>
      </c>
      <c r="AH87" s="9" t="str">
        <f t="shared" ca="1" si="72"/>
        <v>—</v>
      </c>
      <c r="AI87" s="15">
        <f t="shared" ca="1" si="73"/>
        <v>7</v>
      </c>
      <c r="AJ87" s="26" t="str">
        <f t="shared" ca="1" si="74"/>
        <v>—</v>
      </c>
      <c r="AK87" s="15">
        <f t="shared" ca="1" si="75"/>
        <v>7</v>
      </c>
      <c r="AL87" s="9" t="str">
        <f t="shared" ca="1" si="76"/>
        <v>—</v>
      </c>
      <c r="AM87" s="15">
        <f t="shared" ca="1" si="77"/>
        <v>7</v>
      </c>
      <c r="AN87" s="9" t="str">
        <f t="shared" ca="1" si="78"/>
        <v>—</v>
      </c>
      <c r="AO87" s="15">
        <f t="shared" ca="1" si="79"/>
        <v>7</v>
      </c>
    </row>
    <row r="88" spans="1:41" x14ac:dyDescent="0.25">
      <c r="A88" s="4">
        <f t="shared" si="40"/>
        <v>78989</v>
      </c>
      <c r="B88" t="str">
        <f ca="1">TEXT(DATE(YEAR(Invoer!$A$5),1,1)+ROWS(B$2:B88)-1,"jjjjmmdd")</f>
        <v>19130328</v>
      </c>
      <c r="C88" s="72">
        <f t="shared" si="41"/>
        <v>800</v>
      </c>
      <c r="D88" s="16" t="str">
        <f t="shared" ca="1" si="42"/>
        <v>—</v>
      </c>
      <c r="E88" s="15">
        <f t="shared" ca="1" si="43"/>
        <v>7</v>
      </c>
      <c r="F88" s="73" t="str">
        <f t="shared" ca="1" si="44"/>
        <v>—</v>
      </c>
      <c r="G88" s="15">
        <f t="shared" ca="1" si="45"/>
        <v>7</v>
      </c>
      <c r="H88" s="73" t="str">
        <f t="shared" ca="1" si="46"/>
        <v>—</v>
      </c>
      <c r="I88" s="15">
        <f t="shared" ca="1" si="47"/>
        <v>7</v>
      </c>
      <c r="J88" s="73" t="str">
        <f t="shared" ca="1" si="48"/>
        <v>—</v>
      </c>
      <c r="K88" s="15">
        <f t="shared" ca="1" si="49"/>
        <v>7</v>
      </c>
      <c r="L88" s="16" t="str">
        <f t="shared" ca="1" si="50"/>
        <v>—</v>
      </c>
      <c r="M88" s="15">
        <f t="shared" ca="1" si="51"/>
        <v>7</v>
      </c>
      <c r="N88" s="16" t="str">
        <f t="shared" ca="1" si="52"/>
        <v>—</v>
      </c>
      <c r="O88" s="15">
        <f t="shared" ca="1" si="53"/>
        <v>7</v>
      </c>
      <c r="P88" s="16" t="str">
        <f t="shared" ca="1" si="54"/>
        <v>—</v>
      </c>
      <c r="Q88" s="15">
        <f t="shared" ca="1" si="55"/>
        <v>7</v>
      </c>
      <c r="R88" s="16" t="str">
        <f t="shared" ca="1" si="56"/>
        <v>—</v>
      </c>
      <c r="S88" s="15">
        <f t="shared" ca="1" si="57"/>
        <v>7</v>
      </c>
      <c r="T88" s="9" t="str">
        <f t="shared" ca="1" si="58"/>
        <v>—</v>
      </c>
      <c r="U88" s="15">
        <f t="shared" ca="1" si="59"/>
        <v>7</v>
      </c>
      <c r="V88" s="16" t="str">
        <f t="shared" ca="1" si="60"/>
        <v>—</v>
      </c>
      <c r="W88" s="15">
        <f t="shared" ca="1" si="61"/>
        <v>7</v>
      </c>
      <c r="X88" s="16" t="str">
        <f t="shared" ca="1" si="62"/>
        <v>—</v>
      </c>
      <c r="Y88" s="15">
        <f t="shared" ca="1" si="63"/>
        <v>7</v>
      </c>
      <c r="Z88" s="16" t="str">
        <f t="shared" ca="1" si="64"/>
        <v>—</v>
      </c>
      <c r="AA88" s="15">
        <f t="shared" ca="1" si="65"/>
        <v>7</v>
      </c>
      <c r="AB88" s="9" t="str">
        <f t="shared" ca="1" si="66"/>
        <v>—</v>
      </c>
      <c r="AC88" s="15">
        <f t="shared" ca="1" si="67"/>
        <v>7</v>
      </c>
      <c r="AD88" s="76" t="str">
        <f t="shared" ca="1" si="68"/>
        <v>—</v>
      </c>
      <c r="AE88" s="15">
        <f t="shared" ca="1" si="69"/>
        <v>7</v>
      </c>
      <c r="AF88" s="76" t="str">
        <f t="shared" ca="1" si="70"/>
        <v>—</v>
      </c>
      <c r="AG88" s="15">
        <f t="shared" ca="1" si="71"/>
        <v>7</v>
      </c>
      <c r="AH88" s="9" t="str">
        <f t="shared" ca="1" si="72"/>
        <v>—</v>
      </c>
      <c r="AI88" s="15">
        <f t="shared" ca="1" si="73"/>
        <v>7</v>
      </c>
      <c r="AJ88" s="26" t="str">
        <f t="shared" ca="1" si="74"/>
        <v>—</v>
      </c>
      <c r="AK88" s="15">
        <f t="shared" ca="1" si="75"/>
        <v>7</v>
      </c>
      <c r="AL88" s="9" t="str">
        <f t="shared" ca="1" si="76"/>
        <v>—</v>
      </c>
      <c r="AM88" s="15">
        <f t="shared" ca="1" si="77"/>
        <v>7</v>
      </c>
      <c r="AN88" s="9" t="str">
        <f t="shared" ca="1" si="78"/>
        <v>—</v>
      </c>
      <c r="AO88" s="15">
        <f t="shared" ca="1" si="79"/>
        <v>7</v>
      </c>
    </row>
    <row r="89" spans="1:41" x14ac:dyDescent="0.25">
      <c r="A89" s="4">
        <f t="shared" si="40"/>
        <v>78989</v>
      </c>
      <c r="B89" t="str">
        <f ca="1">TEXT(DATE(YEAR(Invoer!$A$5),1,1)+ROWS(B$2:B89)-1,"jjjjmmdd")</f>
        <v>19130329</v>
      </c>
      <c r="C89" s="72">
        <f t="shared" si="41"/>
        <v>800</v>
      </c>
      <c r="D89" s="16" t="str">
        <f t="shared" ca="1" si="42"/>
        <v>—</v>
      </c>
      <c r="E89" s="15">
        <f t="shared" ca="1" si="43"/>
        <v>7</v>
      </c>
      <c r="F89" s="73" t="str">
        <f t="shared" ca="1" si="44"/>
        <v>—</v>
      </c>
      <c r="G89" s="15">
        <f t="shared" ca="1" si="45"/>
        <v>7</v>
      </c>
      <c r="H89" s="73" t="str">
        <f t="shared" ca="1" si="46"/>
        <v>—</v>
      </c>
      <c r="I89" s="15">
        <f t="shared" ca="1" si="47"/>
        <v>7</v>
      </c>
      <c r="J89" s="73" t="str">
        <f t="shared" ca="1" si="48"/>
        <v>—</v>
      </c>
      <c r="K89" s="15">
        <f t="shared" ca="1" si="49"/>
        <v>7</v>
      </c>
      <c r="L89" s="16" t="str">
        <f t="shared" ca="1" si="50"/>
        <v>—</v>
      </c>
      <c r="M89" s="15">
        <f t="shared" ca="1" si="51"/>
        <v>7</v>
      </c>
      <c r="N89" s="16" t="str">
        <f t="shared" ca="1" si="52"/>
        <v>—</v>
      </c>
      <c r="O89" s="15">
        <f t="shared" ca="1" si="53"/>
        <v>7</v>
      </c>
      <c r="P89" s="16" t="str">
        <f t="shared" ca="1" si="54"/>
        <v>—</v>
      </c>
      <c r="Q89" s="15">
        <f t="shared" ca="1" si="55"/>
        <v>7</v>
      </c>
      <c r="R89" s="16" t="str">
        <f t="shared" ca="1" si="56"/>
        <v>—</v>
      </c>
      <c r="S89" s="15">
        <f t="shared" ca="1" si="57"/>
        <v>7</v>
      </c>
      <c r="T89" s="9" t="str">
        <f t="shared" ca="1" si="58"/>
        <v>—</v>
      </c>
      <c r="U89" s="15">
        <f t="shared" ca="1" si="59"/>
        <v>7</v>
      </c>
      <c r="V89" s="16" t="str">
        <f t="shared" ca="1" si="60"/>
        <v>—</v>
      </c>
      <c r="W89" s="15">
        <f t="shared" ca="1" si="61"/>
        <v>7</v>
      </c>
      <c r="X89" s="16" t="str">
        <f t="shared" ca="1" si="62"/>
        <v>—</v>
      </c>
      <c r="Y89" s="15">
        <f t="shared" ca="1" si="63"/>
        <v>7</v>
      </c>
      <c r="Z89" s="16" t="str">
        <f t="shared" ca="1" si="64"/>
        <v>—</v>
      </c>
      <c r="AA89" s="15">
        <f t="shared" ca="1" si="65"/>
        <v>7</v>
      </c>
      <c r="AB89" s="9" t="str">
        <f t="shared" ca="1" si="66"/>
        <v>—</v>
      </c>
      <c r="AC89" s="15">
        <f t="shared" ca="1" si="67"/>
        <v>7</v>
      </c>
      <c r="AD89" s="76" t="str">
        <f t="shared" ca="1" si="68"/>
        <v>—</v>
      </c>
      <c r="AE89" s="15">
        <f t="shared" ca="1" si="69"/>
        <v>7</v>
      </c>
      <c r="AF89" s="76" t="str">
        <f t="shared" ca="1" si="70"/>
        <v>—</v>
      </c>
      <c r="AG89" s="15">
        <f t="shared" ca="1" si="71"/>
        <v>7</v>
      </c>
      <c r="AH89" s="9" t="str">
        <f t="shared" ca="1" si="72"/>
        <v>—</v>
      </c>
      <c r="AI89" s="15">
        <f t="shared" ca="1" si="73"/>
        <v>7</v>
      </c>
      <c r="AJ89" s="26" t="str">
        <f t="shared" ca="1" si="74"/>
        <v>—</v>
      </c>
      <c r="AK89" s="15">
        <f t="shared" ca="1" si="75"/>
        <v>7</v>
      </c>
      <c r="AL89" s="9" t="str">
        <f t="shared" ca="1" si="76"/>
        <v>—</v>
      </c>
      <c r="AM89" s="15">
        <f t="shared" ca="1" si="77"/>
        <v>7</v>
      </c>
      <c r="AN89" s="9" t="str">
        <f t="shared" ca="1" si="78"/>
        <v>—</v>
      </c>
      <c r="AO89" s="15">
        <f t="shared" ca="1" si="79"/>
        <v>7</v>
      </c>
    </row>
    <row r="90" spans="1:41" x14ac:dyDescent="0.25">
      <c r="A90" s="4">
        <f t="shared" si="40"/>
        <v>78989</v>
      </c>
      <c r="B90" t="str">
        <f ca="1">TEXT(DATE(YEAR(Invoer!$A$5),1,1)+ROWS(B$2:B90)-1,"jjjjmmdd")</f>
        <v>19130330</v>
      </c>
      <c r="C90" s="72">
        <f t="shared" si="41"/>
        <v>800</v>
      </c>
      <c r="D90" s="16" t="str">
        <f t="shared" ca="1" si="42"/>
        <v>—</v>
      </c>
      <c r="E90" s="15">
        <f t="shared" ca="1" si="43"/>
        <v>7</v>
      </c>
      <c r="F90" s="73" t="str">
        <f t="shared" ca="1" si="44"/>
        <v>—</v>
      </c>
      <c r="G90" s="15">
        <f t="shared" ca="1" si="45"/>
        <v>7</v>
      </c>
      <c r="H90" s="73" t="str">
        <f t="shared" ca="1" si="46"/>
        <v>—</v>
      </c>
      <c r="I90" s="15">
        <f t="shared" ca="1" si="47"/>
        <v>7</v>
      </c>
      <c r="J90" s="73" t="str">
        <f t="shared" ca="1" si="48"/>
        <v>—</v>
      </c>
      <c r="K90" s="15">
        <f t="shared" ca="1" si="49"/>
        <v>7</v>
      </c>
      <c r="L90" s="16" t="str">
        <f t="shared" ca="1" si="50"/>
        <v>—</v>
      </c>
      <c r="M90" s="15">
        <f t="shared" ca="1" si="51"/>
        <v>7</v>
      </c>
      <c r="N90" s="16" t="str">
        <f t="shared" ca="1" si="52"/>
        <v>—</v>
      </c>
      <c r="O90" s="15">
        <f t="shared" ca="1" si="53"/>
        <v>7</v>
      </c>
      <c r="P90" s="16" t="str">
        <f t="shared" ca="1" si="54"/>
        <v>—</v>
      </c>
      <c r="Q90" s="15">
        <f t="shared" ca="1" si="55"/>
        <v>7</v>
      </c>
      <c r="R90" s="16" t="str">
        <f t="shared" ca="1" si="56"/>
        <v>—</v>
      </c>
      <c r="S90" s="15">
        <f t="shared" ca="1" si="57"/>
        <v>7</v>
      </c>
      <c r="T90" s="9" t="str">
        <f t="shared" ca="1" si="58"/>
        <v>—</v>
      </c>
      <c r="U90" s="15">
        <f t="shared" ca="1" si="59"/>
        <v>7</v>
      </c>
      <c r="V90" s="16" t="str">
        <f t="shared" ca="1" si="60"/>
        <v>—</v>
      </c>
      <c r="W90" s="15">
        <f t="shared" ca="1" si="61"/>
        <v>7</v>
      </c>
      <c r="X90" s="16" t="str">
        <f t="shared" ca="1" si="62"/>
        <v>—</v>
      </c>
      <c r="Y90" s="15">
        <f t="shared" ca="1" si="63"/>
        <v>7</v>
      </c>
      <c r="Z90" s="16" t="str">
        <f t="shared" ca="1" si="64"/>
        <v>—</v>
      </c>
      <c r="AA90" s="15">
        <f t="shared" ca="1" si="65"/>
        <v>7</v>
      </c>
      <c r="AB90" s="9" t="str">
        <f t="shared" ca="1" si="66"/>
        <v>—</v>
      </c>
      <c r="AC90" s="15">
        <f t="shared" ca="1" si="67"/>
        <v>7</v>
      </c>
      <c r="AD90" s="76" t="str">
        <f t="shared" ca="1" si="68"/>
        <v>—</v>
      </c>
      <c r="AE90" s="15">
        <f t="shared" ca="1" si="69"/>
        <v>7</v>
      </c>
      <c r="AF90" s="76" t="str">
        <f t="shared" ca="1" si="70"/>
        <v>—</v>
      </c>
      <c r="AG90" s="15">
        <f t="shared" ca="1" si="71"/>
        <v>7</v>
      </c>
      <c r="AH90" s="9" t="str">
        <f t="shared" ca="1" si="72"/>
        <v>—</v>
      </c>
      <c r="AI90" s="15">
        <f t="shared" ca="1" si="73"/>
        <v>7</v>
      </c>
      <c r="AJ90" s="26" t="str">
        <f t="shared" ca="1" si="74"/>
        <v>—</v>
      </c>
      <c r="AK90" s="15">
        <f t="shared" ca="1" si="75"/>
        <v>7</v>
      </c>
      <c r="AL90" s="9" t="str">
        <f t="shared" ca="1" si="76"/>
        <v>—</v>
      </c>
      <c r="AM90" s="15">
        <f t="shared" ca="1" si="77"/>
        <v>7</v>
      </c>
      <c r="AN90" s="9" t="str">
        <f t="shared" ca="1" si="78"/>
        <v>—</v>
      </c>
      <c r="AO90" s="15">
        <f t="shared" ca="1" si="79"/>
        <v>7</v>
      </c>
    </row>
    <row r="91" spans="1:41" x14ac:dyDescent="0.25">
      <c r="A91" s="4">
        <f t="shared" si="40"/>
        <v>78989</v>
      </c>
      <c r="B91" t="str">
        <f ca="1">TEXT(DATE(YEAR(Invoer!$A$5),1,1)+ROWS(B$2:B91)-1,"jjjjmmdd")</f>
        <v>19130331</v>
      </c>
      <c r="C91" s="72">
        <f t="shared" si="41"/>
        <v>800</v>
      </c>
      <c r="D91" s="16" t="str">
        <f t="shared" ca="1" si="42"/>
        <v>—</v>
      </c>
      <c r="E91" s="15">
        <f t="shared" ca="1" si="43"/>
        <v>7</v>
      </c>
      <c r="F91" s="73" t="str">
        <f t="shared" ca="1" si="44"/>
        <v>—</v>
      </c>
      <c r="G91" s="15">
        <f t="shared" ca="1" si="45"/>
        <v>7</v>
      </c>
      <c r="H91" s="73" t="str">
        <f t="shared" ca="1" si="46"/>
        <v>—</v>
      </c>
      <c r="I91" s="15">
        <f t="shared" ca="1" si="47"/>
        <v>7</v>
      </c>
      <c r="J91" s="73" t="str">
        <f t="shared" ca="1" si="48"/>
        <v>—</v>
      </c>
      <c r="K91" s="15">
        <f t="shared" ca="1" si="49"/>
        <v>7</v>
      </c>
      <c r="L91" s="16" t="str">
        <f t="shared" ca="1" si="50"/>
        <v>—</v>
      </c>
      <c r="M91" s="15">
        <f t="shared" ca="1" si="51"/>
        <v>7</v>
      </c>
      <c r="N91" s="16" t="str">
        <f t="shared" ca="1" si="52"/>
        <v>—</v>
      </c>
      <c r="O91" s="15">
        <f t="shared" ca="1" si="53"/>
        <v>7</v>
      </c>
      <c r="P91" s="16" t="str">
        <f t="shared" ca="1" si="54"/>
        <v>—</v>
      </c>
      <c r="Q91" s="15">
        <f t="shared" ca="1" si="55"/>
        <v>7</v>
      </c>
      <c r="R91" s="16" t="str">
        <f t="shared" ca="1" si="56"/>
        <v>—</v>
      </c>
      <c r="S91" s="15">
        <f t="shared" ca="1" si="57"/>
        <v>7</v>
      </c>
      <c r="T91" s="9" t="str">
        <f t="shared" ca="1" si="58"/>
        <v>—</v>
      </c>
      <c r="U91" s="15">
        <f t="shared" ca="1" si="59"/>
        <v>7</v>
      </c>
      <c r="V91" s="16" t="str">
        <f t="shared" ca="1" si="60"/>
        <v>—</v>
      </c>
      <c r="W91" s="15">
        <f t="shared" ca="1" si="61"/>
        <v>7</v>
      </c>
      <c r="X91" s="16" t="str">
        <f t="shared" ca="1" si="62"/>
        <v>—</v>
      </c>
      <c r="Y91" s="15">
        <f t="shared" ca="1" si="63"/>
        <v>7</v>
      </c>
      <c r="Z91" s="16" t="str">
        <f t="shared" ca="1" si="64"/>
        <v>—</v>
      </c>
      <c r="AA91" s="15">
        <f t="shared" ca="1" si="65"/>
        <v>7</v>
      </c>
      <c r="AB91" s="9" t="str">
        <f t="shared" ca="1" si="66"/>
        <v>—</v>
      </c>
      <c r="AC91" s="15">
        <f t="shared" ca="1" si="67"/>
        <v>7</v>
      </c>
      <c r="AD91" s="76" t="str">
        <f t="shared" ca="1" si="68"/>
        <v>—</v>
      </c>
      <c r="AE91" s="15">
        <f t="shared" ca="1" si="69"/>
        <v>7</v>
      </c>
      <c r="AF91" s="76" t="str">
        <f t="shared" ca="1" si="70"/>
        <v>—</v>
      </c>
      <c r="AG91" s="15">
        <f t="shared" ca="1" si="71"/>
        <v>7</v>
      </c>
      <c r="AH91" s="9" t="str">
        <f t="shared" ca="1" si="72"/>
        <v>—</v>
      </c>
      <c r="AI91" s="15">
        <f t="shared" ca="1" si="73"/>
        <v>7</v>
      </c>
      <c r="AJ91" s="26" t="str">
        <f t="shared" ca="1" si="74"/>
        <v>—</v>
      </c>
      <c r="AK91" s="15">
        <f t="shared" ca="1" si="75"/>
        <v>7</v>
      </c>
      <c r="AL91" s="9" t="str">
        <f t="shared" ca="1" si="76"/>
        <v>—</v>
      </c>
      <c r="AM91" s="15">
        <f t="shared" ca="1" si="77"/>
        <v>7</v>
      </c>
      <c r="AN91" s="9" t="str">
        <f t="shared" ca="1" si="78"/>
        <v>—</v>
      </c>
      <c r="AO91" s="15">
        <f t="shared" ca="1" si="79"/>
        <v>7</v>
      </c>
    </row>
    <row r="92" spans="1:41" x14ac:dyDescent="0.25">
      <c r="A92" s="4">
        <f t="shared" si="40"/>
        <v>78989</v>
      </c>
      <c r="B92" t="str">
        <f ca="1">TEXT(DATE(YEAR(Invoer!$A$5),1,1)+ROWS(B$2:B92)-1,"jjjjmmdd")</f>
        <v>19130401</v>
      </c>
      <c r="C92" s="72">
        <f t="shared" si="41"/>
        <v>800</v>
      </c>
      <c r="D92" s="16" t="str">
        <f t="shared" ca="1" si="42"/>
        <v>—</v>
      </c>
      <c r="E92" s="15">
        <f t="shared" ca="1" si="43"/>
        <v>7</v>
      </c>
      <c r="F92" s="73" t="str">
        <f t="shared" ca="1" si="44"/>
        <v>—</v>
      </c>
      <c r="G92" s="15">
        <f t="shared" ca="1" si="45"/>
        <v>7</v>
      </c>
      <c r="H92" s="73" t="str">
        <f t="shared" ca="1" si="46"/>
        <v>—</v>
      </c>
      <c r="I92" s="15">
        <f t="shared" ca="1" si="47"/>
        <v>7</v>
      </c>
      <c r="J92" s="73" t="str">
        <f t="shared" ca="1" si="48"/>
        <v>—</v>
      </c>
      <c r="K92" s="15">
        <f t="shared" ca="1" si="49"/>
        <v>7</v>
      </c>
      <c r="L92" s="16" t="str">
        <f t="shared" ca="1" si="50"/>
        <v>—</v>
      </c>
      <c r="M92" s="15">
        <f t="shared" ca="1" si="51"/>
        <v>7</v>
      </c>
      <c r="N92" s="16" t="str">
        <f t="shared" ca="1" si="52"/>
        <v>—</v>
      </c>
      <c r="O92" s="15">
        <f t="shared" ca="1" si="53"/>
        <v>7</v>
      </c>
      <c r="P92" s="16" t="str">
        <f t="shared" ca="1" si="54"/>
        <v>—</v>
      </c>
      <c r="Q92" s="15">
        <f t="shared" ca="1" si="55"/>
        <v>7</v>
      </c>
      <c r="R92" s="16" t="str">
        <f t="shared" ca="1" si="56"/>
        <v>—</v>
      </c>
      <c r="S92" s="15">
        <f t="shared" ca="1" si="57"/>
        <v>7</v>
      </c>
      <c r="T92" s="9" t="str">
        <f t="shared" ca="1" si="58"/>
        <v>—</v>
      </c>
      <c r="U92" s="15">
        <f t="shared" ca="1" si="59"/>
        <v>7</v>
      </c>
      <c r="V92" s="16" t="str">
        <f t="shared" ca="1" si="60"/>
        <v>—</v>
      </c>
      <c r="W92" s="15">
        <f t="shared" ca="1" si="61"/>
        <v>7</v>
      </c>
      <c r="X92" s="16" t="str">
        <f t="shared" ca="1" si="62"/>
        <v>—</v>
      </c>
      <c r="Y92" s="15">
        <f t="shared" ca="1" si="63"/>
        <v>7</v>
      </c>
      <c r="Z92" s="16" t="str">
        <f t="shared" ca="1" si="64"/>
        <v>—</v>
      </c>
      <c r="AA92" s="15">
        <f t="shared" ca="1" si="65"/>
        <v>7</v>
      </c>
      <c r="AB92" s="9" t="str">
        <f t="shared" ca="1" si="66"/>
        <v>—</v>
      </c>
      <c r="AC92" s="15">
        <f t="shared" ca="1" si="67"/>
        <v>7</v>
      </c>
      <c r="AD92" s="76" t="str">
        <f t="shared" ca="1" si="68"/>
        <v>—</v>
      </c>
      <c r="AE92" s="15">
        <f t="shared" ca="1" si="69"/>
        <v>7</v>
      </c>
      <c r="AF92" s="76" t="str">
        <f t="shared" ca="1" si="70"/>
        <v>—</v>
      </c>
      <c r="AG92" s="15">
        <f t="shared" ca="1" si="71"/>
        <v>7</v>
      </c>
      <c r="AH92" s="9" t="str">
        <f t="shared" ca="1" si="72"/>
        <v>—</v>
      </c>
      <c r="AI92" s="15">
        <f t="shared" ca="1" si="73"/>
        <v>7</v>
      </c>
      <c r="AJ92" s="26" t="str">
        <f t="shared" ca="1" si="74"/>
        <v>—</v>
      </c>
      <c r="AK92" s="15">
        <f t="shared" ca="1" si="75"/>
        <v>7</v>
      </c>
      <c r="AL92" s="9" t="str">
        <f t="shared" ca="1" si="76"/>
        <v>—</v>
      </c>
      <c r="AM92" s="15">
        <f t="shared" ca="1" si="77"/>
        <v>7</v>
      </c>
      <c r="AN92" s="9" t="str">
        <f t="shared" ca="1" si="78"/>
        <v>—</v>
      </c>
      <c r="AO92" s="15">
        <f t="shared" ca="1" si="79"/>
        <v>7</v>
      </c>
    </row>
    <row r="93" spans="1:41" x14ac:dyDescent="0.25">
      <c r="A93" s="4">
        <f t="shared" si="40"/>
        <v>78989</v>
      </c>
      <c r="B93" t="str">
        <f ca="1">TEXT(DATE(YEAR(Invoer!$A$5),1,1)+ROWS(B$2:B93)-1,"jjjjmmdd")</f>
        <v>19130402</v>
      </c>
      <c r="C93" s="72">
        <f t="shared" si="41"/>
        <v>800</v>
      </c>
      <c r="D93" s="16" t="str">
        <f t="shared" ca="1" si="42"/>
        <v>—</v>
      </c>
      <c r="E93" s="15">
        <f t="shared" ca="1" si="43"/>
        <v>7</v>
      </c>
      <c r="F93" s="73" t="str">
        <f t="shared" ca="1" si="44"/>
        <v>—</v>
      </c>
      <c r="G93" s="15">
        <f t="shared" ca="1" si="45"/>
        <v>7</v>
      </c>
      <c r="H93" s="73" t="str">
        <f t="shared" ca="1" si="46"/>
        <v>—</v>
      </c>
      <c r="I93" s="15">
        <f t="shared" ca="1" si="47"/>
        <v>7</v>
      </c>
      <c r="J93" s="73" t="str">
        <f t="shared" ca="1" si="48"/>
        <v>—</v>
      </c>
      <c r="K93" s="15">
        <f t="shared" ca="1" si="49"/>
        <v>7</v>
      </c>
      <c r="L93" s="16" t="str">
        <f t="shared" ca="1" si="50"/>
        <v>—</v>
      </c>
      <c r="M93" s="15">
        <f t="shared" ca="1" si="51"/>
        <v>7</v>
      </c>
      <c r="N93" s="16" t="str">
        <f t="shared" ca="1" si="52"/>
        <v>—</v>
      </c>
      <c r="O93" s="15">
        <f t="shared" ca="1" si="53"/>
        <v>7</v>
      </c>
      <c r="P93" s="16" t="str">
        <f t="shared" ca="1" si="54"/>
        <v>—</v>
      </c>
      <c r="Q93" s="15">
        <f t="shared" ca="1" si="55"/>
        <v>7</v>
      </c>
      <c r="R93" s="16" t="str">
        <f t="shared" ca="1" si="56"/>
        <v>—</v>
      </c>
      <c r="S93" s="15">
        <f t="shared" ca="1" si="57"/>
        <v>7</v>
      </c>
      <c r="T93" s="9" t="str">
        <f t="shared" ca="1" si="58"/>
        <v>—</v>
      </c>
      <c r="U93" s="15">
        <f t="shared" ca="1" si="59"/>
        <v>7</v>
      </c>
      <c r="V93" s="16" t="str">
        <f t="shared" ca="1" si="60"/>
        <v>—</v>
      </c>
      <c r="W93" s="15">
        <f t="shared" ca="1" si="61"/>
        <v>7</v>
      </c>
      <c r="X93" s="16" t="str">
        <f t="shared" ca="1" si="62"/>
        <v>—</v>
      </c>
      <c r="Y93" s="15">
        <f t="shared" ca="1" si="63"/>
        <v>7</v>
      </c>
      <c r="Z93" s="16" t="str">
        <f t="shared" ca="1" si="64"/>
        <v>—</v>
      </c>
      <c r="AA93" s="15">
        <f t="shared" ca="1" si="65"/>
        <v>7</v>
      </c>
      <c r="AB93" s="9" t="str">
        <f t="shared" ca="1" si="66"/>
        <v>—</v>
      </c>
      <c r="AC93" s="15">
        <f t="shared" ca="1" si="67"/>
        <v>7</v>
      </c>
      <c r="AD93" s="76" t="str">
        <f t="shared" ca="1" si="68"/>
        <v>—</v>
      </c>
      <c r="AE93" s="15">
        <f t="shared" ca="1" si="69"/>
        <v>7</v>
      </c>
      <c r="AF93" s="76" t="str">
        <f t="shared" ca="1" si="70"/>
        <v>—</v>
      </c>
      <c r="AG93" s="15">
        <f t="shared" ca="1" si="71"/>
        <v>7</v>
      </c>
      <c r="AH93" s="9" t="str">
        <f t="shared" ca="1" si="72"/>
        <v>—</v>
      </c>
      <c r="AI93" s="15">
        <f t="shared" ca="1" si="73"/>
        <v>7</v>
      </c>
      <c r="AJ93" s="26" t="str">
        <f t="shared" ca="1" si="74"/>
        <v>—</v>
      </c>
      <c r="AK93" s="15">
        <f t="shared" ca="1" si="75"/>
        <v>7</v>
      </c>
      <c r="AL93" s="9" t="str">
        <f t="shared" ca="1" si="76"/>
        <v>—</v>
      </c>
      <c r="AM93" s="15">
        <f t="shared" ca="1" si="77"/>
        <v>7</v>
      </c>
      <c r="AN93" s="9" t="str">
        <f t="shared" ca="1" si="78"/>
        <v>—</v>
      </c>
      <c r="AO93" s="15">
        <f t="shared" ca="1" si="79"/>
        <v>7</v>
      </c>
    </row>
    <row r="94" spans="1:41" x14ac:dyDescent="0.25">
      <c r="A94" s="4">
        <f t="shared" si="40"/>
        <v>78989</v>
      </c>
      <c r="B94" t="str">
        <f ca="1">TEXT(DATE(YEAR(Invoer!$A$5),1,1)+ROWS(B$2:B94)-1,"jjjjmmdd")</f>
        <v>19130403</v>
      </c>
      <c r="C94" s="72">
        <f t="shared" si="41"/>
        <v>800</v>
      </c>
      <c r="D94" s="16" t="str">
        <f t="shared" ca="1" si="42"/>
        <v>—</v>
      </c>
      <c r="E94" s="15">
        <f t="shared" ca="1" si="43"/>
        <v>7</v>
      </c>
      <c r="F94" s="73" t="str">
        <f t="shared" ca="1" si="44"/>
        <v>—</v>
      </c>
      <c r="G94" s="15">
        <f t="shared" ca="1" si="45"/>
        <v>7</v>
      </c>
      <c r="H94" s="73" t="str">
        <f t="shared" ca="1" si="46"/>
        <v>—</v>
      </c>
      <c r="I94" s="15">
        <f t="shared" ca="1" si="47"/>
        <v>7</v>
      </c>
      <c r="J94" s="73" t="str">
        <f t="shared" ca="1" si="48"/>
        <v>—</v>
      </c>
      <c r="K94" s="15">
        <f t="shared" ca="1" si="49"/>
        <v>7</v>
      </c>
      <c r="L94" s="16" t="str">
        <f t="shared" ca="1" si="50"/>
        <v>—</v>
      </c>
      <c r="M94" s="15">
        <f t="shared" ca="1" si="51"/>
        <v>7</v>
      </c>
      <c r="N94" s="16" t="str">
        <f t="shared" ca="1" si="52"/>
        <v>—</v>
      </c>
      <c r="O94" s="15">
        <f t="shared" ca="1" si="53"/>
        <v>7</v>
      </c>
      <c r="P94" s="16" t="str">
        <f t="shared" ca="1" si="54"/>
        <v>—</v>
      </c>
      <c r="Q94" s="15">
        <f t="shared" ca="1" si="55"/>
        <v>7</v>
      </c>
      <c r="R94" s="16" t="str">
        <f t="shared" ca="1" si="56"/>
        <v>—</v>
      </c>
      <c r="S94" s="15">
        <f t="shared" ca="1" si="57"/>
        <v>7</v>
      </c>
      <c r="T94" s="9" t="str">
        <f t="shared" ca="1" si="58"/>
        <v>—</v>
      </c>
      <c r="U94" s="15">
        <f t="shared" ca="1" si="59"/>
        <v>7</v>
      </c>
      <c r="V94" s="16" t="str">
        <f t="shared" ca="1" si="60"/>
        <v>—</v>
      </c>
      <c r="W94" s="15">
        <f t="shared" ca="1" si="61"/>
        <v>7</v>
      </c>
      <c r="X94" s="16" t="str">
        <f t="shared" ca="1" si="62"/>
        <v>—</v>
      </c>
      <c r="Y94" s="15">
        <f t="shared" ca="1" si="63"/>
        <v>7</v>
      </c>
      <c r="Z94" s="16" t="str">
        <f t="shared" ca="1" si="64"/>
        <v>—</v>
      </c>
      <c r="AA94" s="15">
        <f t="shared" ca="1" si="65"/>
        <v>7</v>
      </c>
      <c r="AB94" s="9" t="str">
        <f t="shared" ca="1" si="66"/>
        <v>—</v>
      </c>
      <c r="AC94" s="15">
        <f t="shared" ca="1" si="67"/>
        <v>7</v>
      </c>
      <c r="AD94" s="76" t="str">
        <f t="shared" ca="1" si="68"/>
        <v>—</v>
      </c>
      <c r="AE94" s="15">
        <f t="shared" ca="1" si="69"/>
        <v>7</v>
      </c>
      <c r="AF94" s="76" t="str">
        <f t="shared" ca="1" si="70"/>
        <v>—</v>
      </c>
      <c r="AG94" s="15">
        <f t="shared" ca="1" si="71"/>
        <v>7</v>
      </c>
      <c r="AH94" s="9" t="str">
        <f t="shared" ca="1" si="72"/>
        <v>—</v>
      </c>
      <c r="AI94" s="15">
        <f t="shared" ca="1" si="73"/>
        <v>7</v>
      </c>
      <c r="AJ94" s="26" t="str">
        <f t="shared" ca="1" si="74"/>
        <v>—</v>
      </c>
      <c r="AK94" s="15">
        <f t="shared" ca="1" si="75"/>
        <v>7</v>
      </c>
      <c r="AL94" s="9" t="str">
        <f t="shared" ca="1" si="76"/>
        <v>—</v>
      </c>
      <c r="AM94" s="15">
        <f t="shared" ca="1" si="77"/>
        <v>7</v>
      </c>
      <c r="AN94" s="9" t="str">
        <f t="shared" ca="1" si="78"/>
        <v>—</v>
      </c>
      <c r="AO94" s="15">
        <f t="shared" ca="1" si="79"/>
        <v>7</v>
      </c>
    </row>
    <row r="95" spans="1:41" x14ac:dyDescent="0.25">
      <c r="A95" s="4">
        <f t="shared" si="40"/>
        <v>78989</v>
      </c>
      <c r="B95" t="str">
        <f ca="1">TEXT(DATE(YEAR(Invoer!$A$5),1,1)+ROWS(B$2:B95)-1,"jjjjmmdd")</f>
        <v>19130404</v>
      </c>
      <c r="C95" s="72">
        <f t="shared" si="41"/>
        <v>800</v>
      </c>
      <c r="D95" s="16" t="str">
        <f t="shared" ca="1" si="42"/>
        <v>—</v>
      </c>
      <c r="E95" s="15">
        <f t="shared" ca="1" si="43"/>
        <v>7</v>
      </c>
      <c r="F95" s="73" t="str">
        <f t="shared" ca="1" si="44"/>
        <v>—</v>
      </c>
      <c r="G95" s="15">
        <f t="shared" ca="1" si="45"/>
        <v>7</v>
      </c>
      <c r="H95" s="73" t="str">
        <f t="shared" ca="1" si="46"/>
        <v>—</v>
      </c>
      <c r="I95" s="15">
        <f t="shared" ca="1" si="47"/>
        <v>7</v>
      </c>
      <c r="J95" s="73" t="str">
        <f t="shared" ca="1" si="48"/>
        <v>—</v>
      </c>
      <c r="K95" s="15">
        <f t="shared" ca="1" si="49"/>
        <v>7</v>
      </c>
      <c r="L95" s="16" t="str">
        <f t="shared" ca="1" si="50"/>
        <v>—</v>
      </c>
      <c r="M95" s="15">
        <f t="shared" ca="1" si="51"/>
        <v>7</v>
      </c>
      <c r="N95" s="16" t="str">
        <f t="shared" ca="1" si="52"/>
        <v>—</v>
      </c>
      <c r="O95" s="15">
        <f t="shared" ca="1" si="53"/>
        <v>7</v>
      </c>
      <c r="P95" s="16" t="str">
        <f t="shared" ca="1" si="54"/>
        <v>—</v>
      </c>
      <c r="Q95" s="15">
        <f t="shared" ca="1" si="55"/>
        <v>7</v>
      </c>
      <c r="R95" s="16" t="str">
        <f t="shared" ca="1" si="56"/>
        <v>—</v>
      </c>
      <c r="S95" s="15">
        <f t="shared" ca="1" si="57"/>
        <v>7</v>
      </c>
      <c r="T95" s="9" t="str">
        <f t="shared" ca="1" si="58"/>
        <v>—</v>
      </c>
      <c r="U95" s="15">
        <f t="shared" ca="1" si="59"/>
        <v>7</v>
      </c>
      <c r="V95" s="16" t="str">
        <f t="shared" ca="1" si="60"/>
        <v>—</v>
      </c>
      <c r="W95" s="15">
        <f t="shared" ca="1" si="61"/>
        <v>7</v>
      </c>
      <c r="X95" s="16" t="str">
        <f t="shared" ca="1" si="62"/>
        <v>—</v>
      </c>
      <c r="Y95" s="15">
        <f t="shared" ca="1" si="63"/>
        <v>7</v>
      </c>
      <c r="Z95" s="16" t="str">
        <f t="shared" ca="1" si="64"/>
        <v>—</v>
      </c>
      <c r="AA95" s="15">
        <f t="shared" ca="1" si="65"/>
        <v>7</v>
      </c>
      <c r="AB95" s="9" t="str">
        <f t="shared" ca="1" si="66"/>
        <v>—</v>
      </c>
      <c r="AC95" s="15">
        <f t="shared" ca="1" si="67"/>
        <v>7</v>
      </c>
      <c r="AD95" s="76" t="str">
        <f t="shared" ca="1" si="68"/>
        <v>—</v>
      </c>
      <c r="AE95" s="15">
        <f t="shared" ca="1" si="69"/>
        <v>7</v>
      </c>
      <c r="AF95" s="76" t="str">
        <f t="shared" ca="1" si="70"/>
        <v>—</v>
      </c>
      <c r="AG95" s="15">
        <f t="shared" ca="1" si="71"/>
        <v>7</v>
      </c>
      <c r="AH95" s="9" t="str">
        <f t="shared" ca="1" si="72"/>
        <v>—</v>
      </c>
      <c r="AI95" s="15">
        <f t="shared" ca="1" si="73"/>
        <v>7</v>
      </c>
      <c r="AJ95" s="26" t="str">
        <f t="shared" ca="1" si="74"/>
        <v>—</v>
      </c>
      <c r="AK95" s="15">
        <f t="shared" ca="1" si="75"/>
        <v>7</v>
      </c>
      <c r="AL95" s="9" t="str">
        <f t="shared" ca="1" si="76"/>
        <v>—</v>
      </c>
      <c r="AM95" s="15">
        <f t="shared" ca="1" si="77"/>
        <v>7</v>
      </c>
      <c r="AN95" s="9" t="str">
        <f t="shared" ca="1" si="78"/>
        <v>—</v>
      </c>
      <c r="AO95" s="15">
        <f t="shared" ca="1" si="79"/>
        <v>7</v>
      </c>
    </row>
    <row r="96" spans="1:41" x14ac:dyDescent="0.25">
      <c r="A96" s="4">
        <f t="shared" si="40"/>
        <v>78989</v>
      </c>
      <c r="B96" t="str">
        <f ca="1">TEXT(DATE(YEAR(Invoer!$A$5),1,1)+ROWS(B$2:B96)-1,"jjjjmmdd")</f>
        <v>19130405</v>
      </c>
      <c r="C96" s="72">
        <f t="shared" si="41"/>
        <v>800</v>
      </c>
      <c r="D96" s="16" t="str">
        <f t="shared" ca="1" si="42"/>
        <v>—</v>
      </c>
      <c r="E96" s="15">
        <f t="shared" ca="1" si="43"/>
        <v>7</v>
      </c>
      <c r="F96" s="73" t="str">
        <f t="shared" ca="1" si="44"/>
        <v>—</v>
      </c>
      <c r="G96" s="15">
        <f t="shared" ca="1" si="45"/>
        <v>7</v>
      </c>
      <c r="H96" s="73" t="str">
        <f t="shared" ca="1" si="46"/>
        <v>—</v>
      </c>
      <c r="I96" s="15">
        <f t="shared" ca="1" si="47"/>
        <v>7</v>
      </c>
      <c r="J96" s="73" t="str">
        <f t="shared" ca="1" si="48"/>
        <v>—</v>
      </c>
      <c r="K96" s="15">
        <f t="shared" ca="1" si="49"/>
        <v>7</v>
      </c>
      <c r="L96" s="16" t="str">
        <f t="shared" ca="1" si="50"/>
        <v>—</v>
      </c>
      <c r="M96" s="15">
        <f t="shared" ca="1" si="51"/>
        <v>7</v>
      </c>
      <c r="N96" s="16" t="str">
        <f t="shared" ca="1" si="52"/>
        <v>—</v>
      </c>
      <c r="O96" s="15">
        <f t="shared" ca="1" si="53"/>
        <v>7</v>
      </c>
      <c r="P96" s="16" t="str">
        <f t="shared" ca="1" si="54"/>
        <v>—</v>
      </c>
      <c r="Q96" s="15">
        <f t="shared" ca="1" si="55"/>
        <v>7</v>
      </c>
      <c r="R96" s="16" t="str">
        <f t="shared" ca="1" si="56"/>
        <v>—</v>
      </c>
      <c r="S96" s="15">
        <f t="shared" ca="1" si="57"/>
        <v>7</v>
      </c>
      <c r="T96" s="9" t="str">
        <f t="shared" ca="1" si="58"/>
        <v>—</v>
      </c>
      <c r="U96" s="15">
        <f t="shared" ca="1" si="59"/>
        <v>7</v>
      </c>
      <c r="V96" s="16" t="str">
        <f t="shared" ca="1" si="60"/>
        <v>—</v>
      </c>
      <c r="W96" s="15">
        <f t="shared" ca="1" si="61"/>
        <v>7</v>
      </c>
      <c r="X96" s="16" t="str">
        <f t="shared" ca="1" si="62"/>
        <v>—</v>
      </c>
      <c r="Y96" s="15">
        <f t="shared" ca="1" si="63"/>
        <v>7</v>
      </c>
      <c r="Z96" s="16" t="str">
        <f t="shared" ca="1" si="64"/>
        <v>—</v>
      </c>
      <c r="AA96" s="15">
        <f t="shared" ca="1" si="65"/>
        <v>7</v>
      </c>
      <c r="AB96" s="9" t="str">
        <f t="shared" ca="1" si="66"/>
        <v>—</v>
      </c>
      <c r="AC96" s="15">
        <f t="shared" ca="1" si="67"/>
        <v>7</v>
      </c>
      <c r="AD96" s="76" t="str">
        <f t="shared" ca="1" si="68"/>
        <v>—</v>
      </c>
      <c r="AE96" s="15">
        <f t="shared" ca="1" si="69"/>
        <v>7</v>
      </c>
      <c r="AF96" s="76" t="str">
        <f t="shared" ca="1" si="70"/>
        <v>—</v>
      </c>
      <c r="AG96" s="15">
        <f t="shared" ca="1" si="71"/>
        <v>7</v>
      </c>
      <c r="AH96" s="9" t="str">
        <f t="shared" ca="1" si="72"/>
        <v>—</v>
      </c>
      <c r="AI96" s="15">
        <f t="shared" ca="1" si="73"/>
        <v>7</v>
      </c>
      <c r="AJ96" s="26" t="str">
        <f t="shared" ca="1" si="74"/>
        <v>—</v>
      </c>
      <c r="AK96" s="15">
        <f t="shared" ca="1" si="75"/>
        <v>7</v>
      </c>
      <c r="AL96" s="9" t="str">
        <f t="shared" ca="1" si="76"/>
        <v>—</v>
      </c>
      <c r="AM96" s="15">
        <f t="shared" ca="1" si="77"/>
        <v>7</v>
      </c>
      <c r="AN96" s="9" t="str">
        <f t="shared" ca="1" si="78"/>
        <v>—</v>
      </c>
      <c r="AO96" s="15">
        <f t="shared" ca="1" si="79"/>
        <v>7</v>
      </c>
    </row>
    <row r="97" spans="1:41" x14ac:dyDescent="0.25">
      <c r="A97" s="4">
        <f t="shared" si="40"/>
        <v>78989</v>
      </c>
      <c r="B97" t="str">
        <f ca="1">TEXT(DATE(YEAR(Invoer!$A$5),1,1)+ROWS(B$2:B97)-1,"jjjjmmdd")</f>
        <v>19130406</v>
      </c>
      <c r="C97" s="72">
        <f t="shared" si="41"/>
        <v>800</v>
      </c>
      <c r="D97" s="16" t="str">
        <f t="shared" ca="1" si="42"/>
        <v>—</v>
      </c>
      <c r="E97" s="15">
        <f t="shared" ca="1" si="43"/>
        <v>7</v>
      </c>
      <c r="F97" s="73" t="str">
        <f t="shared" ca="1" si="44"/>
        <v>—</v>
      </c>
      <c r="G97" s="15">
        <f t="shared" ca="1" si="45"/>
        <v>7</v>
      </c>
      <c r="H97" s="73" t="str">
        <f t="shared" ca="1" si="46"/>
        <v>—</v>
      </c>
      <c r="I97" s="15">
        <f t="shared" ca="1" si="47"/>
        <v>7</v>
      </c>
      <c r="J97" s="73" t="str">
        <f t="shared" ca="1" si="48"/>
        <v>—</v>
      </c>
      <c r="K97" s="15">
        <f t="shared" ca="1" si="49"/>
        <v>7</v>
      </c>
      <c r="L97" s="16" t="str">
        <f t="shared" ca="1" si="50"/>
        <v>—</v>
      </c>
      <c r="M97" s="15">
        <f t="shared" ca="1" si="51"/>
        <v>7</v>
      </c>
      <c r="N97" s="16" t="str">
        <f t="shared" ca="1" si="52"/>
        <v>—</v>
      </c>
      <c r="O97" s="15">
        <f t="shared" ca="1" si="53"/>
        <v>7</v>
      </c>
      <c r="P97" s="16" t="str">
        <f t="shared" ca="1" si="54"/>
        <v>—</v>
      </c>
      <c r="Q97" s="15">
        <f t="shared" ca="1" si="55"/>
        <v>7</v>
      </c>
      <c r="R97" s="16" t="str">
        <f t="shared" ca="1" si="56"/>
        <v>—</v>
      </c>
      <c r="S97" s="15">
        <f t="shared" ca="1" si="57"/>
        <v>7</v>
      </c>
      <c r="T97" s="9" t="str">
        <f t="shared" ca="1" si="58"/>
        <v>—</v>
      </c>
      <c r="U97" s="15">
        <f t="shared" ca="1" si="59"/>
        <v>7</v>
      </c>
      <c r="V97" s="16" t="str">
        <f t="shared" ca="1" si="60"/>
        <v>—</v>
      </c>
      <c r="W97" s="15">
        <f t="shared" ca="1" si="61"/>
        <v>7</v>
      </c>
      <c r="X97" s="16" t="str">
        <f t="shared" ca="1" si="62"/>
        <v>—</v>
      </c>
      <c r="Y97" s="15">
        <f t="shared" ca="1" si="63"/>
        <v>7</v>
      </c>
      <c r="Z97" s="16" t="str">
        <f t="shared" ca="1" si="64"/>
        <v>—</v>
      </c>
      <c r="AA97" s="15">
        <f t="shared" ca="1" si="65"/>
        <v>7</v>
      </c>
      <c r="AB97" s="9" t="str">
        <f t="shared" ca="1" si="66"/>
        <v>—</v>
      </c>
      <c r="AC97" s="15">
        <f t="shared" ca="1" si="67"/>
        <v>7</v>
      </c>
      <c r="AD97" s="76" t="str">
        <f t="shared" ca="1" si="68"/>
        <v>—</v>
      </c>
      <c r="AE97" s="15">
        <f t="shared" ca="1" si="69"/>
        <v>7</v>
      </c>
      <c r="AF97" s="76" t="str">
        <f t="shared" ca="1" si="70"/>
        <v>—</v>
      </c>
      <c r="AG97" s="15">
        <f t="shared" ca="1" si="71"/>
        <v>7</v>
      </c>
      <c r="AH97" s="9" t="str">
        <f t="shared" ca="1" si="72"/>
        <v>—</v>
      </c>
      <c r="AI97" s="15">
        <f t="shared" ca="1" si="73"/>
        <v>7</v>
      </c>
      <c r="AJ97" s="26" t="str">
        <f t="shared" ca="1" si="74"/>
        <v>—</v>
      </c>
      <c r="AK97" s="15">
        <f t="shared" ca="1" si="75"/>
        <v>7</v>
      </c>
      <c r="AL97" s="9" t="str">
        <f t="shared" ca="1" si="76"/>
        <v>—</v>
      </c>
      <c r="AM97" s="15">
        <f t="shared" ca="1" si="77"/>
        <v>7</v>
      </c>
      <c r="AN97" s="9" t="str">
        <f t="shared" ca="1" si="78"/>
        <v>—</v>
      </c>
      <c r="AO97" s="15">
        <f t="shared" ca="1" si="79"/>
        <v>7</v>
      </c>
    </row>
    <row r="98" spans="1:41" x14ac:dyDescent="0.25">
      <c r="A98" s="4">
        <f t="shared" si="40"/>
        <v>78989</v>
      </c>
      <c r="B98" t="str">
        <f ca="1">TEXT(DATE(YEAR(Invoer!$A$5),1,1)+ROWS(B$2:B98)-1,"jjjjmmdd")</f>
        <v>19130407</v>
      </c>
      <c r="C98" s="72">
        <f t="shared" si="41"/>
        <v>800</v>
      </c>
      <c r="D98" s="16" t="str">
        <f t="shared" ca="1" si="42"/>
        <v>—</v>
      </c>
      <c r="E98" s="15">
        <f t="shared" ca="1" si="43"/>
        <v>7</v>
      </c>
      <c r="F98" s="73" t="str">
        <f t="shared" ca="1" si="44"/>
        <v>—</v>
      </c>
      <c r="G98" s="15">
        <f t="shared" ca="1" si="45"/>
        <v>7</v>
      </c>
      <c r="H98" s="73" t="str">
        <f t="shared" ca="1" si="46"/>
        <v>—</v>
      </c>
      <c r="I98" s="15">
        <f t="shared" ca="1" si="47"/>
        <v>7</v>
      </c>
      <c r="J98" s="73" t="str">
        <f t="shared" ca="1" si="48"/>
        <v>—</v>
      </c>
      <c r="K98" s="15">
        <f t="shared" ca="1" si="49"/>
        <v>7</v>
      </c>
      <c r="L98" s="16" t="str">
        <f t="shared" ca="1" si="50"/>
        <v>—</v>
      </c>
      <c r="M98" s="15">
        <f t="shared" ca="1" si="51"/>
        <v>7</v>
      </c>
      <c r="N98" s="16" t="str">
        <f t="shared" ca="1" si="52"/>
        <v>—</v>
      </c>
      <c r="O98" s="15">
        <f t="shared" ca="1" si="53"/>
        <v>7</v>
      </c>
      <c r="P98" s="16" t="str">
        <f t="shared" ca="1" si="54"/>
        <v>—</v>
      </c>
      <c r="Q98" s="15">
        <f t="shared" ca="1" si="55"/>
        <v>7</v>
      </c>
      <c r="R98" s="16" t="str">
        <f t="shared" ca="1" si="56"/>
        <v>—</v>
      </c>
      <c r="S98" s="15">
        <f t="shared" ca="1" si="57"/>
        <v>7</v>
      </c>
      <c r="T98" s="9" t="str">
        <f t="shared" ca="1" si="58"/>
        <v>—</v>
      </c>
      <c r="U98" s="15">
        <f t="shared" ca="1" si="59"/>
        <v>7</v>
      </c>
      <c r="V98" s="16" t="str">
        <f t="shared" ca="1" si="60"/>
        <v>—</v>
      </c>
      <c r="W98" s="15">
        <f t="shared" ca="1" si="61"/>
        <v>7</v>
      </c>
      <c r="X98" s="16" t="str">
        <f t="shared" ca="1" si="62"/>
        <v>—</v>
      </c>
      <c r="Y98" s="15">
        <f t="shared" ca="1" si="63"/>
        <v>7</v>
      </c>
      <c r="Z98" s="16" t="str">
        <f t="shared" ca="1" si="64"/>
        <v>—</v>
      </c>
      <c r="AA98" s="15">
        <f t="shared" ca="1" si="65"/>
        <v>7</v>
      </c>
      <c r="AB98" s="9" t="str">
        <f t="shared" ca="1" si="66"/>
        <v>—</v>
      </c>
      <c r="AC98" s="15">
        <f t="shared" ca="1" si="67"/>
        <v>7</v>
      </c>
      <c r="AD98" s="76" t="str">
        <f t="shared" ca="1" si="68"/>
        <v>—</v>
      </c>
      <c r="AE98" s="15">
        <f t="shared" ca="1" si="69"/>
        <v>7</v>
      </c>
      <c r="AF98" s="76" t="str">
        <f t="shared" ca="1" si="70"/>
        <v>—</v>
      </c>
      <c r="AG98" s="15">
        <f t="shared" ca="1" si="71"/>
        <v>7</v>
      </c>
      <c r="AH98" s="9" t="str">
        <f t="shared" ca="1" si="72"/>
        <v>—</v>
      </c>
      <c r="AI98" s="15">
        <f t="shared" ca="1" si="73"/>
        <v>7</v>
      </c>
      <c r="AJ98" s="26" t="str">
        <f t="shared" ca="1" si="74"/>
        <v>—</v>
      </c>
      <c r="AK98" s="15">
        <f t="shared" ca="1" si="75"/>
        <v>7</v>
      </c>
      <c r="AL98" s="9" t="str">
        <f t="shared" ca="1" si="76"/>
        <v>—</v>
      </c>
      <c r="AM98" s="15">
        <f t="shared" ca="1" si="77"/>
        <v>7</v>
      </c>
      <c r="AN98" s="9" t="str">
        <f t="shared" ca="1" si="78"/>
        <v>—</v>
      </c>
      <c r="AO98" s="15">
        <f t="shared" ca="1" si="79"/>
        <v>7</v>
      </c>
    </row>
    <row r="99" spans="1:41" x14ac:dyDescent="0.25">
      <c r="A99" s="4">
        <f t="shared" si="40"/>
        <v>78989</v>
      </c>
      <c r="B99" t="str">
        <f ca="1">TEXT(DATE(YEAR(Invoer!$A$5),1,1)+ROWS(B$2:B99)-1,"jjjjmmdd")</f>
        <v>19130408</v>
      </c>
      <c r="C99" s="72">
        <f t="shared" si="41"/>
        <v>800</v>
      </c>
      <c r="D99" s="16" t="str">
        <f t="shared" ca="1" si="42"/>
        <v>—</v>
      </c>
      <c r="E99" s="15">
        <f t="shared" ca="1" si="43"/>
        <v>7</v>
      </c>
      <c r="F99" s="73" t="str">
        <f t="shared" ca="1" si="44"/>
        <v>—</v>
      </c>
      <c r="G99" s="15">
        <f t="shared" ca="1" si="45"/>
        <v>7</v>
      </c>
      <c r="H99" s="73" t="str">
        <f t="shared" ca="1" si="46"/>
        <v>—</v>
      </c>
      <c r="I99" s="15">
        <f t="shared" ca="1" si="47"/>
        <v>7</v>
      </c>
      <c r="J99" s="73" t="str">
        <f t="shared" ca="1" si="48"/>
        <v>—</v>
      </c>
      <c r="K99" s="15">
        <f t="shared" ca="1" si="49"/>
        <v>7</v>
      </c>
      <c r="L99" s="16" t="str">
        <f t="shared" ca="1" si="50"/>
        <v>—</v>
      </c>
      <c r="M99" s="15">
        <f t="shared" ca="1" si="51"/>
        <v>7</v>
      </c>
      <c r="N99" s="16" t="str">
        <f t="shared" ca="1" si="52"/>
        <v>—</v>
      </c>
      <c r="O99" s="15">
        <f t="shared" ca="1" si="53"/>
        <v>7</v>
      </c>
      <c r="P99" s="16" t="str">
        <f t="shared" ca="1" si="54"/>
        <v>—</v>
      </c>
      <c r="Q99" s="15">
        <f t="shared" ca="1" si="55"/>
        <v>7</v>
      </c>
      <c r="R99" s="16" t="str">
        <f t="shared" ca="1" si="56"/>
        <v>—</v>
      </c>
      <c r="S99" s="15">
        <f t="shared" ca="1" si="57"/>
        <v>7</v>
      </c>
      <c r="T99" s="9" t="str">
        <f t="shared" ca="1" si="58"/>
        <v>—</v>
      </c>
      <c r="U99" s="15">
        <f t="shared" ca="1" si="59"/>
        <v>7</v>
      </c>
      <c r="V99" s="16" t="str">
        <f t="shared" ca="1" si="60"/>
        <v>—</v>
      </c>
      <c r="W99" s="15">
        <f t="shared" ca="1" si="61"/>
        <v>7</v>
      </c>
      <c r="X99" s="16" t="str">
        <f t="shared" ca="1" si="62"/>
        <v>—</v>
      </c>
      <c r="Y99" s="15">
        <f t="shared" ca="1" si="63"/>
        <v>7</v>
      </c>
      <c r="Z99" s="16" t="str">
        <f t="shared" ca="1" si="64"/>
        <v>—</v>
      </c>
      <c r="AA99" s="15">
        <f t="shared" ca="1" si="65"/>
        <v>7</v>
      </c>
      <c r="AB99" s="9" t="str">
        <f t="shared" ca="1" si="66"/>
        <v>—</v>
      </c>
      <c r="AC99" s="15">
        <f t="shared" ca="1" si="67"/>
        <v>7</v>
      </c>
      <c r="AD99" s="76" t="str">
        <f t="shared" ca="1" si="68"/>
        <v>—</v>
      </c>
      <c r="AE99" s="15">
        <f t="shared" ca="1" si="69"/>
        <v>7</v>
      </c>
      <c r="AF99" s="76" t="str">
        <f t="shared" ca="1" si="70"/>
        <v>—</v>
      </c>
      <c r="AG99" s="15">
        <f t="shared" ca="1" si="71"/>
        <v>7</v>
      </c>
      <c r="AH99" s="9" t="str">
        <f t="shared" ca="1" si="72"/>
        <v>—</v>
      </c>
      <c r="AI99" s="15">
        <f t="shared" ca="1" si="73"/>
        <v>7</v>
      </c>
      <c r="AJ99" s="26" t="str">
        <f t="shared" ca="1" si="74"/>
        <v>—</v>
      </c>
      <c r="AK99" s="15">
        <f t="shared" ca="1" si="75"/>
        <v>7</v>
      </c>
      <c r="AL99" s="9" t="str">
        <f t="shared" ca="1" si="76"/>
        <v>—</v>
      </c>
      <c r="AM99" s="15">
        <f t="shared" ca="1" si="77"/>
        <v>7</v>
      </c>
      <c r="AN99" s="9" t="str">
        <f t="shared" ca="1" si="78"/>
        <v>—</v>
      </c>
      <c r="AO99" s="15">
        <f t="shared" ca="1" si="79"/>
        <v>7</v>
      </c>
    </row>
    <row r="100" spans="1:41" x14ac:dyDescent="0.25">
      <c r="A100" s="4">
        <f t="shared" si="40"/>
        <v>78989</v>
      </c>
      <c r="B100" t="str">
        <f ca="1">TEXT(DATE(YEAR(Invoer!$A$5),1,1)+ROWS(B$2:B100)-1,"jjjjmmdd")</f>
        <v>19130409</v>
      </c>
      <c r="C100" s="72">
        <f t="shared" si="41"/>
        <v>800</v>
      </c>
      <c r="D100" s="16" t="str">
        <f t="shared" ca="1" si="42"/>
        <v>—</v>
      </c>
      <c r="E100" s="15">
        <f t="shared" ca="1" si="43"/>
        <v>7</v>
      </c>
      <c r="F100" s="73" t="str">
        <f t="shared" ca="1" si="44"/>
        <v>—</v>
      </c>
      <c r="G100" s="15">
        <f t="shared" ca="1" si="45"/>
        <v>7</v>
      </c>
      <c r="H100" s="73" t="str">
        <f t="shared" ca="1" si="46"/>
        <v>—</v>
      </c>
      <c r="I100" s="15">
        <f t="shared" ca="1" si="47"/>
        <v>7</v>
      </c>
      <c r="J100" s="73" t="str">
        <f t="shared" ca="1" si="48"/>
        <v>—</v>
      </c>
      <c r="K100" s="15">
        <f t="shared" ca="1" si="49"/>
        <v>7</v>
      </c>
      <c r="L100" s="16" t="str">
        <f t="shared" ca="1" si="50"/>
        <v>—</v>
      </c>
      <c r="M100" s="15">
        <f t="shared" ca="1" si="51"/>
        <v>7</v>
      </c>
      <c r="N100" s="16" t="str">
        <f t="shared" ca="1" si="52"/>
        <v>—</v>
      </c>
      <c r="O100" s="15">
        <f t="shared" ca="1" si="53"/>
        <v>7</v>
      </c>
      <c r="P100" s="16" t="str">
        <f t="shared" ca="1" si="54"/>
        <v>—</v>
      </c>
      <c r="Q100" s="15">
        <f t="shared" ca="1" si="55"/>
        <v>7</v>
      </c>
      <c r="R100" s="16" t="str">
        <f t="shared" ca="1" si="56"/>
        <v>—</v>
      </c>
      <c r="S100" s="15">
        <f t="shared" ca="1" si="57"/>
        <v>7</v>
      </c>
      <c r="T100" s="9" t="str">
        <f t="shared" ca="1" si="58"/>
        <v>—</v>
      </c>
      <c r="U100" s="15">
        <f t="shared" ca="1" si="59"/>
        <v>7</v>
      </c>
      <c r="V100" s="16" t="str">
        <f t="shared" ca="1" si="60"/>
        <v>—</v>
      </c>
      <c r="W100" s="15">
        <f t="shared" ca="1" si="61"/>
        <v>7</v>
      </c>
      <c r="X100" s="16" t="str">
        <f t="shared" ca="1" si="62"/>
        <v>—</v>
      </c>
      <c r="Y100" s="15">
        <f t="shared" ca="1" si="63"/>
        <v>7</v>
      </c>
      <c r="Z100" s="16" t="str">
        <f t="shared" ca="1" si="64"/>
        <v>—</v>
      </c>
      <c r="AA100" s="15">
        <f t="shared" ca="1" si="65"/>
        <v>7</v>
      </c>
      <c r="AB100" s="9" t="str">
        <f t="shared" ca="1" si="66"/>
        <v>—</v>
      </c>
      <c r="AC100" s="15">
        <f t="shared" ca="1" si="67"/>
        <v>7</v>
      </c>
      <c r="AD100" s="76" t="str">
        <f t="shared" ca="1" si="68"/>
        <v>—</v>
      </c>
      <c r="AE100" s="15">
        <f t="shared" ca="1" si="69"/>
        <v>7</v>
      </c>
      <c r="AF100" s="76" t="str">
        <f t="shared" ca="1" si="70"/>
        <v>—</v>
      </c>
      <c r="AG100" s="15">
        <f t="shared" ca="1" si="71"/>
        <v>7</v>
      </c>
      <c r="AH100" s="9" t="str">
        <f t="shared" ca="1" si="72"/>
        <v>—</v>
      </c>
      <c r="AI100" s="15">
        <f t="shared" ca="1" si="73"/>
        <v>7</v>
      </c>
      <c r="AJ100" s="26" t="str">
        <f t="shared" ca="1" si="74"/>
        <v>—</v>
      </c>
      <c r="AK100" s="15">
        <f t="shared" ca="1" si="75"/>
        <v>7</v>
      </c>
      <c r="AL100" s="9" t="str">
        <f t="shared" ca="1" si="76"/>
        <v>—</v>
      </c>
      <c r="AM100" s="15">
        <f t="shared" ca="1" si="77"/>
        <v>7</v>
      </c>
      <c r="AN100" s="9" t="str">
        <f t="shared" ca="1" si="78"/>
        <v>—</v>
      </c>
      <c r="AO100" s="15">
        <f t="shared" ca="1" si="79"/>
        <v>7</v>
      </c>
    </row>
    <row r="101" spans="1:41" x14ac:dyDescent="0.25">
      <c r="A101" s="4">
        <f t="shared" si="40"/>
        <v>78989</v>
      </c>
      <c r="B101" t="str">
        <f ca="1">TEXT(DATE(YEAR(Invoer!$A$5),1,1)+ROWS(B$2:B101)-1,"jjjjmmdd")</f>
        <v>19130410</v>
      </c>
      <c r="C101" s="72">
        <f t="shared" si="41"/>
        <v>800</v>
      </c>
      <c r="D101" s="16" t="str">
        <f t="shared" ca="1" si="42"/>
        <v>—</v>
      </c>
      <c r="E101" s="15">
        <f t="shared" ca="1" si="43"/>
        <v>7</v>
      </c>
      <c r="F101" s="73" t="str">
        <f t="shared" ca="1" si="44"/>
        <v>—</v>
      </c>
      <c r="G101" s="15">
        <f t="shared" ca="1" si="45"/>
        <v>7</v>
      </c>
      <c r="H101" s="73" t="str">
        <f t="shared" ca="1" si="46"/>
        <v>—</v>
      </c>
      <c r="I101" s="15">
        <f t="shared" ca="1" si="47"/>
        <v>7</v>
      </c>
      <c r="J101" s="73" t="str">
        <f t="shared" ca="1" si="48"/>
        <v>—</v>
      </c>
      <c r="K101" s="15">
        <f t="shared" ca="1" si="49"/>
        <v>7</v>
      </c>
      <c r="L101" s="16" t="str">
        <f t="shared" ca="1" si="50"/>
        <v>—</v>
      </c>
      <c r="M101" s="15">
        <f t="shared" ca="1" si="51"/>
        <v>7</v>
      </c>
      <c r="N101" s="16" t="str">
        <f t="shared" ca="1" si="52"/>
        <v>—</v>
      </c>
      <c r="O101" s="15">
        <f t="shared" ca="1" si="53"/>
        <v>7</v>
      </c>
      <c r="P101" s="16" t="str">
        <f t="shared" ca="1" si="54"/>
        <v>—</v>
      </c>
      <c r="Q101" s="15">
        <f t="shared" ca="1" si="55"/>
        <v>7</v>
      </c>
      <c r="R101" s="16" t="str">
        <f t="shared" ca="1" si="56"/>
        <v>—</v>
      </c>
      <c r="S101" s="15">
        <f t="shared" ca="1" si="57"/>
        <v>7</v>
      </c>
      <c r="T101" s="9" t="str">
        <f t="shared" ca="1" si="58"/>
        <v>—</v>
      </c>
      <c r="U101" s="15">
        <f t="shared" ca="1" si="59"/>
        <v>7</v>
      </c>
      <c r="V101" s="16" t="str">
        <f t="shared" ca="1" si="60"/>
        <v>—</v>
      </c>
      <c r="W101" s="15">
        <f t="shared" ca="1" si="61"/>
        <v>7</v>
      </c>
      <c r="X101" s="16" t="str">
        <f t="shared" ca="1" si="62"/>
        <v>—</v>
      </c>
      <c r="Y101" s="15">
        <f t="shared" ca="1" si="63"/>
        <v>7</v>
      </c>
      <c r="Z101" s="16" t="str">
        <f t="shared" ca="1" si="64"/>
        <v>—</v>
      </c>
      <c r="AA101" s="15">
        <f t="shared" ca="1" si="65"/>
        <v>7</v>
      </c>
      <c r="AB101" s="9" t="str">
        <f t="shared" ca="1" si="66"/>
        <v>—</v>
      </c>
      <c r="AC101" s="15">
        <f t="shared" ca="1" si="67"/>
        <v>7</v>
      </c>
      <c r="AD101" s="76" t="str">
        <f t="shared" ca="1" si="68"/>
        <v>—</v>
      </c>
      <c r="AE101" s="15">
        <f t="shared" ca="1" si="69"/>
        <v>7</v>
      </c>
      <c r="AF101" s="76" t="str">
        <f t="shared" ca="1" si="70"/>
        <v>—</v>
      </c>
      <c r="AG101" s="15">
        <f t="shared" ca="1" si="71"/>
        <v>7</v>
      </c>
      <c r="AH101" s="9" t="str">
        <f t="shared" ca="1" si="72"/>
        <v>—</v>
      </c>
      <c r="AI101" s="15">
        <f t="shared" ca="1" si="73"/>
        <v>7</v>
      </c>
      <c r="AJ101" s="26" t="str">
        <f t="shared" ca="1" si="74"/>
        <v>—</v>
      </c>
      <c r="AK101" s="15">
        <f t="shared" ca="1" si="75"/>
        <v>7</v>
      </c>
      <c r="AL101" s="9" t="str">
        <f t="shared" ca="1" si="76"/>
        <v>—</v>
      </c>
      <c r="AM101" s="15">
        <f t="shared" ca="1" si="77"/>
        <v>7</v>
      </c>
      <c r="AN101" s="9" t="str">
        <f t="shared" ca="1" si="78"/>
        <v>—</v>
      </c>
      <c r="AO101" s="15">
        <f t="shared" ca="1" si="79"/>
        <v>7</v>
      </c>
    </row>
    <row r="102" spans="1:41" x14ac:dyDescent="0.25">
      <c r="A102" s="4">
        <f t="shared" si="40"/>
        <v>78989</v>
      </c>
      <c r="B102" t="str">
        <f ca="1">TEXT(DATE(YEAR(Invoer!$A$5),1,1)+ROWS(B$2:B102)-1,"jjjjmmdd")</f>
        <v>19130411</v>
      </c>
      <c r="C102" s="72">
        <f t="shared" si="41"/>
        <v>800</v>
      </c>
      <c r="D102" s="16" t="str">
        <f t="shared" ca="1" si="42"/>
        <v>—</v>
      </c>
      <c r="E102" s="15">
        <f t="shared" ca="1" si="43"/>
        <v>7</v>
      </c>
      <c r="F102" s="73" t="str">
        <f t="shared" ca="1" si="44"/>
        <v>—</v>
      </c>
      <c r="G102" s="15">
        <f t="shared" ca="1" si="45"/>
        <v>7</v>
      </c>
      <c r="H102" s="73" t="str">
        <f t="shared" ca="1" si="46"/>
        <v>—</v>
      </c>
      <c r="I102" s="15">
        <f t="shared" ca="1" si="47"/>
        <v>7</v>
      </c>
      <c r="J102" s="73" t="str">
        <f t="shared" ca="1" si="48"/>
        <v>—</v>
      </c>
      <c r="K102" s="15">
        <f t="shared" ca="1" si="49"/>
        <v>7</v>
      </c>
      <c r="L102" s="16" t="str">
        <f t="shared" ca="1" si="50"/>
        <v>—</v>
      </c>
      <c r="M102" s="15">
        <f t="shared" ca="1" si="51"/>
        <v>7</v>
      </c>
      <c r="N102" s="16" t="str">
        <f t="shared" ca="1" si="52"/>
        <v>—</v>
      </c>
      <c r="O102" s="15">
        <f t="shared" ca="1" si="53"/>
        <v>7</v>
      </c>
      <c r="P102" s="16" t="str">
        <f t="shared" ca="1" si="54"/>
        <v>—</v>
      </c>
      <c r="Q102" s="15">
        <f t="shared" ca="1" si="55"/>
        <v>7</v>
      </c>
      <c r="R102" s="16" t="str">
        <f t="shared" ca="1" si="56"/>
        <v>—</v>
      </c>
      <c r="S102" s="15">
        <f t="shared" ca="1" si="57"/>
        <v>7</v>
      </c>
      <c r="T102" s="9" t="str">
        <f t="shared" ca="1" si="58"/>
        <v>—</v>
      </c>
      <c r="U102" s="15">
        <f t="shared" ca="1" si="59"/>
        <v>7</v>
      </c>
      <c r="V102" s="16" t="str">
        <f t="shared" ca="1" si="60"/>
        <v>—</v>
      </c>
      <c r="W102" s="15">
        <f t="shared" ca="1" si="61"/>
        <v>7</v>
      </c>
      <c r="X102" s="16" t="str">
        <f t="shared" ca="1" si="62"/>
        <v>—</v>
      </c>
      <c r="Y102" s="15">
        <f t="shared" ca="1" si="63"/>
        <v>7</v>
      </c>
      <c r="Z102" s="16" t="str">
        <f t="shared" ca="1" si="64"/>
        <v>—</v>
      </c>
      <c r="AA102" s="15">
        <f t="shared" ca="1" si="65"/>
        <v>7</v>
      </c>
      <c r="AB102" s="9" t="str">
        <f t="shared" ca="1" si="66"/>
        <v>—</v>
      </c>
      <c r="AC102" s="15">
        <f t="shared" ca="1" si="67"/>
        <v>7</v>
      </c>
      <c r="AD102" s="76" t="str">
        <f t="shared" ca="1" si="68"/>
        <v>—</v>
      </c>
      <c r="AE102" s="15">
        <f t="shared" ca="1" si="69"/>
        <v>7</v>
      </c>
      <c r="AF102" s="76" t="str">
        <f t="shared" ca="1" si="70"/>
        <v>—</v>
      </c>
      <c r="AG102" s="15">
        <f t="shared" ca="1" si="71"/>
        <v>7</v>
      </c>
      <c r="AH102" s="9" t="str">
        <f t="shared" ca="1" si="72"/>
        <v>—</v>
      </c>
      <c r="AI102" s="15">
        <f t="shared" ca="1" si="73"/>
        <v>7</v>
      </c>
      <c r="AJ102" s="26" t="str">
        <f t="shared" ca="1" si="74"/>
        <v>—</v>
      </c>
      <c r="AK102" s="15">
        <f t="shared" ca="1" si="75"/>
        <v>7</v>
      </c>
      <c r="AL102" s="9" t="str">
        <f t="shared" ca="1" si="76"/>
        <v>—</v>
      </c>
      <c r="AM102" s="15">
        <f t="shared" ca="1" si="77"/>
        <v>7</v>
      </c>
      <c r="AN102" s="9" t="str">
        <f t="shared" ca="1" si="78"/>
        <v>—</v>
      </c>
      <c r="AO102" s="15">
        <f t="shared" ca="1" si="79"/>
        <v>7</v>
      </c>
    </row>
    <row r="103" spans="1:41" x14ac:dyDescent="0.25">
      <c r="A103" s="4">
        <f t="shared" si="40"/>
        <v>78989</v>
      </c>
      <c r="B103" t="str">
        <f ca="1">TEXT(DATE(YEAR(Invoer!$A$5),1,1)+ROWS(B$2:B103)-1,"jjjjmmdd")</f>
        <v>19130412</v>
      </c>
      <c r="C103" s="72">
        <f t="shared" si="41"/>
        <v>800</v>
      </c>
      <c r="D103" s="16" t="str">
        <f t="shared" ca="1" si="42"/>
        <v>—</v>
      </c>
      <c r="E103" s="15">
        <f t="shared" ca="1" si="43"/>
        <v>7</v>
      </c>
      <c r="F103" s="73" t="str">
        <f t="shared" ca="1" si="44"/>
        <v>—</v>
      </c>
      <c r="G103" s="15">
        <f t="shared" ca="1" si="45"/>
        <v>7</v>
      </c>
      <c r="H103" s="73" t="str">
        <f t="shared" ca="1" si="46"/>
        <v>—</v>
      </c>
      <c r="I103" s="15">
        <f t="shared" ca="1" si="47"/>
        <v>7</v>
      </c>
      <c r="J103" s="73" t="str">
        <f t="shared" ca="1" si="48"/>
        <v>—</v>
      </c>
      <c r="K103" s="15">
        <f t="shared" ca="1" si="49"/>
        <v>7</v>
      </c>
      <c r="L103" s="16" t="str">
        <f t="shared" ca="1" si="50"/>
        <v>—</v>
      </c>
      <c r="M103" s="15">
        <f t="shared" ca="1" si="51"/>
        <v>7</v>
      </c>
      <c r="N103" s="16" t="str">
        <f t="shared" ca="1" si="52"/>
        <v>—</v>
      </c>
      <c r="O103" s="15">
        <f t="shared" ca="1" si="53"/>
        <v>7</v>
      </c>
      <c r="P103" s="16" t="str">
        <f t="shared" ca="1" si="54"/>
        <v>—</v>
      </c>
      <c r="Q103" s="15">
        <f t="shared" ca="1" si="55"/>
        <v>7</v>
      </c>
      <c r="R103" s="16" t="str">
        <f t="shared" ca="1" si="56"/>
        <v>—</v>
      </c>
      <c r="S103" s="15">
        <f t="shared" ca="1" si="57"/>
        <v>7</v>
      </c>
      <c r="T103" s="9" t="str">
        <f t="shared" ca="1" si="58"/>
        <v>—</v>
      </c>
      <c r="U103" s="15">
        <f t="shared" ca="1" si="59"/>
        <v>7</v>
      </c>
      <c r="V103" s="16" t="str">
        <f t="shared" ca="1" si="60"/>
        <v>—</v>
      </c>
      <c r="W103" s="15">
        <f t="shared" ca="1" si="61"/>
        <v>7</v>
      </c>
      <c r="X103" s="16" t="str">
        <f t="shared" ca="1" si="62"/>
        <v>—</v>
      </c>
      <c r="Y103" s="15">
        <f t="shared" ca="1" si="63"/>
        <v>7</v>
      </c>
      <c r="Z103" s="16" t="str">
        <f t="shared" ca="1" si="64"/>
        <v>—</v>
      </c>
      <c r="AA103" s="15">
        <f t="shared" ca="1" si="65"/>
        <v>7</v>
      </c>
      <c r="AB103" s="9" t="str">
        <f t="shared" ca="1" si="66"/>
        <v>—</v>
      </c>
      <c r="AC103" s="15">
        <f t="shared" ca="1" si="67"/>
        <v>7</v>
      </c>
      <c r="AD103" s="76" t="str">
        <f t="shared" ca="1" si="68"/>
        <v>—</v>
      </c>
      <c r="AE103" s="15">
        <f t="shared" ca="1" si="69"/>
        <v>7</v>
      </c>
      <c r="AF103" s="76" t="str">
        <f t="shared" ca="1" si="70"/>
        <v>—</v>
      </c>
      <c r="AG103" s="15">
        <f t="shared" ca="1" si="71"/>
        <v>7</v>
      </c>
      <c r="AH103" s="9" t="str">
        <f t="shared" ca="1" si="72"/>
        <v>—</v>
      </c>
      <c r="AI103" s="15">
        <f t="shared" ca="1" si="73"/>
        <v>7</v>
      </c>
      <c r="AJ103" s="26" t="str">
        <f t="shared" ca="1" si="74"/>
        <v>—</v>
      </c>
      <c r="AK103" s="15">
        <f t="shared" ca="1" si="75"/>
        <v>7</v>
      </c>
      <c r="AL103" s="9" t="str">
        <f t="shared" ca="1" si="76"/>
        <v>—</v>
      </c>
      <c r="AM103" s="15">
        <f t="shared" ca="1" si="77"/>
        <v>7</v>
      </c>
      <c r="AN103" s="9" t="str">
        <f t="shared" ca="1" si="78"/>
        <v>—</v>
      </c>
      <c r="AO103" s="15">
        <f t="shared" ca="1" si="79"/>
        <v>7</v>
      </c>
    </row>
    <row r="104" spans="1:41" x14ac:dyDescent="0.25">
      <c r="A104" s="4">
        <f t="shared" si="40"/>
        <v>78989</v>
      </c>
      <c r="B104" t="str">
        <f ca="1">TEXT(DATE(YEAR(Invoer!$A$5),1,1)+ROWS(B$2:B104)-1,"jjjjmmdd")</f>
        <v>19130413</v>
      </c>
      <c r="C104" s="72">
        <f t="shared" si="41"/>
        <v>800</v>
      </c>
      <c r="D104" s="16" t="str">
        <f t="shared" ca="1" si="42"/>
        <v>—</v>
      </c>
      <c r="E104" s="15">
        <f t="shared" ca="1" si="43"/>
        <v>7</v>
      </c>
      <c r="F104" s="73" t="str">
        <f t="shared" ca="1" si="44"/>
        <v>—</v>
      </c>
      <c r="G104" s="15">
        <f t="shared" ca="1" si="45"/>
        <v>7</v>
      </c>
      <c r="H104" s="73" t="str">
        <f t="shared" ca="1" si="46"/>
        <v>—</v>
      </c>
      <c r="I104" s="15">
        <f t="shared" ca="1" si="47"/>
        <v>7</v>
      </c>
      <c r="J104" s="73" t="str">
        <f t="shared" ca="1" si="48"/>
        <v>—</v>
      </c>
      <c r="K104" s="15">
        <f t="shared" ca="1" si="49"/>
        <v>7</v>
      </c>
      <c r="L104" s="16" t="str">
        <f t="shared" ca="1" si="50"/>
        <v>—</v>
      </c>
      <c r="M104" s="15">
        <f t="shared" ca="1" si="51"/>
        <v>7</v>
      </c>
      <c r="N104" s="16" t="str">
        <f t="shared" ca="1" si="52"/>
        <v>—</v>
      </c>
      <c r="O104" s="15">
        <f t="shared" ca="1" si="53"/>
        <v>7</v>
      </c>
      <c r="P104" s="16" t="str">
        <f t="shared" ca="1" si="54"/>
        <v>—</v>
      </c>
      <c r="Q104" s="15">
        <f t="shared" ca="1" si="55"/>
        <v>7</v>
      </c>
      <c r="R104" s="16" t="str">
        <f t="shared" ca="1" si="56"/>
        <v>—</v>
      </c>
      <c r="S104" s="15">
        <f t="shared" ca="1" si="57"/>
        <v>7</v>
      </c>
      <c r="T104" s="9" t="str">
        <f t="shared" ca="1" si="58"/>
        <v>—</v>
      </c>
      <c r="U104" s="15">
        <f t="shared" ca="1" si="59"/>
        <v>7</v>
      </c>
      <c r="V104" s="16" t="str">
        <f t="shared" ca="1" si="60"/>
        <v>—</v>
      </c>
      <c r="W104" s="15">
        <f t="shared" ca="1" si="61"/>
        <v>7</v>
      </c>
      <c r="X104" s="16" t="str">
        <f t="shared" ca="1" si="62"/>
        <v>—</v>
      </c>
      <c r="Y104" s="15">
        <f t="shared" ca="1" si="63"/>
        <v>7</v>
      </c>
      <c r="Z104" s="16" t="str">
        <f t="shared" ca="1" si="64"/>
        <v>—</v>
      </c>
      <c r="AA104" s="15">
        <f t="shared" ca="1" si="65"/>
        <v>7</v>
      </c>
      <c r="AB104" s="9" t="str">
        <f t="shared" ca="1" si="66"/>
        <v>—</v>
      </c>
      <c r="AC104" s="15">
        <f t="shared" ca="1" si="67"/>
        <v>7</v>
      </c>
      <c r="AD104" s="76" t="str">
        <f t="shared" ca="1" si="68"/>
        <v>—</v>
      </c>
      <c r="AE104" s="15">
        <f t="shared" ca="1" si="69"/>
        <v>7</v>
      </c>
      <c r="AF104" s="76" t="str">
        <f t="shared" ca="1" si="70"/>
        <v>—</v>
      </c>
      <c r="AG104" s="15">
        <f t="shared" ca="1" si="71"/>
        <v>7</v>
      </c>
      <c r="AH104" s="9" t="str">
        <f t="shared" ca="1" si="72"/>
        <v>—</v>
      </c>
      <c r="AI104" s="15">
        <f t="shared" ca="1" si="73"/>
        <v>7</v>
      </c>
      <c r="AJ104" s="26" t="str">
        <f t="shared" ca="1" si="74"/>
        <v>—</v>
      </c>
      <c r="AK104" s="15">
        <f t="shared" ca="1" si="75"/>
        <v>7</v>
      </c>
      <c r="AL104" s="9" t="str">
        <f t="shared" ca="1" si="76"/>
        <v>—</v>
      </c>
      <c r="AM104" s="15">
        <f t="shared" ca="1" si="77"/>
        <v>7</v>
      </c>
      <c r="AN104" s="9" t="str">
        <f t="shared" ca="1" si="78"/>
        <v>—</v>
      </c>
      <c r="AO104" s="15">
        <f t="shared" ca="1" si="79"/>
        <v>7</v>
      </c>
    </row>
    <row r="105" spans="1:41" x14ac:dyDescent="0.25">
      <c r="A105" s="4">
        <f t="shared" si="40"/>
        <v>78989</v>
      </c>
      <c r="B105" t="str">
        <f ca="1">TEXT(DATE(YEAR(Invoer!$A$5),1,1)+ROWS(B$2:B105)-1,"jjjjmmdd")</f>
        <v>19130414</v>
      </c>
      <c r="C105" s="72">
        <f t="shared" si="41"/>
        <v>800</v>
      </c>
      <c r="D105" s="16" t="str">
        <f t="shared" ca="1" si="42"/>
        <v>—</v>
      </c>
      <c r="E105" s="15">
        <f t="shared" ca="1" si="43"/>
        <v>7</v>
      </c>
      <c r="F105" s="73" t="str">
        <f t="shared" ca="1" si="44"/>
        <v>—</v>
      </c>
      <c r="G105" s="15">
        <f t="shared" ca="1" si="45"/>
        <v>7</v>
      </c>
      <c r="H105" s="73" t="str">
        <f t="shared" ca="1" si="46"/>
        <v>—</v>
      </c>
      <c r="I105" s="15">
        <f t="shared" ca="1" si="47"/>
        <v>7</v>
      </c>
      <c r="J105" s="73" t="str">
        <f t="shared" ca="1" si="48"/>
        <v>—</v>
      </c>
      <c r="K105" s="15">
        <f t="shared" ca="1" si="49"/>
        <v>7</v>
      </c>
      <c r="L105" s="16" t="str">
        <f t="shared" ca="1" si="50"/>
        <v>—</v>
      </c>
      <c r="M105" s="15">
        <f t="shared" ca="1" si="51"/>
        <v>7</v>
      </c>
      <c r="N105" s="16" t="str">
        <f t="shared" ca="1" si="52"/>
        <v>—</v>
      </c>
      <c r="O105" s="15">
        <f t="shared" ca="1" si="53"/>
        <v>7</v>
      </c>
      <c r="P105" s="16" t="str">
        <f t="shared" ca="1" si="54"/>
        <v>—</v>
      </c>
      <c r="Q105" s="15">
        <f t="shared" ca="1" si="55"/>
        <v>7</v>
      </c>
      <c r="R105" s="16" t="str">
        <f t="shared" ca="1" si="56"/>
        <v>—</v>
      </c>
      <c r="S105" s="15">
        <f t="shared" ca="1" si="57"/>
        <v>7</v>
      </c>
      <c r="T105" s="9" t="str">
        <f t="shared" ca="1" si="58"/>
        <v>—</v>
      </c>
      <c r="U105" s="15">
        <f t="shared" ca="1" si="59"/>
        <v>7</v>
      </c>
      <c r="V105" s="16" t="str">
        <f t="shared" ca="1" si="60"/>
        <v>—</v>
      </c>
      <c r="W105" s="15">
        <f t="shared" ca="1" si="61"/>
        <v>7</v>
      </c>
      <c r="X105" s="16" t="str">
        <f t="shared" ca="1" si="62"/>
        <v>—</v>
      </c>
      <c r="Y105" s="15">
        <f t="shared" ca="1" si="63"/>
        <v>7</v>
      </c>
      <c r="Z105" s="16" t="str">
        <f t="shared" ca="1" si="64"/>
        <v>—</v>
      </c>
      <c r="AA105" s="15">
        <f t="shared" ca="1" si="65"/>
        <v>7</v>
      </c>
      <c r="AB105" s="9" t="str">
        <f t="shared" ca="1" si="66"/>
        <v>—</v>
      </c>
      <c r="AC105" s="15">
        <f t="shared" ca="1" si="67"/>
        <v>7</v>
      </c>
      <c r="AD105" s="76" t="str">
        <f t="shared" ca="1" si="68"/>
        <v>—</v>
      </c>
      <c r="AE105" s="15">
        <f t="shared" ca="1" si="69"/>
        <v>7</v>
      </c>
      <c r="AF105" s="76" t="str">
        <f t="shared" ca="1" si="70"/>
        <v>—</v>
      </c>
      <c r="AG105" s="15">
        <f t="shared" ca="1" si="71"/>
        <v>7</v>
      </c>
      <c r="AH105" s="9" t="str">
        <f t="shared" ca="1" si="72"/>
        <v>—</v>
      </c>
      <c r="AI105" s="15">
        <f t="shared" ca="1" si="73"/>
        <v>7</v>
      </c>
      <c r="AJ105" s="26" t="str">
        <f t="shared" ca="1" si="74"/>
        <v>—</v>
      </c>
      <c r="AK105" s="15">
        <f t="shared" ca="1" si="75"/>
        <v>7</v>
      </c>
      <c r="AL105" s="9" t="str">
        <f t="shared" ca="1" si="76"/>
        <v>—</v>
      </c>
      <c r="AM105" s="15">
        <f t="shared" ca="1" si="77"/>
        <v>7</v>
      </c>
      <c r="AN105" s="9" t="str">
        <f t="shared" ca="1" si="78"/>
        <v>—</v>
      </c>
      <c r="AO105" s="15">
        <f t="shared" ca="1" si="79"/>
        <v>7</v>
      </c>
    </row>
    <row r="106" spans="1:41" x14ac:dyDescent="0.25">
      <c r="A106" s="4">
        <f t="shared" si="40"/>
        <v>78989</v>
      </c>
      <c r="B106" t="str">
        <f ca="1">TEXT(DATE(YEAR(Invoer!$A$5),1,1)+ROWS(B$2:B106)-1,"jjjjmmdd")</f>
        <v>19130415</v>
      </c>
      <c r="C106" s="72">
        <f t="shared" si="41"/>
        <v>800</v>
      </c>
      <c r="D106" s="16" t="str">
        <f t="shared" ca="1" si="42"/>
        <v>—</v>
      </c>
      <c r="E106" s="15">
        <f t="shared" ca="1" si="43"/>
        <v>7</v>
      </c>
      <c r="F106" s="73" t="str">
        <f t="shared" ca="1" si="44"/>
        <v>—</v>
      </c>
      <c r="G106" s="15">
        <f t="shared" ca="1" si="45"/>
        <v>7</v>
      </c>
      <c r="H106" s="73" t="str">
        <f t="shared" ca="1" si="46"/>
        <v>—</v>
      </c>
      <c r="I106" s="15">
        <f t="shared" ca="1" si="47"/>
        <v>7</v>
      </c>
      <c r="J106" s="73" t="str">
        <f t="shared" ca="1" si="48"/>
        <v>—</v>
      </c>
      <c r="K106" s="15">
        <f t="shared" ca="1" si="49"/>
        <v>7</v>
      </c>
      <c r="L106" s="16" t="str">
        <f t="shared" ca="1" si="50"/>
        <v>—</v>
      </c>
      <c r="M106" s="15">
        <f t="shared" ca="1" si="51"/>
        <v>7</v>
      </c>
      <c r="N106" s="16" t="str">
        <f t="shared" ca="1" si="52"/>
        <v>—</v>
      </c>
      <c r="O106" s="15">
        <f t="shared" ca="1" si="53"/>
        <v>7</v>
      </c>
      <c r="P106" s="16" t="str">
        <f t="shared" ca="1" si="54"/>
        <v>—</v>
      </c>
      <c r="Q106" s="15">
        <f t="shared" ca="1" si="55"/>
        <v>7</v>
      </c>
      <c r="R106" s="16" t="str">
        <f t="shared" ca="1" si="56"/>
        <v>—</v>
      </c>
      <c r="S106" s="15">
        <f t="shared" ca="1" si="57"/>
        <v>7</v>
      </c>
      <c r="T106" s="9" t="str">
        <f t="shared" ca="1" si="58"/>
        <v>—</v>
      </c>
      <c r="U106" s="15">
        <f t="shared" ca="1" si="59"/>
        <v>7</v>
      </c>
      <c r="V106" s="16" t="str">
        <f t="shared" ca="1" si="60"/>
        <v>—</v>
      </c>
      <c r="W106" s="15">
        <f t="shared" ca="1" si="61"/>
        <v>7</v>
      </c>
      <c r="X106" s="16" t="str">
        <f t="shared" ca="1" si="62"/>
        <v>—</v>
      </c>
      <c r="Y106" s="15">
        <f t="shared" ca="1" si="63"/>
        <v>7</v>
      </c>
      <c r="Z106" s="16" t="str">
        <f t="shared" ca="1" si="64"/>
        <v>—</v>
      </c>
      <c r="AA106" s="15">
        <f t="shared" ca="1" si="65"/>
        <v>7</v>
      </c>
      <c r="AB106" s="9" t="str">
        <f t="shared" ca="1" si="66"/>
        <v>—</v>
      </c>
      <c r="AC106" s="15">
        <f t="shared" ca="1" si="67"/>
        <v>7</v>
      </c>
      <c r="AD106" s="76" t="str">
        <f t="shared" ca="1" si="68"/>
        <v>—</v>
      </c>
      <c r="AE106" s="15">
        <f t="shared" ca="1" si="69"/>
        <v>7</v>
      </c>
      <c r="AF106" s="76" t="str">
        <f t="shared" ca="1" si="70"/>
        <v>—</v>
      </c>
      <c r="AG106" s="15">
        <f t="shared" ca="1" si="71"/>
        <v>7</v>
      </c>
      <c r="AH106" s="9" t="str">
        <f t="shared" ca="1" si="72"/>
        <v>—</v>
      </c>
      <c r="AI106" s="15">
        <f t="shared" ca="1" si="73"/>
        <v>7</v>
      </c>
      <c r="AJ106" s="26" t="str">
        <f t="shared" ca="1" si="74"/>
        <v>—</v>
      </c>
      <c r="AK106" s="15">
        <f t="shared" ca="1" si="75"/>
        <v>7</v>
      </c>
      <c r="AL106" s="9" t="str">
        <f t="shared" ca="1" si="76"/>
        <v>—</v>
      </c>
      <c r="AM106" s="15">
        <f t="shared" ca="1" si="77"/>
        <v>7</v>
      </c>
      <c r="AN106" s="9" t="str">
        <f t="shared" ca="1" si="78"/>
        <v>—</v>
      </c>
      <c r="AO106" s="15">
        <f t="shared" ca="1" si="79"/>
        <v>7</v>
      </c>
    </row>
    <row r="107" spans="1:41" x14ac:dyDescent="0.25">
      <c r="A107" s="4">
        <f t="shared" si="40"/>
        <v>78989</v>
      </c>
      <c r="B107" t="str">
        <f ca="1">TEXT(DATE(YEAR(Invoer!$A$5),1,1)+ROWS(B$2:B107)-1,"jjjjmmdd")</f>
        <v>19130416</v>
      </c>
      <c r="C107" s="72">
        <f t="shared" si="41"/>
        <v>800</v>
      </c>
      <c r="D107" s="16" t="str">
        <f t="shared" ca="1" si="42"/>
        <v>—</v>
      </c>
      <c r="E107" s="15">
        <f t="shared" ca="1" si="43"/>
        <v>7</v>
      </c>
      <c r="F107" s="73" t="str">
        <f t="shared" ca="1" si="44"/>
        <v>—</v>
      </c>
      <c r="G107" s="15">
        <f t="shared" ca="1" si="45"/>
        <v>7</v>
      </c>
      <c r="H107" s="73" t="str">
        <f t="shared" ca="1" si="46"/>
        <v>—</v>
      </c>
      <c r="I107" s="15">
        <f t="shared" ca="1" si="47"/>
        <v>7</v>
      </c>
      <c r="J107" s="73" t="str">
        <f t="shared" ca="1" si="48"/>
        <v>—</v>
      </c>
      <c r="K107" s="15">
        <f t="shared" ca="1" si="49"/>
        <v>7</v>
      </c>
      <c r="L107" s="16" t="str">
        <f t="shared" ca="1" si="50"/>
        <v>—</v>
      </c>
      <c r="M107" s="15">
        <f t="shared" ca="1" si="51"/>
        <v>7</v>
      </c>
      <c r="N107" s="16" t="str">
        <f t="shared" ca="1" si="52"/>
        <v>—</v>
      </c>
      <c r="O107" s="15">
        <f t="shared" ca="1" si="53"/>
        <v>7</v>
      </c>
      <c r="P107" s="16" t="str">
        <f t="shared" ca="1" si="54"/>
        <v>—</v>
      </c>
      <c r="Q107" s="15">
        <f t="shared" ca="1" si="55"/>
        <v>7</v>
      </c>
      <c r="R107" s="16" t="str">
        <f t="shared" ca="1" si="56"/>
        <v>—</v>
      </c>
      <c r="S107" s="15">
        <f t="shared" ca="1" si="57"/>
        <v>7</v>
      </c>
      <c r="T107" s="9" t="str">
        <f t="shared" ca="1" si="58"/>
        <v>—</v>
      </c>
      <c r="U107" s="15">
        <f t="shared" ca="1" si="59"/>
        <v>7</v>
      </c>
      <c r="V107" s="16" t="str">
        <f t="shared" ca="1" si="60"/>
        <v>—</v>
      </c>
      <c r="W107" s="15">
        <f t="shared" ca="1" si="61"/>
        <v>7</v>
      </c>
      <c r="X107" s="16" t="str">
        <f t="shared" ca="1" si="62"/>
        <v>—</v>
      </c>
      <c r="Y107" s="15">
        <f t="shared" ca="1" si="63"/>
        <v>7</v>
      </c>
      <c r="Z107" s="16" t="str">
        <f t="shared" ca="1" si="64"/>
        <v>—</v>
      </c>
      <c r="AA107" s="15">
        <f t="shared" ca="1" si="65"/>
        <v>7</v>
      </c>
      <c r="AB107" s="9" t="str">
        <f t="shared" ca="1" si="66"/>
        <v>—</v>
      </c>
      <c r="AC107" s="15">
        <f t="shared" ca="1" si="67"/>
        <v>7</v>
      </c>
      <c r="AD107" s="76" t="str">
        <f t="shared" ca="1" si="68"/>
        <v>—</v>
      </c>
      <c r="AE107" s="15">
        <f t="shared" ca="1" si="69"/>
        <v>7</v>
      </c>
      <c r="AF107" s="76" t="str">
        <f t="shared" ca="1" si="70"/>
        <v>—</v>
      </c>
      <c r="AG107" s="15">
        <f t="shared" ca="1" si="71"/>
        <v>7</v>
      </c>
      <c r="AH107" s="9" t="str">
        <f t="shared" ca="1" si="72"/>
        <v>—</v>
      </c>
      <c r="AI107" s="15">
        <f t="shared" ca="1" si="73"/>
        <v>7</v>
      </c>
      <c r="AJ107" s="26" t="str">
        <f t="shared" ca="1" si="74"/>
        <v>—</v>
      </c>
      <c r="AK107" s="15">
        <f t="shared" ca="1" si="75"/>
        <v>7</v>
      </c>
      <c r="AL107" s="9" t="str">
        <f t="shared" ca="1" si="76"/>
        <v>—</v>
      </c>
      <c r="AM107" s="15">
        <f t="shared" ca="1" si="77"/>
        <v>7</v>
      </c>
      <c r="AN107" s="9" t="str">
        <f t="shared" ca="1" si="78"/>
        <v>—</v>
      </c>
      <c r="AO107" s="15">
        <f t="shared" ca="1" si="79"/>
        <v>7</v>
      </c>
    </row>
    <row r="108" spans="1:41" x14ac:dyDescent="0.25">
      <c r="A108" s="4">
        <f t="shared" si="40"/>
        <v>78989</v>
      </c>
      <c r="B108" t="str">
        <f ca="1">TEXT(DATE(YEAR(Invoer!$A$5),1,1)+ROWS(B$2:B108)-1,"jjjjmmdd")</f>
        <v>19130417</v>
      </c>
      <c r="C108" s="72">
        <f t="shared" si="41"/>
        <v>800</v>
      </c>
      <c r="D108" s="16" t="str">
        <f t="shared" ca="1" si="42"/>
        <v>—</v>
      </c>
      <c r="E108" s="15">
        <f t="shared" ca="1" si="43"/>
        <v>7</v>
      </c>
      <c r="F108" s="73" t="str">
        <f t="shared" ca="1" si="44"/>
        <v>—</v>
      </c>
      <c r="G108" s="15">
        <f t="shared" ca="1" si="45"/>
        <v>7</v>
      </c>
      <c r="H108" s="73" t="str">
        <f t="shared" ca="1" si="46"/>
        <v>—</v>
      </c>
      <c r="I108" s="15">
        <f t="shared" ca="1" si="47"/>
        <v>7</v>
      </c>
      <c r="J108" s="73" t="str">
        <f t="shared" ca="1" si="48"/>
        <v>—</v>
      </c>
      <c r="K108" s="15">
        <f t="shared" ca="1" si="49"/>
        <v>7</v>
      </c>
      <c r="L108" s="16" t="str">
        <f t="shared" ca="1" si="50"/>
        <v>—</v>
      </c>
      <c r="M108" s="15">
        <f t="shared" ca="1" si="51"/>
        <v>7</v>
      </c>
      <c r="N108" s="16" t="str">
        <f t="shared" ca="1" si="52"/>
        <v>—</v>
      </c>
      <c r="O108" s="15">
        <f t="shared" ca="1" si="53"/>
        <v>7</v>
      </c>
      <c r="P108" s="16" t="str">
        <f t="shared" ca="1" si="54"/>
        <v>—</v>
      </c>
      <c r="Q108" s="15">
        <f t="shared" ca="1" si="55"/>
        <v>7</v>
      </c>
      <c r="R108" s="16" t="str">
        <f t="shared" ca="1" si="56"/>
        <v>—</v>
      </c>
      <c r="S108" s="15">
        <f t="shared" ca="1" si="57"/>
        <v>7</v>
      </c>
      <c r="T108" s="9" t="str">
        <f t="shared" ca="1" si="58"/>
        <v>—</v>
      </c>
      <c r="U108" s="15">
        <f t="shared" ca="1" si="59"/>
        <v>7</v>
      </c>
      <c r="V108" s="16" t="str">
        <f t="shared" ca="1" si="60"/>
        <v>—</v>
      </c>
      <c r="W108" s="15">
        <f t="shared" ca="1" si="61"/>
        <v>7</v>
      </c>
      <c r="X108" s="16" t="str">
        <f t="shared" ca="1" si="62"/>
        <v>—</v>
      </c>
      <c r="Y108" s="15">
        <f t="shared" ca="1" si="63"/>
        <v>7</v>
      </c>
      <c r="Z108" s="16" t="str">
        <f t="shared" ca="1" si="64"/>
        <v>—</v>
      </c>
      <c r="AA108" s="15">
        <f t="shared" ca="1" si="65"/>
        <v>7</v>
      </c>
      <c r="AB108" s="9" t="str">
        <f t="shared" ca="1" si="66"/>
        <v>—</v>
      </c>
      <c r="AC108" s="15">
        <f t="shared" ca="1" si="67"/>
        <v>7</v>
      </c>
      <c r="AD108" s="76" t="str">
        <f t="shared" ca="1" si="68"/>
        <v>—</v>
      </c>
      <c r="AE108" s="15">
        <f t="shared" ca="1" si="69"/>
        <v>7</v>
      </c>
      <c r="AF108" s="76" t="str">
        <f t="shared" ca="1" si="70"/>
        <v>—</v>
      </c>
      <c r="AG108" s="15">
        <f t="shared" ca="1" si="71"/>
        <v>7</v>
      </c>
      <c r="AH108" s="9" t="str">
        <f t="shared" ca="1" si="72"/>
        <v>—</v>
      </c>
      <c r="AI108" s="15">
        <f t="shared" ca="1" si="73"/>
        <v>7</v>
      </c>
      <c r="AJ108" s="26" t="str">
        <f t="shared" ca="1" si="74"/>
        <v>—</v>
      </c>
      <c r="AK108" s="15">
        <f t="shared" ca="1" si="75"/>
        <v>7</v>
      </c>
      <c r="AL108" s="9" t="str">
        <f t="shared" ca="1" si="76"/>
        <v>—</v>
      </c>
      <c r="AM108" s="15">
        <f t="shared" ca="1" si="77"/>
        <v>7</v>
      </c>
      <c r="AN108" s="9" t="str">
        <f t="shared" ca="1" si="78"/>
        <v>—</v>
      </c>
      <c r="AO108" s="15">
        <f t="shared" ca="1" si="79"/>
        <v>7</v>
      </c>
    </row>
    <row r="109" spans="1:41" x14ac:dyDescent="0.25">
      <c r="A109" s="4">
        <f t="shared" si="40"/>
        <v>78989</v>
      </c>
      <c r="B109" t="str">
        <f ca="1">TEXT(DATE(YEAR(Invoer!$A$5),1,1)+ROWS(B$2:B109)-1,"jjjjmmdd")</f>
        <v>19130418</v>
      </c>
      <c r="C109" s="72">
        <f t="shared" si="41"/>
        <v>800</v>
      </c>
      <c r="D109" s="16" t="str">
        <f t="shared" ca="1" si="42"/>
        <v>—</v>
      </c>
      <c r="E109" s="15">
        <f t="shared" ca="1" si="43"/>
        <v>7</v>
      </c>
      <c r="F109" s="73" t="str">
        <f t="shared" ca="1" si="44"/>
        <v>—</v>
      </c>
      <c r="G109" s="15">
        <f t="shared" ca="1" si="45"/>
        <v>7</v>
      </c>
      <c r="H109" s="73" t="str">
        <f t="shared" ca="1" si="46"/>
        <v>—</v>
      </c>
      <c r="I109" s="15">
        <f t="shared" ca="1" si="47"/>
        <v>7</v>
      </c>
      <c r="J109" s="73" t="str">
        <f t="shared" ca="1" si="48"/>
        <v>—</v>
      </c>
      <c r="K109" s="15">
        <f t="shared" ca="1" si="49"/>
        <v>7</v>
      </c>
      <c r="L109" s="16" t="str">
        <f t="shared" ca="1" si="50"/>
        <v>—</v>
      </c>
      <c r="M109" s="15">
        <f t="shared" ca="1" si="51"/>
        <v>7</v>
      </c>
      <c r="N109" s="16" t="str">
        <f t="shared" ca="1" si="52"/>
        <v>—</v>
      </c>
      <c r="O109" s="15">
        <f t="shared" ca="1" si="53"/>
        <v>7</v>
      </c>
      <c r="P109" s="16" t="str">
        <f t="shared" ca="1" si="54"/>
        <v>—</v>
      </c>
      <c r="Q109" s="15">
        <f t="shared" ca="1" si="55"/>
        <v>7</v>
      </c>
      <c r="R109" s="16" t="str">
        <f t="shared" ca="1" si="56"/>
        <v>—</v>
      </c>
      <c r="S109" s="15">
        <f t="shared" ca="1" si="57"/>
        <v>7</v>
      </c>
      <c r="T109" s="9" t="str">
        <f t="shared" ca="1" si="58"/>
        <v>—</v>
      </c>
      <c r="U109" s="15">
        <f t="shared" ca="1" si="59"/>
        <v>7</v>
      </c>
      <c r="V109" s="16" t="str">
        <f t="shared" ca="1" si="60"/>
        <v>—</v>
      </c>
      <c r="W109" s="15">
        <f t="shared" ca="1" si="61"/>
        <v>7</v>
      </c>
      <c r="X109" s="16" t="str">
        <f t="shared" ca="1" si="62"/>
        <v>—</v>
      </c>
      <c r="Y109" s="15">
        <f t="shared" ca="1" si="63"/>
        <v>7</v>
      </c>
      <c r="Z109" s="16" t="str">
        <f t="shared" ca="1" si="64"/>
        <v>—</v>
      </c>
      <c r="AA109" s="15">
        <f t="shared" ca="1" si="65"/>
        <v>7</v>
      </c>
      <c r="AB109" s="9" t="str">
        <f t="shared" ca="1" si="66"/>
        <v>—</v>
      </c>
      <c r="AC109" s="15">
        <f t="shared" ca="1" si="67"/>
        <v>7</v>
      </c>
      <c r="AD109" s="76" t="str">
        <f t="shared" ca="1" si="68"/>
        <v>—</v>
      </c>
      <c r="AE109" s="15">
        <f t="shared" ca="1" si="69"/>
        <v>7</v>
      </c>
      <c r="AF109" s="76" t="str">
        <f t="shared" ca="1" si="70"/>
        <v>—</v>
      </c>
      <c r="AG109" s="15">
        <f t="shared" ca="1" si="71"/>
        <v>7</v>
      </c>
      <c r="AH109" s="9" t="str">
        <f t="shared" ca="1" si="72"/>
        <v>—</v>
      </c>
      <c r="AI109" s="15">
        <f t="shared" ca="1" si="73"/>
        <v>7</v>
      </c>
      <c r="AJ109" s="26" t="str">
        <f t="shared" ca="1" si="74"/>
        <v>—</v>
      </c>
      <c r="AK109" s="15">
        <f t="shared" ca="1" si="75"/>
        <v>7</v>
      </c>
      <c r="AL109" s="9" t="str">
        <f t="shared" ca="1" si="76"/>
        <v>—</v>
      </c>
      <c r="AM109" s="15">
        <f t="shared" ca="1" si="77"/>
        <v>7</v>
      </c>
      <c r="AN109" s="9" t="str">
        <f t="shared" ca="1" si="78"/>
        <v>—</v>
      </c>
      <c r="AO109" s="15">
        <f t="shared" ca="1" si="79"/>
        <v>7</v>
      </c>
    </row>
    <row r="110" spans="1:41" x14ac:dyDescent="0.25">
      <c r="A110" s="4">
        <f t="shared" si="40"/>
        <v>78989</v>
      </c>
      <c r="B110" t="str">
        <f ca="1">TEXT(DATE(YEAR(Invoer!$A$5),1,1)+ROWS(B$2:B110)-1,"jjjjmmdd")</f>
        <v>19130419</v>
      </c>
      <c r="C110" s="72">
        <f t="shared" si="41"/>
        <v>800</v>
      </c>
      <c r="D110" s="16" t="str">
        <f t="shared" ca="1" si="42"/>
        <v>—</v>
      </c>
      <c r="E110" s="15">
        <f t="shared" ca="1" si="43"/>
        <v>7</v>
      </c>
      <c r="F110" s="73" t="str">
        <f t="shared" ca="1" si="44"/>
        <v>—</v>
      </c>
      <c r="G110" s="15">
        <f t="shared" ca="1" si="45"/>
        <v>7</v>
      </c>
      <c r="H110" s="73" t="str">
        <f t="shared" ca="1" si="46"/>
        <v>—</v>
      </c>
      <c r="I110" s="15">
        <f t="shared" ca="1" si="47"/>
        <v>7</v>
      </c>
      <c r="J110" s="73" t="str">
        <f t="shared" ca="1" si="48"/>
        <v>—</v>
      </c>
      <c r="K110" s="15">
        <f t="shared" ca="1" si="49"/>
        <v>7</v>
      </c>
      <c r="L110" s="16" t="str">
        <f t="shared" ca="1" si="50"/>
        <v>—</v>
      </c>
      <c r="M110" s="15">
        <f t="shared" ca="1" si="51"/>
        <v>7</v>
      </c>
      <c r="N110" s="16" t="str">
        <f t="shared" ca="1" si="52"/>
        <v>—</v>
      </c>
      <c r="O110" s="15">
        <f t="shared" ca="1" si="53"/>
        <v>7</v>
      </c>
      <c r="P110" s="16" t="str">
        <f t="shared" ca="1" si="54"/>
        <v>—</v>
      </c>
      <c r="Q110" s="15">
        <f t="shared" ca="1" si="55"/>
        <v>7</v>
      </c>
      <c r="R110" s="16" t="str">
        <f t="shared" ca="1" si="56"/>
        <v>—</v>
      </c>
      <c r="S110" s="15">
        <f t="shared" ca="1" si="57"/>
        <v>7</v>
      </c>
      <c r="T110" s="9" t="str">
        <f t="shared" ca="1" si="58"/>
        <v>—</v>
      </c>
      <c r="U110" s="15">
        <f t="shared" ca="1" si="59"/>
        <v>7</v>
      </c>
      <c r="V110" s="16" t="str">
        <f t="shared" ca="1" si="60"/>
        <v>—</v>
      </c>
      <c r="W110" s="15">
        <f t="shared" ca="1" si="61"/>
        <v>7</v>
      </c>
      <c r="X110" s="16" t="str">
        <f t="shared" ca="1" si="62"/>
        <v>—</v>
      </c>
      <c r="Y110" s="15">
        <f t="shared" ca="1" si="63"/>
        <v>7</v>
      </c>
      <c r="Z110" s="16" t="str">
        <f t="shared" ca="1" si="64"/>
        <v>—</v>
      </c>
      <c r="AA110" s="15">
        <f t="shared" ca="1" si="65"/>
        <v>7</v>
      </c>
      <c r="AB110" s="9" t="str">
        <f t="shared" ca="1" si="66"/>
        <v>—</v>
      </c>
      <c r="AC110" s="15">
        <f t="shared" ca="1" si="67"/>
        <v>7</v>
      </c>
      <c r="AD110" s="76" t="str">
        <f t="shared" ca="1" si="68"/>
        <v>—</v>
      </c>
      <c r="AE110" s="15">
        <f t="shared" ca="1" si="69"/>
        <v>7</v>
      </c>
      <c r="AF110" s="76" t="str">
        <f t="shared" ca="1" si="70"/>
        <v>—</v>
      </c>
      <c r="AG110" s="15">
        <f t="shared" ca="1" si="71"/>
        <v>7</v>
      </c>
      <c r="AH110" s="9" t="str">
        <f t="shared" ca="1" si="72"/>
        <v>—</v>
      </c>
      <c r="AI110" s="15">
        <f t="shared" ca="1" si="73"/>
        <v>7</v>
      </c>
      <c r="AJ110" s="26" t="str">
        <f t="shared" ca="1" si="74"/>
        <v>—</v>
      </c>
      <c r="AK110" s="15">
        <f t="shared" ca="1" si="75"/>
        <v>7</v>
      </c>
      <c r="AL110" s="9" t="str">
        <f t="shared" ca="1" si="76"/>
        <v>—</v>
      </c>
      <c r="AM110" s="15">
        <f t="shared" ca="1" si="77"/>
        <v>7</v>
      </c>
      <c r="AN110" s="9" t="str">
        <f t="shared" ca="1" si="78"/>
        <v>—</v>
      </c>
      <c r="AO110" s="15">
        <f t="shared" ca="1" si="79"/>
        <v>7</v>
      </c>
    </row>
    <row r="111" spans="1:41" x14ac:dyDescent="0.25">
      <c r="A111" s="4">
        <f t="shared" si="40"/>
        <v>78989</v>
      </c>
      <c r="B111" t="str">
        <f ca="1">TEXT(DATE(YEAR(Invoer!$A$5),1,1)+ROWS(B$2:B111)-1,"jjjjmmdd")</f>
        <v>19130420</v>
      </c>
      <c r="C111" s="72">
        <f t="shared" si="41"/>
        <v>800</v>
      </c>
      <c r="D111" s="16" t="str">
        <f t="shared" ca="1" si="42"/>
        <v>—</v>
      </c>
      <c r="E111" s="15">
        <f t="shared" ca="1" si="43"/>
        <v>7</v>
      </c>
      <c r="F111" s="73" t="str">
        <f t="shared" ca="1" si="44"/>
        <v>—</v>
      </c>
      <c r="G111" s="15">
        <f t="shared" ca="1" si="45"/>
        <v>7</v>
      </c>
      <c r="H111" s="73" t="str">
        <f t="shared" ca="1" si="46"/>
        <v>—</v>
      </c>
      <c r="I111" s="15">
        <f t="shared" ca="1" si="47"/>
        <v>7</v>
      </c>
      <c r="J111" s="73" t="str">
        <f t="shared" ca="1" si="48"/>
        <v>—</v>
      </c>
      <c r="K111" s="15">
        <f t="shared" ca="1" si="49"/>
        <v>7</v>
      </c>
      <c r="L111" s="16" t="str">
        <f t="shared" ca="1" si="50"/>
        <v>—</v>
      </c>
      <c r="M111" s="15">
        <f t="shared" ca="1" si="51"/>
        <v>7</v>
      </c>
      <c r="N111" s="16" t="str">
        <f t="shared" ca="1" si="52"/>
        <v>—</v>
      </c>
      <c r="O111" s="15">
        <f t="shared" ca="1" si="53"/>
        <v>7</v>
      </c>
      <c r="P111" s="16" t="str">
        <f t="shared" ca="1" si="54"/>
        <v>—</v>
      </c>
      <c r="Q111" s="15">
        <f t="shared" ca="1" si="55"/>
        <v>7</v>
      </c>
      <c r="R111" s="16" t="str">
        <f t="shared" ca="1" si="56"/>
        <v>—</v>
      </c>
      <c r="S111" s="15">
        <f t="shared" ca="1" si="57"/>
        <v>7</v>
      </c>
      <c r="T111" s="9" t="str">
        <f t="shared" ca="1" si="58"/>
        <v>—</v>
      </c>
      <c r="U111" s="15">
        <f t="shared" ca="1" si="59"/>
        <v>7</v>
      </c>
      <c r="V111" s="16" t="str">
        <f t="shared" ca="1" si="60"/>
        <v>—</v>
      </c>
      <c r="W111" s="15">
        <f t="shared" ca="1" si="61"/>
        <v>7</v>
      </c>
      <c r="X111" s="16" t="str">
        <f t="shared" ca="1" si="62"/>
        <v>—</v>
      </c>
      <c r="Y111" s="15">
        <f t="shared" ca="1" si="63"/>
        <v>7</v>
      </c>
      <c r="Z111" s="16" t="str">
        <f t="shared" ca="1" si="64"/>
        <v>—</v>
      </c>
      <c r="AA111" s="15">
        <f t="shared" ca="1" si="65"/>
        <v>7</v>
      </c>
      <c r="AB111" s="9" t="str">
        <f t="shared" ca="1" si="66"/>
        <v>—</v>
      </c>
      <c r="AC111" s="15">
        <f t="shared" ca="1" si="67"/>
        <v>7</v>
      </c>
      <c r="AD111" s="76" t="str">
        <f t="shared" ca="1" si="68"/>
        <v>—</v>
      </c>
      <c r="AE111" s="15">
        <f t="shared" ca="1" si="69"/>
        <v>7</v>
      </c>
      <c r="AF111" s="76" t="str">
        <f t="shared" ca="1" si="70"/>
        <v>—</v>
      </c>
      <c r="AG111" s="15">
        <f t="shared" ca="1" si="71"/>
        <v>7</v>
      </c>
      <c r="AH111" s="9" t="str">
        <f t="shared" ca="1" si="72"/>
        <v>—</v>
      </c>
      <c r="AI111" s="15">
        <f t="shared" ca="1" si="73"/>
        <v>7</v>
      </c>
      <c r="AJ111" s="26" t="str">
        <f t="shared" ca="1" si="74"/>
        <v>—</v>
      </c>
      <c r="AK111" s="15">
        <f t="shared" ca="1" si="75"/>
        <v>7</v>
      </c>
      <c r="AL111" s="9" t="str">
        <f t="shared" ca="1" si="76"/>
        <v>—</v>
      </c>
      <c r="AM111" s="15">
        <f t="shared" ca="1" si="77"/>
        <v>7</v>
      </c>
      <c r="AN111" s="9" t="str">
        <f t="shared" ca="1" si="78"/>
        <v>—</v>
      </c>
      <c r="AO111" s="15">
        <f t="shared" ca="1" si="79"/>
        <v>7</v>
      </c>
    </row>
    <row r="112" spans="1:41" x14ac:dyDescent="0.25">
      <c r="A112" s="4">
        <f t="shared" si="40"/>
        <v>78989</v>
      </c>
      <c r="B112" t="str">
        <f ca="1">TEXT(DATE(YEAR(Invoer!$A$5),1,1)+ROWS(B$2:B112)-1,"jjjjmmdd")</f>
        <v>19130421</v>
      </c>
      <c r="C112" s="72">
        <f t="shared" si="41"/>
        <v>800</v>
      </c>
      <c r="D112" s="16" t="str">
        <f t="shared" ca="1" si="42"/>
        <v>—</v>
      </c>
      <c r="E112" s="15">
        <f t="shared" ca="1" si="43"/>
        <v>7</v>
      </c>
      <c r="F112" s="73" t="str">
        <f t="shared" ca="1" si="44"/>
        <v>—</v>
      </c>
      <c r="G112" s="15">
        <f t="shared" ca="1" si="45"/>
        <v>7</v>
      </c>
      <c r="H112" s="73" t="str">
        <f t="shared" ca="1" si="46"/>
        <v>—</v>
      </c>
      <c r="I112" s="15">
        <f t="shared" ca="1" si="47"/>
        <v>7</v>
      </c>
      <c r="J112" s="73" t="str">
        <f t="shared" ca="1" si="48"/>
        <v>—</v>
      </c>
      <c r="K112" s="15">
        <f t="shared" ca="1" si="49"/>
        <v>7</v>
      </c>
      <c r="L112" s="16" t="str">
        <f t="shared" ca="1" si="50"/>
        <v>—</v>
      </c>
      <c r="M112" s="15">
        <f t="shared" ca="1" si="51"/>
        <v>7</v>
      </c>
      <c r="N112" s="16" t="str">
        <f t="shared" ca="1" si="52"/>
        <v>—</v>
      </c>
      <c r="O112" s="15">
        <f t="shared" ca="1" si="53"/>
        <v>7</v>
      </c>
      <c r="P112" s="16" t="str">
        <f t="shared" ca="1" si="54"/>
        <v>—</v>
      </c>
      <c r="Q112" s="15">
        <f t="shared" ca="1" si="55"/>
        <v>7</v>
      </c>
      <c r="R112" s="16" t="str">
        <f t="shared" ca="1" si="56"/>
        <v>—</v>
      </c>
      <c r="S112" s="15">
        <f t="shared" ca="1" si="57"/>
        <v>7</v>
      </c>
      <c r="T112" s="9" t="str">
        <f t="shared" ca="1" si="58"/>
        <v>—</v>
      </c>
      <c r="U112" s="15">
        <f t="shared" ca="1" si="59"/>
        <v>7</v>
      </c>
      <c r="V112" s="16" t="str">
        <f t="shared" ca="1" si="60"/>
        <v>—</v>
      </c>
      <c r="W112" s="15">
        <f t="shared" ca="1" si="61"/>
        <v>7</v>
      </c>
      <c r="X112" s="16" t="str">
        <f t="shared" ca="1" si="62"/>
        <v>—</v>
      </c>
      <c r="Y112" s="15">
        <f t="shared" ca="1" si="63"/>
        <v>7</v>
      </c>
      <c r="Z112" s="16" t="str">
        <f t="shared" ca="1" si="64"/>
        <v>—</v>
      </c>
      <c r="AA112" s="15">
        <f t="shared" ca="1" si="65"/>
        <v>7</v>
      </c>
      <c r="AB112" s="9" t="str">
        <f t="shared" ca="1" si="66"/>
        <v>—</v>
      </c>
      <c r="AC112" s="15">
        <f t="shared" ca="1" si="67"/>
        <v>7</v>
      </c>
      <c r="AD112" s="76" t="str">
        <f t="shared" ca="1" si="68"/>
        <v>—</v>
      </c>
      <c r="AE112" s="15">
        <f t="shared" ca="1" si="69"/>
        <v>7</v>
      </c>
      <c r="AF112" s="76" t="str">
        <f t="shared" ca="1" si="70"/>
        <v>—</v>
      </c>
      <c r="AG112" s="15">
        <f t="shared" ca="1" si="71"/>
        <v>7</v>
      </c>
      <c r="AH112" s="9" t="str">
        <f t="shared" ca="1" si="72"/>
        <v>—</v>
      </c>
      <c r="AI112" s="15">
        <f t="shared" ca="1" si="73"/>
        <v>7</v>
      </c>
      <c r="AJ112" s="26" t="str">
        <f t="shared" ca="1" si="74"/>
        <v>—</v>
      </c>
      <c r="AK112" s="15">
        <f t="shared" ca="1" si="75"/>
        <v>7</v>
      </c>
      <c r="AL112" s="9" t="str">
        <f t="shared" ca="1" si="76"/>
        <v>—</v>
      </c>
      <c r="AM112" s="15">
        <f t="shared" ca="1" si="77"/>
        <v>7</v>
      </c>
      <c r="AN112" s="9" t="str">
        <f t="shared" ca="1" si="78"/>
        <v>—</v>
      </c>
      <c r="AO112" s="15">
        <f t="shared" ca="1" si="79"/>
        <v>7</v>
      </c>
    </row>
    <row r="113" spans="1:41" x14ac:dyDescent="0.25">
      <c r="A113" s="4">
        <f t="shared" si="40"/>
        <v>78989</v>
      </c>
      <c r="B113" t="str">
        <f ca="1">TEXT(DATE(YEAR(Invoer!$A$5),1,1)+ROWS(B$2:B113)-1,"jjjjmmdd")</f>
        <v>19130422</v>
      </c>
      <c r="C113" s="72">
        <f t="shared" si="41"/>
        <v>800</v>
      </c>
      <c r="D113" s="16" t="str">
        <f t="shared" ca="1" si="42"/>
        <v>—</v>
      </c>
      <c r="E113" s="15">
        <f t="shared" ca="1" si="43"/>
        <v>7</v>
      </c>
      <c r="F113" s="73" t="str">
        <f t="shared" ca="1" si="44"/>
        <v>—</v>
      </c>
      <c r="G113" s="15">
        <f t="shared" ca="1" si="45"/>
        <v>7</v>
      </c>
      <c r="H113" s="73" t="str">
        <f t="shared" ca="1" si="46"/>
        <v>—</v>
      </c>
      <c r="I113" s="15">
        <f t="shared" ca="1" si="47"/>
        <v>7</v>
      </c>
      <c r="J113" s="73" t="str">
        <f t="shared" ca="1" si="48"/>
        <v>—</v>
      </c>
      <c r="K113" s="15">
        <f t="shared" ca="1" si="49"/>
        <v>7</v>
      </c>
      <c r="L113" s="16" t="str">
        <f t="shared" ca="1" si="50"/>
        <v>—</v>
      </c>
      <c r="M113" s="15">
        <f t="shared" ca="1" si="51"/>
        <v>7</v>
      </c>
      <c r="N113" s="16" t="str">
        <f t="shared" ca="1" si="52"/>
        <v>—</v>
      </c>
      <c r="O113" s="15">
        <f t="shared" ca="1" si="53"/>
        <v>7</v>
      </c>
      <c r="P113" s="16" t="str">
        <f t="shared" ca="1" si="54"/>
        <v>—</v>
      </c>
      <c r="Q113" s="15">
        <f t="shared" ca="1" si="55"/>
        <v>7</v>
      </c>
      <c r="R113" s="16" t="str">
        <f t="shared" ca="1" si="56"/>
        <v>—</v>
      </c>
      <c r="S113" s="15">
        <f t="shared" ca="1" si="57"/>
        <v>7</v>
      </c>
      <c r="T113" s="9" t="str">
        <f t="shared" ca="1" si="58"/>
        <v>—</v>
      </c>
      <c r="U113" s="15">
        <f t="shared" ca="1" si="59"/>
        <v>7</v>
      </c>
      <c r="V113" s="16" t="str">
        <f t="shared" ca="1" si="60"/>
        <v>—</v>
      </c>
      <c r="W113" s="15">
        <f t="shared" ca="1" si="61"/>
        <v>7</v>
      </c>
      <c r="X113" s="16" t="str">
        <f t="shared" ca="1" si="62"/>
        <v>—</v>
      </c>
      <c r="Y113" s="15">
        <f t="shared" ca="1" si="63"/>
        <v>7</v>
      </c>
      <c r="Z113" s="16" t="str">
        <f t="shared" ca="1" si="64"/>
        <v>—</v>
      </c>
      <c r="AA113" s="15">
        <f t="shared" ca="1" si="65"/>
        <v>7</v>
      </c>
      <c r="AB113" s="9" t="str">
        <f t="shared" ca="1" si="66"/>
        <v>—</v>
      </c>
      <c r="AC113" s="15">
        <f t="shared" ca="1" si="67"/>
        <v>7</v>
      </c>
      <c r="AD113" s="76" t="str">
        <f t="shared" ca="1" si="68"/>
        <v>—</v>
      </c>
      <c r="AE113" s="15">
        <f t="shared" ca="1" si="69"/>
        <v>7</v>
      </c>
      <c r="AF113" s="76" t="str">
        <f t="shared" ca="1" si="70"/>
        <v>—</v>
      </c>
      <c r="AG113" s="15">
        <f t="shared" ca="1" si="71"/>
        <v>7</v>
      </c>
      <c r="AH113" s="9" t="str">
        <f t="shared" ca="1" si="72"/>
        <v>—</v>
      </c>
      <c r="AI113" s="15">
        <f t="shared" ca="1" si="73"/>
        <v>7</v>
      </c>
      <c r="AJ113" s="26" t="str">
        <f t="shared" ca="1" si="74"/>
        <v>—</v>
      </c>
      <c r="AK113" s="15">
        <f t="shared" ca="1" si="75"/>
        <v>7</v>
      </c>
      <c r="AL113" s="9" t="str">
        <f t="shared" ca="1" si="76"/>
        <v>—</v>
      </c>
      <c r="AM113" s="15">
        <f t="shared" ca="1" si="77"/>
        <v>7</v>
      </c>
      <c r="AN113" s="9" t="str">
        <f t="shared" ca="1" si="78"/>
        <v>—</v>
      </c>
      <c r="AO113" s="15">
        <f t="shared" ca="1" si="79"/>
        <v>7</v>
      </c>
    </row>
    <row r="114" spans="1:41" x14ac:dyDescent="0.25">
      <c r="A114" s="4">
        <f t="shared" si="40"/>
        <v>78989</v>
      </c>
      <c r="B114" t="str">
        <f ca="1">TEXT(DATE(YEAR(Invoer!$A$5),1,1)+ROWS(B$2:B114)-1,"jjjjmmdd")</f>
        <v>19130423</v>
      </c>
      <c r="C114" s="72">
        <f t="shared" si="41"/>
        <v>800</v>
      </c>
      <c r="D114" s="16" t="str">
        <f t="shared" ca="1" si="42"/>
        <v>—</v>
      </c>
      <c r="E114" s="15">
        <f t="shared" ca="1" si="43"/>
        <v>7</v>
      </c>
      <c r="F114" s="73" t="str">
        <f t="shared" ca="1" si="44"/>
        <v>—</v>
      </c>
      <c r="G114" s="15">
        <f t="shared" ca="1" si="45"/>
        <v>7</v>
      </c>
      <c r="H114" s="73" t="str">
        <f t="shared" ca="1" si="46"/>
        <v>—</v>
      </c>
      <c r="I114" s="15">
        <f t="shared" ca="1" si="47"/>
        <v>7</v>
      </c>
      <c r="J114" s="73" t="str">
        <f t="shared" ca="1" si="48"/>
        <v>—</v>
      </c>
      <c r="K114" s="15">
        <f t="shared" ca="1" si="49"/>
        <v>7</v>
      </c>
      <c r="L114" s="16" t="str">
        <f t="shared" ca="1" si="50"/>
        <v>—</v>
      </c>
      <c r="M114" s="15">
        <f t="shared" ca="1" si="51"/>
        <v>7</v>
      </c>
      <c r="N114" s="16" t="str">
        <f t="shared" ca="1" si="52"/>
        <v>—</v>
      </c>
      <c r="O114" s="15">
        <f t="shared" ca="1" si="53"/>
        <v>7</v>
      </c>
      <c r="P114" s="16" t="str">
        <f t="shared" ca="1" si="54"/>
        <v>—</v>
      </c>
      <c r="Q114" s="15">
        <f t="shared" ca="1" si="55"/>
        <v>7</v>
      </c>
      <c r="R114" s="16" t="str">
        <f t="shared" ca="1" si="56"/>
        <v>—</v>
      </c>
      <c r="S114" s="15">
        <f t="shared" ca="1" si="57"/>
        <v>7</v>
      </c>
      <c r="T114" s="9" t="str">
        <f t="shared" ca="1" si="58"/>
        <v>—</v>
      </c>
      <c r="U114" s="15">
        <f t="shared" ca="1" si="59"/>
        <v>7</v>
      </c>
      <c r="V114" s="16" t="str">
        <f t="shared" ca="1" si="60"/>
        <v>—</v>
      </c>
      <c r="W114" s="15">
        <f t="shared" ca="1" si="61"/>
        <v>7</v>
      </c>
      <c r="X114" s="16" t="str">
        <f t="shared" ca="1" si="62"/>
        <v>—</v>
      </c>
      <c r="Y114" s="15">
        <f t="shared" ca="1" si="63"/>
        <v>7</v>
      </c>
      <c r="Z114" s="16" t="str">
        <f t="shared" ca="1" si="64"/>
        <v>—</v>
      </c>
      <c r="AA114" s="15">
        <f t="shared" ca="1" si="65"/>
        <v>7</v>
      </c>
      <c r="AB114" s="9" t="str">
        <f t="shared" ca="1" si="66"/>
        <v>—</v>
      </c>
      <c r="AC114" s="15">
        <f t="shared" ca="1" si="67"/>
        <v>7</v>
      </c>
      <c r="AD114" s="76" t="str">
        <f t="shared" ca="1" si="68"/>
        <v>—</v>
      </c>
      <c r="AE114" s="15">
        <f t="shared" ca="1" si="69"/>
        <v>7</v>
      </c>
      <c r="AF114" s="76" t="str">
        <f t="shared" ca="1" si="70"/>
        <v>—</v>
      </c>
      <c r="AG114" s="15">
        <f t="shared" ca="1" si="71"/>
        <v>7</v>
      </c>
      <c r="AH114" s="9" t="str">
        <f t="shared" ca="1" si="72"/>
        <v>—</v>
      </c>
      <c r="AI114" s="15">
        <f t="shared" ca="1" si="73"/>
        <v>7</v>
      </c>
      <c r="AJ114" s="26" t="str">
        <f t="shared" ca="1" si="74"/>
        <v>—</v>
      </c>
      <c r="AK114" s="15">
        <f t="shared" ca="1" si="75"/>
        <v>7</v>
      </c>
      <c r="AL114" s="9" t="str">
        <f t="shared" ca="1" si="76"/>
        <v>—</v>
      </c>
      <c r="AM114" s="15">
        <f t="shared" ca="1" si="77"/>
        <v>7</v>
      </c>
      <c r="AN114" s="9" t="str">
        <f t="shared" ca="1" si="78"/>
        <v>—</v>
      </c>
      <c r="AO114" s="15">
        <f t="shared" ca="1" si="79"/>
        <v>7</v>
      </c>
    </row>
    <row r="115" spans="1:41" x14ac:dyDescent="0.25">
      <c r="A115" s="4">
        <f t="shared" si="40"/>
        <v>78989</v>
      </c>
      <c r="B115" t="str">
        <f ca="1">TEXT(DATE(YEAR(Invoer!$A$5),1,1)+ROWS(B$2:B115)-1,"jjjjmmdd")</f>
        <v>19130424</v>
      </c>
      <c r="C115" s="72">
        <f t="shared" si="41"/>
        <v>800</v>
      </c>
      <c r="D115" s="16" t="str">
        <f t="shared" ca="1" si="42"/>
        <v>—</v>
      </c>
      <c r="E115" s="15">
        <f t="shared" ca="1" si="43"/>
        <v>7</v>
      </c>
      <c r="F115" s="73" t="str">
        <f t="shared" ca="1" si="44"/>
        <v>—</v>
      </c>
      <c r="G115" s="15">
        <f t="shared" ca="1" si="45"/>
        <v>7</v>
      </c>
      <c r="H115" s="73" t="str">
        <f t="shared" ca="1" si="46"/>
        <v>—</v>
      </c>
      <c r="I115" s="15">
        <f t="shared" ca="1" si="47"/>
        <v>7</v>
      </c>
      <c r="J115" s="73" t="str">
        <f t="shared" ca="1" si="48"/>
        <v>—</v>
      </c>
      <c r="K115" s="15">
        <f t="shared" ca="1" si="49"/>
        <v>7</v>
      </c>
      <c r="L115" s="16" t="str">
        <f t="shared" ca="1" si="50"/>
        <v>—</v>
      </c>
      <c r="M115" s="15">
        <f t="shared" ca="1" si="51"/>
        <v>7</v>
      </c>
      <c r="N115" s="16" t="str">
        <f t="shared" ca="1" si="52"/>
        <v>—</v>
      </c>
      <c r="O115" s="15">
        <f t="shared" ca="1" si="53"/>
        <v>7</v>
      </c>
      <c r="P115" s="16" t="str">
        <f t="shared" ca="1" si="54"/>
        <v>—</v>
      </c>
      <c r="Q115" s="15">
        <f t="shared" ca="1" si="55"/>
        <v>7</v>
      </c>
      <c r="R115" s="16" t="str">
        <f t="shared" ca="1" si="56"/>
        <v>—</v>
      </c>
      <c r="S115" s="15">
        <f t="shared" ca="1" si="57"/>
        <v>7</v>
      </c>
      <c r="T115" s="9" t="str">
        <f t="shared" ca="1" si="58"/>
        <v>—</v>
      </c>
      <c r="U115" s="15">
        <f t="shared" ca="1" si="59"/>
        <v>7</v>
      </c>
      <c r="V115" s="16" t="str">
        <f t="shared" ca="1" si="60"/>
        <v>—</v>
      </c>
      <c r="W115" s="15">
        <f t="shared" ca="1" si="61"/>
        <v>7</v>
      </c>
      <c r="X115" s="16" t="str">
        <f t="shared" ca="1" si="62"/>
        <v>—</v>
      </c>
      <c r="Y115" s="15">
        <f t="shared" ca="1" si="63"/>
        <v>7</v>
      </c>
      <c r="Z115" s="16" t="str">
        <f t="shared" ca="1" si="64"/>
        <v>—</v>
      </c>
      <c r="AA115" s="15">
        <f t="shared" ca="1" si="65"/>
        <v>7</v>
      </c>
      <c r="AB115" s="9" t="str">
        <f t="shared" ca="1" si="66"/>
        <v>—</v>
      </c>
      <c r="AC115" s="15">
        <f t="shared" ca="1" si="67"/>
        <v>7</v>
      </c>
      <c r="AD115" s="76" t="str">
        <f t="shared" ca="1" si="68"/>
        <v>—</v>
      </c>
      <c r="AE115" s="15">
        <f t="shared" ca="1" si="69"/>
        <v>7</v>
      </c>
      <c r="AF115" s="76" t="str">
        <f t="shared" ca="1" si="70"/>
        <v>—</v>
      </c>
      <c r="AG115" s="15">
        <f t="shared" ca="1" si="71"/>
        <v>7</v>
      </c>
      <c r="AH115" s="9" t="str">
        <f t="shared" ca="1" si="72"/>
        <v>—</v>
      </c>
      <c r="AI115" s="15">
        <f t="shared" ca="1" si="73"/>
        <v>7</v>
      </c>
      <c r="AJ115" s="26" t="str">
        <f t="shared" ca="1" si="74"/>
        <v>—</v>
      </c>
      <c r="AK115" s="15">
        <f t="shared" ca="1" si="75"/>
        <v>7</v>
      </c>
      <c r="AL115" s="9" t="str">
        <f t="shared" ca="1" si="76"/>
        <v>—</v>
      </c>
      <c r="AM115" s="15">
        <f t="shared" ca="1" si="77"/>
        <v>7</v>
      </c>
      <c r="AN115" s="9" t="str">
        <f t="shared" ca="1" si="78"/>
        <v>—</v>
      </c>
      <c r="AO115" s="15">
        <f t="shared" ca="1" si="79"/>
        <v>7</v>
      </c>
    </row>
    <row r="116" spans="1:41" x14ac:dyDescent="0.25">
      <c r="A116" s="4">
        <f t="shared" si="40"/>
        <v>78989</v>
      </c>
      <c r="B116" t="str">
        <f ca="1">TEXT(DATE(YEAR(Invoer!$A$5),1,1)+ROWS(B$2:B116)-1,"jjjjmmdd")</f>
        <v>19130425</v>
      </c>
      <c r="C116" s="72">
        <f t="shared" si="41"/>
        <v>800</v>
      </c>
      <c r="D116" s="16" t="str">
        <f t="shared" ca="1" si="42"/>
        <v>—</v>
      </c>
      <c r="E116" s="15">
        <f t="shared" ca="1" si="43"/>
        <v>7</v>
      </c>
      <c r="F116" s="73" t="str">
        <f t="shared" ca="1" si="44"/>
        <v>—</v>
      </c>
      <c r="G116" s="15">
        <f t="shared" ca="1" si="45"/>
        <v>7</v>
      </c>
      <c r="H116" s="73" t="str">
        <f t="shared" ca="1" si="46"/>
        <v>—</v>
      </c>
      <c r="I116" s="15">
        <f t="shared" ca="1" si="47"/>
        <v>7</v>
      </c>
      <c r="J116" s="73" t="str">
        <f t="shared" ca="1" si="48"/>
        <v>—</v>
      </c>
      <c r="K116" s="15">
        <f t="shared" ca="1" si="49"/>
        <v>7</v>
      </c>
      <c r="L116" s="16" t="str">
        <f t="shared" ca="1" si="50"/>
        <v>—</v>
      </c>
      <c r="M116" s="15">
        <f t="shared" ca="1" si="51"/>
        <v>7</v>
      </c>
      <c r="N116" s="16" t="str">
        <f t="shared" ca="1" si="52"/>
        <v>—</v>
      </c>
      <c r="O116" s="15">
        <f t="shared" ca="1" si="53"/>
        <v>7</v>
      </c>
      <c r="P116" s="16" t="str">
        <f t="shared" ca="1" si="54"/>
        <v>—</v>
      </c>
      <c r="Q116" s="15">
        <f t="shared" ca="1" si="55"/>
        <v>7</v>
      </c>
      <c r="R116" s="16" t="str">
        <f t="shared" ca="1" si="56"/>
        <v>—</v>
      </c>
      <c r="S116" s="15">
        <f t="shared" ca="1" si="57"/>
        <v>7</v>
      </c>
      <c r="T116" s="9" t="str">
        <f t="shared" ca="1" si="58"/>
        <v>—</v>
      </c>
      <c r="U116" s="15">
        <f t="shared" ca="1" si="59"/>
        <v>7</v>
      </c>
      <c r="V116" s="16" t="str">
        <f t="shared" ca="1" si="60"/>
        <v>—</v>
      </c>
      <c r="W116" s="15">
        <f t="shared" ca="1" si="61"/>
        <v>7</v>
      </c>
      <c r="X116" s="16" t="str">
        <f t="shared" ca="1" si="62"/>
        <v>—</v>
      </c>
      <c r="Y116" s="15">
        <f t="shared" ca="1" si="63"/>
        <v>7</v>
      </c>
      <c r="Z116" s="16" t="str">
        <f t="shared" ca="1" si="64"/>
        <v>—</v>
      </c>
      <c r="AA116" s="15">
        <f t="shared" ca="1" si="65"/>
        <v>7</v>
      </c>
      <c r="AB116" s="9" t="str">
        <f t="shared" ca="1" si="66"/>
        <v>—</v>
      </c>
      <c r="AC116" s="15">
        <f t="shared" ca="1" si="67"/>
        <v>7</v>
      </c>
      <c r="AD116" s="76" t="str">
        <f t="shared" ca="1" si="68"/>
        <v>—</v>
      </c>
      <c r="AE116" s="15">
        <f t="shared" ca="1" si="69"/>
        <v>7</v>
      </c>
      <c r="AF116" s="76" t="str">
        <f t="shared" ca="1" si="70"/>
        <v>—</v>
      </c>
      <c r="AG116" s="15">
        <f t="shared" ca="1" si="71"/>
        <v>7</v>
      </c>
      <c r="AH116" s="9" t="str">
        <f t="shared" ca="1" si="72"/>
        <v>—</v>
      </c>
      <c r="AI116" s="15">
        <f t="shared" ca="1" si="73"/>
        <v>7</v>
      </c>
      <c r="AJ116" s="26" t="str">
        <f t="shared" ca="1" si="74"/>
        <v>—</v>
      </c>
      <c r="AK116" s="15">
        <f t="shared" ca="1" si="75"/>
        <v>7</v>
      </c>
      <c r="AL116" s="9" t="str">
        <f t="shared" ca="1" si="76"/>
        <v>—</v>
      </c>
      <c r="AM116" s="15">
        <f t="shared" ca="1" si="77"/>
        <v>7</v>
      </c>
      <c r="AN116" s="9" t="str">
        <f t="shared" ca="1" si="78"/>
        <v>—</v>
      </c>
      <c r="AO116" s="15">
        <f t="shared" ca="1" si="79"/>
        <v>7</v>
      </c>
    </row>
    <row r="117" spans="1:41" x14ac:dyDescent="0.25">
      <c r="A117" s="4">
        <f t="shared" si="40"/>
        <v>78989</v>
      </c>
      <c r="B117" t="str">
        <f ca="1">TEXT(DATE(YEAR(Invoer!$A$5),1,1)+ROWS(B$2:B117)-1,"jjjjmmdd")</f>
        <v>19130426</v>
      </c>
      <c r="C117" s="72">
        <f t="shared" si="41"/>
        <v>800</v>
      </c>
      <c r="D117" s="16" t="str">
        <f t="shared" ca="1" si="42"/>
        <v>—</v>
      </c>
      <c r="E117" s="15">
        <f t="shared" ca="1" si="43"/>
        <v>7</v>
      </c>
      <c r="F117" s="73" t="str">
        <f t="shared" ca="1" si="44"/>
        <v>—</v>
      </c>
      <c r="G117" s="15">
        <f t="shared" ca="1" si="45"/>
        <v>7</v>
      </c>
      <c r="H117" s="73" t="str">
        <f t="shared" ca="1" si="46"/>
        <v>—</v>
      </c>
      <c r="I117" s="15">
        <f t="shared" ca="1" si="47"/>
        <v>7</v>
      </c>
      <c r="J117" s="73" t="str">
        <f t="shared" ca="1" si="48"/>
        <v>—</v>
      </c>
      <c r="K117" s="15">
        <f t="shared" ca="1" si="49"/>
        <v>7</v>
      </c>
      <c r="L117" s="16" t="str">
        <f t="shared" ca="1" si="50"/>
        <v>—</v>
      </c>
      <c r="M117" s="15">
        <f t="shared" ca="1" si="51"/>
        <v>7</v>
      </c>
      <c r="N117" s="16" t="str">
        <f t="shared" ca="1" si="52"/>
        <v>—</v>
      </c>
      <c r="O117" s="15">
        <f t="shared" ca="1" si="53"/>
        <v>7</v>
      </c>
      <c r="P117" s="16" t="str">
        <f t="shared" ca="1" si="54"/>
        <v>—</v>
      </c>
      <c r="Q117" s="15">
        <f t="shared" ca="1" si="55"/>
        <v>7</v>
      </c>
      <c r="R117" s="16" t="str">
        <f t="shared" ca="1" si="56"/>
        <v>—</v>
      </c>
      <c r="S117" s="15">
        <f t="shared" ca="1" si="57"/>
        <v>7</v>
      </c>
      <c r="T117" s="9" t="str">
        <f t="shared" ca="1" si="58"/>
        <v>—</v>
      </c>
      <c r="U117" s="15">
        <f t="shared" ca="1" si="59"/>
        <v>7</v>
      </c>
      <c r="V117" s="16" t="str">
        <f t="shared" ca="1" si="60"/>
        <v>—</v>
      </c>
      <c r="W117" s="15">
        <f t="shared" ca="1" si="61"/>
        <v>7</v>
      </c>
      <c r="X117" s="16" t="str">
        <f t="shared" ca="1" si="62"/>
        <v>—</v>
      </c>
      <c r="Y117" s="15">
        <f t="shared" ca="1" si="63"/>
        <v>7</v>
      </c>
      <c r="Z117" s="16" t="str">
        <f t="shared" ca="1" si="64"/>
        <v>—</v>
      </c>
      <c r="AA117" s="15">
        <f t="shared" ca="1" si="65"/>
        <v>7</v>
      </c>
      <c r="AB117" s="9" t="str">
        <f t="shared" ca="1" si="66"/>
        <v>—</v>
      </c>
      <c r="AC117" s="15">
        <f t="shared" ca="1" si="67"/>
        <v>7</v>
      </c>
      <c r="AD117" s="76" t="str">
        <f t="shared" ca="1" si="68"/>
        <v>—</v>
      </c>
      <c r="AE117" s="15">
        <f t="shared" ca="1" si="69"/>
        <v>7</v>
      </c>
      <c r="AF117" s="76" t="str">
        <f t="shared" ca="1" si="70"/>
        <v>—</v>
      </c>
      <c r="AG117" s="15">
        <f t="shared" ca="1" si="71"/>
        <v>7</v>
      </c>
      <c r="AH117" s="9" t="str">
        <f t="shared" ca="1" si="72"/>
        <v>—</v>
      </c>
      <c r="AI117" s="15">
        <f t="shared" ca="1" si="73"/>
        <v>7</v>
      </c>
      <c r="AJ117" s="26" t="str">
        <f t="shared" ca="1" si="74"/>
        <v>—</v>
      </c>
      <c r="AK117" s="15">
        <f t="shared" ca="1" si="75"/>
        <v>7</v>
      </c>
      <c r="AL117" s="9" t="str">
        <f t="shared" ca="1" si="76"/>
        <v>—</v>
      </c>
      <c r="AM117" s="15">
        <f t="shared" ca="1" si="77"/>
        <v>7</v>
      </c>
      <c r="AN117" s="9" t="str">
        <f t="shared" ca="1" si="78"/>
        <v>—</v>
      </c>
      <c r="AO117" s="15">
        <f t="shared" ca="1" si="79"/>
        <v>7</v>
      </c>
    </row>
    <row r="118" spans="1:41" x14ac:dyDescent="0.25">
      <c r="A118" s="4">
        <f t="shared" si="40"/>
        <v>78989</v>
      </c>
      <c r="B118" t="str">
        <f ca="1">TEXT(DATE(YEAR(Invoer!$A$5),1,1)+ROWS(B$2:B118)-1,"jjjjmmdd")</f>
        <v>19130427</v>
      </c>
      <c r="C118" s="72">
        <f t="shared" si="41"/>
        <v>800</v>
      </c>
      <c r="D118" s="16" t="str">
        <f t="shared" ca="1" si="42"/>
        <v>—</v>
      </c>
      <c r="E118" s="15">
        <f t="shared" ca="1" si="43"/>
        <v>7</v>
      </c>
      <c r="F118" s="73" t="str">
        <f t="shared" ca="1" si="44"/>
        <v>—</v>
      </c>
      <c r="G118" s="15">
        <f t="shared" ca="1" si="45"/>
        <v>7</v>
      </c>
      <c r="H118" s="73" t="str">
        <f t="shared" ca="1" si="46"/>
        <v>—</v>
      </c>
      <c r="I118" s="15">
        <f t="shared" ca="1" si="47"/>
        <v>7</v>
      </c>
      <c r="J118" s="73" t="str">
        <f t="shared" ca="1" si="48"/>
        <v>—</v>
      </c>
      <c r="K118" s="15">
        <f t="shared" ca="1" si="49"/>
        <v>7</v>
      </c>
      <c r="L118" s="16" t="str">
        <f t="shared" ca="1" si="50"/>
        <v>—</v>
      </c>
      <c r="M118" s="15">
        <f t="shared" ca="1" si="51"/>
        <v>7</v>
      </c>
      <c r="N118" s="16" t="str">
        <f t="shared" ca="1" si="52"/>
        <v>—</v>
      </c>
      <c r="O118" s="15">
        <f t="shared" ca="1" si="53"/>
        <v>7</v>
      </c>
      <c r="P118" s="16" t="str">
        <f t="shared" ca="1" si="54"/>
        <v>—</v>
      </c>
      <c r="Q118" s="15">
        <f t="shared" ca="1" si="55"/>
        <v>7</v>
      </c>
      <c r="R118" s="16" t="str">
        <f t="shared" ca="1" si="56"/>
        <v>—</v>
      </c>
      <c r="S118" s="15">
        <f t="shared" ca="1" si="57"/>
        <v>7</v>
      </c>
      <c r="T118" s="9" t="str">
        <f t="shared" ca="1" si="58"/>
        <v>—</v>
      </c>
      <c r="U118" s="15">
        <f t="shared" ca="1" si="59"/>
        <v>7</v>
      </c>
      <c r="V118" s="16" t="str">
        <f t="shared" ca="1" si="60"/>
        <v>—</v>
      </c>
      <c r="W118" s="15">
        <f t="shared" ca="1" si="61"/>
        <v>7</v>
      </c>
      <c r="X118" s="16" t="str">
        <f t="shared" ca="1" si="62"/>
        <v>—</v>
      </c>
      <c r="Y118" s="15">
        <f t="shared" ca="1" si="63"/>
        <v>7</v>
      </c>
      <c r="Z118" s="16" t="str">
        <f t="shared" ca="1" si="64"/>
        <v>—</v>
      </c>
      <c r="AA118" s="15">
        <f t="shared" ca="1" si="65"/>
        <v>7</v>
      </c>
      <c r="AB118" s="9" t="str">
        <f t="shared" ca="1" si="66"/>
        <v>—</v>
      </c>
      <c r="AC118" s="15">
        <f t="shared" ca="1" si="67"/>
        <v>7</v>
      </c>
      <c r="AD118" s="76" t="str">
        <f t="shared" ca="1" si="68"/>
        <v>—</v>
      </c>
      <c r="AE118" s="15">
        <f t="shared" ca="1" si="69"/>
        <v>7</v>
      </c>
      <c r="AF118" s="76" t="str">
        <f t="shared" ca="1" si="70"/>
        <v>—</v>
      </c>
      <c r="AG118" s="15">
        <f t="shared" ca="1" si="71"/>
        <v>7</v>
      </c>
      <c r="AH118" s="9" t="str">
        <f t="shared" ca="1" si="72"/>
        <v>—</v>
      </c>
      <c r="AI118" s="15">
        <f t="shared" ca="1" si="73"/>
        <v>7</v>
      </c>
      <c r="AJ118" s="26" t="str">
        <f t="shared" ca="1" si="74"/>
        <v>—</v>
      </c>
      <c r="AK118" s="15">
        <f t="shared" ca="1" si="75"/>
        <v>7</v>
      </c>
      <c r="AL118" s="9" t="str">
        <f t="shared" ca="1" si="76"/>
        <v>—</v>
      </c>
      <c r="AM118" s="15">
        <f t="shared" ca="1" si="77"/>
        <v>7</v>
      </c>
      <c r="AN118" s="9" t="str">
        <f t="shared" ca="1" si="78"/>
        <v>—</v>
      </c>
      <c r="AO118" s="15">
        <f t="shared" ca="1" si="79"/>
        <v>7</v>
      </c>
    </row>
    <row r="119" spans="1:41" x14ac:dyDescent="0.25">
      <c r="A119" s="4">
        <f t="shared" si="40"/>
        <v>78989</v>
      </c>
      <c r="B119" t="str">
        <f ca="1">TEXT(DATE(YEAR(Invoer!$A$5),1,1)+ROWS(B$2:B119)-1,"jjjjmmdd")</f>
        <v>19130428</v>
      </c>
      <c r="C119" s="72">
        <f t="shared" si="41"/>
        <v>800</v>
      </c>
      <c r="D119" s="16" t="str">
        <f t="shared" ca="1" si="42"/>
        <v>—</v>
      </c>
      <c r="E119" s="15">
        <f t="shared" ca="1" si="43"/>
        <v>7</v>
      </c>
      <c r="F119" s="73" t="str">
        <f t="shared" ca="1" si="44"/>
        <v>—</v>
      </c>
      <c r="G119" s="15">
        <f t="shared" ca="1" si="45"/>
        <v>7</v>
      </c>
      <c r="H119" s="73" t="str">
        <f t="shared" ca="1" si="46"/>
        <v>—</v>
      </c>
      <c r="I119" s="15">
        <f t="shared" ca="1" si="47"/>
        <v>7</v>
      </c>
      <c r="J119" s="73" t="str">
        <f t="shared" ca="1" si="48"/>
        <v>—</v>
      </c>
      <c r="K119" s="15">
        <f t="shared" ca="1" si="49"/>
        <v>7</v>
      </c>
      <c r="L119" s="16" t="str">
        <f t="shared" ca="1" si="50"/>
        <v>—</v>
      </c>
      <c r="M119" s="15">
        <f t="shared" ca="1" si="51"/>
        <v>7</v>
      </c>
      <c r="N119" s="16" t="str">
        <f t="shared" ca="1" si="52"/>
        <v>—</v>
      </c>
      <c r="O119" s="15">
        <f t="shared" ca="1" si="53"/>
        <v>7</v>
      </c>
      <c r="P119" s="16" t="str">
        <f t="shared" ca="1" si="54"/>
        <v>—</v>
      </c>
      <c r="Q119" s="15">
        <f t="shared" ca="1" si="55"/>
        <v>7</v>
      </c>
      <c r="R119" s="16" t="str">
        <f t="shared" ca="1" si="56"/>
        <v>—</v>
      </c>
      <c r="S119" s="15">
        <f t="shared" ca="1" si="57"/>
        <v>7</v>
      </c>
      <c r="T119" s="9" t="str">
        <f t="shared" ca="1" si="58"/>
        <v>—</v>
      </c>
      <c r="U119" s="15">
        <f t="shared" ca="1" si="59"/>
        <v>7</v>
      </c>
      <c r="V119" s="16" t="str">
        <f t="shared" ca="1" si="60"/>
        <v>—</v>
      </c>
      <c r="W119" s="15">
        <f t="shared" ca="1" si="61"/>
        <v>7</v>
      </c>
      <c r="X119" s="16" t="str">
        <f t="shared" ca="1" si="62"/>
        <v>—</v>
      </c>
      <c r="Y119" s="15">
        <f t="shared" ca="1" si="63"/>
        <v>7</v>
      </c>
      <c r="Z119" s="16" t="str">
        <f t="shared" ca="1" si="64"/>
        <v>—</v>
      </c>
      <c r="AA119" s="15">
        <f t="shared" ca="1" si="65"/>
        <v>7</v>
      </c>
      <c r="AB119" s="9" t="str">
        <f t="shared" ca="1" si="66"/>
        <v>—</v>
      </c>
      <c r="AC119" s="15">
        <f t="shared" ca="1" si="67"/>
        <v>7</v>
      </c>
      <c r="AD119" s="76" t="str">
        <f t="shared" ca="1" si="68"/>
        <v>—</v>
      </c>
      <c r="AE119" s="15">
        <f t="shared" ca="1" si="69"/>
        <v>7</v>
      </c>
      <c r="AF119" s="76" t="str">
        <f t="shared" ca="1" si="70"/>
        <v>—</v>
      </c>
      <c r="AG119" s="15">
        <f t="shared" ca="1" si="71"/>
        <v>7</v>
      </c>
      <c r="AH119" s="9" t="str">
        <f t="shared" ca="1" si="72"/>
        <v>—</v>
      </c>
      <c r="AI119" s="15">
        <f t="shared" ca="1" si="73"/>
        <v>7</v>
      </c>
      <c r="AJ119" s="26" t="str">
        <f t="shared" ca="1" si="74"/>
        <v>—</v>
      </c>
      <c r="AK119" s="15">
        <f t="shared" ca="1" si="75"/>
        <v>7</v>
      </c>
      <c r="AL119" s="9" t="str">
        <f t="shared" ca="1" si="76"/>
        <v>—</v>
      </c>
      <c r="AM119" s="15">
        <f t="shared" ca="1" si="77"/>
        <v>7</v>
      </c>
      <c r="AN119" s="9" t="str">
        <f t="shared" ca="1" si="78"/>
        <v>—</v>
      </c>
      <c r="AO119" s="15">
        <f t="shared" ca="1" si="79"/>
        <v>7</v>
      </c>
    </row>
    <row r="120" spans="1:41" x14ac:dyDescent="0.25">
      <c r="A120" s="4">
        <f t="shared" si="40"/>
        <v>78989</v>
      </c>
      <c r="B120" t="str">
        <f ca="1">TEXT(DATE(YEAR(Invoer!$A$5),1,1)+ROWS(B$2:B120)-1,"jjjjmmdd")</f>
        <v>19130429</v>
      </c>
      <c r="C120" s="72">
        <f t="shared" si="41"/>
        <v>800</v>
      </c>
      <c r="D120" s="16" t="str">
        <f t="shared" ca="1" si="42"/>
        <v>—</v>
      </c>
      <c r="E120" s="15">
        <f t="shared" ca="1" si="43"/>
        <v>7</v>
      </c>
      <c r="F120" s="73" t="str">
        <f t="shared" ca="1" si="44"/>
        <v>—</v>
      </c>
      <c r="G120" s="15">
        <f t="shared" ca="1" si="45"/>
        <v>7</v>
      </c>
      <c r="H120" s="73" t="str">
        <f t="shared" ca="1" si="46"/>
        <v>—</v>
      </c>
      <c r="I120" s="15">
        <f t="shared" ca="1" si="47"/>
        <v>7</v>
      </c>
      <c r="J120" s="73" t="str">
        <f t="shared" ca="1" si="48"/>
        <v>—</v>
      </c>
      <c r="K120" s="15">
        <f t="shared" ca="1" si="49"/>
        <v>7</v>
      </c>
      <c r="L120" s="16" t="str">
        <f t="shared" ca="1" si="50"/>
        <v>—</v>
      </c>
      <c r="M120" s="15">
        <f t="shared" ca="1" si="51"/>
        <v>7</v>
      </c>
      <c r="N120" s="16" t="str">
        <f t="shared" ca="1" si="52"/>
        <v>—</v>
      </c>
      <c r="O120" s="15">
        <f t="shared" ca="1" si="53"/>
        <v>7</v>
      </c>
      <c r="P120" s="16" t="str">
        <f t="shared" ca="1" si="54"/>
        <v>—</v>
      </c>
      <c r="Q120" s="15">
        <f t="shared" ca="1" si="55"/>
        <v>7</v>
      </c>
      <c r="R120" s="16" t="str">
        <f t="shared" ca="1" si="56"/>
        <v>—</v>
      </c>
      <c r="S120" s="15">
        <f t="shared" ca="1" si="57"/>
        <v>7</v>
      </c>
      <c r="T120" s="9" t="str">
        <f t="shared" ca="1" si="58"/>
        <v>—</v>
      </c>
      <c r="U120" s="15">
        <f t="shared" ca="1" si="59"/>
        <v>7</v>
      </c>
      <c r="V120" s="16" t="str">
        <f t="shared" ca="1" si="60"/>
        <v>—</v>
      </c>
      <c r="W120" s="15">
        <f t="shared" ca="1" si="61"/>
        <v>7</v>
      </c>
      <c r="X120" s="16" t="str">
        <f t="shared" ca="1" si="62"/>
        <v>—</v>
      </c>
      <c r="Y120" s="15">
        <f t="shared" ca="1" si="63"/>
        <v>7</v>
      </c>
      <c r="Z120" s="16" t="str">
        <f t="shared" ca="1" si="64"/>
        <v>—</v>
      </c>
      <c r="AA120" s="15">
        <f t="shared" ca="1" si="65"/>
        <v>7</v>
      </c>
      <c r="AB120" s="9" t="str">
        <f t="shared" ca="1" si="66"/>
        <v>—</v>
      </c>
      <c r="AC120" s="15">
        <f t="shared" ca="1" si="67"/>
        <v>7</v>
      </c>
      <c r="AD120" s="76" t="str">
        <f t="shared" ca="1" si="68"/>
        <v>—</v>
      </c>
      <c r="AE120" s="15">
        <f t="shared" ca="1" si="69"/>
        <v>7</v>
      </c>
      <c r="AF120" s="76" t="str">
        <f t="shared" ca="1" si="70"/>
        <v>—</v>
      </c>
      <c r="AG120" s="15">
        <f t="shared" ca="1" si="71"/>
        <v>7</v>
      </c>
      <c r="AH120" s="9" t="str">
        <f t="shared" ca="1" si="72"/>
        <v>—</v>
      </c>
      <c r="AI120" s="15">
        <f t="shared" ca="1" si="73"/>
        <v>7</v>
      </c>
      <c r="AJ120" s="26" t="str">
        <f t="shared" ca="1" si="74"/>
        <v>—</v>
      </c>
      <c r="AK120" s="15">
        <f t="shared" ca="1" si="75"/>
        <v>7</v>
      </c>
      <c r="AL120" s="9" t="str">
        <f t="shared" ca="1" si="76"/>
        <v>—</v>
      </c>
      <c r="AM120" s="15">
        <f t="shared" ca="1" si="77"/>
        <v>7</v>
      </c>
      <c r="AN120" s="9" t="str">
        <f t="shared" ca="1" si="78"/>
        <v>—</v>
      </c>
      <c r="AO120" s="15">
        <f t="shared" ca="1" si="79"/>
        <v>7</v>
      </c>
    </row>
    <row r="121" spans="1:41" x14ac:dyDescent="0.25">
      <c r="A121" s="4">
        <f t="shared" si="40"/>
        <v>78989</v>
      </c>
      <c r="B121" t="str">
        <f ca="1">TEXT(DATE(YEAR(Invoer!$A$5),1,1)+ROWS(B$2:B121)-1,"jjjjmmdd")</f>
        <v>19130430</v>
      </c>
      <c r="C121" s="72">
        <f t="shared" si="41"/>
        <v>800</v>
      </c>
      <c r="D121" s="16" t="str">
        <f t="shared" ca="1" si="42"/>
        <v>—</v>
      </c>
      <c r="E121" s="15">
        <f t="shared" ca="1" si="43"/>
        <v>7</v>
      </c>
      <c r="F121" s="73" t="str">
        <f t="shared" ca="1" si="44"/>
        <v>—</v>
      </c>
      <c r="G121" s="15">
        <f t="shared" ca="1" si="45"/>
        <v>7</v>
      </c>
      <c r="H121" s="73" t="str">
        <f t="shared" ca="1" si="46"/>
        <v>—</v>
      </c>
      <c r="I121" s="15">
        <f t="shared" ca="1" si="47"/>
        <v>7</v>
      </c>
      <c r="J121" s="73" t="str">
        <f t="shared" ca="1" si="48"/>
        <v>—</v>
      </c>
      <c r="K121" s="15">
        <f t="shared" ca="1" si="49"/>
        <v>7</v>
      </c>
      <c r="L121" s="16" t="str">
        <f t="shared" ca="1" si="50"/>
        <v>—</v>
      </c>
      <c r="M121" s="15">
        <f t="shared" ca="1" si="51"/>
        <v>7</v>
      </c>
      <c r="N121" s="16" t="str">
        <f t="shared" ca="1" si="52"/>
        <v>—</v>
      </c>
      <c r="O121" s="15">
        <f t="shared" ca="1" si="53"/>
        <v>7</v>
      </c>
      <c r="P121" s="16" t="str">
        <f t="shared" ca="1" si="54"/>
        <v>—</v>
      </c>
      <c r="Q121" s="15">
        <f t="shared" ca="1" si="55"/>
        <v>7</v>
      </c>
      <c r="R121" s="16" t="str">
        <f t="shared" ca="1" si="56"/>
        <v>—</v>
      </c>
      <c r="S121" s="15">
        <f t="shared" ca="1" si="57"/>
        <v>7</v>
      </c>
      <c r="T121" s="9" t="str">
        <f t="shared" ca="1" si="58"/>
        <v>—</v>
      </c>
      <c r="U121" s="15">
        <f t="shared" ca="1" si="59"/>
        <v>7</v>
      </c>
      <c r="V121" s="16" t="str">
        <f t="shared" ca="1" si="60"/>
        <v>—</v>
      </c>
      <c r="W121" s="15">
        <f t="shared" ca="1" si="61"/>
        <v>7</v>
      </c>
      <c r="X121" s="16" t="str">
        <f t="shared" ca="1" si="62"/>
        <v>—</v>
      </c>
      <c r="Y121" s="15">
        <f t="shared" ca="1" si="63"/>
        <v>7</v>
      </c>
      <c r="Z121" s="16" t="str">
        <f t="shared" ca="1" si="64"/>
        <v>—</v>
      </c>
      <c r="AA121" s="15">
        <f t="shared" ca="1" si="65"/>
        <v>7</v>
      </c>
      <c r="AB121" s="9" t="str">
        <f t="shared" ca="1" si="66"/>
        <v>—</v>
      </c>
      <c r="AC121" s="15">
        <f t="shared" ca="1" si="67"/>
        <v>7</v>
      </c>
      <c r="AD121" s="76" t="str">
        <f t="shared" ca="1" si="68"/>
        <v>—</v>
      </c>
      <c r="AE121" s="15">
        <f t="shared" ca="1" si="69"/>
        <v>7</v>
      </c>
      <c r="AF121" s="76" t="str">
        <f t="shared" ca="1" si="70"/>
        <v>—</v>
      </c>
      <c r="AG121" s="15">
        <f t="shared" ca="1" si="71"/>
        <v>7</v>
      </c>
      <c r="AH121" s="9" t="str">
        <f t="shared" ca="1" si="72"/>
        <v>—</v>
      </c>
      <c r="AI121" s="15">
        <f t="shared" ca="1" si="73"/>
        <v>7</v>
      </c>
      <c r="AJ121" s="26" t="str">
        <f t="shared" ca="1" si="74"/>
        <v>—</v>
      </c>
      <c r="AK121" s="15">
        <f t="shared" ca="1" si="75"/>
        <v>7</v>
      </c>
      <c r="AL121" s="9" t="str">
        <f t="shared" ca="1" si="76"/>
        <v>—</v>
      </c>
      <c r="AM121" s="15">
        <f t="shared" ca="1" si="77"/>
        <v>7</v>
      </c>
      <c r="AN121" s="9" t="str">
        <f t="shared" ca="1" si="78"/>
        <v>—</v>
      </c>
      <c r="AO121" s="15">
        <f t="shared" ca="1" si="79"/>
        <v>7</v>
      </c>
    </row>
    <row r="122" spans="1:41" x14ac:dyDescent="0.25">
      <c r="A122" s="4">
        <f t="shared" si="40"/>
        <v>78989</v>
      </c>
      <c r="B122" t="str">
        <f ca="1">TEXT(DATE(YEAR(Invoer!$A$5),1,1)+ROWS(B$2:B122)-1,"jjjjmmdd")</f>
        <v>19130501</v>
      </c>
      <c r="C122" s="72">
        <f t="shared" si="41"/>
        <v>800</v>
      </c>
      <c r="D122" s="16" t="str">
        <f t="shared" ca="1" si="42"/>
        <v>—</v>
      </c>
      <c r="E122" s="15">
        <f t="shared" ca="1" si="43"/>
        <v>7</v>
      </c>
      <c r="F122" s="73" t="str">
        <f t="shared" ca="1" si="44"/>
        <v>—</v>
      </c>
      <c r="G122" s="15">
        <f t="shared" ca="1" si="45"/>
        <v>7</v>
      </c>
      <c r="H122" s="73" t="str">
        <f t="shared" ca="1" si="46"/>
        <v>—</v>
      </c>
      <c r="I122" s="15">
        <f t="shared" ca="1" si="47"/>
        <v>7</v>
      </c>
      <c r="J122" s="73" t="str">
        <f t="shared" ca="1" si="48"/>
        <v>—</v>
      </c>
      <c r="K122" s="15">
        <f t="shared" ca="1" si="49"/>
        <v>7</v>
      </c>
      <c r="L122" s="16" t="str">
        <f t="shared" ca="1" si="50"/>
        <v>—</v>
      </c>
      <c r="M122" s="15">
        <f t="shared" ca="1" si="51"/>
        <v>7</v>
      </c>
      <c r="N122" s="16" t="str">
        <f t="shared" ca="1" si="52"/>
        <v>—</v>
      </c>
      <c r="O122" s="15">
        <f t="shared" ca="1" si="53"/>
        <v>7</v>
      </c>
      <c r="P122" s="16" t="str">
        <f t="shared" ca="1" si="54"/>
        <v>—</v>
      </c>
      <c r="Q122" s="15">
        <f t="shared" ca="1" si="55"/>
        <v>7</v>
      </c>
      <c r="R122" s="16" t="str">
        <f t="shared" ca="1" si="56"/>
        <v>—</v>
      </c>
      <c r="S122" s="15">
        <f t="shared" ca="1" si="57"/>
        <v>7</v>
      </c>
      <c r="T122" s="9" t="str">
        <f t="shared" ca="1" si="58"/>
        <v>—</v>
      </c>
      <c r="U122" s="15">
        <f t="shared" ca="1" si="59"/>
        <v>7</v>
      </c>
      <c r="V122" s="16" t="str">
        <f t="shared" ca="1" si="60"/>
        <v>—</v>
      </c>
      <c r="W122" s="15">
        <f t="shared" ca="1" si="61"/>
        <v>7</v>
      </c>
      <c r="X122" s="16" t="str">
        <f t="shared" ca="1" si="62"/>
        <v>—</v>
      </c>
      <c r="Y122" s="15">
        <f t="shared" ca="1" si="63"/>
        <v>7</v>
      </c>
      <c r="Z122" s="16" t="str">
        <f t="shared" ca="1" si="64"/>
        <v>—</v>
      </c>
      <c r="AA122" s="15">
        <f t="shared" ca="1" si="65"/>
        <v>7</v>
      </c>
      <c r="AB122" s="9" t="str">
        <f t="shared" ca="1" si="66"/>
        <v>—</v>
      </c>
      <c r="AC122" s="15">
        <f t="shared" ca="1" si="67"/>
        <v>7</v>
      </c>
      <c r="AD122" s="76" t="str">
        <f t="shared" ca="1" si="68"/>
        <v>—</v>
      </c>
      <c r="AE122" s="15">
        <f t="shared" ca="1" si="69"/>
        <v>7</v>
      </c>
      <c r="AF122" s="76" t="str">
        <f t="shared" ca="1" si="70"/>
        <v>—</v>
      </c>
      <c r="AG122" s="15">
        <f t="shared" ca="1" si="71"/>
        <v>7</v>
      </c>
      <c r="AH122" s="9" t="str">
        <f t="shared" ca="1" si="72"/>
        <v>—</v>
      </c>
      <c r="AI122" s="15">
        <f t="shared" ca="1" si="73"/>
        <v>7</v>
      </c>
      <c r="AJ122" s="26" t="str">
        <f t="shared" ca="1" si="74"/>
        <v>—</v>
      </c>
      <c r="AK122" s="15">
        <f t="shared" ca="1" si="75"/>
        <v>7</v>
      </c>
      <c r="AL122" s="9" t="str">
        <f t="shared" ca="1" si="76"/>
        <v>—</v>
      </c>
      <c r="AM122" s="15">
        <f t="shared" ca="1" si="77"/>
        <v>7</v>
      </c>
      <c r="AN122" s="9" t="str">
        <f t="shared" ca="1" si="78"/>
        <v>—</v>
      </c>
      <c r="AO122" s="15">
        <f t="shared" ca="1" si="79"/>
        <v>7</v>
      </c>
    </row>
    <row r="123" spans="1:41" x14ac:dyDescent="0.25">
      <c r="A123" s="4">
        <f t="shared" si="40"/>
        <v>78989</v>
      </c>
      <c r="B123" t="str">
        <f ca="1">TEXT(DATE(YEAR(Invoer!$A$5),1,1)+ROWS(B$2:B123)-1,"jjjjmmdd")</f>
        <v>19130502</v>
      </c>
      <c r="C123" s="72">
        <f t="shared" si="41"/>
        <v>800</v>
      </c>
      <c r="D123" s="16" t="str">
        <f t="shared" ca="1" si="42"/>
        <v>—</v>
      </c>
      <c r="E123" s="15">
        <f t="shared" ca="1" si="43"/>
        <v>7</v>
      </c>
      <c r="F123" s="73" t="str">
        <f t="shared" ca="1" si="44"/>
        <v>—</v>
      </c>
      <c r="G123" s="15">
        <f t="shared" ca="1" si="45"/>
        <v>7</v>
      </c>
      <c r="H123" s="73" t="str">
        <f t="shared" ca="1" si="46"/>
        <v>—</v>
      </c>
      <c r="I123" s="15">
        <f t="shared" ca="1" si="47"/>
        <v>7</v>
      </c>
      <c r="J123" s="73" t="str">
        <f t="shared" ca="1" si="48"/>
        <v>—</v>
      </c>
      <c r="K123" s="15">
        <f t="shared" ca="1" si="49"/>
        <v>7</v>
      </c>
      <c r="L123" s="16" t="str">
        <f t="shared" ca="1" si="50"/>
        <v>—</v>
      </c>
      <c r="M123" s="15">
        <f t="shared" ca="1" si="51"/>
        <v>7</v>
      </c>
      <c r="N123" s="16" t="str">
        <f t="shared" ca="1" si="52"/>
        <v>—</v>
      </c>
      <c r="O123" s="15">
        <f t="shared" ca="1" si="53"/>
        <v>7</v>
      </c>
      <c r="P123" s="16" t="str">
        <f t="shared" ca="1" si="54"/>
        <v>—</v>
      </c>
      <c r="Q123" s="15">
        <f t="shared" ca="1" si="55"/>
        <v>7</v>
      </c>
      <c r="R123" s="16" t="str">
        <f t="shared" ca="1" si="56"/>
        <v>—</v>
      </c>
      <c r="S123" s="15">
        <f t="shared" ca="1" si="57"/>
        <v>7</v>
      </c>
      <c r="T123" s="9" t="str">
        <f t="shared" ca="1" si="58"/>
        <v>—</v>
      </c>
      <c r="U123" s="15">
        <f t="shared" ca="1" si="59"/>
        <v>7</v>
      </c>
      <c r="V123" s="16" t="str">
        <f t="shared" ca="1" si="60"/>
        <v>—</v>
      </c>
      <c r="W123" s="15">
        <f t="shared" ca="1" si="61"/>
        <v>7</v>
      </c>
      <c r="X123" s="16" t="str">
        <f t="shared" ca="1" si="62"/>
        <v>—</v>
      </c>
      <c r="Y123" s="15">
        <f t="shared" ca="1" si="63"/>
        <v>7</v>
      </c>
      <c r="Z123" s="16" t="str">
        <f t="shared" ca="1" si="64"/>
        <v>—</v>
      </c>
      <c r="AA123" s="15">
        <f t="shared" ca="1" si="65"/>
        <v>7</v>
      </c>
      <c r="AB123" s="9" t="str">
        <f t="shared" ca="1" si="66"/>
        <v>—</v>
      </c>
      <c r="AC123" s="15">
        <f t="shared" ca="1" si="67"/>
        <v>7</v>
      </c>
      <c r="AD123" s="76" t="str">
        <f t="shared" ca="1" si="68"/>
        <v>—</v>
      </c>
      <c r="AE123" s="15">
        <f t="shared" ca="1" si="69"/>
        <v>7</v>
      </c>
      <c r="AF123" s="76" t="str">
        <f t="shared" ca="1" si="70"/>
        <v>—</v>
      </c>
      <c r="AG123" s="15">
        <f t="shared" ca="1" si="71"/>
        <v>7</v>
      </c>
      <c r="AH123" s="9" t="str">
        <f t="shared" ca="1" si="72"/>
        <v>—</v>
      </c>
      <c r="AI123" s="15">
        <f t="shared" ca="1" si="73"/>
        <v>7</v>
      </c>
      <c r="AJ123" s="26" t="str">
        <f t="shared" ca="1" si="74"/>
        <v>—</v>
      </c>
      <c r="AK123" s="15">
        <f t="shared" ca="1" si="75"/>
        <v>7</v>
      </c>
      <c r="AL123" s="9" t="str">
        <f t="shared" ca="1" si="76"/>
        <v>—</v>
      </c>
      <c r="AM123" s="15">
        <f t="shared" ca="1" si="77"/>
        <v>7</v>
      </c>
      <c r="AN123" s="9" t="str">
        <f t="shared" ca="1" si="78"/>
        <v>—</v>
      </c>
      <c r="AO123" s="15">
        <f t="shared" ca="1" si="79"/>
        <v>7</v>
      </c>
    </row>
    <row r="124" spans="1:41" x14ac:dyDescent="0.25">
      <c r="A124" s="4">
        <f t="shared" si="40"/>
        <v>78989</v>
      </c>
      <c r="B124" t="str">
        <f ca="1">TEXT(DATE(YEAR(Invoer!$A$5),1,1)+ROWS(B$2:B124)-1,"jjjjmmdd")</f>
        <v>19130503</v>
      </c>
      <c r="C124" s="72">
        <f t="shared" si="41"/>
        <v>800</v>
      </c>
      <c r="D124" s="16" t="str">
        <f t="shared" ca="1" si="42"/>
        <v>—</v>
      </c>
      <c r="E124" s="15">
        <f t="shared" ca="1" si="43"/>
        <v>7</v>
      </c>
      <c r="F124" s="73" t="str">
        <f t="shared" ca="1" si="44"/>
        <v>—</v>
      </c>
      <c r="G124" s="15">
        <f t="shared" ca="1" si="45"/>
        <v>7</v>
      </c>
      <c r="H124" s="73" t="str">
        <f t="shared" ca="1" si="46"/>
        <v>—</v>
      </c>
      <c r="I124" s="15">
        <f t="shared" ca="1" si="47"/>
        <v>7</v>
      </c>
      <c r="J124" s="73" t="str">
        <f t="shared" ca="1" si="48"/>
        <v>—</v>
      </c>
      <c r="K124" s="15">
        <f t="shared" ca="1" si="49"/>
        <v>7</v>
      </c>
      <c r="L124" s="16" t="str">
        <f t="shared" ca="1" si="50"/>
        <v>—</v>
      </c>
      <c r="M124" s="15">
        <f t="shared" ca="1" si="51"/>
        <v>7</v>
      </c>
      <c r="N124" s="16" t="str">
        <f t="shared" ca="1" si="52"/>
        <v>—</v>
      </c>
      <c r="O124" s="15">
        <f t="shared" ca="1" si="53"/>
        <v>7</v>
      </c>
      <c r="P124" s="16" t="str">
        <f t="shared" ca="1" si="54"/>
        <v>—</v>
      </c>
      <c r="Q124" s="15">
        <f t="shared" ca="1" si="55"/>
        <v>7</v>
      </c>
      <c r="R124" s="16" t="str">
        <f t="shared" ca="1" si="56"/>
        <v>—</v>
      </c>
      <c r="S124" s="15">
        <f t="shared" ca="1" si="57"/>
        <v>7</v>
      </c>
      <c r="T124" s="9" t="str">
        <f t="shared" ca="1" si="58"/>
        <v>—</v>
      </c>
      <c r="U124" s="15">
        <f t="shared" ca="1" si="59"/>
        <v>7</v>
      </c>
      <c r="V124" s="16" t="str">
        <f t="shared" ca="1" si="60"/>
        <v>—</v>
      </c>
      <c r="W124" s="15">
        <f t="shared" ca="1" si="61"/>
        <v>7</v>
      </c>
      <c r="X124" s="16" t="str">
        <f t="shared" ca="1" si="62"/>
        <v>—</v>
      </c>
      <c r="Y124" s="15">
        <f t="shared" ca="1" si="63"/>
        <v>7</v>
      </c>
      <c r="Z124" s="16" t="str">
        <f t="shared" ca="1" si="64"/>
        <v>—</v>
      </c>
      <c r="AA124" s="15">
        <f t="shared" ca="1" si="65"/>
        <v>7</v>
      </c>
      <c r="AB124" s="9" t="str">
        <f t="shared" ca="1" si="66"/>
        <v>—</v>
      </c>
      <c r="AC124" s="15">
        <f t="shared" ca="1" si="67"/>
        <v>7</v>
      </c>
      <c r="AD124" s="76" t="str">
        <f t="shared" ca="1" si="68"/>
        <v>—</v>
      </c>
      <c r="AE124" s="15">
        <f t="shared" ca="1" si="69"/>
        <v>7</v>
      </c>
      <c r="AF124" s="76" t="str">
        <f t="shared" ca="1" si="70"/>
        <v>—</v>
      </c>
      <c r="AG124" s="15">
        <f t="shared" ca="1" si="71"/>
        <v>7</v>
      </c>
      <c r="AH124" s="9" t="str">
        <f t="shared" ca="1" si="72"/>
        <v>—</v>
      </c>
      <c r="AI124" s="15">
        <f t="shared" ca="1" si="73"/>
        <v>7</v>
      </c>
      <c r="AJ124" s="26" t="str">
        <f t="shared" ca="1" si="74"/>
        <v>—</v>
      </c>
      <c r="AK124" s="15">
        <f t="shared" ca="1" si="75"/>
        <v>7</v>
      </c>
      <c r="AL124" s="9" t="str">
        <f t="shared" ca="1" si="76"/>
        <v>—</v>
      </c>
      <c r="AM124" s="15">
        <f t="shared" ca="1" si="77"/>
        <v>7</v>
      </c>
      <c r="AN124" s="9" t="str">
        <f t="shared" ca="1" si="78"/>
        <v>—</v>
      </c>
      <c r="AO124" s="15">
        <f t="shared" ca="1" si="79"/>
        <v>7</v>
      </c>
    </row>
    <row r="125" spans="1:41" x14ac:dyDescent="0.25">
      <c r="A125" s="4">
        <f t="shared" si="40"/>
        <v>78989</v>
      </c>
      <c r="B125" t="str">
        <f ca="1">TEXT(DATE(YEAR(Invoer!$A$5),1,1)+ROWS(B$2:B125)-1,"jjjjmmdd")</f>
        <v>19130504</v>
      </c>
      <c r="C125" s="72">
        <f t="shared" si="41"/>
        <v>800</v>
      </c>
      <c r="D125" s="16" t="str">
        <f t="shared" ca="1" si="42"/>
        <v>—</v>
      </c>
      <c r="E125" s="15">
        <f t="shared" ca="1" si="43"/>
        <v>7</v>
      </c>
      <c r="F125" s="73" t="str">
        <f t="shared" ca="1" si="44"/>
        <v>—</v>
      </c>
      <c r="G125" s="15">
        <f t="shared" ca="1" si="45"/>
        <v>7</v>
      </c>
      <c r="H125" s="73" t="str">
        <f t="shared" ca="1" si="46"/>
        <v>—</v>
      </c>
      <c r="I125" s="15">
        <f t="shared" ca="1" si="47"/>
        <v>7</v>
      </c>
      <c r="J125" s="73" t="str">
        <f t="shared" ca="1" si="48"/>
        <v>—</v>
      </c>
      <c r="K125" s="15">
        <f t="shared" ca="1" si="49"/>
        <v>7</v>
      </c>
      <c r="L125" s="16" t="str">
        <f t="shared" ca="1" si="50"/>
        <v>—</v>
      </c>
      <c r="M125" s="15">
        <f t="shared" ca="1" si="51"/>
        <v>7</v>
      </c>
      <c r="N125" s="16" t="str">
        <f t="shared" ca="1" si="52"/>
        <v>—</v>
      </c>
      <c r="O125" s="15">
        <f t="shared" ca="1" si="53"/>
        <v>7</v>
      </c>
      <c r="P125" s="16" t="str">
        <f t="shared" ca="1" si="54"/>
        <v>—</v>
      </c>
      <c r="Q125" s="15">
        <f t="shared" ca="1" si="55"/>
        <v>7</v>
      </c>
      <c r="R125" s="16" t="str">
        <f t="shared" ca="1" si="56"/>
        <v>—</v>
      </c>
      <c r="S125" s="15">
        <f t="shared" ca="1" si="57"/>
        <v>7</v>
      </c>
      <c r="T125" s="9" t="str">
        <f t="shared" ca="1" si="58"/>
        <v>—</v>
      </c>
      <c r="U125" s="15">
        <f t="shared" ca="1" si="59"/>
        <v>7</v>
      </c>
      <c r="V125" s="16" t="str">
        <f t="shared" ca="1" si="60"/>
        <v>—</v>
      </c>
      <c r="W125" s="15">
        <f t="shared" ca="1" si="61"/>
        <v>7</v>
      </c>
      <c r="X125" s="16" t="str">
        <f t="shared" ca="1" si="62"/>
        <v>—</v>
      </c>
      <c r="Y125" s="15">
        <f t="shared" ca="1" si="63"/>
        <v>7</v>
      </c>
      <c r="Z125" s="16" t="str">
        <f t="shared" ca="1" si="64"/>
        <v>—</v>
      </c>
      <c r="AA125" s="15">
        <f t="shared" ca="1" si="65"/>
        <v>7</v>
      </c>
      <c r="AB125" s="9" t="str">
        <f t="shared" ca="1" si="66"/>
        <v>—</v>
      </c>
      <c r="AC125" s="15">
        <f t="shared" ca="1" si="67"/>
        <v>7</v>
      </c>
      <c r="AD125" s="76" t="str">
        <f t="shared" ca="1" si="68"/>
        <v>—</v>
      </c>
      <c r="AE125" s="15">
        <f t="shared" ca="1" si="69"/>
        <v>7</v>
      </c>
      <c r="AF125" s="76" t="str">
        <f t="shared" ca="1" si="70"/>
        <v>—</v>
      </c>
      <c r="AG125" s="15">
        <f t="shared" ca="1" si="71"/>
        <v>7</v>
      </c>
      <c r="AH125" s="9" t="str">
        <f t="shared" ca="1" si="72"/>
        <v>—</v>
      </c>
      <c r="AI125" s="15">
        <f t="shared" ca="1" si="73"/>
        <v>7</v>
      </c>
      <c r="AJ125" s="26" t="str">
        <f t="shared" ca="1" si="74"/>
        <v>—</v>
      </c>
      <c r="AK125" s="15">
        <f t="shared" ca="1" si="75"/>
        <v>7</v>
      </c>
      <c r="AL125" s="9" t="str">
        <f t="shared" ca="1" si="76"/>
        <v>—</v>
      </c>
      <c r="AM125" s="15">
        <f t="shared" ca="1" si="77"/>
        <v>7</v>
      </c>
      <c r="AN125" s="9" t="str">
        <f t="shared" ca="1" si="78"/>
        <v>—</v>
      </c>
      <c r="AO125" s="15">
        <f t="shared" ca="1" si="79"/>
        <v>7</v>
      </c>
    </row>
    <row r="126" spans="1:41" x14ac:dyDescent="0.25">
      <c r="A126" s="4">
        <f t="shared" si="40"/>
        <v>78989</v>
      </c>
      <c r="B126" t="str">
        <f ca="1">TEXT(DATE(YEAR(Invoer!$A$5),1,1)+ROWS(B$2:B126)-1,"jjjjmmdd")</f>
        <v>19130505</v>
      </c>
      <c r="C126" s="72">
        <f t="shared" si="41"/>
        <v>800</v>
      </c>
      <c r="D126" s="16" t="str">
        <f t="shared" ca="1" si="42"/>
        <v>—</v>
      </c>
      <c r="E126" s="15">
        <f t="shared" ca="1" si="43"/>
        <v>7</v>
      </c>
      <c r="F126" s="73" t="str">
        <f t="shared" ca="1" si="44"/>
        <v>—</v>
      </c>
      <c r="G126" s="15">
        <f t="shared" ca="1" si="45"/>
        <v>7</v>
      </c>
      <c r="H126" s="73" t="str">
        <f t="shared" ca="1" si="46"/>
        <v>—</v>
      </c>
      <c r="I126" s="15">
        <f t="shared" ca="1" si="47"/>
        <v>7</v>
      </c>
      <c r="J126" s="73" t="str">
        <f t="shared" ca="1" si="48"/>
        <v>—</v>
      </c>
      <c r="K126" s="15">
        <f t="shared" ca="1" si="49"/>
        <v>7</v>
      </c>
      <c r="L126" s="16" t="str">
        <f t="shared" ca="1" si="50"/>
        <v>—</v>
      </c>
      <c r="M126" s="15">
        <f t="shared" ca="1" si="51"/>
        <v>7</v>
      </c>
      <c r="N126" s="16" t="str">
        <f t="shared" ca="1" si="52"/>
        <v>—</v>
      </c>
      <c r="O126" s="15">
        <f t="shared" ca="1" si="53"/>
        <v>7</v>
      </c>
      <c r="P126" s="16" t="str">
        <f t="shared" ca="1" si="54"/>
        <v>—</v>
      </c>
      <c r="Q126" s="15">
        <f t="shared" ca="1" si="55"/>
        <v>7</v>
      </c>
      <c r="R126" s="16" t="str">
        <f t="shared" ca="1" si="56"/>
        <v>—</v>
      </c>
      <c r="S126" s="15">
        <f t="shared" ca="1" si="57"/>
        <v>7</v>
      </c>
      <c r="T126" s="9" t="str">
        <f t="shared" ca="1" si="58"/>
        <v>—</v>
      </c>
      <c r="U126" s="15">
        <f t="shared" ca="1" si="59"/>
        <v>7</v>
      </c>
      <c r="V126" s="16" t="str">
        <f t="shared" ca="1" si="60"/>
        <v>—</v>
      </c>
      <c r="W126" s="15">
        <f t="shared" ca="1" si="61"/>
        <v>7</v>
      </c>
      <c r="X126" s="16" t="str">
        <f t="shared" ca="1" si="62"/>
        <v>—</v>
      </c>
      <c r="Y126" s="15">
        <f t="shared" ca="1" si="63"/>
        <v>7</v>
      </c>
      <c r="Z126" s="16" t="str">
        <f t="shared" ca="1" si="64"/>
        <v>—</v>
      </c>
      <c r="AA126" s="15">
        <f t="shared" ca="1" si="65"/>
        <v>7</v>
      </c>
      <c r="AB126" s="9" t="str">
        <f t="shared" ca="1" si="66"/>
        <v>—</v>
      </c>
      <c r="AC126" s="15">
        <f t="shared" ca="1" si="67"/>
        <v>7</v>
      </c>
      <c r="AD126" s="76" t="str">
        <f t="shared" ca="1" si="68"/>
        <v>—</v>
      </c>
      <c r="AE126" s="15">
        <f t="shared" ca="1" si="69"/>
        <v>7</v>
      </c>
      <c r="AF126" s="76" t="str">
        <f t="shared" ca="1" si="70"/>
        <v>—</v>
      </c>
      <c r="AG126" s="15">
        <f t="shared" ca="1" si="71"/>
        <v>7</v>
      </c>
      <c r="AH126" s="9" t="str">
        <f t="shared" ca="1" si="72"/>
        <v>—</v>
      </c>
      <c r="AI126" s="15">
        <f t="shared" ca="1" si="73"/>
        <v>7</v>
      </c>
      <c r="AJ126" s="26" t="str">
        <f t="shared" ca="1" si="74"/>
        <v>—</v>
      </c>
      <c r="AK126" s="15">
        <f t="shared" ca="1" si="75"/>
        <v>7</v>
      </c>
      <c r="AL126" s="9" t="str">
        <f t="shared" ca="1" si="76"/>
        <v>—</v>
      </c>
      <c r="AM126" s="15">
        <f t="shared" ca="1" si="77"/>
        <v>7</v>
      </c>
      <c r="AN126" s="9" t="str">
        <f t="shared" ca="1" si="78"/>
        <v>—</v>
      </c>
      <c r="AO126" s="15">
        <f t="shared" ca="1" si="79"/>
        <v>7</v>
      </c>
    </row>
    <row r="127" spans="1:41" x14ac:dyDescent="0.25">
      <c r="A127" s="4">
        <f t="shared" si="40"/>
        <v>78989</v>
      </c>
      <c r="B127" t="str">
        <f ca="1">TEXT(DATE(YEAR(Invoer!$A$5),1,1)+ROWS(B$2:B127)-1,"jjjjmmdd")</f>
        <v>19130506</v>
      </c>
      <c r="C127" s="72">
        <f t="shared" si="41"/>
        <v>800</v>
      </c>
      <c r="D127" s="16" t="str">
        <f t="shared" ca="1" si="42"/>
        <v>—</v>
      </c>
      <c r="E127" s="15">
        <f t="shared" ca="1" si="43"/>
        <v>7</v>
      </c>
      <c r="F127" s="73" t="str">
        <f t="shared" ca="1" si="44"/>
        <v>—</v>
      </c>
      <c r="G127" s="15">
        <f t="shared" ca="1" si="45"/>
        <v>7</v>
      </c>
      <c r="H127" s="73" t="str">
        <f t="shared" ca="1" si="46"/>
        <v>—</v>
      </c>
      <c r="I127" s="15">
        <f t="shared" ca="1" si="47"/>
        <v>7</v>
      </c>
      <c r="J127" s="73" t="str">
        <f t="shared" ca="1" si="48"/>
        <v>—</v>
      </c>
      <c r="K127" s="15">
        <f t="shared" ca="1" si="49"/>
        <v>7</v>
      </c>
      <c r="L127" s="16" t="str">
        <f t="shared" ca="1" si="50"/>
        <v>—</v>
      </c>
      <c r="M127" s="15">
        <f t="shared" ca="1" si="51"/>
        <v>7</v>
      </c>
      <c r="N127" s="16" t="str">
        <f t="shared" ca="1" si="52"/>
        <v>—</v>
      </c>
      <c r="O127" s="15">
        <f t="shared" ca="1" si="53"/>
        <v>7</v>
      </c>
      <c r="P127" s="16" t="str">
        <f t="shared" ca="1" si="54"/>
        <v>—</v>
      </c>
      <c r="Q127" s="15">
        <f t="shared" ca="1" si="55"/>
        <v>7</v>
      </c>
      <c r="R127" s="16" t="str">
        <f t="shared" ca="1" si="56"/>
        <v>—</v>
      </c>
      <c r="S127" s="15">
        <f t="shared" ca="1" si="57"/>
        <v>7</v>
      </c>
      <c r="T127" s="9" t="str">
        <f t="shared" ca="1" si="58"/>
        <v>—</v>
      </c>
      <c r="U127" s="15">
        <f t="shared" ca="1" si="59"/>
        <v>7</v>
      </c>
      <c r="V127" s="16" t="str">
        <f t="shared" ca="1" si="60"/>
        <v>—</v>
      </c>
      <c r="W127" s="15">
        <f t="shared" ca="1" si="61"/>
        <v>7</v>
      </c>
      <c r="X127" s="16" t="str">
        <f t="shared" ca="1" si="62"/>
        <v>—</v>
      </c>
      <c r="Y127" s="15">
        <f t="shared" ca="1" si="63"/>
        <v>7</v>
      </c>
      <c r="Z127" s="16" t="str">
        <f t="shared" ca="1" si="64"/>
        <v>—</v>
      </c>
      <c r="AA127" s="15">
        <f t="shared" ca="1" si="65"/>
        <v>7</v>
      </c>
      <c r="AB127" s="9" t="str">
        <f t="shared" ca="1" si="66"/>
        <v>—</v>
      </c>
      <c r="AC127" s="15">
        <f t="shared" ca="1" si="67"/>
        <v>7</v>
      </c>
      <c r="AD127" s="76" t="str">
        <f t="shared" ca="1" si="68"/>
        <v>—</v>
      </c>
      <c r="AE127" s="15">
        <f t="shared" ca="1" si="69"/>
        <v>7</v>
      </c>
      <c r="AF127" s="76" t="str">
        <f t="shared" ca="1" si="70"/>
        <v>—</v>
      </c>
      <c r="AG127" s="15">
        <f t="shared" ca="1" si="71"/>
        <v>7</v>
      </c>
      <c r="AH127" s="9" t="str">
        <f t="shared" ca="1" si="72"/>
        <v>—</v>
      </c>
      <c r="AI127" s="15">
        <f t="shared" ca="1" si="73"/>
        <v>7</v>
      </c>
      <c r="AJ127" s="26" t="str">
        <f t="shared" ca="1" si="74"/>
        <v>—</v>
      </c>
      <c r="AK127" s="15">
        <f t="shared" ca="1" si="75"/>
        <v>7</v>
      </c>
      <c r="AL127" s="9" t="str">
        <f t="shared" ca="1" si="76"/>
        <v>—</v>
      </c>
      <c r="AM127" s="15">
        <f t="shared" ca="1" si="77"/>
        <v>7</v>
      </c>
      <c r="AN127" s="9" t="str">
        <f t="shared" ca="1" si="78"/>
        <v>—</v>
      </c>
      <c r="AO127" s="15">
        <f t="shared" ca="1" si="79"/>
        <v>7</v>
      </c>
    </row>
    <row r="128" spans="1:41" x14ac:dyDescent="0.25">
      <c r="A128" s="4">
        <f t="shared" si="40"/>
        <v>78989</v>
      </c>
      <c r="B128" t="str">
        <f ca="1">TEXT(DATE(YEAR(Invoer!$A$5),1,1)+ROWS(B$2:B128)-1,"jjjjmmdd")</f>
        <v>19130507</v>
      </c>
      <c r="C128" s="72">
        <f t="shared" si="41"/>
        <v>800</v>
      </c>
      <c r="D128" s="16" t="str">
        <f t="shared" ca="1" si="42"/>
        <v>—</v>
      </c>
      <c r="E128" s="15">
        <f t="shared" ca="1" si="43"/>
        <v>7</v>
      </c>
      <c r="F128" s="73" t="str">
        <f t="shared" ca="1" si="44"/>
        <v>—</v>
      </c>
      <c r="G128" s="15">
        <f t="shared" ca="1" si="45"/>
        <v>7</v>
      </c>
      <c r="H128" s="73" t="str">
        <f t="shared" ca="1" si="46"/>
        <v>—</v>
      </c>
      <c r="I128" s="15">
        <f t="shared" ca="1" si="47"/>
        <v>7</v>
      </c>
      <c r="J128" s="73" t="str">
        <f t="shared" ca="1" si="48"/>
        <v>—</v>
      </c>
      <c r="K128" s="15">
        <f t="shared" ca="1" si="49"/>
        <v>7</v>
      </c>
      <c r="L128" s="16" t="str">
        <f t="shared" ca="1" si="50"/>
        <v>—</v>
      </c>
      <c r="M128" s="15">
        <f t="shared" ca="1" si="51"/>
        <v>7</v>
      </c>
      <c r="N128" s="16" t="str">
        <f t="shared" ca="1" si="52"/>
        <v>—</v>
      </c>
      <c r="O128" s="15">
        <f t="shared" ca="1" si="53"/>
        <v>7</v>
      </c>
      <c r="P128" s="16" t="str">
        <f t="shared" ca="1" si="54"/>
        <v>—</v>
      </c>
      <c r="Q128" s="15">
        <f t="shared" ca="1" si="55"/>
        <v>7</v>
      </c>
      <c r="R128" s="16" t="str">
        <f t="shared" ca="1" si="56"/>
        <v>—</v>
      </c>
      <c r="S128" s="15">
        <f t="shared" ca="1" si="57"/>
        <v>7</v>
      </c>
      <c r="T128" s="9" t="str">
        <f t="shared" ca="1" si="58"/>
        <v>—</v>
      </c>
      <c r="U128" s="15">
        <f t="shared" ca="1" si="59"/>
        <v>7</v>
      </c>
      <c r="V128" s="16" t="str">
        <f t="shared" ca="1" si="60"/>
        <v>—</v>
      </c>
      <c r="W128" s="15">
        <f t="shared" ca="1" si="61"/>
        <v>7</v>
      </c>
      <c r="X128" s="16" t="str">
        <f t="shared" ca="1" si="62"/>
        <v>—</v>
      </c>
      <c r="Y128" s="15">
        <f t="shared" ca="1" si="63"/>
        <v>7</v>
      </c>
      <c r="Z128" s="16" t="str">
        <f t="shared" ca="1" si="64"/>
        <v>—</v>
      </c>
      <c r="AA128" s="15">
        <f t="shared" ca="1" si="65"/>
        <v>7</v>
      </c>
      <c r="AB128" s="9" t="str">
        <f t="shared" ca="1" si="66"/>
        <v>—</v>
      </c>
      <c r="AC128" s="15">
        <f t="shared" ca="1" si="67"/>
        <v>7</v>
      </c>
      <c r="AD128" s="76" t="str">
        <f t="shared" ca="1" si="68"/>
        <v>—</v>
      </c>
      <c r="AE128" s="15">
        <f t="shared" ca="1" si="69"/>
        <v>7</v>
      </c>
      <c r="AF128" s="76" t="str">
        <f t="shared" ca="1" si="70"/>
        <v>—</v>
      </c>
      <c r="AG128" s="15">
        <f t="shared" ca="1" si="71"/>
        <v>7</v>
      </c>
      <c r="AH128" s="9" t="str">
        <f t="shared" ca="1" si="72"/>
        <v>—</v>
      </c>
      <c r="AI128" s="15">
        <f t="shared" ca="1" si="73"/>
        <v>7</v>
      </c>
      <c r="AJ128" s="26" t="str">
        <f t="shared" ca="1" si="74"/>
        <v>—</v>
      </c>
      <c r="AK128" s="15">
        <f t="shared" ca="1" si="75"/>
        <v>7</v>
      </c>
      <c r="AL128" s="9" t="str">
        <f t="shared" ca="1" si="76"/>
        <v>—</v>
      </c>
      <c r="AM128" s="15">
        <f t="shared" ca="1" si="77"/>
        <v>7</v>
      </c>
      <c r="AN128" s="9" t="str">
        <f t="shared" ca="1" si="78"/>
        <v>—</v>
      </c>
      <c r="AO128" s="15">
        <f t="shared" ca="1" si="79"/>
        <v>7</v>
      </c>
    </row>
    <row r="129" spans="1:41" x14ac:dyDescent="0.25">
      <c r="A129" s="4">
        <f t="shared" si="40"/>
        <v>78989</v>
      </c>
      <c r="B129" t="str">
        <f ca="1">TEXT(DATE(YEAR(Invoer!$A$5),1,1)+ROWS(B$2:B129)-1,"jjjjmmdd")</f>
        <v>19130508</v>
      </c>
      <c r="C129" s="72">
        <f t="shared" si="41"/>
        <v>800</v>
      </c>
      <c r="D129" s="16" t="str">
        <f t="shared" ca="1" si="42"/>
        <v>—</v>
      </c>
      <c r="E129" s="15">
        <f t="shared" ca="1" si="43"/>
        <v>7</v>
      </c>
      <c r="F129" s="73" t="str">
        <f t="shared" ca="1" si="44"/>
        <v>—</v>
      </c>
      <c r="G129" s="15">
        <f t="shared" ca="1" si="45"/>
        <v>7</v>
      </c>
      <c r="H129" s="73" t="str">
        <f t="shared" ca="1" si="46"/>
        <v>—</v>
      </c>
      <c r="I129" s="15">
        <f t="shared" ca="1" si="47"/>
        <v>7</v>
      </c>
      <c r="J129" s="73" t="str">
        <f t="shared" ca="1" si="48"/>
        <v>—</v>
      </c>
      <c r="K129" s="15">
        <f t="shared" ca="1" si="49"/>
        <v>7</v>
      </c>
      <c r="L129" s="16" t="str">
        <f t="shared" ca="1" si="50"/>
        <v>—</v>
      </c>
      <c r="M129" s="15">
        <f t="shared" ca="1" si="51"/>
        <v>7</v>
      </c>
      <c r="N129" s="16" t="str">
        <f t="shared" ca="1" si="52"/>
        <v>—</v>
      </c>
      <c r="O129" s="15">
        <f t="shared" ca="1" si="53"/>
        <v>7</v>
      </c>
      <c r="P129" s="16" t="str">
        <f t="shared" ca="1" si="54"/>
        <v>—</v>
      </c>
      <c r="Q129" s="15">
        <f t="shared" ca="1" si="55"/>
        <v>7</v>
      </c>
      <c r="R129" s="16" t="str">
        <f t="shared" ca="1" si="56"/>
        <v>—</v>
      </c>
      <c r="S129" s="15">
        <f t="shared" ca="1" si="57"/>
        <v>7</v>
      </c>
      <c r="T129" s="9" t="str">
        <f t="shared" ca="1" si="58"/>
        <v>—</v>
      </c>
      <c r="U129" s="15">
        <f t="shared" ca="1" si="59"/>
        <v>7</v>
      </c>
      <c r="V129" s="16" t="str">
        <f t="shared" ca="1" si="60"/>
        <v>—</v>
      </c>
      <c r="W129" s="15">
        <f t="shared" ca="1" si="61"/>
        <v>7</v>
      </c>
      <c r="X129" s="16" t="str">
        <f t="shared" ca="1" si="62"/>
        <v>—</v>
      </c>
      <c r="Y129" s="15">
        <f t="shared" ca="1" si="63"/>
        <v>7</v>
      </c>
      <c r="Z129" s="16" t="str">
        <f t="shared" ca="1" si="64"/>
        <v>—</v>
      </c>
      <c r="AA129" s="15">
        <f t="shared" ca="1" si="65"/>
        <v>7</v>
      </c>
      <c r="AB129" s="9" t="str">
        <f t="shared" ca="1" si="66"/>
        <v>—</v>
      </c>
      <c r="AC129" s="15">
        <f t="shared" ca="1" si="67"/>
        <v>7</v>
      </c>
      <c r="AD129" s="76" t="str">
        <f t="shared" ca="1" si="68"/>
        <v>—</v>
      </c>
      <c r="AE129" s="15">
        <f t="shared" ca="1" si="69"/>
        <v>7</v>
      </c>
      <c r="AF129" s="76" t="str">
        <f t="shared" ca="1" si="70"/>
        <v>—</v>
      </c>
      <c r="AG129" s="15">
        <f t="shared" ca="1" si="71"/>
        <v>7</v>
      </c>
      <c r="AH129" s="9" t="str">
        <f t="shared" ca="1" si="72"/>
        <v>—</v>
      </c>
      <c r="AI129" s="15">
        <f t="shared" ca="1" si="73"/>
        <v>7</v>
      </c>
      <c r="AJ129" s="26" t="str">
        <f t="shared" ca="1" si="74"/>
        <v>—</v>
      </c>
      <c r="AK129" s="15">
        <f t="shared" ca="1" si="75"/>
        <v>7</v>
      </c>
      <c r="AL129" s="9" t="str">
        <f t="shared" ca="1" si="76"/>
        <v>—</v>
      </c>
      <c r="AM129" s="15">
        <f t="shared" ca="1" si="77"/>
        <v>7</v>
      </c>
      <c r="AN129" s="9" t="str">
        <f t="shared" ca="1" si="78"/>
        <v>—</v>
      </c>
      <c r="AO129" s="15">
        <f t="shared" ca="1" si="79"/>
        <v>7</v>
      </c>
    </row>
    <row r="130" spans="1:41" x14ac:dyDescent="0.25">
      <c r="A130" s="4">
        <f t="shared" ref="A130:A193" si="80">INDEX(Stations,2,1)</f>
        <v>78989</v>
      </c>
      <c r="B130" t="str">
        <f ca="1">TEXT(DATE(YEAR(Invoer!$A$5),1,1)+ROWS(B$2:B130)-1,"jjjjmmdd")</f>
        <v>19130509</v>
      </c>
      <c r="C130" s="72">
        <f t="shared" ref="C130:C193" si="81">Tijd</f>
        <v>800</v>
      </c>
      <c r="D130" s="16" t="str">
        <f t="shared" ref="D130:D193" ca="1" si="82">IF(OR(ISBLANK(VLOOKUP(DATEVALUE(LEFT($B130,4)&amp;"-"&amp;MID($B130,5,2)&amp;"-"&amp;RIGHT($B130,2)),Data,MATCH(LEFT(VLOOKUP(D$1,Parameters,2,FALSE()),3)&amp;"*",OFFSET(Data,N(ISNA(MATCH(LEFT(VLOOKUP(D$1,Parameters,2,FALSE()),3)&amp;"*",OFFSET(Data,0,0,1),0))),0,1),0)+3*N(EXACT(D$1,"DFx")),FALSE())),ISTEXT(VLOOKUP(DATEVALUE(LEFT($B130,4)&amp;"-"&amp;MID($B130,5,2)&amp;"-"&amp;RIGHT($B130,2)),Data,MATCH(LEFT(VLOOKUP(D$1,Parameters,2,FALSE()),3)&amp;"*",OFFSET(Data,N(ISNA(MATCH(LEFT(VLOOKUP(D$1,Parameters,2,FALSE()),3)&amp;"*",OFFSET(Data,0,0,1),0))),0,1),0)+3*N(EXACT(D$1,"DFx")),FALSE()))),"—",ROUND(5*(VLOOKUP(DATEVALUE(LEFT($B130,4)&amp;"-"&amp;MID($B130,5,2)&amp;"-"&amp;RIGHT($B130,2)),Data,MATCH(LEFT(VLOOKUP(D$1,Parameters,2,FALSE()),3)&amp;"*",OFFSET(Data,N(ISNA(MATCH(LEFT(VLOOKUP(D$1,Parameters,2,FALSE()),3)&amp;"*",OFFSET(Data,0,0,1),0))),0,1),0)+3*N(EXACT(D$1,"DFx")),FALSE())-320)/90,1))</f>
        <v>—</v>
      </c>
      <c r="E130" s="15">
        <f t="shared" ref="E130:E193" ca="1" si="83">IF(OR(ISBLANK(VLOOKUP(DATEVALUE(LEFT($B130,4)&amp;"-"&amp;MID($B130,5,2)&amp;"-"&amp;RIGHT($B130,2)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130,4)&amp;"-"&amp;MID($B130,5,2)&amp;"-"&amp;RIGHT($B130,2)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130,4)&amp;"-"&amp;MID($B130,5,2)&amp;"-"&amp;RIGHT($B130,2)),OFFSET(Catalogus,0,0,,1),0)),Ok,VLOOKUP(DATEVALUE(LEFT($B130,4)&amp;"-"&amp;MID($B130,5,2)&amp;"-"&amp;RIGHT($B130,2)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130" s="73" t="str">
        <f t="shared" ref="F130:F193" ca="1" si="84">IF(OR(ISBLANK(VLOOKUP(DATEVALUE(LEFT($B130,4)&amp;"-"&amp;MID($B130,5,2)&amp;"-"&amp;RIGHT($B130,2)),Data,MATCH(LEFT(VLOOKUP(F$1,Parameters,2,FALSE()),3)&amp;"*",OFFSET(Data,N(ISNA(MATCH(LEFT(VLOOKUP(F$1,Parameters,2,FALSE()),3)&amp;"*",OFFSET(Data,0,0,1),0))),0,1),0)+3*N(EXACT(F$1,"DFx")),FALSE())),ISTEXT(VLOOKUP(DATEVALUE(LEFT($B130,4)&amp;"-"&amp;MID($B130,5,2)&amp;"-"&amp;RIGHT($B130,2)),Data,MATCH(LEFT(VLOOKUP(F$1,Parameters,2,FALSE()),3)&amp;"*",OFFSET(Data,N(ISNA(MATCH(LEFT(VLOOKUP(F$1,Parameters,2,FALSE()),3)&amp;"*",OFFSET(Data,0,0,1),0))),0,1),0)+3*N(EXACT(F$1,"DFx")),FALSE()))),"—",ROUND(0.0254*VLOOKUP(DATEVALUE(LEFT($B130,4)&amp;"-"&amp;MID($B130,5,2)&amp;"-"&amp;RIGHT($B130,2)),Data,MATCH(LEFT(VLOOKUP(F$1,Parameters,2,FALSE()),3)&amp;"*",OFFSET(Data,N(ISNA(MATCH(LEFT(VLOOKUP(F$1,Parameters,2,FALSE()),3)&amp;"*",OFFSET(Data,0,0,1),0))),0,1),0)+3*N(EXACT(F$1,"DFx")),FALSE()),2))</f>
        <v>—</v>
      </c>
      <c r="G130" s="15">
        <f t="shared" ref="G130:G193" ca="1" si="85">IF(OR(ISBLANK(VLOOKUP(DATEVALUE(LEFT($B130,4)&amp;"-"&amp;MID($B130,5,2)&amp;"-"&amp;RIGHT($B130,2)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130,4)&amp;"-"&amp;MID($B130,5,2)&amp;"-"&amp;RIGHT($B130,2)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130,4)&amp;"-"&amp;MID($B130,5,2)&amp;"-"&amp;RIGHT($B130,2)),OFFSET(Catalogus,0,0,,1),0)),Ok,VLOOKUP(DATEVALUE(LEFT($B130,4)&amp;"-"&amp;MID($B130,5,2)&amp;"-"&amp;RIGHT($B130,2)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130" s="73" t="str">
        <f t="shared" ref="H130:H193" ca="1" si="86">IF(OR(ISBLANK(VLOOKUP(DATEVALUE(LEFT($B130,4)&amp;"-"&amp;MID($B130,5,2)&amp;"-"&amp;RIGHT($B130,2)),Data,MATCH(LEFT(VLOOKUP(H$1,Parameters,2,FALSE()),3)&amp;"*",OFFSET(Data,N(ISNA(MATCH(LEFT(VLOOKUP(H$1,Parameters,2,FALSE()),3)&amp;"*",OFFSET(Data,0,0,1),0))),0,1),0)+3*N(EXACT(H$1,"DFx")),FALSE())),ISTEXT(VLOOKUP(DATEVALUE(LEFT($B130,4)&amp;"-"&amp;MID($B130,5,2)&amp;"-"&amp;RIGHT($B130,2)),Data,MATCH(LEFT(VLOOKUP(H$1,Parameters,2,FALSE()),3)&amp;"*",OFFSET(Data,N(ISNA(MATCH(LEFT(VLOOKUP(H$1,Parameters,2,FALSE()),3)&amp;"*",OFFSET(Data,0,0,1),0))),0,1),0)+3*N(EXACT(H$1,"DFx")),FALSE()))),"—",ROUND(0.0254*VLOOKUP(DATEVALUE(LEFT($B130,4)&amp;"-"&amp;MID($B130,5,2)&amp;"-"&amp;RIGHT($B130,2)),Data,MATCH(LEFT(VLOOKUP(H$1,Parameters,2,FALSE()),3)&amp;"*",OFFSET(Data,N(ISNA(MATCH(LEFT(VLOOKUP(H$1,Parameters,2,FALSE()),3)&amp;"*",OFFSET(Data,0,0,1),0))),0,1),0)+3*N(EXACT(H$1,"DFx")),FALSE()),2))</f>
        <v>—</v>
      </c>
      <c r="I130" s="15">
        <f t="shared" ref="I130:I193" ca="1" si="87">IF(OR(ISBLANK(VLOOKUP(DATEVALUE(LEFT($B130,4)&amp;"-"&amp;MID($B130,5,2)&amp;"-"&amp;RIGHT($B130,2)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130,4)&amp;"-"&amp;MID($B130,5,2)&amp;"-"&amp;RIGHT($B130,2)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130,4)&amp;"-"&amp;MID($B130,5,2)&amp;"-"&amp;RIGHT($B130,2)),OFFSET(Catalogus,0,0,,1),0)),Ok,VLOOKUP(DATEVALUE(LEFT($B130,4)&amp;"-"&amp;MID($B130,5,2)&amp;"-"&amp;RIGHT($B130,2)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130" s="73" t="str">
        <f t="shared" ref="J130:J193" ca="1" si="88">IF(OR(ISBLANK(VLOOKUP(DATEVALUE(LEFT($B130,4)&amp;"-"&amp;MID($B130,5,2)&amp;"-"&amp;RIGHT($B130,2)),Data,MATCH(LEFT(VLOOKUP(J$1,Parameters,2,FALSE()),3)&amp;"*",OFFSET(Data,N(ISNA(MATCH(LEFT(VLOOKUP(J$1,Parameters,2,FALSE()),3)&amp;"*",OFFSET(Data,0,0,1),0))),0,1),0)+3*N(EXACT(J$1,"DFx")),FALSE())),ISTEXT(VLOOKUP(DATEVALUE(LEFT($B130,4)&amp;"-"&amp;MID($B130,5,2)&amp;"-"&amp;RIGHT($B130,2)),Data,MATCH(LEFT(VLOOKUP(J$1,Parameters,2,FALSE()),3)&amp;"*",OFFSET(Data,N(ISNA(MATCH(LEFT(VLOOKUP(J$1,Parameters,2,FALSE()),3)&amp;"*",OFFSET(Data,0,0,1),0))),0,1),0)+3*N(EXACT(J$1,"DFx")),FALSE()))),"—",ROUND(0.0254*VLOOKUP(DATEVALUE(LEFT($B130,4)&amp;"-"&amp;MID($B130,5,2)&amp;"-"&amp;RIGHT($B130,2)),Data,MATCH(LEFT(VLOOKUP(J$1,Parameters,2,FALSE()),3)&amp;"*",OFFSET(Data,N(ISNA(MATCH(LEFT(VLOOKUP(J$1,Parameters,2,FALSE()),3)&amp;"*",OFFSET(Data,0,0,1),0))),0,1),0)+3*N(EXACT(J$1,"DFx")),FALSE()),2))</f>
        <v>—</v>
      </c>
      <c r="K130" s="15">
        <f t="shared" ref="K130:K193" ca="1" si="89">IF(OR(ISBLANK(VLOOKUP(DATEVALUE(LEFT($B130,4)&amp;"-"&amp;MID($B130,5,2)&amp;"-"&amp;RIGHT($B130,2)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130,4)&amp;"-"&amp;MID($B130,5,2)&amp;"-"&amp;RIGHT($B130,2)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130,4)&amp;"-"&amp;MID($B130,5,2)&amp;"-"&amp;RIGHT($B130,2)),OFFSET(Catalogus,0,0,,1),0)),Ok,VLOOKUP(DATEVALUE(LEFT($B130,4)&amp;"-"&amp;MID($B130,5,2)&amp;"-"&amp;RIGHT($B130,2)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130" s="16" t="str">
        <f t="shared" ref="L130:L193" ca="1" si="90">IF(OR(ISBLANK(VLOOKUP(DATEVALUE(LEFT($B130,4)&amp;"-"&amp;MID($B130,5,2)&amp;"-"&amp;RIGHT($B130,2)),Data,MATCH(LEFT(VLOOKUP(L$1,Parameters,2,FALSE()),3)&amp;"*",OFFSET(Data,N(ISNA(MATCH(LEFT(VLOOKUP(L$1,Parameters,2,FALSE()),3)&amp;"*",OFFSET(Data,0,0,1),0))),0,1),0)+3*N(EXACT(L$1,"DFx")),FALSE())),ISTEXT(VLOOKUP(DATEVALUE(LEFT($B130,4)&amp;"-"&amp;MID($B130,5,2)&amp;"-"&amp;RIGHT($B130,2)),Data,MATCH(LEFT(VLOOKUP(L$1,Parameters,2,FALSE()),3)&amp;"*",OFFSET(Data,N(ISNA(MATCH(LEFT(VLOOKUP(L$1,Parameters,2,FALSE()),3)&amp;"*",OFFSET(Data,0,0,1),0))),0,1),0)+3*N(EXACT(L$1,"DFx")),FALSE()))),"—",ROUND(0.254*VLOOKUP(DATEVALUE(LEFT($B130,4)&amp;"-"&amp;MID($B130,5,2)&amp;"-"&amp;RIGHT($B130,2)),Data,MATCH(LEFT(VLOOKUP(L$1,Parameters,2,FALSE()),3)&amp;"*",OFFSET(Data,N(ISNA(MATCH(LEFT(VLOOKUP(L$1,Parameters,2,FALSE()),3)&amp;"*",OFFSET(Data,0,0,1),0))),0,1),0)+3*N(EXACT(L$1,"DFx")),FALSE()),1))</f>
        <v>—</v>
      </c>
      <c r="M130" s="15">
        <f t="shared" ref="M130:M193" ca="1" si="91">IF(OR(ISBLANK(VLOOKUP(DATEVALUE(LEFT($B130,4)&amp;"-"&amp;MID($B130,5,2)&amp;"-"&amp;RIGHT($B130,2)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130,4)&amp;"-"&amp;MID($B130,5,2)&amp;"-"&amp;RIGHT($B130,2)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130,4)&amp;"-"&amp;MID($B130,5,2)&amp;"-"&amp;RIGHT($B130,2)),OFFSET(Catalogus,0,0,,1),0)),Ok,VLOOKUP(DATEVALUE(LEFT($B130,4)&amp;"-"&amp;MID($B130,5,2)&amp;"-"&amp;RIGHT($B130,2)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7</v>
      </c>
      <c r="N130" s="16" t="str">
        <f t="shared" ref="N130:N193" ca="1" si="92">IF(OR(ISBLANK(VLOOKUP(DATEVALUE(LEFT($B130,4)&amp;"-"&amp;MID($B130,5,2)&amp;"-"&amp;RIGHT($B130,2)),Data,MATCH(LEFT(VLOOKUP(N$1,Parameters,2,FALSE()),3)&amp;"*",OFFSET(Data,N(ISNA(MATCH(LEFT(VLOOKUP(N$1,Parameters,2,FALSE()),3)&amp;"*",OFFSET(Data,0,0,1),0))),0,1),0)+3*N(EXACT(N$1,"DFx")),FALSE())),ISTEXT(VLOOKUP(DATEVALUE(LEFT($B130,4)&amp;"-"&amp;MID($B130,5,2)&amp;"-"&amp;RIGHT($B130,2)),Data,MATCH(LEFT(VLOOKUP(N$1,Parameters,2,FALSE()),3)&amp;"*",OFFSET(Data,N(ISNA(MATCH(LEFT(VLOOKUP(N$1,Parameters,2,FALSE()),3)&amp;"*",OFFSET(Data,0,0,1),0))),0,1),0)+3*N(EXACT(N$1,"DFx")),FALSE()))),"—",ROUND(5*(VLOOKUP(DATEVALUE(LEFT($B130,4)&amp;"-"&amp;MID($B130,5,2)&amp;"-"&amp;RIGHT($B130,2)),Data,MATCH(LEFT(VLOOKUP(N$1,Parameters,2,FALSE()),3)&amp;"*",OFFSET(Data,N(ISNA(MATCH(LEFT(VLOOKUP(N$1,Parameters,2,FALSE()),3)&amp;"*",OFFSET(Data,0,0,1),0))),0,1),0)+3*N(EXACT(N$1,"DFx")),FALSE())-320)/90,1))</f>
        <v>—</v>
      </c>
      <c r="O130" s="15">
        <f t="shared" ref="O130:O193" ca="1" si="93">IF(OR(ISBLANK(VLOOKUP(DATEVALUE(LEFT($B130,4)&amp;"-"&amp;MID($B130,5,2)&amp;"-"&amp;RIGHT($B130,2)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130,4)&amp;"-"&amp;MID($B130,5,2)&amp;"-"&amp;RIGHT($B130,2)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130,4)&amp;"-"&amp;MID($B130,5,2)&amp;"-"&amp;RIGHT($B130,2)),OFFSET(Catalogus,0,0,,1),0)),Ok,VLOOKUP(DATEVALUE(LEFT($B130,4)&amp;"-"&amp;MID($B130,5,2)&amp;"-"&amp;RIGHT($B130,2)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130" s="16" t="str">
        <f t="shared" ref="P130:P193" ca="1" si="94">IF(OR(ISBLANK(VLOOKUP(DATEVALUE(LEFT($B130,4)&amp;"-"&amp;MID($B130,5,2)&amp;"-"&amp;RIGHT($B130,2)),Data,MATCH(LEFT(VLOOKUP(P$1,Parameters,2,FALSE()),3)&amp;"*",OFFSET(Data,N(ISNA(MATCH(LEFT(VLOOKUP(P$1,Parameters,2,FALSE()),3)&amp;"*",OFFSET(Data,0,0,1),0))),0,1),0)+3*N(EXACT(P$1,"DFx")),FALSE())),ISTEXT(VLOOKUP(DATEVALUE(LEFT($B130,4)&amp;"-"&amp;MID($B130,5,2)&amp;"-"&amp;RIGHT($B130,2)),Data,MATCH(LEFT(VLOOKUP(P$1,Parameters,2,FALSE()),3)&amp;"*",OFFSET(Data,N(ISNA(MATCH(LEFT(VLOOKUP(P$1,Parameters,2,FALSE()),3)&amp;"*",OFFSET(Data,0,0,1),0))),0,1),0)+3*N(EXACT(P$1,"DFx")),FALSE()))),"—",ROUND(5*(VLOOKUP(DATEVALUE(LEFT($B130,4)&amp;"-"&amp;MID($B130,5,2)&amp;"-"&amp;RIGHT($B130,2)),Data,MATCH(LEFT(VLOOKUP(P$1,Parameters,2,FALSE()),3)&amp;"*",OFFSET(Data,N(ISNA(MATCH(LEFT(VLOOKUP(P$1,Parameters,2,FALSE()),3)&amp;"*",OFFSET(Data,0,0,1),0))),0,1),0)+3*N(EXACT(P$1,"DFx")),FALSE())-320)/90,1))</f>
        <v>—</v>
      </c>
      <c r="Q130" s="15">
        <f t="shared" ref="Q130:Q193" ca="1" si="95">IF(OR(ISBLANK(VLOOKUP(DATEVALUE(LEFT($B130,4)&amp;"-"&amp;MID($B130,5,2)&amp;"-"&amp;RIGHT($B130,2)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130,4)&amp;"-"&amp;MID($B130,5,2)&amp;"-"&amp;RIGHT($B130,2)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130,4)&amp;"-"&amp;MID($B130,5,2)&amp;"-"&amp;RIGHT($B130,2)),OFFSET(Catalogus,0,0,,1),0)),Ok,VLOOKUP(DATEVALUE(LEFT($B130,4)&amp;"-"&amp;MID($B130,5,2)&amp;"-"&amp;RIGHT($B130,2)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130" s="16" t="str">
        <f t="shared" ref="R130:R193" ca="1" si="96">IF(OR(ISBLANK(VLOOKUP(DATEVALUE(LEFT($B130,4)&amp;"-"&amp;MID($B130,5,2)&amp;"-"&amp;RIGHT($B130,2)),Data,MATCH(LEFT(VLOOKUP(R$1,Parameters,2,FALSE()),3)&amp;"*",OFFSET(Data,N(ISNA(MATCH(LEFT(VLOOKUP(R$1,Parameters,2,FALSE()),3)&amp;"*",OFFSET(Data,0,0,1),0))),0,1),0)+3*N(EXACT(R$1,"DFx")),FALSE())),ISTEXT(VLOOKUP(DATEVALUE(LEFT($B130,4)&amp;"-"&amp;MID($B130,5,2)&amp;"-"&amp;RIGHT($B130,2)),Data,MATCH(LEFT(VLOOKUP(R$1,Parameters,2,FALSE()),3)&amp;"*",OFFSET(Data,N(ISNA(MATCH(LEFT(VLOOKUP(R$1,Parameters,2,FALSE()),3)&amp;"*",OFFSET(Data,0,0,1),0))),0,1),0)+3*N(EXACT(R$1,"DFx")),FALSE()))),"—",ROUND(5*(VLOOKUP(DATEVALUE(LEFT($B130,4)&amp;"-"&amp;MID($B130,5,2)&amp;"-"&amp;RIGHT($B130,2)),Data,MATCH(LEFT(VLOOKUP(R$1,Parameters,2,FALSE()),3)&amp;"*",OFFSET(Data,N(ISNA(MATCH(LEFT(VLOOKUP(R$1,Parameters,2,FALSE()),3)&amp;"*",OFFSET(Data,0,0,1),0))),0,1),0)+3*N(EXACT(R$1,"DFx")),FALSE())-320)/90,1))</f>
        <v>—</v>
      </c>
      <c r="S130" s="15">
        <f t="shared" ref="S130:S193" ca="1" si="97">IF(OR(ISBLANK(VLOOKUP(DATEVALUE(LEFT($B130,4)&amp;"-"&amp;MID($B130,5,2)&amp;"-"&amp;RIGHT($B130,2)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130,4)&amp;"-"&amp;MID($B130,5,2)&amp;"-"&amp;RIGHT($B130,2)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130,4)&amp;"-"&amp;MID($B130,5,2)&amp;"-"&amp;RIGHT($B130,2)),OFFSET(Catalogus,0,0,,1),0)),Ok,VLOOKUP(DATEVALUE(LEFT($B130,4)&amp;"-"&amp;MID($B130,5,2)&amp;"-"&amp;RIGHT($B130,2)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130" s="9" t="str">
        <f t="shared" ref="T130:T193" ca="1" si="98">IF(OR(ISBLANK(VLOOKUP(DATEVALUE(LEFT($B130,4)&amp;"-"&amp;MID($B130,5,2)&amp;"-"&amp;RIGHT($B130,2)),Data,MATCH(LEFT(VLOOKUP(T$1,Parameters,2,FALSE()),3)&amp;"*",OFFSET(Data,N(ISNA(MATCH(LEFT(VLOOKUP(T$1,Parameters,2,FALSE()),3)&amp;"*",OFFSET(Data,0,0,1),0))),0,1),0)+3*N(EXACT(T$1,"DFx")),FALSE())),ISTEXT(VLOOKUP(DATEVALUE(LEFT($B130,4)&amp;"-"&amp;MID($B130,5,2)&amp;"-"&amp;RIGHT($B130,2)),Data,MATCH(LEFT(VLOOKUP(T$1,Parameters,2,FALSE()),3)&amp;"*",OFFSET(Data,N(ISNA(MATCH(LEFT(VLOOKUP(T$1,Parameters,2,FALSE()),3)&amp;"*",OFFSET(Data,0,0,1),0))),0,1),0)+3*N(EXACT(T$1,"DFx")),FALSE()))),"—",VLOOKUP(DATEVALUE(LEFT($B130,4)&amp;"-"&amp;MID($B130,5,2)&amp;"-"&amp;RIGHT($B130,2)),Data,MATCH(LEFT(VLOOKUP(T$1,Parameters,2,FALSE()),3)&amp;"*",OFFSET(Data,N(ISNA(MATCH(LEFT(VLOOKUP(T$1,Parameters,2,FALSE()),3)&amp;"*",OFFSET(Data,0,0,1),0))),0,1),0)+3*N(EXACT(T$1,"DFx")),FALSE()))</f>
        <v>—</v>
      </c>
      <c r="U130" s="15">
        <f t="shared" ref="U130:U193" ca="1" si="99">IF(OR(ISBLANK(VLOOKUP(DATEVALUE(LEFT($B130,4)&amp;"-"&amp;MID($B130,5,2)&amp;"-"&amp;RIGHT($B130,2)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130,4)&amp;"-"&amp;MID($B130,5,2)&amp;"-"&amp;RIGHT($B130,2)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130,4)&amp;"-"&amp;MID($B130,5,2)&amp;"-"&amp;RIGHT($B130,2)),OFFSET(Catalogus,0,0,,1),0)),Ok,VLOOKUP(DATEVALUE(LEFT($B130,4)&amp;"-"&amp;MID($B130,5,2)&amp;"-"&amp;RIGHT($B130,2)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130" s="16" t="str">
        <f t="shared" ref="V130:V193" ca="1" si="100">IF(OR(ISBLANK(VLOOKUP(DATEVALUE(LEFT($B130,4)&amp;"-"&amp;MID($B130,5,2)&amp;"-"&amp;RIGHT($B130,2)),Data,MATCH(LEFT(VLOOKUP(V$1,Parameters,2,FALSE()),3)&amp;"*",OFFSET(Data,N(ISNA(MATCH(LEFT(VLOOKUP(V$1,Parameters,2,FALSE()),3)&amp;"*",OFFSET(Data,0,0,1),0))),0,1),0)+3*N(EXACT(V$1,"DFx")),FALSE())),ISTEXT(VLOOKUP(DATEVALUE(LEFT($B130,4)&amp;"-"&amp;MID($B130,5,2)&amp;"-"&amp;RIGHT($B130,2)),Data,MATCH(LEFT(VLOOKUP(V$1,Parameters,2,FALSE()),3)&amp;"*",OFFSET(Data,N(ISNA(MATCH(LEFT(VLOOKUP(V$1,Parameters,2,FALSE()),3)&amp;"*",OFFSET(Data,0,0,1),0))),0,1),0)+3*N(EXACT(V$1,"DFx")),FALSE()))),"—",ROUND(0.0254*VLOOKUP(DATEVALUE(LEFT($B130,4)&amp;"-"&amp;MID($B130,5,2)&amp;"-"&amp;RIGHT($B130,2)),Data,MATCH(LEFT(VLOOKUP(V$1,Parameters,2,FALSE()),3)&amp;"*",OFFSET(Data,N(ISNA(MATCH(LEFT(VLOOKUP(V$1,Parameters,2,FALSE()),3)&amp;"*",OFFSET(Data,0,0,1),0))),0,1),0)+3*N(EXACT(V$1,"DFx")),FALSE()),1))</f>
        <v>—</v>
      </c>
      <c r="W130" s="15">
        <f t="shared" ref="W130:W193" ca="1" si="101">IF(OR(ISBLANK(VLOOKUP(DATEVALUE(LEFT($B130,4)&amp;"-"&amp;MID($B130,5,2)&amp;"-"&amp;RIGHT($B130,2)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130,4)&amp;"-"&amp;MID($B130,5,2)&amp;"-"&amp;RIGHT($B130,2)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130,4)&amp;"-"&amp;MID($B130,5,2)&amp;"-"&amp;RIGHT($B130,2)),OFFSET(Catalogus,0,0,,1),0)),Ok,VLOOKUP(DATEVALUE(LEFT($B130,4)&amp;"-"&amp;MID($B130,5,2)&amp;"-"&amp;RIGHT($B130,2)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130" s="16" t="str">
        <f t="shared" ref="X130:X193" ca="1" si="102">IF(OR(ISBLANK(VLOOKUP(DATEVALUE(LEFT($B130,4)&amp;"-"&amp;MID($B130,5,2)&amp;"-"&amp;RIGHT($B130,2)),Data,MATCH(LEFT(VLOOKUP(X$1,Parameters,2,FALSE()),3)&amp;"*",OFFSET(Data,N(ISNA(MATCH(LEFT(VLOOKUP(X$1,Parameters,2,FALSE()),3)&amp;"*",OFFSET(Data,0,0,1),0))),0,1),0)+3*N(EXACT(X$1,"DFx")),FALSE())),ISTEXT(VLOOKUP(DATEVALUE(LEFT($B130,4)&amp;"-"&amp;MID($B130,5,2)&amp;"-"&amp;RIGHT($B130,2)),Data,MATCH(LEFT(VLOOKUP(X$1,Parameters,2,FALSE()),3)&amp;"*",OFFSET(Data,N(ISNA(MATCH(LEFT(VLOOKUP(X$1,Parameters,2,FALSE()),3)&amp;"*",OFFSET(Data,0,0,1),0))),0,1),0)+3*N(EXACT(X$1,"DFx")),FALSE()))),"—",ROUND(5*(VLOOKUP(DATEVALUE(LEFT($B130,4)&amp;"-"&amp;MID($B130,5,2)&amp;"-"&amp;RIGHT($B130,2)),Data,MATCH(LEFT(VLOOKUP(X$1,Parameters,2,FALSE()),3)&amp;"*",OFFSET(Data,N(ISNA(MATCH(LEFT(VLOOKUP(X$1,Parameters,2,FALSE()),3)&amp;"*",OFFSET(Data,0,0,1),0))),0,1),0)+3*N(EXACT(X$1,"DFx")),FALSE())-320)/90,1))</f>
        <v>—</v>
      </c>
      <c r="Y130" s="15">
        <f t="shared" ref="Y130:Y193" ca="1" si="103">IF(OR(ISBLANK(VLOOKUP(DATEVALUE(LEFT($B130,4)&amp;"-"&amp;MID($B130,5,2)&amp;"-"&amp;RIGHT($B130,2)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130,4)&amp;"-"&amp;MID($B130,5,2)&amp;"-"&amp;RIGHT($B130,2)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130,4)&amp;"-"&amp;MID($B130,5,2)&amp;"-"&amp;RIGHT($B130,2)),OFFSET(Catalogus,0,0,,1),0)),Ok,VLOOKUP(DATEVALUE(LEFT($B130,4)&amp;"-"&amp;MID($B130,5,2)&amp;"-"&amp;RIGHT($B130,2)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7</v>
      </c>
      <c r="Z130" s="16" t="str">
        <f t="shared" ref="Z130:Z193" ca="1" si="104">IF(OR(ISBLANK(VLOOKUP(DATEVALUE(LEFT($B130,4)&amp;"-"&amp;MID($B130,5,2)&amp;"-"&amp;RIGHT($B130,2)),Data,MATCH(LEFT(VLOOKUP(Z$1,Parameters,2,FALSE()),3)&amp;"*",OFFSET(Data,N(ISNA(MATCH(LEFT(VLOOKUP(Z$1,Parameters,2,FALSE()),3)&amp;"*",OFFSET(Data,0,0,1),0))),0,1),0)+3*N(EXACT(Z$1,"DFx")),FALSE())),ISTEXT(VLOOKUP(DATEVALUE(LEFT($B130,4)&amp;"-"&amp;MID($B130,5,2)&amp;"-"&amp;RIGHT($B130,2)),Data,MATCH(LEFT(VLOOKUP(Z$1,Parameters,2,FALSE()),3)&amp;"*",OFFSET(Data,N(ISNA(MATCH(LEFT(VLOOKUP(Z$1,Parameters,2,FALSE()),3)&amp;"*",OFFSET(Data,0,0,1),0))),0,1),0)+3*N(EXACT(Z$1,"DFx")),FALSE()))),"—",ROUND(5*(VLOOKUP(DATEVALUE(LEFT($B130,4)&amp;"-"&amp;MID($B130,5,2)&amp;"-"&amp;RIGHT($B130,2)),Data,MATCH(LEFT(VLOOKUP(Z$1,Parameters,2,FALSE()),3)&amp;"*",OFFSET(Data,N(ISNA(MATCH(LEFT(VLOOKUP(Z$1,Parameters,2,FALSE()),3)&amp;"*",OFFSET(Data,0,0,1),0))),0,1),0)+3*N(EXACT(Z$1,"DFx")),FALSE())-320)/90,1))</f>
        <v>—</v>
      </c>
      <c r="AA130" s="15">
        <f t="shared" ref="AA130:AA193" ca="1" si="105">IF(OR(ISBLANK(VLOOKUP(DATEVALUE(LEFT($B130,4)&amp;"-"&amp;MID($B130,5,2)&amp;"-"&amp;RIGHT($B130,2)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130,4)&amp;"-"&amp;MID($B130,5,2)&amp;"-"&amp;RIGHT($B130,2)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130,4)&amp;"-"&amp;MID($B130,5,2)&amp;"-"&amp;RIGHT($B130,2)),OFFSET(Catalogus,0,0,,1),0)),Ok,VLOOKUP(DATEVALUE(LEFT($B130,4)&amp;"-"&amp;MID($B130,5,2)&amp;"-"&amp;RIGHT($B130,2)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7</v>
      </c>
      <c r="AB130" s="9" t="str">
        <f t="shared" ref="AB130:AB193" ca="1" si="106">IF(OR(ISBLANK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AND(ISTEXT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ISNA(MATCH(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,OFFSET(Windrichting,0,1,,1),0),1))</f>
        <v>—</v>
      </c>
      <c r="AC130" s="15">
        <f t="shared" ref="AC130:AC193" ca="1" si="107">IF(OR(ISBLANK(VLOOKUP(DATEVALUE(LEFT($B130,4)&amp;"-"&amp;MID($B130,5,2)&amp;"-"&amp;RIGHT($B130,2)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ISNA(MATCH(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130,4)&amp;"-"&amp;MID($B130,5,2)&amp;"-"&amp;RIGHT($B130,2)),OFFSET(Catalogus,0,0,,1),0)),Ok,VLOOKUP(DATEVALUE(LEFT($B130,4)&amp;"-"&amp;MID($B130,5,2)&amp;"-"&amp;RIGHT($B130,2)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7</v>
      </c>
      <c r="AD130" s="76" t="str">
        <f t="shared" ref="AD130:AD193" ca="1" si="108">IF(OR(ISBLANK(VLOOKUP(DATEVALUE(LEFT($B130,4)&amp;"-"&amp;MID($B130,5,2)&amp;"-"&amp;RIGHT($B130,2)),Data,MATCH(LEFT(VLOOKUP(AD$1,Parameters,2,FALSE()),3)&amp;"*",OFFSET(Data,N(ISNA(MATCH(LEFT(VLOOKUP(AD$1,Parameters,2,FALSE()),3)&amp;"*",OFFSET(Data,0,0,1),0))),0,1),0)+3*N(EXACT(AD$1,"DFx")),FALSE())),ISTEXT(VLOOKUP(DATEVALUE(LEFT($B130,4)&amp;"-"&amp;MID($B130,5,2)&amp;"-"&amp;RIGHT($B130,2)),Data,MATCH(LEFT(VLOOKUP(AD$1,Parameters,2,FALSE()),3)&amp;"*",OFFSET(Data,N(ISNA(MATCH(LEFT(VLOOKUP(AD$1,Parameters,2,FALSE()),3)&amp;"*",OFFSET(Data,0,0,1),0))),0,1),0)+3*N(EXACT(AD$1,"DFx")),FALSE()))),"—",ROUND(Kts*VLOOKUP(DATEVALUE(LEFT($B130,4)&amp;"-"&amp;MID($B130,5,2)&amp;"-"&amp;RIGHT($B130,2)),Data,MATCH(LEFT(VLOOKUP(AD$1,Parameters,2,FALSE()),3)&amp;"*",OFFSET(Data,N(ISNA(MATCH(LEFT(VLOOKUP(AD$1,Parameters,2,FALSE()),3)&amp;"*",OFFSET(Data,0,0,1),0))),0,1),0)+3*N(EXACT(AD$1,"DFx")),FALSE()),1))</f>
        <v>—</v>
      </c>
      <c r="AE130" s="15">
        <f t="shared" ref="AE130:AE193" ca="1" si="109">IF(OR(ISBLANK(VLOOKUP(DATEVALUE(LEFT($B130,4)&amp;"-"&amp;MID($B130,5,2)&amp;"-"&amp;RIGHT($B130,2)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130,4)&amp;"-"&amp;MID($B130,5,2)&amp;"-"&amp;RIGHT($B130,2)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130,4)&amp;"-"&amp;MID($B130,5,2)&amp;"-"&amp;RIGHT($B130,2)),OFFSET(Catalogus,0,0,,1),0)),Ok,VLOOKUP(DATEVALUE(LEFT($B130,4)&amp;"-"&amp;MID($B130,5,2)&amp;"-"&amp;RIGHT($B130,2)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7</v>
      </c>
      <c r="AF130" s="76" t="str">
        <f t="shared" ref="AF130:AF193" ca="1" si="110">IF(OR(ISBLANK(VLOOKUP(DATEVALUE(LEFT($B130,4)&amp;"-"&amp;MID($B130,5,2)&amp;"-"&amp;RIGHT($B130,2)),Data,MATCH(LEFT(VLOOKUP(AF$1,Parameters,2,FALSE()),3)&amp;"*",OFFSET(Data,N(ISNA(MATCH(LEFT(VLOOKUP(AF$1,Parameters,2,FALSE()),3)&amp;"*",OFFSET(Data,0,0,1),0))),0,1),0)+3*N(EXACT(AF$1,"DFx")),FALSE())),ISTEXT(VLOOKUP(DATEVALUE(LEFT($B130,4)&amp;"-"&amp;MID($B130,5,2)&amp;"-"&amp;RIGHT($B130,2)),Data,MATCH(LEFT(VLOOKUP(AF$1,Parameters,2,FALSE()),3)&amp;"*",OFFSET(Data,N(ISNA(MATCH(LEFT(VLOOKUP(AF$1,Parameters,2,FALSE()),3)&amp;"*",OFFSET(Data,0,0,1),0))),0,1),0)+3*N(EXACT(AF$1,"DFx")),FALSE()))),"—",ROUND(Kts*VLOOKUP(DATEVALUE(LEFT($B130,4)&amp;"-"&amp;MID($B130,5,2)&amp;"-"&amp;RIGHT($B130,2)),Data,MATCH(LEFT(VLOOKUP(AF$1,Parameters,2,FALSE()),3)&amp;"*",OFFSET(Data,N(ISNA(MATCH(LEFT(VLOOKUP(AF$1,Parameters,2,FALSE()),3)&amp;"*",OFFSET(Data,0,0,1),0))),0,1),0)+3*N(EXACT(AF$1,"DFx")),FALSE()),1))</f>
        <v>—</v>
      </c>
      <c r="AG130" s="15">
        <f t="shared" ref="AG130:AG193" ca="1" si="111">IF(OR(ISBLANK(VLOOKUP(DATEVALUE(LEFT($B130,4)&amp;"-"&amp;MID($B130,5,2)&amp;"-"&amp;RIGHT($B130,2)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130,4)&amp;"-"&amp;MID($B130,5,2)&amp;"-"&amp;RIGHT($B130,2)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130,4)&amp;"-"&amp;MID($B130,5,2)&amp;"-"&amp;RIGHT($B130,2)),OFFSET(Catalogus,0,0,,1),0)),Ok,VLOOKUP(DATEVALUE(LEFT($B130,4)&amp;"-"&amp;MID($B130,5,2)&amp;"-"&amp;RIGHT($B130,2)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130" s="9" t="str">
        <f t="shared" ref="AH130:AH193" ca="1" si="112">IF(OR(ISBLANK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AND(ISTEXT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ISNA(MATCH(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130" s="15">
        <f t="shared" ref="AI130:AI193" ca="1" si="113">IF(OR(ISBLANK(VLOOKUP(DATEVALUE(LEFT($B130,4)&amp;"-"&amp;MID($B130,5,2)&amp;"-"&amp;RIGHT($B130,2)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ISNA(MATCH(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130,4)&amp;"-"&amp;MID($B130,5,2)&amp;"-"&amp;RIGHT($B130,2)),OFFSET(Catalogus,0,0,,1),0)),Ok,VLOOKUP(DATEVALUE(LEFT($B130,4)&amp;"-"&amp;MID($B130,5,2)&amp;"-"&amp;RIGHT($B130,2)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130" s="26" t="str">
        <f t="shared" ref="AJ130:AJ193" ca="1" si="114">IF(OR(ISBLANK(VLOOKUP(DATEVALUE(LEFT($B130,4)&amp;"-"&amp;MID($B130,5,2)&amp;"-"&amp;RIGHT($B130,2)),Data,MATCH(LEFT(VLOOKUP(AJ$1,Parameters,2,FALSE()),3)&amp;"*",OFFSET(Data,N(ISNA(MATCH(LEFT(VLOOKUP(AJ$1,Parameters,2,FALSE()),3)&amp;"*",OFFSET(Data,0,0,1),0))),0,1),0)+3*N(EXACT(AJ$1,"DFx")),FALSE())),ISTEXT(VLOOKUP(DATEVALUE(LEFT($B130,4)&amp;"-"&amp;MID($B130,5,2)&amp;"-"&amp;RIGHT($B130,2)),Data,MATCH(LEFT(VLOOKUP(AJ$1,Parameters,2,FALSE()),3)&amp;"*",OFFSET(Data,N(ISNA(MATCH(LEFT(VLOOKUP(AJ$1,Parameters,2,FALSE()),3)&amp;"*",OFFSET(Data,0,0,1),0))),0,1),0)+3*N(EXACT(AJ$1,"DFx")),FALSE()))),"—",VLOOKUP(DATEVALUE(LEFT($B130,4)&amp;"-"&amp;MID($B130,5,2)&amp;"-"&amp;RIGHT($B130,2)),Data,MATCH(LEFT(VLOOKUP(AJ$1,Parameters,2,FALSE()),3)&amp;"*",OFFSET(Data,N(ISNA(MATCH(LEFT(VLOOKUP(AJ$1,Parameters,2,FALSE()),3)&amp;"*",OFFSET(Data,0,0,1),0))),0,1),0)+3*N(EXACT(AJ$1,"DFx")),FALSE()))</f>
        <v>—</v>
      </c>
      <c r="AK130" s="15">
        <f t="shared" ref="AK130:AK193" ca="1" si="115">IF(OR(ISBLANK(VLOOKUP(DATEVALUE(LEFT($B130,4)&amp;"-"&amp;MID($B130,5,2)&amp;"-"&amp;RIGHT($B130,2)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130,4)&amp;"-"&amp;MID($B130,5,2)&amp;"-"&amp;RIGHT($B130,2)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130,4)&amp;"-"&amp;MID($B130,5,2)&amp;"-"&amp;RIGHT($B130,2)),OFFSET(Catalogus,0,0,,1),0)),Ok,VLOOKUP(DATEVALUE(LEFT($B130,4)&amp;"-"&amp;MID($B130,5,2)&amp;"-"&amp;RIGHT($B130,2)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130" s="9" t="str">
        <f t="shared" ref="AL130:AL193" ca="1" si="116">IF(OR(ISBLANK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,AND(ISTEXT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,EXACT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,"—"))),"—",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</f>
        <v>—</v>
      </c>
      <c r="AM130" s="15">
        <f t="shared" ref="AM130:AM193" ca="1" si="117">IF(OR(ISBLANK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,AND(ISTEXT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,EXACT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,"—"))),Lacking,IF(ISNA(MATCH(DATEVALUE(LEFT($B130,4)&amp;"-"&amp;MID($B130,5,2)&amp;"-"&amp;RIGHT($B130,2)),OFFSET(Catalogus,0,0,,1),0)),Ok,VLOOKUP(DATEVALUE(LEFT($B130,4)&amp;"-"&amp;MID($B130,5,2)&amp;"-"&amp;RIGHT($B130,2)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130" s="9" t="str">
        <f t="shared" ref="AN130:AN193" ca="1" si="118">IF(OR(ISBLANK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AND(ISTEXT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ISNA(MATCH(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130" s="15">
        <f t="shared" ref="AO130:AO193" ca="1" si="119">IF(OR(ISBLANK(VLOOKUP(DATEVALUE(LEFT($B130,4)&amp;"-"&amp;MID($B130,5,2)&amp;"-"&amp;RIGHT($B130,2)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ISNA(MATCH(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130,4)&amp;"-"&amp;MID($B130,5,2)&amp;"-"&amp;RIGHT($B130,2)),OFFSET(Catalogus,0,0,,1),0)),Ok,VLOOKUP(DATEVALUE(LEFT($B130,4)&amp;"-"&amp;MID($B130,5,2)&amp;"-"&amp;RIGHT($B130,2)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131" spans="1:41" x14ac:dyDescent="0.25">
      <c r="A131" s="4">
        <f t="shared" si="80"/>
        <v>78989</v>
      </c>
      <c r="B131" t="str">
        <f ca="1">TEXT(DATE(YEAR(Invoer!$A$5),1,1)+ROWS(B$2:B131)-1,"jjjjmmdd")</f>
        <v>19130510</v>
      </c>
      <c r="C131" s="72">
        <f t="shared" si="81"/>
        <v>800</v>
      </c>
      <c r="D131" s="16" t="str">
        <f t="shared" ca="1" si="82"/>
        <v>—</v>
      </c>
      <c r="E131" s="15">
        <f t="shared" ca="1" si="83"/>
        <v>7</v>
      </c>
      <c r="F131" s="73" t="str">
        <f t="shared" ca="1" si="84"/>
        <v>—</v>
      </c>
      <c r="G131" s="15">
        <f t="shared" ca="1" si="85"/>
        <v>7</v>
      </c>
      <c r="H131" s="73" t="str">
        <f t="shared" ca="1" si="86"/>
        <v>—</v>
      </c>
      <c r="I131" s="15">
        <f t="shared" ca="1" si="87"/>
        <v>7</v>
      </c>
      <c r="J131" s="73" t="str">
        <f t="shared" ca="1" si="88"/>
        <v>—</v>
      </c>
      <c r="K131" s="15">
        <f t="shared" ca="1" si="89"/>
        <v>7</v>
      </c>
      <c r="L131" s="16" t="str">
        <f t="shared" ca="1" si="90"/>
        <v>—</v>
      </c>
      <c r="M131" s="15">
        <f t="shared" ca="1" si="91"/>
        <v>7</v>
      </c>
      <c r="N131" s="16" t="str">
        <f t="shared" ca="1" si="92"/>
        <v>—</v>
      </c>
      <c r="O131" s="15">
        <f t="shared" ca="1" si="93"/>
        <v>7</v>
      </c>
      <c r="P131" s="16" t="str">
        <f t="shared" ca="1" si="94"/>
        <v>—</v>
      </c>
      <c r="Q131" s="15">
        <f t="shared" ca="1" si="95"/>
        <v>7</v>
      </c>
      <c r="R131" s="16" t="str">
        <f t="shared" ca="1" si="96"/>
        <v>—</v>
      </c>
      <c r="S131" s="15">
        <f t="shared" ca="1" si="97"/>
        <v>7</v>
      </c>
      <c r="T131" s="9" t="str">
        <f t="shared" ca="1" si="98"/>
        <v>—</v>
      </c>
      <c r="U131" s="15">
        <f t="shared" ca="1" si="99"/>
        <v>7</v>
      </c>
      <c r="V131" s="16" t="str">
        <f t="shared" ca="1" si="100"/>
        <v>—</v>
      </c>
      <c r="W131" s="15">
        <f t="shared" ca="1" si="101"/>
        <v>7</v>
      </c>
      <c r="X131" s="16" t="str">
        <f t="shared" ca="1" si="102"/>
        <v>—</v>
      </c>
      <c r="Y131" s="15">
        <f t="shared" ca="1" si="103"/>
        <v>7</v>
      </c>
      <c r="Z131" s="16" t="str">
        <f t="shared" ca="1" si="104"/>
        <v>—</v>
      </c>
      <c r="AA131" s="15">
        <f t="shared" ca="1" si="105"/>
        <v>7</v>
      </c>
      <c r="AB131" s="9" t="str">
        <f t="shared" ca="1" si="106"/>
        <v>—</v>
      </c>
      <c r="AC131" s="15">
        <f t="shared" ca="1" si="107"/>
        <v>7</v>
      </c>
      <c r="AD131" s="76" t="str">
        <f t="shared" ca="1" si="108"/>
        <v>—</v>
      </c>
      <c r="AE131" s="15">
        <f t="shared" ca="1" si="109"/>
        <v>7</v>
      </c>
      <c r="AF131" s="76" t="str">
        <f t="shared" ca="1" si="110"/>
        <v>—</v>
      </c>
      <c r="AG131" s="15">
        <f t="shared" ca="1" si="111"/>
        <v>7</v>
      </c>
      <c r="AH131" s="9" t="str">
        <f t="shared" ca="1" si="112"/>
        <v>—</v>
      </c>
      <c r="AI131" s="15">
        <f t="shared" ca="1" si="113"/>
        <v>7</v>
      </c>
      <c r="AJ131" s="26" t="str">
        <f t="shared" ca="1" si="114"/>
        <v>—</v>
      </c>
      <c r="AK131" s="15">
        <f t="shared" ca="1" si="115"/>
        <v>7</v>
      </c>
      <c r="AL131" s="9" t="str">
        <f t="shared" ca="1" si="116"/>
        <v>—</v>
      </c>
      <c r="AM131" s="15">
        <f t="shared" ca="1" si="117"/>
        <v>7</v>
      </c>
      <c r="AN131" s="9" t="str">
        <f t="shared" ca="1" si="118"/>
        <v>—</v>
      </c>
      <c r="AO131" s="15">
        <f t="shared" ca="1" si="119"/>
        <v>7</v>
      </c>
    </row>
    <row r="132" spans="1:41" x14ac:dyDescent="0.25">
      <c r="A132" s="4">
        <f t="shared" si="80"/>
        <v>78989</v>
      </c>
      <c r="B132" t="str">
        <f ca="1">TEXT(DATE(YEAR(Invoer!$A$5),1,1)+ROWS(B$2:B132)-1,"jjjjmmdd")</f>
        <v>19130511</v>
      </c>
      <c r="C132" s="72">
        <f t="shared" si="81"/>
        <v>800</v>
      </c>
      <c r="D132" s="16" t="str">
        <f t="shared" ca="1" si="82"/>
        <v>—</v>
      </c>
      <c r="E132" s="15">
        <f t="shared" ca="1" si="83"/>
        <v>7</v>
      </c>
      <c r="F132" s="73" t="str">
        <f t="shared" ca="1" si="84"/>
        <v>—</v>
      </c>
      <c r="G132" s="15">
        <f t="shared" ca="1" si="85"/>
        <v>7</v>
      </c>
      <c r="H132" s="73" t="str">
        <f t="shared" ca="1" si="86"/>
        <v>—</v>
      </c>
      <c r="I132" s="15">
        <f t="shared" ca="1" si="87"/>
        <v>7</v>
      </c>
      <c r="J132" s="73" t="str">
        <f t="shared" ca="1" si="88"/>
        <v>—</v>
      </c>
      <c r="K132" s="15">
        <f t="shared" ca="1" si="89"/>
        <v>7</v>
      </c>
      <c r="L132" s="16" t="str">
        <f t="shared" ca="1" si="90"/>
        <v>—</v>
      </c>
      <c r="M132" s="15">
        <f t="shared" ca="1" si="91"/>
        <v>7</v>
      </c>
      <c r="N132" s="16" t="str">
        <f t="shared" ca="1" si="92"/>
        <v>—</v>
      </c>
      <c r="O132" s="15">
        <f t="shared" ca="1" si="93"/>
        <v>7</v>
      </c>
      <c r="P132" s="16" t="str">
        <f t="shared" ca="1" si="94"/>
        <v>—</v>
      </c>
      <c r="Q132" s="15">
        <f t="shared" ca="1" si="95"/>
        <v>7</v>
      </c>
      <c r="R132" s="16" t="str">
        <f t="shared" ca="1" si="96"/>
        <v>—</v>
      </c>
      <c r="S132" s="15">
        <f t="shared" ca="1" si="97"/>
        <v>7</v>
      </c>
      <c r="T132" s="9" t="str">
        <f t="shared" ca="1" si="98"/>
        <v>—</v>
      </c>
      <c r="U132" s="15">
        <f t="shared" ca="1" si="99"/>
        <v>7</v>
      </c>
      <c r="V132" s="16" t="str">
        <f t="shared" ca="1" si="100"/>
        <v>—</v>
      </c>
      <c r="W132" s="15">
        <f t="shared" ca="1" si="101"/>
        <v>7</v>
      </c>
      <c r="X132" s="16" t="str">
        <f t="shared" ca="1" si="102"/>
        <v>—</v>
      </c>
      <c r="Y132" s="15">
        <f t="shared" ca="1" si="103"/>
        <v>7</v>
      </c>
      <c r="Z132" s="16" t="str">
        <f t="shared" ca="1" si="104"/>
        <v>—</v>
      </c>
      <c r="AA132" s="15">
        <f t="shared" ca="1" si="105"/>
        <v>7</v>
      </c>
      <c r="AB132" s="9" t="str">
        <f t="shared" ca="1" si="106"/>
        <v>—</v>
      </c>
      <c r="AC132" s="15">
        <f t="shared" ca="1" si="107"/>
        <v>7</v>
      </c>
      <c r="AD132" s="76" t="str">
        <f t="shared" ca="1" si="108"/>
        <v>—</v>
      </c>
      <c r="AE132" s="15">
        <f t="shared" ca="1" si="109"/>
        <v>7</v>
      </c>
      <c r="AF132" s="76" t="str">
        <f t="shared" ca="1" si="110"/>
        <v>—</v>
      </c>
      <c r="AG132" s="15">
        <f t="shared" ca="1" si="111"/>
        <v>7</v>
      </c>
      <c r="AH132" s="9" t="str">
        <f t="shared" ca="1" si="112"/>
        <v>—</v>
      </c>
      <c r="AI132" s="15">
        <f t="shared" ca="1" si="113"/>
        <v>7</v>
      </c>
      <c r="AJ132" s="26" t="str">
        <f t="shared" ca="1" si="114"/>
        <v>—</v>
      </c>
      <c r="AK132" s="15">
        <f t="shared" ca="1" si="115"/>
        <v>7</v>
      </c>
      <c r="AL132" s="9" t="str">
        <f t="shared" ca="1" si="116"/>
        <v>—</v>
      </c>
      <c r="AM132" s="15">
        <f t="shared" ca="1" si="117"/>
        <v>7</v>
      </c>
      <c r="AN132" s="9" t="str">
        <f t="shared" ca="1" si="118"/>
        <v>—</v>
      </c>
      <c r="AO132" s="15">
        <f t="shared" ca="1" si="119"/>
        <v>7</v>
      </c>
    </row>
    <row r="133" spans="1:41" x14ac:dyDescent="0.25">
      <c r="A133" s="4">
        <f t="shared" si="80"/>
        <v>78989</v>
      </c>
      <c r="B133" t="str">
        <f ca="1">TEXT(DATE(YEAR(Invoer!$A$5),1,1)+ROWS(B$2:B133)-1,"jjjjmmdd")</f>
        <v>19130512</v>
      </c>
      <c r="C133" s="72">
        <f t="shared" si="81"/>
        <v>800</v>
      </c>
      <c r="D133" s="16" t="str">
        <f t="shared" ca="1" si="82"/>
        <v>—</v>
      </c>
      <c r="E133" s="15">
        <f t="shared" ca="1" si="83"/>
        <v>7</v>
      </c>
      <c r="F133" s="73" t="str">
        <f t="shared" ca="1" si="84"/>
        <v>—</v>
      </c>
      <c r="G133" s="15">
        <f t="shared" ca="1" si="85"/>
        <v>7</v>
      </c>
      <c r="H133" s="73" t="str">
        <f t="shared" ca="1" si="86"/>
        <v>—</v>
      </c>
      <c r="I133" s="15">
        <f t="shared" ca="1" si="87"/>
        <v>7</v>
      </c>
      <c r="J133" s="73" t="str">
        <f t="shared" ca="1" si="88"/>
        <v>—</v>
      </c>
      <c r="K133" s="15">
        <f t="shared" ca="1" si="89"/>
        <v>7</v>
      </c>
      <c r="L133" s="16" t="str">
        <f t="shared" ca="1" si="90"/>
        <v>—</v>
      </c>
      <c r="M133" s="15">
        <f t="shared" ca="1" si="91"/>
        <v>7</v>
      </c>
      <c r="N133" s="16" t="str">
        <f t="shared" ca="1" si="92"/>
        <v>—</v>
      </c>
      <c r="O133" s="15">
        <f t="shared" ca="1" si="93"/>
        <v>7</v>
      </c>
      <c r="P133" s="16" t="str">
        <f t="shared" ca="1" si="94"/>
        <v>—</v>
      </c>
      <c r="Q133" s="15">
        <f t="shared" ca="1" si="95"/>
        <v>7</v>
      </c>
      <c r="R133" s="16" t="str">
        <f t="shared" ca="1" si="96"/>
        <v>—</v>
      </c>
      <c r="S133" s="15">
        <f t="shared" ca="1" si="97"/>
        <v>7</v>
      </c>
      <c r="T133" s="9" t="str">
        <f t="shared" ca="1" si="98"/>
        <v>—</v>
      </c>
      <c r="U133" s="15">
        <f t="shared" ca="1" si="99"/>
        <v>7</v>
      </c>
      <c r="V133" s="16" t="str">
        <f t="shared" ca="1" si="100"/>
        <v>—</v>
      </c>
      <c r="W133" s="15">
        <f t="shared" ca="1" si="101"/>
        <v>7</v>
      </c>
      <c r="X133" s="16" t="str">
        <f t="shared" ca="1" si="102"/>
        <v>—</v>
      </c>
      <c r="Y133" s="15">
        <f t="shared" ca="1" si="103"/>
        <v>7</v>
      </c>
      <c r="Z133" s="16" t="str">
        <f t="shared" ca="1" si="104"/>
        <v>—</v>
      </c>
      <c r="AA133" s="15">
        <f t="shared" ca="1" si="105"/>
        <v>7</v>
      </c>
      <c r="AB133" s="9" t="str">
        <f t="shared" ca="1" si="106"/>
        <v>—</v>
      </c>
      <c r="AC133" s="15">
        <f t="shared" ca="1" si="107"/>
        <v>7</v>
      </c>
      <c r="AD133" s="76" t="str">
        <f t="shared" ca="1" si="108"/>
        <v>—</v>
      </c>
      <c r="AE133" s="15">
        <f t="shared" ca="1" si="109"/>
        <v>7</v>
      </c>
      <c r="AF133" s="76" t="str">
        <f t="shared" ca="1" si="110"/>
        <v>—</v>
      </c>
      <c r="AG133" s="15">
        <f t="shared" ca="1" si="111"/>
        <v>7</v>
      </c>
      <c r="AH133" s="9" t="str">
        <f t="shared" ca="1" si="112"/>
        <v>—</v>
      </c>
      <c r="AI133" s="15">
        <f t="shared" ca="1" si="113"/>
        <v>7</v>
      </c>
      <c r="AJ133" s="26" t="str">
        <f t="shared" ca="1" si="114"/>
        <v>—</v>
      </c>
      <c r="AK133" s="15">
        <f t="shared" ca="1" si="115"/>
        <v>7</v>
      </c>
      <c r="AL133" s="9" t="str">
        <f t="shared" ca="1" si="116"/>
        <v>—</v>
      </c>
      <c r="AM133" s="15">
        <f t="shared" ca="1" si="117"/>
        <v>7</v>
      </c>
      <c r="AN133" s="9" t="str">
        <f t="shared" ca="1" si="118"/>
        <v>—</v>
      </c>
      <c r="AO133" s="15">
        <f t="shared" ca="1" si="119"/>
        <v>7</v>
      </c>
    </row>
    <row r="134" spans="1:41" x14ac:dyDescent="0.25">
      <c r="A134" s="4">
        <f t="shared" si="80"/>
        <v>78989</v>
      </c>
      <c r="B134" t="str">
        <f ca="1">TEXT(DATE(YEAR(Invoer!$A$5),1,1)+ROWS(B$2:B134)-1,"jjjjmmdd")</f>
        <v>19130513</v>
      </c>
      <c r="C134" s="72">
        <f t="shared" si="81"/>
        <v>800</v>
      </c>
      <c r="D134" s="16" t="str">
        <f t="shared" ca="1" si="82"/>
        <v>—</v>
      </c>
      <c r="E134" s="15">
        <f t="shared" ca="1" si="83"/>
        <v>7</v>
      </c>
      <c r="F134" s="73" t="str">
        <f t="shared" ca="1" si="84"/>
        <v>—</v>
      </c>
      <c r="G134" s="15">
        <f t="shared" ca="1" si="85"/>
        <v>7</v>
      </c>
      <c r="H134" s="73" t="str">
        <f t="shared" ca="1" si="86"/>
        <v>—</v>
      </c>
      <c r="I134" s="15">
        <f t="shared" ca="1" si="87"/>
        <v>7</v>
      </c>
      <c r="J134" s="73" t="str">
        <f t="shared" ca="1" si="88"/>
        <v>—</v>
      </c>
      <c r="K134" s="15">
        <f t="shared" ca="1" si="89"/>
        <v>7</v>
      </c>
      <c r="L134" s="16" t="str">
        <f t="shared" ca="1" si="90"/>
        <v>—</v>
      </c>
      <c r="M134" s="15">
        <f t="shared" ca="1" si="91"/>
        <v>7</v>
      </c>
      <c r="N134" s="16" t="str">
        <f t="shared" ca="1" si="92"/>
        <v>—</v>
      </c>
      <c r="O134" s="15">
        <f t="shared" ca="1" si="93"/>
        <v>7</v>
      </c>
      <c r="P134" s="16" t="str">
        <f t="shared" ca="1" si="94"/>
        <v>—</v>
      </c>
      <c r="Q134" s="15">
        <f t="shared" ca="1" si="95"/>
        <v>7</v>
      </c>
      <c r="R134" s="16" t="str">
        <f t="shared" ca="1" si="96"/>
        <v>—</v>
      </c>
      <c r="S134" s="15">
        <f t="shared" ca="1" si="97"/>
        <v>7</v>
      </c>
      <c r="T134" s="9" t="str">
        <f t="shared" ca="1" si="98"/>
        <v>—</v>
      </c>
      <c r="U134" s="15">
        <f t="shared" ca="1" si="99"/>
        <v>7</v>
      </c>
      <c r="V134" s="16" t="str">
        <f t="shared" ca="1" si="100"/>
        <v>—</v>
      </c>
      <c r="W134" s="15">
        <f t="shared" ca="1" si="101"/>
        <v>7</v>
      </c>
      <c r="X134" s="16" t="str">
        <f t="shared" ca="1" si="102"/>
        <v>—</v>
      </c>
      <c r="Y134" s="15">
        <f t="shared" ca="1" si="103"/>
        <v>7</v>
      </c>
      <c r="Z134" s="16" t="str">
        <f t="shared" ca="1" si="104"/>
        <v>—</v>
      </c>
      <c r="AA134" s="15">
        <f t="shared" ca="1" si="105"/>
        <v>7</v>
      </c>
      <c r="AB134" s="9" t="str">
        <f t="shared" ca="1" si="106"/>
        <v>—</v>
      </c>
      <c r="AC134" s="15">
        <f t="shared" ca="1" si="107"/>
        <v>7</v>
      </c>
      <c r="AD134" s="76" t="str">
        <f t="shared" ca="1" si="108"/>
        <v>—</v>
      </c>
      <c r="AE134" s="15">
        <f t="shared" ca="1" si="109"/>
        <v>7</v>
      </c>
      <c r="AF134" s="76" t="str">
        <f t="shared" ca="1" si="110"/>
        <v>—</v>
      </c>
      <c r="AG134" s="15">
        <f t="shared" ca="1" si="111"/>
        <v>7</v>
      </c>
      <c r="AH134" s="9" t="str">
        <f t="shared" ca="1" si="112"/>
        <v>—</v>
      </c>
      <c r="AI134" s="15">
        <f t="shared" ca="1" si="113"/>
        <v>7</v>
      </c>
      <c r="AJ134" s="26" t="str">
        <f t="shared" ca="1" si="114"/>
        <v>—</v>
      </c>
      <c r="AK134" s="15">
        <f t="shared" ca="1" si="115"/>
        <v>7</v>
      </c>
      <c r="AL134" s="9" t="str">
        <f t="shared" ca="1" si="116"/>
        <v>—</v>
      </c>
      <c r="AM134" s="15">
        <f t="shared" ca="1" si="117"/>
        <v>7</v>
      </c>
      <c r="AN134" s="9" t="str">
        <f t="shared" ca="1" si="118"/>
        <v>—</v>
      </c>
      <c r="AO134" s="15">
        <f t="shared" ca="1" si="119"/>
        <v>7</v>
      </c>
    </row>
    <row r="135" spans="1:41" x14ac:dyDescent="0.25">
      <c r="A135" s="4">
        <f t="shared" si="80"/>
        <v>78989</v>
      </c>
      <c r="B135" t="str">
        <f ca="1">TEXT(DATE(YEAR(Invoer!$A$5),1,1)+ROWS(B$2:B135)-1,"jjjjmmdd")</f>
        <v>19130514</v>
      </c>
      <c r="C135" s="72">
        <f t="shared" si="81"/>
        <v>800</v>
      </c>
      <c r="D135" s="16" t="str">
        <f t="shared" ca="1" si="82"/>
        <v>—</v>
      </c>
      <c r="E135" s="15">
        <f t="shared" ca="1" si="83"/>
        <v>7</v>
      </c>
      <c r="F135" s="73" t="str">
        <f t="shared" ca="1" si="84"/>
        <v>—</v>
      </c>
      <c r="G135" s="15">
        <f t="shared" ca="1" si="85"/>
        <v>7</v>
      </c>
      <c r="H135" s="73" t="str">
        <f t="shared" ca="1" si="86"/>
        <v>—</v>
      </c>
      <c r="I135" s="15">
        <f t="shared" ca="1" si="87"/>
        <v>7</v>
      </c>
      <c r="J135" s="73" t="str">
        <f t="shared" ca="1" si="88"/>
        <v>—</v>
      </c>
      <c r="K135" s="15">
        <f t="shared" ca="1" si="89"/>
        <v>7</v>
      </c>
      <c r="L135" s="16" t="str">
        <f t="shared" ca="1" si="90"/>
        <v>—</v>
      </c>
      <c r="M135" s="15">
        <f t="shared" ca="1" si="91"/>
        <v>7</v>
      </c>
      <c r="N135" s="16" t="str">
        <f t="shared" ca="1" si="92"/>
        <v>—</v>
      </c>
      <c r="O135" s="15">
        <f t="shared" ca="1" si="93"/>
        <v>7</v>
      </c>
      <c r="P135" s="16" t="str">
        <f t="shared" ca="1" si="94"/>
        <v>—</v>
      </c>
      <c r="Q135" s="15">
        <f t="shared" ca="1" si="95"/>
        <v>7</v>
      </c>
      <c r="R135" s="16" t="str">
        <f t="shared" ca="1" si="96"/>
        <v>—</v>
      </c>
      <c r="S135" s="15">
        <f t="shared" ca="1" si="97"/>
        <v>7</v>
      </c>
      <c r="T135" s="9" t="str">
        <f t="shared" ca="1" si="98"/>
        <v>—</v>
      </c>
      <c r="U135" s="15">
        <f t="shared" ca="1" si="99"/>
        <v>7</v>
      </c>
      <c r="V135" s="16" t="str">
        <f t="shared" ca="1" si="100"/>
        <v>—</v>
      </c>
      <c r="W135" s="15">
        <f t="shared" ca="1" si="101"/>
        <v>7</v>
      </c>
      <c r="X135" s="16" t="str">
        <f t="shared" ca="1" si="102"/>
        <v>—</v>
      </c>
      <c r="Y135" s="15">
        <f t="shared" ca="1" si="103"/>
        <v>7</v>
      </c>
      <c r="Z135" s="16" t="str">
        <f t="shared" ca="1" si="104"/>
        <v>—</v>
      </c>
      <c r="AA135" s="15">
        <f t="shared" ca="1" si="105"/>
        <v>7</v>
      </c>
      <c r="AB135" s="9" t="str">
        <f t="shared" ca="1" si="106"/>
        <v>—</v>
      </c>
      <c r="AC135" s="15">
        <f t="shared" ca="1" si="107"/>
        <v>7</v>
      </c>
      <c r="AD135" s="76" t="str">
        <f t="shared" ca="1" si="108"/>
        <v>—</v>
      </c>
      <c r="AE135" s="15">
        <f t="shared" ca="1" si="109"/>
        <v>7</v>
      </c>
      <c r="AF135" s="76" t="str">
        <f t="shared" ca="1" si="110"/>
        <v>—</v>
      </c>
      <c r="AG135" s="15">
        <f t="shared" ca="1" si="111"/>
        <v>7</v>
      </c>
      <c r="AH135" s="9" t="str">
        <f t="shared" ca="1" si="112"/>
        <v>—</v>
      </c>
      <c r="AI135" s="15">
        <f t="shared" ca="1" si="113"/>
        <v>7</v>
      </c>
      <c r="AJ135" s="26" t="str">
        <f t="shared" ca="1" si="114"/>
        <v>—</v>
      </c>
      <c r="AK135" s="15">
        <f t="shared" ca="1" si="115"/>
        <v>7</v>
      </c>
      <c r="AL135" s="9" t="str">
        <f t="shared" ca="1" si="116"/>
        <v>—</v>
      </c>
      <c r="AM135" s="15">
        <f t="shared" ca="1" si="117"/>
        <v>7</v>
      </c>
      <c r="AN135" s="9" t="str">
        <f t="shared" ca="1" si="118"/>
        <v>—</v>
      </c>
      <c r="AO135" s="15">
        <f t="shared" ca="1" si="119"/>
        <v>7</v>
      </c>
    </row>
    <row r="136" spans="1:41" x14ac:dyDescent="0.25">
      <c r="A136" s="4">
        <f t="shared" si="80"/>
        <v>78989</v>
      </c>
      <c r="B136" t="str">
        <f ca="1">TEXT(DATE(YEAR(Invoer!$A$5),1,1)+ROWS(B$2:B136)-1,"jjjjmmdd")</f>
        <v>19130515</v>
      </c>
      <c r="C136" s="72">
        <f t="shared" si="81"/>
        <v>800</v>
      </c>
      <c r="D136" s="16" t="str">
        <f t="shared" ca="1" si="82"/>
        <v>—</v>
      </c>
      <c r="E136" s="15">
        <f t="shared" ca="1" si="83"/>
        <v>7</v>
      </c>
      <c r="F136" s="73" t="str">
        <f t="shared" ca="1" si="84"/>
        <v>—</v>
      </c>
      <c r="G136" s="15">
        <f t="shared" ca="1" si="85"/>
        <v>7</v>
      </c>
      <c r="H136" s="73" t="str">
        <f t="shared" ca="1" si="86"/>
        <v>—</v>
      </c>
      <c r="I136" s="15">
        <f t="shared" ca="1" si="87"/>
        <v>7</v>
      </c>
      <c r="J136" s="73" t="str">
        <f t="shared" ca="1" si="88"/>
        <v>—</v>
      </c>
      <c r="K136" s="15">
        <f t="shared" ca="1" si="89"/>
        <v>7</v>
      </c>
      <c r="L136" s="16" t="str">
        <f t="shared" ca="1" si="90"/>
        <v>—</v>
      </c>
      <c r="M136" s="15">
        <f t="shared" ca="1" si="91"/>
        <v>7</v>
      </c>
      <c r="N136" s="16" t="str">
        <f t="shared" ca="1" si="92"/>
        <v>—</v>
      </c>
      <c r="O136" s="15">
        <f t="shared" ca="1" si="93"/>
        <v>7</v>
      </c>
      <c r="P136" s="16" t="str">
        <f t="shared" ca="1" si="94"/>
        <v>—</v>
      </c>
      <c r="Q136" s="15">
        <f t="shared" ca="1" si="95"/>
        <v>7</v>
      </c>
      <c r="R136" s="16" t="str">
        <f t="shared" ca="1" si="96"/>
        <v>—</v>
      </c>
      <c r="S136" s="15">
        <f t="shared" ca="1" si="97"/>
        <v>7</v>
      </c>
      <c r="T136" s="9" t="str">
        <f t="shared" ca="1" si="98"/>
        <v>—</v>
      </c>
      <c r="U136" s="15">
        <f t="shared" ca="1" si="99"/>
        <v>7</v>
      </c>
      <c r="V136" s="16" t="str">
        <f t="shared" ca="1" si="100"/>
        <v>—</v>
      </c>
      <c r="W136" s="15">
        <f t="shared" ca="1" si="101"/>
        <v>7</v>
      </c>
      <c r="X136" s="16" t="str">
        <f t="shared" ca="1" si="102"/>
        <v>—</v>
      </c>
      <c r="Y136" s="15">
        <f t="shared" ca="1" si="103"/>
        <v>7</v>
      </c>
      <c r="Z136" s="16" t="str">
        <f t="shared" ca="1" si="104"/>
        <v>—</v>
      </c>
      <c r="AA136" s="15">
        <f t="shared" ca="1" si="105"/>
        <v>7</v>
      </c>
      <c r="AB136" s="9" t="str">
        <f t="shared" ca="1" si="106"/>
        <v>—</v>
      </c>
      <c r="AC136" s="15">
        <f t="shared" ca="1" si="107"/>
        <v>7</v>
      </c>
      <c r="AD136" s="76" t="str">
        <f t="shared" ca="1" si="108"/>
        <v>—</v>
      </c>
      <c r="AE136" s="15">
        <f t="shared" ca="1" si="109"/>
        <v>7</v>
      </c>
      <c r="AF136" s="76" t="str">
        <f t="shared" ca="1" si="110"/>
        <v>—</v>
      </c>
      <c r="AG136" s="15">
        <f t="shared" ca="1" si="111"/>
        <v>7</v>
      </c>
      <c r="AH136" s="9" t="str">
        <f t="shared" ca="1" si="112"/>
        <v>—</v>
      </c>
      <c r="AI136" s="15">
        <f t="shared" ca="1" si="113"/>
        <v>7</v>
      </c>
      <c r="AJ136" s="26" t="str">
        <f t="shared" ca="1" si="114"/>
        <v>—</v>
      </c>
      <c r="AK136" s="15">
        <f t="shared" ca="1" si="115"/>
        <v>7</v>
      </c>
      <c r="AL136" s="9" t="str">
        <f t="shared" ca="1" si="116"/>
        <v>—</v>
      </c>
      <c r="AM136" s="15">
        <f t="shared" ca="1" si="117"/>
        <v>7</v>
      </c>
      <c r="AN136" s="9" t="str">
        <f t="shared" ca="1" si="118"/>
        <v>—</v>
      </c>
      <c r="AO136" s="15">
        <f t="shared" ca="1" si="119"/>
        <v>7</v>
      </c>
    </row>
    <row r="137" spans="1:41" x14ac:dyDescent="0.25">
      <c r="A137" s="4">
        <f t="shared" si="80"/>
        <v>78989</v>
      </c>
      <c r="B137" t="str">
        <f ca="1">TEXT(DATE(YEAR(Invoer!$A$5),1,1)+ROWS(B$2:B137)-1,"jjjjmmdd")</f>
        <v>19130516</v>
      </c>
      <c r="C137" s="72">
        <f t="shared" si="81"/>
        <v>800</v>
      </c>
      <c r="D137" s="16" t="str">
        <f t="shared" ca="1" si="82"/>
        <v>—</v>
      </c>
      <c r="E137" s="15">
        <f t="shared" ca="1" si="83"/>
        <v>7</v>
      </c>
      <c r="F137" s="73" t="str">
        <f t="shared" ca="1" si="84"/>
        <v>—</v>
      </c>
      <c r="G137" s="15">
        <f t="shared" ca="1" si="85"/>
        <v>7</v>
      </c>
      <c r="H137" s="73" t="str">
        <f t="shared" ca="1" si="86"/>
        <v>—</v>
      </c>
      <c r="I137" s="15">
        <f t="shared" ca="1" si="87"/>
        <v>7</v>
      </c>
      <c r="J137" s="73" t="str">
        <f t="shared" ca="1" si="88"/>
        <v>—</v>
      </c>
      <c r="K137" s="15">
        <f t="shared" ca="1" si="89"/>
        <v>7</v>
      </c>
      <c r="L137" s="16" t="str">
        <f t="shared" ca="1" si="90"/>
        <v>—</v>
      </c>
      <c r="M137" s="15">
        <f t="shared" ca="1" si="91"/>
        <v>7</v>
      </c>
      <c r="N137" s="16" t="str">
        <f t="shared" ca="1" si="92"/>
        <v>—</v>
      </c>
      <c r="O137" s="15">
        <f t="shared" ca="1" si="93"/>
        <v>7</v>
      </c>
      <c r="P137" s="16" t="str">
        <f t="shared" ca="1" si="94"/>
        <v>—</v>
      </c>
      <c r="Q137" s="15">
        <f t="shared" ca="1" si="95"/>
        <v>7</v>
      </c>
      <c r="R137" s="16" t="str">
        <f t="shared" ca="1" si="96"/>
        <v>—</v>
      </c>
      <c r="S137" s="15">
        <f t="shared" ca="1" si="97"/>
        <v>7</v>
      </c>
      <c r="T137" s="9" t="str">
        <f t="shared" ca="1" si="98"/>
        <v>—</v>
      </c>
      <c r="U137" s="15">
        <f t="shared" ca="1" si="99"/>
        <v>7</v>
      </c>
      <c r="V137" s="16" t="str">
        <f t="shared" ca="1" si="100"/>
        <v>—</v>
      </c>
      <c r="W137" s="15">
        <f t="shared" ca="1" si="101"/>
        <v>7</v>
      </c>
      <c r="X137" s="16" t="str">
        <f t="shared" ca="1" si="102"/>
        <v>—</v>
      </c>
      <c r="Y137" s="15">
        <f t="shared" ca="1" si="103"/>
        <v>7</v>
      </c>
      <c r="Z137" s="16" t="str">
        <f t="shared" ca="1" si="104"/>
        <v>—</v>
      </c>
      <c r="AA137" s="15">
        <f t="shared" ca="1" si="105"/>
        <v>7</v>
      </c>
      <c r="AB137" s="9" t="str">
        <f t="shared" ca="1" si="106"/>
        <v>—</v>
      </c>
      <c r="AC137" s="15">
        <f t="shared" ca="1" si="107"/>
        <v>7</v>
      </c>
      <c r="AD137" s="76" t="str">
        <f t="shared" ca="1" si="108"/>
        <v>—</v>
      </c>
      <c r="AE137" s="15">
        <f t="shared" ca="1" si="109"/>
        <v>7</v>
      </c>
      <c r="AF137" s="76" t="str">
        <f t="shared" ca="1" si="110"/>
        <v>—</v>
      </c>
      <c r="AG137" s="15">
        <f t="shared" ca="1" si="111"/>
        <v>7</v>
      </c>
      <c r="AH137" s="9" t="str">
        <f t="shared" ca="1" si="112"/>
        <v>—</v>
      </c>
      <c r="AI137" s="15">
        <f t="shared" ca="1" si="113"/>
        <v>7</v>
      </c>
      <c r="AJ137" s="26" t="str">
        <f t="shared" ca="1" si="114"/>
        <v>—</v>
      </c>
      <c r="AK137" s="15">
        <f t="shared" ca="1" si="115"/>
        <v>7</v>
      </c>
      <c r="AL137" s="9" t="str">
        <f t="shared" ca="1" si="116"/>
        <v>—</v>
      </c>
      <c r="AM137" s="15">
        <f t="shared" ca="1" si="117"/>
        <v>7</v>
      </c>
      <c r="AN137" s="9" t="str">
        <f t="shared" ca="1" si="118"/>
        <v>—</v>
      </c>
      <c r="AO137" s="15">
        <f t="shared" ca="1" si="119"/>
        <v>7</v>
      </c>
    </row>
    <row r="138" spans="1:41" x14ac:dyDescent="0.25">
      <c r="A138" s="4">
        <f t="shared" si="80"/>
        <v>78989</v>
      </c>
      <c r="B138" t="str">
        <f ca="1">TEXT(DATE(YEAR(Invoer!$A$5),1,1)+ROWS(B$2:B138)-1,"jjjjmmdd")</f>
        <v>19130517</v>
      </c>
      <c r="C138" s="72">
        <f t="shared" si="81"/>
        <v>800</v>
      </c>
      <c r="D138" s="16" t="str">
        <f t="shared" ca="1" si="82"/>
        <v>—</v>
      </c>
      <c r="E138" s="15">
        <f t="shared" ca="1" si="83"/>
        <v>7</v>
      </c>
      <c r="F138" s="73" t="str">
        <f t="shared" ca="1" si="84"/>
        <v>—</v>
      </c>
      <c r="G138" s="15">
        <f t="shared" ca="1" si="85"/>
        <v>7</v>
      </c>
      <c r="H138" s="73" t="str">
        <f t="shared" ca="1" si="86"/>
        <v>—</v>
      </c>
      <c r="I138" s="15">
        <f t="shared" ca="1" si="87"/>
        <v>7</v>
      </c>
      <c r="J138" s="73" t="str">
        <f t="shared" ca="1" si="88"/>
        <v>—</v>
      </c>
      <c r="K138" s="15">
        <f t="shared" ca="1" si="89"/>
        <v>7</v>
      </c>
      <c r="L138" s="16" t="str">
        <f t="shared" ca="1" si="90"/>
        <v>—</v>
      </c>
      <c r="M138" s="15">
        <f t="shared" ca="1" si="91"/>
        <v>7</v>
      </c>
      <c r="N138" s="16" t="str">
        <f t="shared" ca="1" si="92"/>
        <v>—</v>
      </c>
      <c r="O138" s="15">
        <f t="shared" ca="1" si="93"/>
        <v>7</v>
      </c>
      <c r="P138" s="16" t="str">
        <f t="shared" ca="1" si="94"/>
        <v>—</v>
      </c>
      <c r="Q138" s="15">
        <f t="shared" ca="1" si="95"/>
        <v>7</v>
      </c>
      <c r="R138" s="16" t="str">
        <f t="shared" ca="1" si="96"/>
        <v>—</v>
      </c>
      <c r="S138" s="15">
        <f t="shared" ca="1" si="97"/>
        <v>7</v>
      </c>
      <c r="T138" s="9" t="str">
        <f t="shared" ca="1" si="98"/>
        <v>—</v>
      </c>
      <c r="U138" s="15">
        <f t="shared" ca="1" si="99"/>
        <v>7</v>
      </c>
      <c r="V138" s="16" t="str">
        <f t="shared" ca="1" si="100"/>
        <v>—</v>
      </c>
      <c r="W138" s="15">
        <f t="shared" ca="1" si="101"/>
        <v>7</v>
      </c>
      <c r="X138" s="16" t="str">
        <f t="shared" ca="1" si="102"/>
        <v>—</v>
      </c>
      <c r="Y138" s="15">
        <f t="shared" ca="1" si="103"/>
        <v>7</v>
      </c>
      <c r="Z138" s="16" t="str">
        <f t="shared" ca="1" si="104"/>
        <v>—</v>
      </c>
      <c r="AA138" s="15">
        <f t="shared" ca="1" si="105"/>
        <v>7</v>
      </c>
      <c r="AB138" s="9" t="str">
        <f t="shared" ca="1" si="106"/>
        <v>—</v>
      </c>
      <c r="AC138" s="15">
        <f t="shared" ca="1" si="107"/>
        <v>7</v>
      </c>
      <c r="AD138" s="76" t="str">
        <f t="shared" ca="1" si="108"/>
        <v>—</v>
      </c>
      <c r="AE138" s="15">
        <f t="shared" ca="1" si="109"/>
        <v>7</v>
      </c>
      <c r="AF138" s="76" t="str">
        <f t="shared" ca="1" si="110"/>
        <v>—</v>
      </c>
      <c r="AG138" s="15">
        <f t="shared" ca="1" si="111"/>
        <v>7</v>
      </c>
      <c r="AH138" s="9" t="str">
        <f t="shared" ca="1" si="112"/>
        <v>—</v>
      </c>
      <c r="AI138" s="15">
        <f t="shared" ca="1" si="113"/>
        <v>7</v>
      </c>
      <c r="AJ138" s="26" t="str">
        <f t="shared" ca="1" si="114"/>
        <v>—</v>
      </c>
      <c r="AK138" s="15">
        <f t="shared" ca="1" si="115"/>
        <v>7</v>
      </c>
      <c r="AL138" s="9" t="str">
        <f t="shared" ca="1" si="116"/>
        <v>—</v>
      </c>
      <c r="AM138" s="15">
        <f t="shared" ca="1" si="117"/>
        <v>7</v>
      </c>
      <c r="AN138" s="9" t="str">
        <f t="shared" ca="1" si="118"/>
        <v>—</v>
      </c>
      <c r="AO138" s="15">
        <f t="shared" ca="1" si="119"/>
        <v>7</v>
      </c>
    </row>
    <row r="139" spans="1:41" x14ac:dyDescent="0.25">
      <c r="A139" s="4">
        <f t="shared" si="80"/>
        <v>78989</v>
      </c>
      <c r="B139" t="str">
        <f ca="1">TEXT(DATE(YEAR(Invoer!$A$5),1,1)+ROWS(B$2:B139)-1,"jjjjmmdd")</f>
        <v>19130518</v>
      </c>
      <c r="C139" s="72">
        <f t="shared" si="81"/>
        <v>800</v>
      </c>
      <c r="D139" s="16" t="str">
        <f t="shared" ca="1" si="82"/>
        <v>—</v>
      </c>
      <c r="E139" s="15">
        <f t="shared" ca="1" si="83"/>
        <v>7</v>
      </c>
      <c r="F139" s="73" t="str">
        <f t="shared" ca="1" si="84"/>
        <v>—</v>
      </c>
      <c r="G139" s="15">
        <f t="shared" ca="1" si="85"/>
        <v>7</v>
      </c>
      <c r="H139" s="73" t="str">
        <f t="shared" ca="1" si="86"/>
        <v>—</v>
      </c>
      <c r="I139" s="15">
        <f t="shared" ca="1" si="87"/>
        <v>7</v>
      </c>
      <c r="J139" s="73" t="str">
        <f t="shared" ca="1" si="88"/>
        <v>—</v>
      </c>
      <c r="K139" s="15">
        <f t="shared" ca="1" si="89"/>
        <v>7</v>
      </c>
      <c r="L139" s="16" t="str">
        <f t="shared" ca="1" si="90"/>
        <v>—</v>
      </c>
      <c r="M139" s="15">
        <f t="shared" ca="1" si="91"/>
        <v>7</v>
      </c>
      <c r="N139" s="16" t="str">
        <f t="shared" ca="1" si="92"/>
        <v>—</v>
      </c>
      <c r="O139" s="15">
        <f t="shared" ca="1" si="93"/>
        <v>7</v>
      </c>
      <c r="P139" s="16" t="str">
        <f t="shared" ca="1" si="94"/>
        <v>—</v>
      </c>
      <c r="Q139" s="15">
        <f t="shared" ca="1" si="95"/>
        <v>7</v>
      </c>
      <c r="R139" s="16" t="str">
        <f t="shared" ca="1" si="96"/>
        <v>—</v>
      </c>
      <c r="S139" s="15">
        <f t="shared" ca="1" si="97"/>
        <v>7</v>
      </c>
      <c r="T139" s="9" t="str">
        <f t="shared" ca="1" si="98"/>
        <v>—</v>
      </c>
      <c r="U139" s="15">
        <f t="shared" ca="1" si="99"/>
        <v>7</v>
      </c>
      <c r="V139" s="16" t="str">
        <f t="shared" ca="1" si="100"/>
        <v>—</v>
      </c>
      <c r="W139" s="15">
        <f t="shared" ca="1" si="101"/>
        <v>7</v>
      </c>
      <c r="X139" s="16" t="str">
        <f t="shared" ca="1" si="102"/>
        <v>—</v>
      </c>
      <c r="Y139" s="15">
        <f t="shared" ca="1" si="103"/>
        <v>7</v>
      </c>
      <c r="Z139" s="16" t="str">
        <f t="shared" ca="1" si="104"/>
        <v>—</v>
      </c>
      <c r="AA139" s="15">
        <f t="shared" ca="1" si="105"/>
        <v>7</v>
      </c>
      <c r="AB139" s="9" t="str">
        <f t="shared" ca="1" si="106"/>
        <v>—</v>
      </c>
      <c r="AC139" s="15">
        <f t="shared" ca="1" si="107"/>
        <v>7</v>
      </c>
      <c r="AD139" s="76" t="str">
        <f t="shared" ca="1" si="108"/>
        <v>—</v>
      </c>
      <c r="AE139" s="15">
        <f t="shared" ca="1" si="109"/>
        <v>7</v>
      </c>
      <c r="AF139" s="76" t="str">
        <f t="shared" ca="1" si="110"/>
        <v>—</v>
      </c>
      <c r="AG139" s="15">
        <f t="shared" ca="1" si="111"/>
        <v>7</v>
      </c>
      <c r="AH139" s="9" t="str">
        <f t="shared" ca="1" si="112"/>
        <v>—</v>
      </c>
      <c r="AI139" s="15">
        <f t="shared" ca="1" si="113"/>
        <v>7</v>
      </c>
      <c r="AJ139" s="26" t="str">
        <f t="shared" ca="1" si="114"/>
        <v>—</v>
      </c>
      <c r="AK139" s="15">
        <f t="shared" ca="1" si="115"/>
        <v>7</v>
      </c>
      <c r="AL139" s="9" t="str">
        <f t="shared" ca="1" si="116"/>
        <v>—</v>
      </c>
      <c r="AM139" s="15">
        <f t="shared" ca="1" si="117"/>
        <v>7</v>
      </c>
      <c r="AN139" s="9" t="str">
        <f t="shared" ca="1" si="118"/>
        <v>—</v>
      </c>
      <c r="AO139" s="15">
        <f t="shared" ca="1" si="119"/>
        <v>7</v>
      </c>
    </row>
    <row r="140" spans="1:41" x14ac:dyDescent="0.25">
      <c r="A140" s="4">
        <f t="shared" si="80"/>
        <v>78989</v>
      </c>
      <c r="B140" t="str">
        <f ca="1">TEXT(DATE(YEAR(Invoer!$A$5),1,1)+ROWS(B$2:B140)-1,"jjjjmmdd")</f>
        <v>19130519</v>
      </c>
      <c r="C140" s="72">
        <f t="shared" si="81"/>
        <v>800</v>
      </c>
      <c r="D140" s="16" t="str">
        <f t="shared" ca="1" si="82"/>
        <v>—</v>
      </c>
      <c r="E140" s="15">
        <f t="shared" ca="1" si="83"/>
        <v>7</v>
      </c>
      <c r="F140" s="73" t="str">
        <f t="shared" ca="1" si="84"/>
        <v>—</v>
      </c>
      <c r="G140" s="15">
        <f t="shared" ca="1" si="85"/>
        <v>7</v>
      </c>
      <c r="H140" s="73" t="str">
        <f t="shared" ca="1" si="86"/>
        <v>—</v>
      </c>
      <c r="I140" s="15">
        <f t="shared" ca="1" si="87"/>
        <v>7</v>
      </c>
      <c r="J140" s="73" t="str">
        <f t="shared" ca="1" si="88"/>
        <v>—</v>
      </c>
      <c r="K140" s="15">
        <f t="shared" ca="1" si="89"/>
        <v>7</v>
      </c>
      <c r="L140" s="16" t="str">
        <f t="shared" ca="1" si="90"/>
        <v>—</v>
      </c>
      <c r="M140" s="15">
        <f t="shared" ca="1" si="91"/>
        <v>7</v>
      </c>
      <c r="N140" s="16" t="str">
        <f t="shared" ca="1" si="92"/>
        <v>—</v>
      </c>
      <c r="O140" s="15">
        <f t="shared" ca="1" si="93"/>
        <v>7</v>
      </c>
      <c r="P140" s="16" t="str">
        <f t="shared" ca="1" si="94"/>
        <v>—</v>
      </c>
      <c r="Q140" s="15">
        <f t="shared" ca="1" si="95"/>
        <v>7</v>
      </c>
      <c r="R140" s="16" t="str">
        <f t="shared" ca="1" si="96"/>
        <v>—</v>
      </c>
      <c r="S140" s="15">
        <f t="shared" ca="1" si="97"/>
        <v>7</v>
      </c>
      <c r="T140" s="9" t="str">
        <f t="shared" ca="1" si="98"/>
        <v>—</v>
      </c>
      <c r="U140" s="15">
        <f t="shared" ca="1" si="99"/>
        <v>7</v>
      </c>
      <c r="V140" s="16" t="str">
        <f t="shared" ca="1" si="100"/>
        <v>—</v>
      </c>
      <c r="W140" s="15">
        <f t="shared" ca="1" si="101"/>
        <v>7</v>
      </c>
      <c r="X140" s="16" t="str">
        <f t="shared" ca="1" si="102"/>
        <v>—</v>
      </c>
      <c r="Y140" s="15">
        <f t="shared" ca="1" si="103"/>
        <v>7</v>
      </c>
      <c r="Z140" s="16" t="str">
        <f t="shared" ca="1" si="104"/>
        <v>—</v>
      </c>
      <c r="AA140" s="15">
        <f t="shared" ca="1" si="105"/>
        <v>7</v>
      </c>
      <c r="AB140" s="9" t="str">
        <f t="shared" ca="1" si="106"/>
        <v>—</v>
      </c>
      <c r="AC140" s="15">
        <f t="shared" ca="1" si="107"/>
        <v>7</v>
      </c>
      <c r="AD140" s="76" t="str">
        <f t="shared" ca="1" si="108"/>
        <v>—</v>
      </c>
      <c r="AE140" s="15">
        <f t="shared" ca="1" si="109"/>
        <v>7</v>
      </c>
      <c r="AF140" s="76" t="str">
        <f t="shared" ca="1" si="110"/>
        <v>—</v>
      </c>
      <c r="AG140" s="15">
        <f t="shared" ca="1" si="111"/>
        <v>7</v>
      </c>
      <c r="AH140" s="9" t="str">
        <f t="shared" ca="1" si="112"/>
        <v>—</v>
      </c>
      <c r="AI140" s="15">
        <f t="shared" ca="1" si="113"/>
        <v>7</v>
      </c>
      <c r="AJ140" s="26" t="str">
        <f t="shared" ca="1" si="114"/>
        <v>—</v>
      </c>
      <c r="AK140" s="15">
        <f t="shared" ca="1" si="115"/>
        <v>7</v>
      </c>
      <c r="AL140" s="9" t="str">
        <f t="shared" ca="1" si="116"/>
        <v>—</v>
      </c>
      <c r="AM140" s="15">
        <f t="shared" ca="1" si="117"/>
        <v>7</v>
      </c>
      <c r="AN140" s="9" t="str">
        <f t="shared" ca="1" si="118"/>
        <v>—</v>
      </c>
      <c r="AO140" s="15">
        <f t="shared" ca="1" si="119"/>
        <v>7</v>
      </c>
    </row>
    <row r="141" spans="1:41" x14ac:dyDescent="0.25">
      <c r="A141" s="4">
        <f t="shared" si="80"/>
        <v>78989</v>
      </c>
      <c r="B141" t="str">
        <f ca="1">TEXT(DATE(YEAR(Invoer!$A$5),1,1)+ROWS(B$2:B141)-1,"jjjjmmdd")</f>
        <v>19130520</v>
      </c>
      <c r="C141" s="72">
        <f t="shared" si="81"/>
        <v>800</v>
      </c>
      <c r="D141" s="16" t="str">
        <f t="shared" ca="1" si="82"/>
        <v>—</v>
      </c>
      <c r="E141" s="15">
        <f t="shared" ca="1" si="83"/>
        <v>7</v>
      </c>
      <c r="F141" s="73" t="str">
        <f t="shared" ca="1" si="84"/>
        <v>—</v>
      </c>
      <c r="G141" s="15">
        <f t="shared" ca="1" si="85"/>
        <v>7</v>
      </c>
      <c r="H141" s="73" t="str">
        <f t="shared" ca="1" si="86"/>
        <v>—</v>
      </c>
      <c r="I141" s="15">
        <f t="shared" ca="1" si="87"/>
        <v>7</v>
      </c>
      <c r="J141" s="73" t="str">
        <f t="shared" ca="1" si="88"/>
        <v>—</v>
      </c>
      <c r="K141" s="15">
        <f t="shared" ca="1" si="89"/>
        <v>7</v>
      </c>
      <c r="L141" s="16" t="str">
        <f t="shared" ca="1" si="90"/>
        <v>—</v>
      </c>
      <c r="M141" s="15">
        <f t="shared" ca="1" si="91"/>
        <v>7</v>
      </c>
      <c r="N141" s="16" t="str">
        <f t="shared" ca="1" si="92"/>
        <v>—</v>
      </c>
      <c r="O141" s="15">
        <f t="shared" ca="1" si="93"/>
        <v>7</v>
      </c>
      <c r="P141" s="16" t="str">
        <f t="shared" ca="1" si="94"/>
        <v>—</v>
      </c>
      <c r="Q141" s="15">
        <f t="shared" ca="1" si="95"/>
        <v>7</v>
      </c>
      <c r="R141" s="16" t="str">
        <f t="shared" ca="1" si="96"/>
        <v>—</v>
      </c>
      <c r="S141" s="15">
        <f t="shared" ca="1" si="97"/>
        <v>7</v>
      </c>
      <c r="T141" s="9" t="str">
        <f t="shared" ca="1" si="98"/>
        <v>—</v>
      </c>
      <c r="U141" s="15">
        <f t="shared" ca="1" si="99"/>
        <v>7</v>
      </c>
      <c r="V141" s="16" t="str">
        <f t="shared" ca="1" si="100"/>
        <v>—</v>
      </c>
      <c r="W141" s="15">
        <f t="shared" ca="1" si="101"/>
        <v>7</v>
      </c>
      <c r="X141" s="16" t="str">
        <f t="shared" ca="1" si="102"/>
        <v>—</v>
      </c>
      <c r="Y141" s="15">
        <f t="shared" ca="1" si="103"/>
        <v>7</v>
      </c>
      <c r="Z141" s="16" t="str">
        <f t="shared" ca="1" si="104"/>
        <v>—</v>
      </c>
      <c r="AA141" s="15">
        <f t="shared" ca="1" si="105"/>
        <v>7</v>
      </c>
      <c r="AB141" s="9" t="str">
        <f t="shared" ca="1" si="106"/>
        <v>—</v>
      </c>
      <c r="AC141" s="15">
        <f t="shared" ca="1" si="107"/>
        <v>7</v>
      </c>
      <c r="AD141" s="76" t="str">
        <f t="shared" ca="1" si="108"/>
        <v>—</v>
      </c>
      <c r="AE141" s="15">
        <f t="shared" ca="1" si="109"/>
        <v>7</v>
      </c>
      <c r="AF141" s="76" t="str">
        <f t="shared" ca="1" si="110"/>
        <v>—</v>
      </c>
      <c r="AG141" s="15">
        <f t="shared" ca="1" si="111"/>
        <v>7</v>
      </c>
      <c r="AH141" s="9" t="str">
        <f t="shared" ca="1" si="112"/>
        <v>—</v>
      </c>
      <c r="AI141" s="15">
        <f t="shared" ca="1" si="113"/>
        <v>7</v>
      </c>
      <c r="AJ141" s="26" t="str">
        <f t="shared" ca="1" si="114"/>
        <v>—</v>
      </c>
      <c r="AK141" s="15">
        <f t="shared" ca="1" si="115"/>
        <v>7</v>
      </c>
      <c r="AL141" s="9" t="str">
        <f t="shared" ca="1" si="116"/>
        <v>—</v>
      </c>
      <c r="AM141" s="15">
        <f t="shared" ca="1" si="117"/>
        <v>7</v>
      </c>
      <c r="AN141" s="9" t="str">
        <f t="shared" ca="1" si="118"/>
        <v>—</v>
      </c>
      <c r="AO141" s="15">
        <f t="shared" ca="1" si="119"/>
        <v>7</v>
      </c>
    </row>
    <row r="142" spans="1:41" x14ac:dyDescent="0.25">
      <c r="A142" s="4">
        <f t="shared" si="80"/>
        <v>78989</v>
      </c>
      <c r="B142" t="str">
        <f ca="1">TEXT(DATE(YEAR(Invoer!$A$5),1,1)+ROWS(B$2:B142)-1,"jjjjmmdd")</f>
        <v>19130521</v>
      </c>
      <c r="C142" s="72">
        <f t="shared" si="81"/>
        <v>800</v>
      </c>
      <c r="D142" s="16" t="str">
        <f t="shared" ca="1" si="82"/>
        <v>—</v>
      </c>
      <c r="E142" s="15">
        <f t="shared" ca="1" si="83"/>
        <v>7</v>
      </c>
      <c r="F142" s="73" t="str">
        <f t="shared" ca="1" si="84"/>
        <v>—</v>
      </c>
      <c r="G142" s="15">
        <f t="shared" ca="1" si="85"/>
        <v>7</v>
      </c>
      <c r="H142" s="73" t="str">
        <f t="shared" ca="1" si="86"/>
        <v>—</v>
      </c>
      <c r="I142" s="15">
        <f t="shared" ca="1" si="87"/>
        <v>7</v>
      </c>
      <c r="J142" s="73" t="str">
        <f t="shared" ca="1" si="88"/>
        <v>—</v>
      </c>
      <c r="K142" s="15">
        <f t="shared" ca="1" si="89"/>
        <v>7</v>
      </c>
      <c r="L142" s="16" t="str">
        <f t="shared" ca="1" si="90"/>
        <v>—</v>
      </c>
      <c r="M142" s="15">
        <f t="shared" ca="1" si="91"/>
        <v>7</v>
      </c>
      <c r="N142" s="16" t="str">
        <f t="shared" ca="1" si="92"/>
        <v>—</v>
      </c>
      <c r="O142" s="15">
        <f t="shared" ca="1" si="93"/>
        <v>7</v>
      </c>
      <c r="P142" s="16" t="str">
        <f t="shared" ca="1" si="94"/>
        <v>—</v>
      </c>
      <c r="Q142" s="15">
        <f t="shared" ca="1" si="95"/>
        <v>7</v>
      </c>
      <c r="R142" s="16" t="str">
        <f t="shared" ca="1" si="96"/>
        <v>—</v>
      </c>
      <c r="S142" s="15">
        <f t="shared" ca="1" si="97"/>
        <v>7</v>
      </c>
      <c r="T142" s="9" t="str">
        <f t="shared" ca="1" si="98"/>
        <v>—</v>
      </c>
      <c r="U142" s="15">
        <f t="shared" ca="1" si="99"/>
        <v>7</v>
      </c>
      <c r="V142" s="16" t="str">
        <f t="shared" ca="1" si="100"/>
        <v>—</v>
      </c>
      <c r="W142" s="15">
        <f t="shared" ca="1" si="101"/>
        <v>7</v>
      </c>
      <c r="X142" s="16" t="str">
        <f t="shared" ca="1" si="102"/>
        <v>—</v>
      </c>
      <c r="Y142" s="15">
        <f t="shared" ca="1" si="103"/>
        <v>7</v>
      </c>
      <c r="Z142" s="16" t="str">
        <f t="shared" ca="1" si="104"/>
        <v>—</v>
      </c>
      <c r="AA142" s="15">
        <f t="shared" ca="1" si="105"/>
        <v>7</v>
      </c>
      <c r="AB142" s="9" t="str">
        <f t="shared" ca="1" si="106"/>
        <v>—</v>
      </c>
      <c r="AC142" s="15">
        <f t="shared" ca="1" si="107"/>
        <v>7</v>
      </c>
      <c r="AD142" s="76" t="str">
        <f t="shared" ca="1" si="108"/>
        <v>—</v>
      </c>
      <c r="AE142" s="15">
        <f t="shared" ca="1" si="109"/>
        <v>7</v>
      </c>
      <c r="AF142" s="76" t="str">
        <f t="shared" ca="1" si="110"/>
        <v>—</v>
      </c>
      <c r="AG142" s="15">
        <f t="shared" ca="1" si="111"/>
        <v>7</v>
      </c>
      <c r="AH142" s="9" t="str">
        <f t="shared" ca="1" si="112"/>
        <v>—</v>
      </c>
      <c r="AI142" s="15">
        <f t="shared" ca="1" si="113"/>
        <v>7</v>
      </c>
      <c r="AJ142" s="26" t="str">
        <f t="shared" ca="1" si="114"/>
        <v>—</v>
      </c>
      <c r="AK142" s="15">
        <f t="shared" ca="1" si="115"/>
        <v>7</v>
      </c>
      <c r="AL142" s="9" t="str">
        <f t="shared" ca="1" si="116"/>
        <v>—</v>
      </c>
      <c r="AM142" s="15">
        <f t="shared" ca="1" si="117"/>
        <v>7</v>
      </c>
      <c r="AN142" s="9" t="str">
        <f t="shared" ca="1" si="118"/>
        <v>—</v>
      </c>
      <c r="AO142" s="15">
        <f t="shared" ca="1" si="119"/>
        <v>7</v>
      </c>
    </row>
    <row r="143" spans="1:41" x14ac:dyDescent="0.25">
      <c r="A143" s="4">
        <f t="shared" si="80"/>
        <v>78989</v>
      </c>
      <c r="B143" t="str">
        <f ca="1">TEXT(DATE(YEAR(Invoer!$A$5),1,1)+ROWS(B$2:B143)-1,"jjjjmmdd")</f>
        <v>19130522</v>
      </c>
      <c r="C143" s="72">
        <f t="shared" si="81"/>
        <v>800</v>
      </c>
      <c r="D143" s="16" t="str">
        <f t="shared" ca="1" si="82"/>
        <v>—</v>
      </c>
      <c r="E143" s="15">
        <f t="shared" ca="1" si="83"/>
        <v>7</v>
      </c>
      <c r="F143" s="73" t="str">
        <f t="shared" ca="1" si="84"/>
        <v>—</v>
      </c>
      <c r="G143" s="15">
        <f t="shared" ca="1" si="85"/>
        <v>7</v>
      </c>
      <c r="H143" s="73" t="str">
        <f t="shared" ca="1" si="86"/>
        <v>—</v>
      </c>
      <c r="I143" s="15">
        <f t="shared" ca="1" si="87"/>
        <v>7</v>
      </c>
      <c r="J143" s="73" t="str">
        <f t="shared" ca="1" si="88"/>
        <v>—</v>
      </c>
      <c r="K143" s="15">
        <f t="shared" ca="1" si="89"/>
        <v>7</v>
      </c>
      <c r="L143" s="16" t="str">
        <f t="shared" ca="1" si="90"/>
        <v>—</v>
      </c>
      <c r="M143" s="15">
        <f t="shared" ca="1" si="91"/>
        <v>7</v>
      </c>
      <c r="N143" s="16" t="str">
        <f t="shared" ca="1" si="92"/>
        <v>—</v>
      </c>
      <c r="O143" s="15">
        <f t="shared" ca="1" si="93"/>
        <v>7</v>
      </c>
      <c r="P143" s="16" t="str">
        <f t="shared" ca="1" si="94"/>
        <v>—</v>
      </c>
      <c r="Q143" s="15">
        <f t="shared" ca="1" si="95"/>
        <v>7</v>
      </c>
      <c r="R143" s="16" t="str">
        <f t="shared" ca="1" si="96"/>
        <v>—</v>
      </c>
      <c r="S143" s="15">
        <f t="shared" ca="1" si="97"/>
        <v>7</v>
      </c>
      <c r="T143" s="9" t="str">
        <f t="shared" ca="1" si="98"/>
        <v>—</v>
      </c>
      <c r="U143" s="15">
        <f t="shared" ca="1" si="99"/>
        <v>7</v>
      </c>
      <c r="V143" s="16" t="str">
        <f t="shared" ca="1" si="100"/>
        <v>—</v>
      </c>
      <c r="W143" s="15">
        <f t="shared" ca="1" si="101"/>
        <v>7</v>
      </c>
      <c r="X143" s="16" t="str">
        <f t="shared" ca="1" si="102"/>
        <v>—</v>
      </c>
      <c r="Y143" s="15">
        <f t="shared" ca="1" si="103"/>
        <v>7</v>
      </c>
      <c r="Z143" s="16" t="str">
        <f t="shared" ca="1" si="104"/>
        <v>—</v>
      </c>
      <c r="AA143" s="15">
        <f t="shared" ca="1" si="105"/>
        <v>7</v>
      </c>
      <c r="AB143" s="9" t="str">
        <f t="shared" ca="1" si="106"/>
        <v>—</v>
      </c>
      <c r="AC143" s="15">
        <f t="shared" ca="1" si="107"/>
        <v>7</v>
      </c>
      <c r="AD143" s="76" t="str">
        <f t="shared" ca="1" si="108"/>
        <v>—</v>
      </c>
      <c r="AE143" s="15">
        <f t="shared" ca="1" si="109"/>
        <v>7</v>
      </c>
      <c r="AF143" s="76" t="str">
        <f t="shared" ca="1" si="110"/>
        <v>—</v>
      </c>
      <c r="AG143" s="15">
        <f t="shared" ca="1" si="111"/>
        <v>7</v>
      </c>
      <c r="AH143" s="9" t="str">
        <f t="shared" ca="1" si="112"/>
        <v>—</v>
      </c>
      <c r="AI143" s="15">
        <f t="shared" ca="1" si="113"/>
        <v>7</v>
      </c>
      <c r="AJ143" s="26" t="str">
        <f t="shared" ca="1" si="114"/>
        <v>—</v>
      </c>
      <c r="AK143" s="15">
        <f t="shared" ca="1" si="115"/>
        <v>7</v>
      </c>
      <c r="AL143" s="9" t="str">
        <f t="shared" ca="1" si="116"/>
        <v>—</v>
      </c>
      <c r="AM143" s="15">
        <f t="shared" ca="1" si="117"/>
        <v>7</v>
      </c>
      <c r="AN143" s="9" t="str">
        <f t="shared" ca="1" si="118"/>
        <v>—</v>
      </c>
      <c r="AO143" s="15">
        <f t="shared" ca="1" si="119"/>
        <v>7</v>
      </c>
    </row>
    <row r="144" spans="1:41" x14ac:dyDescent="0.25">
      <c r="A144" s="4">
        <f t="shared" si="80"/>
        <v>78989</v>
      </c>
      <c r="B144" t="str">
        <f ca="1">TEXT(DATE(YEAR(Invoer!$A$5),1,1)+ROWS(B$2:B144)-1,"jjjjmmdd")</f>
        <v>19130523</v>
      </c>
      <c r="C144" s="72">
        <f t="shared" si="81"/>
        <v>800</v>
      </c>
      <c r="D144" s="16" t="str">
        <f t="shared" ca="1" si="82"/>
        <v>—</v>
      </c>
      <c r="E144" s="15">
        <f t="shared" ca="1" si="83"/>
        <v>7</v>
      </c>
      <c r="F144" s="73" t="str">
        <f t="shared" ca="1" si="84"/>
        <v>—</v>
      </c>
      <c r="G144" s="15">
        <f t="shared" ca="1" si="85"/>
        <v>7</v>
      </c>
      <c r="H144" s="73" t="str">
        <f t="shared" ca="1" si="86"/>
        <v>—</v>
      </c>
      <c r="I144" s="15">
        <f t="shared" ca="1" si="87"/>
        <v>7</v>
      </c>
      <c r="J144" s="73" t="str">
        <f t="shared" ca="1" si="88"/>
        <v>—</v>
      </c>
      <c r="K144" s="15">
        <f t="shared" ca="1" si="89"/>
        <v>7</v>
      </c>
      <c r="L144" s="16" t="str">
        <f t="shared" ca="1" si="90"/>
        <v>—</v>
      </c>
      <c r="M144" s="15">
        <f t="shared" ca="1" si="91"/>
        <v>7</v>
      </c>
      <c r="N144" s="16" t="str">
        <f t="shared" ca="1" si="92"/>
        <v>—</v>
      </c>
      <c r="O144" s="15">
        <f t="shared" ca="1" si="93"/>
        <v>7</v>
      </c>
      <c r="P144" s="16" t="str">
        <f t="shared" ca="1" si="94"/>
        <v>—</v>
      </c>
      <c r="Q144" s="15">
        <f t="shared" ca="1" si="95"/>
        <v>7</v>
      </c>
      <c r="R144" s="16" t="str">
        <f t="shared" ca="1" si="96"/>
        <v>—</v>
      </c>
      <c r="S144" s="15">
        <f t="shared" ca="1" si="97"/>
        <v>7</v>
      </c>
      <c r="T144" s="9" t="str">
        <f t="shared" ca="1" si="98"/>
        <v>—</v>
      </c>
      <c r="U144" s="15">
        <f t="shared" ca="1" si="99"/>
        <v>7</v>
      </c>
      <c r="V144" s="16" t="str">
        <f t="shared" ca="1" si="100"/>
        <v>—</v>
      </c>
      <c r="W144" s="15">
        <f t="shared" ca="1" si="101"/>
        <v>7</v>
      </c>
      <c r="X144" s="16" t="str">
        <f t="shared" ca="1" si="102"/>
        <v>—</v>
      </c>
      <c r="Y144" s="15">
        <f t="shared" ca="1" si="103"/>
        <v>7</v>
      </c>
      <c r="Z144" s="16" t="str">
        <f t="shared" ca="1" si="104"/>
        <v>—</v>
      </c>
      <c r="AA144" s="15">
        <f t="shared" ca="1" si="105"/>
        <v>7</v>
      </c>
      <c r="AB144" s="9" t="str">
        <f t="shared" ca="1" si="106"/>
        <v>—</v>
      </c>
      <c r="AC144" s="15">
        <f t="shared" ca="1" si="107"/>
        <v>7</v>
      </c>
      <c r="AD144" s="76" t="str">
        <f t="shared" ca="1" si="108"/>
        <v>—</v>
      </c>
      <c r="AE144" s="15">
        <f t="shared" ca="1" si="109"/>
        <v>7</v>
      </c>
      <c r="AF144" s="76" t="str">
        <f t="shared" ca="1" si="110"/>
        <v>—</v>
      </c>
      <c r="AG144" s="15">
        <f t="shared" ca="1" si="111"/>
        <v>7</v>
      </c>
      <c r="AH144" s="9" t="str">
        <f t="shared" ca="1" si="112"/>
        <v>—</v>
      </c>
      <c r="AI144" s="15">
        <f t="shared" ca="1" si="113"/>
        <v>7</v>
      </c>
      <c r="AJ144" s="26" t="str">
        <f t="shared" ca="1" si="114"/>
        <v>—</v>
      </c>
      <c r="AK144" s="15">
        <f t="shared" ca="1" si="115"/>
        <v>7</v>
      </c>
      <c r="AL144" s="9" t="str">
        <f t="shared" ca="1" si="116"/>
        <v>—</v>
      </c>
      <c r="AM144" s="15">
        <f t="shared" ca="1" si="117"/>
        <v>7</v>
      </c>
      <c r="AN144" s="9" t="str">
        <f t="shared" ca="1" si="118"/>
        <v>—</v>
      </c>
      <c r="AO144" s="15">
        <f t="shared" ca="1" si="119"/>
        <v>7</v>
      </c>
    </row>
    <row r="145" spans="1:41" x14ac:dyDescent="0.25">
      <c r="A145" s="4">
        <f t="shared" si="80"/>
        <v>78989</v>
      </c>
      <c r="B145" t="str">
        <f ca="1">TEXT(DATE(YEAR(Invoer!$A$5),1,1)+ROWS(B$2:B145)-1,"jjjjmmdd")</f>
        <v>19130524</v>
      </c>
      <c r="C145" s="72">
        <f t="shared" si="81"/>
        <v>800</v>
      </c>
      <c r="D145" s="16" t="str">
        <f t="shared" ca="1" si="82"/>
        <v>—</v>
      </c>
      <c r="E145" s="15">
        <f t="shared" ca="1" si="83"/>
        <v>7</v>
      </c>
      <c r="F145" s="73" t="str">
        <f t="shared" ca="1" si="84"/>
        <v>—</v>
      </c>
      <c r="G145" s="15">
        <f t="shared" ca="1" si="85"/>
        <v>7</v>
      </c>
      <c r="H145" s="73" t="str">
        <f t="shared" ca="1" si="86"/>
        <v>—</v>
      </c>
      <c r="I145" s="15">
        <f t="shared" ca="1" si="87"/>
        <v>7</v>
      </c>
      <c r="J145" s="73" t="str">
        <f t="shared" ca="1" si="88"/>
        <v>—</v>
      </c>
      <c r="K145" s="15">
        <f t="shared" ca="1" si="89"/>
        <v>7</v>
      </c>
      <c r="L145" s="16" t="str">
        <f t="shared" ca="1" si="90"/>
        <v>—</v>
      </c>
      <c r="M145" s="15">
        <f t="shared" ca="1" si="91"/>
        <v>7</v>
      </c>
      <c r="N145" s="16" t="str">
        <f t="shared" ca="1" si="92"/>
        <v>—</v>
      </c>
      <c r="O145" s="15">
        <f t="shared" ca="1" si="93"/>
        <v>7</v>
      </c>
      <c r="P145" s="16" t="str">
        <f t="shared" ca="1" si="94"/>
        <v>—</v>
      </c>
      <c r="Q145" s="15">
        <f t="shared" ca="1" si="95"/>
        <v>7</v>
      </c>
      <c r="R145" s="16" t="str">
        <f t="shared" ca="1" si="96"/>
        <v>—</v>
      </c>
      <c r="S145" s="15">
        <f t="shared" ca="1" si="97"/>
        <v>7</v>
      </c>
      <c r="T145" s="9" t="str">
        <f t="shared" ca="1" si="98"/>
        <v>—</v>
      </c>
      <c r="U145" s="15">
        <f t="shared" ca="1" si="99"/>
        <v>7</v>
      </c>
      <c r="V145" s="16" t="str">
        <f t="shared" ca="1" si="100"/>
        <v>—</v>
      </c>
      <c r="W145" s="15">
        <f t="shared" ca="1" si="101"/>
        <v>7</v>
      </c>
      <c r="X145" s="16" t="str">
        <f t="shared" ca="1" si="102"/>
        <v>—</v>
      </c>
      <c r="Y145" s="15">
        <f t="shared" ca="1" si="103"/>
        <v>7</v>
      </c>
      <c r="Z145" s="16" t="str">
        <f t="shared" ca="1" si="104"/>
        <v>—</v>
      </c>
      <c r="AA145" s="15">
        <f t="shared" ca="1" si="105"/>
        <v>7</v>
      </c>
      <c r="AB145" s="9" t="str">
        <f t="shared" ca="1" si="106"/>
        <v>—</v>
      </c>
      <c r="AC145" s="15">
        <f t="shared" ca="1" si="107"/>
        <v>7</v>
      </c>
      <c r="AD145" s="76" t="str">
        <f t="shared" ca="1" si="108"/>
        <v>—</v>
      </c>
      <c r="AE145" s="15">
        <f t="shared" ca="1" si="109"/>
        <v>7</v>
      </c>
      <c r="AF145" s="76" t="str">
        <f t="shared" ca="1" si="110"/>
        <v>—</v>
      </c>
      <c r="AG145" s="15">
        <f t="shared" ca="1" si="111"/>
        <v>7</v>
      </c>
      <c r="AH145" s="9" t="str">
        <f t="shared" ca="1" si="112"/>
        <v>—</v>
      </c>
      <c r="AI145" s="15">
        <f t="shared" ca="1" si="113"/>
        <v>7</v>
      </c>
      <c r="AJ145" s="26" t="str">
        <f t="shared" ca="1" si="114"/>
        <v>—</v>
      </c>
      <c r="AK145" s="15">
        <f t="shared" ca="1" si="115"/>
        <v>7</v>
      </c>
      <c r="AL145" s="9" t="str">
        <f t="shared" ca="1" si="116"/>
        <v>—</v>
      </c>
      <c r="AM145" s="15">
        <f t="shared" ca="1" si="117"/>
        <v>7</v>
      </c>
      <c r="AN145" s="9" t="str">
        <f t="shared" ca="1" si="118"/>
        <v>—</v>
      </c>
      <c r="AO145" s="15">
        <f t="shared" ca="1" si="119"/>
        <v>7</v>
      </c>
    </row>
    <row r="146" spans="1:41" x14ac:dyDescent="0.25">
      <c r="A146" s="4">
        <f t="shared" si="80"/>
        <v>78989</v>
      </c>
      <c r="B146" t="str">
        <f ca="1">TEXT(DATE(YEAR(Invoer!$A$5),1,1)+ROWS(B$2:B146)-1,"jjjjmmdd")</f>
        <v>19130525</v>
      </c>
      <c r="C146" s="72">
        <f t="shared" si="81"/>
        <v>800</v>
      </c>
      <c r="D146" s="16" t="str">
        <f t="shared" ca="1" si="82"/>
        <v>—</v>
      </c>
      <c r="E146" s="15">
        <f t="shared" ca="1" si="83"/>
        <v>7</v>
      </c>
      <c r="F146" s="73" t="str">
        <f t="shared" ca="1" si="84"/>
        <v>—</v>
      </c>
      <c r="G146" s="15">
        <f t="shared" ca="1" si="85"/>
        <v>7</v>
      </c>
      <c r="H146" s="73" t="str">
        <f t="shared" ca="1" si="86"/>
        <v>—</v>
      </c>
      <c r="I146" s="15">
        <f t="shared" ca="1" si="87"/>
        <v>7</v>
      </c>
      <c r="J146" s="73" t="str">
        <f t="shared" ca="1" si="88"/>
        <v>—</v>
      </c>
      <c r="K146" s="15">
        <f t="shared" ca="1" si="89"/>
        <v>7</v>
      </c>
      <c r="L146" s="16" t="str">
        <f t="shared" ca="1" si="90"/>
        <v>—</v>
      </c>
      <c r="M146" s="15">
        <f t="shared" ca="1" si="91"/>
        <v>7</v>
      </c>
      <c r="N146" s="16" t="str">
        <f t="shared" ca="1" si="92"/>
        <v>—</v>
      </c>
      <c r="O146" s="15">
        <f t="shared" ca="1" si="93"/>
        <v>7</v>
      </c>
      <c r="P146" s="16" t="str">
        <f t="shared" ca="1" si="94"/>
        <v>—</v>
      </c>
      <c r="Q146" s="15">
        <f t="shared" ca="1" si="95"/>
        <v>7</v>
      </c>
      <c r="R146" s="16" t="str">
        <f t="shared" ca="1" si="96"/>
        <v>—</v>
      </c>
      <c r="S146" s="15">
        <f t="shared" ca="1" si="97"/>
        <v>7</v>
      </c>
      <c r="T146" s="9" t="str">
        <f t="shared" ca="1" si="98"/>
        <v>—</v>
      </c>
      <c r="U146" s="15">
        <f t="shared" ca="1" si="99"/>
        <v>7</v>
      </c>
      <c r="V146" s="16" t="str">
        <f t="shared" ca="1" si="100"/>
        <v>—</v>
      </c>
      <c r="W146" s="15">
        <f t="shared" ca="1" si="101"/>
        <v>7</v>
      </c>
      <c r="X146" s="16" t="str">
        <f t="shared" ca="1" si="102"/>
        <v>—</v>
      </c>
      <c r="Y146" s="15">
        <f t="shared" ca="1" si="103"/>
        <v>7</v>
      </c>
      <c r="Z146" s="16" t="str">
        <f t="shared" ca="1" si="104"/>
        <v>—</v>
      </c>
      <c r="AA146" s="15">
        <f t="shared" ca="1" si="105"/>
        <v>7</v>
      </c>
      <c r="AB146" s="9" t="str">
        <f t="shared" ca="1" si="106"/>
        <v>—</v>
      </c>
      <c r="AC146" s="15">
        <f t="shared" ca="1" si="107"/>
        <v>7</v>
      </c>
      <c r="AD146" s="76" t="str">
        <f t="shared" ca="1" si="108"/>
        <v>—</v>
      </c>
      <c r="AE146" s="15">
        <f t="shared" ca="1" si="109"/>
        <v>7</v>
      </c>
      <c r="AF146" s="76" t="str">
        <f t="shared" ca="1" si="110"/>
        <v>—</v>
      </c>
      <c r="AG146" s="15">
        <f t="shared" ca="1" si="111"/>
        <v>7</v>
      </c>
      <c r="AH146" s="9" t="str">
        <f t="shared" ca="1" si="112"/>
        <v>—</v>
      </c>
      <c r="AI146" s="15">
        <f t="shared" ca="1" si="113"/>
        <v>7</v>
      </c>
      <c r="AJ146" s="26" t="str">
        <f t="shared" ca="1" si="114"/>
        <v>—</v>
      </c>
      <c r="AK146" s="15">
        <f t="shared" ca="1" si="115"/>
        <v>7</v>
      </c>
      <c r="AL146" s="9" t="str">
        <f t="shared" ca="1" si="116"/>
        <v>—</v>
      </c>
      <c r="AM146" s="15">
        <f t="shared" ca="1" si="117"/>
        <v>7</v>
      </c>
      <c r="AN146" s="9" t="str">
        <f t="shared" ca="1" si="118"/>
        <v>—</v>
      </c>
      <c r="AO146" s="15">
        <f t="shared" ca="1" si="119"/>
        <v>7</v>
      </c>
    </row>
    <row r="147" spans="1:41" x14ac:dyDescent="0.25">
      <c r="A147" s="4">
        <f t="shared" si="80"/>
        <v>78989</v>
      </c>
      <c r="B147" t="str">
        <f ca="1">TEXT(DATE(YEAR(Invoer!$A$5),1,1)+ROWS(B$2:B147)-1,"jjjjmmdd")</f>
        <v>19130526</v>
      </c>
      <c r="C147" s="72">
        <f t="shared" si="81"/>
        <v>800</v>
      </c>
      <c r="D147" s="16" t="str">
        <f t="shared" ca="1" si="82"/>
        <v>—</v>
      </c>
      <c r="E147" s="15">
        <f t="shared" ca="1" si="83"/>
        <v>7</v>
      </c>
      <c r="F147" s="73" t="str">
        <f t="shared" ca="1" si="84"/>
        <v>—</v>
      </c>
      <c r="G147" s="15">
        <f t="shared" ca="1" si="85"/>
        <v>7</v>
      </c>
      <c r="H147" s="73" t="str">
        <f t="shared" ca="1" si="86"/>
        <v>—</v>
      </c>
      <c r="I147" s="15">
        <f t="shared" ca="1" si="87"/>
        <v>7</v>
      </c>
      <c r="J147" s="73" t="str">
        <f t="shared" ca="1" si="88"/>
        <v>—</v>
      </c>
      <c r="K147" s="15">
        <f t="shared" ca="1" si="89"/>
        <v>7</v>
      </c>
      <c r="L147" s="16" t="str">
        <f t="shared" ca="1" si="90"/>
        <v>—</v>
      </c>
      <c r="M147" s="15">
        <f t="shared" ca="1" si="91"/>
        <v>7</v>
      </c>
      <c r="N147" s="16" t="str">
        <f t="shared" ca="1" si="92"/>
        <v>—</v>
      </c>
      <c r="O147" s="15">
        <f t="shared" ca="1" si="93"/>
        <v>7</v>
      </c>
      <c r="P147" s="16" t="str">
        <f t="shared" ca="1" si="94"/>
        <v>—</v>
      </c>
      <c r="Q147" s="15">
        <f t="shared" ca="1" si="95"/>
        <v>7</v>
      </c>
      <c r="R147" s="16" t="str">
        <f t="shared" ca="1" si="96"/>
        <v>—</v>
      </c>
      <c r="S147" s="15">
        <f t="shared" ca="1" si="97"/>
        <v>7</v>
      </c>
      <c r="T147" s="9" t="str">
        <f t="shared" ca="1" si="98"/>
        <v>—</v>
      </c>
      <c r="U147" s="15">
        <f t="shared" ca="1" si="99"/>
        <v>7</v>
      </c>
      <c r="V147" s="16" t="str">
        <f t="shared" ca="1" si="100"/>
        <v>—</v>
      </c>
      <c r="W147" s="15">
        <f t="shared" ca="1" si="101"/>
        <v>7</v>
      </c>
      <c r="X147" s="16" t="str">
        <f t="shared" ca="1" si="102"/>
        <v>—</v>
      </c>
      <c r="Y147" s="15">
        <f t="shared" ca="1" si="103"/>
        <v>7</v>
      </c>
      <c r="Z147" s="16" t="str">
        <f t="shared" ca="1" si="104"/>
        <v>—</v>
      </c>
      <c r="AA147" s="15">
        <f t="shared" ca="1" si="105"/>
        <v>7</v>
      </c>
      <c r="AB147" s="9" t="str">
        <f t="shared" ca="1" si="106"/>
        <v>—</v>
      </c>
      <c r="AC147" s="15">
        <f t="shared" ca="1" si="107"/>
        <v>7</v>
      </c>
      <c r="AD147" s="76" t="str">
        <f t="shared" ca="1" si="108"/>
        <v>—</v>
      </c>
      <c r="AE147" s="15">
        <f t="shared" ca="1" si="109"/>
        <v>7</v>
      </c>
      <c r="AF147" s="76" t="str">
        <f t="shared" ca="1" si="110"/>
        <v>—</v>
      </c>
      <c r="AG147" s="15">
        <f t="shared" ca="1" si="111"/>
        <v>7</v>
      </c>
      <c r="AH147" s="9" t="str">
        <f t="shared" ca="1" si="112"/>
        <v>—</v>
      </c>
      <c r="AI147" s="15">
        <f t="shared" ca="1" si="113"/>
        <v>7</v>
      </c>
      <c r="AJ147" s="26" t="str">
        <f t="shared" ca="1" si="114"/>
        <v>—</v>
      </c>
      <c r="AK147" s="15">
        <f t="shared" ca="1" si="115"/>
        <v>7</v>
      </c>
      <c r="AL147" s="9" t="str">
        <f t="shared" ca="1" si="116"/>
        <v>—</v>
      </c>
      <c r="AM147" s="15">
        <f t="shared" ca="1" si="117"/>
        <v>7</v>
      </c>
      <c r="AN147" s="9" t="str">
        <f t="shared" ca="1" si="118"/>
        <v>—</v>
      </c>
      <c r="AO147" s="15">
        <f t="shared" ca="1" si="119"/>
        <v>7</v>
      </c>
    </row>
    <row r="148" spans="1:41" x14ac:dyDescent="0.25">
      <c r="A148" s="4">
        <f t="shared" si="80"/>
        <v>78989</v>
      </c>
      <c r="B148" t="str">
        <f ca="1">TEXT(DATE(YEAR(Invoer!$A$5),1,1)+ROWS(B$2:B148)-1,"jjjjmmdd")</f>
        <v>19130527</v>
      </c>
      <c r="C148" s="72">
        <f t="shared" si="81"/>
        <v>800</v>
      </c>
      <c r="D148" s="16" t="str">
        <f t="shared" ca="1" si="82"/>
        <v>—</v>
      </c>
      <c r="E148" s="15">
        <f t="shared" ca="1" si="83"/>
        <v>7</v>
      </c>
      <c r="F148" s="73" t="str">
        <f t="shared" ca="1" si="84"/>
        <v>—</v>
      </c>
      <c r="G148" s="15">
        <f t="shared" ca="1" si="85"/>
        <v>7</v>
      </c>
      <c r="H148" s="73" t="str">
        <f t="shared" ca="1" si="86"/>
        <v>—</v>
      </c>
      <c r="I148" s="15">
        <f t="shared" ca="1" si="87"/>
        <v>7</v>
      </c>
      <c r="J148" s="73" t="str">
        <f t="shared" ca="1" si="88"/>
        <v>—</v>
      </c>
      <c r="K148" s="15">
        <f t="shared" ca="1" si="89"/>
        <v>7</v>
      </c>
      <c r="L148" s="16" t="str">
        <f t="shared" ca="1" si="90"/>
        <v>—</v>
      </c>
      <c r="M148" s="15">
        <f t="shared" ca="1" si="91"/>
        <v>7</v>
      </c>
      <c r="N148" s="16" t="str">
        <f t="shared" ca="1" si="92"/>
        <v>—</v>
      </c>
      <c r="O148" s="15">
        <f t="shared" ca="1" si="93"/>
        <v>7</v>
      </c>
      <c r="P148" s="16" t="str">
        <f t="shared" ca="1" si="94"/>
        <v>—</v>
      </c>
      <c r="Q148" s="15">
        <f t="shared" ca="1" si="95"/>
        <v>7</v>
      </c>
      <c r="R148" s="16" t="str">
        <f t="shared" ca="1" si="96"/>
        <v>—</v>
      </c>
      <c r="S148" s="15">
        <f t="shared" ca="1" si="97"/>
        <v>7</v>
      </c>
      <c r="T148" s="9" t="str">
        <f t="shared" ca="1" si="98"/>
        <v>—</v>
      </c>
      <c r="U148" s="15">
        <f t="shared" ca="1" si="99"/>
        <v>7</v>
      </c>
      <c r="V148" s="16" t="str">
        <f t="shared" ca="1" si="100"/>
        <v>—</v>
      </c>
      <c r="W148" s="15">
        <f t="shared" ca="1" si="101"/>
        <v>7</v>
      </c>
      <c r="X148" s="16" t="str">
        <f t="shared" ca="1" si="102"/>
        <v>—</v>
      </c>
      <c r="Y148" s="15">
        <f t="shared" ca="1" si="103"/>
        <v>7</v>
      </c>
      <c r="Z148" s="16" t="str">
        <f t="shared" ca="1" si="104"/>
        <v>—</v>
      </c>
      <c r="AA148" s="15">
        <f t="shared" ca="1" si="105"/>
        <v>7</v>
      </c>
      <c r="AB148" s="9" t="str">
        <f t="shared" ca="1" si="106"/>
        <v>—</v>
      </c>
      <c r="AC148" s="15">
        <f t="shared" ca="1" si="107"/>
        <v>7</v>
      </c>
      <c r="AD148" s="76" t="str">
        <f t="shared" ca="1" si="108"/>
        <v>—</v>
      </c>
      <c r="AE148" s="15">
        <f t="shared" ca="1" si="109"/>
        <v>7</v>
      </c>
      <c r="AF148" s="76" t="str">
        <f t="shared" ca="1" si="110"/>
        <v>—</v>
      </c>
      <c r="AG148" s="15">
        <f t="shared" ca="1" si="111"/>
        <v>7</v>
      </c>
      <c r="AH148" s="9" t="str">
        <f t="shared" ca="1" si="112"/>
        <v>—</v>
      </c>
      <c r="AI148" s="15">
        <f t="shared" ca="1" si="113"/>
        <v>7</v>
      </c>
      <c r="AJ148" s="26" t="str">
        <f t="shared" ca="1" si="114"/>
        <v>—</v>
      </c>
      <c r="AK148" s="15">
        <f t="shared" ca="1" si="115"/>
        <v>7</v>
      </c>
      <c r="AL148" s="9" t="str">
        <f t="shared" ca="1" si="116"/>
        <v>—</v>
      </c>
      <c r="AM148" s="15">
        <f t="shared" ca="1" si="117"/>
        <v>7</v>
      </c>
      <c r="AN148" s="9" t="str">
        <f t="shared" ca="1" si="118"/>
        <v>—</v>
      </c>
      <c r="AO148" s="15">
        <f t="shared" ca="1" si="119"/>
        <v>7</v>
      </c>
    </row>
    <row r="149" spans="1:41" x14ac:dyDescent="0.25">
      <c r="A149" s="4">
        <f t="shared" si="80"/>
        <v>78989</v>
      </c>
      <c r="B149" t="str">
        <f ca="1">TEXT(DATE(YEAR(Invoer!$A$5),1,1)+ROWS(B$2:B149)-1,"jjjjmmdd")</f>
        <v>19130528</v>
      </c>
      <c r="C149" s="72">
        <f t="shared" si="81"/>
        <v>800</v>
      </c>
      <c r="D149" s="16" t="str">
        <f t="shared" ca="1" si="82"/>
        <v>—</v>
      </c>
      <c r="E149" s="15">
        <f t="shared" ca="1" si="83"/>
        <v>7</v>
      </c>
      <c r="F149" s="73" t="str">
        <f t="shared" ca="1" si="84"/>
        <v>—</v>
      </c>
      <c r="G149" s="15">
        <f t="shared" ca="1" si="85"/>
        <v>7</v>
      </c>
      <c r="H149" s="73" t="str">
        <f t="shared" ca="1" si="86"/>
        <v>—</v>
      </c>
      <c r="I149" s="15">
        <f t="shared" ca="1" si="87"/>
        <v>7</v>
      </c>
      <c r="J149" s="73" t="str">
        <f t="shared" ca="1" si="88"/>
        <v>—</v>
      </c>
      <c r="K149" s="15">
        <f t="shared" ca="1" si="89"/>
        <v>7</v>
      </c>
      <c r="L149" s="16" t="str">
        <f t="shared" ca="1" si="90"/>
        <v>—</v>
      </c>
      <c r="M149" s="15">
        <f t="shared" ca="1" si="91"/>
        <v>7</v>
      </c>
      <c r="N149" s="16" t="str">
        <f t="shared" ca="1" si="92"/>
        <v>—</v>
      </c>
      <c r="O149" s="15">
        <f t="shared" ca="1" si="93"/>
        <v>7</v>
      </c>
      <c r="P149" s="16" t="str">
        <f t="shared" ca="1" si="94"/>
        <v>—</v>
      </c>
      <c r="Q149" s="15">
        <f t="shared" ca="1" si="95"/>
        <v>7</v>
      </c>
      <c r="R149" s="16" t="str">
        <f t="shared" ca="1" si="96"/>
        <v>—</v>
      </c>
      <c r="S149" s="15">
        <f t="shared" ca="1" si="97"/>
        <v>7</v>
      </c>
      <c r="T149" s="9" t="str">
        <f t="shared" ca="1" si="98"/>
        <v>—</v>
      </c>
      <c r="U149" s="15">
        <f t="shared" ca="1" si="99"/>
        <v>7</v>
      </c>
      <c r="V149" s="16" t="str">
        <f t="shared" ca="1" si="100"/>
        <v>—</v>
      </c>
      <c r="W149" s="15">
        <f t="shared" ca="1" si="101"/>
        <v>7</v>
      </c>
      <c r="X149" s="16" t="str">
        <f t="shared" ca="1" si="102"/>
        <v>—</v>
      </c>
      <c r="Y149" s="15">
        <f t="shared" ca="1" si="103"/>
        <v>7</v>
      </c>
      <c r="Z149" s="16" t="str">
        <f t="shared" ca="1" si="104"/>
        <v>—</v>
      </c>
      <c r="AA149" s="15">
        <f t="shared" ca="1" si="105"/>
        <v>7</v>
      </c>
      <c r="AB149" s="9" t="str">
        <f t="shared" ca="1" si="106"/>
        <v>—</v>
      </c>
      <c r="AC149" s="15">
        <f t="shared" ca="1" si="107"/>
        <v>7</v>
      </c>
      <c r="AD149" s="76" t="str">
        <f t="shared" ca="1" si="108"/>
        <v>—</v>
      </c>
      <c r="AE149" s="15">
        <f t="shared" ca="1" si="109"/>
        <v>7</v>
      </c>
      <c r="AF149" s="76" t="str">
        <f t="shared" ca="1" si="110"/>
        <v>—</v>
      </c>
      <c r="AG149" s="15">
        <f t="shared" ca="1" si="111"/>
        <v>7</v>
      </c>
      <c r="AH149" s="9" t="str">
        <f t="shared" ca="1" si="112"/>
        <v>—</v>
      </c>
      <c r="AI149" s="15">
        <f t="shared" ca="1" si="113"/>
        <v>7</v>
      </c>
      <c r="AJ149" s="26" t="str">
        <f t="shared" ca="1" si="114"/>
        <v>—</v>
      </c>
      <c r="AK149" s="15">
        <f t="shared" ca="1" si="115"/>
        <v>7</v>
      </c>
      <c r="AL149" s="9" t="str">
        <f t="shared" ca="1" si="116"/>
        <v>—</v>
      </c>
      <c r="AM149" s="15">
        <f t="shared" ca="1" si="117"/>
        <v>7</v>
      </c>
      <c r="AN149" s="9" t="str">
        <f t="shared" ca="1" si="118"/>
        <v>—</v>
      </c>
      <c r="AO149" s="15">
        <f t="shared" ca="1" si="119"/>
        <v>7</v>
      </c>
    </row>
    <row r="150" spans="1:41" x14ac:dyDescent="0.25">
      <c r="A150" s="4">
        <f t="shared" si="80"/>
        <v>78989</v>
      </c>
      <c r="B150" t="str">
        <f ca="1">TEXT(DATE(YEAR(Invoer!$A$5),1,1)+ROWS(B$2:B150)-1,"jjjjmmdd")</f>
        <v>19130529</v>
      </c>
      <c r="C150" s="72">
        <f t="shared" si="81"/>
        <v>800</v>
      </c>
      <c r="D150" s="16" t="str">
        <f t="shared" ca="1" si="82"/>
        <v>—</v>
      </c>
      <c r="E150" s="15">
        <f t="shared" ca="1" si="83"/>
        <v>7</v>
      </c>
      <c r="F150" s="73" t="str">
        <f t="shared" ca="1" si="84"/>
        <v>—</v>
      </c>
      <c r="G150" s="15">
        <f t="shared" ca="1" si="85"/>
        <v>7</v>
      </c>
      <c r="H150" s="73" t="str">
        <f t="shared" ca="1" si="86"/>
        <v>—</v>
      </c>
      <c r="I150" s="15">
        <f t="shared" ca="1" si="87"/>
        <v>7</v>
      </c>
      <c r="J150" s="73" t="str">
        <f t="shared" ca="1" si="88"/>
        <v>—</v>
      </c>
      <c r="K150" s="15">
        <f t="shared" ca="1" si="89"/>
        <v>7</v>
      </c>
      <c r="L150" s="16" t="str">
        <f t="shared" ca="1" si="90"/>
        <v>—</v>
      </c>
      <c r="M150" s="15">
        <f t="shared" ca="1" si="91"/>
        <v>7</v>
      </c>
      <c r="N150" s="16" t="str">
        <f t="shared" ca="1" si="92"/>
        <v>—</v>
      </c>
      <c r="O150" s="15">
        <f t="shared" ca="1" si="93"/>
        <v>7</v>
      </c>
      <c r="P150" s="16" t="str">
        <f t="shared" ca="1" si="94"/>
        <v>—</v>
      </c>
      <c r="Q150" s="15">
        <f t="shared" ca="1" si="95"/>
        <v>7</v>
      </c>
      <c r="R150" s="16" t="str">
        <f t="shared" ca="1" si="96"/>
        <v>—</v>
      </c>
      <c r="S150" s="15">
        <f t="shared" ca="1" si="97"/>
        <v>7</v>
      </c>
      <c r="T150" s="9" t="str">
        <f t="shared" ca="1" si="98"/>
        <v>—</v>
      </c>
      <c r="U150" s="15">
        <f t="shared" ca="1" si="99"/>
        <v>7</v>
      </c>
      <c r="V150" s="16" t="str">
        <f t="shared" ca="1" si="100"/>
        <v>—</v>
      </c>
      <c r="W150" s="15">
        <f t="shared" ca="1" si="101"/>
        <v>7</v>
      </c>
      <c r="X150" s="16" t="str">
        <f t="shared" ca="1" si="102"/>
        <v>—</v>
      </c>
      <c r="Y150" s="15">
        <f t="shared" ca="1" si="103"/>
        <v>7</v>
      </c>
      <c r="Z150" s="16" t="str">
        <f t="shared" ca="1" si="104"/>
        <v>—</v>
      </c>
      <c r="AA150" s="15">
        <f t="shared" ca="1" si="105"/>
        <v>7</v>
      </c>
      <c r="AB150" s="9" t="str">
        <f t="shared" ca="1" si="106"/>
        <v>—</v>
      </c>
      <c r="AC150" s="15">
        <f t="shared" ca="1" si="107"/>
        <v>7</v>
      </c>
      <c r="AD150" s="76" t="str">
        <f t="shared" ca="1" si="108"/>
        <v>—</v>
      </c>
      <c r="AE150" s="15">
        <f t="shared" ca="1" si="109"/>
        <v>7</v>
      </c>
      <c r="AF150" s="76" t="str">
        <f t="shared" ca="1" si="110"/>
        <v>—</v>
      </c>
      <c r="AG150" s="15">
        <f t="shared" ca="1" si="111"/>
        <v>7</v>
      </c>
      <c r="AH150" s="9" t="str">
        <f t="shared" ca="1" si="112"/>
        <v>—</v>
      </c>
      <c r="AI150" s="15">
        <f t="shared" ca="1" si="113"/>
        <v>7</v>
      </c>
      <c r="AJ150" s="26" t="str">
        <f t="shared" ca="1" si="114"/>
        <v>—</v>
      </c>
      <c r="AK150" s="15">
        <f t="shared" ca="1" si="115"/>
        <v>7</v>
      </c>
      <c r="AL150" s="9" t="str">
        <f t="shared" ca="1" si="116"/>
        <v>—</v>
      </c>
      <c r="AM150" s="15">
        <f t="shared" ca="1" si="117"/>
        <v>7</v>
      </c>
      <c r="AN150" s="9" t="str">
        <f t="shared" ca="1" si="118"/>
        <v>—</v>
      </c>
      <c r="AO150" s="15">
        <f t="shared" ca="1" si="119"/>
        <v>7</v>
      </c>
    </row>
    <row r="151" spans="1:41" x14ac:dyDescent="0.25">
      <c r="A151" s="4">
        <f t="shared" si="80"/>
        <v>78989</v>
      </c>
      <c r="B151" t="str">
        <f ca="1">TEXT(DATE(YEAR(Invoer!$A$5),1,1)+ROWS(B$2:B151)-1,"jjjjmmdd")</f>
        <v>19130530</v>
      </c>
      <c r="C151" s="72">
        <f t="shared" si="81"/>
        <v>800</v>
      </c>
      <c r="D151" s="16" t="str">
        <f t="shared" ca="1" si="82"/>
        <v>—</v>
      </c>
      <c r="E151" s="15">
        <f t="shared" ca="1" si="83"/>
        <v>7</v>
      </c>
      <c r="F151" s="73" t="str">
        <f t="shared" ca="1" si="84"/>
        <v>—</v>
      </c>
      <c r="G151" s="15">
        <f t="shared" ca="1" si="85"/>
        <v>7</v>
      </c>
      <c r="H151" s="73" t="str">
        <f t="shared" ca="1" si="86"/>
        <v>—</v>
      </c>
      <c r="I151" s="15">
        <f t="shared" ca="1" si="87"/>
        <v>7</v>
      </c>
      <c r="J151" s="73" t="str">
        <f t="shared" ca="1" si="88"/>
        <v>—</v>
      </c>
      <c r="K151" s="15">
        <f t="shared" ca="1" si="89"/>
        <v>7</v>
      </c>
      <c r="L151" s="16" t="str">
        <f t="shared" ca="1" si="90"/>
        <v>—</v>
      </c>
      <c r="M151" s="15">
        <f t="shared" ca="1" si="91"/>
        <v>7</v>
      </c>
      <c r="N151" s="16" t="str">
        <f t="shared" ca="1" si="92"/>
        <v>—</v>
      </c>
      <c r="O151" s="15">
        <f t="shared" ca="1" si="93"/>
        <v>7</v>
      </c>
      <c r="P151" s="16" t="str">
        <f t="shared" ca="1" si="94"/>
        <v>—</v>
      </c>
      <c r="Q151" s="15">
        <f t="shared" ca="1" si="95"/>
        <v>7</v>
      </c>
      <c r="R151" s="16" t="str">
        <f t="shared" ca="1" si="96"/>
        <v>—</v>
      </c>
      <c r="S151" s="15">
        <f t="shared" ca="1" si="97"/>
        <v>7</v>
      </c>
      <c r="T151" s="9" t="str">
        <f t="shared" ca="1" si="98"/>
        <v>—</v>
      </c>
      <c r="U151" s="15">
        <f t="shared" ca="1" si="99"/>
        <v>7</v>
      </c>
      <c r="V151" s="16" t="str">
        <f t="shared" ca="1" si="100"/>
        <v>—</v>
      </c>
      <c r="W151" s="15">
        <f t="shared" ca="1" si="101"/>
        <v>7</v>
      </c>
      <c r="X151" s="16" t="str">
        <f t="shared" ca="1" si="102"/>
        <v>—</v>
      </c>
      <c r="Y151" s="15">
        <f t="shared" ca="1" si="103"/>
        <v>7</v>
      </c>
      <c r="Z151" s="16" t="str">
        <f t="shared" ca="1" si="104"/>
        <v>—</v>
      </c>
      <c r="AA151" s="15">
        <f t="shared" ca="1" si="105"/>
        <v>7</v>
      </c>
      <c r="AB151" s="9" t="str">
        <f t="shared" ca="1" si="106"/>
        <v>—</v>
      </c>
      <c r="AC151" s="15">
        <f t="shared" ca="1" si="107"/>
        <v>7</v>
      </c>
      <c r="AD151" s="76" t="str">
        <f t="shared" ca="1" si="108"/>
        <v>—</v>
      </c>
      <c r="AE151" s="15">
        <f t="shared" ca="1" si="109"/>
        <v>7</v>
      </c>
      <c r="AF151" s="76" t="str">
        <f t="shared" ca="1" si="110"/>
        <v>—</v>
      </c>
      <c r="AG151" s="15">
        <f t="shared" ca="1" si="111"/>
        <v>7</v>
      </c>
      <c r="AH151" s="9" t="str">
        <f t="shared" ca="1" si="112"/>
        <v>—</v>
      </c>
      <c r="AI151" s="15">
        <f t="shared" ca="1" si="113"/>
        <v>7</v>
      </c>
      <c r="AJ151" s="26" t="str">
        <f t="shared" ca="1" si="114"/>
        <v>—</v>
      </c>
      <c r="AK151" s="15">
        <f t="shared" ca="1" si="115"/>
        <v>7</v>
      </c>
      <c r="AL151" s="9" t="str">
        <f t="shared" ca="1" si="116"/>
        <v>—</v>
      </c>
      <c r="AM151" s="15">
        <f t="shared" ca="1" si="117"/>
        <v>7</v>
      </c>
      <c r="AN151" s="9" t="str">
        <f t="shared" ca="1" si="118"/>
        <v>—</v>
      </c>
      <c r="AO151" s="15">
        <f t="shared" ca="1" si="119"/>
        <v>7</v>
      </c>
    </row>
    <row r="152" spans="1:41" x14ac:dyDescent="0.25">
      <c r="A152" s="4">
        <f t="shared" si="80"/>
        <v>78989</v>
      </c>
      <c r="B152" t="str">
        <f ca="1">TEXT(DATE(YEAR(Invoer!$A$5),1,1)+ROWS(B$2:B152)-1,"jjjjmmdd")</f>
        <v>19130531</v>
      </c>
      <c r="C152" s="72">
        <f t="shared" si="81"/>
        <v>800</v>
      </c>
      <c r="D152" s="16" t="str">
        <f t="shared" ca="1" si="82"/>
        <v>—</v>
      </c>
      <c r="E152" s="15">
        <f t="shared" ca="1" si="83"/>
        <v>7</v>
      </c>
      <c r="F152" s="73" t="str">
        <f t="shared" ca="1" si="84"/>
        <v>—</v>
      </c>
      <c r="G152" s="15">
        <f t="shared" ca="1" si="85"/>
        <v>7</v>
      </c>
      <c r="H152" s="73" t="str">
        <f t="shared" ca="1" si="86"/>
        <v>—</v>
      </c>
      <c r="I152" s="15">
        <f t="shared" ca="1" si="87"/>
        <v>7</v>
      </c>
      <c r="J152" s="73" t="str">
        <f t="shared" ca="1" si="88"/>
        <v>—</v>
      </c>
      <c r="K152" s="15">
        <f t="shared" ca="1" si="89"/>
        <v>7</v>
      </c>
      <c r="L152" s="16" t="str">
        <f t="shared" ca="1" si="90"/>
        <v>—</v>
      </c>
      <c r="M152" s="15">
        <f t="shared" ca="1" si="91"/>
        <v>7</v>
      </c>
      <c r="N152" s="16" t="str">
        <f t="shared" ca="1" si="92"/>
        <v>—</v>
      </c>
      <c r="O152" s="15">
        <f t="shared" ca="1" si="93"/>
        <v>7</v>
      </c>
      <c r="P152" s="16" t="str">
        <f t="shared" ca="1" si="94"/>
        <v>—</v>
      </c>
      <c r="Q152" s="15">
        <f t="shared" ca="1" si="95"/>
        <v>7</v>
      </c>
      <c r="R152" s="16" t="str">
        <f t="shared" ca="1" si="96"/>
        <v>—</v>
      </c>
      <c r="S152" s="15">
        <f t="shared" ca="1" si="97"/>
        <v>7</v>
      </c>
      <c r="T152" s="9" t="str">
        <f t="shared" ca="1" si="98"/>
        <v>—</v>
      </c>
      <c r="U152" s="15">
        <f t="shared" ca="1" si="99"/>
        <v>7</v>
      </c>
      <c r="V152" s="16" t="str">
        <f t="shared" ca="1" si="100"/>
        <v>—</v>
      </c>
      <c r="W152" s="15">
        <f t="shared" ca="1" si="101"/>
        <v>7</v>
      </c>
      <c r="X152" s="16" t="str">
        <f t="shared" ca="1" si="102"/>
        <v>—</v>
      </c>
      <c r="Y152" s="15">
        <f t="shared" ca="1" si="103"/>
        <v>7</v>
      </c>
      <c r="Z152" s="16" t="str">
        <f t="shared" ca="1" si="104"/>
        <v>—</v>
      </c>
      <c r="AA152" s="15">
        <f t="shared" ca="1" si="105"/>
        <v>7</v>
      </c>
      <c r="AB152" s="9" t="str">
        <f t="shared" ca="1" si="106"/>
        <v>—</v>
      </c>
      <c r="AC152" s="15">
        <f t="shared" ca="1" si="107"/>
        <v>7</v>
      </c>
      <c r="AD152" s="76" t="str">
        <f t="shared" ca="1" si="108"/>
        <v>—</v>
      </c>
      <c r="AE152" s="15">
        <f t="shared" ca="1" si="109"/>
        <v>7</v>
      </c>
      <c r="AF152" s="76" t="str">
        <f t="shared" ca="1" si="110"/>
        <v>—</v>
      </c>
      <c r="AG152" s="15">
        <f t="shared" ca="1" si="111"/>
        <v>7</v>
      </c>
      <c r="AH152" s="9" t="str">
        <f t="shared" ca="1" si="112"/>
        <v>—</v>
      </c>
      <c r="AI152" s="15">
        <f t="shared" ca="1" si="113"/>
        <v>7</v>
      </c>
      <c r="AJ152" s="26" t="str">
        <f t="shared" ca="1" si="114"/>
        <v>—</v>
      </c>
      <c r="AK152" s="15">
        <f t="shared" ca="1" si="115"/>
        <v>7</v>
      </c>
      <c r="AL152" s="9" t="str">
        <f t="shared" ca="1" si="116"/>
        <v>—</v>
      </c>
      <c r="AM152" s="15">
        <f t="shared" ca="1" si="117"/>
        <v>7</v>
      </c>
      <c r="AN152" s="9" t="str">
        <f t="shared" ca="1" si="118"/>
        <v>—</v>
      </c>
      <c r="AO152" s="15">
        <f t="shared" ca="1" si="119"/>
        <v>7</v>
      </c>
    </row>
    <row r="153" spans="1:41" x14ac:dyDescent="0.25">
      <c r="A153" s="4">
        <f t="shared" si="80"/>
        <v>78989</v>
      </c>
      <c r="B153" t="str">
        <f ca="1">TEXT(DATE(YEAR(Invoer!$A$5),1,1)+ROWS(B$2:B153)-1,"jjjjmmdd")</f>
        <v>19130601</v>
      </c>
      <c r="C153" s="72">
        <f t="shared" si="81"/>
        <v>800</v>
      </c>
      <c r="D153" s="16" t="str">
        <f t="shared" ca="1" si="82"/>
        <v>—</v>
      </c>
      <c r="E153" s="15">
        <f t="shared" ca="1" si="83"/>
        <v>7</v>
      </c>
      <c r="F153" s="73" t="str">
        <f t="shared" ca="1" si="84"/>
        <v>—</v>
      </c>
      <c r="G153" s="15">
        <f t="shared" ca="1" si="85"/>
        <v>7</v>
      </c>
      <c r="H153" s="73" t="str">
        <f t="shared" ca="1" si="86"/>
        <v>—</v>
      </c>
      <c r="I153" s="15">
        <f t="shared" ca="1" si="87"/>
        <v>7</v>
      </c>
      <c r="J153" s="73" t="str">
        <f t="shared" ca="1" si="88"/>
        <v>—</v>
      </c>
      <c r="K153" s="15">
        <f t="shared" ca="1" si="89"/>
        <v>7</v>
      </c>
      <c r="L153" s="16" t="str">
        <f t="shared" ca="1" si="90"/>
        <v>—</v>
      </c>
      <c r="M153" s="15">
        <f t="shared" ca="1" si="91"/>
        <v>7</v>
      </c>
      <c r="N153" s="16" t="str">
        <f t="shared" ca="1" si="92"/>
        <v>—</v>
      </c>
      <c r="O153" s="15">
        <f t="shared" ca="1" si="93"/>
        <v>7</v>
      </c>
      <c r="P153" s="16" t="str">
        <f t="shared" ca="1" si="94"/>
        <v>—</v>
      </c>
      <c r="Q153" s="15">
        <f t="shared" ca="1" si="95"/>
        <v>7</v>
      </c>
      <c r="R153" s="16" t="str">
        <f t="shared" ca="1" si="96"/>
        <v>—</v>
      </c>
      <c r="S153" s="15">
        <f t="shared" ca="1" si="97"/>
        <v>7</v>
      </c>
      <c r="T153" s="9" t="str">
        <f t="shared" ca="1" si="98"/>
        <v>—</v>
      </c>
      <c r="U153" s="15">
        <f t="shared" ca="1" si="99"/>
        <v>7</v>
      </c>
      <c r="V153" s="16" t="str">
        <f t="shared" ca="1" si="100"/>
        <v>—</v>
      </c>
      <c r="W153" s="15">
        <f t="shared" ca="1" si="101"/>
        <v>7</v>
      </c>
      <c r="X153" s="16" t="str">
        <f t="shared" ca="1" si="102"/>
        <v>—</v>
      </c>
      <c r="Y153" s="15">
        <f t="shared" ca="1" si="103"/>
        <v>7</v>
      </c>
      <c r="Z153" s="16" t="str">
        <f t="shared" ca="1" si="104"/>
        <v>—</v>
      </c>
      <c r="AA153" s="15">
        <f t="shared" ca="1" si="105"/>
        <v>7</v>
      </c>
      <c r="AB153" s="9" t="str">
        <f t="shared" ca="1" si="106"/>
        <v>—</v>
      </c>
      <c r="AC153" s="15">
        <f t="shared" ca="1" si="107"/>
        <v>7</v>
      </c>
      <c r="AD153" s="76" t="str">
        <f t="shared" ca="1" si="108"/>
        <v>—</v>
      </c>
      <c r="AE153" s="15">
        <f t="shared" ca="1" si="109"/>
        <v>7</v>
      </c>
      <c r="AF153" s="76" t="str">
        <f t="shared" ca="1" si="110"/>
        <v>—</v>
      </c>
      <c r="AG153" s="15">
        <f t="shared" ca="1" si="111"/>
        <v>7</v>
      </c>
      <c r="AH153" s="9" t="str">
        <f t="shared" ca="1" si="112"/>
        <v>—</v>
      </c>
      <c r="AI153" s="15">
        <f t="shared" ca="1" si="113"/>
        <v>7</v>
      </c>
      <c r="AJ153" s="26" t="str">
        <f t="shared" ca="1" si="114"/>
        <v>—</v>
      </c>
      <c r="AK153" s="15">
        <f t="shared" ca="1" si="115"/>
        <v>7</v>
      </c>
      <c r="AL153" s="9" t="str">
        <f t="shared" ca="1" si="116"/>
        <v>—</v>
      </c>
      <c r="AM153" s="15">
        <f t="shared" ca="1" si="117"/>
        <v>7</v>
      </c>
      <c r="AN153" s="9" t="str">
        <f t="shared" ca="1" si="118"/>
        <v>—</v>
      </c>
      <c r="AO153" s="15">
        <f t="shared" ca="1" si="119"/>
        <v>7</v>
      </c>
    </row>
    <row r="154" spans="1:41" x14ac:dyDescent="0.25">
      <c r="A154" s="4">
        <f t="shared" si="80"/>
        <v>78989</v>
      </c>
      <c r="B154" t="str">
        <f ca="1">TEXT(DATE(YEAR(Invoer!$A$5),1,1)+ROWS(B$2:B154)-1,"jjjjmmdd")</f>
        <v>19130602</v>
      </c>
      <c r="C154" s="72">
        <f t="shared" si="81"/>
        <v>800</v>
      </c>
      <c r="D154" s="16" t="str">
        <f t="shared" ca="1" si="82"/>
        <v>—</v>
      </c>
      <c r="E154" s="15">
        <f t="shared" ca="1" si="83"/>
        <v>7</v>
      </c>
      <c r="F154" s="73" t="str">
        <f t="shared" ca="1" si="84"/>
        <v>—</v>
      </c>
      <c r="G154" s="15">
        <f t="shared" ca="1" si="85"/>
        <v>7</v>
      </c>
      <c r="H154" s="73" t="str">
        <f t="shared" ca="1" si="86"/>
        <v>—</v>
      </c>
      <c r="I154" s="15">
        <f t="shared" ca="1" si="87"/>
        <v>7</v>
      </c>
      <c r="J154" s="73" t="str">
        <f t="shared" ca="1" si="88"/>
        <v>—</v>
      </c>
      <c r="K154" s="15">
        <f t="shared" ca="1" si="89"/>
        <v>7</v>
      </c>
      <c r="L154" s="16" t="str">
        <f t="shared" ca="1" si="90"/>
        <v>—</v>
      </c>
      <c r="M154" s="15">
        <f t="shared" ca="1" si="91"/>
        <v>7</v>
      </c>
      <c r="N154" s="16" t="str">
        <f t="shared" ca="1" si="92"/>
        <v>—</v>
      </c>
      <c r="O154" s="15">
        <f t="shared" ca="1" si="93"/>
        <v>7</v>
      </c>
      <c r="P154" s="16" t="str">
        <f t="shared" ca="1" si="94"/>
        <v>—</v>
      </c>
      <c r="Q154" s="15">
        <f t="shared" ca="1" si="95"/>
        <v>7</v>
      </c>
      <c r="R154" s="16" t="str">
        <f t="shared" ca="1" si="96"/>
        <v>—</v>
      </c>
      <c r="S154" s="15">
        <f t="shared" ca="1" si="97"/>
        <v>7</v>
      </c>
      <c r="T154" s="9" t="str">
        <f t="shared" ca="1" si="98"/>
        <v>—</v>
      </c>
      <c r="U154" s="15">
        <f t="shared" ca="1" si="99"/>
        <v>7</v>
      </c>
      <c r="V154" s="16" t="str">
        <f t="shared" ca="1" si="100"/>
        <v>—</v>
      </c>
      <c r="W154" s="15">
        <f t="shared" ca="1" si="101"/>
        <v>7</v>
      </c>
      <c r="X154" s="16" t="str">
        <f t="shared" ca="1" si="102"/>
        <v>—</v>
      </c>
      <c r="Y154" s="15">
        <f t="shared" ca="1" si="103"/>
        <v>7</v>
      </c>
      <c r="Z154" s="16" t="str">
        <f t="shared" ca="1" si="104"/>
        <v>—</v>
      </c>
      <c r="AA154" s="15">
        <f t="shared" ca="1" si="105"/>
        <v>7</v>
      </c>
      <c r="AB154" s="9" t="str">
        <f t="shared" ca="1" si="106"/>
        <v>—</v>
      </c>
      <c r="AC154" s="15">
        <f t="shared" ca="1" si="107"/>
        <v>7</v>
      </c>
      <c r="AD154" s="76" t="str">
        <f t="shared" ca="1" si="108"/>
        <v>—</v>
      </c>
      <c r="AE154" s="15">
        <f t="shared" ca="1" si="109"/>
        <v>7</v>
      </c>
      <c r="AF154" s="76" t="str">
        <f t="shared" ca="1" si="110"/>
        <v>—</v>
      </c>
      <c r="AG154" s="15">
        <f t="shared" ca="1" si="111"/>
        <v>7</v>
      </c>
      <c r="AH154" s="9" t="str">
        <f t="shared" ca="1" si="112"/>
        <v>—</v>
      </c>
      <c r="AI154" s="15">
        <f t="shared" ca="1" si="113"/>
        <v>7</v>
      </c>
      <c r="AJ154" s="26" t="str">
        <f t="shared" ca="1" si="114"/>
        <v>—</v>
      </c>
      <c r="AK154" s="15">
        <f t="shared" ca="1" si="115"/>
        <v>7</v>
      </c>
      <c r="AL154" s="9" t="str">
        <f t="shared" ca="1" si="116"/>
        <v>—</v>
      </c>
      <c r="AM154" s="15">
        <f t="shared" ca="1" si="117"/>
        <v>7</v>
      </c>
      <c r="AN154" s="9" t="str">
        <f t="shared" ca="1" si="118"/>
        <v>—</v>
      </c>
      <c r="AO154" s="15">
        <f t="shared" ca="1" si="119"/>
        <v>7</v>
      </c>
    </row>
    <row r="155" spans="1:41" x14ac:dyDescent="0.25">
      <c r="A155" s="4">
        <f t="shared" si="80"/>
        <v>78989</v>
      </c>
      <c r="B155" t="str">
        <f ca="1">TEXT(DATE(YEAR(Invoer!$A$5),1,1)+ROWS(B$2:B155)-1,"jjjjmmdd")</f>
        <v>19130603</v>
      </c>
      <c r="C155" s="72">
        <f t="shared" si="81"/>
        <v>800</v>
      </c>
      <c r="D155" s="16" t="str">
        <f t="shared" ca="1" si="82"/>
        <v>—</v>
      </c>
      <c r="E155" s="15">
        <f t="shared" ca="1" si="83"/>
        <v>7</v>
      </c>
      <c r="F155" s="73" t="str">
        <f t="shared" ca="1" si="84"/>
        <v>—</v>
      </c>
      <c r="G155" s="15">
        <f t="shared" ca="1" si="85"/>
        <v>7</v>
      </c>
      <c r="H155" s="73" t="str">
        <f t="shared" ca="1" si="86"/>
        <v>—</v>
      </c>
      <c r="I155" s="15">
        <f t="shared" ca="1" si="87"/>
        <v>7</v>
      </c>
      <c r="J155" s="73" t="str">
        <f t="shared" ca="1" si="88"/>
        <v>—</v>
      </c>
      <c r="K155" s="15">
        <f t="shared" ca="1" si="89"/>
        <v>7</v>
      </c>
      <c r="L155" s="16" t="str">
        <f t="shared" ca="1" si="90"/>
        <v>—</v>
      </c>
      <c r="M155" s="15">
        <f t="shared" ca="1" si="91"/>
        <v>7</v>
      </c>
      <c r="N155" s="16" t="str">
        <f t="shared" ca="1" si="92"/>
        <v>—</v>
      </c>
      <c r="O155" s="15">
        <f t="shared" ca="1" si="93"/>
        <v>7</v>
      </c>
      <c r="P155" s="16" t="str">
        <f t="shared" ca="1" si="94"/>
        <v>—</v>
      </c>
      <c r="Q155" s="15">
        <f t="shared" ca="1" si="95"/>
        <v>7</v>
      </c>
      <c r="R155" s="16" t="str">
        <f t="shared" ca="1" si="96"/>
        <v>—</v>
      </c>
      <c r="S155" s="15">
        <f t="shared" ca="1" si="97"/>
        <v>7</v>
      </c>
      <c r="T155" s="9" t="str">
        <f t="shared" ca="1" si="98"/>
        <v>—</v>
      </c>
      <c r="U155" s="15">
        <f t="shared" ca="1" si="99"/>
        <v>7</v>
      </c>
      <c r="V155" s="16" t="str">
        <f t="shared" ca="1" si="100"/>
        <v>—</v>
      </c>
      <c r="W155" s="15">
        <f t="shared" ca="1" si="101"/>
        <v>7</v>
      </c>
      <c r="X155" s="16" t="str">
        <f t="shared" ca="1" si="102"/>
        <v>—</v>
      </c>
      <c r="Y155" s="15">
        <f t="shared" ca="1" si="103"/>
        <v>7</v>
      </c>
      <c r="Z155" s="16" t="str">
        <f t="shared" ca="1" si="104"/>
        <v>—</v>
      </c>
      <c r="AA155" s="15">
        <f t="shared" ca="1" si="105"/>
        <v>7</v>
      </c>
      <c r="AB155" s="9" t="str">
        <f t="shared" ca="1" si="106"/>
        <v>—</v>
      </c>
      <c r="AC155" s="15">
        <f t="shared" ca="1" si="107"/>
        <v>7</v>
      </c>
      <c r="AD155" s="76" t="str">
        <f t="shared" ca="1" si="108"/>
        <v>—</v>
      </c>
      <c r="AE155" s="15">
        <f t="shared" ca="1" si="109"/>
        <v>7</v>
      </c>
      <c r="AF155" s="76" t="str">
        <f t="shared" ca="1" si="110"/>
        <v>—</v>
      </c>
      <c r="AG155" s="15">
        <f t="shared" ca="1" si="111"/>
        <v>7</v>
      </c>
      <c r="AH155" s="9" t="str">
        <f t="shared" ca="1" si="112"/>
        <v>—</v>
      </c>
      <c r="AI155" s="15">
        <f t="shared" ca="1" si="113"/>
        <v>7</v>
      </c>
      <c r="AJ155" s="26" t="str">
        <f t="shared" ca="1" si="114"/>
        <v>—</v>
      </c>
      <c r="AK155" s="15">
        <f t="shared" ca="1" si="115"/>
        <v>7</v>
      </c>
      <c r="AL155" s="9" t="str">
        <f t="shared" ca="1" si="116"/>
        <v>—</v>
      </c>
      <c r="AM155" s="15">
        <f t="shared" ca="1" si="117"/>
        <v>7</v>
      </c>
      <c r="AN155" s="9" t="str">
        <f t="shared" ca="1" si="118"/>
        <v>—</v>
      </c>
      <c r="AO155" s="15">
        <f t="shared" ca="1" si="119"/>
        <v>7</v>
      </c>
    </row>
    <row r="156" spans="1:41" x14ac:dyDescent="0.25">
      <c r="A156" s="4">
        <f t="shared" si="80"/>
        <v>78989</v>
      </c>
      <c r="B156" t="str">
        <f ca="1">TEXT(DATE(YEAR(Invoer!$A$5),1,1)+ROWS(B$2:B156)-1,"jjjjmmdd")</f>
        <v>19130604</v>
      </c>
      <c r="C156" s="72">
        <f t="shared" si="81"/>
        <v>800</v>
      </c>
      <c r="D156" s="16" t="str">
        <f t="shared" ca="1" si="82"/>
        <v>—</v>
      </c>
      <c r="E156" s="15">
        <f t="shared" ca="1" si="83"/>
        <v>7</v>
      </c>
      <c r="F156" s="73" t="str">
        <f t="shared" ca="1" si="84"/>
        <v>—</v>
      </c>
      <c r="G156" s="15">
        <f t="shared" ca="1" si="85"/>
        <v>7</v>
      </c>
      <c r="H156" s="73" t="str">
        <f t="shared" ca="1" si="86"/>
        <v>—</v>
      </c>
      <c r="I156" s="15">
        <f t="shared" ca="1" si="87"/>
        <v>7</v>
      </c>
      <c r="J156" s="73" t="str">
        <f t="shared" ca="1" si="88"/>
        <v>—</v>
      </c>
      <c r="K156" s="15">
        <f t="shared" ca="1" si="89"/>
        <v>7</v>
      </c>
      <c r="L156" s="16" t="str">
        <f t="shared" ca="1" si="90"/>
        <v>—</v>
      </c>
      <c r="M156" s="15">
        <f t="shared" ca="1" si="91"/>
        <v>7</v>
      </c>
      <c r="N156" s="16" t="str">
        <f t="shared" ca="1" si="92"/>
        <v>—</v>
      </c>
      <c r="O156" s="15">
        <f t="shared" ca="1" si="93"/>
        <v>7</v>
      </c>
      <c r="P156" s="16" t="str">
        <f t="shared" ca="1" si="94"/>
        <v>—</v>
      </c>
      <c r="Q156" s="15">
        <f t="shared" ca="1" si="95"/>
        <v>7</v>
      </c>
      <c r="R156" s="16" t="str">
        <f t="shared" ca="1" si="96"/>
        <v>—</v>
      </c>
      <c r="S156" s="15">
        <f t="shared" ca="1" si="97"/>
        <v>7</v>
      </c>
      <c r="T156" s="9" t="str">
        <f t="shared" ca="1" si="98"/>
        <v>—</v>
      </c>
      <c r="U156" s="15">
        <f t="shared" ca="1" si="99"/>
        <v>7</v>
      </c>
      <c r="V156" s="16" t="str">
        <f t="shared" ca="1" si="100"/>
        <v>—</v>
      </c>
      <c r="W156" s="15">
        <f t="shared" ca="1" si="101"/>
        <v>7</v>
      </c>
      <c r="X156" s="16" t="str">
        <f t="shared" ca="1" si="102"/>
        <v>—</v>
      </c>
      <c r="Y156" s="15">
        <f t="shared" ca="1" si="103"/>
        <v>7</v>
      </c>
      <c r="Z156" s="16" t="str">
        <f t="shared" ca="1" si="104"/>
        <v>—</v>
      </c>
      <c r="AA156" s="15">
        <f t="shared" ca="1" si="105"/>
        <v>7</v>
      </c>
      <c r="AB156" s="9" t="str">
        <f t="shared" ca="1" si="106"/>
        <v>—</v>
      </c>
      <c r="AC156" s="15">
        <f t="shared" ca="1" si="107"/>
        <v>7</v>
      </c>
      <c r="AD156" s="76" t="str">
        <f t="shared" ca="1" si="108"/>
        <v>—</v>
      </c>
      <c r="AE156" s="15">
        <f t="shared" ca="1" si="109"/>
        <v>7</v>
      </c>
      <c r="AF156" s="76" t="str">
        <f t="shared" ca="1" si="110"/>
        <v>—</v>
      </c>
      <c r="AG156" s="15">
        <f t="shared" ca="1" si="111"/>
        <v>7</v>
      </c>
      <c r="AH156" s="9" t="str">
        <f t="shared" ca="1" si="112"/>
        <v>—</v>
      </c>
      <c r="AI156" s="15">
        <f t="shared" ca="1" si="113"/>
        <v>7</v>
      </c>
      <c r="AJ156" s="26" t="str">
        <f t="shared" ca="1" si="114"/>
        <v>—</v>
      </c>
      <c r="AK156" s="15">
        <f t="shared" ca="1" si="115"/>
        <v>7</v>
      </c>
      <c r="AL156" s="9" t="str">
        <f t="shared" ca="1" si="116"/>
        <v>—</v>
      </c>
      <c r="AM156" s="15">
        <f t="shared" ca="1" si="117"/>
        <v>7</v>
      </c>
      <c r="AN156" s="9" t="str">
        <f t="shared" ca="1" si="118"/>
        <v>—</v>
      </c>
      <c r="AO156" s="15">
        <f t="shared" ca="1" si="119"/>
        <v>7</v>
      </c>
    </row>
    <row r="157" spans="1:41" x14ac:dyDescent="0.25">
      <c r="A157" s="4">
        <f t="shared" si="80"/>
        <v>78989</v>
      </c>
      <c r="B157" t="str">
        <f ca="1">TEXT(DATE(YEAR(Invoer!$A$5),1,1)+ROWS(B$2:B157)-1,"jjjjmmdd")</f>
        <v>19130605</v>
      </c>
      <c r="C157" s="72">
        <f t="shared" si="81"/>
        <v>800</v>
      </c>
      <c r="D157" s="16" t="str">
        <f t="shared" ca="1" si="82"/>
        <v>—</v>
      </c>
      <c r="E157" s="15">
        <f t="shared" ca="1" si="83"/>
        <v>7</v>
      </c>
      <c r="F157" s="73" t="str">
        <f t="shared" ca="1" si="84"/>
        <v>—</v>
      </c>
      <c r="G157" s="15">
        <f t="shared" ca="1" si="85"/>
        <v>7</v>
      </c>
      <c r="H157" s="73" t="str">
        <f t="shared" ca="1" si="86"/>
        <v>—</v>
      </c>
      <c r="I157" s="15">
        <f t="shared" ca="1" si="87"/>
        <v>7</v>
      </c>
      <c r="J157" s="73" t="str">
        <f t="shared" ca="1" si="88"/>
        <v>—</v>
      </c>
      <c r="K157" s="15">
        <f t="shared" ca="1" si="89"/>
        <v>7</v>
      </c>
      <c r="L157" s="16" t="str">
        <f t="shared" ca="1" si="90"/>
        <v>—</v>
      </c>
      <c r="M157" s="15">
        <f t="shared" ca="1" si="91"/>
        <v>7</v>
      </c>
      <c r="N157" s="16" t="str">
        <f t="shared" ca="1" si="92"/>
        <v>—</v>
      </c>
      <c r="O157" s="15">
        <f t="shared" ca="1" si="93"/>
        <v>7</v>
      </c>
      <c r="P157" s="16" t="str">
        <f t="shared" ca="1" si="94"/>
        <v>—</v>
      </c>
      <c r="Q157" s="15">
        <f t="shared" ca="1" si="95"/>
        <v>7</v>
      </c>
      <c r="R157" s="16" t="str">
        <f t="shared" ca="1" si="96"/>
        <v>—</v>
      </c>
      <c r="S157" s="15">
        <f t="shared" ca="1" si="97"/>
        <v>7</v>
      </c>
      <c r="T157" s="9" t="str">
        <f t="shared" ca="1" si="98"/>
        <v>—</v>
      </c>
      <c r="U157" s="15">
        <f t="shared" ca="1" si="99"/>
        <v>7</v>
      </c>
      <c r="V157" s="16" t="str">
        <f t="shared" ca="1" si="100"/>
        <v>—</v>
      </c>
      <c r="W157" s="15">
        <f t="shared" ca="1" si="101"/>
        <v>7</v>
      </c>
      <c r="X157" s="16" t="str">
        <f t="shared" ca="1" si="102"/>
        <v>—</v>
      </c>
      <c r="Y157" s="15">
        <f t="shared" ca="1" si="103"/>
        <v>7</v>
      </c>
      <c r="Z157" s="16" t="str">
        <f t="shared" ca="1" si="104"/>
        <v>—</v>
      </c>
      <c r="AA157" s="15">
        <f t="shared" ca="1" si="105"/>
        <v>7</v>
      </c>
      <c r="AB157" s="9" t="str">
        <f t="shared" ca="1" si="106"/>
        <v>—</v>
      </c>
      <c r="AC157" s="15">
        <f t="shared" ca="1" si="107"/>
        <v>7</v>
      </c>
      <c r="AD157" s="76" t="str">
        <f t="shared" ca="1" si="108"/>
        <v>—</v>
      </c>
      <c r="AE157" s="15">
        <f t="shared" ca="1" si="109"/>
        <v>7</v>
      </c>
      <c r="AF157" s="76" t="str">
        <f t="shared" ca="1" si="110"/>
        <v>—</v>
      </c>
      <c r="AG157" s="15">
        <f t="shared" ca="1" si="111"/>
        <v>7</v>
      </c>
      <c r="AH157" s="9" t="str">
        <f t="shared" ca="1" si="112"/>
        <v>—</v>
      </c>
      <c r="AI157" s="15">
        <f t="shared" ca="1" si="113"/>
        <v>7</v>
      </c>
      <c r="AJ157" s="26" t="str">
        <f t="shared" ca="1" si="114"/>
        <v>—</v>
      </c>
      <c r="AK157" s="15">
        <f t="shared" ca="1" si="115"/>
        <v>7</v>
      </c>
      <c r="AL157" s="9" t="str">
        <f t="shared" ca="1" si="116"/>
        <v>—</v>
      </c>
      <c r="AM157" s="15">
        <f t="shared" ca="1" si="117"/>
        <v>7</v>
      </c>
      <c r="AN157" s="9" t="str">
        <f t="shared" ca="1" si="118"/>
        <v>—</v>
      </c>
      <c r="AO157" s="15">
        <f t="shared" ca="1" si="119"/>
        <v>7</v>
      </c>
    </row>
    <row r="158" spans="1:41" x14ac:dyDescent="0.25">
      <c r="A158" s="4">
        <f t="shared" si="80"/>
        <v>78989</v>
      </c>
      <c r="B158" t="str">
        <f ca="1">TEXT(DATE(YEAR(Invoer!$A$5),1,1)+ROWS(B$2:B158)-1,"jjjjmmdd")</f>
        <v>19130606</v>
      </c>
      <c r="C158" s="72">
        <f t="shared" si="81"/>
        <v>800</v>
      </c>
      <c r="D158" s="16" t="str">
        <f t="shared" ca="1" si="82"/>
        <v>—</v>
      </c>
      <c r="E158" s="15">
        <f t="shared" ca="1" si="83"/>
        <v>7</v>
      </c>
      <c r="F158" s="73" t="str">
        <f t="shared" ca="1" si="84"/>
        <v>—</v>
      </c>
      <c r="G158" s="15">
        <f t="shared" ca="1" si="85"/>
        <v>7</v>
      </c>
      <c r="H158" s="73" t="str">
        <f t="shared" ca="1" si="86"/>
        <v>—</v>
      </c>
      <c r="I158" s="15">
        <f t="shared" ca="1" si="87"/>
        <v>7</v>
      </c>
      <c r="J158" s="73" t="str">
        <f t="shared" ca="1" si="88"/>
        <v>—</v>
      </c>
      <c r="K158" s="15">
        <f t="shared" ca="1" si="89"/>
        <v>7</v>
      </c>
      <c r="L158" s="16" t="str">
        <f t="shared" ca="1" si="90"/>
        <v>—</v>
      </c>
      <c r="M158" s="15">
        <f t="shared" ca="1" si="91"/>
        <v>7</v>
      </c>
      <c r="N158" s="16" t="str">
        <f t="shared" ca="1" si="92"/>
        <v>—</v>
      </c>
      <c r="O158" s="15">
        <f t="shared" ca="1" si="93"/>
        <v>7</v>
      </c>
      <c r="P158" s="16" t="str">
        <f t="shared" ca="1" si="94"/>
        <v>—</v>
      </c>
      <c r="Q158" s="15">
        <f t="shared" ca="1" si="95"/>
        <v>7</v>
      </c>
      <c r="R158" s="16" t="str">
        <f t="shared" ca="1" si="96"/>
        <v>—</v>
      </c>
      <c r="S158" s="15">
        <f t="shared" ca="1" si="97"/>
        <v>7</v>
      </c>
      <c r="T158" s="9" t="str">
        <f t="shared" ca="1" si="98"/>
        <v>—</v>
      </c>
      <c r="U158" s="15">
        <f t="shared" ca="1" si="99"/>
        <v>7</v>
      </c>
      <c r="V158" s="16" t="str">
        <f t="shared" ca="1" si="100"/>
        <v>—</v>
      </c>
      <c r="W158" s="15">
        <f t="shared" ca="1" si="101"/>
        <v>7</v>
      </c>
      <c r="X158" s="16" t="str">
        <f t="shared" ca="1" si="102"/>
        <v>—</v>
      </c>
      <c r="Y158" s="15">
        <f t="shared" ca="1" si="103"/>
        <v>7</v>
      </c>
      <c r="Z158" s="16" t="str">
        <f t="shared" ca="1" si="104"/>
        <v>—</v>
      </c>
      <c r="AA158" s="15">
        <f t="shared" ca="1" si="105"/>
        <v>7</v>
      </c>
      <c r="AB158" s="9" t="str">
        <f t="shared" ca="1" si="106"/>
        <v>—</v>
      </c>
      <c r="AC158" s="15">
        <f t="shared" ca="1" si="107"/>
        <v>7</v>
      </c>
      <c r="AD158" s="76" t="str">
        <f t="shared" ca="1" si="108"/>
        <v>—</v>
      </c>
      <c r="AE158" s="15">
        <f t="shared" ca="1" si="109"/>
        <v>7</v>
      </c>
      <c r="AF158" s="76" t="str">
        <f t="shared" ca="1" si="110"/>
        <v>—</v>
      </c>
      <c r="AG158" s="15">
        <f t="shared" ca="1" si="111"/>
        <v>7</v>
      </c>
      <c r="AH158" s="9" t="str">
        <f t="shared" ca="1" si="112"/>
        <v>—</v>
      </c>
      <c r="AI158" s="15">
        <f t="shared" ca="1" si="113"/>
        <v>7</v>
      </c>
      <c r="AJ158" s="26" t="str">
        <f t="shared" ca="1" si="114"/>
        <v>—</v>
      </c>
      <c r="AK158" s="15">
        <f t="shared" ca="1" si="115"/>
        <v>7</v>
      </c>
      <c r="AL158" s="9" t="str">
        <f t="shared" ca="1" si="116"/>
        <v>—</v>
      </c>
      <c r="AM158" s="15">
        <f t="shared" ca="1" si="117"/>
        <v>7</v>
      </c>
      <c r="AN158" s="9" t="str">
        <f t="shared" ca="1" si="118"/>
        <v>—</v>
      </c>
      <c r="AO158" s="15">
        <f t="shared" ca="1" si="119"/>
        <v>7</v>
      </c>
    </row>
    <row r="159" spans="1:41" x14ac:dyDescent="0.25">
      <c r="A159" s="4">
        <f t="shared" si="80"/>
        <v>78989</v>
      </c>
      <c r="B159" t="str">
        <f ca="1">TEXT(DATE(YEAR(Invoer!$A$5),1,1)+ROWS(B$2:B159)-1,"jjjjmmdd")</f>
        <v>19130607</v>
      </c>
      <c r="C159" s="72">
        <f t="shared" si="81"/>
        <v>800</v>
      </c>
      <c r="D159" s="16" t="str">
        <f t="shared" ca="1" si="82"/>
        <v>—</v>
      </c>
      <c r="E159" s="15">
        <f t="shared" ca="1" si="83"/>
        <v>7</v>
      </c>
      <c r="F159" s="73" t="str">
        <f t="shared" ca="1" si="84"/>
        <v>—</v>
      </c>
      <c r="G159" s="15">
        <f t="shared" ca="1" si="85"/>
        <v>7</v>
      </c>
      <c r="H159" s="73" t="str">
        <f t="shared" ca="1" si="86"/>
        <v>—</v>
      </c>
      <c r="I159" s="15">
        <f t="shared" ca="1" si="87"/>
        <v>7</v>
      </c>
      <c r="J159" s="73" t="str">
        <f t="shared" ca="1" si="88"/>
        <v>—</v>
      </c>
      <c r="K159" s="15">
        <f t="shared" ca="1" si="89"/>
        <v>7</v>
      </c>
      <c r="L159" s="16" t="str">
        <f t="shared" ca="1" si="90"/>
        <v>—</v>
      </c>
      <c r="M159" s="15">
        <f t="shared" ca="1" si="91"/>
        <v>7</v>
      </c>
      <c r="N159" s="16" t="str">
        <f t="shared" ca="1" si="92"/>
        <v>—</v>
      </c>
      <c r="O159" s="15">
        <f t="shared" ca="1" si="93"/>
        <v>7</v>
      </c>
      <c r="P159" s="16" t="str">
        <f t="shared" ca="1" si="94"/>
        <v>—</v>
      </c>
      <c r="Q159" s="15">
        <f t="shared" ca="1" si="95"/>
        <v>7</v>
      </c>
      <c r="R159" s="16" t="str">
        <f t="shared" ca="1" si="96"/>
        <v>—</v>
      </c>
      <c r="S159" s="15">
        <f t="shared" ca="1" si="97"/>
        <v>7</v>
      </c>
      <c r="T159" s="9" t="str">
        <f t="shared" ca="1" si="98"/>
        <v>—</v>
      </c>
      <c r="U159" s="15">
        <f t="shared" ca="1" si="99"/>
        <v>7</v>
      </c>
      <c r="V159" s="16" t="str">
        <f t="shared" ca="1" si="100"/>
        <v>—</v>
      </c>
      <c r="W159" s="15">
        <f t="shared" ca="1" si="101"/>
        <v>7</v>
      </c>
      <c r="X159" s="16" t="str">
        <f t="shared" ca="1" si="102"/>
        <v>—</v>
      </c>
      <c r="Y159" s="15">
        <f t="shared" ca="1" si="103"/>
        <v>7</v>
      </c>
      <c r="Z159" s="16" t="str">
        <f t="shared" ca="1" si="104"/>
        <v>—</v>
      </c>
      <c r="AA159" s="15">
        <f t="shared" ca="1" si="105"/>
        <v>7</v>
      </c>
      <c r="AB159" s="9" t="str">
        <f t="shared" ca="1" si="106"/>
        <v>—</v>
      </c>
      <c r="AC159" s="15">
        <f t="shared" ca="1" si="107"/>
        <v>7</v>
      </c>
      <c r="AD159" s="76" t="str">
        <f t="shared" ca="1" si="108"/>
        <v>—</v>
      </c>
      <c r="AE159" s="15">
        <f t="shared" ca="1" si="109"/>
        <v>7</v>
      </c>
      <c r="AF159" s="76" t="str">
        <f t="shared" ca="1" si="110"/>
        <v>—</v>
      </c>
      <c r="AG159" s="15">
        <f t="shared" ca="1" si="111"/>
        <v>7</v>
      </c>
      <c r="AH159" s="9" t="str">
        <f t="shared" ca="1" si="112"/>
        <v>—</v>
      </c>
      <c r="AI159" s="15">
        <f t="shared" ca="1" si="113"/>
        <v>7</v>
      </c>
      <c r="AJ159" s="26" t="str">
        <f t="shared" ca="1" si="114"/>
        <v>—</v>
      </c>
      <c r="AK159" s="15">
        <f t="shared" ca="1" si="115"/>
        <v>7</v>
      </c>
      <c r="AL159" s="9" t="str">
        <f t="shared" ca="1" si="116"/>
        <v>—</v>
      </c>
      <c r="AM159" s="15">
        <f t="shared" ca="1" si="117"/>
        <v>7</v>
      </c>
      <c r="AN159" s="9" t="str">
        <f t="shared" ca="1" si="118"/>
        <v>—</v>
      </c>
      <c r="AO159" s="15">
        <f t="shared" ca="1" si="119"/>
        <v>7</v>
      </c>
    </row>
    <row r="160" spans="1:41" x14ac:dyDescent="0.25">
      <c r="A160" s="4">
        <f t="shared" si="80"/>
        <v>78989</v>
      </c>
      <c r="B160" t="str">
        <f ca="1">TEXT(DATE(YEAR(Invoer!$A$5),1,1)+ROWS(B$2:B160)-1,"jjjjmmdd")</f>
        <v>19130608</v>
      </c>
      <c r="C160" s="72">
        <f t="shared" si="81"/>
        <v>800</v>
      </c>
      <c r="D160" s="16" t="str">
        <f t="shared" ca="1" si="82"/>
        <v>—</v>
      </c>
      <c r="E160" s="15">
        <f t="shared" ca="1" si="83"/>
        <v>7</v>
      </c>
      <c r="F160" s="73" t="str">
        <f t="shared" ca="1" si="84"/>
        <v>—</v>
      </c>
      <c r="G160" s="15">
        <f t="shared" ca="1" si="85"/>
        <v>7</v>
      </c>
      <c r="H160" s="73" t="str">
        <f t="shared" ca="1" si="86"/>
        <v>—</v>
      </c>
      <c r="I160" s="15">
        <f t="shared" ca="1" si="87"/>
        <v>7</v>
      </c>
      <c r="J160" s="73" t="str">
        <f t="shared" ca="1" si="88"/>
        <v>—</v>
      </c>
      <c r="K160" s="15">
        <f t="shared" ca="1" si="89"/>
        <v>7</v>
      </c>
      <c r="L160" s="16" t="str">
        <f t="shared" ca="1" si="90"/>
        <v>—</v>
      </c>
      <c r="M160" s="15">
        <f t="shared" ca="1" si="91"/>
        <v>7</v>
      </c>
      <c r="N160" s="16" t="str">
        <f t="shared" ca="1" si="92"/>
        <v>—</v>
      </c>
      <c r="O160" s="15">
        <f t="shared" ca="1" si="93"/>
        <v>7</v>
      </c>
      <c r="P160" s="16" t="str">
        <f t="shared" ca="1" si="94"/>
        <v>—</v>
      </c>
      <c r="Q160" s="15">
        <f t="shared" ca="1" si="95"/>
        <v>7</v>
      </c>
      <c r="R160" s="16" t="str">
        <f t="shared" ca="1" si="96"/>
        <v>—</v>
      </c>
      <c r="S160" s="15">
        <f t="shared" ca="1" si="97"/>
        <v>7</v>
      </c>
      <c r="T160" s="9" t="str">
        <f t="shared" ca="1" si="98"/>
        <v>—</v>
      </c>
      <c r="U160" s="15">
        <f t="shared" ca="1" si="99"/>
        <v>7</v>
      </c>
      <c r="V160" s="16" t="str">
        <f t="shared" ca="1" si="100"/>
        <v>—</v>
      </c>
      <c r="W160" s="15">
        <f t="shared" ca="1" si="101"/>
        <v>7</v>
      </c>
      <c r="X160" s="16" t="str">
        <f t="shared" ca="1" si="102"/>
        <v>—</v>
      </c>
      <c r="Y160" s="15">
        <f t="shared" ca="1" si="103"/>
        <v>7</v>
      </c>
      <c r="Z160" s="16" t="str">
        <f t="shared" ca="1" si="104"/>
        <v>—</v>
      </c>
      <c r="AA160" s="15">
        <f t="shared" ca="1" si="105"/>
        <v>7</v>
      </c>
      <c r="AB160" s="9" t="str">
        <f t="shared" ca="1" si="106"/>
        <v>—</v>
      </c>
      <c r="AC160" s="15">
        <f t="shared" ca="1" si="107"/>
        <v>7</v>
      </c>
      <c r="AD160" s="76" t="str">
        <f t="shared" ca="1" si="108"/>
        <v>—</v>
      </c>
      <c r="AE160" s="15">
        <f t="shared" ca="1" si="109"/>
        <v>7</v>
      </c>
      <c r="AF160" s="76" t="str">
        <f t="shared" ca="1" si="110"/>
        <v>—</v>
      </c>
      <c r="AG160" s="15">
        <f t="shared" ca="1" si="111"/>
        <v>7</v>
      </c>
      <c r="AH160" s="9" t="str">
        <f t="shared" ca="1" si="112"/>
        <v>—</v>
      </c>
      <c r="AI160" s="15">
        <f t="shared" ca="1" si="113"/>
        <v>7</v>
      </c>
      <c r="AJ160" s="26" t="str">
        <f t="shared" ca="1" si="114"/>
        <v>—</v>
      </c>
      <c r="AK160" s="15">
        <f t="shared" ca="1" si="115"/>
        <v>7</v>
      </c>
      <c r="AL160" s="9" t="str">
        <f t="shared" ca="1" si="116"/>
        <v>—</v>
      </c>
      <c r="AM160" s="15">
        <f t="shared" ca="1" si="117"/>
        <v>7</v>
      </c>
      <c r="AN160" s="9" t="str">
        <f t="shared" ca="1" si="118"/>
        <v>—</v>
      </c>
      <c r="AO160" s="15">
        <f t="shared" ca="1" si="119"/>
        <v>7</v>
      </c>
    </row>
    <row r="161" spans="1:41" x14ac:dyDescent="0.25">
      <c r="A161" s="4">
        <f t="shared" si="80"/>
        <v>78989</v>
      </c>
      <c r="B161" t="str">
        <f ca="1">TEXT(DATE(YEAR(Invoer!$A$5),1,1)+ROWS(B$2:B161)-1,"jjjjmmdd")</f>
        <v>19130609</v>
      </c>
      <c r="C161" s="72">
        <f t="shared" si="81"/>
        <v>800</v>
      </c>
      <c r="D161" s="16" t="str">
        <f t="shared" ca="1" si="82"/>
        <v>—</v>
      </c>
      <c r="E161" s="15">
        <f t="shared" ca="1" si="83"/>
        <v>7</v>
      </c>
      <c r="F161" s="73" t="str">
        <f t="shared" ca="1" si="84"/>
        <v>—</v>
      </c>
      <c r="G161" s="15">
        <f t="shared" ca="1" si="85"/>
        <v>7</v>
      </c>
      <c r="H161" s="73" t="str">
        <f t="shared" ca="1" si="86"/>
        <v>—</v>
      </c>
      <c r="I161" s="15">
        <f t="shared" ca="1" si="87"/>
        <v>7</v>
      </c>
      <c r="J161" s="73" t="str">
        <f t="shared" ca="1" si="88"/>
        <v>—</v>
      </c>
      <c r="K161" s="15">
        <f t="shared" ca="1" si="89"/>
        <v>7</v>
      </c>
      <c r="L161" s="16" t="str">
        <f t="shared" ca="1" si="90"/>
        <v>—</v>
      </c>
      <c r="M161" s="15">
        <f t="shared" ca="1" si="91"/>
        <v>7</v>
      </c>
      <c r="N161" s="16" t="str">
        <f t="shared" ca="1" si="92"/>
        <v>—</v>
      </c>
      <c r="O161" s="15">
        <f t="shared" ca="1" si="93"/>
        <v>7</v>
      </c>
      <c r="P161" s="16" t="str">
        <f t="shared" ca="1" si="94"/>
        <v>—</v>
      </c>
      <c r="Q161" s="15">
        <f t="shared" ca="1" si="95"/>
        <v>7</v>
      </c>
      <c r="R161" s="16" t="str">
        <f t="shared" ca="1" si="96"/>
        <v>—</v>
      </c>
      <c r="S161" s="15">
        <f t="shared" ca="1" si="97"/>
        <v>7</v>
      </c>
      <c r="T161" s="9" t="str">
        <f t="shared" ca="1" si="98"/>
        <v>—</v>
      </c>
      <c r="U161" s="15">
        <f t="shared" ca="1" si="99"/>
        <v>7</v>
      </c>
      <c r="V161" s="16" t="str">
        <f t="shared" ca="1" si="100"/>
        <v>—</v>
      </c>
      <c r="W161" s="15">
        <f t="shared" ca="1" si="101"/>
        <v>7</v>
      </c>
      <c r="X161" s="16" t="str">
        <f t="shared" ca="1" si="102"/>
        <v>—</v>
      </c>
      <c r="Y161" s="15">
        <f t="shared" ca="1" si="103"/>
        <v>7</v>
      </c>
      <c r="Z161" s="16" t="str">
        <f t="shared" ca="1" si="104"/>
        <v>—</v>
      </c>
      <c r="AA161" s="15">
        <f t="shared" ca="1" si="105"/>
        <v>7</v>
      </c>
      <c r="AB161" s="9" t="str">
        <f t="shared" ca="1" si="106"/>
        <v>—</v>
      </c>
      <c r="AC161" s="15">
        <f t="shared" ca="1" si="107"/>
        <v>7</v>
      </c>
      <c r="AD161" s="76" t="str">
        <f t="shared" ca="1" si="108"/>
        <v>—</v>
      </c>
      <c r="AE161" s="15">
        <f t="shared" ca="1" si="109"/>
        <v>7</v>
      </c>
      <c r="AF161" s="76" t="str">
        <f t="shared" ca="1" si="110"/>
        <v>—</v>
      </c>
      <c r="AG161" s="15">
        <f t="shared" ca="1" si="111"/>
        <v>7</v>
      </c>
      <c r="AH161" s="9" t="str">
        <f t="shared" ca="1" si="112"/>
        <v>—</v>
      </c>
      <c r="AI161" s="15">
        <f t="shared" ca="1" si="113"/>
        <v>7</v>
      </c>
      <c r="AJ161" s="26" t="str">
        <f t="shared" ca="1" si="114"/>
        <v>—</v>
      </c>
      <c r="AK161" s="15">
        <f t="shared" ca="1" si="115"/>
        <v>7</v>
      </c>
      <c r="AL161" s="9" t="str">
        <f t="shared" ca="1" si="116"/>
        <v>—</v>
      </c>
      <c r="AM161" s="15">
        <f t="shared" ca="1" si="117"/>
        <v>7</v>
      </c>
      <c r="AN161" s="9" t="str">
        <f t="shared" ca="1" si="118"/>
        <v>—</v>
      </c>
      <c r="AO161" s="15">
        <f t="shared" ca="1" si="119"/>
        <v>7</v>
      </c>
    </row>
    <row r="162" spans="1:41" x14ac:dyDescent="0.25">
      <c r="A162" s="4">
        <f t="shared" si="80"/>
        <v>78989</v>
      </c>
      <c r="B162" t="str">
        <f ca="1">TEXT(DATE(YEAR(Invoer!$A$5),1,1)+ROWS(B$2:B162)-1,"jjjjmmdd")</f>
        <v>19130610</v>
      </c>
      <c r="C162" s="72">
        <f t="shared" si="81"/>
        <v>800</v>
      </c>
      <c r="D162" s="16" t="str">
        <f t="shared" ca="1" si="82"/>
        <v>—</v>
      </c>
      <c r="E162" s="15">
        <f t="shared" ca="1" si="83"/>
        <v>7</v>
      </c>
      <c r="F162" s="73" t="str">
        <f t="shared" ca="1" si="84"/>
        <v>—</v>
      </c>
      <c r="G162" s="15">
        <f t="shared" ca="1" si="85"/>
        <v>7</v>
      </c>
      <c r="H162" s="73" t="str">
        <f t="shared" ca="1" si="86"/>
        <v>—</v>
      </c>
      <c r="I162" s="15">
        <f t="shared" ca="1" si="87"/>
        <v>7</v>
      </c>
      <c r="J162" s="73" t="str">
        <f t="shared" ca="1" si="88"/>
        <v>—</v>
      </c>
      <c r="K162" s="15">
        <f t="shared" ca="1" si="89"/>
        <v>7</v>
      </c>
      <c r="L162" s="16" t="str">
        <f t="shared" ca="1" si="90"/>
        <v>—</v>
      </c>
      <c r="M162" s="15">
        <f t="shared" ca="1" si="91"/>
        <v>7</v>
      </c>
      <c r="N162" s="16" t="str">
        <f t="shared" ca="1" si="92"/>
        <v>—</v>
      </c>
      <c r="O162" s="15">
        <f t="shared" ca="1" si="93"/>
        <v>7</v>
      </c>
      <c r="P162" s="16" t="str">
        <f t="shared" ca="1" si="94"/>
        <v>—</v>
      </c>
      <c r="Q162" s="15">
        <f t="shared" ca="1" si="95"/>
        <v>7</v>
      </c>
      <c r="R162" s="16" t="str">
        <f t="shared" ca="1" si="96"/>
        <v>—</v>
      </c>
      <c r="S162" s="15">
        <f t="shared" ca="1" si="97"/>
        <v>7</v>
      </c>
      <c r="T162" s="9" t="str">
        <f t="shared" ca="1" si="98"/>
        <v>—</v>
      </c>
      <c r="U162" s="15">
        <f t="shared" ca="1" si="99"/>
        <v>7</v>
      </c>
      <c r="V162" s="16" t="str">
        <f t="shared" ca="1" si="100"/>
        <v>—</v>
      </c>
      <c r="W162" s="15">
        <f t="shared" ca="1" si="101"/>
        <v>7</v>
      </c>
      <c r="X162" s="16" t="str">
        <f t="shared" ca="1" si="102"/>
        <v>—</v>
      </c>
      <c r="Y162" s="15">
        <f t="shared" ca="1" si="103"/>
        <v>7</v>
      </c>
      <c r="Z162" s="16" t="str">
        <f t="shared" ca="1" si="104"/>
        <v>—</v>
      </c>
      <c r="AA162" s="15">
        <f t="shared" ca="1" si="105"/>
        <v>7</v>
      </c>
      <c r="AB162" s="9" t="str">
        <f t="shared" ca="1" si="106"/>
        <v>—</v>
      </c>
      <c r="AC162" s="15">
        <f t="shared" ca="1" si="107"/>
        <v>7</v>
      </c>
      <c r="AD162" s="76" t="str">
        <f t="shared" ca="1" si="108"/>
        <v>—</v>
      </c>
      <c r="AE162" s="15">
        <f t="shared" ca="1" si="109"/>
        <v>7</v>
      </c>
      <c r="AF162" s="76" t="str">
        <f t="shared" ca="1" si="110"/>
        <v>—</v>
      </c>
      <c r="AG162" s="15">
        <f t="shared" ca="1" si="111"/>
        <v>7</v>
      </c>
      <c r="AH162" s="9" t="str">
        <f t="shared" ca="1" si="112"/>
        <v>—</v>
      </c>
      <c r="AI162" s="15">
        <f t="shared" ca="1" si="113"/>
        <v>7</v>
      </c>
      <c r="AJ162" s="26" t="str">
        <f t="shared" ca="1" si="114"/>
        <v>—</v>
      </c>
      <c r="AK162" s="15">
        <f t="shared" ca="1" si="115"/>
        <v>7</v>
      </c>
      <c r="AL162" s="9" t="str">
        <f t="shared" ca="1" si="116"/>
        <v>—</v>
      </c>
      <c r="AM162" s="15">
        <f t="shared" ca="1" si="117"/>
        <v>7</v>
      </c>
      <c r="AN162" s="9" t="str">
        <f t="shared" ca="1" si="118"/>
        <v>—</v>
      </c>
      <c r="AO162" s="15">
        <f t="shared" ca="1" si="119"/>
        <v>7</v>
      </c>
    </row>
    <row r="163" spans="1:41" x14ac:dyDescent="0.25">
      <c r="A163" s="4">
        <f t="shared" si="80"/>
        <v>78989</v>
      </c>
      <c r="B163" t="str">
        <f ca="1">TEXT(DATE(YEAR(Invoer!$A$5),1,1)+ROWS(B$2:B163)-1,"jjjjmmdd")</f>
        <v>19130611</v>
      </c>
      <c r="C163" s="72">
        <f t="shared" si="81"/>
        <v>800</v>
      </c>
      <c r="D163" s="16" t="str">
        <f t="shared" ca="1" si="82"/>
        <v>—</v>
      </c>
      <c r="E163" s="15">
        <f t="shared" ca="1" si="83"/>
        <v>7</v>
      </c>
      <c r="F163" s="73" t="str">
        <f t="shared" ca="1" si="84"/>
        <v>—</v>
      </c>
      <c r="G163" s="15">
        <f t="shared" ca="1" si="85"/>
        <v>7</v>
      </c>
      <c r="H163" s="73" t="str">
        <f t="shared" ca="1" si="86"/>
        <v>—</v>
      </c>
      <c r="I163" s="15">
        <f t="shared" ca="1" si="87"/>
        <v>7</v>
      </c>
      <c r="J163" s="73" t="str">
        <f t="shared" ca="1" si="88"/>
        <v>—</v>
      </c>
      <c r="K163" s="15">
        <f t="shared" ca="1" si="89"/>
        <v>7</v>
      </c>
      <c r="L163" s="16" t="str">
        <f t="shared" ca="1" si="90"/>
        <v>—</v>
      </c>
      <c r="M163" s="15">
        <f t="shared" ca="1" si="91"/>
        <v>7</v>
      </c>
      <c r="N163" s="16" t="str">
        <f t="shared" ca="1" si="92"/>
        <v>—</v>
      </c>
      <c r="O163" s="15">
        <f t="shared" ca="1" si="93"/>
        <v>7</v>
      </c>
      <c r="P163" s="16" t="str">
        <f t="shared" ca="1" si="94"/>
        <v>—</v>
      </c>
      <c r="Q163" s="15">
        <f t="shared" ca="1" si="95"/>
        <v>7</v>
      </c>
      <c r="R163" s="16" t="str">
        <f t="shared" ca="1" si="96"/>
        <v>—</v>
      </c>
      <c r="S163" s="15">
        <f t="shared" ca="1" si="97"/>
        <v>7</v>
      </c>
      <c r="T163" s="9" t="str">
        <f t="shared" ca="1" si="98"/>
        <v>—</v>
      </c>
      <c r="U163" s="15">
        <f t="shared" ca="1" si="99"/>
        <v>7</v>
      </c>
      <c r="V163" s="16" t="str">
        <f t="shared" ca="1" si="100"/>
        <v>—</v>
      </c>
      <c r="W163" s="15">
        <f t="shared" ca="1" si="101"/>
        <v>7</v>
      </c>
      <c r="X163" s="16" t="str">
        <f t="shared" ca="1" si="102"/>
        <v>—</v>
      </c>
      <c r="Y163" s="15">
        <f t="shared" ca="1" si="103"/>
        <v>7</v>
      </c>
      <c r="Z163" s="16" t="str">
        <f t="shared" ca="1" si="104"/>
        <v>—</v>
      </c>
      <c r="AA163" s="15">
        <f t="shared" ca="1" si="105"/>
        <v>7</v>
      </c>
      <c r="AB163" s="9" t="str">
        <f t="shared" ca="1" si="106"/>
        <v>—</v>
      </c>
      <c r="AC163" s="15">
        <f t="shared" ca="1" si="107"/>
        <v>7</v>
      </c>
      <c r="AD163" s="76" t="str">
        <f t="shared" ca="1" si="108"/>
        <v>—</v>
      </c>
      <c r="AE163" s="15">
        <f t="shared" ca="1" si="109"/>
        <v>7</v>
      </c>
      <c r="AF163" s="76" t="str">
        <f t="shared" ca="1" si="110"/>
        <v>—</v>
      </c>
      <c r="AG163" s="15">
        <f t="shared" ca="1" si="111"/>
        <v>7</v>
      </c>
      <c r="AH163" s="9" t="str">
        <f t="shared" ca="1" si="112"/>
        <v>—</v>
      </c>
      <c r="AI163" s="15">
        <f t="shared" ca="1" si="113"/>
        <v>7</v>
      </c>
      <c r="AJ163" s="26" t="str">
        <f t="shared" ca="1" si="114"/>
        <v>—</v>
      </c>
      <c r="AK163" s="15">
        <f t="shared" ca="1" si="115"/>
        <v>7</v>
      </c>
      <c r="AL163" s="9" t="str">
        <f t="shared" ca="1" si="116"/>
        <v>—</v>
      </c>
      <c r="AM163" s="15">
        <f t="shared" ca="1" si="117"/>
        <v>7</v>
      </c>
      <c r="AN163" s="9" t="str">
        <f t="shared" ca="1" si="118"/>
        <v>—</v>
      </c>
      <c r="AO163" s="15">
        <f t="shared" ca="1" si="119"/>
        <v>7</v>
      </c>
    </row>
    <row r="164" spans="1:41" x14ac:dyDescent="0.25">
      <c r="A164" s="4">
        <f t="shared" si="80"/>
        <v>78989</v>
      </c>
      <c r="B164" t="str">
        <f ca="1">TEXT(DATE(YEAR(Invoer!$A$5),1,1)+ROWS(B$2:B164)-1,"jjjjmmdd")</f>
        <v>19130612</v>
      </c>
      <c r="C164" s="72">
        <f t="shared" si="81"/>
        <v>800</v>
      </c>
      <c r="D164" s="16" t="str">
        <f t="shared" ca="1" si="82"/>
        <v>—</v>
      </c>
      <c r="E164" s="15">
        <f t="shared" ca="1" si="83"/>
        <v>7</v>
      </c>
      <c r="F164" s="73" t="str">
        <f t="shared" ca="1" si="84"/>
        <v>—</v>
      </c>
      <c r="G164" s="15">
        <f t="shared" ca="1" si="85"/>
        <v>7</v>
      </c>
      <c r="H164" s="73" t="str">
        <f t="shared" ca="1" si="86"/>
        <v>—</v>
      </c>
      <c r="I164" s="15">
        <f t="shared" ca="1" si="87"/>
        <v>7</v>
      </c>
      <c r="J164" s="73" t="str">
        <f t="shared" ca="1" si="88"/>
        <v>—</v>
      </c>
      <c r="K164" s="15">
        <f t="shared" ca="1" si="89"/>
        <v>7</v>
      </c>
      <c r="L164" s="16" t="str">
        <f t="shared" ca="1" si="90"/>
        <v>—</v>
      </c>
      <c r="M164" s="15">
        <f t="shared" ca="1" si="91"/>
        <v>7</v>
      </c>
      <c r="N164" s="16" t="str">
        <f t="shared" ca="1" si="92"/>
        <v>—</v>
      </c>
      <c r="O164" s="15">
        <f t="shared" ca="1" si="93"/>
        <v>7</v>
      </c>
      <c r="P164" s="16" t="str">
        <f t="shared" ca="1" si="94"/>
        <v>—</v>
      </c>
      <c r="Q164" s="15">
        <f t="shared" ca="1" si="95"/>
        <v>7</v>
      </c>
      <c r="R164" s="16" t="str">
        <f t="shared" ca="1" si="96"/>
        <v>—</v>
      </c>
      <c r="S164" s="15">
        <f t="shared" ca="1" si="97"/>
        <v>7</v>
      </c>
      <c r="T164" s="9" t="str">
        <f t="shared" ca="1" si="98"/>
        <v>—</v>
      </c>
      <c r="U164" s="15">
        <f t="shared" ca="1" si="99"/>
        <v>7</v>
      </c>
      <c r="V164" s="16" t="str">
        <f t="shared" ca="1" si="100"/>
        <v>—</v>
      </c>
      <c r="W164" s="15">
        <f t="shared" ca="1" si="101"/>
        <v>7</v>
      </c>
      <c r="X164" s="16" t="str">
        <f t="shared" ca="1" si="102"/>
        <v>—</v>
      </c>
      <c r="Y164" s="15">
        <f t="shared" ca="1" si="103"/>
        <v>7</v>
      </c>
      <c r="Z164" s="16" t="str">
        <f t="shared" ca="1" si="104"/>
        <v>—</v>
      </c>
      <c r="AA164" s="15">
        <f t="shared" ca="1" si="105"/>
        <v>7</v>
      </c>
      <c r="AB164" s="9" t="str">
        <f t="shared" ca="1" si="106"/>
        <v>—</v>
      </c>
      <c r="AC164" s="15">
        <f t="shared" ca="1" si="107"/>
        <v>7</v>
      </c>
      <c r="AD164" s="76" t="str">
        <f t="shared" ca="1" si="108"/>
        <v>—</v>
      </c>
      <c r="AE164" s="15">
        <f t="shared" ca="1" si="109"/>
        <v>7</v>
      </c>
      <c r="AF164" s="76" t="str">
        <f t="shared" ca="1" si="110"/>
        <v>—</v>
      </c>
      <c r="AG164" s="15">
        <f t="shared" ca="1" si="111"/>
        <v>7</v>
      </c>
      <c r="AH164" s="9" t="str">
        <f t="shared" ca="1" si="112"/>
        <v>—</v>
      </c>
      <c r="AI164" s="15">
        <f t="shared" ca="1" si="113"/>
        <v>7</v>
      </c>
      <c r="AJ164" s="26" t="str">
        <f t="shared" ca="1" si="114"/>
        <v>—</v>
      </c>
      <c r="AK164" s="15">
        <f t="shared" ca="1" si="115"/>
        <v>7</v>
      </c>
      <c r="AL164" s="9" t="str">
        <f t="shared" ca="1" si="116"/>
        <v>—</v>
      </c>
      <c r="AM164" s="15">
        <f t="shared" ca="1" si="117"/>
        <v>7</v>
      </c>
      <c r="AN164" s="9" t="str">
        <f t="shared" ca="1" si="118"/>
        <v>—</v>
      </c>
      <c r="AO164" s="15">
        <f t="shared" ca="1" si="119"/>
        <v>7</v>
      </c>
    </row>
    <row r="165" spans="1:41" x14ac:dyDescent="0.25">
      <c r="A165" s="4">
        <f t="shared" si="80"/>
        <v>78989</v>
      </c>
      <c r="B165" t="str">
        <f ca="1">TEXT(DATE(YEAR(Invoer!$A$5),1,1)+ROWS(B$2:B165)-1,"jjjjmmdd")</f>
        <v>19130613</v>
      </c>
      <c r="C165" s="72">
        <f t="shared" si="81"/>
        <v>800</v>
      </c>
      <c r="D165" s="16" t="str">
        <f t="shared" ca="1" si="82"/>
        <v>—</v>
      </c>
      <c r="E165" s="15">
        <f t="shared" ca="1" si="83"/>
        <v>7</v>
      </c>
      <c r="F165" s="73" t="str">
        <f t="shared" ca="1" si="84"/>
        <v>—</v>
      </c>
      <c r="G165" s="15">
        <f t="shared" ca="1" si="85"/>
        <v>7</v>
      </c>
      <c r="H165" s="73" t="str">
        <f t="shared" ca="1" si="86"/>
        <v>—</v>
      </c>
      <c r="I165" s="15">
        <f t="shared" ca="1" si="87"/>
        <v>7</v>
      </c>
      <c r="J165" s="73" t="str">
        <f t="shared" ca="1" si="88"/>
        <v>—</v>
      </c>
      <c r="K165" s="15">
        <f t="shared" ca="1" si="89"/>
        <v>7</v>
      </c>
      <c r="L165" s="16" t="str">
        <f t="shared" ca="1" si="90"/>
        <v>—</v>
      </c>
      <c r="M165" s="15">
        <f t="shared" ca="1" si="91"/>
        <v>7</v>
      </c>
      <c r="N165" s="16" t="str">
        <f t="shared" ca="1" si="92"/>
        <v>—</v>
      </c>
      <c r="O165" s="15">
        <f t="shared" ca="1" si="93"/>
        <v>7</v>
      </c>
      <c r="P165" s="16" t="str">
        <f t="shared" ca="1" si="94"/>
        <v>—</v>
      </c>
      <c r="Q165" s="15">
        <f t="shared" ca="1" si="95"/>
        <v>7</v>
      </c>
      <c r="R165" s="16" t="str">
        <f t="shared" ca="1" si="96"/>
        <v>—</v>
      </c>
      <c r="S165" s="15">
        <f t="shared" ca="1" si="97"/>
        <v>7</v>
      </c>
      <c r="T165" s="9" t="str">
        <f t="shared" ca="1" si="98"/>
        <v>—</v>
      </c>
      <c r="U165" s="15">
        <f t="shared" ca="1" si="99"/>
        <v>7</v>
      </c>
      <c r="V165" s="16" t="str">
        <f t="shared" ca="1" si="100"/>
        <v>—</v>
      </c>
      <c r="W165" s="15">
        <f t="shared" ca="1" si="101"/>
        <v>7</v>
      </c>
      <c r="X165" s="16" t="str">
        <f t="shared" ca="1" si="102"/>
        <v>—</v>
      </c>
      <c r="Y165" s="15">
        <f t="shared" ca="1" si="103"/>
        <v>7</v>
      </c>
      <c r="Z165" s="16" t="str">
        <f t="shared" ca="1" si="104"/>
        <v>—</v>
      </c>
      <c r="AA165" s="15">
        <f t="shared" ca="1" si="105"/>
        <v>7</v>
      </c>
      <c r="AB165" s="9" t="str">
        <f t="shared" ca="1" si="106"/>
        <v>—</v>
      </c>
      <c r="AC165" s="15">
        <f t="shared" ca="1" si="107"/>
        <v>7</v>
      </c>
      <c r="AD165" s="76" t="str">
        <f t="shared" ca="1" si="108"/>
        <v>—</v>
      </c>
      <c r="AE165" s="15">
        <f t="shared" ca="1" si="109"/>
        <v>7</v>
      </c>
      <c r="AF165" s="76" t="str">
        <f t="shared" ca="1" si="110"/>
        <v>—</v>
      </c>
      <c r="AG165" s="15">
        <f t="shared" ca="1" si="111"/>
        <v>7</v>
      </c>
      <c r="AH165" s="9" t="str">
        <f t="shared" ca="1" si="112"/>
        <v>—</v>
      </c>
      <c r="AI165" s="15">
        <f t="shared" ca="1" si="113"/>
        <v>7</v>
      </c>
      <c r="AJ165" s="26" t="str">
        <f t="shared" ca="1" si="114"/>
        <v>—</v>
      </c>
      <c r="AK165" s="15">
        <f t="shared" ca="1" si="115"/>
        <v>7</v>
      </c>
      <c r="AL165" s="9" t="str">
        <f t="shared" ca="1" si="116"/>
        <v>—</v>
      </c>
      <c r="AM165" s="15">
        <f t="shared" ca="1" si="117"/>
        <v>7</v>
      </c>
      <c r="AN165" s="9" t="str">
        <f t="shared" ca="1" si="118"/>
        <v>—</v>
      </c>
      <c r="AO165" s="15">
        <f t="shared" ca="1" si="119"/>
        <v>7</v>
      </c>
    </row>
    <row r="166" spans="1:41" x14ac:dyDescent="0.25">
      <c r="A166" s="4">
        <f t="shared" si="80"/>
        <v>78989</v>
      </c>
      <c r="B166" t="str">
        <f ca="1">TEXT(DATE(YEAR(Invoer!$A$5),1,1)+ROWS(B$2:B166)-1,"jjjjmmdd")</f>
        <v>19130614</v>
      </c>
      <c r="C166" s="72">
        <f t="shared" si="81"/>
        <v>800</v>
      </c>
      <c r="D166" s="16" t="str">
        <f t="shared" ca="1" si="82"/>
        <v>—</v>
      </c>
      <c r="E166" s="15">
        <f t="shared" ca="1" si="83"/>
        <v>7</v>
      </c>
      <c r="F166" s="73" t="str">
        <f t="shared" ca="1" si="84"/>
        <v>—</v>
      </c>
      <c r="G166" s="15">
        <f t="shared" ca="1" si="85"/>
        <v>7</v>
      </c>
      <c r="H166" s="73" t="str">
        <f t="shared" ca="1" si="86"/>
        <v>—</v>
      </c>
      <c r="I166" s="15">
        <f t="shared" ca="1" si="87"/>
        <v>7</v>
      </c>
      <c r="J166" s="73" t="str">
        <f t="shared" ca="1" si="88"/>
        <v>—</v>
      </c>
      <c r="K166" s="15">
        <f t="shared" ca="1" si="89"/>
        <v>7</v>
      </c>
      <c r="L166" s="16" t="str">
        <f t="shared" ca="1" si="90"/>
        <v>—</v>
      </c>
      <c r="M166" s="15">
        <f t="shared" ca="1" si="91"/>
        <v>7</v>
      </c>
      <c r="N166" s="16" t="str">
        <f t="shared" ca="1" si="92"/>
        <v>—</v>
      </c>
      <c r="O166" s="15">
        <f t="shared" ca="1" si="93"/>
        <v>7</v>
      </c>
      <c r="P166" s="16" t="str">
        <f t="shared" ca="1" si="94"/>
        <v>—</v>
      </c>
      <c r="Q166" s="15">
        <f t="shared" ca="1" si="95"/>
        <v>7</v>
      </c>
      <c r="R166" s="16" t="str">
        <f t="shared" ca="1" si="96"/>
        <v>—</v>
      </c>
      <c r="S166" s="15">
        <f t="shared" ca="1" si="97"/>
        <v>7</v>
      </c>
      <c r="T166" s="9" t="str">
        <f t="shared" ca="1" si="98"/>
        <v>—</v>
      </c>
      <c r="U166" s="15">
        <f t="shared" ca="1" si="99"/>
        <v>7</v>
      </c>
      <c r="V166" s="16" t="str">
        <f t="shared" ca="1" si="100"/>
        <v>—</v>
      </c>
      <c r="W166" s="15">
        <f t="shared" ca="1" si="101"/>
        <v>7</v>
      </c>
      <c r="X166" s="16" t="str">
        <f t="shared" ca="1" si="102"/>
        <v>—</v>
      </c>
      <c r="Y166" s="15">
        <f t="shared" ca="1" si="103"/>
        <v>7</v>
      </c>
      <c r="Z166" s="16" t="str">
        <f t="shared" ca="1" si="104"/>
        <v>—</v>
      </c>
      <c r="AA166" s="15">
        <f t="shared" ca="1" si="105"/>
        <v>7</v>
      </c>
      <c r="AB166" s="9" t="str">
        <f t="shared" ca="1" si="106"/>
        <v>—</v>
      </c>
      <c r="AC166" s="15">
        <f t="shared" ca="1" si="107"/>
        <v>7</v>
      </c>
      <c r="AD166" s="76" t="str">
        <f t="shared" ca="1" si="108"/>
        <v>—</v>
      </c>
      <c r="AE166" s="15">
        <f t="shared" ca="1" si="109"/>
        <v>7</v>
      </c>
      <c r="AF166" s="76" t="str">
        <f t="shared" ca="1" si="110"/>
        <v>—</v>
      </c>
      <c r="AG166" s="15">
        <f t="shared" ca="1" si="111"/>
        <v>7</v>
      </c>
      <c r="AH166" s="9" t="str">
        <f t="shared" ca="1" si="112"/>
        <v>—</v>
      </c>
      <c r="AI166" s="15">
        <f t="shared" ca="1" si="113"/>
        <v>7</v>
      </c>
      <c r="AJ166" s="26" t="str">
        <f t="shared" ca="1" si="114"/>
        <v>—</v>
      </c>
      <c r="AK166" s="15">
        <f t="shared" ca="1" si="115"/>
        <v>7</v>
      </c>
      <c r="AL166" s="9" t="str">
        <f t="shared" ca="1" si="116"/>
        <v>—</v>
      </c>
      <c r="AM166" s="15">
        <f t="shared" ca="1" si="117"/>
        <v>7</v>
      </c>
      <c r="AN166" s="9" t="str">
        <f t="shared" ca="1" si="118"/>
        <v>—</v>
      </c>
      <c r="AO166" s="15">
        <f t="shared" ca="1" si="119"/>
        <v>7</v>
      </c>
    </row>
    <row r="167" spans="1:41" x14ac:dyDescent="0.25">
      <c r="A167" s="4">
        <f t="shared" si="80"/>
        <v>78989</v>
      </c>
      <c r="B167" t="str">
        <f ca="1">TEXT(DATE(YEAR(Invoer!$A$5),1,1)+ROWS(B$2:B167)-1,"jjjjmmdd")</f>
        <v>19130615</v>
      </c>
      <c r="C167" s="72">
        <f t="shared" si="81"/>
        <v>800</v>
      </c>
      <c r="D167" s="16" t="str">
        <f t="shared" ca="1" si="82"/>
        <v>—</v>
      </c>
      <c r="E167" s="15">
        <f t="shared" ca="1" si="83"/>
        <v>7</v>
      </c>
      <c r="F167" s="73" t="str">
        <f t="shared" ca="1" si="84"/>
        <v>—</v>
      </c>
      <c r="G167" s="15">
        <f t="shared" ca="1" si="85"/>
        <v>7</v>
      </c>
      <c r="H167" s="73" t="str">
        <f t="shared" ca="1" si="86"/>
        <v>—</v>
      </c>
      <c r="I167" s="15">
        <f t="shared" ca="1" si="87"/>
        <v>7</v>
      </c>
      <c r="J167" s="73" t="str">
        <f t="shared" ca="1" si="88"/>
        <v>—</v>
      </c>
      <c r="K167" s="15">
        <f t="shared" ca="1" si="89"/>
        <v>7</v>
      </c>
      <c r="L167" s="16" t="str">
        <f t="shared" ca="1" si="90"/>
        <v>—</v>
      </c>
      <c r="M167" s="15">
        <f t="shared" ca="1" si="91"/>
        <v>7</v>
      </c>
      <c r="N167" s="16" t="str">
        <f t="shared" ca="1" si="92"/>
        <v>—</v>
      </c>
      <c r="O167" s="15">
        <f t="shared" ca="1" si="93"/>
        <v>7</v>
      </c>
      <c r="P167" s="16" t="str">
        <f t="shared" ca="1" si="94"/>
        <v>—</v>
      </c>
      <c r="Q167" s="15">
        <f t="shared" ca="1" si="95"/>
        <v>7</v>
      </c>
      <c r="R167" s="16" t="str">
        <f t="shared" ca="1" si="96"/>
        <v>—</v>
      </c>
      <c r="S167" s="15">
        <f t="shared" ca="1" si="97"/>
        <v>7</v>
      </c>
      <c r="T167" s="9" t="str">
        <f t="shared" ca="1" si="98"/>
        <v>—</v>
      </c>
      <c r="U167" s="15">
        <f t="shared" ca="1" si="99"/>
        <v>7</v>
      </c>
      <c r="V167" s="16" t="str">
        <f t="shared" ca="1" si="100"/>
        <v>—</v>
      </c>
      <c r="W167" s="15">
        <f t="shared" ca="1" si="101"/>
        <v>7</v>
      </c>
      <c r="X167" s="16" t="str">
        <f t="shared" ca="1" si="102"/>
        <v>—</v>
      </c>
      <c r="Y167" s="15">
        <f t="shared" ca="1" si="103"/>
        <v>7</v>
      </c>
      <c r="Z167" s="16" t="str">
        <f t="shared" ca="1" si="104"/>
        <v>—</v>
      </c>
      <c r="AA167" s="15">
        <f t="shared" ca="1" si="105"/>
        <v>7</v>
      </c>
      <c r="AB167" s="9" t="str">
        <f t="shared" ca="1" si="106"/>
        <v>—</v>
      </c>
      <c r="AC167" s="15">
        <f t="shared" ca="1" si="107"/>
        <v>7</v>
      </c>
      <c r="AD167" s="76" t="str">
        <f t="shared" ca="1" si="108"/>
        <v>—</v>
      </c>
      <c r="AE167" s="15">
        <f t="shared" ca="1" si="109"/>
        <v>7</v>
      </c>
      <c r="AF167" s="76" t="str">
        <f t="shared" ca="1" si="110"/>
        <v>—</v>
      </c>
      <c r="AG167" s="15">
        <f t="shared" ca="1" si="111"/>
        <v>7</v>
      </c>
      <c r="AH167" s="9" t="str">
        <f t="shared" ca="1" si="112"/>
        <v>—</v>
      </c>
      <c r="AI167" s="15">
        <f t="shared" ca="1" si="113"/>
        <v>7</v>
      </c>
      <c r="AJ167" s="26" t="str">
        <f t="shared" ca="1" si="114"/>
        <v>—</v>
      </c>
      <c r="AK167" s="15">
        <f t="shared" ca="1" si="115"/>
        <v>7</v>
      </c>
      <c r="AL167" s="9" t="str">
        <f t="shared" ca="1" si="116"/>
        <v>—</v>
      </c>
      <c r="AM167" s="15">
        <f t="shared" ca="1" si="117"/>
        <v>7</v>
      </c>
      <c r="AN167" s="9" t="str">
        <f t="shared" ca="1" si="118"/>
        <v>—</v>
      </c>
      <c r="AO167" s="15">
        <f t="shared" ca="1" si="119"/>
        <v>7</v>
      </c>
    </row>
    <row r="168" spans="1:41" x14ac:dyDescent="0.25">
      <c r="A168" s="4">
        <f t="shared" si="80"/>
        <v>78989</v>
      </c>
      <c r="B168" t="str">
        <f ca="1">TEXT(DATE(YEAR(Invoer!$A$5),1,1)+ROWS(B$2:B168)-1,"jjjjmmdd")</f>
        <v>19130616</v>
      </c>
      <c r="C168" s="72">
        <f t="shared" si="81"/>
        <v>800</v>
      </c>
      <c r="D168" s="16" t="str">
        <f t="shared" ca="1" si="82"/>
        <v>—</v>
      </c>
      <c r="E168" s="15">
        <f t="shared" ca="1" si="83"/>
        <v>7</v>
      </c>
      <c r="F168" s="73" t="str">
        <f t="shared" ca="1" si="84"/>
        <v>—</v>
      </c>
      <c r="G168" s="15">
        <f t="shared" ca="1" si="85"/>
        <v>7</v>
      </c>
      <c r="H168" s="73" t="str">
        <f t="shared" ca="1" si="86"/>
        <v>—</v>
      </c>
      <c r="I168" s="15">
        <f t="shared" ca="1" si="87"/>
        <v>7</v>
      </c>
      <c r="J168" s="73" t="str">
        <f t="shared" ca="1" si="88"/>
        <v>—</v>
      </c>
      <c r="K168" s="15">
        <f t="shared" ca="1" si="89"/>
        <v>7</v>
      </c>
      <c r="L168" s="16" t="str">
        <f t="shared" ca="1" si="90"/>
        <v>—</v>
      </c>
      <c r="M168" s="15">
        <f t="shared" ca="1" si="91"/>
        <v>7</v>
      </c>
      <c r="N168" s="16" t="str">
        <f t="shared" ca="1" si="92"/>
        <v>—</v>
      </c>
      <c r="O168" s="15">
        <f t="shared" ca="1" si="93"/>
        <v>7</v>
      </c>
      <c r="P168" s="16" t="str">
        <f t="shared" ca="1" si="94"/>
        <v>—</v>
      </c>
      <c r="Q168" s="15">
        <f t="shared" ca="1" si="95"/>
        <v>7</v>
      </c>
      <c r="R168" s="16" t="str">
        <f t="shared" ca="1" si="96"/>
        <v>—</v>
      </c>
      <c r="S168" s="15">
        <f t="shared" ca="1" si="97"/>
        <v>7</v>
      </c>
      <c r="T168" s="9" t="str">
        <f t="shared" ca="1" si="98"/>
        <v>—</v>
      </c>
      <c r="U168" s="15">
        <f t="shared" ca="1" si="99"/>
        <v>7</v>
      </c>
      <c r="V168" s="16" t="str">
        <f t="shared" ca="1" si="100"/>
        <v>—</v>
      </c>
      <c r="W168" s="15">
        <f t="shared" ca="1" si="101"/>
        <v>7</v>
      </c>
      <c r="X168" s="16" t="str">
        <f t="shared" ca="1" si="102"/>
        <v>—</v>
      </c>
      <c r="Y168" s="15">
        <f t="shared" ca="1" si="103"/>
        <v>7</v>
      </c>
      <c r="Z168" s="16" t="str">
        <f t="shared" ca="1" si="104"/>
        <v>—</v>
      </c>
      <c r="AA168" s="15">
        <f t="shared" ca="1" si="105"/>
        <v>7</v>
      </c>
      <c r="AB168" s="9" t="str">
        <f t="shared" ca="1" si="106"/>
        <v>—</v>
      </c>
      <c r="AC168" s="15">
        <f t="shared" ca="1" si="107"/>
        <v>7</v>
      </c>
      <c r="AD168" s="76" t="str">
        <f t="shared" ca="1" si="108"/>
        <v>—</v>
      </c>
      <c r="AE168" s="15">
        <f t="shared" ca="1" si="109"/>
        <v>7</v>
      </c>
      <c r="AF168" s="76" t="str">
        <f t="shared" ca="1" si="110"/>
        <v>—</v>
      </c>
      <c r="AG168" s="15">
        <f t="shared" ca="1" si="111"/>
        <v>7</v>
      </c>
      <c r="AH168" s="9" t="str">
        <f t="shared" ca="1" si="112"/>
        <v>—</v>
      </c>
      <c r="AI168" s="15">
        <f t="shared" ca="1" si="113"/>
        <v>7</v>
      </c>
      <c r="AJ168" s="26" t="str">
        <f t="shared" ca="1" si="114"/>
        <v>—</v>
      </c>
      <c r="AK168" s="15">
        <f t="shared" ca="1" si="115"/>
        <v>7</v>
      </c>
      <c r="AL168" s="9" t="str">
        <f t="shared" ca="1" si="116"/>
        <v>—</v>
      </c>
      <c r="AM168" s="15">
        <f t="shared" ca="1" si="117"/>
        <v>7</v>
      </c>
      <c r="AN168" s="9" t="str">
        <f t="shared" ca="1" si="118"/>
        <v>—</v>
      </c>
      <c r="AO168" s="15">
        <f t="shared" ca="1" si="119"/>
        <v>7</v>
      </c>
    </row>
    <row r="169" spans="1:41" x14ac:dyDescent="0.25">
      <c r="A169" s="4">
        <f t="shared" si="80"/>
        <v>78989</v>
      </c>
      <c r="B169" t="str">
        <f ca="1">TEXT(DATE(YEAR(Invoer!$A$5),1,1)+ROWS(B$2:B169)-1,"jjjjmmdd")</f>
        <v>19130617</v>
      </c>
      <c r="C169" s="72">
        <f t="shared" si="81"/>
        <v>800</v>
      </c>
      <c r="D169" s="16" t="str">
        <f t="shared" ca="1" si="82"/>
        <v>—</v>
      </c>
      <c r="E169" s="15">
        <f t="shared" ca="1" si="83"/>
        <v>7</v>
      </c>
      <c r="F169" s="73" t="str">
        <f t="shared" ca="1" si="84"/>
        <v>—</v>
      </c>
      <c r="G169" s="15">
        <f t="shared" ca="1" si="85"/>
        <v>7</v>
      </c>
      <c r="H169" s="73" t="str">
        <f t="shared" ca="1" si="86"/>
        <v>—</v>
      </c>
      <c r="I169" s="15">
        <f t="shared" ca="1" si="87"/>
        <v>7</v>
      </c>
      <c r="J169" s="73" t="str">
        <f t="shared" ca="1" si="88"/>
        <v>—</v>
      </c>
      <c r="K169" s="15">
        <f t="shared" ca="1" si="89"/>
        <v>7</v>
      </c>
      <c r="L169" s="16" t="str">
        <f t="shared" ca="1" si="90"/>
        <v>—</v>
      </c>
      <c r="M169" s="15">
        <f t="shared" ca="1" si="91"/>
        <v>7</v>
      </c>
      <c r="N169" s="16" t="str">
        <f t="shared" ca="1" si="92"/>
        <v>—</v>
      </c>
      <c r="O169" s="15">
        <f t="shared" ca="1" si="93"/>
        <v>7</v>
      </c>
      <c r="P169" s="16" t="str">
        <f t="shared" ca="1" si="94"/>
        <v>—</v>
      </c>
      <c r="Q169" s="15">
        <f t="shared" ca="1" si="95"/>
        <v>7</v>
      </c>
      <c r="R169" s="16" t="str">
        <f t="shared" ca="1" si="96"/>
        <v>—</v>
      </c>
      <c r="S169" s="15">
        <f t="shared" ca="1" si="97"/>
        <v>7</v>
      </c>
      <c r="T169" s="9" t="str">
        <f t="shared" ca="1" si="98"/>
        <v>—</v>
      </c>
      <c r="U169" s="15">
        <f t="shared" ca="1" si="99"/>
        <v>7</v>
      </c>
      <c r="V169" s="16" t="str">
        <f t="shared" ca="1" si="100"/>
        <v>—</v>
      </c>
      <c r="W169" s="15">
        <f t="shared" ca="1" si="101"/>
        <v>7</v>
      </c>
      <c r="X169" s="16" t="str">
        <f t="shared" ca="1" si="102"/>
        <v>—</v>
      </c>
      <c r="Y169" s="15">
        <f t="shared" ca="1" si="103"/>
        <v>7</v>
      </c>
      <c r="Z169" s="16" t="str">
        <f t="shared" ca="1" si="104"/>
        <v>—</v>
      </c>
      <c r="AA169" s="15">
        <f t="shared" ca="1" si="105"/>
        <v>7</v>
      </c>
      <c r="AB169" s="9" t="str">
        <f t="shared" ca="1" si="106"/>
        <v>—</v>
      </c>
      <c r="AC169" s="15">
        <f t="shared" ca="1" si="107"/>
        <v>7</v>
      </c>
      <c r="AD169" s="76" t="str">
        <f t="shared" ca="1" si="108"/>
        <v>—</v>
      </c>
      <c r="AE169" s="15">
        <f t="shared" ca="1" si="109"/>
        <v>7</v>
      </c>
      <c r="AF169" s="76" t="str">
        <f t="shared" ca="1" si="110"/>
        <v>—</v>
      </c>
      <c r="AG169" s="15">
        <f t="shared" ca="1" si="111"/>
        <v>7</v>
      </c>
      <c r="AH169" s="9" t="str">
        <f t="shared" ca="1" si="112"/>
        <v>—</v>
      </c>
      <c r="AI169" s="15">
        <f t="shared" ca="1" si="113"/>
        <v>7</v>
      </c>
      <c r="AJ169" s="26" t="str">
        <f t="shared" ca="1" si="114"/>
        <v>—</v>
      </c>
      <c r="AK169" s="15">
        <f t="shared" ca="1" si="115"/>
        <v>7</v>
      </c>
      <c r="AL169" s="9" t="str">
        <f t="shared" ca="1" si="116"/>
        <v>—</v>
      </c>
      <c r="AM169" s="15">
        <f t="shared" ca="1" si="117"/>
        <v>7</v>
      </c>
      <c r="AN169" s="9" t="str">
        <f t="shared" ca="1" si="118"/>
        <v>—</v>
      </c>
      <c r="AO169" s="15">
        <f t="shared" ca="1" si="119"/>
        <v>7</v>
      </c>
    </row>
    <row r="170" spans="1:41" x14ac:dyDescent="0.25">
      <c r="A170" s="4">
        <f t="shared" si="80"/>
        <v>78989</v>
      </c>
      <c r="B170" t="str">
        <f ca="1">TEXT(DATE(YEAR(Invoer!$A$5),1,1)+ROWS(B$2:B170)-1,"jjjjmmdd")</f>
        <v>19130618</v>
      </c>
      <c r="C170" s="72">
        <f t="shared" si="81"/>
        <v>800</v>
      </c>
      <c r="D170" s="16" t="str">
        <f t="shared" ca="1" si="82"/>
        <v>—</v>
      </c>
      <c r="E170" s="15">
        <f t="shared" ca="1" si="83"/>
        <v>7</v>
      </c>
      <c r="F170" s="73" t="str">
        <f t="shared" ca="1" si="84"/>
        <v>—</v>
      </c>
      <c r="G170" s="15">
        <f t="shared" ca="1" si="85"/>
        <v>7</v>
      </c>
      <c r="H170" s="73" t="str">
        <f t="shared" ca="1" si="86"/>
        <v>—</v>
      </c>
      <c r="I170" s="15">
        <f t="shared" ca="1" si="87"/>
        <v>7</v>
      </c>
      <c r="J170" s="73" t="str">
        <f t="shared" ca="1" si="88"/>
        <v>—</v>
      </c>
      <c r="K170" s="15">
        <f t="shared" ca="1" si="89"/>
        <v>7</v>
      </c>
      <c r="L170" s="16" t="str">
        <f t="shared" ca="1" si="90"/>
        <v>—</v>
      </c>
      <c r="M170" s="15">
        <f t="shared" ca="1" si="91"/>
        <v>7</v>
      </c>
      <c r="N170" s="16" t="str">
        <f t="shared" ca="1" si="92"/>
        <v>—</v>
      </c>
      <c r="O170" s="15">
        <f t="shared" ca="1" si="93"/>
        <v>7</v>
      </c>
      <c r="P170" s="16" t="str">
        <f t="shared" ca="1" si="94"/>
        <v>—</v>
      </c>
      <c r="Q170" s="15">
        <f t="shared" ca="1" si="95"/>
        <v>7</v>
      </c>
      <c r="R170" s="16" t="str">
        <f t="shared" ca="1" si="96"/>
        <v>—</v>
      </c>
      <c r="S170" s="15">
        <f t="shared" ca="1" si="97"/>
        <v>7</v>
      </c>
      <c r="T170" s="9" t="str">
        <f t="shared" ca="1" si="98"/>
        <v>—</v>
      </c>
      <c r="U170" s="15">
        <f t="shared" ca="1" si="99"/>
        <v>7</v>
      </c>
      <c r="V170" s="16" t="str">
        <f t="shared" ca="1" si="100"/>
        <v>—</v>
      </c>
      <c r="W170" s="15">
        <f t="shared" ca="1" si="101"/>
        <v>7</v>
      </c>
      <c r="X170" s="16" t="str">
        <f t="shared" ca="1" si="102"/>
        <v>—</v>
      </c>
      <c r="Y170" s="15">
        <f t="shared" ca="1" si="103"/>
        <v>7</v>
      </c>
      <c r="Z170" s="16" t="str">
        <f t="shared" ca="1" si="104"/>
        <v>—</v>
      </c>
      <c r="AA170" s="15">
        <f t="shared" ca="1" si="105"/>
        <v>7</v>
      </c>
      <c r="AB170" s="9" t="str">
        <f t="shared" ca="1" si="106"/>
        <v>—</v>
      </c>
      <c r="AC170" s="15">
        <f t="shared" ca="1" si="107"/>
        <v>7</v>
      </c>
      <c r="AD170" s="76" t="str">
        <f t="shared" ca="1" si="108"/>
        <v>—</v>
      </c>
      <c r="AE170" s="15">
        <f t="shared" ca="1" si="109"/>
        <v>7</v>
      </c>
      <c r="AF170" s="76" t="str">
        <f t="shared" ca="1" si="110"/>
        <v>—</v>
      </c>
      <c r="AG170" s="15">
        <f t="shared" ca="1" si="111"/>
        <v>7</v>
      </c>
      <c r="AH170" s="9" t="str">
        <f t="shared" ca="1" si="112"/>
        <v>—</v>
      </c>
      <c r="AI170" s="15">
        <f t="shared" ca="1" si="113"/>
        <v>7</v>
      </c>
      <c r="AJ170" s="26" t="str">
        <f t="shared" ca="1" si="114"/>
        <v>—</v>
      </c>
      <c r="AK170" s="15">
        <f t="shared" ca="1" si="115"/>
        <v>7</v>
      </c>
      <c r="AL170" s="9" t="str">
        <f t="shared" ca="1" si="116"/>
        <v>—</v>
      </c>
      <c r="AM170" s="15">
        <f t="shared" ca="1" si="117"/>
        <v>7</v>
      </c>
      <c r="AN170" s="9" t="str">
        <f t="shared" ca="1" si="118"/>
        <v>—</v>
      </c>
      <c r="AO170" s="15">
        <f t="shared" ca="1" si="119"/>
        <v>7</v>
      </c>
    </row>
    <row r="171" spans="1:41" x14ac:dyDescent="0.25">
      <c r="A171" s="4">
        <f t="shared" si="80"/>
        <v>78989</v>
      </c>
      <c r="B171" t="str">
        <f ca="1">TEXT(DATE(YEAR(Invoer!$A$5),1,1)+ROWS(B$2:B171)-1,"jjjjmmdd")</f>
        <v>19130619</v>
      </c>
      <c r="C171" s="72">
        <f t="shared" si="81"/>
        <v>800</v>
      </c>
      <c r="D171" s="16" t="str">
        <f t="shared" ca="1" si="82"/>
        <v>—</v>
      </c>
      <c r="E171" s="15">
        <f t="shared" ca="1" si="83"/>
        <v>7</v>
      </c>
      <c r="F171" s="73" t="str">
        <f t="shared" ca="1" si="84"/>
        <v>—</v>
      </c>
      <c r="G171" s="15">
        <f t="shared" ca="1" si="85"/>
        <v>7</v>
      </c>
      <c r="H171" s="73" t="str">
        <f t="shared" ca="1" si="86"/>
        <v>—</v>
      </c>
      <c r="I171" s="15">
        <f t="shared" ca="1" si="87"/>
        <v>7</v>
      </c>
      <c r="J171" s="73" t="str">
        <f t="shared" ca="1" si="88"/>
        <v>—</v>
      </c>
      <c r="K171" s="15">
        <f t="shared" ca="1" si="89"/>
        <v>7</v>
      </c>
      <c r="L171" s="16" t="str">
        <f t="shared" ca="1" si="90"/>
        <v>—</v>
      </c>
      <c r="M171" s="15">
        <f t="shared" ca="1" si="91"/>
        <v>7</v>
      </c>
      <c r="N171" s="16" t="str">
        <f t="shared" ca="1" si="92"/>
        <v>—</v>
      </c>
      <c r="O171" s="15">
        <f t="shared" ca="1" si="93"/>
        <v>7</v>
      </c>
      <c r="P171" s="16" t="str">
        <f t="shared" ca="1" si="94"/>
        <v>—</v>
      </c>
      <c r="Q171" s="15">
        <f t="shared" ca="1" si="95"/>
        <v>7</v>
      </c>
      <c r="R171" s="16" t="str">
        <f t="shared" ca="1" si="96"/>
        <v>—</v>
      </c>
      <c r="S171" s="15">
        <f t="shared" ca="1" si="97"/>
        <v>7</v>
      </c>
      <c r="T171" s="9" t="str">
        <f t="shared" ca="1" si="98"/>
        <v>—</v>
      </c>
      <c r="U171" s="15">
        <f t="shared" ca="1" si="99"/>
        <v>7</v>
      </c>
      <c r="V171" s="16" t="str">
        <f t="shared" ca="1" si="100"/>
        <v>—</v>
      </c>
      <c r="W171" s="15">
        <f t="shared" ca="1" si="101"/>
        <v>7</v>
      </c>
      <c r="X171" s="16" t="str">
        <f t="shared" ca="1" si="102"/>
        <v>—</v>
      </c>
      <c r="Y171" s="15">
        <f t="shared" ca="1" si="103"/>
        <v>7</v>
      </c>
      <c r="Z171" s="16" t="str">
        <f t="shared" ca="1" si="104"/>
        <v>—</v>
      </c>
      <c r="AA171" s="15">
        <f t="shared" ca="1" si="105"/>
        <v>7</v>
      </c>
      <c r="AB171" s="9" t="str">
        <f t="shared" ca="1" si="106"/>
        <v>—</v>
      </c>
      <c r="AC171" s="15">
        <f t="shared" ca="1" si="107"/>
        <v>7</v>
      </c>
      <c r="AD171" s="76" t="str">
        <f t="shared" ca="1" si="108"/>
        <v>—</v>
      </c>
      <c r="AE171" s="15">
        <f t="shared" ca="1" si="109"/>
        <v>7</v>
      </c>
      <c r="AF171" s="76" t="str">
        <f t="shared" ca="1" si="110"/>
        <v>—</v>
      </c>
      <c r="AG171" s="15">
        <f t="shared" ca="1" si="111"/>
        <v>7</v>
      </c>
      <c r="AH171" s="9" t="str">
        <f t="shared" ca="1" si="112"/>
        <v>—</v>
      </c>
      <c r="AI171" s="15">
        <f t="shared" ca="1" si="113"/>
        <v>7</v>
      </c>
      <c r="AJ171" s="26" t="str">
        <f t="shared" ca="1" si="114"/>
        <v>—</v>
      </c>
      <c r="AK171" s="15">
        <f t="shared" ca="1" si="115"/>
        <v>7</v>
      </c>
      <c r="AL171" s="9" t="str">
        <f t="shared" ca="1" si="116"/>
        <v>—</v>
      </c>
      <c r="AM171" s="15">
        <f t="shared" ca="1" si="117"/>
        <v>7</v>
      </c>
      <c r="AN171" s="9" t="str">
        <f t="shared" ca="1" si="118"/>
        <v>—</v>
      </c>
      <c r="AO171" s="15">
        <f t="shared" ca="1" si="119"/>
        <v>7</v>
      </c>
    </row>
    <row r="172" spans="1:41" x14ac:dyDescent="0.25">
      <c r="A172" s="4">
        <f t="shared" si="80"/>
        <v>78989</v>
      </c>
      <c r="B172" t="str">
        <f ca="1">TEXT(DATE(YEAR(Invoer!$A$5),1,1)+ROWS(B$2:B172)-1,"jjjjmmdd")</f>
        <v>19130620</v>
      </c>
      <c r="C172" s="72">
        <f t="shared" si="81"/>
        <v>800</v>
      </c>
      <c r="D172" s="16" t="str">
        <f t="shared" ca="1" si="82"/>
        <v>—</v>
      </c>
      <c r="E172" s="15">
        <f t="shared" ca="1" si="83"/>
        <v>7</v>
      </c>
      <c r="F172" s="73" t="str">
        <f t="shared" ca="1" si="84"/>
        <v>—</v>
      </c>
      <c r="G172" s="15">
        <f t="shared" ca="1" si="85"/>
        <v>7</v>
      </c>
      <c r="H172" s="73" t="str">
        <f t="shared" ca="1" si="86"/>
        <v>—</v>
      </c>
      <c r="I172" s="15">
        <f t="shared" ca="1" si="87"/>
        <v>7</v>
      </c>
      <c r="J172" s="73" t="str">
        <f t="shared" ca="1" si="88"/>
        <v>—</v>
      </c>
      <c r="K172" s="15">
        <f t="shared" ca="1" si="89"/>
        <v>7</v>
      </c>
      <c r="L172" s="16" t="str">
        <f t="shared" ca="1" si="90"/>
        <v>—</v>
      </c>
      <c r="M172" s="15">
        <f t="shared" ca="1" si="91"/>
        <v>7</v>
      </c>
      <c r="N172" s="16" t="str">
        <f t="shared" ca="1" si="92"/>
        <v>—</v>
      </c>
      <c r="O172" s="15">
        <f t="shared" ca="1" si="93"/>
        <v>7</v>
      </c>
      <c r="P172" s="16" t="str">
        <f t="shared" ca="1" si="94"/>
        <v>—</v>
      </c>
      <c r="Q172" s="15">
        <f t="shared" ca="1" si="95"/>
        <v>7</v>
      </c>
      <c r="R172" s="16" t="str">
        <f t="shared" ca="1" si="96"/>
        <v>—</v>
      </c>
      <c r="S172" s="15">
        <f t="shared" ca="1" si="97"/>
        <v>7</v>
      </c>
      <c r="T172" s="9" t="str">
        <f t="shared" ca="1" si="98"/>
        <v>—</v>
      </c>
      <c r="U172" s="15">
        <f t="shared" ca="1" si="99"/>
        <v>7</v>
      </c>
      <c r="V172" s="16" t="str">
        <f t="shared" ca="1" si="100"/>
        <v>—</v>
      </c>
      <c r="W172" s="15">
        <f t="shared" ca="1" si="101"/>
        <v>7</v>
      </c>
      <c r="X172" s="16" t="str">
        <f t="shared" ca="1" si="102"/>
        <v>—</v>
      </c>
      <c r="Y172" s="15">
        <f t="shared" ca="1" si="103"/>
        <v>7</v>
      </c>
      <c r="Z172" s="16" t="str">
        <f t="shared" ca="1" si="104"/>
        <v>—</v>
      </c>
      <c r="AA172" s="15">
        <f t="shared" ca="1" si="105"/>
        <v>7</v>
      </c>
      <c r="AB172" s="9" t="str">
        <f t="shared" ca="1" si="106"/>
        <v>—</v>
      </c>
      <c r="AC172" s="15">
        <f t="shared" ca="1" si="107"/>
        <v>7</v>
      </c>
      <c r="AD172" s="76" t="str">
        <f t="shared" ca="1" si="108"/>
        <v>—</v>
      </c>
      <c r="AE172" s="15">
        <f t="shared" ca="1" si="109"/>
        <v>7</v>
      </c>
      <c r="AF172" s="76" t="str">
        <f t="shared" ca="1" si="110"/>
        <v>—</v>
      </c>
      <c r="AG172" s="15">
        <f t="shared" ca="1" si="111"/>
        <v>7</v>
      </c>
      <c r="AH172" s="9" t="str">
        <f t="shared" ca="1" si="112"/>
        <v>—</v>
      </c>
      <c r="AI172" s="15">
        <f t="shared" ca="1" si="113"/>
        <v>7</v>
      </c>
      <c r="AJ172" s="26" t="str">
        <f t="shared" ca="1" si="114"/>
        <v>—</v>
      </c>
      <c r="AK172" s="15">
        <f t="shared" ca="1" si="115"/>
        <v>7</v>
      </c>
      <c r="AL172" s="9" t="str">
        <f t="shared" ca="1" si="116"/>
        <v>—</v>
      </c>
      <c r="AM172" s="15">
        <f t="shared" ca="1" si="117"/>
        <v>7</v>
      </c>
      <c r="AN172" s="9" t="str">
        <f t="shared" ca="1" si="118"/>
        <v>—</v>
      </c>
      <c r="AO172" s="15">
        <f t="shared" ca="1" si="119"/>
        <v>7</v>
      </c>
    </row>
    <row r="173" spans="1:41" x14ac:dyDescent="0.25">
      <c r="A173" s="4">
        <f t="shared" si="80"/>
        <v>78989</v>
      </c>
      <c r="B173" t="str">
        <f ca="1">TEXT(DATE(YEAR(Invoer!$A$5),1,1)+ROWS(B$2:B173)-1,"jjjjmmdd")</f>
        <v>19130621</v>
      </c>
      <c r="C173" s="72">
        <f t="shared" si="81"/>
        <v>800</v>
      </c>
      <c r="D173" s="16" t="str">
        <f t="shared" ca="1" si="82"/>
        <v>—</v>
      </c>
      <c r="E173" s="15">
        <f t="shared" ca="1" si="83"/>
        <v>7</v>
      </c>
      <c r="F173" s="73" t="str">
        <f t="shared" ca="1" si="84"/>
        <v>—</v>
      </c>
      <c r="G173" s="15">
        <f t="shared" ca="1" si="85"/>
        <v>7</v>
      </c>
      <c r="H173" s="73" t="str">
        <f t="shared" ca="1" si="86"/>
        <v>—</v>
      </c>
      <c r="I173" s="15">
        <f t="shared" ca="1" si="87"/>
        <v>7</v>
      </c>
      <c r="J173" s="73" t="str">
        <f t="shared" ca="1" si="88"/>
        <v>—</v>
      </c>
      <c r="K173" s="15">
        <f t="shared" ca="1" si="89"/>
        <v>7</v>
      </c>
      <c r="L173" s="16" t="str">
        <f t="shared" ca="1" si="90"/>
        <v>—</v>
      </c>
      <c r="M173" s="15">
        <f t="shared" ca="1" si="91"/>
        <v>7</v>
      </c>
      <c r="N173" s="16" t="str">
        <f t="shared" ca="1" si="92"/>
        <v>—</v>
      </c>
      <c r="O173" s="15">
        <f t="shared" ca="1" si="93"/>
        <v>7</v>
      </c>
      <c r="P173" s="16" t="str">
        <f t="shared" ca="1" si="94"/>
        <v>—</v>
      </c>
      <c r="Q173" s="15">
        <f t="shared" ca="1" si="95"/>
        <v>7</v>
      </c>
      <c r="R173" s="16" t="str">
        <f t="shared" ca="1" si="96"/>
        <v>—</v>
      </c>
      <c r="S173" s="15">
        <f t="shared" ca="1" si="97"/>
        <v>7</v>
      </c>
      <c r="T173" s="9" t="str">
        <f t="shared" ca="1" si="98"/>
        <v>—</v>
      </c>
      <c r="U173" s="15">
        <f t="shared" ca="1" si="99"/>
        <v>7</v>
      </c>
      <c r="V173" s="16" t="str">
        <f t="shared" ca="1" si="100"/>
        <v>—</v>
      </c>
      <c r="W173" s="15">
        <f t="shared" ca="1" si="101"/>
        <v>7</v>
      </c>
      <c r="X173" s="16" t="str">
        <f t="shared" ca="1" si="102"/>
        <v>—</v>
      </c>
      <c r="Y173" s="15">
        <f t="shared" ca="1" si="103"/>
        <v>7</v>
      </c>
      <c r="Z173" s="16" t="str">
        <f t="shared" ca="1" si="104"/>
        <v>—</v>
      </c>
      <c r="AA173" s="15">
        <f t="shared" ca="1" si="105"/>
        <v>7</v>
      </c>
      <c r="AB173" s="9" t="str">
        <f t="shared" ca="1" si="106"/>
        <v>—</v>
      </c>
      <c r="AC173" s="15">
        <f t="shared" ca="1" si="107"/>
        <v>7</v>
      </c>
      <c r="AD173" s="76" t="str">
        <f t="shared" ca="1" si="108"/>
        <v>—</v>
      </c>
      <c r="AE173" s="15">
        <f t="shared" ca="1" si="109"/>
        <v>7</v>
      </c>
      <c r="AF173" s="76" t="str">
        <f t="shared" ca="1" si="110"/>
        <v>—</v>
      </c>
      <c r="AG173" s="15">
        <f t="shared" ca="1" si="111"/>
        <v>7</v>
      </c>
      <c r="AH173" s="9" t="str">
        <f t="shared" ca="1" si="112"/>
        <v>—</v>
      </c>
      <c r="AI173" s="15">
        <f t="shared" ca="1" si="113"/>
        <v>7</v>
      </c>
      <c r="AJ173" s="26" t="str">
        <f t="shared" ca="1" si="114"/>
        <v>—</v>
      </c>
      <c r="AK173" s="15">
        <f t="shared" ca="1" si="115"/>
        <v>7</v>
      </c>
      <c r="AL173" s="9" t="str">
        <f t="shared" ca="1" si="116"/>
        <v>—</v>
      </c>
      <c r="AM173" s="15">
        <f t="shared" ca="1" si="117"/>
        <v>7</v>
      </c>
      <c r="AN173" s="9" t="str">
        <f t="shared" ca="1" si="118"/>
        <v>—</v>
      </c>
      <c r="AO173" s="15">
        <f t="shared" ca="1" si="119"/>
        <v>7</v>
      </c>
    </row>
    <row r="174" spans="1:41" x14ac:dyDescent="0.25">
      <c r="A174" s="4">
        <f t="shared" si="80"/>
        <v>78989</v>
      </c>
      <c r="B174" t="str">
        <f ca="1">TEXT(DATE(YEAR(Invoer!$A$5),1,1)+ROWS(B$2:B174)-1,"jjjjmmdd")</f>
        <v>19130622</v>
      </c>
      <c r="C174" s="72">
        <f t="shared" si="81"/>
        <v>800</v>
      </c>
      <c r="D174" s="16" t="str">
        <f t="shared" ca="1" si="82"/>
        <v>—</v>
      </c>
      <c r="E174" s="15">
        <f t="shared" ca="1" si="83"/>
        <v>7</v>
      </c>
      <c r="F174" s="73" t="str">
        <f t="shared" ca="1" si="84"/>
        <v>—</v>
      </c>
      <c r="G174" s="15">
        <f t="shared" ca="1" si="85"/>
        <v>7</v>
      </c>
      <c r="H174" s="73" t="str">
        <f t="shared" ca="1" si="86"/>
        <v>—</v>
      </c>
      <c r="I174" s="15">
        <f t="shared" ca="1" si="87"/>
        <v>7</v>
      </c>
      <c r="J174" s="73" t="str">
        <f t="shared" ca="1" si="88"/>
        <v>—</v>
      </c>
      <c r="K174" s="15">
        <f t="shared" ca="1" si="89"/>
        <v>7</v>
      </c>
      <c r="L174" s="16" t="str">
        <f t="shared" ca="1" si="90"/>
        <v>—</v>
      </c>
      <c r="M174" s="15">
        <f t="shared" ca="1" si="91"/>
        <v>7</v>
      </c>
      <c r="N174" s="16" t="str">
        <f t="shared" ca="1" si="92"/>
        <v>—</v>
      </c>
      <c r="O174" s="15">
        <f t="shared" ca="1" si="93"/>
        <v>7</v>
      </c>
      <c r="P174" s="16" t="str">
        <f t="shared" ca="1" si="94"/>
        <v>—</v>
      </c>
      <c r="Q174" s="15">
        <f t="shared" ca="1" si="95"/>
        <v>7</v>
      </c>
      <c r="R174" s="16" t="str">
        <f t="shared" ca="1" si="96"/>
        <v>—</v>
      </c>
      <c r="S174" s="15">
        <f t="shared" ca="1" si="97"/>
        <v>7</v>
      </c>
      <c r="T174" s="9" t="str">
        <f t="shared" ca="1" si="98"/>
        <v>—</v>
      </c>
      <c r="U174" s="15">
        <f t="shared" ca="1" si="99"/>
        <v>7</v>
      </c>
      <c r="V174" s="16" t="str">
        <f t="shared" ca="1" si="100"/>
        <v>—</v>
      </c>
      <c r="W174" s="15">
        <f t="shared" ca="1" si="101"/>
        <v>7</v>
      </c>
      <c r="X174" s="16" t="str">
        <f t="shared" ca="1" si="102"/>
        <v>—</v>
      </c>
      <c r="Y174" s="15">
        <f t="shared" ca="1" si="103"/>
        <v>7</v>
      </c>
      <c r="Z174" s="16" t="str">
        <f t="shared" ca="1" si="104"/>
        <v>—</v>
      </c>
      <c r="AA174" s="15">
        <f t="shared" ca="1" si="105"/>
        <v>7</v>
      </c>
      <c r="AB174" s="9" t="str">
        <f t="shared" ca="1" si="106"/>
        <v>—</v>
      </c>
      <c r="AC174" s="15">
        <f t="shared" ca="1" si="107"/>
        <v>7</v>
      </c>
      <c r="AD174" s="76" t="str">
        <f t="shared" ca="1" si="108"/>
        <v>—</v>
      </c>
      <c r="AE174" s="15">
        <f t="shared" ca="1" si="109"/>
        <v>7</v>
      </c>
      <c r="AF174" s="76" t="str">
        <f t="shared" ca="1" si="110"/>
        <v>—</v>
      </c>
      <c r="AG174" s="15">
        <f t="shared" ca="1" si="111"/>
        <v>7</v>
      </c>
      <c r="AH174" s="9" t="str">
        <f t="shared" ca="1" si="112"/>
        <v>—</v>
      </c>
      <c r="AI174" s="15">
        <f t="shared" ca="1" si="113"/>
        <v>7</v>
      </c>
      <c r="AJ174" s="26" t="str">
        <f t="shared" ca="1" si="114"/>
        <v>—</v>
      </c>
      <c r="AK174" s="15">
        <f t="shared" ca="1" si="115"/>
        <v>7</v>
      </c>
      <c r="AL174" s="9" t="str">
        <f t="shared" ca="1" si="116"/>
        <v>—</v>
      </c>
      <c r="AM174" s="15">
        <f t="shared" ca="1" si="117"/>
        <v>7</v>
      </c>
      <c r="AN174" s="9" t="str">
        <f t="shared" ca="1" si="118"/>
        <v>—</v>
      </c>
      <c r="AO174" s="15">
        <f t="shared" ca="1" si="119"/>
        <v>7</v>
      </c>
    </row>
    <row r="175" spans="1:41" x14ac:dyDescent="0.25">
      <c r="A175" s="4">
        <f t="shared" si="80"/>
        <v>78989</v>
      </c>
      <c r="B175" t="str">
        <f ca="1">TEXT(DATE(YEAR(Invoer!$A$5),1,1)+ROWS(B$2:B175)-1,"jjjjmmdd")</f>
        <v>19130623</v>
      </c>
      <c r="C175" s="72">
        <f t="shared" si="81"/>
        <v>800</v>
      </c>
      <c r="D175" s="16" t="str">
        <f t="shared" ca="1" si="82"/>
        <v>—</v>
      </c>
      <c r="E175" s="15">
        <f t="shared" ca="1" si="83"/>
        <v>7</v>
      </c>
      <c r="F175" s="73" t="str">
        <f t="shared" ca="1" si="84"/>
        <v>—</v>
      </c>
      <c r="G175" s="15">
        <f t="shared" ca="1" si="85"/>
        <v>7</v>
      </c>
      <c r="H175" s="73" t="str">
        <f t="shared" ca="1" si="86"/>
        <v>—</v>
      </c>
      <c r="I175" s="15">
        <f t="shared" ca="1" si="87"/>
        <v>7</v>
      </c>
      <c r="J175" s="73" t="str">
        <f t="shared" ca="1" si="88"/>
        <v>—</v>
      </c>
      <c r="K175" s="15">
        <f t="shared" ca="1" si="89"/>
        <v>7</v>
      </c>
      <c r="L175" s="16" t="str">
        <f t="shared" ca="1" si="90"/>
        <v>—</v>
      </c>
      <c r="M175" s="15">
        <f t="shared" ca="1" si="91"/>
        <v>7</v>
      </c>
      <c r="N175" s="16" t="str">
        <f t="shared" ca="1" si="92"/>
        <v>—</v>
      </c>
      <c r="O175" s="15">
        <f t="shared" ca="1" si="93"/>
        <v>7</v>
      </c>
      <c r="P175" s="16" t="str">
        <f t="shared" ca="1" si="94"/>
        <v>—</v>
      </c>
      <c r="Q175" s="15">
        <f t="shared" ca="1" si="95"/>
        <v>7</v>
      </c>
      <c r="R175" s="16" t="str">
        <f t="shared" ca="1" si="96"/>
        <v>—</v>
      </c>
      <c r="S175" s="15">
        <f t="shared" ca="1" si="97"/>
        <v>7</v>
      </c>
      <c r="T175" s="9" t="str">
        <f t="shared" ca="1" si="98"/>
        <v>—</v>
      </c>
      <c r="U175" s="15">
        <f t="shared" ca="1" si="99"/>
        <v>7</v>
      </c>
      <c r="V175" s="16" t="str">
        <f t="shared" ca="1" si="100"/>
        <v>—</v>
      </c>
      <c r="W175" s="15">
        <f t="shared" ca="1" si="101"/>
        <v>7</v>
      </c>
      <c r="X175" s="16" t="str">
        <f t="shared" ca="1" si="102"/>
        <v>—</v>
      </c>
      <c r="Y175" s="15">
        <f t="shared" ca="1" si="103"/>
        <v>7</v>
      </c>
      <c r="Z175" s="16" t="str">
        <f t="shared" ca="1" si="104"/>
        <v>—</v>
      </c>
      <c r="AA175" s="15">
        <f t="shared" ca="1" si="105"/>
        <v>7</v>
      </c>
      <c r="AB175" s="9" t="str">
        <f t="shared" ca="1" si="106"/>
        <v>—</v>
      </c>
      <c r="AC175" s="15">
        <f t="shared" ca="1" si="107"/>
        <v>7</v>
      </c>
      <c r="AD175" s="76" t="str">
        <f t="shared" ca="1" si="108"/>
        <v>—</v>
      </c>
      <c r="AE175" s="15">
        <f t="shared" ca="1" si="109"/>
        <v>7</v>
      </c>
      <c r="AF175" s="76" t="str">
        <f t="shared" ca="1" si="110"/>
        <v>—</v>
      </c>
      <c r="AG175" s="15">
        <f t="shared" ca="1" si="111"/>
        <v>7</v>
      </c>
      <c r="AH175" s="9" t="str">
        <f t="shared" ca="1" si="112"/>
        <v>—</v>
      </c>
      <c r="AI175" s="15">
        <f t="shared" ca="1" si="113"/>
        <v>7</v>
      </c>
      <c r="AJ175" s="26" t="str">
        <f t="shared" ca="1" si="114"/>
        <v>—</v>
      </c>
      <c r="AK175" s="15">
        <f t="shared" ca="1" si="115"/>
        <v>7</v>
      </c>
      <c r="AL175" s="9" t="str">
        <f t="shared" ca="1" si="116"/>
        <v>—</v>
      </c>
      <c r="AM175" s="15">
        <f t="shared" ca="1" si="117"/>
        <v>7</v>
      </c>
      <c r="AN175" s="9" t="str">
        <f t="shared" ca="1" si="118"/>
        <v>—</v>
      </c>
      <c r="AO175" s="15">
        <f t="shared" ca="1" si="119"/>
        <v>7</v>
      </c>
    </row>
    <row r="176" spans="1:41" x14ac:dyDescent="0.25">
      <c r="A176" s="4">
        <f t="shared" si="80"/>
        <v>78989</v>
      </c>
      <c r="B176" t="str">
        <f ca="1">TEXT(DATE(YEAR(Invoer!$A$5),1,1)+ROWS(B$2:B176)-1,"jjjjmmdd")</f>
        <v>19130624</v>
      </c>
      <c r="C176" s="72">
        <f t="shared" si="81"/>
        <v>800</v>
      </c>
      <c r="D176" s="16" t="str">
        <f t="shared" ca="1" si="82"/>
        <v>—</v>
      </c>
      <c r="E176" s="15">
        <f t="shared" ca="1" si="83"/>
        <v>7</v>
      </c>
      <c r="F176" s="73" t="str">
        <f t="shared" ca="1" si="84"/>
        <v>—</v>
      </c>
      <c r="G176" s="15">
        <f t="shared" ca="1" si="85"/>
        <v>7</v>
      </c>
      <c r="H176" s="73" t="str">
        <f t="shared" ca="1" si="86"/>
        <v>—</v>
      </c>
      <c r="I176" s="15">
        <f t="shared" ca="1" si="87"/>
        <v>7</v>
      </c>
      <c r="J176" s="73" t="str">
        <f t="shared" ca="1" si="88"/>
        <v>—</v>
      </c>
      <c r="K176" s="15">
        <f t="shared" ca="1" si="89"/>
        <v>7</v>
      </c>
      <c r="L176" s="16" t="str">
        <f t="shared" ca="1" si="90"/>
        <v>—</v>
      </c>
      <c r="M176" s="15">
        <f t="shared" ca="1" si="91"/>
        <v>7</v>
      </c>
      <c r="N176" s="16" t="str">
        <f t="shared" ca="1" si="92"/>
        <v>—</v>
      </c>
      <c r="O176" s="15">
        <f t="shared" ca="1" si="93"/>
        <v>7</v>
      </c>
      <c r="P176" s="16" t="str">
        <f t="shared" ca="1" si="94"/>
        <v>—</v>
      </c>
      <c r="Q176" s="15">
        <f t="shared" ca="1" si="95"/>
        <v>7</v>
      </c>
      <c r="R176" s="16" t="str">
        <f t="shared" ca="1" si="96"/>
        <v>—</v>
      </c>
      <c r="S176" s="15">
        <f t="shared" ca="1" si="97"/>
        <v>7</v>
      </c>
      <c r="T176" s="9" t="str">
        <f t="shared" ca="1" si="98"/>
        <v>—</v>
      </c>
      <c r="U176" s="15">
        <f t="shared" ca="1" si="99"/>
        <v>7</v>
      </c>
      <c r="V176" s="16" t="str">
        <f t="shared" ca="1" si="100"/>
        <v>—</v>
      </c>
      <c r="W176" s="15">
        <f t="shared" ca="1" si="101"/>
        <v>7</v>
      </c>
      <c r="X176" s="16" t="str">
        <f t="shared" ca="1" si="102"/>
        <v>—</v>
      </c>
      <c r="Y176" s="15">
        <f t="shared" ca="1" si="103"/>
        <v>7</v>
      </c>
      <c r="Z176" s="16" t="str">
        <f t="shared" ca="1" si="104"/>
        <v>—</v>
      </c>
      <c r="AA176" s="15">
        <f t="shared" ca="1" si="105"/>
        <v>7</v>
      </c>
      <c r="AB176" s="9" t="str">
        <f t="shared" ca="1" si="106"/>
        <v>—</v>
      </c>
      <c r="AC176" s="15">
        <f t="shared" ca="1" si="107"/>
        <v>7</v>
      </c>
      <c r="AD176" s="76" t="str">
        <f t="shared" ca="1" si="108"/>
        <v>—</v>
      </c>
      <c r="AE176" s="15">
        <f t="shared" ca="1" si="109"/>
        <v>7</v>
      </c>
      <c r="AF176" s="76" t="str">
        <f t="shared" ca="1" si="110"/>
        <v>—</v>
      </c>
      <c r="AG176" s="15">
        <f t="shared" ca="1" si="111"/>
        <v>7</v>
      </c>
      <c r="AH176" s="9" t="str">
        <f t="shared" ca="1" si="112"/>
        <v>—</v>
      </c>
      <c r="AI176" s="15">
        <f t="shared" ca="1" si="113"/>
        <v>7</v>
      </c>
      <c r="AJ176" s="26" t="str">
        <f t="shared" ca="1" si="114"/>
        <v>—</v>
      </c>
      <c r="AK176" s="15">
        <f t="shared" ca="1" si="115"/>
        <v>7</v>
      </c>
      <c r="AL176" s="9" t="str">
        <f t="shared" ca="1" si="116"/>
        <v>—</v>
      </c>
      <c r="AM176" s="15">
        <f t="shared" ca="1" si="117"/>
        <v>7</v>
      </c>
      <c r="AN176" s="9" t="str">
        <f t="shared" ca="1" si="118"/>
        <v>—</v>
      </c>
      <c r="AO176" s="15">
        <f t="shared" ca="1" si="119"/>
        <v>7</v>
      </c>
    </row>
    <row r="177" spans="1:41" x14ac:dyDescent="0.25">
      <c r="A177" s="4">
        <f t="shared" si="80"/>
        <v>78989</v>
      </c>
      <c r="B177" t="str">
        <f ca="1">TEXT(DATE(YEAR(Invoer!$A$5),1,1)+ROWS(B$2:B177)-1,"jjjjmmdd")</f>
        <v>19130625</v>
      </c>
      <c r="C177" s="72">
        <f t="shared" si="81"/>
        <v>800</v>
      </c>
      <c r="D177" s="16" t="str">
        <f t="shared" ca="1" si="82"/>
        <v>—</v>
      </c>
      <c r="E177" s="15">
        <f t="shared" ca="1" si="83"/>
        <v>7</v>
      </c>
      <c r="F177" s="73" t="str">
        <f t="shared" ca="1" si="84"/>
        <v>—</v>
      </c>
      <c r="G177" s="15">
        <f t="shared" ca="1" si="85"/>
        <v>7</v>
      </c>
      <c r="H177" s="73" t="str">
        <f t="shared" ca="1" si="86"/>
        <v>—</v>
      </c>
      <c r="I177" s="15">
        <f t="shared" ca="1" si="87"/>
        <v>7</v>
      </c>
      <c r="J177" s="73" t="str">
        <f t="shared" ca="1" si="88"/>
        <v>—</v>
      </c>
      <c r="K177" s="15">
        <f t="shared" ca="1" si="89"/>
        <v>7</v>
      </c>
      <c r="L177" s="16" t="str">
        <f t="shared" ca="1" si="90"/>
        <v>—</v>
      </c>
      <c r="M177" s="15">
        <f t="shared" ca="1" si="91"/>
        <v>7</v>
      </c>
      <c r="N177" s="16" t="str">
        <f t="shared" ca="1" si="92"/>
        <v>—</v>
      </c>
      <c r="O177" s="15">
        <f t="shared" ca="1" si="93"/>
        <v>7</v>
      </c>
      <c r="P177" s="16" t="str">
        <f t="shared" ca="1" si="94"/>
        <v>—</v>
      </c>
      <c r="Q177" s="15">
        <f t="shared" ca="1" si="95"/>
        <v>7</v>
      </c>
      <c r="R177" s="16" t="str">
        <f t="shared" ca="1" si="96"/>
        <v>—</v>
      </c>
      <c r="S177" s="15">
        <f t="shared" ca="1" si="97"/>
        <v>7</v>
      </c>
      <c r="T177" s="9" t="str">
        <f t="shared" ca="1" si="98"/>
        <v>—</v>
      </c>
      <c r="U177" s="15">
        <f t="shared" ca="1" si="99"/>
        <v>7</v>
      </c>
      <c r="V177" s="16" t="str">
        <f t="shared" ca="1" si="100"/>
        <v>—</v>
      </c>
      <c r="W177" s="15">
        <f t="shared" ca="1" si="101"/>
        <v>7</v>
      </c>
      <c r="X177" s="16" t="str">
        <f t="shared" ca="1" si="102"/>
        <v>—</v>
      </c>
      <c r="Y177" s="15">
        <f t="shared" ca="1" si="103"/>
        <v>7</v>
      </c>
      <c r="Z177" s="16" t="str">
        <f t="shared" ca="1" si="104"/>
        <v>—</v>
      </c>
      <c r="AA177" s="15">
        <f t="shared" ca="1" si="105"/>
        <v>7</v>
      </c>
      <c r="AB177" s="9" t="str">
        <f t="shared" ca="1" si="106"/>
        <v>—</v>
      </c>
      <c r="AC177" s="15">
        <f t="shared" ca="1" si="107"/>
        <v>7</v>
      </c>
      <c r="AD177" s="76" t="str">
        <f t="shared" ca="1" si="108"/>
        <v>—</v>
      </c>
      <c r="AE177" s="15">
        <f t="shared" ca="1" si="109"/>
        <v>7</v>
      </c>
      <c r="AF177" s="76" t="str">
        <f t="shared" ca="1" si="110"/>
        <v>—</v>
      </c>
      <c r="AG177" s="15">
        <f t="shared" ca="1" si="111"/>
        <v>7</v>
      </c>
      <c r="AH177" s="9" t="str">
        <f t="shared" ca="1" si="112"/>
        <v>—</v>
      </c>
      <c r="AI177" s="15">
        <f t="shared" ca="1" si="113"/>
        <v>7</v>
      </c>
      <c r="AJ177" s="26" t="str">
        <f t="shared" ca="1" si="114"/>
        <v>—</v>
      </c>
      <c r="AK177" s="15">
        <f t="shared" ca="1" si="115"/>
        <v>7</v>
      </c>
      <c r="AL177" s="9" t="str">
        <f t="shared" ca="1" si="116"/>
        <v>—</v>
      </c>
      <c r="AM177" s="15">
        <f t="shared" ca="1" si="117"/>
        <v>7</v>
      </c>
      <c r="AN177" s="9" t="str">
        <f t="shared" ca="1" si="118"/>
        <v>—</v>
      </c>
      <c r="AO177" s="15">
        <f t="shared" ca="1" si="119"/>
        <v>7</v>
      </c>
    </row>
    <row r="178" spans="1:41" x14ac:dyDescent="0.25">
      <c r="A178" s="4">
        <f t="shared" si="80"/>
        <v>78989</v>
      </c>
      <c r="B178" t="str">
        <f ca="1">TEXT(DATE(YEAR(Invoer!$A$5),1,1)+ROWS(B$2:B178)-1,"jjjjmmdd")</f>
        <v>19130626</v>
      </c>
      <c r="C178" s="72">
        <f t="shared" si="81"/>
        <v>800</v>
      </c>
      <c r="D178" s="16" t="str">
        <f t="shared" ca="1" si="82"/>
        <v>—</v>
      </c>
      <c r="E178" s="15">
        <f t="shared" ca="1" si="83"/>
        <v>7</v>
      </c>
      <c r="F178" s="73" t="str">
        <f t="shared" ca="1" si="84"/>
        <v>—</v>
      </c>
      <c r="G178" s="15">
        <f t="shared" ca="1" si="85"/>
        <v>7</v>
      </c>
      <c r="H178" s="73" t="str">
        <f t="shared" ca="1" si="86"/>
        <v>—</v>
      </c>
      <c r="I178" s="15">
        <f t="shared" ca="1" si="87"/>
        <v>7</v>
      </c>
      <c r="J178" s="73" t="str">
        <f t="shared" ca="1" si="88"/>
        <v>—</v>
      </c>
      <c r="K178" s="15">
        <f t="shared" ca="1" si="89"/>
        <v>7</v>
      </c>
      <c r="L178" s="16" t="str">
        <f t="shared" ca="1" si="90"/>
        <v>—</v>
      </c>
      <c r="M178" s="15">
        <f t="shared" ca="1" si="91"/>
        <v>7</v>
      </c>
      <c r="N178" s="16" t="str">
        <f t="shared" ca="1" si="92"/>
        <v>—</v>
      </c>
      <c r="O178" s="15">
        <f t="shared" ca="1" si="93"/>
        <v>7</v>
      </c>
      <c r="P178" s="16" t="str">
        <f t="shared" ca="1" si="94"/>
        <v>—</v>
      </c>
      <c r="Q178" s="15">
        <f t="shared" ca="1" si="95"/>
        <v>7</v>
      </c>
      <c r="R178" s="16" t="str">
        <f t="shared" ca="1" si="96"/>
        <v>—</v>
      </c>
      <c r="S178" s="15">
        <f t="shared" ca="1" si="97"/>
        <v>7</v>
      </c>
      <c r="T178" s="9" t="str">
        <f t="shared" ca="1" si="98"/>
        <v>—</v>
      </c>
      <c r="U178" s="15">
        <f t="shared" ca="1" si="99"/>
        <v>7</v>
      </c>
      <c r="V178" s="16" t="str">
        <f t="shared" ca="1" si="100"/>
        <v>—</v>
      </c>
      <c r="W178" s="15">
        <f t="shared" ca="1" si="101"/>
        <v>7</v>
      </c>
      <c r="X178" s="16" t="str">
        <f t="shared" ca="1" si="102"/>
        <v>—</v>
      </c>
      <c r="Y178" s="15">
        <f t="shared" ca="1" si="103"/>
        <v>7</v>
      </c>
      <c r="Z178" s="16" t="str">
        <f t="shared" ca="1" si="104"/>
        <v>—</v>
      </c>
      <c r="AA178" s="15">
        <f t="shared" ca="1" si="105"/>
        <v>7</v>
      </c>
      <c r="AB178" s="9" t="str">
        <f t="shared" ca="1" si="106"/>
        <v>—</v>
      </c>
      <c r="AC178" s="15">
        <f t="shared" ca="1" si="107"/>
        <v>7</v>
      </c>
      <c r="AD178" s="76" t="str">
        <f t="shared" ca="1" si="108"/>
        <v>—</v>
      </c>
      <c r="AE178" s="15">
        <f t="shared" ca="1" si="109"/>
        <v>7</v>
      </c>
      <c r="AF178" s="76" t="str">
        <f t="shared" ca="1" si="110"/>
        <v>—</v>
      </c>
      <c r="AG178" s="15">
        <f t="shared" ca="1" si="111"/>
        <v>7</v>
      </c>
      <c r="AH178" s="9" t="str">
        <f t="shared" ca="1" si="112"/>
        <v>—</v>
      </c>
      <c r="AI178" s="15">
        <f t="shared" ca="1" si="113"/>
        <v>7</v>
      </c>
      <c r="AJ178" s="26" t="str">
        <f t="shared" ca="1" si="114"/>
        <v>—</v>
      </c>
      <c r="AK178" s="15">
        <f t="shared" ca="1" si="115"/>
        <v>7</v>
      </c>
      <c r="AL178" s="9" t="str">
        <f t="shared" ca="1" si="116"/>
        <v>—</v>
      </c>
      <c r="AM178" s="15">
        <f t="shared" ca="1" si="117"/>
        <v>7</v>
      </c>
      <c r="AN178" s="9" t="str">
        <f t="shared" ca="1" si="118"/>
        <v>—</v>
      </c>
      <c r="AO178" s="15">
        <f t="shared" ca="1" si="119"/>
        <v>7</v>
      </c>
    </row>
    <row r="179" spans="1:41" x14ac:dyDescent="0.25">
      <c r="A179" s="4">
        <f t="shared" si="80"/>
        <v>78989</v>
      </c>
      <c r="B179" t="str">
        <f ca="1">TEXT(DATE(YEAR(Invoer!$A$5),1,1)+ROWS(B$2:B179)-1,"jjjjmmdd")</f>
        <v>19130627</v>
      </c>
      <c r="C179" s="72">
        <f t="shared" si="81"/>
        <v>800</v>
      </c>
      <c r="D179" s="16" t="str">
        <f t="shared" ca="1" si="82"/>
        <v>—</v>
      </c>
      <c r="E179" s="15">
        <f t="shared" ca="1" si="83"/>
        <v>7</v>
      </c>
      <c r="F179" s="73" t="str">
        <f t="shared" ca="1" si="84"/>
        <v>—</v>
      </c>
      <c r="G179" s="15">
        <f t="shared" ca="1" si="85"/>
        <v>7</v>
      </c>
      <c r="H179" s="73" t="str">
        <f t="shared" ca="1" si="86"/>
        <v>—</v>
      </c>
      <c r="I179" s="15">
        <f t="shared" ca="1" si="87"/>
        <v>7</v>
      </c>
      <c r="J179" s="73" t="str">
        <f t="shared" ca="1" si="88"/>
        <v>—</v>
      </c>
      <c r="K179" s="15">
        <f t="shared" ca="1" si="89"/>
        <v>7</v>
      </c>
      <c r="L179" s="16" t="str">
        <f t="shared" ca="1" si="90"/>
        <v>—</v>
      </c>
      <c r="M179" s="15">
        <f t="shared" ca="1" si="91"/>
        <v>7</v>
      </c>
      <c r="N179" s="16" t="str">
        <f t="shared" ca="1" si="92"/>
        <v>—</v>
      </c>
      <c r="O179" s="15">
        <f t="shared" ca="1" si="93"/>
        <v>7</v>
      </c>
      <c r="P179" s="16" t="str">
        <f t="shared" ca="1" si="94"/>
        <v>—</v>
      </c>
      <c r="Q179" s="15">
        <f t="shared" ca="1" si="95"/>
        <v>7</v>
      </c>
      <c r="R179" s="16" t="str">
        <f t="shared" ca="1" si="96"/>
        <v>—</v>
      </c>
      <c r="S179" s="15">
        <f t="shared" ca="1" si="97"/>
        <v>7</v>
      </c>
      <c r="T179" s="9" t="str">
        <f t="shared" ca="1" si="98"/>
        <v>—</v>
      </c>
      <c r="U179" s="15">
        <f t="shared" ca="1" si="99"/>
        <v>7</v>
      </c>
      <c r="V179" s="16" t="str">
        <f t="shared" ca="1" si="100"/>
        <v>—</v>
      </c>
      <c r="W179" s="15">
        <f t="shared" ca="1" si="101"/>
        <v>7</v>
      </c>
      <c r="X179" s="16" t="str">
        <f t="shared" ca="1" si="102"/>
        <v>—</v>
      </c>
      <c r="Y179" s="15">
        <f t="shared" ca="1" si="103"/>
        <v>7</v>
      </c>
      <c r="Z179" s="16" t="str">
        <f t="shared" ca="1" si="104"/>
        <v>—</v>
      </c>
      <c r="AA179" s="15">
        <f t="shared" ca="1" si="105"/>
        <v>7</v>
      </c>
      <c r="AB179" s="9" t="str">
        <f t="shared" ca="1" si="106"/>
        <v>—</v>
      </c>
      <c r="AC179" s="15">
        <f t="shared" ca="1" si="107"/>
        <v>7</v>
      </c>
      <c r="AD179" s="76" t="str">
        <f t="shared" ca="1" si="108"/>
        <v>—</v>
      </c>
      <c r="AE179" s="15">
        <f t="shared" ca="1" si="109"/>
        <v>7</v>
      </c>
      <c r="AF179" s="76" t="str">
        <f t="shared" ca="1" si="110"/>
        <v>—</v>
      </c>
      <c r="AG179" s="15">
        <f t="shared" ca="1" si="111"/>
        <v>7</v>
      </c>
      <c r="AH179" s="9" t="str">
        <f t="shared" ca="1" si="112"/>
        <v>—</v>
      </c>
      <c r="AI179" s="15">
        <f t="shared" ca="1" si="113"/>
        <v>7</v>
      </c>
      <c r="AJ179" s="26" t="str">
        <f t="shared" ca="1" si="114"/>
        <v>—</v>
      </c>
      <c r="AK179" s="15">
        <f t="shared" ca="1" si="115"/>
        <v>7</v>
      </c>
      <c r="AL179" s="9" t="str">
        <f t="shared" ca="1" si="116"/>
        <v>—</v>
      </c>
      <c r="AM179" s="15">
        <f t="shared" ca="1" si="117"/>
        <v>7</v>
      </c>
      <c r="AN179" s="9" t="str">
        <f t="shared" ca="1" si="118"/>
        <v>—</v>
      </c>
      <c r="AO179" s="15">
        <f t="shared" ca="1" si="119"/>
        <v>7</v>
      </c>
    </row>
    <row r="180" spans="1:41" x14ac:dyDescent="0.25">
      <c r="A180" s="4">
        <f t="shared" si="80"/>
        <v>78989</v>
      </c>
      <c r="B180" t="str">
        <f ca="1">TEXT(DATE(YEAR(Invoer!$A$5),1,1)+ROWS(B$2:B180)-1,"jjjjmmdd")</f>
        <v>19130628</v>
      </c>
      <c r="C180" s="72">
        <f t="shared" si="81"/>
        <v>800</v>
      </c>
      <c r="D180" s="16" t="str">
        <f t="shared" ca="1" si="82"/>
        <v>—</v>
      </c>
      <c r="E180" s="15">
        <f t="shared" ca="1" si="83"/>
        <v>7</v>
      </c>
      <c r="F180" s="73" t="str">
        <f t="shared" ca="1" si="84"/>
        <v>—</v>
      </c>
      <c r="G180" s="15">
        <f t="shared" ca="1" si="85"/>
        <v>7</v>
      </c>
      <c r="H180" s="73" t="str">
        <f t="shared" ca="1" si="86"/>
        <v>—</v>
      </c>
      <c r="I180" s="15">
        <f t="shared" ca="1" si="87"/>
        <v>7</v>
      </c>
      <c r="J180" s="73" t="str">
        <f t="shared" ca="1" si="88"/>
        <v>—</v>
      </c>
      <c r="K180" s="15">
        <f t="shared" ca="1" si="89"/>
        <v>7</v>
      </c>
      <c r="L180" s="16" t="str">
        <f t="shared" ca="1" si="90"/>
        <v>—</v>
      </c>
      <c r="M180" s="15">
        <f t="shared" ca="1" si="91"/>
        <v>7</v>
      </c>
      <c r="N180" s="16" t="str">
        <f t="shared" ca="1" si="92"/>
        <v>—</v>
      </c>
      <c r="O180" s="15">
        <f t="shared" ca="1" si="93"/>
        <v>7</v>
      </c>
      <c r="P180" s="16" t="str">
        <f t="shared" ca="1" si="94"/>
        <v>—</v>
      </c>
      <c r="Q180" s="15">
        <f t="shared" ca="1" si="95"/>
        <v>7</v>
      </c>
      <c r="R180" s="16" t="str">
        <f t="shared" ca="1" si="96"/>
        <v>—</v>
      </c>
      <c r="S180" s="15">
        <f t="shared" ca="1" si="97"/>
        <v>7</v>
      </c>
      <c r="T180" s="9" t="str">
        <f t="shared" ca="1" si="98"/>
        <v>—</v>
      </c>
      <c r="U180" s="15">
        <f t="shared" ca="1" si="99"/>
        <v>7</v>
      </c>
      <c r="V180" s="16" t="str">
        <f t="shared" ca="1" si="100"/>
        <v>—</v>
      </c>
      <c r="W180" s="15">
        <f t="shared" ca="1" si="101"/>
        <v>7</v>
      </c>
      <c r="X180" s="16" t="str">
        <f t="shared" ca="1" si="102"/>
        <v>—</v>
      </c>
      <c r="Y180" s="15">
        <f t="shared" ca="1" si="103"/>
        <v>7</v>
      </c>
      <c r="Z180" s="16" t="str">
        <f t="shared" ca="1" si="104"/>
        <v>—</v>
      </c>
      <c r="AA180" s="15">
        <f t="shared" ca="1" si="105"/>
        <v>7</v>
      </c>
      <c r="AB180" s="9" t="str">
        <f t="shared" ca="1" si="106"/>
        <v>—</v>
      </c>
      <c r="AC180" s="15">
        <f t="shared" ca="1" si="107"/>
        <v>7</v>
      </c>
      <c r="AD180" s="76" t="str">
        <f t="shared" ca="1" si="108"/>
        <v>—</v>
      </c>
      <c r="AE180" s="15">
        <f t="shared" ca="1" si="109"/>
        <v>7</v>
      </c>
      <c r="AF180" s="76" t="str">
        <f t="shared" ca="1" si="110"/>
        <v>—</v>
      </c>
      <c r="AG180" s="15">
        <f t="shared" ca="1" si="111"/>
        <v>7</v>
      </c>
      <c r="AH180" s="9" t="str">
        <f t="shared" ca="1" si="112"/>
        <v>—</v>
      </c>
      <c r="AI180" s="15">
        <f t="shared" ca="1" si="113"/>
        <v>7</v>
      </c>
      <c r="AJ180" s="26" t="str">
        <f t="shared" ca="1" si="114"/>
        <v>—</v>
      </c>
      <c r="AK180" s="15">
        <f t="shared" ca="1" si="115"/>
        <v>7</v>
      </c>
      <c r="AL180" s="9" t="str">
        <f t="shared" ca="1" si="116"/>
        <v>—</v>
      </c>
      <c r="AM180" s="15">
        <f t="shared" ca="1" si="117"/>
        <v>7</v>
      </c>
      <c r="AN180" s="9" t="str">
        <f t="shared" ca="1" si="118"/>
        <v>—</v>
      </c>
      <c r="AO180" s="15">
        <f t="shared" ca="1" si="119"/>
        <v>7</v>
      </c>
    </row>
    <row r="181" spans="1:41" x14ac:dyDescent="0.25">
      <c r="A181" s="4">
        <f t="shared" si="80"/>
        <v>78989</v>
      </c>
      <c r="B181" t="str">
        <f ca="1">TEXT(DATE(YEAR(Invoer!$A$5),1,1)+ROWS(B$2:B181)-1,"jjjjmmdd")</f>
        <v>19130629</v>
      </c>
      <c r="C181" s="72">
        <f t="shared" si="81"/>
        <v>800</v>
      </c>
      <c r="D181" s="16" t="str">
        <f t="shared" ca="1" si="82"/>
        <v>—</v>
      </c>
      <c r="E181" s="15">
        <f t="shared" ca="1" si="83"/>
        <v>7</v>
      </c>
      <c r="F181" s="73" t="str">
        <f t="shared" ca="1" si="84"/>
        <v>—</v>
      </c>
      <c r="G181" s="15">
        <f t="shared" ca="1" si="85"/>
        <v>7</v>
      </c>
      <c r="H181" s="73" t="str">
        <f t="shared" ca="1" si="86"/>
        <v>—</v>
      </c>
      <c r="I181" s="15">
        <f t="shared" ca="1" si="87"/>
        <v>7</v>
      </c>
      <c r="J181" s="73" t="str">
        <f t="shared" ca="1" si="88"/>
        <v>—</v>
      </c>
      <c r="K181" s="15">
        <f t="shared" ca="1" si="89"/>
        <v>7</v>
      </c>
      <c r="L181" s="16" t="str">
        <f t="shared" ca="1" si="90"/>
        <v>—</v>
      </c>
      <c r="M181" s="15">
        <f t="shared" ca="1" si="91"/>
        <v>7</v>
      </c>
      <c r="N181" s="16" t="str">
        <f t="shared" ca="1" si="92"/>
        <v>—</v>
      </c>
      <c r="O181" s="15">
        <f t="shared" ca="1" si="93"/>
        <v>7</v>
      </c>
      <c r="P181" s="16" t="str">
        <f t="shared" ca="1" si="94"/>
        <v>—</v>
      </c>
      <c r="Q181" s="15">
        <f t="shared" ca="1" si="95"/>
        <v>7</v>
      </c>
      <c r="R181" s="16" t="str">
        <f t="shared" ca="1" si="96"/>
        <v>—</v>
      </c>
      <c r="S181" s="15">
        <f t="shared" ca="1" si="97"/>
        <v>7</v>
      </c>
      <c r="T181" s="9" t="str">
        <f t="shared" ca="1" si="98"/>
        <v>—</v>
      </c>
      <c r="U181" s="15">
        <f t="shared" ca="1" si="99"/>
        <v>7</v>
      </c>
      <c r="V181" s="16" t="str">
        <f t="shared" ca="1" si="100"/>
        <v>—</v>
      </c>
      <c r="W181" s="15">
        <f t="shared" ca="1" si="101"/>
        <v>7</v>
      </c>
      <c r="X181" s="16" t="str">
        <f t="shared" ca="1" si="102"/>
        <v>—</v>
      </c>
      <c r="Y181" s="15">
        <f t="shared" ca="1" si="103"/>
        <v>7</v>
      </c>
      <c r="Z181" s="16" t="str">
        <f t="shared" ca="1" si="104"/>
        <v>—</v>
      </c>
      <c r="AA181" s="15">
        <f t="shared" ca="1" si="105"/>
        <v>7</v>
      </c>
      <c r="AB181" s="9" t="str">
        <f t="shared" ca="1" si="106"/>
        <v>—</v>
      </c>
      <c r="AC181" s="15">
        <f t="shared" ca="1" si="107"/>
        <v>7</v>
      </c>
      <c r="AD181" s="76" t="str">
        <f t="shared" ca="1" si="108"/>
        <v>—</v>
      </c>
      <c r="AE181" s="15">
        <f t="shared" ca="1" si="109"/>
        <v>7</v>
      </c>
      <c r="AF181" s="76" t="str">
        <f t="shared" ca="1" si="110"/>
        <v>—</v>
      </c>
      <c r="AG181" s="15">
        <f t="shared" ca="1" si="111"/>
        <v>7</v>
      </c>
      <c r="AH181" s="9" t="str">
        <f t="shared" ca="1" si="112"/>
        <v>—</v>
      </c>
      <c r="AI181" s="15">
        <f t="shared" ca="1" si="113"/>
        <v>7</v>
      </c>
      <c r="AJ181" s="26" t="str">
        <f t="shared" ca="1" si="114"/>
        <v>—</v>
      </c>
      <c r="AK181" s="15">
        <f t="shared" ca="1" si="115"/>
        <v>7</v>
      </c>
      <c r="AL181" s="9" t="str">
        <f t="shared" ca="1" si="116"/>
        <v>—</v>
      </c>
      <c r="AM181" s="15">
        <f t="shared" ca="1" si="117"/>
        <v>7</v>
      </c>
      <c r="AN181" s="9" t="str">
        <f t="shared" ca="1" si="118"/>
        <v>—</v>
      </c>
      <c r="AO181" s="15">
        <f t="shared" ca="1" si="119"/>
        <v>7</v>
      </c>
    </row>
    <row r="182" spans="1:41" x14ac:dyDescent="0.25">
      <c r="A182" s="4">
        <f t="shared" si="80"/>
        <v>78989</v>
      </c>
      <c r="B182" t="str">
        <f ca="1">TEXT(DATE(YEAR(Invoer!$A$5),1,1)+ROWS(B$2:B182)-1,"jjjjmmdd")</f>
        <v>19130630</v>
      </c>
      <c r="C182" s="72">
        <f t="shared" si="81"/>
        <v>800</v>
      </c>
      <c r="D182" s="16" t="str">
        <f t="shared" ca="1" si="82"/>
        <v>—</v>
      </c>
      <c r="E182" s="15">
        <f t="shared" ca="1" si="83"/>
        <v>7</v>
      </c>
      <c r="F182" s="73" t="str">
        <f t="shared" ca="1" si="84"/>
        <v>—</v>
      </c>
      <c r="G182" s="15">
        <f t="shared" ca="1" si="85"/>
        <v>7</v>
      </c>
      <c r="H182" s="73" t="str">
        <f t="shared" ca="1" si="86"/>
        <v>—</v>
      </c>
      <c r="I182" s="15">
        <f t="shared" ca="1" si="87"/>
        <v>7</v>
      </c>
      <c r="J182" s="73" t="str">
        <f t="shared" ca="1" si="88"/>
        <v>—</v>
      </c>
      <c r="K182" s="15">
        <f t="shared" ca="1" si="89"/>
        <v>7</v>
      </c>
      <c r="L182" s="16" t="str">
        <f t="shared" ca="1" si="90"/>
        <v>—</v>
      </c>
      <c r="M182" s="15">
        <f t="shared" ca="1" si="91"/>
        <v>7</v>
      </c>
      <c r="N182" s="16" t="str">
        <f t="shared" ca="1" si="92"/>
        <v>—</v>
      </c>
      <c r="O182" s="15">
        <f t="shared" ca="1" si="93"/>
        <v>7</v>
      </c>
      <c r="P182" s="16" t="str">
        <f t="shared" ca="1" si="94"/>
        <v>—</v>
      </c>
      <c r="Q182" s="15">
        <f t="shared" ca="1" si="95"/>
        <v>7</v>
      </c>
      <c r="R182" s="16" t="str">
        <f t="shared" ca="1" si="96"/>
        <v>—</v>
      </c>
      <c r="S182" s="15">
        <f t="shared" ca="1" si="97"/>
        <v>7</v>
      </c>
      <c r="T182" s="9" t="str">
        <f t="shared" ca="1" si="98"/>
        <v>—</v>
      </c>
      <c r="U182" s="15">
        <f t="shared" ca="1" si="99"/>
        <v>7</v>
      </c>
      <c r="V182" s="16" t="str">
        <f t="shared" ca="1" si="100"/>
        <v>—</v>
      </c>
      <c r="W182" s="15">
        <f t="shared" ca="1" si="101"/>
        <v>7</v>
      </c>
      <c r="X182" s="16" t="str">
        <f t="shared" ca="1" si="102"/>
        <v>—</v>
      </c>
      <c r="Y182" s="15">
        <f t="shared" ca="1" si="103"/>
        <v>7</v>
      </c>
      <c r="Z182" s="16" t="str">
        <f t="shared" ca="1" si="104"/>
        <v>—</v>
      </c>
      <c r="AA182" s="15">
        <f t="shared" ca="1" si="105"/>
        <v>7</v>
      </c>
      <c r="AB182" s="9" t="str">
        <f t="shared" ca="1" si="106"/>
        <v>—</v>
      </c>
      <c r="AC182" s="15">
        <f t="shared" ca="1" si="107"/>
        <v>7</v>
      </c>
      <c r="AD182" s="76" t="str">
        <f t="shared" ca="1" si="108"/>
        <v>—</v>
      </c>
      <c r="AE182" s="15">
        <f t="shared" ca="1" si="109"/>
        <v>7</v>
      </c>
      <c r="AF182" s="76" t="str">
        <f t="shared" ca="1" si="110"/>
        <v>—</v>
      </c>
      <c r="AG182" s="15">
        <f t="shared" ca="1" si="111"/>
        <v>7</v>
      </c>
      <c r="AH182" s="9" t="str">
        <f t="shared" ca="1" si="112"/>
        <v>—</v>
      </c>
      <c r="AI182" s="15">
        <f t="shared" ca="1" si="113"/>
        <v>7</v>
      </c>
      <c r="AJ182" s="26" t="str">
        <f t="shared" ca="1" si="114"/>
        <v>—</v>
      </c>
      <c r="AK182" s="15">
        <f t="shared" ca="1" si="115"/>
        <v>7</v>
      </c>
      <c r="AL182" s="9" t="str">
        <f t="shared" ca="1" si="116"/>
        <v>—</v>
      </c>
      <c r="AM182" s="15">
        <f t="shared" ca="1" si="117"/>
        <v>7</v>
      </c>
      <c r="AN182" s="9" t="str">
        <f t="shared" ca="1" si="118"/>
        <v>—</v>
      </c>
      <c r="AO182" s="15">
        <f t="shared" ca="1" si="119"/>
        <v>7</v>
      </c>
    </row>
    <row r="183" spans="1:41" x14ac:dyDescent="0.25">
      <c r="A183" s="4">
        <f t="shared" si="80"/>
        <v>78989</v>
      </c>
      <c r="B183" t="str">
        <f ca="1">TEXT(DATE(YEAR(Invoer!$A$5),1,1)+ROWS(B$2:B183)-1,"jjjjmmdd")</f>
        <v>19130701</v>
      </c>
      <c r="C183" s="72">
        <f t="shared" si="81"/>
        <v>800</v>
      </c>
      <c r="D183" s="16" t="str">
        <f t="shared" ca="1" si="82"/>
        <v>—</v>
      </c>
      <c r="E183" s="15">
        <f t="shared" ca="1" si="83"/>
        <v>7</v>
      </c>
      <c r="F183" s="73" t="str">
        <f t="shared" ca="1" si="84"/>
        <v>—</v>
      </c>
      <c r="G183" s="15">
        <f t="shared" ca="1" si="85"/>
        <v>7</v>
      </c>
      <c r="H183" s="73" t="str">
        <f t="shared" ca="1" si="86"/>
        <v>—</v>
      </c>
      <c r="I183" s="15">
        <f t="shared" ca="1" si="87"/>
        <v>7</v>
      </c>
      <c r="J183" s="73" t="str">
        <f t="shared" ca="1" si="88"/>
        <v>—</v>
      </c>
      <c r="K183" s="15">
        <f t="shared" ca="1" si="89"/>
        <v>7</v>
      </c>
      <c r="L183" s="16">
        <f t="shared" ca="1" si="90"/>
        <v>761.5</v>
      </c>
      <c r="M183" s="15">
        <f t="shared" ca="1" si="91"/>
        <v>0</v>
      </c>
      <c r="N183" s="16" t="str">
        <f t="shared" ca="1" si="92"/>
        <v>—</v>
      </c>
      <c r="O183" s="15">
        <f t="shared" ca="1" si="93"/>
        <v>7</v>
      </c>
      <c r="P183" s="16" t="str">
        <f t="shared" ca="1" si="94"/>
        <v>—</v>
      </c>
      <c r="Q183" s="15">
        <f t="shared" ca="1" si="95"/>
        <v>7</v>
      </c>
      <c r="R183" s="16" t="str">
        <f t="shared" ca="1" si="96"/>
        <v>—</v>
      </c>
      <c r="S183" s="15">
        <f t="shared" ca="1" si="97"/>
        <v>7</v>
      </c>
      <c r="T183" s="9" t="str">
        <f t="shared" ca="1" si="98"/>
        <v>—</v>
      </c>
      <c r="U183" s="15">
        <f t="shared" ca="1" si="99"/>
        <v>7</v>
      </c>
      <c r="V183" s="16" t="str">
        <f t="shared" ca="1" si="100"/>
        <v>—</v>
      </c>
      <c r="W183" s="15">
        <f t="shared" ca="1" si="101"/>
        <v>7</v>
      </c>
      <c r="X183" s="16" t="str">
        <f t="shared" ca="1" si="102"/>
        <v>—</v>
      </c>
      <c r="Y183" s="15">
        <f t="shared" ca="1" si="103"/>
        <v>7</v>
      </c>
      <c r="Z183" s="16" t="str">
        <f t="shared" ca="1" si="104"/>
        <v>—</v>
      </c>
      <c r="AA183" s="15">
        <f t="shared" ca="1" si="105"/>
        <v>7</v>
      </c>
      <c r="AB183" s="9">
        <f t="shared" ca="1" si="106"/>
        <v>90</v>
      </c>
      <c r="AC183" s="15">
        <f t="shared" ca="1" si="107"/>
        <v>0</v>
      </c>
      <c r="AD183" s="76" t="str">
        <f t="shared" ca="1" si="108"/>
        <v>—</v>
      </c>
      <c r="AE183" s="15">
        <f t="shared" ca="1" si="109"/>
        <v>7</v>
      </c>
      <c r="AF183" s="76" t="str">
        <f t="shared" ca="1" si="110"/>
        <v>—</v>
      </c>
      <c r="AG183" s="15">
        <f t="shared" ca="1" si="111"/>
        <v>7</v>
      </c>
      <c r="AH183" s="9" t="str">
        <f t="shared" ca="1" si="112"/>
        <v>—</v>
      </c>
      <c r="AI183" s="15">
        <f t="shared" ca="1" si="113"/>
        <v>7</v>
      </c>
      <c r="AJ183" s="26" t="str">
        <f t="shared" ca="1" si="114"/>
        <v>—</v>
      </c>
      <c r="AK183" s="15">
        <f t="shared" ca="1" si="115"/>
        <v>7</v>
      </c>
      <c r="AL183" s="9" t="str">
        <f t="shared" ca="1" si="116"/>
        <v>—</v>
      </c>
      <c r="AM183" s="15">
        <f t="shared" ca="1" si="117"/>
        <v>7</v>
      </c>
      <c r="AN183" s="9" t="str">
        <f t="shared" ca="1" si="118"/>
        <v>—</v>
      </c>
      <c r="AO183" s="15">
        <f t="shared" ca="1" si="119"/>
        <v>7</v>
      </c>
    </row>
    <row r="184" spans="1:41" x14ac:dyDescent="0.25">
      <c r="A184" s="4">
        <f t="shared" si="80"/>
        <v>78989</v>
      </c>
      <c r="B184" t="str">
        <f ca="1">TEXT(DATE(YEAR(Invoer!$A$5),1,1)+ROWS(B$2:B184)-1,"jjjjmmdd")</f>
        <v>19130702</v>
      </c>
      <c r="C184" s="72">
        <f t="shared" si="81"/>
        <v>800</v>
      </c>
      <c r="D184" s="16" t="str">
        <f t="shared" ca="1" si="82"/>
        <v>—</v>
      </c>
      <c r="E184" s="15">
        <f t="shared" ca="1" si="83"/>
        <v>7</v>
      </c>
      <c r="F184" s="73" t="str">
        <f t="shared" ca="1" si="84"/>
        <v>—</v>
      </c>
      <c r="G184" s="15">
        <f t="shared" ca="1" si="85"/>
        <v>7</v>
      </c>
      <c r="H184" s="73" t="str">
        <f t="shared" ca="1" si="86"/>
        <v>—</v>
      </c>
      <c r="I184" s="15">
        <f t="shared" ca="1" si="87"/>
        <v>7</v>
      </c>
      <c r="J184" s="73" t="str">
        <f t="shared" ca="1" si="88"/>
        <v>—</v>
      </c>
      <c r="K184" s="15">
        <f t="shared" ca="1" si="89"/>
        <v>7</v>
      </c>
      <c r="L184" s="16">
        <f t="shared" ca="1" si="90"/>
        <v>760.5</v>
      </c>
      <c r="M184" s="15">
        <f t="shared" ca="1" si="91"/>
        <v>0</v>
      </c>
      <c r="N184" s="16" t="str">
        <f t="shared" ca="1" si="92"/>
        <v>—</v>
      </c>
      <c r="O184" s="15">
        <f t="shared" ca="1" si="93"/>
        <v>7</v>
      </c>
      <c r="P184" s="16" t="str">
        <f t="shared" ca="1" si="94"/>
        <v>—</v>
      </c>
      <c r="Q184" s="15">
        <f t="shared" ca="1" si="95"/>
        <v>7</v>
      </c>
      <c r="R184" s="16" t="str">
        <f t="shared" ca="1" si="96"/>
        <v>—</v>
      </c>
      <c r="S184" s="15">
        <f t="shared" ca="1" si="97"/>
        <v>7</v>
      </c>
      <c r="T184" s="9" t="str">
        <f t="shared" ca="1" si="98"/>
        <v>—</v>
      </c>
      <c r="U184" s="15">
        <f t="shared" ca="1" si="99"/>
        <v>7</v>
      </c>
      <c r="V184" s="16" t="str">
        <f t="shared" ca="1" si="100"/>
        <v>—</v>
      </c>
      <c r="W184" s="15">
        <f t="shared" ca="1" si="101"/>
        <v>7</v>
      </c>
      <c r="X184" s="16" t="str">
        <f t="shared" ca="1" si="102"/>
        <v>—</v>
      </c>
      <c r="Y184" s="15">
        <f t="shared" ca="1" si="103"/>
        <v>7</v>
      </c>
      <c r="Z184" s="16" t="str">
        <f t="shared" ca="1" si="104"/>
        <v>—</v>
      </c>
      <c r="AA184" s="15">
        <f t="shared" ca="1" si="105"/>
        <v>7</v>
      </c>
      <c r="AB184" s="9">
        <f t="shared" ca="1" si="106"/>
        <v>90</v>
      </c>
      <c r="AC184" s="15">
        <f t="shared" ca="1" si="107"/>
        <v>0</v>
      </c>
      <c r="AD184" s="76" t="str">
        <f t="shared" ca="1" si="108"/>
        <v>—</v>
      </c>
      <c r="AE184" s="15">
        <f t="shared" ca="1" si="109"/>
        <v>7</v>
      </c>
      <c r="AF184" s="76" t="str">
        <f t="shared" ca="1" si="110"/>
        <v>—</v>
      </c>
      <c r="AG184" s="15">
        <f t="shared" ca="1" si="111"/>
        <v>7</v>
      </c>
      <c r="AH184" s="9" t="str">
        <f t="shared" ca="1" si="112"/>
        <v>—</v>
      </c>
      <c r="AI184" s="15">
        <f t="shared" ca="1" si="113"/>
        <v>7</v>
      </c>
      <c r="AJ184" s="26" t="str">
        <f t="shared" ca="1" si="114"/>
        <v>—</v>
      </c>
      <c r="AK184" s="15">
        <f t="shared" ca="1" si="115"/>
        <v>7</v>
      </c>
      <c r="AL184" s="9" t="str">
        <f t="shared" ca="1" si="116"/>
        <v>—</v>
      </c>
      <c r="AM184" s="15">
        <f t="shared" ca="1" si="117"/>
        <v>7</v>
      </c>
      <c r="AN184" s="9" t="str">
        <f t="shared" ca="1" si="118"/>
        <v>—</v>
      </c>
      <c r="AO184" s="15">
        <f t="shared" ca="1" si="119"/>
        <v>7</v>
      </c>
    </row>
    <row r="185" spans="1:41" x14ac:dyDescent="0.25">
      <c r="A185" s="4">
        <f t="shared" si="80"/>
        <v>78989</v>
      </c>
      <c r="B185" t="str">
        <f ca="1">TEXT(DATE(YEAR(Invoer!$A$5),1,1)+ROWS(B$2:B185)-1,"jjjjmmdd")</f>
        <v>19130703</v>
      </c>
      <c r="C185" s="72">
        <f t="shared" si="81"/>
        <v>800</v>
      </c>
      <c r="D185" s="16" t="str">
        <f t="shared" ca="1" si="82"/>
        <v>—</v>
      </c>
      <c r="E185" s="15">
        <f t="shared" ca="1" si="83"/>
        <v>7</v>
      </c>
      <c r="F185" s="73" t="str">
        <f t="shared" ca="1" si="84"/>
        <v>—</v>
      </c>
      <c r="G185" s="15">
        <f t="shared" ca="1" si="85"/>
        <v>7</v>
      </c>
      <c r="H185" s="73" t="str">
        <f t="shared" ca="1" si="86"/>
        <v>—</v>
      </c>
      <c r="I185" s="15">
        <f t="shared" ca="1" si="87"/>
        <v>7</v>
      </c>
      <c r="J185" s="73" t="str">
        <f t="shared" ca="1" si="88"/>
        <v>—</v>
      </c>
      <c r="K185" s="15">
        <f t="shared" ca="1" si="89"/>
        <v>7</v>
      </c>
      <c r="L185" s="16">
        <f t="shared" ca="1" si="90"/>
        <v>760.5</v>
      </c>
      <c r="M185" s="15">
        <f t="shared" ca="1" si="91"/>
        <v>0</v>
      </c>
      <c r="N185" s="16" t="str">
        <f t="shared" ca="1" si="92"/>
        <v>—</v>
      </c>
      <c r="O185" s="15">
        <f t="shared" ca="1" si="93"/>
        <v>7</v>
      </c>
      <c r="P185" s="16" t="str">
        <f t="shared" ca="1" si="94"/>
        <v>—</v>
      </c>
      <c r="Q185" s="15">
        <f t="shared" ca="1" si="95"/>
        <v>7</v>
      </c>
      <c r="R185" s="16" t="str">
        <f t="shared" ca="1" si="96"/>
        <v>—</v>
      </c>
      <c r="S185" s="15">
        <f t="shared" ca="1" si="97"/>
        <v>7</v>
      </c>
      <c r="T185" s="9" t="str">
        <f t="shared" ca="1" si="98"/>
        <v>—</v>
      </c>
      <c r="U185" s="15">
        <f t="shared" ca="1" si="99"/>
        <v>7</v>
      </c>
      <c r="V185" s="16" t="str">
        <f t="shared" ca="1" si="100"/>
        <v>—</v>
      </c>
      <c r="W185" s="15">
        <f t="shared" ca="1" si="101"/>
        <v>7</v>
      </c>
      <c r="X185" s="16" t="str">
        <f t="shared" ca="1" si="102"/>
        <v>—</v>
      </c>
      <c r="Y185" s="15">
        <f t="shared" ca="1" si="103"/>
        <v>7</v>
      </c>
      <c r="Z185" s="16" t="str">
        <f t="shared" ca="1" si="104"/>
        <v>—</v>
      </c>
      <c r="AA185" s="15">
        <f t="shared" ca="1" si="105"/>
        <v>7</v>
      </c>
      <c r="AB185" s="9">
        <f t="shared" ca="1" si="106"/>
        <v>90</v>
      </c>
      <c r="AC185" s="15">
        <f t="shared" ca="1" si="107"/>
        <v>0</v>
      </c>
      <c r="AD185" s="76" t="str">
        <f t="shared" ca="1" si="108"/>
        <v>—</v>
      </c>
      <c r="AE185" s="15">
        <f t="shared" ca="1" si="109"/>
        <v>7</v>
      </c>
      <c r="AF185" s="76" t="str">
        <f t="shared" ca="1" si="110"/>
        <v>—</v>
      </c>
      <c r="AG185" s="15">
        <f t="shared" ca="1" si="111"/>
        <v>7</v>
      </c>
      <c r="AH185" s="9" t="str">
        <f t="shared" ca="1" si="112"/>
        <v>—</v>
      </c>
      <c r="AI185" s="15">
        <f t="shared" ca="1" si="113"/>
        <v>7</v>
      </c>
      <c r="AJ185" s="26" t="str">
        <f t="shared" ca="1" si="114"/>
        <v>—</v>
      </c>
      <c r="AK185" s="15">
        <f t="shared" ca="1" si="115"/>
        <v>7</v>
      </c>
      <c r="AL185" s="9" t="str">
        <f t="shared" ca="1" si="116"/>
        <v>—</v>
      </c>
      <c r="AM185" s="15">
        <f t="shared" ca="1" si="117"/>
        <v>7</v>
      </c>
      <c r="AN185" s="9" t="str">
        <f t="shared" ca="1" si="118"/>
        <v>—</v>
      </c>
      <c r="AO185" s="15">
        <f t="shared" ca="1" si="119"/>
        <v>7</v>
      </c>
    </row>
    <row r="186" spans="1:41" x14ac:dyDescent="0.25">
      <c r="A186" s="4">
        <f t="shared" si="80"/>
        <v>78989</v>
      </c>
      <c r="B186" t="str">
        <f ca="1">TEXT(DATE(YEAR(Invoer!$A$5),1,1)+ROWS(B$2:B186)-1,"jjjjmmdd")</f>
        <v>19130704</v>
      </c>
      <c r="C186" s="72">
        <f t="shared" si="81"/>
        <v>800</v>
      </c>
      <c r="D186" s="16" t="str">
        <f t="shared" ca="1" si="82"/>
        <v>—</v>
      </c>
      <c r="E186" s="15">
        <f t="shared" ca="1" si="83"/>
        <v>7</v>
      </c>
      <c r="F186" s="73" t="str">
        <f t="shared" ca="1" si="84"/>
        <v>—</v>
      </c>
      <c r="G186" s="15">
        <f t="shared" ca="1" si="85"/>
        <v>7</v>
      </c>
      <c r="H186" s="73" t="str">
        <f t="shared" ca="1" si="86"/>
        <v>—</v>
      </c>
      <c r="I186" s="15">
        <f t="shared" ca="1" si="87"/>
        <v>7</v>
      </c>
      <c r="J186" s="73" t="str">
        <f t="shared" ca="1" si="88"/>
        <v>—</v>
      </c>
      <c r="K186" s="15">
        <f t="shared" ca="1" si="89"/>
        <v>7</v>
      </c>
      <c r="L186" s="16">
        <f t="shared" ca="1" si="90"/>
        <v>761</v>
      </c>
      <c r="M186" s="15">
        <f t="shared" ca="1" si="91"/>
        <v>0</v>
      </c>
      <c r="N186" s="16" t="str">
        <f t="shared" ca="1" si="92"/>
        <v>—</v>
      </c>
      <c r="O186" s="15">
        <f t="shared" ca="1" si="93"/>
        <v>7</v>
      </c>
      <c r="P186" s="16" t="str">
        <f t="shared" ca="1" si="94"/>
        <v>—</v>
      </c>
      <c r="Q186" s="15">
        <f t="shared" ca="1" si="95"/>
        <v>7</v>
      </c>
      <c r="R186" s="16" t="str">
        <f t="shared" ca="1" si="96"/>
        <v>—</v>
      </c>
      <c r="S186" s="15">
        <f t="shared" ca="1" si="97"/>
        <v>7</v>
      </c>
      <c r="T186" s="9" t="str">
        <f t="shared" ca="1" si="98"/>
        <v>—</v>
      </c>
      <c r="U186" s="15">
        <f t="shared" ca="1" si="99"/>
        <v>7</v>
      </c>
      <c r="V186" s="16" t="str">
        <f t="shared" ca="1" si="100"/>
        <v>—</v>
      </c>
      <c r="W186" s="15">
        <f t="shared" ca="1" si="101"/>
        <v>7</v>
      </c>
      <c r="X186" s="16" t="str">
        <f t="shared" ca="1" si="102"/>
        <v>—</v>
      </c>
      <c r="Y186" s="15">
        <f t="shared" ca="1" si="103"/>
        <v>7</v>
      </c>
      <c r="Z186" s="16" t="str">
        <f t="shared" ca="1" si="104"/>
        <v>—</v>
      </c>
      <c r="AA186" s="15">
        <f t="shared" ca="1" si="105"/>
        <v>7</v>
      </c>
      <c r="AB186" s="9">
        <f t="shared" ca="1" si="106"/>
        <v>90</v>
      </c>
      <c r="AC186" s="15">
        <f t="shared" ca="1" si="107"/>
        <v>0</v>
      </c>
      <c r="AD186" s="76" t="str">
        <f t="shared" ca="1" si="108"/>
        <v>—</v>
      </c>
      <c r="AE186" s="15">
        <f t="shared" ca="1" si="109"/>
        <v>7</v>
      </c>
      <c r="AF186" s="76" t="str">
        <f t="shared" ca="1" si="110"/>
        <v>—</v>
      </c>
      <c r="AG186" s="15">
        <f t="shared" ca="1" si="111"/>
        <v>7</v>
      </c>
      <c r="AH186" s="9" t="str">
        <f t="shared" ca="1" si="112"/>
        <v>—</v>
      </c>
      <c r="AI186" s="15">
        <f t="shared" ca="1" si="113"/>
        <v>7</v>
      </c>
      <c r="AJ186" s="26" t="str">
        <f t="shared" ca="1" si="114"/>
        <v>—</v>
      </c>
      <c r="AK186" s="15">
        <f t="shared" ca="1" si="115"/>
        <v>7</v>
      </c>
      <c r="AL186" s="9" t="str">
        <f t="shared" ca="1" si="116"/>
        <v>—</v>
      </c>
      <c r="AM186" s="15">
        <f t="shared" ca="1" si="117"/>
        <v>7</v>
      </c>
      <c r="AN186" s="9" t="str">
        <f t="shared" ca="1" si="118"/>
        <v>—</v>
      </c>
      <c r="AO186" s="15">
        <f t="shared" ca="1" si="119"/>
        <v>7</v>
      </c>
    </row>
    <row r="187" spans="1:41" x14ac:dyDescent="0.25">
      <c r="A187" s="4">
        <f t="shared" si="80"/>
        <v>78989</v>
      </c>
      <c r="B187" t="str">
        <f ca="1">TEXT(DATE(YEAR(Invoer!$A$5),1,1)+ROWS(B$2:B187)-1,"jjjjmmdd")</f>
        <v>19130705</v>
      </c>
      <c r="C187" s="72">
        <f t="shared" si="81"/>
        <v>800</v>
      </c>
      <c r="D187" s="16" t="str">
        <f t="shared" ca="1" si="82"/>
        <v>—</v>
      </c>
      <c r="E187" s="15">
        <f t="shared" ca="1" si="83"/>
        <v>7</v>
      </c>
      <c r="F187" s="73" t="str">
        <f t="shared" ca="1" si="84"/>
        <v>—</v>
      </c>
      <c r="G187" s="15">
        <f t="shared" ca="1" si="85"/>
        <v>7</v>
      </c>
      <c r="H187" s="73" t="str">
        <f t="shared" ca="1" si="86"/>
        <v>—</v>
      </c>
      <c r="I187" s="15">
        <f t="shared" ca="1" si="87"/>
        <v>7</v>
      </c>
      <c r="J187" s="73" t="str">
        <f t="shared" ca="1" si="88"/>
        <v>—</v>
      </c>
      <c r="K187" s="15">
        <f t="shared" ca="1" si="89"/>
        <v>7</v>
      </c>
      <c r="L187" s="16">
        <f t="shared" ca="1" si="90"/>
        <v>762</v>
      </c>
      <c r="M187" s="15">
        <f t="shared" ca="1" si="91"/>
        <v>0</v>
      </c>
      <c r="N187" s="16" t="str">
        <f t="shared" ca="1" si="92"/>
        <v>—</v>
      </c>
      <c r="O187" s="15">
        <f t="shared" ca="1" si="93"/>
        <v>7</v>
      </c>
      <c r="P187" s="16" t="str">
        <f t="shared" ca="1" si="94"/>
        <v>—</v>
      </c>
      <c r="Q187" s="15">
        <f t="shared" ca="1" si="95"/>
        <v>7</v>
      </c>
      <c r="R187" s="16" t="str">
        <f t="shared" ca="1" si="96"/>
        <v>—</v>
      </c>
      <c r="S187" s="15">
        <f t="shared" ca="1" si="97"/>
        <v>7</v>
      </c>
      <c r="T187" s="9" t="str">
        <f t="shared" ca="1" si="98"/>
        <v>—</v>
      </c>
      <c r="U187" s="15">
        <f t="shared" ca="1" si="99"/>
        <v>7</v>
      </c>
      <c r="V187" s="16" t="str">
        <f t="shared" ca="1" si="100"/>
        <v>—</v>
      </c>
      <c r="W187" s="15">
        <f t="shared" ca="1" si="101"/>
        <v>7</v>
      </c>
      <c r="X187" s="16" t="str">
        <f t="shared" ca="1" si="102"/>
        <v>—</v>
      </c>
      <c r="Y187" s="15">
        <f t="shared" ca="1" si="103"/>
        <v>7</v>
      </c>
      <c r="Z187" s="16" t="str">
        <f t="shared" ca="1" si="104"/>
        <v>—</v>
      </c>
      <c r="AA187" s="15">
        <f t="shared" ca="1" si="105"/>
        <v>7</v>
      </c>
      <c r="AB187" s="9">
        <f t="shared" ca="1" si="106"/>
        <v>90</v>
      </c>
      <c r="AC187" s="15">
        <f t="shared" ca="1" si="107"/>
        <v>0</v>
      </c>
      <c r="AD187" s="76" t="str">
        <f t="shared" ca="1" si="108"/>
        <v>—</v>
      </c>
      <c r="AE187" s="15">
        <f t="shared" ca="1" si="109"/>
        <v>7</v>
      </c>
      <c r="AF187" s="76" t="str">
        <f t="shared" ca="1" si="110"/>
        <v>—</v>
      </c>
      <c r="AG187" s="15">
        <f t="shared" ca="1" si="111"/>
        <v>7</v>
      </c>
      <c r="AH187" s="9" t="str">
        <f t="shared" ca="1" si="112"/>
        <v>—</v>
      </c>
      <c r="AI187" s="15">
        <f t="shared" ca="1" si="113"/>
        <v>7</v>
      </c>
      <c r="AJ187" s="26" t="str">
        <f t="shared" ca="1" si="114"/>
        <v>—</v>
      </c>
      <c r="AK187" s="15">
        <f t="shared" ca="1" si="115"/>
        <v>7</v>
      </c>
      <c r="AL187" s="9" t="str">
        <f t="shared" ca="1" si="116"/>
        <v>—</v>
      </c>
      <c r="AM187" s="15">
        <f t="shared" ca="1" si="117"/>
        <v>7</v>
      </c>
      <c r="AN187" s="9" t="str">
        <f t="shared" ca="1" si="118"/>
        <v>—</v>
      </c>
      <c r="AO187" s="15">
        <f t="shared" ca="1" si="119"/>
        <v>7</v>
      </c>
    </row>
    <row r="188" spans="1:41" x14ac:dyDescent="0.25">
      <c r="A188" s="4">
        <f t="shared" si="80"/>
        <v>78989</v>
      </c>
      <c r="B188" t="str">
        <f ca="1">TEXT(DATE(YEAR(Invoer!$A$5),1,1)+ROWS(B$2:B188)-1,"jjjjmmdd")</f>
        <v>19130706</v>
      </c>
      <c r="C188" s="72">
        <f t="shared" si="81"/>
        <v>800</v>
      </c>
      <c r="D188" s="16" t="str">
        <f t="shared" ca="1" si="82"/>
        <v>—</v>
      </c>
      <c r="E188" s="15">
        <f t="shared" ca="1" si="83"/>
        <v>7</v>
      </c>
      <c r="F188" s="73" t="str">
        <f t="shared" ca="1" si="84"/>
        <v>—</v>
      </c>
      <c r="G188" s="15">
        <f t="shared" ca="1" si="85"/>
        <v>7</v>
      </c>
      <c r="H188" s="73" t="str">
        <f t="shared" ca="1" si="86"/>
        <v>—</v>
      </c>
      <c r="I188" s="15">
        <f t="shared" ca="1" si="87"/>
        <v>7</v>
      </c>
      <c r="J188" s="73" t="str">
        <f t="shared" ca="1" si="88"/>
        <v>—</v>
      </c>
      <c r="K188" s="15">
        <f t="shared" ca="1" si="89"/>
        <v>7</v>
      </c>
      <c r="L188" s="16">
        <f t="shared" ca="1" si="90"/>
        <v>761.5</v>
      </c>
      <c r="M188" s="15">
        <f t="shared" ca="1" si="91"/>
        <v>0</v>
      </c>
      <c r="N188" s="16" t="str">
        <f t="shared" ca="1" si="92"/>
        <v>—</v>
      </c>
      <c r="O188" s="15">
        <f t="shared" ca="1" si="93"/>
        <v>7</v>
      </c>
      <c r="P188" s="16" t="str">
        <f t="shared" ca="1" si="94"/>
        <v>—</v>
      </c>
      <c r="Q188" s="15">
        <f t="shared" ca="1" si="95"/>
        <v>7</v>
      </c>
      <c r="R188" s="16" t="str">
        <f t="shared" ca="1" si="96"/>
        <v>—</v>
      </c>
      <c r="S188" s="15">
        <f t="shared" ca="1" si="97"/>
        <v>7</v>
      </c>
      <c r="T188" s="9" t="str">
        <f t="shared" ca="1" si="98"/>
        <v>—</v>
      </c>
      <c r="U188" s="15">
        <f t="shared" ca="1" si="99"/>
        <v>7</v>
      </c>
      <c r="V188" s="16" t="str">
        <f t="shared" ca="1" si="100"/>
        <v>—</v>
      </c>
      <c r="W188" s="15">
        <f t="shared" ca="1" si="101"/>
        <v>7</v>
      </c>
      <c r="X188" s="16" t="str">
        <f t="shared" ca="1" si="102"/>
        <v>—</v>
      </c>
      <c r="Y188" s="15">
        <f t="shared" ca="1" si="103"/>
        <v>7</v>
      </c>
      <c r="Z188" s="16" t="str">
        <f t="shared" ca="1" si="104"/>
        <v>—</v>
      </c>
      <c r="AA188" s="15">
        <f t="shared" ca="1" si="105"/>
        <v>7</v>
      </c>
      <c r="AB188" s="9">
        <f t="shared" ca="1" si="106"/>
        <v>90</v>
      </c>
      <c r="AC188" s="15">
        <f t="shared" ca="1" si="107"/>
        <v>0</v>
      </c>
      <c r="AD188" s="76" t="str">
        <f t="shared" ca="1" si="108"/>
        <v>—</v>
      </c>
      <c r="AE188" s="15">
        <f t="shared" ca="1" si="109"/>
        <v>7</v>
      </c>
      <c r="AF188" s="76" t="str">
        <f t="shared" ca="1" si="110"/>
        <v>—</v>
      </c>
      <c r="AG188" s="15">
        <f t="shared" ca="1" si="111"/>
        <v>7</v>
      </c>
      <c r="AH188" s="9" t="str">
        <f t="shared" ca="1" si="112"/>
        <v>—</v>
      </c>
      <c r="AI188" s="15">
        <f t="shared" ca="1" si="113"/>
        <v>7</v>
      </c>
      <c r="AJ188" s="26" t="str">
        <f t="shared" ca="1" si="114"/>
        <v>—</v>
      </c>
      <c r="AK188" s="15">
        <f t="shared" ca="1" si="115"/>
        <v>7</v>
      </c>
      <c r="AL188" s="9" t="str">
        <f t="shared" ca="1" si="116"/>
        <v>—</v>
      </c>
      <c r="AM188" s="15">
        <f t="shared" ca="1" si="117"/>
        <v>7</v>
      </c>
      <c r="AN188" s="9" t="str">
        <f t="shared" ca="1" si="118"/>
        <v>—</v>
      </c>
      <c r="AO188" s="15">
        <f t="shared" ca="1" si="119"/>
        <v>7</v>
      </c>
    </row>
    <row r="189" spans="1:41" x14ac:dyDescent="0.25">
      <c r="A189" s="4">
        <f t="shared" si="80"/>
        <v>78989</v>
      </c>
      <c r="B189" t="str">
        <f ca="1">TEXT(DATE(YEAR(Invoer!$A$5),1,1)+ROWS(B$2:B189)-1,"jjjjmmdd")</f>
        <v>19130707</v>
      </c>
      <c r="C189" s="72">
        <f t="shared" si="81"/>
        <v>800</v>
      </c>
      <c r="D189" s="16" t="str">
        <f t="shared" ca="1" si="82"/>
        <v>—</v>
      </c>
      <c r="E189" s="15">
        <f t="shared" ca="1" si="83"/>
        <v>7</v>
      </c>
      <c r="F189" s="73" t="str">
        <f t="shared" ca="1" si="84"/>
        <v>—</v>
      </c>
      <c r="G189" s="15">
        <f t="shared" ca="1" si="85"/>
        <v>7</v>
      </c>
      <c r="H189" s="73" t="str">
        <f t="shared" ca="1" si="86"/>
        <v>—</v>
      </c>
      <c r="I189" s="15">
        <f t="shared" ca="1" si="87"/>
        <v>7</v>
      </c>
      <c r="J189" s="73" t="str">
        <f t="shared" ca="1" si="88"/>
        <v>—</v>
      </c>
      <c r="K189" s="15">
        <f t="shared" ca="1" si="89"/>
        <v>7</v>
      </c>
      <c r="L189" s="16">
        <f t="shared" ca="1" si="90"/>
        <v>761.5</v>
      </c>
      <c r="M189" s="15">
        <f t="shared" ca="1" si="91"/>
        <v>0</v>
      </c>
      <c r="N189" s="16" t="str">
        <f t="shared" ca="1" si="92"/>
        <v>—</v>
      </c>
      <c r="O189" s="15">
        <f t="shared" ca="1" si="93"/>
        <v>7</v>
      </c>
      <c r="P189" s="16" t="str">
        <f t="shared" ca="1" si="94"/>
        <v>—</v>
      </c>
      <c r="Q189" s="15">
        <f t="shared" ca="1" si="95"/>
        <v>7</v>
      </c>
      <c r="R189" s="16" t="str">
        <f t="shared" ca="1" si="96"/>
        <v>—</v>
      </c>
      <c r="S189" s="15">
        <f t="shared" ca="1" si="97"/>
        <v>7</v>
      </c>
      <c r="T189" s="9" t="str">
        <f t="shared" ca="1" si="98"/>
        <v>—</v>
      </c>
      <c r="U189" s="15">
        <f t="shared" ca="1" si="99"/>
        <v>7</v>
      </c>
      <c r="V189" s="16" t="str">
        <f t="shared" ca="1" si="100"/>
        <v>—</v>
      </c>
      <c r="W189" s="15">
        <f t="shared" ca="1" si="101"/>
        <v>7</v>
      </c>
      <c r="X189" s="16" t="str">
        <f t="shared" ca="1" si="102"/>
        <v>—</v>
      </c>
      <c r="Y189" s="15">
        <f t="shared" ca="1" si="103"/>
        <v>7</v>
      </c>
      <c r="Z189" s="16" t="str">
        <f t="shared" ca="1" si="104"/>
        <v>—</v>
      </c>
      <c r="AA189" s="15">
        <f t="shared" ca="1" si="105"/>
        <v>7</v>
      </c>
      <c r="AB189" s="9">
        <f t="shared" ca="1" si="106"/>
        <v>135</v>
      </c>
      <c r="AC189" s="15">
        <f t="shared" ca="1" si="107"/>
        <v>0</v>
      </c>
      <c r="AD189" s="76" t="str">
        <f t="shared" ca="1" si="108"/>
        <v>—</v>
      </c>
      <c r="AE189" s="15">
        <f t="shared" ca="1" si="109"/>
        <v>7</v>
      </c>
      <c r="AF189" s="76" t="str">
        <f t="shared" ca="1" si="110"/>
        <v>—</v>
      </c>
      <c r="AG189" s="15">
        <f t="shared" ca="1" si="111"/>
        <v>7</v>
      </c>
      <c r="AH189" s="9" t="str">
        <f t="shared" ca="1" si="112"/>
        <v>—</v>
      </c>
      <c r="AI189" s="15">
        <f t="shared" ca="1" si="113"/>
        <v>7</v>
      </c>
      <c r="AJ189" s="26" t="str">
        <f t="shared" ca="1" si="114"/>
        <v>—</v>
      </c>
      <c r="AK189" s="15">
        <f t="shared" ca="1" si="115"/>
        <v>7</v>
      </c>
      <c r="AL189" s="9" t="str">
        <f t="shared" ca="1" si="116"/>
        <v>—</v>
      </c>
      <c r="AM189" s="15">
        <f t="shared" ca="1" si="117"/>
        <v>7</v>
      </c>
      <c r="AN189" s="9" t="str">
        <f t="shared" ca="1" si="118"/>
        <v>—</v>
      </c>
      <c r="AO189" s="15">
        <f t="shared" ca="1" si="119"/>
        <v>7</v>
      </c>
    </row>
    <row r="190" spans="1:41" x14ac:dyDescent="0.25">
      <c r="A190" s="4">
        <f t="shared" si="80"/>
        <v>78989</v>
      </c>
      <c r="B190" t="str">
        <f ca="1">TEXT(DATE(YEAR(Invoer!$A$5),1,1)+ROWS(B$2:B190)-1,"jjjjmmdd")</f>
        <v>19130708</v>
      </c>
      <c r="C190" s="72">
        <f t="shared" si="81"/>
        <v>800</v>
      </c>
      <c r="D190" s="16" t="str">
        <f t="shared" ca="1" si="82"/>
        <v>—</v>
      </c>
      <c r="E190" s="15">
        <f t="shared" ca="1" si="83"/>
        <v>7</v>
      </c>
      <c r="F190" s="73" t="str">
        <f t="shared" ca="1" si="84"/>
        <v>—</v>
      </c>
      <c r="G190" s="15">
        <f t="shared" ca="1" si="85"/>
        <v>7</v>
      </c>
      <c r="H190" s="73" t="str">
        <f t="shared" ca="1" si="86"/>
        <v>—</v>
      </c>
      <c r="I190" s="15">
        <f t="shared" ca="1" si="87"/>
        <v>7</v>
      </c>
      <c r="J190" s="73" t="str">
        <f t="shared" ca="1" si="88"/>
        <v>—</v>
      </c>
      <c r="K190" s="15">
        <f t="shared" ca="1" si="89"/>
        <v>7</v>
      </c>
      <c r="L190" s="16">
        <f t="shared" ca="1" si="90"/>
        <v>761</v>
      </c>
      <c r="M190" s="15">
        <f t="shared" ca="1" si="91"/>
        <v>0</v>
      </c>
      <c r="N190" s="16" t="str">
        <f t="shared" ca="1" si="92"/>
        <v>—</v>
      </c>
      <c r="O190" s="15">
        <f t="shared" ca="1" si="93"/>
        <v>7</v>
      </c>
      <c r="P190" s="16" t="str">
        <f t="shared" ca="1" si="94"/>
        <v>—</v>
      </c>
      <c r="Q190" s="15">
        <f t="shared" ca="1" si="95"/>
        <v>7</v>
      </c>
      <c r="R190" s="16" t="str">
        <f t="shared" ca="1" si="96"/>
        <v>—</v>
      </c>
      <c r="S190" s="15">
        <f t="shared" ca="1" si="97"/>
        <v>7</v>
      </c>
      <c r="T190" s="9" t="str">
        <f t="shared" ca="1" si="98"/>
        <v>—</v>
      </c>
      <c r="U190" s="15">
        <f t="shared" ca="1" si="99"/>
        <v>7</v>
      </c>
      <c r="V190" s="16" t="str">
        <f t="shared" ca="1" si="100"/>
        <v>—</v>
      </c>
      <c r="W190" s="15">
        <f t="shared" ca="1" si="101"/>
        <v>7</v>
      </c>
      <c r="X190" s="16" t="str">
        <f t="shared" ca="1" si="102"/>
        <v>—</v>
      </c>
      <c r="Y190" s="15">
        <f t="shared" ca="1" si="103"/>
        <v>7</v>
      </c>
      <c r="Z190" s="16" t="str">
        <f t="shared" ca="1" si="104"/>
        <v>—</v>
      </c>
      <c r="AA190" s="15">
        <f t="shared" ca="1" si="105"/>
        <v>7</v>
      </c>
      <c r="AB190" s="9">
        <f t="shared" ca="1" si="106"/>
        <v>90</v>
      </c>
      <c r="AC190" s="15">
        <f t="shared" ca="1" si="107"/>
        <v>0</v>
      </c>
      <c r="AD190" s="76" t="str">
        <f t="shared" ca="1" si="108"/>
        <v>—</v>
      </c>
      <c r="AE190" s="15">
        <f t="shared" ca="1" si="109"/>
        <v>7</v>
      </c>
      <c r="AF190" s="76" t="str">
        <f t="shared" ca="1" si="110"/>
        <v>—</v>
      </c>
      <c r="AG190" s="15">
        <f t="shared" ca="1" si="111"/>
        <v>7</v>
      </c>
      <c r="AH190" s="9" t="str">
        <f t="shared" ca="1" si="112"/>
        <v>—</v>
      </c>
      <c r="AI190" s="15">
        <f t="shared" ca="1" si="113"/>
        <v>7</v>
      </c>
      <c r="AJ190" s="26" t="str">
        <f t="shared" ca="1" si="114"/>
        <v>—</v>
      </c>
      <c r="AK190" s="15">
        <f t="shared" ca="1" si="115"/>
        <v>7</v>
      </c>
      <c r="AL190" s="9" t="str">
        <f t="shared" ca="1" si="116"/>
        <v>—</v>
      </c>
      <c r="AM190" s="15">
        <f t="shared" ca="1" si="117"/>
        <v>7</v>
      </c>
      <c r="AN190" s="9" t="str">
        <f t="shared" ca="1" si="118"/>
        <v>—</v>
      </c>
      <c r="AO190" s="15">
        <f t="shared" ca="1" si="119"/>
        <v>7</v>
      </c>
    </row>
    <row r="191" spans="1:41" x14ac:dyDescent="0.25">
      <c r="A191" s="4">
        <f t="shared" si="80"/>
        <v>78989</v>
      </c>
      <c r="B191" t="str">
        <f ca="1">TEXT(DATE(YEAR(Invoer!$A$5),1,1)+ROWS(B$2:B191)-1,"jjjjmmdd")</f>
        <v>19130709</v>
      </c>
      <c r="C191" s="72">
        <f t="shared" si="81"/>
        <v>800</v>
      </c>
      <c r="D191" s="16" t="str">
        <f t="shared" ca="1" si="82"/>
        <v>—</v>
      </c>
      <c r="E191" s="15">
        <f t="shared" ca="1" si="83"/>
        <v>7</v>
      </c>
      <c r="F191" s="73" t="str">
        <f t="shared" ca="1" si="84"/>
        <v>—</v>
      </c>
      <c r="G191" s="15">
        <f t="shared" ca="1" si="85"/>
        <v>7</v>
      </c>
      <c r="H191" s="73" t="str">
        <f t="shared" ca="1" si="86"/>
        <v>—</v>
      </c>
      <c r="I191" s="15">
        <f t="shared" ca="1" si="87"/>
        <v>7</v>
      </c>
      <c r="J191" s="73" t="str">
        <f t="shared" ca="1" si="88"/>
        <v>—</v>
      </c>
      <c r="K191" s="15">
        <f t="shared" ca="1" si="89"/>
        <v>7</v>
      </c>
      <c r="L191" s="16">
        <f t="shared" ca="1" si="90"/>
        <v>761.5</v>
      </c>
      <c r="M191" s="15">
        <f t="shared" ca="1" si="91"/>
        <v>0</v>
      </c>
      <c r="N191" s="16" t="str">
        <f t="shared" ca="1" si="92"/>
        <v>—</v>
      </c>
      <c r="O191" s="15">
        <f t="shared" ca="1" si="93"/>
        <v>7</v>
      </c>
      <c r="P191" s="16" t="str">
        <f t="shared" ca="1" si="94"/>
        <v>—</v>
      </c>
      <c r="Q191" s="15">
        <f t="shared" ca="1" si="95"/>
        <v>7</v>
      </c>
      <c r="R191" s="16" t="str">
        <f t="shared" ca="1" si="96"/>
        <v>—</v>
      </c>
      <c r="S191" s="15">
        <f t="shared" ca="1" si="97"/>
        <v>7</v>
      </c>
      <c r="T191" s="9" t="str">
        <f t="shared" ca="1" si="98"/>
        <v>—</v>
      </c>
      <c r="U191" s="15">
        <f t="shared" ca="1" si="99"/>
        <v>7</v>
      </c>
      <c r="V191" s="16" t="str">
        <f t="shared" ca="1" si="100"/>
        <v>—</v>
      </c>
      <c r="W191" s="15">
        <f t="shared" ca="1" si="101"/>
        <v>7</v>
      </c>
      <c r="X191" s="16" t="str">
        <f t="shared" ca="1" si="102"/>
        <v>—</v>
      </c>
      <c r="Y191" s="15">
        <f t="shared" ca="1" si="103"/>
        <v>7</v>
      </c>
      <c r="Z191" s="16" t="str">
        <f t="shared" ca="1" si="104"/>
        <v>—</v>
      </c>
      <c r="AA191" s="15">
        <f t="shared" ca="1" si="105"/>
        <v>7</v>
      </c>
      <c r="AB191" s="9">
        <f t="shared" ca="1" si="106"/>
        <v>90</v>
      </c>
      <c r="AC191" s="15">
        <f t="shared" ca="1" si="107"/>
        <v>0</v>
      </c>
      <c r="AD191" s="76" t="str">
        <f t="shared" ca="1" si="108"/>
        <v>—</v>
      </c>
      <c r="AE191" s="15">
        <f t="shared" ca="1" si="109"/>
        <v>7</v>
      </c>
      <c r="AF191" s="76" t="str">
        <f t="shared" ca="1" si="110"/>
        <v>—</v>
      </c>
      <c r="AG191" s="15">
        <f t="shared" ca="1" si="111"/>
        <v>7</v>
      </c>
      <c r="AH191" s="9" t="str">
        <f t="shared" ca="1" si="112"/>
        <v>—</v>
      </c>
      <c r="AI191" s="15">
        <f t="shared" ca="1" si="113"/>
        <v>7</v>
      </c>
      <c r="AJ191" s="26" t="str">
        <f t="shared" ca="1" si="114"/>
        <v>—</v>
      </c>
      <c r="AK191" s="15">
        <f t="shared" ca="1" si="115"/>
        <v>7</v>
      </c>
      <c r="AL191" s="9" t="str">
        <f t="shared" ca="1" si="116"/>
        <v>—</v>
      </c>
      <c r="AM191" s="15">
        <f t="shared" ca="1" si="117"/>
        <v>7</v>
      </c>
      <c r="AN191" s="9" t="str">
        <f t="shared" ca="1" si="118"/>
        <v>—</v>
      </c>
      <c r="AO191" s="15">
        <f t="shared" ca="1" si="119"/>
        <v>7</v>
      </c>
    </row>
    <row r="192" spans="1:41" x14ac:dyDescent="0.25">
      <c r="A192" s="4">
        <f t="shared" si="80"/>
        <v>78989</v>
      </c>
      <c r="B192" t="str">
        <f ca="1">TEXT(DATE(YEAR(Invoer!$A$5),1,1)+ROWS(B$2:B192)-1,"jjjjmmdd")</f>
        <v>19130710</v>
      </c>
      <c r="C192" s="72">
        <f t="shared" si="81"/>
        <v>800</v>
      </c>
      <c r="D192" s="16" t="str">
        <f t="shared" ca="1" si="82"/>
        <v>—</v>
      </c>
      <c r="E192" s="15">
        <f t="shared" ca="1" si="83"/>
        <v>7</v>
      </c>
      <c r="F192" s="73" t="str">
        <f t="shared" ca="1" si="84"/>
        <v>—</v>
      </c>
      <c r="G192" s="15">
        <f t="shared" ca="1" si="85"/>
        <v>7</v>
      </c>
      <c r="H192" s="73" t="str">
        <f t="shared" ca="1" si="86"/>
        <v>—</v>
      </c>
      <c r="I192" s="15">
        <f t="shared" ca="1" si="87"/>
        <v>7</v>
      </c>
      <c r="J192" s="73" t="str">
        <f t="shared" ca="1" si="88"/>
        <v>—</v>
      </c>
      <c r="K192" s="15">
        <f t="shared" ca="1" si="89"/>
        <v>7</v>
      </c>
      <c r="L192" s="16">
        <f t="shared" ca="1" si="90"/>
        <v>762</v>
      </c>
      <c r="M192" s="15">
        <f t="shared" ca="1" si="91"/>
        <v>0</v>
      </c>
      <c r="N192" s="16" t="str">
        <f t="shared" ca="1" si="92"/>
        <v>—</v>
      </c>
      <c r="O192" s="15">
        <f t="shared" ca="1" si="93"/>
        <v>7</v>
      </c>
      <c r="P192" s="16" t="str">
        <f t="shared" ca="1" si="94"/>
        <v>—</v>
      </c>
      <c r="Q192" s="15">
        <f t="shared" ca="1" si="95"/>
        <v>7</v>
      </c>
      <c r="R192" s="16" t="str">
        <f t="shared" ca="1" si="96"/>
        <v>—</v>
      </c>
      <c r="S192" s="15">
        <f t="shared" ca="1" si="97"/>
        <v>7</v>
      </c>
      <c r="T192" s="9" t="str">
        <f t="shared" ca="1" si="98"/>
        <v>—</v>
      </c>
      <c r="U192" s="15">
        <f t="shared" ca="1" si="99"/>
        <v>7</v>
      </c>
      <c r="V192" s="16" t="str">
        <f t="shared" ca="1" si="100"/>
        <v>—</v>
      </c>
      <c r="W192" s="15">
        <f t="shared" ca="1" si="101"/>
        <v>7</v>
      </c>
      <c r="X192" s="16" t="str">
        <f t="shared" ca="1" si="102"/>
        <v>—</v>
      </c>
      <c r="Y192" s="15">
        <f t="shared" ca="1" si="103"/>
        <v>7</v>
      </c>
      <c r="Z192" s="16" t="str">
        <f t="shared" ca="1" si="104"/>
        <v>—</v>
      </c>
      <c r="AA192" s="15">
        <f t="shared" ca="1" si="105"/>
        <v>7</v>
      </c>
      <c r="AB192" s="9">
        <f t="shared" ca="1" si="106"/>
        <v>90</v>
      </c>
      <c r="AC192" s="15">
        <f t="shared" ca="1" si="107"/>
        <v>0</v>
      </c>
      <c r="AD192" s="76" t="str">
        <f t="shared" ca="1" si="108"/>
        <v>—</v>
      </c>
      <c r="AE192" s="15">
        <f t="shared" ca="1" si="109"/>
        <v>7</v>
      </c>
      <c r="AF192" s="76" t="str">
        <f t="shared" ca="1" si="110"/>
        <v>—</v>
      </c>
      <c r="AG192" s="15">
        <f t="shared" ca="1" si="111"/>
        <v>7</v>
      </c>
      <c r="AH192" s="9" t="str">
        <f t="shared" ca="1" si="112"/>
        <v>—</v>
      </c>
      <c r="AI192" s="15">
        <f t="shared" ca="1" si="113"/>
        <v>7</v>
      </c>
      <c r="AJ192" s="26" t="str">
        <f t="shared" ca="1" si="114"/>
        <v>—</v>
      </c>
      <c r="AK192" s="15">
        <f t="shared" ca="1" si="115"/>
        <v>7</v>
      </c>
      <c r="AL192" s="9" t="str">
        <f t="shared" ca="1" si="116"/>
        <v>—</v>
      </c>
      <c r="AM192" s="15">
        <f t="shared" ca="1" si="117"/>
        <v>7</v>
      </c>
      <c r="AN192" s="9" t="str">
        <f t="shared" ca="1" si="118"/>
        <v>—</v>
      </c>
      <c r="AO192" s="15">
        <f t="shared" ca="1" si="119"/>
        <v>7</v>
      </c>
    </row>
    <row r="193" spans="1:41" x14ac:dyDescent="0.25">
      <c r="A193" s="4">
        <f t="shared" si="80"/>
        <v>78989</v>
      </c>
      <c r="B193" t="str">
        <f ca="1">TEXT(DATE(YEAR(Invoer!$A$5),1,1)+ROWS(B$2:B193)-1,"jjjjmmdd")</f>
        <v>19130711</v>
      </c>
      <c r="C193" s="72">
        <f t="shared" si="81"/>
        <v>800</v>
      </c>
      <c r="D193" s="16" t="str">
        <f t="shared" ca="1" si="82"/>
        <v>—</v>
      </c>
      <c r="E193" s="15">
        <f t="shared" ca="1" si="83"/>
        <v>7</v>
      </c>
      <c r="F193" s="73" t="str">
        <f t="shared" ca="1" si="84"/>
        <v>—</v>
      </c>
      <c r="G193" s="15">
        <f t="shared" ca="1" si="85"/>
        <v>7</v>
      </c>
      <c r="H193" s="73" t="str">
        <f t="shared" ca="1" si="86"/>
        <v>—</v>
      </c>
      <c r="I193" s="15">
        <f t="shared" ca="1" si="87"/>
        <v>7</v>
      </c>
      <c r="J193" s="73" t="str">
        <f t="shared" ca="1" si="88"/>
        <v>—</v>
      </c>
      <c r="K193" s="15">
        <f t="shared" ca="1" si="89"/>
        <v>7</v>
      </c>
      <c r="L193" s="16">
        <f t="shared" ca="1" si="90"/>
        <v>761</v>
      </c>
      <c r="M193" s="15">
        <f t="shared" ca="1" si="91"/>
        <v>0</v>
      </c>
      <c r="N193" s="16" t="str">
        <f t="shared" ca="1" si="92"/>
        <v>—</v>
      </c>
      <c r="O193" s="15">
        <f t="shared" ca="1" si="93"/>
        <v>7</v>
      </c>
      <c r="P193" s="16" t="str">
        <f t="shared" ca="1" si="94"/>
        <v>—</v>
      </c>
      <c r="Q193" s="15">
        <f t="shared" ca="1" si="95"/>
        <v>7</v>
      </c>
      <c r="R193" s="16" t="str">
        <f t="shared" ca="1" si="96"/>
        <v>—</v>
      </c>
      <c r="S193" s="15">
        <f t="shared" ca="1" si="97"/>
        <v>7</v>
      </c>
      <c r="T193" s="9" t="str">
        <f t="shared" ca="1" si="98"/>
        <v>—</v>
      </c>
      <c r="U193" s="15">
        <f t="shared" ca="1" si="99"/>
        <v>7</v>
      </c>
      <c r="V193" s="16" t="str">
        <f t="shared" ca="1" si="100"/>
        <v>—</v>
      </c>
      <c r="W193" s="15">
        <f t="shared" ca="1" si="101"/>
        <v>7</v>
      </c>
      <c r="X193" s="16" t="str">
        <f t="shared" ca="1" si="102"/>
        <v>—</v>
      </c>
      <c r="Y193" s="15">
        <f t="shared" ca="1" si="103"/>
        <v>7</v>
      </c>
      <c r="Z193" s="16" t="str">
        <f t="shared" ca="1" si="104"/>
        <v>—</v>
      </c>
      <c r="AA193" s="15">
        <f t="shared" ca="1" si="105"/>
        <v>7</v>
      </c>
      <c r="AB193" s="9">
        <f t="shared" ca="1" si="106"/>
        <v>90</v>
      </c>
      <c r="AC193" s="15">
        <f t="shared" ca="1" si="107"/>
        <v>0</v>
      </c>
      <c r="AD193" s="76" t="str">
        <f t="shared" ca="1" si="108"/>
        <v>—</v>
      </c>
      <c r="AE193" s="15">
        <f t="shared" ca="1" si="109"/>
        <v>7</v>
      </c>
      <c r="AF193" s="76" t="str">
        <f t="shared" ca="1" si="110"/>
        <v>—</v>
      </c>
      <c r="AG193" s="15">
        <f t="shared" ca="1" si="111"/>
        <v>7</v>
      </c>
      <c r="AH193" s="9" t="str">
        <f t="shared" ca="1" si="112"/>
        <v>—</v>
      </c>
      <c r="AI193" s="15">
        <f t="shared" ca="1" si="113"/>
        <v>7</v>
      </c>
      <c r="AJ193" s="26" t="str">
        <f t="shared" ca="1" si="114"/>
        <v>—</v>
      </c>
      <c r="AK193" s="15">
        <f t="shared" ca="1" si="115"/>
        <v>7</v>
      </c>
      <c r="AL193" s="9" t="str">
        <f t="shared" ca="1" si="116"/>
        <v>—</v>
      </c>
      <c r="AM193" s="15">
        <f t="shared" ca="1" si="117"/>
        <v>7</v>
      </c>
      <c r="AN193" s="9" t="str">
        <f t="shared" ca="1" si="118"/>
        <v>—</v>
      </c>
      <c r="AO193" s="15">
        <f t="shared" ca="1" si="119"/>
        <v>7</v>
      </c>
    </row>
    <row r="194" spans="1:41" x14ac:dyDescent="0.25">
      <c r="A194" s="4">
        <f t="shared" ref="A194:A257" si="120">INDEX(Stations,2,1)</f>
        <v>78989</v>
      </c>
      <c r="B194" t="str">
        <f ca="1">TEXT(DATE(YEAR(Invoer!$A$5),1,1)+ROWS(B$2:B194)-1,"jjjjmmdd")</f>
        <v>19130712</v>
      </c>
      <c r="C194" s="72">
        <f t="shared" ref="C194:C257" si="121">Tijd</f>
        <v>800</v>
      </c>
      <c r="D194" s="16" t="str">
        <f t="shared" ref="D194:D257" ca="1" si="122">IF(OR(ISBLANK(VLOOKUP(DATEVALUE(LEFT($B194,4)&amp;"-"&amp;MID($B194,5,2)&amp;"-"&amp;RIGHT($B194,2)),Data,MATCH(LEFT(VLOOKUP(D$1,Parameters,2,FALSE()),3)&amp;"*",OFFSET(Data,N(ISNA(MATCH(LEFT(VLOOKUP(D$1,Parameters,2,FALSE()),3)&amp;"*",OFFSET(Data,0,0,1),0))),0,1),0)+3*N(EXACT(D$1,"DFx")),FALSE())),ISTEXT(VLOOKUP(DATEVALUE(LEFT($B194,4)&amp;"-"&amp;MID($B194,5,2)&amp;"-"&amp;RIGHT($B194,2)),Data,MATCH(LEFT(VLOOKUP(D$1,Parameters,2,FALSE()),3)&amp;"*",OFFSET(Data,N(ISNA(MATCH(LEFT(VLOOKUP(D$1,Parameters,2,FALSE()),3)&amp;"*",OFFSET(Data,0,0,1),0))),0,1),0)+3*N(EXACT(D$1,"DFx")),FALSE()))),"—",ROUND(5*(VLOOKUP(DATEVALUE(LEFT($B194,4)&amp;"-"&amp;MID($B194,5,2)&amp;"-"&amp;RIGHT($B194,2)),Data,MATCH(LEFT(VLOOKUP(D$1,Parameters,2,FALSE()),3)&amp;"*",OFFSET(Data,N(ISNA(MATCH(LEFT(VLOOKUP(D$1,Parameters,2,FALSE()),3)&amp;"*",OFFSET(Data,0,0,1),0))),0,1),0)+3*N(EXACT(D$1,"DFx")),FALSE())-320)/90,1))</f>
        <v>—</v>
      </c>
      <c r="E194" s="15">
        <f t="shared" ref="E194:E257" ca="1" si="123">IF(OR(ISBLANK(VLOOKUP(DATEVALUE(LEFT($B194,4)&amp;"-"&amp;MID($B194,5,2)&amp;"-"&amp;RIGHT($B194,2)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194,4)&amp;"-"&amp;MID($B194,5,2)&amp;"-"&amp;RIGHT($B194,2)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194,4)&amp;"-"&amp;MID($B194,5,2)&amp;"-"&amp;RIGHT($B194,2)),OFFSET(Catalogus,0,0,,1),0)),Ok,VLOOKUP(DATEVALUE(LEFT($B194,4)&amp;"-"&amp;MID($B194,5,2)&amp;"-"&amp;RIGHT($B194,2)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194" s="73" t="str">
        <f t="shared" ref="F194:F257" ca="1" si="124">IF(OR(ISBLANK(VLOOKUP(DATEVALUE(LEFT($B194,4)&amp;"-"&amp;MID($B194,5,2)&amp;"-"&amp;RIGHT($B194,2)),Data,MATCH(LEFT(VLOOKUP(F$1,Parameters,2,FALSE()),3)&amp;"*",OFFSET(Data,N(ISNA(MATCH(LEFT(VLOOKUP(F$1,Parameters,2,FALSE()),3)&amp;"*",OFFSET(Data,0,0,1),0))),0,1),0)+3*N(EXACT(F$1,"DFx")),FALSE())),ISTEXT(VLOOKUP(DATEVALUE(LEFT($B194,4)&amp;"-"&amp;MID($B194,5,2)&amp;"-"&amp;RIGHT($B194,2)),Data,MATCH(LEFT(VLOOKUP(F$1,Parameters,2,FALSE()),3)&amp;"*",OFFSET(Data,N(ISNA(MATCH(LEFT(VLOOKUP(F$1,Parameters,2,FALSE()),3)&amp;"*",OFFSET(Data,0,0,1),0))),0,1),0)+3*N(EXACT(F$1,"DFx")),FALSE()))),"—",ROUND(0.0254*VLOOKUP(DATEVALUE(LEFT($B194,4)&amp;"-"&amp;MID($B194,5,2)&amp;"-"&amp;RIGHT($B194,2)),Data,MATCH(LEFT(VLOOKUP(F$1,Parameters,2,FALSE()),3)&amp;"*",OFFSET(Data,N(ISNA(MATCH(LEFT(VLOOKUP(F$1,Parameters,2,FALSE()),3)&amp;"*",OFFSET(Data,0,0,1),0))),0,1),0)+3*N(EXACT(F$1,"DFx")),FALSE()),2))</f>
        <v>—</v>
      </c>
      <c r="G194" s="15">
        <f t="shared" ref="G194:G257" ca="1" si="125">IF(OR(ISBLANK(VLOOKUP(DATEVALUE(LEFT($B194,4)&amp;"-"&amp;MID($B194,5,2)&amp;"-"&amp;RIGHT($B194,2)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194,4)&amp;"-"&amp;MID($B194,5,2)&amp;"-"&amp;RIGHT($B194,2)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194,4)&amp;"-"&amp;MID($B194,5,2)&amp;"-"&amp;RIGHT($B194,2)),OFFSET(Catalogus,0,0,,1),0)),Ok,VLOOKUP(DATEVALUE(LEFT($B194,4)&amp;"-"&amp;MID($B194,5,2)&amp;"-"&amp;RIGHT($B194,2)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194" s="73" t="str">
        <f t="shared" ref="H194:H257" ca="1" si="126">IF(OR(ISBLANK(VLOOKUP(DATEVALUE(LEFT($B194,4)&amp;"-"&amp;MID($B194,5,2)&amp;"-"&amp;RIGHT($B194,2)),Data,MATCH(LEFT(VLOOKUP(H$1,Parameters,2,FALSE()),3)&amp;"*",OFFSET(Data,N(ISNA(MATCH(LEFT(VLOOKUP(H$1,Parameters,2,FALSE()),3)&amp;"*",OFFSET(Data,0,0,1),0))),0,1),0)+3*N(EXACT(H$1,"DFx")),FALSE())),ISTEXT(VLOOKUP(DATEVALUE(LEFT($B194,4)&amp;"-"&amp;MID($B194,5,2)&amp;"-"&amp;RIGHT($B194,2)),Data,MATCH(LEFT(VLOOKUP(H$1,Parameters,2,FALSE()),3)&amp;"*",OFFSET(Data,N(ISNA(MATCH(LEFT(VLOOKUP(H$1,Parameters,2,FALSE()),3)&amp;"*",OFFSET(Data,0,0,1),0))),0,1),0)+3*N(EXACT(H$1,"DFx")),FALSE()))),"—",ROUND(0.0254*VLOOKUP(DATEVALUE(LEFT($B194,4)&amp;"-"&amp;MID($B194,5,2)&amp;"-"&amp;RIGHT($B194,2)),Data,MATCH(LEFT(VLOOKUP(H$1,Parameters,2,FALSE()),3)&amp;"*",OFFSET(Data,N(ISNA(MATCH(LEFT(VLOOKUP(H$1,Parameters,2,FALSE()),3)&amp;"*",OFFSET(Data,0,0,1),0))),0,1),0)+3*N(EXACT(H$1,"DFx")),FALSE()),2))</f>
        <v>—</v>
      </c>
      <c r="I194" s="15">
        <f t="shared" ref="I194:I257" ca="1" si="127">IF(OR(ISBLANK(VLOOKUP(DATEVALUE(LEFT($B194,4)&amp;"-"&amp;MID($B194,5,2)&amp;"-"&amp;RIGHT($B194,2)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194,4)&amp;"-"&amp;MID($B194,5,2)&amp;"-"&amp;RIGHT($B194,2)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194,4)&amp;"-"&amp;MID($B194,5,2)&amp;"-"&amp;RIGHT($B194,2)),OFFSET(Catalogus,0,0,,1),0)),Ok,VLOOKUP(DATEVALUE(LEFT($B194,4)&amp;"-"&amp;MID($B194,5,2)&amp;"-"&amp;RIGHT($B194,2)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194" s="73" t="str">
        <f t="shared" ref="J194:J257" ca="1" si="128">IF(OR(ISBLANK(VLOOKUP(DATEVALUE(LEFT($B194,4)&amp;"-"&amp;MID($B194,5,2)&amp;"-"&amp;RIGHT($B194,2)),Data,MATCH(LEFT(VLOOKUP(J$1,Parameters,2,FALSE()),3)&amp;"*",OFFSET(Data,N(ISNA(MATCH(LEFT(VLOOKUP(J$1,Parameters,2,FALSE()),3)&amp;"*",OFFSET(Data,0,0,1),0))),0,1),0)+3*N(EXACT(J$1,"DFx")),FALSE())),ISTEXT(VLOOKUP(DATEVALUE(LEFT($B194,4)&amp;"-"&amp;MID($B194,5,2)&amp;"-"&amp;RIGHT($B194,2)),Data,MATCH(LEFT(VLOOKUP(J$1,Parameters,2,FALSE()),3)&amp;"*",OFFSET(Data,N(ISNA(MATCH(LEFT(VLOOKUP(J$1,Parameters,2,FALSE()),3)&amp;"*",OFFSET(Data,0,0,1),0))),0,1),0)+3*N(EXACT(J$1,"DFx")),FALSE()))),"—",ROUND(0.0254*VLOOKUP(DATEVALUE(LEFT($B194,4)&amp;"-"&amp;MID($B194,5,2)&amp;"-"&amp;RIGHT($B194,2)),Data,MATCH(LEFT(VLOOKUP(J$1,Parameters,2,FALSE()),3)&amp;"*",OFFSET(Data,N(ISNA(MATCH(LEFT(VLOOKUP(J$1,Parameters,2,FALSE()),3)&amp;"*",OFFSET(Data,0,0,1),0))),0,1),0)+3*N(EXACT(J$1,"DFx")),FALSE()),2))</f>
        <v>—</v>
      </c>
      <c r="K194" s="15">
        <f t="shared" ref="K194:K257" ca="1" si="129">IF(OR(ISBLANK(VLOOKUP(DATEVALUE(LEFT($B194,4)&amp;"-"&amp;MID($B194,5,2)&amp;"-"&amp;RIGHT($B194,2)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194,4)&amp;"-"&amp;MID($B194,5,2)&amp;"-"&amp;RIGHT($B194,2)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194,4)&amp;"-"&amp;MID($B194,5,2)&amp;"-"&amp;RIGHT($B194,2)),OFFSET(Catalogus,0,0,,1),0)),Ok,VLOOKUP(DATEVALUE(LEFT($B194,4)&amp;"-"&amp;MID($B194,5,2)&amp;"-"&amp;RIGHT($B194,2)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194" s="16">
        <f t="shared" ref="L194:L257" ca="1" si="130">IF(OR(ISBLANK(VLOOKUP(DATEVALUE(LEFT($B194,4)&amp;"-"&amp;MID($B194,5,2)&amp;"-"&amp;RIGHT($B194,2)),Data,MATCH(LEFT(VLOOKUP(L$1,Parameters,2,FALSE()),3)&amp;"*",OFFSET(Data,N(ISNA(MATCH(LEFT(VLOOKUP(L$1,Parameters,2,FALSE()),3)&amp;"*",OFFSET(Data,0,0,1),0))),0,1),0)+3*N(EXACT(L$1,"DFx")),FALSE())),ISTEXT(VLOOKUP(DATEVALUE(LEFT($B194,4)&amp;"-"&amp;MID($B194,5,2)&amp;"-"&amp;RIGHT($B194,2)),Data,MATCH(LEFT(VLOOKUP(L$1,Parameters,2,FALSE()),3)&amp;"*",OFFSET(Data,N(ISNA(MATCH(LEFT(VLOOKUP(L$1,Parameters,2,FALSE()),3)&amp;"*",OFFSET(Data,0,0,1),0))),0,1),0)+3*N(EXACT(L$1,"DFx")),FALSE()))),"—",ROUND(0.254*VLOOKUP(DATEVALUE(LEFT($B194,4)&amp;"-"&amp;MID($B194,5,2)&amp;"-"&amp;RIGHT($B194,2)),Data,MATCH(LEFT(VLOOKUP(L$1,Parameters,2,FALSE()),3)&amp;"*",OFFSET(Data,N(ISNA(MATCH(LEFT(VLOOKUP(L$1,Parameters,2,FALSE()),3)&amp;"*",OFFSET(Data,0,0,1),0))),0,1),0)+3*N(EXACT(L$1,"DFx")),FALSE()),1))</f>
        <v>761.5</v>
      </c>
      <c r="M194" s="15">
        <f t="shared" ref="M194:M257" ca="1" si="131">IF(OR(ISBLANK(VLOOKUP(DATEVALUE(LEFT($B194,4)&amp;"-"&amp;MID($B194,5,2)&amp;"-"&amp;RIGHT($B194,2)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194,4)&amp;"-"&amp;MID($B194,5,2)&amp;"-"&amp;RIGHT($B194,2)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194,4)&amp;"-"&amp;MID($B194,5,2)&amp;"-"&amp;RIGHT($B194,2)),OFFSET(Catalogus,0,0,,1),0)),Ok,VLOOKUP(DATEVALUE(LEFT($B194,4)&amp;"-"&amp;MID($B194,5,2)&amp;"-"&amp;RIGHT($B194,2)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0</v>
      </c>
      <c r="N194" s="16" t="str">
        <f t="shared" ref="N194:N257" ca="1" si="132">IF(OR(ISBLANK(VLOOKUP(DATEVALUE(LEFT($B194,4)&amp;"-"&amp;MID($B194,5,2)&amp;"-"&amp;RIGHT($B194,2)),Data,MATCH(LEFT(VLOOKUP(N$1,Parameters,2,FALSE()),3)&amp;"*",OFFSET(Data,N(ISNA(MATCH(LEFT(VLOOKUP(N$1,Parameters,2,FALSE()),3)&amp;"*",OFFSET(Data,0,0,1),0))),0,1),0)+3*N(EXACT(N$1,"DFx")),FALSE())),ISTEXT(VLOOKUP(DATEVALUE(LEFT($B194,4)&amp;"-"&amp;MID($B194,5,2)&amp;"-"&amp;RIGHT($B194,2)),Data,MATCH(LEFT(VLOOKUP(N$1,Parameters,2,FALSE()),3)&amp;"*",OFFSET(Data,N(ISNA(MATCH(LEFT(VLOOKUP(N$1,Parameters,2,FALSE()),3)&amp;"*",OFFSET(Data,0,0,1),0))),0,1),0)+3*N(EXACT(N$1,"DFx")),FALSE()))),"—",ROUND(5*(VLOOKUP(DATEVALUE(LEFT($B194,4)&amp;"-"&amp;MID($B194,5,2)&amp;"-"&amp;RIGHT($B194,2)),Data,MATCH(LEFT(VLOOKUP(N$1,Parameters,2,FALSE()),3)&amp;"*",OFFSET(Data,N(ISNA(MATCH(LEFT(VLOOKUP(N$1,Parameters,2,FALSE()),3)&amp;"*",OFFSET(Data,0,0,1),0))),0,1),0)+3*N(EXACT(N$1,"DFx")),FALSE())-320)/90,1))</f>
        <v>—</v>
      </c>
      <c r="O194" s="15">
        <f t="shared" ref="O194:O257" ca="1" si="133">IF(OR(ISBLANK(VLOOKUP(DATEVALUE(LEFT($B194,4)&amp;"-"&amp;MID($B194,5,2)&amp;"-"&amp;RIGHT($B194,2)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194,4)&amp;"-"&amp;MID($B194,5,2)&amp;"-"&amp;RIGHT($B194,2)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194,4)&amp;"-"&amp;MID($B194,5,2)&amp;"-"&amp;RIGHT($B194,2)),OFFSET(Catalogus,0,0,,1),0)),Ok,VLOOKUP(DATEVALUE(LEFT($B194,4)&amp;"-"&amp;MID($B194,5,2)&amp;"-"&amp;RIGHT($B194,2)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194" s="16" t="str">
        <f t="shared" ref="P194:P257" ca="1" si="134">IF(OR(ISBLANK(VLOOKUP(DATEVALUE(LEFT($B194,4)&amp;"-"&amp;MID($B194,5,2)&amp;"-"&amp;RIGHT($B194,2)),Data,MATCH(LEFT(VLOOKUP(P$1,Parameters,2,FALSE()),3)&amp;"*",OFFSET(Data,N(ISNA(MATCH(LEFT(VLOOKUP(P$1,Parameters,2,FALSE()),3)&amp;"*",OFFSET(Data,0,0,1),0))),0,1),0)+3*N(EXACT(P$1,"DFx")),FALSE())),ISTEXT(VLOOKUP(DATEVALUE(LEFT($B194,4)&amp;"-"&amp;MID($B194,5,2)&amp;"-"&amp;RIGHT($B194,2)),Data,MATCH(LEFT(VLOOKUP(P$1,Parameters,2,FALSE()),3)&amp;"*",OFFSET(Data,N(ISNA(MATCH(LEFT(VLOOKUP(P$1,Parameters,2,FALSE()),3)&amp;"*",OFFSET(Data,0,0,1),0))),0,1),0)+3*N(EXACT(P$1,"DFx")),FALSE()))),"—",ROUND(5*(VLOOKUP(DATEVALUE(LEFT($B194,4)&amp;"-"&amp;MID($B194,5,2)&amp;"-"&amp;RIGHT($B194,2)),Data,MATCH(LEFT(VLOOKUP(P$1,Parameters,2,FALSE()),3)&amp;"*",OFFSET(Data,N(ISNA(MATCH(LEFT(VLOOKUP(P$1,Parameters,2,FALSE()),3)&amp;"*",OFFSET(Data,0,0,1),0))),0,1),0)+3*N(EXACT(P$1,"DFx")),FALSE())-320)/90,1))</f>
        <v>—</v>
      </c>
      <c r="Q194" s="15">
        <f t="shared" ref="Q194:Q257" ca="1" si="135">IF(OR(ISBLANK(VLOOKUP(DATEVALUE(LEFT($B194,4)&amp;"-"&amp;MID($B194,5,2)&amp;"-"&amp;RIGHT($B194,2)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194,4)&amp;"-"&amp;MID($B194,5,2)&amp;"-"&amp;RIGHT($B194,2)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194,4)&amp;"-"&amp;MID($B194,5,2)&amp;"-"&amp;RIGHT($B194,2)),OFFSET(Catalogus,0,0,,1),0)),Ok,VLOOKUP(DATEVALUE(LEFT($B194,4)&amp;"-"&amp;MID($B194,5,2)&amp;"-"&amp;RIGHT($B194,2)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194" s="16" t="str">
        <f t="shared" ref="R194:R257" ca="1" si="136">IF(OR(ISBLANK(VLOOKUP(DATEVALUE(LEFT($B194,4)&amp;"-"&amp;MID($B194,5,2)&amp;"-"&amp;RIGHT($B194,2)),Data,MATCH(LEFT(VLOOKUP(R$1,Parameters,2,FALSE()),3)&amp;"*",OFFSET(Data,N(ISNA(MATCH(LEFT(VLOOKUP(R$1,Parameters,2,FALSE()),3)&amp;"*",OFFSET(Data,0,0,1),0))),0,1),0)+3*N(EXACT(R$1,"DFx")),FALSE())),ISTEXT(VLOOKUP(DATEVALUE(LEFT($B194,4)&amp;"-"&amp;MID($B194,5,2)&amp;"-"&amp;RIGHT($B194,2)),Data,MATCH(LEFT(VLOOKUP(R$1,Parameters,2,FALSE()),3)&amp;"*",OFFSET(Data,N(ISNA(MATCH(LEFT(VLOOKUP(R$1,Parameters,2,FALSE()),3)&amp;"*",OFFSET(Data,0,0,1),0))),0,1),0)+3*N(EXACT(R$1,"DFx")),FALSE()))),"—",ROUND(5*(VLOOKUP(DATEVALUE(LEFT($B194,4)&amp;"-"&amp;MID($B194,5,2)&amp;"-"&amp;RIGHT($B194,2)),Data,MATCH(LEFT(VLOOKUP(R$1,Parameters,2,FALSE()),3)&amp;"*",OFFSET(Data,N(ISNA(MATCH(LEFT(VLOOKUP(R$1,Parameters,2,FALSE()),3)&amp;"*",OFFSET(Data,0,0,1),0))),0,1),0)+3*N(EXACT(R$1,"DFx")),FALSE())-320)/90,1))</f>
        <v>—</v>
      </c>
      <c r="S194" s="15">
        <f t="shared" ref="S194:S257" ca="1" si="137">IF(OR(ISBLANK(VLOOKUP(DATEVALUE(LEFT($B194,4)&amp;"-"&amp;MID($B194,5,2)&amp;"-"&amp;RIGHT($B194,2)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194,4)&amp;"-"&amp;MID($B194,5,2)&amp;"-"&amp;RIGHT($B194,2)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194,4)&amp;"-"&amp;MID($B194,5,2)&amp;"-"&amp;RIGHT($B194,2)),OFFSET(Catalogus,0,0,,1),0)),Ok,VLOOKUP(DATEVALUE(LEFT($B194,4)&amp;"-"&amp;MID($B194,5,2)&amp;"-"&amp;RIGHT($B194,2)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194" s="9" t="str">
        <f t="shared" ref="T194:T257" ca="1" si="138">IF(OR(ISBLANK(VLOOKUP(DATEVALUE(LEFT($B194,4)&amp;"-"&amp;MID($B194,5,2)&amp;"-"&amp;RIGHT($B194,2)),Data,MATCH(LEFT(VLOOKUP(T$1,Parameters,2,FALSE()),3)&amp;"*",OFFSET(Data,N(ISNA(MATCH(LEFT(VLOOKUP(T$1,Parameters,2,FALSE()),3)&amp;"*",OFFSET(Data,0,0,1),0))),0,1),0)+3*N(EXACT(T$1,"DFx")),FALSE())),ISTEXT(VLOOKUP(DATEVALUE(LEFT($B194,4)&amp;"-"&amp;MID($B194,5,2)&amp;"-"&amp;RIGHT($B194,2)),Data,MATCH(LEFT(VLOOKUP(T$1,Parameters,2,FALSE()),3)&amp;"*",OFFSET(Data,N(ISNA(MATCH(LEFT(VLOOKUP(T$1,Parameters,2,FALSE()),3)&amp;"*",OFFSET(Data,0,0,1),0))),0,1),0)+3*N(EXACT(T$1,"DFx")),FALSE()))),"—",VLOOKUP(DATEVALUE(LEFT($B194,4)&amp;"-"&amp;MID($B194,5,2)&amp;"-"&amp;RIGHT($B194,2)),Data,MATCH(LEFT(VLOOKUP(T$1,Parameters,2,FALSE()),3)&amp;"*",OFFSET(Data,N(ISNA(MATCH(LEFT(VLOOKUP(T$1,Parameters,2,FALSE()),3)&amp;"*",OFFSET(Data,0,0,1),0))),0,1),0)+3*N(EXACT(T$1,"DFx")),FALSE()))</f>
        <v>—</v>
      </c>
      <c r="U194" s="15">
        <f t="shared" ref="U194:U257" ca="1" si="139">IF(OR(ISBLANK(VLOOKUP(DATEVALUE(LEFT($B194,4)&amp;"-"&amp;MID($B194,5,2)&amp;"-"&amp;RIGHT($B194,2)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194,4)&amp;"-"&amp;MID($B194,5,2)&amp;"-"&amp;RIGHT($B194,2)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194,4)&amp;"-"&amp;MID($B194,5,2)&amp;"-"&amp;RIGHT($B194,2)),OFFSET(Catalogus,0,0,,1),0)),Ok,VLOOKUP(DATEVALUE(LEFT($B194,4)&amp;"-"&amp;MID($B194,5,2)&amp;"-"&amp;RIGHT($B194,2)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194" s="16" t="str">
        <f t="shared" ref="V194:V257" ca="1" si="140">IF(OR(ISBLANK(VLOOKUP(DATEVALUE(LEFT($B194,4)&amp;"-"&amp;MID($B194,5,2)&amp;"-"&amp;RIGHT($B194,2)),Data,MATCH(LEFT(VLOOKUP(V$1,Parameters,2,FALSE()),3)&amp;"*",OFFSET(Data,N(ISNA(MATCH(LEFT(VLOOKUP(V$1,Parameters,2,FALSE()),3)&amp;"*",OFFSET(Data,0,0,1),0))),0,1),0)+3*N(EXACT(V$1,"DFx")),FALSE())),ISTEXT(VLOOKUP(DATEVALUE(LEFT($B194,4)&amp;"-"&amp;MID($B194,5,2)&amp;"-"&amp;RIGHT($B194,2)),Data,MATCH(LEFT(VLOOKUP(V$1,Parameters,2,FALSE()),3)&amp;"*",OFFSET(Data,N(ISNA(MATCH(LEFT(VLOOKUP(V$1,Parameters,2,FALSE()),3)&amp;"*",OFFSET(Data,0,0,1),0))),0,1),0)+3*N(EXACT(V$1,"DFx")),FALSE()))),"—",ROUND(0.0254*VLOOKUP(DATEVALUE(LEFT($B194,4)&amp;"-"&amp;MID($B194,5,2)&amp;"-"&amp;RIGHT($B194,2)),Data,MATCH(LEFT(VLOOKUP(V$1,Parameters,2,FALSE()),3)&amp;"*",OFFSET(Data,N(ISNA(MATCH(LEFT(VLOOKUP(V$1,Parameters,2,FALSE()),3)&amp;"*",OFFSET(Data,0,0,1),0))),0,1),0)+3*N(EXACT(V$1,"DFx")),FALSE()),1))</f>
        <v>—</v>
      </c>
      <c r="W194" s="15">
        <f t="shared" ref="W194:W257" ca="1" si="141">IF(OR(ISBLANK(VLOOKUP(DATEVALUE(LEFT($B194,4)&amp;"-"&amp;MID($B194,5,2)&amp;"-"&amp;RIGHT($B194,2)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194,4)&amp;"-"&amp;MID($B194,5,2)&amp;"-"&amp;RIGHT($B194,2)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194,4)&amp;"-"&amp;MID($B194,5,2)&amp;"-"&amp;RIGHT($B194,2)),OFFSET(Catalogus,0,0,,1),0)),Ok,VLOOKUP(DATEVALUE(LEFT($B194,4)&amp;"-"&amp;MID($B194,5,2)&amp;"-"&amp;RIGHT($B194,2)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194" s="16" t="str">
        <f t="shared" ref="X194:X257" ca="1" si="142">IF(OR(ISBLANK(VLOOKUP(DATEVALUE(LEFT($B194,4)&amp;"-"&amp;MID($B194,5,2)&amp;"-"&amp;RIGHT($B194,2)),Data,MATCH(LEFT(VLOOKUP(X$1,Parameters,2,FALSE()),3)&amp;"*",OFFSET(Data,N(ISNA(MATCH(LEFT(VLOOKUP(X$1,Parameters,2,FALSE()),3)&amp;"*",OFFSET(Data,0,0,1),0))),0,1),0)+3*N(EXACT(X$1,"DFx")),FALSE())),ISTEXT(VLOOKUP(DATEVALUE(LEFT($B194,4)&amp;"-"&amp;MID($B194,5,2)&amp;"-"&amp;RIGHT($B194,2)),Data,MATCH(LEFT(VLOOKUP(X$1,Parameters,2,FALSE()),3)&amp;"*",OFFSET(Data,N(ISNA(MATCH(LEFT(VLOOKUP(X$1,Parameters,2,FALSE()),3)&amp;"*",OFFSET(Data,0,0,1),0))),0,1),0)+3*N(EXACT(X$1,"DFx")),FALSE()))),"—",ROUND(5*(VLOOKUP(DATEVALUE(LEFT($B194,4)&amp;"-"&amp;MID($B194,5,2)&amp;"-"&amp;RIGHT($B194,2)),Data,MATCH(LEFT(VLOOKUP(X$1,Parameters,2,FALSE()),3)&amp;"*",OFFSET(Data,N(ISNA(MATCH(LEFT(VLOOKUP(X$1,Parameters,2,FALSE()),3)&amp;"*",OFFSET(Data,0,0,1),0))),0,1),0)+3*N(EXACT(X$1,"DFx")),FALSE())-320)/90,1))</f>
        <v>—</v>
      </c>
      <c r="Y194" s="15">
        <f t="shared" ref="Y194:Y257" ca="1" si="143">IF(OR(ISBLANK(VLOOKUP(DATEVALUE(LEFT($B194,4)&amp;"-"&amp;MID($B194,5,2)&amp;"-"&amp;RIGHT($B194,2)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194,4)&amp;"-"&amp;MID($B194,5,2)&amp;"-"&amp;RIGHT($B194,2)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194,4)&amp;"-"&amp;MID($B194,5,2)&amp;"-"&amp;RIGHT($B194,2)),OFFSET(Catalogus,0,0,,1),0)),Ok,VLOOKUP(DATEVALUE(LEFT($B194,4)&amp;"-"&amp;MID($B194,5,2)&amp;"-"&amp;RIGHT($B194,2)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7</v>
      </c>
      <c r="Z194" s="16" t="str">
        <f t="shared" ref="Z194:Z257" ca="1" si="144">IF(OR(ISBLANK(VLOOKUP(DATEVALUE(LEFT($B194,4)&amp;"-"&amp;MID($B194,5,2)&amp;"-"&amp;RIGHT($B194,2)),Data,MATCH(LEFT(VLOOKUP(Z$1,Parameters,2,FALSE()),3)&amp;"*",OFFSET(Data,N(ISNA(MATCH(LEFT(VLOOKUP(Z$1,Parameters,2,FALSE()),3)&amp;"*",OFFSET(Data,0,0,1),0))),0,1),0)+3*N(EXACT(Z$1,"DFx")),FALSE())),ISTEXT(VLOOKUP(DATEVALUE(LEFT($B194,4)&amp;"-"&amp;MID($B194,5,2)&amp;"-"&amp;RIGHT($B194,2)),Data,MATCH(LEFT(VLOOKUP(Z$1,Parameters,2,FALSE()),3)&amp;"*",OFFSET(Data,N(ISNA(MATCH(LEFT(VLOOKUP(Z$1,Parameters,2,FALSE()),3)&amp;"*",OFFSET(Data,0,0,1),0))),0,1),0)+3*N(EXACT(Z$1,"DFx")),FALSE()))),"—",ROUND(5*(VLOOKUP(DATEVALUE(LEFT($B194,4)&amp;"-"&amp;MID($B194,5,2)&amp;"-"&amp;RIGHT($B194,2)),Data,MATCH(LEFT(VLOOKUP(Z$1,Parameters,2,FALSE()),3)&amp;"*",OFFSET(Data,N(ISNA(MATCH(LEFT(VLOOKUP(Z$1,Parameters,2,FALSE()),3)&amp;"*",OFFSET(Data,0,0,1),0))),0,1),0)+3*N(EXACT(Z$1,"DFx")),FALSE())-320)/90,1))</f>
        <v>—</v>
      </c>
      <c r="AA194" s="15">
        <f t="shared" ref="AA194:AA257" ca="1" si="145">IF(OR(ISBLANK(VLOOKUP(DATEVALUE(LEFT($B194,4)&amp;"-"&amp;MID($B194,5,2)&amp;"-"&amp;RIGHT($B194,2)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194,4)&amp;"-"&amp;MID($B194,5,2)&amp;"-"&amp;RIGHT($B194,2)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194,4)&amp;"-"&amp;MID($B194,5,2)&amp;"-"&amp;RIGHT($B194,2)),OFFSET(Catalogus,0,0,,1),0)),Ok,VLOOKUP(DATEVALUE(LEFT($B194,4)&amp;"-"&amp;MID($B194,5,2)&amp;"-"&amp;RIGHT($B194,2)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7</v>
      </c>
      <c r="AB194" s="9">
        <f t="shared" ref="AB194:AB257" ca="1" si="146">IF(OR(ISBLANK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AND(ISTEXT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ISNA(MATCH(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,OFFSET(Windrichting,0,1,,1),0),1))</f>
        <v>90</v>
      </c>
      <c r="AC194" s="15">
        <f t="shared" ref="AC194:AC257" ca="1" si="147">IF(OR(ISBLANK(VLOOKUP(DATEVALUE(LEFT($B194,4)&amp;"-"&amp;MID($B194,5,2)&amp;"-"&amp;RIGHT($B194,2)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ISNA(MATCH(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194,4)&amp;"-"&amp;MID($B194,5,2)&amp;"-"&amp;RIGHT($B194,2)),OFFSET(Catalogus,0,0,,1),0)),Ok,VLOOKUP(DATEVALUE(LEFT($B194,4)&amp;"-"&amp;MID($B194,5,2)&amp;"-"&amp;RIGHT($B194,2)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0</v>
      </c>
      <c r="AD194" s="76" t="str">
        <f t="shared" ref="AD194:AD257" ca="1" si="148">IF(OR(ISBLANK(VLOOKUP(DATEVALUE(LEFT($B194,4)&amp;"-"&amp;MID($B194,5,2)&amp;"-"&amp;RIGHT($B194,2)),Data,MATCH(LEFT(VLOOKUP(AD$1,Parameters,2,FALSE()),3)&amp;"*",OFFSET(Data,N(ISNA(MATCH(LEFT(VLOOKUP(AD$1,Parameters,2,FALSE()),3)&amp;"*",OFFSET(Data,0,0,1),0))),0,1),0)+3*N(EXACT(AD$1,"DFx")),FALSE())),ISTEXT(VLOOKUP(DATEVALUE(LEFT($B194,4)&amp;"-"&amp;MID($B194,5,2)&amp;"-"&amp;RIGHT($B194,2)),Data,MATCH(LEFT(VLOOKUP(AD$1,Parameters,2,FALSE()),3)&amp;"*",OFFSET(Data,N(ISNA(MATCH(LEFT(VLOOKUP(AD$1,Parameters,2,FALSE()),3)&amp;"*",OFFSET(Data,0,0,1),0))),0,1),0)+3*N(EXACT(AD$1,"DFx")),FALSE()))),"—",ROUND(Kts*VLOOKUP(DATEVALUE(LEFT($B194,4)&amp;"-"&amp;MID($B194,5,2)&amp;"-"&amp;RIGHT($B194,2)),Data,MATCH(LEFT(VLOOKUP(AD$1,Parameters,2,FALSE()),3)&amp;"*",OFFSET(Data,N(ISNA(MATCH(LEFT(VLOOKUP(AD$1,Parameters,2,FALSE()),3)&amp;"*",OFFSET(Data,0,0,1),0))),0,1),0)+3*N(EXACT(AD$1,"DFx")),FALSE()),1))</f>
        <v>—</v>
      </c>
      <c r="AE194" s="15">
        <f t="shared" ref="AE194:AE257" ca="1" si="149">IF(OR(ISBLANK(VLOOKUP(DATEVALUE(LEFT($B194,4)&amp;"-"&amp;MID($B194,5,2)&amp;"-"&amp;RIGHT($B194,2)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194,4)&amp;"-"&amp;MID($B194,5,2)&amp;"-"&amp;RIGHT($B194,2)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194,4)&amp;"-"&amp;MID($B194,5,2)&amp;"-"&amp;RIGHT($B194,2)),OFFSET(Catalogus,0,0,,1),0)),Ok,VLOOKUP(DATEVALUE(LEFT($B194,4)&amp;"-"&amp;MID($B194,5,2)&amp;"-"&amp;RIGHT($B194,2)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7</v>
      </c>
      <c r="AF194" s="76" t="str">
        <f t="shared" ref="AF194:AF257" ca="1" si="150">IF(OR(ISBLANK(VLOOKUP(DATEVALUE(LEFT($B194,4)&amp;"-"&amp;MID($B194,5,2)&amp;"-"&amp;RIGHT($B194,2)),Data,MATCH(LEFT(VLOOKUP(AF$1,Parameters,2,FALSE()),3)&amp;"*",OFFSET(Data,N(ISNA(MATCH(LEFT(VLOOKUP(AF$1,Parameters,2,FALSE()),3)&amp;"*",OFFSET(Data,0,0,1),0))),0,1),0)+3*N(EXACT(AF$1,"DFx")),FALSE())),ISTEXT(VLOOKUP(DATEVALUE(LEFT($B194,4)&amp;"-"&amp;MID($B194,5,2)&amp;"-"&amp;RIGHT($B194,2)),Data,MATCH(LEFT(VLOOKUP(AF$1,Parameters,2,FALSE()),3)&amp;"*",OFFSET(Data,N(ISNA(MATCH(LEFT(VLOOKUP(AF$1,Parameters,2,FALSE()),3)&amp;"*",OFFSET(Data,0,0,1),0))),0,1),0)+3*N(EXACT(AF$1,"DFx")),FALSE()))),"—",ROUND(Kts*VLOOKUP(DATEVALUE(LEFT($B194,4)&amp;"-"&amp;MID($B194,5,2)&amp;"-"&amp;RIGHT($B194,2)),Data,MATCH(LEFT(VLOOKUP(AF$1,Parameters,2,FALSE()),3)&amp;"*",OFFSET(Data,N(ISNA(MATCH(LEFT(VLOOKUP(AF$1,Parameters,2,FALSE()),3)&amp;"*",OFFSET(Data,0,0,1),0))),0,1),0)+3*N(EXACT(AF$1,"DFx")),FALSE()),1))</f>
        <v>—</v>
      </c>
      <c r="AG194" s="15">
        <f t="shared" ref="AG194:AG257" ca="1" si="151">IF(OR(ISBLANK(VLOOKUP(DATEVALUE(LEFT($B194,4)&amp;"-"&amp;MID($B194,5,2)&amp;"-"&amp;RIGHT($B194,2)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194,4)&amp;"-"&amp;MID($B194,5,2)&amp;"-"&amp;RIGHT($B194,2)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194,4)&amp;"-"&amp;MID($B194,5,2)&amp;"-"&amp;RIGHT($B194,2)),OFFSET(Catalogus,0,0,,1),0)),Ok,VLOOKUP(DATEVALUE(LEFT($B194,4)&amp;"-"&amp;MID($B194,5,2)&amp;"-"&amp;RIGHT($B194,2)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194" s="9" t="str">
        <f t="shared" ref="AH194:AH257" ca="1" si="152">IF(OR(ISBLANK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AND(ISTEXT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ISNA(MATCH(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194" s="15">
        <f t="shared" ref="AI194:AI257" ca="1" si="153">IF(OR(ISBLANK(VLOOKUP(DATEVALUE(LEFT($B194,4)&amp;"-"&amp;MID($B194,5,2)&amp;"-"&amp;RIGHT($B194,2)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ISNA(MATCH(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194,4)&amp;"-"&amp;MID($B194,5,2)&amp;"-"&amp;RIGHT($B194,2)),OFFSET(Catalogus,0,0,,1),0)),Ok,VLOOKUP(DATEVALUE(LEFT($B194,4)&amp;"-"&amp;MID($B194,5,2)&amp;"-"&amp;RIGHT($B194,2)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194" s="26" t="str">
        <f t="shared" ref="AJ194:AJ257" ca="1" si="154">IF(OR(ISBLANK(VLOOKUP(DATEVALUE(LEFT($B194,4)&amp;"-"&amp;MID($B194,5,2)&amp;"-"&amp;RIGHT($B194,2)),Data,MATCH(LEFT(VLOOKUP(AJ$1,Parameters,2,FALSE()),3)&amp;"*",OFFSET(Data,N(ISNA(MATCH(LEFT(VLOOKUP(AJ$1,Parameters,2,FALSE()),3)&amp;"*",OFFSET(Data,0,0,1),0))),0,1),0)+3*N(EXACT(AJ$1,"DFx")),FALSE())),ISTEXT(VLOOKUP(DATEVALUE(LEFT($B194,4)&amp;"-"&amp;MID($B194,5,2)&amp;"-"&amp;RIGHT($B194,2)),Data,MATCH(LEFT(VLOOKUP(AJ$1,Parameters,2,FALSE()),3)&amp;"*",OFFSET(Data,N(ISNA(MATCH(LEFT(VLOOKUP(AJ$1,Parameters,2,FALSE()),3)&amp;"*",OFFSET(Data,0,0,1),0))),0,1),0)+3*N(EXACT(AJ$1,"DFx")),FALSE()))),"—",VLOOKUP(DATEVALUE(LEFT($B194,4)&amp;"-"&amp;MID($B194,5,2)&amp;"-"&amp;RIGHT($B194,2)),Data,MATCH(LEFT(VLOOKUP(AJ$1,Parameters,2,FALSE()),3)&amp;"*",OFFSET(Data,N(ISNA(MATCH(LEFT(VLOOKUP(AJ$1,Parameters,2,FALSE()),3)&amp;"*",OFFSET(Data,0,0,1),0))),0,1),0)+3*N(EXACT(AJ$1,"DFx")),FALSE()))</f>
        <v>—</v>
      </c>
      <c r="AK194" s="15">
        <f t="shared" ref="AK194:AK257" ca="1" si="155">IF(OR(ISBLANK(VLOOKUP(DATEVALUE(LEFT($B194,4)&amp;"-"&amp;MID($B194,5,2)&amp;"-"&amp;RIGHT($B194,2)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194,4)&amp;"-"&amp;MID($B194,5,2)&amp;"-"&amp;RIGHT($B194,2)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194,4)&amp;"-"&amp;MID($B194,5,2)&amp;"-"&amp;RIGHT($B194,2)),OFFSET(Catalogus,0,0,,1),0)),Ok,VLOOKUP(DATEVALUE(LEFT($B194,4)&amp;"-"&amp;MID($B194,5,2)&amp;"-"&amp;RIGHT($B194,2)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194" s="9" t="str">
        <f t="shared" ref="AL194:AL257" ca="1" si="156">IF(OR(ISBLANK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,AND(ISTEXT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,EXACT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,"—"))),"—",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</f>
        <v>—</v>
      </c>
      <c r="AM194" s="15">
        <f t="shared" ref="AM194:AM257" ca="1" si="157">IF(OR(ISBLANK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,AND(ISTEXT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,EXACT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,"—"))),Lacking,IF(ISNA(MATCH(DATEVALUE(LEFT($B194,4)&amp;"-"&amp;MID($B194,5,2)&amp;"-"&amp;RIGHT($B194,2)),OFFSET(Catalogus,0,0,,1),0)),Ok,VLOOKUP(DATEVALUE(LEFT($B194,4)&amp;"-"&amp;MID($B194,5,2)&amp;"-"&amp;RIGHT($B194,2)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194" s="9" t="str">
        <f t="shared" ref="AN194:AN257" ca="1" si="158">IF(OR(ISBLANK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AND(ISTEXT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ISNA(MATCH(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194" s="15">
        <f t="shared" ref="AO194:AO257" ca="1" si="159">IF(OR(ISBLANK(VLOOKUP(DATEVALUE(LEFT($B194,4)&amp;"-"&amp;MID($B194,5,2)&amp;"-"&amp;RIGHT($B194,2)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ISNA(MATCH(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194,4)&amp;"-"&amp;MID($B194,5,2)&amp;"-"&amp;RIGHT($B194,2)),OFFSET(Catalogus,0,0,,1),0)),Ok,VLOOKUP(DATEVALUE(LEFT($B194,4)&amp;"-"&amp;MID($B194,5,2)&amp;"-"&amp;RIGHT($B194,2)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195" spans="1:41" x14ac:dyDescent="0.25">
      <c r="A195" s="4">
        <f t="shared" si="120"/>
        <v>78989</v>
      </c>
      <c r="B195" t="str">
        <f ca="1">TEXT(DATE(YEAR(Invoer!$A$5),1,1)+ROWS(B$2:B195)-1,"jjjjmmdd")</f>
        <v>19130713</v>
      </c>
      <c r="C195" s="72">
        <f t="shared" si="121"/>
        <v>800</v>
      </c>
      <c r="D195" s="16" t="str">
        <f t="shared" ca="1" si="122"/>
        <v>—</v>
      </c>
      <c r="E195" s="15">
        <f t="shared" ca="1" si="123"/>
        <v>7</v>
      </c>
      <c r="F195" s="73" t="str">
        <f t="shared" ca="1" si="124"/>
        <v>—</v>
      </c>
      <c r="G195" s="15">
        <f t="shared" ca="1" si="125"/>
        <v>7</v>
      </c>
      <c r="H195" s="73" t="str">
        <f t="shared" ca="1" si="126"/>
        <v>—</v>
      </c>
      <c r="I195" s="15">
        <f t="shared" ca="1" si="127"/>
        <v>7</v>
      </c>
      <c r="J195" s="73" t="str">
        <f t="shared" ca="1" si="128"/>
        <v>—</v>
      </c>
      <c r="K195" s="15">
        <f t="shared" ca="1" si="129"/>
        <v>7</v>
      </c>
      <c r="L195" s="16">
        <f t="shared" ca="1" si="130"/>
        <v>760.5</v>
      </c>
      <c r="M195" s="15">
        <f t="shared" ca="1" si="131"/>
        <v>0</v>
      </c>
      <c r="N195" s="16" t="str">
        <f t="shared" ca="1" si="132"/>
        <v>—</v>
      </c>
      <c r="O195" s="15">
        <f t="shared" ca="1" si="133"/>
        <v>7</v>
      </c>
      <c r="P195" s="16" t="str">
        <f t="shared" ca="1" si="134"/>
        <v>—</v>
      </c>
      <c r="Q195" s="15">
        <f t="shared" ca="1" si="135"/>
        <v>7</v>
      </c>
      <c r="R195" s="16" t="str">
        <f t="shared" ca="1" si="136"/>
        <v>—</v>
      </c>
      <c r="S195" s="15">
        <f t="shared" ca="1" si="137"/>
        <v>7</v>
      </c>
      <c r="T195" s="9" t="str">
        <f t="shared" ca="1" si="138"/>
        <v>—</v>
      </c>
      <c r="U195" s="15">
        <f t="shared" ca="1" si="139"/>
        <v>7</v>
      </c>
      <c r="V195" s="16" t="str">
        <f t="shared" ca="1" si="140"/>
        <v>—</v>
      </c>
      <c r="W195" s="15">
        <f t="shared" ca="1" si="141"/>
        <v>7</v>
      </c>
      <c r="X195" s="16" t="str">
        <f t="shared" ca="1" si="142"/>
        <v>—</v>
      </c>
      <c r="Y195" s="15">
        <f t="shared" ca="1" si="143"/>
        <v>7</v>
      </c>
      <c r="Z195" s="16" t="str">
        <f t="shared" ca="1" si="144"/>
        <v>—</v>
      </c>
      <c r="AA195" s="15">
        <f t="shared" ca="1" si="145"/>
        <v>7</v>
      </c>
      <c r="AB195" s="9">
        <f t="shared" ca="1" si="146"/>
        <v>45</v>
      </c>
      <c r="AC195" s="15">
        <f t="shared" ca="1" si="147"/>
        <v>0</v>
      </c>
      <c r="AD195" s="76" t="str">
        <f t="shared" ca="1" si="148"/>
        <v>—</v>
      </c>
      <c r="AE195" s="15">
        <f t="shared" ca="1" si="149"/>
        <v>7</v>
      </c>
      <c r="AF195" s="76" t="str">
        <f t="shared" ca="1" si="150"/>
        <v>—</v>
      </c>
      <c r="AG195" s="15">
        <f t="shared" ca="1" si="151"/>
        <v>7</v>
      </c>
      <c r="AH195" s="9" t="str">
        <f t="shared" ca="1" si="152"/>
        <v>—</v>
      </c>
      <c r="AI195" s="15">
        <f t="shared" ca="1" si="153"/>
        <v>7</v>
      </c>
      <c r="AJ195" s="26" t="str">
        <f t="shared" ca="1" si="154"/>
        <v>—</v>
      </c>
      <c r="AK195" s="15">
        <f t="shared" ca="1" si="155"/>
        <v>7</v>
      </c>
      <c r="AL195" s="9" t="str">
        <f t="shared" ca="1" si="156"/>
        <v>—</v>
      </c>
      <c r="AM195" s="15">
        <f t="shared" ca="1" si="157"/>
        <v>7</v>
      </c>
      <c r="AN195" s="9" t="str">
        <f t="shared" ca="1" si="158"/>
        <v>—</v>
      </c>
      <c r="AO195" s="15">
        <f t="shared" ca="1" si="159"/>
        <v>7</v>
      </c>
    </row>
    <row r="196" spans="1:41" x14ac:dyDescent="0.25">
      <c r="A196" s="4">
        <f t="shared" si="120"/>
        <v>78989</v>
      </c>
      <c r="B196" t="str">
        <f ca="1">TEXT(DATE(YEAR(Invoer!$A$5),1,1)+ROWS(B$2:B196)-1,"jjjjmmdd")</f>
        <v>19130714</v>
      </c>
      <c r="C196" s="72">
        <f t="shared" si="121"/>
        <v>800</v>
      </c>
      <c r="D196" s="16" t="str">
        <f t="shared" ca="1" si="122"/>
        <v>—</v>
      </c>
      <c r="E196" s="15">
        <f t="shared" ca="1" si="123"/>
        <v>7</v>
      </c>
      <c r="F196" s="73" t="str">
        <f t="shared" ca="1" si="124"/>
        <v>—</v>
      </c>
      <c r="G196" s="15">
        <f t="shared" ca="1" si="125"/>
        <v>7</v>
      </c>
      <c r="H196" s="73" t="str">
        <f t="shared" ca="1" si="126"/>
        <v>—</v>
      </c>
      <c r="I196" s="15">
        <f t="shared" ca="1" si="127"/>
        <v>7</v>
      </c>
      <c r="J196" s="73" t="str">
        <f t="shared" ca="1" si="128"/>
        <v>—</v>
      </c>
      <c r="K196" s="15">
        <f t="shared" ca="1" si="129"/>
        <v>7</v>
      </c>
      <c r="L196" s="16">
        <f t="shared" ca="1" si="130"/>
        <v>760.5</v>
      </c>
      <c r="M196" s="15">
        <f t="shared" ca="1" si="131"/>
        <v>0</v>
      </c>
      <c r="N196" s="16" t="str">
        <f t="shared" ca="1" si="132"/>
        <v>—</v>
      </c>
      <c r="O196" s="15">
        <f t="shared" ca="1" si="133"/>
        <v>7</v>
      </c>
      <c r="P196" s="16" t="str">
        <f t="shared" ca="1" si="134"/>
        <v>—</v>
      </c>
      <c r="Q196" s="15">
        <f t="shared" ca="1" si="135"/>
        <v>7</v>
      </c>
      <c r="R196" s="16" t="str">
        <f t="shared" ca="1" si="136"/>
        <v>—</v>
      </c>
      <c r="S196" s="15">
        <f t="shared" ca="1" si="137"/>
        <v>7</v>
      </c>
      <c r="T196" s="9" t="str">
        <f t="shared" ca="1" si="138"/>
        <v>—</v>
      </c>
      <c r="U196" s="15">
        <f t="shared" ca="1" si="139"/>
        <v>7</v>
      </c>
      <c r="V196" s="16" t="str">
        <f t="shared" ca="1" si="140"/>
        <v>—</v>
      </c>
      <c r="W196" s="15">
        <f t="shared" ca="1" si="141"/>
        <v>7</v>
      </c>
      <c r="X196" s="16" t="str">
        <f t="shared" ca="1" si="142"/>
        <v>—</v>
      </c>
      <c r="Y196" s="15">
        <f t="shared" ca="1" si="143"/>
        <v>7</v>
      </c>
      <c r="Z196" s="16" t="str">
        <f t="shared" ca="1" si="144"/>
        <v>—</v>
      </c>
      <c r="AA196" s="15">
        <f t="shared" ca="1" si="145"/>
        <v>7</v>
      </c>
      <c r="AB196" s="9">
        <f t="shared" ca="1" si="146"/>
        <v>135</v>
      </c>
      <c r="AC196" s="15">
        <f t="shared" ca="1" si="147"/>
        <v>0</v>
      </c>
      <c r="AD196" s="76" t="str">
        <f t="shared" ca="1" si="148"/>
        <v>—</v>
      </c>
      <c r="AE196" s="15">
        <f t="shared" ca="1" si="149"/>
        <v>7</v>
      </c>
      <c r="AF196" s="76" t="str">
        <f t="shared" ca="1" si="150"/>
        <v>—</v>
      </c>
      <c r="AG196" s="15">
        <f t="shared" ca="1" si="151"/>
        <v>7</v>
      </c>
      <c r="AH196" s="9" t="str">
        <f t="shared" ca="1" si="152"/>
        <v>—</v>
      </c>
      <c r="AI196" s="15">
        <f t="shared" ca="1" si="153"/>
        <v>7</v>
      </c>
      <c r="AJ196" s="26" t="str">
        <f t="shared" ca="1" si="154"/>
        <v>—</v>
      </c>
      <c r="AK196" s="15">
        <f t="shared" ca="1" si="155"/>
        <v>7</v>
      </c>
      <c r="AL196" s="9" t="str">
        <f t="shared" ca="1" si="156"/>
        <v>—</v>
      </c>
      <c r="AM196" s="15">
        <f t="shared" ca="1" si="157"/>
        <v>7</v>
      </c>
      <c r="AN196" s="9" t="str">
        <f t="shared" ca="1" si="158"/>
        <v>—</v>
      </c>
      <c r="AO196" s="15">
        <f t="shared" ca="1" si="159"/>
        <v>7</v>
      </c>
    </row>
    <row r="197" spans="1:41" x14ac:dyDescent="0.25">
      <c r="A197" s="4">
        <f t="shared" si="120"/>
        <v>78989</v>
      </c>
      <c r="B197" t="str">
        <f ca="1">TEXT(DATE(YEAR(Invoer!$A$5),1,1)+ROWS(B$2:B197)-1,"jjjjmmdd")</f>
        <v>19130715</v>
      </c>
      <c r="C197" s="72">
        <f t="shared" si="121"/>
        <v>800</v>
      </c>
      <c r="D197" s="16" t="str">
        <f t="shared" ca="1" si="122"/>
        <v>—</v>
      </c>
      <c r="E197" s="15">
        <f t="shared" ca="1" si="123"/>
        <v>7</v>
      </c>
      <c r="F197" s="73" t="str">
        <f t="shared" ca="1" si="124"/>
        <v>—</v>
      </c>
      <c r="G197" s="15">
        <f t="shared" ca="1" si="125"/>
        <v>7</v>
      </c>
      <c r="H197" s="73" t="str">
        <f t="shared" ca="1" si="126"/>
        <v>—</v>
      </c>
      <c r="I197" s="15">
        <f t="shared" ca="1" si="127"/>
        <v>7</v>
      </c>
      <c r="J197" s="73" t="str">
        <f t="shared" ca="1" si="128"/>
        <v>—</v>
      </c>
      <c r="K197" s="15">
        <f t="shared" ca="1" si="129"/>
        <v>7</v>
      </c>
      <c r="L197" s="16">
        <f t="shared" ca="1" si="130"/>
        <v>762</v>
      </c>
      <c r="M197" s="15">
        <f t="shared" ca="1" si="131"/>
        <v>0</v>
      </c>
      <c r="N197" s="16" t="str">
        <f t="shared" ca="1" si="132"/>
        <v>—</v>
      </c>
      <c r="O197" s="15">
        <f t="shared" ca="1" si="133"/>
        <v>7</v>
      </c>
      <c r="P197" s="16" t="str">
        <f t="shared" ca="1" si="134"/>
        <v>—</v>
      </c>
      <c r="Q197" s="15">
        <f t="shared" ca="1" si="135"/>
        <v>7</v>
      </c>
      <c r="R197" s="16" t="str">
        <f t="shared" ca="1" si="136"/>
        <v>—</v>
      </c>
      <c r="S197" s="15">
        <f t="shared" ca="1" si="137"/>
        <v>7</v>
      </c>
      <c r="T197" s="9" t="str">
        <f t="shared" ca="1" si="138"/>
        <v>—</v>
      </c>
      <c r="U197" s="15">
        <f t="shared" ca="1" si="139"/>
        <v>7</v>
      </c>
      <c r="V197" s="16" t="str">
        <f t="shared" ca="1" si="140"/>
        <v>—</v>
      </c>
      <c r="W197" s="15">
        <f t="shared" ca="1" si="141"/>
        <v>7</v>
      </c>
      <c r="X197" s="16" t="str">
        <f t="shared" ca="1" si="142"/>
        <v>—</v>
      </c>
      <c r="Y197" s="15">
        <f t="shared" ca="1" si="143"/>
        <v>7</v>
      </c>
      <c r="Z197" s="16" t="str">
        <f t="shared" ca="1" si="144"/>
        <v>—</v>
      </c>
      <c r="AA197" s="15">
        <f t="shared" ca="1" si="145"/>
        <v>7</v>
      </c>
      <c r="AB197" s="9">
        <f t="shared" ca="1" si="146"/>
        <v>90</v>
      </c>
      <c r="AC197" s="15">
        <f t="shared" ca="1" si="147"/>
        <v>0</v>
      </c>
      <c r="AD197" s="76" t="str">
        <f t="shared" ca="1" si="148"/>
        <v>—</v>
      </c>
      <c r="AE197" s="15">
        <f t="shared" ca="1" si="149"/>
        <v>7</v>
      </c>
      <c r="AF197" s="76" t="str">
        <f t="shared" ca="1" si="150"/>
        <v>—</v>
      </c>
      <c r="AG197" s="15">
        <f t="shared" ca="1" si="151"/>
        <v>7</v>
      </c>
      <c r="AH197" s="9" t="str">
        <f t="shared" ca="1" si="152"/>
        <v>—</v>
      </c>
      <c r="AI197" s="15">
        <f t="shared" ca="1" si="153"/>
        <v>7</v>
      </c>
      <c r="AJ197" s="26" t="str">
        <f t="shared" ca="1" si="154"/>
        <v>—</v>
      </c>
      <c r="AK197" s="15">
        <f t="shared" ca="1" si="155"/>
        <v>7</v>
      </c>
      <c r="AL197" s="9" t="str">
        <f t="shared" ca="1" si="156"/>
        <v>—</v>
      </c>
      <c r="AM197" s="15">
        <f t="shared" ca="1" si="157"/>
        <v>7</v>
      </c>
      <c r="AN197" s="9" t="str">
        <f t="shared" ca="1" si="158"/>
        <v>—</v>
      </c>
      <c r="AO197" s="15">
        <f t="shared" ca="1" si="159"/>
        <v>7</v>
      </c>
    </row>
    <row r="198" spans="1:41" x14ac:dyDescent="0.25">
      <c r="A198" s="4">
        <f t="shared" si="120"/>
        <v>78989</v>
      </c>
      <c r="B198" t="str">
        <f ca="1">TEXT(DATE(YEAR(Invoer!$A$5),1,1)+ROWS(B$2:B198)-1,"jjjjmmdd")</f>
        <v>19130716</v>
      </c>
      <c r="C198" s="72">
        <f t="shared" si="121"/>
        <v>800</v>
      </c>
      <c r="D198" s="16" t="str">
        <f t="shared" ca="1" si="122"/>
        <v>—</v>
      </c>
      <c r="E198" s="15">
        <f t="shared" ca="1" si="123"/>
        <v>7</v>
      </c>
      <c r="F198" s="73" t="str">
        <f t="shared" ca="1" si="124"/>
        <v>—</v>
      </c>
      <c r="G198" s="15">
        <f t="shared" ca="1" si="125"/>
        <v>7</v>
      </c>
      <c r="H198" s="73" t="str">
        <f t="shared" ca="1" si="126"/>
        <v>—</v>
      </c>
      <c r="I198" s="15">
        <f t="shared" ca="1" si="127"/>
        <v>7</v>
      </c>
      <c r="J198" s="73" t="str">
        <f t="shared" ca="1" si="128"/>
        <v>—</v>
      </c>
      <c r="K198" s="15">
        <f t="shared" ca="1" si="129"/>
        <v>7</v>
      </c>
      <c r="L198" s="16">
        <f t="shared" ca="1" si="130"/>
        <v>762</v>
      </c>
      <c r="M198" s="15">
        <f t="shared" ca="1" si="131"/>
        <v>0</v>
      </c>
      <c r="N198" s="16" t="str">
        <f t="shared" ca="1" si="132"/>
        <v>—</v>
      </c>
      <c r="O198" s="15">
        <f t="shared" ca="1" si="133"/>
        <v>7</v>
      </c>
      <c r="P198" s="16" t="str">
        <f t="shared" ca="1" si="134"/>
        <v>—</v>
      </c>
      <c r="Q198" s="15">
        <f t="shared" ca="1" si="135"/>
        <v>7</v>
      </c>
      <c r="R198" s="16" t="str">
        <f t="shared" ca="1" si="136"/>
        <v>—</v>
      </c>
      <c r="S198" s="15">
        <f t="shared" ca="1" si="137"/>
        <v>7</v>
      </c>
      <c r="T198" s="9" t="str">
        <f t="shared" ca="1" si="138"/>
        <v>—</v>
      </c>
      <c r="U198" s="15">
        <f t="shared" ca="1" si="139"/>
        <v>7</v>
      </c>
      <c r="V198" s="16" t="str">
        <f t="shared" ca="1" si="140"/>
        <v>—</v>
      </c>
      <c r="W198" s="15">
        <f t="shared" ca="1" si="141"/>
        <v>7</v>
      </c>
      <c r="X198" s="16" t="str">
        <f t="shared" ca="1" si="142"/>
        <v>—</v>
      </c>
      <c r="Y198" s="15">
        <f t="shared" ca="1" si="143"/>
        <v>7</v>
      </c>
      <c r="Z198" s="16" t="str">
        <f t="shared" ca="1" si="144"/>
        <v>—</v>
      </c>
      <c r="AA198" s="15">
        <f t="shared" ca="1" si="145"/>
        <v>7</v>
      </c>
      <c r="AB198" s="9">
        <f t="shared" ca="1" si="146"/>
        <v>90</v>
      </c>
      <c r="AC198" s="15">
        <f t="shared" ca="1" si="147"/>
        <v>0</v>
      </c>
      <c r="AD198" s="76" t="str">
        <f t="shared" ca="1" si="148"/>
        <v>—</v>
      </c>
      <c r="AE198" s="15">
        <f t="shared" ca="1" si="149"/>
        <v>7</v>
      </c>
      <c r="AF198" s="76" t="str">
        <f t="shared" ca="1" si="150"/>
        <v>—</v>
      </c>
      <c r="AG198" s="15">
        <f t="shared" ca="1" si="151"/>
        <v>7</v>
      </c>
      <c r="AH198" s="9" t="str">
        <f t="shared" ca="1" si="152"/>
        <v>—</v>
      </c>
      <c r="AI198" s="15">
        <f t="shared" ca="1" si="153"/>
        <v>7</v>
      </c>
      <c r="AJ198" s="26" t="str">
        <f t="shared" ca="1" si="154"/>
        <v>—</v>
      </c>
      <c r="AK198" s="15">
        <f t="shared" ca="1" si="155"/>
        <v>7</v>
      </c>
      <c r="AL198" s="9" t="str">
        <f t="shared" ca="1" si="156"/>
        <v>—</v>
      </c>
      <c r="AM198" s="15">
        <f t="shared" ca="1" si="157"/>
        <v>7</v>
      </c>
      <c r="AN198" s="9" t="str">
        <f t="shared" ca="1" si="158"/>
        <v>—</v>
      </c>
      <c r="AO198" s="15">
        <f t="shared" ca="1" si="159"/>
        <v>7</v>
      </c>
    </row>
    <row r="199" spans="1:41" x14ac:dyDescent="0.25">
      <c r="A199" s="4">
        <f t="shared" si="120"/>
        <v>78989</v>
      </c>
      <c r="B199" t="str">
        <f ca="1">TEXT(DATE(YEAR(Invoer!$A$5),1,1)+ROWS(B$2:B199)-1,"jjjjmmdd")</f>
        <v>19130717</v>
      </c>
      <c r="C199" s="72">
        <f t="shared" si="121"/>
        <v>800</v>
      </c>
      <c r="D199" s="16" t="str">
        <f t="shared" ca="1" si="122"/>
        <v>—</v>
      </c>
      <c r="E199" s="15">
        <f t="shared" ca="1" si="123"/>
        <v>7</v>
      </c>
      <c r="F199" s="73" t="str">
        <f t="shared" ca="1" si="124"/>
        <v>—</v>
      </c>
      <c r="G199" s="15">
        <f t="shared" ca="1" si="125"/>
        <v>7</v>
      </c>
      <c r="H199" s="73" t="str">
        <f t="shared" ca="1" si="126"/>
        <v>—</v>
      </c>
      <c r="I199" s="15">
        <f t="shared" ca="1" si="127"/>
        <v>7</v>
      </c>
      <c r="J199" s="73" t="str">
        <f t="shared" ca="1" si="128"/>
        <v>—</v>
      </c>
      <c r="K199" s="15">
        <f t="shared" ca="1" si="129"/>
        <v>7</v>
      </c>
      <c r="L199" s="16">
        <f t="shared" ca="1" si="130"/>
        <v>760.5</v>
      </c>
      <c r="M199" s="15">
        <f t="shared" ca="1" si="131"/>
        <v>0</v>
      </c>
      <c r="N199" s="16" t="str">
        <f t="shared" ca="1" si="132"/>
        <v>—</v>
      </c>
      <c r="O199" s="15">
        <f t="shared" ca="1" si="133"/>
        <v>7</v>
      </c>
      <c r="P199" s="16" t="str">
        <f t="shared" ca="1" si="134"/>
        <v>—</v>
      </c>
      <c r="Q199" s="15">
        <f t="shared" ca="1" si="135"/>
        <v>7</v>
      </c>
      <c r="R199" s="16" t="str">
        <f t="shared" ca="1" si="136"/>
        <v>—</v>
      </c>
      <c r="S199" s="15">
        <f t="shared" ca="1" si="137"/>
        <v>7</v>
      </c>
      <c r="T199" s="9" t="str">
        <f t="shared" ca="1" si="138"/>
        <v>—</v>
      </c>
      <c r="U199" s="15">
        <f t="shared" ca="1" si="139"/>
        <v>7</v>
      </c>
      <c r="V199" s="16" t="str">
        <f t="shared" ca="1" si="140"/>
        <v>—</v>
      </c>
      <c r="W199" s="15">
        <f t="shared" ca="1" si="141"/>
        <v>7</v>
      </c>
      <c r="X199" s="16" t="str">
        <f t="shared" ca="1" si="142"/>
        <v>—</v>
      </c>
      <c r="Y199" s="15">
        <f t="shared" ca="1" si="143"/>
        <v>7</v>
      </c>
      <c r="Z199" s="16" t="str">
        <f t="shared" ca="1" si="144"/>
        <v>—</v>
      </c>
      <c r="AA199" s="15">
        <f t="shared" ca="1" si="145"/>
        <v>7</v>
      </c>
      <c r="AB199" s="9">
        <f t="shared" ca="1" si="146"/>
        <v>135</v>
      </c>
      <c r="AC199" s="15">
        <f t="shared" ca="1" si="147"/>
        <v>0</v>
      </c>
      <c r="AD199" s="76" t="str">
        <f t="shared" ca="1" si="148"/>
        <v>—</v>
      </c>
      <c r="AE199" s="15">
        <f t="shared" ca="1" si="149"/>
        <v>7</v>
      </c>
      <c r="AF199" s="76" t="str">
        <f t="shared" ca="1" si="150"/>
        <v>—</v>
      </c>
      <c r="AG199" s="15">
        <f t="shared" ca="1" si="151"/>
        <v>7</v>
      </c>
      <c r="AH199" s="9" t="str">
        <f t="shared" ca="1" si="152"/>
        <v>—</v>
      </c>
      <c r="AI199" s="15">
        <f t="shared" ca="1" si="153"/>
        <v>7</v>
      </c>
      <c r="AJ199" s="26" t="str">
        <f t="shared" ca="1" si="154"/>
        <v>—</v>
      </c>
      <c r="AK199" s="15">
        <f t="shared" ca="1" si="155"/>
        <v>7</v>
      </c>
      <c r="AL199" s="9" t="str">
        <f t="shared" ca="1" si="156"/>
        <v>—</v>
      </c>
      <c r="AM199" s="15">
        <f t="shared" ca="1" si="157"/>
        <v>7</v>
      </c>
      <c r="AN199" s="9" t="str">
        <f t="shared" ca="1" si="158"/>
        <v>—</v>
      </c>
      <c r="AO199" s="15">
        <f t="shared" ca="1" si="159"/>
        <v>7</v>
      </c>
    </row>
    <row r="200" spans="1:41" x14ac:dyDescent="0.25">
      <c r="A200" s="4">
        <f t="shared" si="120"/>
        <v>78989</v>
      </c>
      <c r="B200" t="str">
        <f ca="1">TEXT(DATE(YEAR(Invoer!$A$5),1,1)+ROWS(B$2:B200)-1,"jjjjmmdd")</f>
        <v>19130718</v>
      </c>
      <c r="C200" s="72">
        <f t="shared" si="121"/>
        <v>800</v>
      </c>
      <c r="D200" s="16" t="str">
        <f t="shared" ca="1" si="122"/>
        <v>—</v>
      </c>
      <c r="E200" s="15">
        <f t="shared" ca="1" si="123"/>
        <v>7</v>
      </c>
      <c r="F200" s="73" t="str">
        <f t="shared" ca="1" si="124"/>
        <v>—</v>
      </c>
      <c r="G200" s="15">
        <f t="shared" ca="1" si="125"/>
        <v>7</v>
      </c>
      <c r="H200" s="73" t="str">
        <f t="shared" ca="1" si="126"/>
        <v>—</v>
      </c>
      <c r="I200" s="15">
        <f t="shared" ca="1" si="127"/>
        <v>7</v>
      </c>
      <c r="J200" s="73" t="str">
        <f t="shared" ca="1" si="128"/>
        <v>—</v>
      </c>
      <c r="K200" s="15">
        <f t="shared" ca="1" si="129"/>
        <v>7</v>
      </c>
      <c r="L200" s="16">
        <f t="shared" ca="1" si="130"/>
        <v>760</v>
      </c>
      <c r="M200" s="15">
        <f t="shared" ca="1" si="131"/>
        <v>0</v>
      </c>
      <c r="N200" s="16" t="str">
        <f t="shared" ca="1" si="132"/>
        <v>—</v>
      </c>
      <c r="O200" s="15">
        <f t="shared" ca="1" si="133"/>
        <v>7</v>
      </c>
      <c r="P200" s="16" t="str">
        <f t="shared" ca="1" si="134"/>
        <v>—</v>
      </c>
      <c r="Q200" s="15">
        <f t="shared" ca="1" si="135"/>
        <v>7</v>
      </c>
      <c r="R200" s="16" t="str">
        <f t="shared" ca="1" si="136"/>
        <v>—</v>
      </c>
      <c r="S200" s="15">
        <f t="shared" ca="1" si="137"/>
        <v>7</v>
      </c>
      <c r="T200" s="9" t="str">
        <f t="shared" ca="1" si="138"/>
        <v>—</v>
      </c>
      <c r="U200" s="15">
        <f t="shared" ca="1" si="139"/>
        <v>7</v>
      </c>
      <c r="V200" s="16" t="str">
        <f t="shared" ca="1" si="140"/>
        <v>—</v>
      </c>
      <c r="W200" s="15">
        <f t="shared" ca="1" si="141"/>
        <v>7</v>
      </c>
      <c r="X200" s="16" t="str">
        <f t="shared" ca="1" si="142"/>
        <v>—</v>
      </c>
      <c r="Y200" s="15">
        <f t="shared" ca="1" si="143"/>
        <v>7</v>
      </c>
      <c r="Z200" s="16" t="str">
        <f t="shared" ca="1" si="144"/>
        <v>—</v>
      </c>
      <c r="AA200" s="15">
        <f t="shared" ca="1" si="145"/>
        <v>7</v>
      </c>
      <c r="AB200" s="9">
        <f t="shared" ca="1" si="146"/>
        <v>90</v>
      </c>
      <c r="AC200" s="15">
        <f t="shared" ca="1" si="147"/>
        <v>0</v>
      </c>
      <c r="AD200" s="76" t="str">
        <f t="shared" ca="1" si="148"/>
        <v>—</v>
      </c>
      <c r="AE200" s="15">
        <f t="shared" ca="1" si="149"/>
        <v>7</v>
      </c>
      <c r="AF200" s="76" t="str">
        <f t="shared" ca="1" si="150"/>
        <v>—</v>
      </c>
      <c r="AG200" s="15">
        <f t="shared" ca="1" si="151"/>
        <v>7</v>
      </c>
      <c r="AH200" s="9" t="str">
        <f t="shared" ca="1" si="152"/>
        <v>—</v>
      </c>
      <c r="AI200" s="15">
        <f t="shared" ca="1" si="153"/>
        <v>7</v>
      </c>
      <c r="AJ200" s="26" t="str">
        <f t="shared" ca="1" si="154"/>
        <v>—</v>
      </c>
      <c r="AK200" s="15">
        <f t="shared" ca="1" si="155"/>
        <v>7</v>
      </c>
      <c r="AL200" s="9" t="str">
        <f t="shared" ca="1" si="156"/>
        <v>—</v>
      </c>
      <c r="AM200" s="15">
        <f t="shared" ca="1" si="157"/>
        <v>7</v>
      </c>
      <c r="AN200" s="9" t="str">
        <f t="shared" ca="1" si="158"/>
        <v>—</v>
      </c>
      <c r="AO200" s="15">
        <f t="shared" ca="1" si="159"/>
        <v>7</v>
      </c>
    </row>
    <row r="201" spans="1:41" x14ac:dyDescent="0.25">
      <c r="A201" s="4">
        <f t="shared" si="120"/>
        <v>78989</v>
      </c>
      <c r="B201" t="str">
        <f ca="1">TEXT(DATE(YEAR(Invoer!$A$5),1,1)+ROWS(B$2:B201)-1,"jjjjmmdd")</f>
        <v>19130719</v>
      </c>
      <c r="C201" s="72">
        <f t="shared" si="121"/>
        <v>800</v>
      </c>
      <c r="D201" s="16" t="str">
        <f t="shared" ca="1" si="122"/>
        <v>—</v>
      </c>
      <c r="E201" s="15">
        <f t="shared" ca="1" si="123"/>
        <v>7</v>
      </c>
      <c r="F201" s="73" t="str">
        <f t="shared" ca="1" si="124"/>
        <v>—</v>
      </c>
      <c r="G201" s="15">
        <f t="shared" ca="1" si="125"/>
        <v>7</v>
      </c>
      <c r="H201" s="73" t="str">
        <f t="shared" ca="1" si="126"/>
        <v>—</v>
      </c>
      <c r="I201" s="15">
        <f t="shared" ca="1" si="127"/>
        <v>7</v>
      </c>
      <c r="J201" s="73" t="str">
        <f t="shared" ca="1" si="128"/>
        <v>—</v>
      </c>
      <c r="K201" s="15">
        <f t="shared" ca="1" si="129"/>
        <v>7</v>
      </c>
      <c r="L201" s="16">
        <f t="shared" ca="1" si="130"/>
        <v>758.4</v>
      </c>
      <c r="M201" s="15">
        <f t="shared" ca="1" si="131"/>
        <v>0</v>
      </c>
      <c r="N201" s="16" t="str">
        <f t="shared" ca="1" si="132"/>
        <v>—</v>
      </c>
      <c r="O201" s="15">
        <f t="shared" ca="1" si="133"/>
        <v>7</v>
      </c>
      <c r="P201" s="16" t="str">
        <f t="shared" ca="1" si="134"/>
        <v>—</v>
      </c>
      <c r="Q201" s="15">
        <f t="shared" ca="1" si="135"/>
        <v>7</v>
      </c>
      <c r="R201" s="16" t="str">
        <f t="shared" ca="1" si="136"/>
        <v>—</v>
      </c>
      <c r="S201" s="15">
        <f t="shared" ca="1" si="137"/>
        <v>7</v>
      </c>
      <c r="T201" s="9" t="str">
        <f t="shared" ca="1" si="138"/>
        <v>—</v>
      </c>
      <c r="U201" s="15">
        <f t="shared" ca="1" si="139"/>
        <v>7</v>
      </c>
      <c r="V201" s="16" t="str">
        <f t="shared" ca="1" si="140"/>
        <v>—</v>
      </c>
      <c r="W201" s="15">
        <f t="shared" ca="1" si="141"/>
        <v>7</v>
      </c>
      <c r="X201" s="16" t="str">
        <f t="shared" ca="1" si="142"/>
        <v>—</v>
      </c>
      <c r="Y201" s="15">
        <f t="shared" ca="1" si="143"/>
        <v>7</v>
      </c>
      <c r="Z201" s="16" t="str">
        <f t="shared" ca="1" si="144"/>
        <v>—</v>
      </c>
      <c r="AA201" s="15">
        <f t="shared" ca="1" si="145"/>
        <v>7</v>
      </c>
      <c r="AB201" s="9">
        <f t="shared" ca="1" si="146"/>
        <v>90</v>
      </c>
      <c r="AC201" s="15">
        <f t="shared" ca="1" si="147"/>
        <v>0</v>
      </c>
      <c r="AD201" s="76" t="str">
        <f t="shared" ca="1" si="148"/>
        <v>—</v>
      </c>
      <c r="AE201" s="15">
        <f t="shared" ca="1" si="149"/>
        <v>7</v>
      </c>
      <c r="AF201" s="76" t="str">
        <f t="shared" ca="1" si="150"/>
        <v>—</v>
      </c>
      <c r="AG201" s="15">
        <f t="shared" ca="1" si="151"/>
        <v>7</v>
      </c>
      <c r="AH201" s="9" t="str">
        <f t="shared" ca="1" si="152"/>
        <v>—</v>
      </c>
      <c r="AI201" s="15">
        <f t="shared" ca="1" si="153"/>
        <v>7</v>
      </c>
      <c r="AJ201" s="26" t="str">
        <f t="shared" ca="1" si="154"/>
        <v>—</v>
      </c>
      <c r="AK201" s="15">
        <f t="shared" ca="1" si="155"/>
        <v>7</v>
      </c>
      <c r="AL201" s="9" t="str">
        <f t="shared" ca="1" si="156"/>
        <v>—</v>
      </c>
      <c r="AM201" s="15">
        <f t="shared" ca="1" si="157"/>
        <v>7</v>
      </c>
      <c r="AN201" s="9" t="str">
        <f t="shared" ca="1" si="158"/>
        <v>—</v>
      </c>
      <c r="AO201" s="15">
        <f t="shared" ca="1" si="159"/>
        <v>7</v>
      </c>
    </row>
    <row r="202" spans="1:41" x14ac:dyDescent="0.25">
      <c r="A202" s="4">
        <f t="shared" si="120"/>
        <v>78989</v>
      </c>
      <c r="B202" t="str">
        <f ca="1">TEXT(DATE(YEAR(Invoer!$A$5),1,1)+ROWS(B$2:B202)-1,"jjjjmmdd")</f>
        <v>19130720</v>
      </c>
      <c r="C202" s="72">
        <f t="shared" si="121"/>
        <v>800</v>
      </c>
      <c r="D202" s="16" t="str">
        <f t="shared" ca="1" si="122"/>
        <v>—</v>
      </c>
      <c r="E202" s="15">
        <f t="shared" ca="1" si="123"/>
        <v>7</v>
      </c>
      <c r="F202" s="73" t="str">
        <f t="shared" ca="1" si="124"/>
        <v>—</v>
      </c>
      <c r="G202" s="15">
        <f t="shared" ca="1" si="125"/>
        <v>7</v>
      </c>
      <c r="H202" s="73" t="str">
        <f t="shared" ca="1" si="126"/>
        <v>—</v>
      </c>
      <c r="I202" s="15">
        <f t="shared" ca="1" si="127"/>
        <v>7</v>
      </c>
      <c r="J202" s="73" t="str">
        <f t="shared" ca="1" si="128"/>
        <v>—</v>
      </c>
      <c r="K202" s="15">
        <f t="shared" ca="1" si="129"/>
        <v>7</v>
      </c>
      <c r="L202" s="16">
        <f t="shared" ca="1" si="130"/>
        <v>761.5</v>
      </c>
      <c r="M202" s="15">
        <f t="shared" ca="1" si="131"/>
        <v>0</v>
      </c>
      <c r="N202" s="16" t="str">
        <f t="shared" ca="1" si="132"/>
        <v>—</v>
      </c>
      <c r="O202" s="15">
        <f t="shared" ca="1" si="133"/>
        <v>7</v>
      </c>
      <c r="P202" s="16" t="str">
        <f t="shared" ca="1" si="134"/>
        <v>—</v>
      </c>
      <c r="Q202" s="15">
        <f t="shared" ca="1" si="135"/>
        <v>7</v>
      </c>
      <c r="R202" s="16" t="str">
        <f t="shared" ca="1" si="136"/>
        <v>—</v>
      </c>
      <c r="S202" s="15">
        <f t="shared" ca="1" si="137"/>
        <v>7</v>
      </c>
      <c r="T202" s="9" t="str">
        <f t="shared" ca="1" si="138"/>
        <v>—</v>
      </c>
      <c r="U202" s="15">
        <f t="shared" ca="1" si="139"/>
        <v>7</v>
      </c>
      <c r="V202" s="16" t="str">
        <f t="shared" ca="1" si="140"/>
        <v>—</v>
      </c>
      <c r="W202" s="15">
        <f t="shared" ca="1" si="141"/>
        <v>7</v>
      </c>
      <c r="X202" s="16" t="str">
        <f t="shared" ca="1" si="142"/>
        <v>—</v>
      </c>
      <c r="Y202" s="15">
        <f t="shared" ca="1" si="143"/>
        <v>7</v>
      </c>
      <c r="Z202" s="16" t="str">
        <f t="shared" ca="1" si="144"/>
        <v>—</v>
      </c>
      <c r="AA202" s="15">
        <f t="shared" ca="1" si="145"/>
        <v>7</v>
      </c>
      <c r="AB202" s="9">
        <f t="shared" ca="1" si="146"/>
        <v>90</v>
      </c>
      <c r="AC202" s="15">
        <f t="shared" ca="1" si="147"/>
        <v>0</v>
      </c>
      <c r="AD202" s="76" t="str">
        <f t="shared" ca="1" si="148"/>
        <v>—</v>
      </c>
      <c r="AE202" s="15">
        <f t="shared" ca="1" si="149"/>
        <v>7</v>
      </c>
      <c r="AF202" s="76" t="str">
        <f t="shared" ca="1" si="150"/>
        <v>—</v>
      </c>
      <c r="AG202" s="15">
        <f t="shared" ca="1" si="151"/>
        <v>7</v>
      </c>
      <c r="AH202" s="9" t="str">
        <f t="shared" ca="1" si="152"/>
        <v>—</v>
      </c>
      <c r="AI202" s="15">
        <f t="shared" ca="1" si="153"/>
        <v>7</v>
      </c>
      <c r="AJ202" s="26" t="str">
        <f t="shared" ca="1" si="154"/>
        <v>—</v>
      </c>
      <c r="AK202" s="15">
        <f t="shared" ca="1" si="155"/>
        <v>7</v>
      </c>
      <c r="AL202" s="9" t="str">
        <f t="shared" ca="1" si="156"/>
        <v>—</v>
      </c>
      <c r="AM202" s="15">
        <f t="shared" ca="1" si="157"/>
        <v>7</v>
      </c>
      <c r="AN202" s="9" t="str">
        <f t="shared" ca="1" si="158"/>
        <v>—</v>
      </c>
      <c r="AO202" s="15">
        <f t="shared" ca="1" si="159"/>
        <v>7</v>
      </c>
    </row>
    <row r="203" spans="1:41" x14ac:dyDescent="0.25">
      <c r="A203" s="4">
        <f t="shared" si="120"/>
        <v>78989</v>
      </c>
      <c r="B203" t="str">
        <f ca="1">TEXT(DATE(YEAR(Invoer!$A$5),1,1)+ROWS(B$2:B203)-1,"jjjjmmdd")</f>
        <v>19130721</v>
      </c>
      <c r="C203" s="72">
        <f t="shared" si="121"/>
        <v>800</v>
      </c>
      <c r="D203" s="16" t="str">
        <f t="shared" ca="1" si="122"/>
        <v>—</v>
      </c>
      <c r="E203" s="15">
        <f t="shared" ca="1" si="123"/>
        <v>7</v>
      </c>
      <c r="F203" s="73" t="str">
        <f t="shared" ca="1" si="124"/>
        <v>—</v>
      </c>
      <c r="G203" s="15">
        <f t="shared" ca="1" si="125"/>
        <v>7</v>
      </c>
      <c r="H203" s="73" t="str">
        <f t="shared" ca="1" si="126"/>
        <v>—</v>
      </c>
      <c r="I203" s="15">
        <f t="shared" ca="1" si="127"/>
        <v>7</v>
      </c>
      <c r="J203" s="73" t="str">
        <f t="shared" ca="1" si="128"/>
        <v>—</v>
      </c>
      <c r="K203" s="15">
        <f t="shared" ca="1" si="129"/>
        <v>7</v>
      </c>
      <c r="L203" s="16">
        <f t="shared" ca="1" si="130"/>
        <v>761</v>
      </c>
      <c r="M203" s="15">
        <f t="shared" ca="1" si="131"/>
        <v>0</v>
      </c>
      <c r="N203" s="16" t="str">
        <f t="shared" ca="1" si="132"/>
        <v>—</v>
      </c>
      <c r="O203" s="15">
        <f t="shared" ca="1" si="133"/>
        <v>7</v>
      </c>
      <c r="P203" s="16" t="str">
        <f t="shared" ca="1" si="134"/>
        <v>—</v>
      </c>
      <c r="Q203" s="15">
        <f t="shared" ca="1" si="135"/>
        <v>7</v>
      </c>
      <c r="R203" s="16" t="str">
        <f t="shared" ca="1" si="136"/>
        <v>—</v>
      </c>
      <c r="S203" s="15">
        <f t="shared" ca="1" si="137"/>
        <v>7</v>
      </c>
      <c r="T203" s="9" t="str">
        <f t="shared" ca="1" si="138"/>
        <v>—</v>
      </c>
      <c r="U203" s="15">
        <f t="shared" ca="1" si="139"/>
        <v>7</v>
      </c>
      <c r="V203" s="16" t="str">
        <f t="shared" ca="1" si="140"/>
        <v>—</v>
      </c>
      <c r="W203" s="15">
        <f t="shared" ca="1" si="141"/>
        <v>7</v>
      </c>
      <c r="X203" s="16" t="str">
        <f t="shared" ca="1" si="142"/>
        <v>—</v>
      </c>
      <c r="Y203" s="15">
        <f t="shared" ca="1" si="143"/>
        <v>7</v>
      </c>
      <c r="Z203" s="16" t="str">
        <f t="shared" ca="1" si="144"/>
        <v>—</v>
      </c>
      <c r="AA203" s="15">
        <f t="shared" ca="1" si="145"/>
        <v>7</v>
      </c>
      <c r="AB203" s="9">
        <f t="shared" ca="1" si="146"/>
        <v>135</v>
      </c>
      <c r="AC203" s="15">
        <f t="shared" ca="1" si="147"/>
        <v>0</v>
      </c>
      <c r="AD203" s="76" t="str">
        <f t="shared" ca="1" si="148"/>
        <v>—</v>
      </c>
      <c r="AE203" s="15">
        <f t="shared" ca="1" si="149"/>
        <v>7</v>
      </c>
      <c r="AF203" s="76" t="str">
        <f t="shared" ca="1" si="150"/>
        <v>—</v>
      </c>
      <c r="AG203" s="15">
        <f t="shared" ca="1" si="151"/>
        <v>7</v>
      </c>
      <c r="AH203" s="9" t="str">
        <f t="shared" ca="1" si="152"/>
        <v>—</v>
      </c>
      <c r="AI203" s="15">
        <f t="shared" ca="1" si="153"/>
        <v>7</v>
      </c>
      <c r="AJ203" s="26" t="str">
        <f t="shared" ca="1" si="154"/>
        <v>—</v>
      </c>
      <c r="AK203" s="15">
        <f t="shared" ca="1" si="155"/>
        <v>7</v>
      </c>
      <c r="AL203" s="9" t="str">
        <f t="shared" ca="1" si="156"/>
        <v>—</v>
      </c>
      <c r="AM203" s="15">
        <f t="shared" ca="1" si="157"/>
        <v>7</v>
      </c>
      <c r="AN203" s="9" t="str">
        <f t="shared" ca="1" si="158"/>
        <v>—</v>
      </c>
      <c r="AO203" s="15">
        <f t="shared" ca="1" si="159"/>
        <v>7</v>
      </c>
    </row>
    <row r="204" spans="1:41" x14ac:dyDescent="0.25">
      <c r="A204" s="4">
        <f t="shared" si="120"/>
        <v>78989</v>
      </c>
      <c r="B204" t="str">
        <f ca="1">TEXT(DATE(YEAR(Invoer!$A$5),1,1)+ROWS(B$2:B204)-1,"jjjjmmdd")</f>
        <v>19130722</v>
      </c>
      <c r="C204" s="72">
        <f t="shared" si="121"/>
        <v>800</v>
      </c>
      <c r="D204" s="16" t="str">
        <f t="shared" ca="1" si="122"/>
        <v>—</v>
      </c>
      <c r="E204" s="15">
        <f t="shared" ca="1" si="123"/>
        <v>7</v>
      </c>
      <c r="F204" s="73" t="str">
        <f t="shared" ca="1" si="124"/>
        <v>—</v>
      </c>
      <c r="G204" s="15">
        <f t="shared" ca="1" si="125"/>
        <v>7</v>
      </c>
      <c r="H204" s="73" t="str">
        <f t="shared" ca="1" si="126"/>
        <v>—</v>
      </c>
      <c r="I204" s="15">
        <f t="shared" ca="1" si="127"/>
        <v>7</v>
      </c>
      <c r="J204" s="73" t="str">
        <f t="shared" ca="1" si="128"/>
        <v>—</v>
      </c>
      <c r="K204" s="15">
        <f t="shared" ca="1" si="129"/>
        <v>7</v>
      </c>
      <c r="L204" s="16">
        <f t="shared" ca="1" si="130"/>
        <v>761</v>
      </c>
      <c r="M204" s="15">
        <f t="shared" ca="1" si="131"/>
        <v>0</v>
      </c>
      <c r="N204" s="16" t="str">
        <f t="shared" ca="1" si="132"/>
        <v>—</v>
      </c>
      <c r="O204" s="15">
        <f t="shared" ca="1" si="133"/>
        <v>7</v>
      </c>
      <c r="P204" s="16" t="str">
        <f t="shared" ca="1" si="134"/>
        <v>—</v>
      </c>
      <c r="Q204" s="15">
        <f t="shared" ca="1" si="135"/>
        <v>7</v>
      </c>
      <c r="R204" s="16" t="str">
        <f t="shared" ca="1" si="136"/>
        <v>—</v>
      </c>
      <c r="S204" s="15">
        <f t="shared" ca="1" si="137"/>
        <v>7</v>
      </c>
      <c r="T204" s="9" t="str">
        <f t="shared" ca="1" si="138"/>
        <v>—</v>
      </c>
      <c r="U204" s="15">
        <f t="shared" ca="1" si="139"/>
        <v>7</v>
      </c>
      <c r="V204" s="16" t="str">
        <f t="shared" ca="1" si="140"/>
        <v>—</v>
      </c>
      <c r="W204" s="15">
        <f t="shared" ca="1" si="141"/>
        <v>7</v>
      </c>
      <c r="X204" s="16" t="str">
        <f t="shared" ca="1" si="142"/>
        <v>—</v>
      </c>
      <c r="Y204" s="15">
        <f t="shared" ca="1" si="143"/>
        <v>7</v>
      </c>
      <c r="Z204" s="16" t="str">
        <f t="shared" ca="1" si="144"/>
        <v>—</v>
      </c>
      <c r="AA204" s="15">
        <f t="shared" ca="1" si="145"/>
        <v>7</v>
      </c>
      <c r="AB204" s="9">
        <f t="shared" ca="1" si="146"/>
        <v>90</v>
      </c>
      <c r="AC204" s="15">
        <f t="shared" ca="1" si="147"/>
        <v>0</v>
      </c>
      <c r="AD204" s="76" t="str">
        <f t="shared" ca="1" si="148"/>
        <v>—</v>
      </c>
      <c r="AE204" s="15">
        <f t="shared" ca="1" si="149"/>
        <v>7</v>
      </c>
      <c r="AF204" s="76" t="str">
        <f t="shared" ca="1" si="150"/>
        <v>—</v>
      </c>
      <c r="AG204" s="15">
        <f t="shared" ca="1" si="151"/>
        <v>7</v>
      </c>
      <c r="AH204" s="9" t="str">
        <f t="shared" ca="1" si="152"/>
        <v>—</v>
      </c>
      <c r="AI204" s="15">
        <f t="shared" ca="1" si="153"/>
        <v>7</v>
      </c>
      <c r="AJ204" s="26" t="str">
        <f t="shared" ca="1" si="154"/>
        <v>—</v>
      </c>
      <c r="AK204" s="15">
        <f t="shared" ca="1" si="155"/>
        <v>7</v>
      </c>
      <c r="AL204" s="9" t="str">
        <f t="shared" ca="1" si="156"/>
        <v>—</v>
      </c>
      <c r="AM204" s="15">
        <f t="shared" ca="1" si="157"/>
        <v>7</v>
      </c>
      <c r="AN204" s="9" t="str">
        <f t="shared" ca="1" si="158"/>
        <v>—</v>
      </c>
      <c r="AO204" s="15">
        <f t="shared" ca="1" si="159"/>
        <v>7</v>
      </c>
    </row>
    <row r="205" spans="1:41" x14ac:dyDescent="0.25">
      <c r="A205" s="4">
        <f t="shared" si="120"/>
        <v>78989</v>
      </c>
      <c r="B205" t="str">
        <f ca="1">TEXT(DATE(YEAR(Invoer!$A$5),1,1)+ROWS(B$2:B205)-1,"jjjjmmdd")</f>
        <v>19130723</v>
      </c>
      <c r="C205" s="72">
        <f t="shared" si="121"/>
        <v>800</v>
      </c>
      <c r="D205" s="16" t="str">
        <f t="shared" ca="1" si="122"/>
        <v>—</v>
      </c>
      <c r="E205" s="15">
        <f t="shared" ca="1" si="123"/>
        <v>7</v>
      </c>
      <c r="F205" s="73" t="str">
        <f t="shared" ca="1" si="124"/>
        <v>—</v>
      </c>
      <c r="G205" s="15">
        <f t="shared" ca="1" si="125"/>
        <v>7</v>
      </c>
      <c r="H205" s="73" t="str">
        <f t="shared" ca="1" si="126"/>
        <v>—</v>
      </c>
      <c r="I205" s="15">
        <f t="shared" ca="1" si="127"/>
        <v>7</v>
      </c>
      <c r="J205" s="73" t="str">
        <f t="shared" ca="1" si="128"/>
        <v>—</v>
      </c>
      <c r="K205" s="15">
        <f t="shared" ca="1" si="129"/>
        <v>7</v>
      </c>
      <c r="L205" s="16">
        <f t="shared" ca="1" si="130"/>
        <v>760</v>
      </c>
      <c r="M205" s="15">
        <f t="shared" ca="1" si="131"/>
        <v>0</v>
      </c>
      <c r="N205" s="16" t="str">
        <f t="shared" ca="1" si="132"/>
        <v>—</v>
      </c>
      <c r="O205" s="15">
        <f t="shared" ca="1" si="133"/>
        <v>7</v>
      </c>
      <c r="P205" s="16" t="str">
        <f t="shared" ca="1" si="134"/>
        <v>—</v>
      </c>
      <c r="Q205" s="15">
        <f t="shared" ca="1" si="135"/>
        <v>7</v>
      </c>
      <c r="R205" s="16" t="str">
        <f t="shared" ca="1" si="136"/>
        <v>—</v>
      </c>
      <c r="S205" s="15">
        <f t="shared" ca="1" si="137"/>
        <v>7</v>
      </c>
      <c r="T205" s="9" t="str">
        <f t="shared" ca="1" si="138"/>
        <v>—</v>
      </c>
      <c r="U205" s="15">
        <f t="shared" ca="1" si="139"/>
        <v>7</v>
      </c>
      <c r="V205" s="16" t="str">
        <f t="shared" ca="1" si="140"/>
        <v>—</v>
      </c>
      <c r="W205" s="15">
        <f t="shared" ca="1" si="141"/>
        <v>7</v>
      </c>
      <c r="X205" s="16" t="str">
        <f t="shared" ca="1" si="142"/>
        <v>—</v>
      </c>
      <c r="Y205" s="15">
        <f t="shared" ca="1" si="143"/>
        <v>7</v>
      </c>
      <c r="Z205" s="16" t="str">
        <f t="shared" ca="1" si="144"/>
        <v>—</v>
      </c>
      <c r="AA205" s="15">
        <f t="shared" ca="1" si="145"/>
        <v>7</v>
      </c>
      <c r="AB205" s="9">
        <f t="shared" ca="1" si="146"/>
        <v>90</v>
      </c>
      <c r="AC205" s="15">
        <f t="shared" ca="1" si="147"/>
        <v>0</v>
      </c>
      <c r="AD205" s="76" t="str">
        <f t="shared" ca="1" si="148"/>
        <v>—</v>
      </c>
      <c r="AE205" s="15">
        <f t="shared" ca="1" si="149"/>
        <v>7</v>
      </c>
      <c r="AF205" s="76" t="str">
        <f t="shared" ca="1" si="150"/>
        <v>—</v>
      </c>
      <c r="AG205" s="15">
        <f t="shared" ca="1" si="151"/>
        <v>7</v>
      </c>
      <c r="AH205" s="9" t="str">
        <f t="shared" ca="1" si="152"/>
        <v>—</v>
      </c>
      <c r="AI205" s="15">
        <f t="shared" ca="1" si="153"/>
        <v>7</v>
      </c>
      <c r="AJ205" s="26" t="str">
        <f t="shared" ca="1" si="154"/>
        <v>—</v>
      </c>
      <c r="AK205" s="15">
        <f t="shared" ca="1" si="155"/>
        <v>7</v>
      </c>
      <c r="AL205" s="9" t="str">
        <f t="shared" ca="1" si="156"/>
        <v>—</v>
      </c>
      <c r="AM205" s="15">
        <f t="shared" ca="1" si="157"/>
        <v>7</v>
      </c>
      <c r="AN205" s="9" t="str">
        <f t="shared" ca="1" si="158"/>
        <v>—</v>
      </c>
      <c r="AO205" s="15">
        <f t="shared" ca="1" si="159"/>
        <v>7</v>
      </c>
    </row>
    <row r="206" spans="1:41" x14ac:dyDescent="0.25">
      <c r="A206" s="4">
        <f t="shared" si="120"/>
        <v>78989</v>
      </c>
      <c r="B206" t="str">
        <f ca="1">TEXT(DATE(YEAR(Invoer!$A$5),1,1)+ROWS(B$2:B206)-1,"jjjjmmdd")</f>
        <v>19130724</v>
      </c>
      <c r="C206" s="72">
        <f t="shared" si="121"/>
        <v>800</v>
      </c>
      <c r="D206" s="16" t="str">
        <f t="shared" ca="1" si="122"/>
        <v>—</v>
      </c>
      <c r="E206" s="15">
        <f t="shared" ca="1" si="123"/>
        <v>7</v>
      </c>
      <c r="F206" s="73" t="str">
        <f t="shared" ca="1" si="124"/>
        <v>—</v>
      </c>
      <c r="G206" s="15">
        <f t="shared" ca="1" si="125"/>
        <v>7</v>
      </c>
      <c r="H206" s="73" t="str">
        <f t="shared" ca="1" si="126"/>
        <v>—</v>
      </c>
      <c r="I206" s="15">
        <f t="shared" ca="1" si="127"/>
        <v>7</v>
      </c>
      <c r="J206" s="73" t="str">
        <f t="shared" ca="1" si="128"/>
        <v>—</v>
      </c>
      <c r="K206" s="15">
        <f t="shared" ca="1" si="129"/>
        <v>7</v>
      </c>
      <c r="L206" s="16" t="str">
        <f t="shared" ca="1" si="130"/>
        <v>—</v>
      </c>
      <c r="M206" s="15">
        <f t="shared" ca="1" si="131"/>
        <v>7</v>
      </c>
      <c r="N206" s="16" t="str">
        <f t="shared" ca="1" si="132"/>
        <v>—</v>
      </c>
      <c r="O206" s="15">
        <f t="shared" ca="1" si="133"/>
        <v>7</v>
      </c>
      <c r="P206" s="16" t="str">
        <f t="shared" ca="1" si="134"/>
        <v>—</v>
      </c>
      <c r="Q206" s="15">
        <f t="shared" ca="1" si="135"/>
        <v>7</v>
      </c>
      <c r="R206" s="16" t="str">
        <f t="shared" ca="1" si="136"/>
        <v>—</v>
      </c>
      <c r="S206" s="15">
        <f t="shared" ca="1" si="137"/>
        <v>7</v>
      </c>
      <c r="T206" s="9" t="str">
        <f t="shared" ca="1" si="138"/>
        <v>—</v>
      </c>
      <c r="U206" s="15">
        <f t="shared" ca="1" si="139"/>
        <v>7</v>
      </c>
      <c r="V206" s="16" t="str">
        <f t="shared" ca="1" si="140"/>
        <v>—</v>
      </c>
      <c r="W206" s="15">
        <f t="shared" ca="1" si="141"/>
        <v>7</v>
      </c>
      <c r="X206" s="16" t="str">
        <f t="shared" ca="1" si="142"/>
        <v>—</v>
      </c>
      <c r="Y206" s="15">
        <f t="shared" ca="1" si="143"/>
        <v>7</v>
      </c>
      <c r="Z206" s="16" t="str">
        <f t="shared" ca="1" si="144"/>
        <v>—</v>
      </c>
      <c r="AA206" s="15">
        <f t="shared" ca="1" si="145"/>
        <v>7</v>
      </c>
      <c r="AB206" s="9" t="str">
        <f t="shared" ca="1" si="146"/>
        <v>—</v>
      </c>
      <c r="AC206" s="15">
        <f t="shared" ca="1" si="147"/>
        <v>7</v>
      </c>
      <c r="AD206" s="76" t="str">
        <f t="shared" ca="1" si="148"/>
        <v>—</v>
      </c>
      <c r="AE206" s="15">
        <f t="shared" ca="1" si="149"/>
        <v>7</v>
      </c>
      <c r="AF206" s="76" t="str">
        <f t="shared" ca="1" si="150"/>
        <v>—</v>
      </c>
      <c r="AG206" s="15">
        <f t="shared" ca="1" si="151"/>
        <v>7</v>
      </c>
      <c r="AH206" s="9" t="str">
        <f t="shared" ca="1" si="152"/>
        <v>—</v>
      </c>
      <c r="AI206" s="15">
        <f t="shared" ca="1" si="153"/>
        <v>7</v>
      </c>
      <c r="AJ206" s="26" t="str">
        <f t="shared" ca="1" si="154"/>
        <v>—</v>
      </c>
      <c r="AK206" s="15">
        <f t="shared" ca="1" si="155"/>
        <v>7</v>
      </c>
      <c r="AL206" s="9" t="str">
        <f t="shared" ca="1" si="156"/>
        <v>—</v>
      </c>
      <c r="AM206" s="15">
        <f t="shared" ca="1" si="157"/>
        <v>7</v>
      </c>
      <c r="AN206" s="9" t="str">
        <f t="shared" ca="1" si="158"/>
        <v>—</v>
      </c>
      <c r="AO206" s="15">
        <f t="shared" ca="1" si="159"/>
        <v>7</v>
      </c>
    </row>
    <row r="207" spans="1:41" x14ac:dyDescent="0.25">
      <c r="A207" s="4">
        <f t="shared" si="120"/>
        <v>78989</v>
      </c>
      <c r="B207" t="str">
        <f ca="1">TEXT(DATE(YEAR(Invoer!$A$5),1,1)+ROWS(B$2:B207)-1,"jjjjmmdd")</f>
        <v>19130725</v>
      </c>
      <c r="C207" s="72">
        <f t="shared" si="121"/>
        <v>800</v>
      </c>
      <c r="D207" s="16" t="str">
        <f t="shared" ca="1" si="122"/>
        <v>—</v>
      </c>
      <c r="E207" s="15">
        <f t="shared" ca="1" si="123"/>
        <v>7</v>
      </c>
      <c r="F207" s="73" t="str">
        <f t="shared" ca="1" si="124"/>
        <v>—</v>
      </c>
      <c r="G207" s="15">
        <f t="shared" ca="1" si="125"/>
        <v>7</v>
      </c>
      <c r="H207" s="73" t="str">
        <f t="shared" ca="1" si="126"/>
        <v>—</v>
      </c>
      <c r="I207" s="15">
        <f t="shared" ca="1" si="127"/>
        <v>7</v>
      </c>
      <c r="J207" s="73" t="str">
        <f t="shared" ca="1" si="128"/>
        <v>—</v>
      </c>
      <c r="K207" s="15">
        <f t="shared" ca="1" si="129"/>
        <v>7</v>
      </c>
      <c r="L207" s="16">
        <f t="shared" ca="1" si="130"/>
        <v>761</v>
      </c>
      <c r="M207" s="15">
        <f t="shared" ca="1" si="131"/>
        <v>0</v>
      </c>
      <c r="N207" s="16" t="str">
        <f t="shared" ca="1" si="132"/>
        <v>—</v>
      </c>
      <c r="O207" s="15">
        <f t="shared" ca="1" si="133"/>
        <v>7</v>
      </c>
      <c r="P207" s="16" t="str">
        <f t="shared" ca="1" si="134"/>
        <v>—</v>
      </c>
      <c r="Q207" s="15">
        <f t="shared" ca="1" si="135"/>
        <v>7</v>
      </c>
      <c r="R207" s="16" t="str">
        <f t="shared" ca="1" si="136"/>
        <v>—</v>
      </c>
      <c r="S207" s="15">
        <f t="shared" ca="1" si="137"/>
        <v>7</v>
      </c>
      <c r="T207" s="9" t="str">
        <f t="shared" ca="1" si="138"/>
        <v>—</v>
      </c>
      <c r="U207" s="15">
        <f t="shared" ca="1" si="139"/>
        <v>7</v>
      </c>
      <c r="V207" s="16" t="str">
        <f t="shared" ca="1" si="140"/>
        <v>—</v>
      </c>
      <c r="W207" s="15">
        <f t="shared" ca="1" si="141"/>
        <v>7</v>
      </c>
      <c r="X207" s="16" t="str">
        <f t="shared" ca="1" si="142"/>
        <v>—</v>
      </c>
      <c r="Y207" s="15">
        <f t="shared" ca="1" si="143"/>
        <v>7</v>
      </c>
      <c r="Z207" s="16" t="str">
        <f t="shared" ca="1" si="144"/>
        <v>—</v>
      </c>
      <c r="AA207" s="15">
        <f t="shared" ca="1" si="145"/>
        <v>7</v>
      </c>
      <c r="AB207" s="9">
        <f t="shared" ca="1" si="146"/>
        <v>90</v>
      </c>
      <c r="AC207" s="15">
        <f t="shared" ca="1" si="147"/>
        <v>0</v>
      </c>
      <c r="AD207" s="76" t="str">
        <f t="shared" ca="1" si="148"/>
        <v>—</v>
      </c>
      <c r="AE207" s="15">
        <f t="shared" ca="1" si="149"/>
        <v>7</v>
      </c>
      <c r="AF207" s="76" t="str">
        <f t="shared" ca="1" si="150"/>
        <v>—</v>
      </c>
      <c r="AG207" s="15">
        <f t="shared" ca="1" si="151"/>
        <v>7</v>
      </c>
      <c r="AH207" s="9" t="str">
        <f t="shared" ca="1" si="152"/>
        <v>—</v>
      </c>
      <c r="AI207" s="15">
        <f t="shared" ca="1" si="153"/>
        <v>7</v>
      </c>
      <c r="AJ207" s="26" t="str">
        <f t="shared" ca="1" si="154"/>
        <v>—</v>
      </c>
      <c r="AK207" s="15">
        <f t="shared" ca="1" si="155"/>
        <v>7</v>
      </c>
      <c r="AL207" s="9" t="str">
        <f t="shared" ca="1" si="156"/>
        <v>—</v>
      </c>
      <c r="AM207" s="15">
        <f t="shared" ca="1" si="157"/>
        <v>7</v>
      </c>
      <c r="AN207" s="9" t="str">
        <f t="shared" ca="1" si="158"/>
        <v>—</v>
      </c>
      <c r="AO207" s="15">
        <f t="shared" ca="1" si="159"/>
        <v>7</v>
      </c>
    </row>
    <row r="208" spans="1:41" x14ac:dyDescent="0.25">
      <c r="A208" s="4">
        <f t="shared" si="120"/>
        <v>78989</v>
      </c>
      <c r="B208" t="str">
        <f ca="1">TEXT(DATE(YEAR(Invoer!$A$5),1,1)+ROWS(B$2:B208)-1,"jjjjmmdd")</f>
        <v>19130726</v>
      </c>
      <c r="C208" s="72">
        <f t="shared" si="121"/>
        <v>800</v>
      </c>
      <c r="D208" s="16" t="str">
        <f t="shared" ca="1" si="122"/>
        <v>—</v>
      </c>
      <c r="E208" s="15">
        <f t="shared" ca="1" si="123"/>
        <v>7</v>
      </c>
      <c r="F208" s="73" t="str">
        <f t="shared" ca="1" si="124"/>
        <v>—</v>
      </c>
      <c r="G208" s="15">
        <f t="shared" ca="1" si="125"/>
        <v>7</v>
      </c>
      <c r="H208" s="73" t="str">
        <f t="shared" ca="1" si="126"/>
        <v>—</v>
      </c>
      <c r="I208" s="15">
        <f t="shared" ca="1" si="127"/>
        <v>7</v>
      </c>
      <c r="J208" s="73" t="str">
        <f t="shared" ca="1" si="128"/>
        <v>—</v>
      </c>
      <c r="K208" s="15">
        <f t="shared" ca="1" si="129"/>
        <v>7</v>
      </c>
      <c r="L208" s="16">
        <f t="shared" ca="1" si="130"/>
        <v>760.5</v>
      </c>
      <c r="M208" s="15">
        <f t="shared" ca="1" si="131"/>
        <v>0</v>
      </c>
      <c r="N208" s="16" t="str">
        <f t="shared" ca="1" si="132"/>
        <v>—</v>
      </c>
      <c r="O208" s="15">
        <f t="shared" ca="1" si="133"/>
        <v>7</v>
      </c>
      <c r="P208" s="16" t="str">
        <f t="shared" ca="1" si="134"/>
        <v>—</v>
      </c>
      <c r="Q208" s="15">
        <f t="shared" ca="1" si="135"/>
        <v>7</v>
      </c>
      <c r="R208" s="16" t="str">
        <f t="shared" ca="1" si="136"/>
        <v>—</v>
      </c>
      <c r="S208" s="15">
        <f t="shared" ca="1" si="137"/>
        <v>7</v>
      </c>
      <c r="T208" s="9" t="str">
        <f t="shared" ca="1" si="138"/>
        <v>—</v>
      </c>
      <c r="U208" s="15">
        <f t="shared" ca="1" si="139"/>
        <v>7</v>
      </c>
      <c r="V208" s="16" t="str">
        <f t="shared" ca="1" si="140"/>
        <v>—</v>
      </c>
      <c r="W208" s="15">
        <f t="shared" ca="1" si="141"/>
        <v>7</v>
      </c>
      <c r="X208" s="16" t="str">
        <f t="shared" ca="1" si="142"/>
        <v>—</v>
      </c>
      <c r="Y208" s="15">
        <f t="shared" ca="1" si="143"/>
        <v>7</v>
      </c>
      <c r="Z208" s="16" t="str">
        <f t="shared" ca="1" si="144"/>
        <v>—</v>
      </c>
      <c r="AA208" s="15">
        <f t="shared" ca="1" si="145"/>
        <v>7</v>
      </c>
      <c r="AB208" s="9">
        <f t="shared" ca="1" si="146"/>
        <v>90</v>
      </c>
      <c r="AC208" s="15">
        <f t="shared" ca="1" si="147"/>
        <v>0</v>
      </c>
      <c r="AD208" s="76" t="str">
        <f t="shared" ca="1" si="148"/>
        <v>—</v>
      </c>
      <c r="AE208" s="15">
        <f t="shared" ca="1" si="149"/>
        <v>7</v>
      </c>
      <c r="AF208" s="76" t="str">
        <f t="shared" ca="1" si="150"/>
        <v>—</v>
      </c>
      <c r="AG208" s="15">
        <f t="shared" ca="1" si="151"/>
        <v>7</v>
      </c>
      <c r="AH208" s="9" t="str">
        <f t="shared" ca="1" si="152"/>
        <v>—</v>
      </c>
      <c r="AI208" s="15">
        <f t="shared" ca="1" si="153"/>
        <v>7</v>
      </c>
      <c r="AJ208" s="26" t="str">
        <f t="shared" ca="1" si="154"/>
        <v>—</v>
      </c>
      <c r="AK208" s="15">
        <f t="shared" ca="1" si="155"/>
        <v>7</v>
      </c>
      <c r="AL208" s="9" t="str">
        <f t="shared" ca="1" si="156"/>
        <v>—</v>
      </c>
      <c r="AM208" s="15">
        <f t="shared" ca="1" si="157"/>
        <v>7</v>
      </c>
      <c r="AN208" s="9" t="str">
        <f t="shared" ca="1" si="158"/>
        <v>—</v>
      </c>
      <c r="AO208" s="15">
        <f t="shared" ca="1" si="159"/>
        <v>7</v>
      </c>
    </row>
    <row r="209" spans="1:41" x14ac:dyDescent="0.25">
      <c r="A209" s="4">
        <f t="shared" si="120"/>
        <v>78989</v>
      </c>
      <c r="B209" t="str">
        <f ca="1">TEXT(DATE(YEAR(Invoer!$A$5),1,1)+ROWS(B$2:B209)-1,"jjjjmmdd")</f>
        <v>19130727</v>
      </c>
      <c r="C209" s="72">
        <f t="shared" si="121"/>
        <v>800</v>
      </c>
      <c r="D209" s="16" t="str">
        <f t="shared" ca="1" si="122"/>
        <v>—</v>
      </c>
      <c r="E209" s="15">
        <f t="shared" ca="1" si="123"/>
        <v>7</v>
      </c>
      <c r="F209" s="73" t="str">
        <f t="shared" ca="1" si="124"/>
        <v>—</v>
      </c>
      <c r="G209" s="15">
        <f t="shared" ca="1" si="125"/>
        <v>7</v>
      </c>
      <c r="H209" s="73" t="str">
        <f t="shared" ca="1" si="126"/>
        <v>—</v>
      </c>
      <c r="I209" s="15">
        <f t="shared" ca="1" si="127"/>
        <v>7</v>
      </c>
      <c r="J209" s="73" t="str">
        <f t="shared" ca="1" si="128"/>
        <v>—</v>
      </c>
      <c r="K209" s="15">
        <f t="shared" ca="1" si="129"/>
        <v>7</v>
      </c>
      <c r="L209" s="16">
        <f t="shared" ca="1" si="130"/>
        <v>760.5</v>
      </c>
      <c r="M209" s="15">
        <f t="shared" ca="1" si="131"/>
        <v>0</v>
      </c>
      <c r="N209" s="16" t="str">
        <f t="shared" ca="1" si="132"/>
        <v>—</v>
      </c>
      <c r="O209" s="15">
        <f t="shared" ca="1" si="133"/>
        <v>7</v>
      </c>
      <c r="P209" s="16" t="str">
        <f t="shared" ca="1" si="134"/>
        <v>—</v>
      </c>
      <c r="Q209" s="15">
        <f t="shared" ca="1" si="135"/>
        <v>7</v>
      </c>
      <c r="R209" s="16" t="str">
        <f t="shared" ca="1" si="136"/>
        <v>—</v>
      </c>
      <c r="S209" s="15">
        <f t="shared" ca="1" si="137"/>
        <v>7</v>
      </c>
      <c r="T209" s="9" t="str">
        <f t="shared" ca="1" si="138"/>
        <v>—</v>
      </c>
      <c r="U209" s="15">
        <f t="shared" ca="1" si="139"/>
        <v>7</v>
      </c>
      <c r="V209" s="16" t="str">
        <f t="shared" ca="1" si="140"/>
        <v>—</v>
      </c>
      <c r="W209" s="15">
        <f t="shared" ca="1" si="141"/>
        <v>7</v>
      </c>
      <c r="X209" s="16" t="str">
        <f t="shared" ca="1" si="142"/>
        <v>—</v>
      </c>
      <c r="Y209" s="15">
        <f t="shared" ca="1" si="143"/>
        <v>7</v>
      </c>
      <c r="Z209" s="16" t="str">
        <f t="shared" ca="1" si="144"/>
        <v>—</v>
      </c>
      <c r="AA209" s="15">
        <f t="shared" ca="1" si="145"/>
        <v>7</v>
      </c>
      <c r="AB209" s="9">
        <f t="shared" ca="1" si="146"/>
        <v>135</v>
      </c>
      <c r="AC209" s="15">
        <f t="shared" ca="1" si="147"/>
        <v>0</v>
      </c>
      <c r="AD209" s="76" t="str">
        <f t="shared" ca="1" si="148"/>
        <v>—</v>
      </c>
      <c r="AE209" s="15">
        <f t="shared" ca="1" si="149"/>
        <v>7</v>
      </c>
      <c r="AF209" s="76" t="str">
        <f t="shared" ca="1" si="150"/>
        <v>—</v>
      </c>
      <c r="AG209" s="15">
        <f t="shared" ca="1" si="151"/>
        <v>7</v>
      </c>
      <c r="AH209" s="9" t="str">
        <f t="shared" ca="1" si="152"/>
        <v>—</v>
      </c>
      <c r="AI209" s="15">
        <f t="shared" ca="1" si="153"/>
        <v>7</v>
      </c>
      <c r="AJ209" s="26" t="str">
        <f t="shared" ca="1" si="154"/>
        <v>—</v>
      </c>
      <c r="AK209" s="15">
        <f t="shared" ca="1" si="155"/>
        <v>7</v>
      </c>
      <c r="AL209" s="9" t="str">
        <f t="shared" ca="1" si="156"/>
        <v>—</v>
      </c>
      <c r="AM209" s="15">
        <f t="shared" ca="1" si="157"/>
        <v>7</v>
      </c>
      <c r="AN209" s="9" t="str">
        <f t="shared" ca="1" si="158"/>
        <v>—</v>
      </c>
      <c r="AO209" s="15">
        <f t="shared" ca="1" si="159"/>
        <v>7</v>
      </c>
    </row>
    <row r="210" spans="1:41" x14ac:dyDescent="0.25">
      <c r="A210" s="4">
        <f t="shared" si="120"/>
        <v>78989</v>
      </c>
      <c r="B210" t="str">
        <f ca="1">TEXT(DATE(YEAR(Invoer!$A$5),1,1)+ROWS(B$2:B210)-1,"jjjjmmdd")</f>
        <v>19130728</v>
      </c>
      <c r="C210" s="72">
        <f t="shared" si="121"/>
        <v>800</v>
      </c>
      <c r="D210" s="16" t="str">
        <f t="shared" ca="1" si="122"/>
        <v>—</v>
      </c>
      <c r="E210" s="15">
        <f t="shared" ca="1" si="123"/>
        <v>7</v>
      </c>
      <c r="F210" s="73" t="str">
        <f t="shared" ca="1" si="124"/>
        <v>—</v>
      </c>
      <c r="G210" s="15">
        <f t="shared" ca="1" si="125"/>
        <v>7</v>
      </c>
      <c r="H210" s="73" t="str">
        <f t="shared" ca="1" si="126"/>
        <v>—</v>
      </c>
      <c r="I210" s="15">
        <f t="shared" ca="1" si="127"/>
        <v>7</v>
      </c>
      <c r="J210" s="73" t="str">
        <f t="shared" ca="1" si="128"/>
        <v>—</v>
      </c>
      <c r="K210" s="15">
        <f t="shared" ca="1" si="129"/>
        <v>7</v>
      </c>
      <c r="L210" s="16">
        <f t="shared" ca="1" si="130"/>
        <v>761.5</v>
      </c>
      <c r="M210" s="15">
        <f t="shared" ca="1" si="131"/>
        <v>0</v>
      </c>
      <c r="N210" s="16" t="str">
        <f t="shared" ca="1" si="132"/>
        <v>—</v>
      </c>
      <c r="O210" s="15">
        <f t="shared" ca="1" si="133"/>
        <v>7</v>
      </c>
      <c r="P210" s="16" t="str">
        <f t="shared" ca="1" si="134"/>
        <v>—</v>
      </c>
      <c r="Q210" s="15">
        <f t="shared" ca="1" si="135"/>
        <v>7</v>
      </c>
      <c r="R210" s="16" t="str">
        <f t="shared" ca="1" si="136"/>
        <v>—</v>
      </c>
      <c r="S210" s="15">
        <f t="shared" ca="1" si="137"/>
        <v>7</v>
      </c>
      <c r="T210" s="9" t="str">
        <f t="shared" ca="1" si="138"/>
        <v>—</v>
      </c>
      <c r="U210" s="15">
        <f t="shared" ca="1" si="139"/>
        <v>7</v>
      </c>
      <c r="V210" s="16" t="str">
        <f t="shared" ca="1" si="140"/>
        <v>—</v>
      </c>
      <c r="W210" s="15">
        <f t="shared" ca="1" si="141"/>
        <v>7</v>
      </c>
      <c r="X210" s="16" t="str">
        <f t="shared" ca="1" si="142"/>
        <v>—</v>
      </c>
      <c r="Y210" s="15">
        <f t="shared" ca="1" si="143"/>
        <v>7</v>
      </c>
      <c r="Z210" s="16" t="str">
        <f t="shared" ca="1" si="144"/>
        <v>—</v>
      </c>
      <c r="AA210" s="15">
        <f t="shared" ca="1" si="145"/>
        <v>7</v>
      </c>
      <c r="AB210" s="9">
        <f t="shared" ca="1" si="146"/>
        <v>90</v>
      </c>
      <c r="AC210" s="15">
        <f t="shared" ca="1" si="147"/>
        <v>0</v>
      </c>
      <c r="AD210" s="76" t="str">
        <f t="shared" ca="1" si="148"/>
        <v>—</v>
      </c>
      <c r="AE210" s="15">
        <f t="shared" ca="1" si="149"/>
        <v>7</v>
      </c>
      <c r="AF210" s="76" t="str">
        <f t="shared" ca="1" si="150"/>
        <v>—</v>
      </c>
      <c r="AG210" s="15">
        <f t="shared" ca="1" si="151"/>
        <v>7</v>
      </c>
      <c r="AH210" s="9" t="str">
        <f t="shared" ca="1" si="152"/>
        <v>—</v>
      </c>
      <c r="AI210" s="15">
        <f t="shared" ca="1" si="153"/>
        <v>7</v>
      </c>
      <c r="AJ210" s="26" t="str">
        <f t="shared" ca="1" si="154"/>
        <v>—</v>
      </c>
      <c r="AK210" s="15">
        <f t="shared" ca="1" si="155"/>
        <v>7</v>
      </c>
      <c r="AL210" s="9" t="str">
        <f t="shared" ca="1" si="156"/>
        <v>—</v>
      </c>
      <c r="AM210" s="15">
        <f t="shared" ca="1" si="157"/>
        <v>7</v>
      </c>
      <c r="AN210" s="9" t="str">
        <f t="shared" ca="1" si="158"/>
        <v>—</v>
      </c>
      <c r="AO210" s="15">
        <f t="shared" ca="1" si="159"/>
        <v>7</v>
      </c>
    </row>
    <row r="211" spans="1:41" x14ac:dyDescent="0.25">
      <c r="A211" s="4">
        <f t="shared" si="120"/>
        <v>78989</v>
      </c>
      <c r="B211" t="str">
        <f ca="1">TEXT(DATE(YEAR(Invoer!$A$5),1,1)+ROWS(B$2:B211)-1,"jjjjmmdd")</f>
        <v>19130729</v>
      </c>
      <c r="C211" s="72">
        <f t="shared" si="121"/>
        <v>800</v>
      </c>
      <c r="D211" s="16" t="str">
        <f t="shared" ca="1" si="122"/>
        <v>—</v>
      </c>
      <c r="E211" s="15">
        <f t="shared" ca="1" si="123"/>
        <v>7</v>
      </c>
      <c r="F211" s="73" t="str">
        <f t="shared" ca="1" si="124"/>
        <v>—</v>
      </c>
      <c r="G211" s="15">
        <f t="shared" ca="1" si="125"/>
        <v>7</v>
      </c>
      <c r="H211" s="73" t="str">
        <f t="shared" ca="1" si="126"/>
        <v>—</v>
      </c>
      <c r="I211" s="15">
        <f t="shared" ca="1" si="127"/>
        <v>7</v>
      </c>
      <c r="J211" s="73" t="str">
        <f t="shared" ca="1" si="128"/>
        <v>—</v>
      </c>
      <c r="K211" s="15">
        <f t="shared" ca="1" si="129"/>
        <v>7</v>
      </c>
      <c r="L211" s="16" t="str">
        <f t="shared" ca="1" si="130"/>
        <v>—</v>
      </c>
      <c r="M211" s="15">
        <f t="shared" ca="1" si="131"/>
        <v>7</v>
      </c>
      <c r="N211" s="16" t="str">
        <f t="shared" ca="1" si="132"/>
        <v>—</v>
      </c>
      <c r="O211" s="15">
        <f t="shared" ca="1" si="133"/>
        <v>7</v>
      </c>
      <c r="P211" s="16" t="str">
        <f t="shared" ca="1" si="134"/>
        <v>—</v>
      </c>
      <c r="Q211" s="15">
        <f t="shared" ca="1" si="135"/>
        <v>7</v>
      </c>
      <c r="R211" s="16" t="str">
        <f t="shared" ca="1" si="136"/>
        <v>—</v>
      </c>
      <c r="S211" s="15">
        <f t="shared" ca="1" si="137"/>
        <v>7</v>
      </c>
      <c r="T211" s="9" t="str">
        <f t="shared" ca="1" si="138"/>
        <v>—</v>
      </c>
      <c r="U211" s="15">
        <f t="shared" ca="1" si="139"/>
        <v>7</v>
      </c>
      <c r="V211" s="16" t="str">
        <f t="shared" ca="1" si="140"/>
        <v>—</v>
      </c>
      <c r="W211" s="15">
        <f t="shared" ca="1" si="141"/>
        <v>7</v>
      </c>
      <c r="X211" s="16" t="str">
        <f t="shared" ca="1" si="142"/>
        <v>—</v>
      </c>
      <c r="Y211" s="15">
        <f t="shared" ca="1" si="143"/>
        <v>7</v>
      </c>
      <c r="Z211" s="16" t="str">
        <f t="shared" ca="1" si="144"/>
        <v>—</v>
      </c>
      <c r="AA211" s="15">
        <f t="shared" ca="1" si="145"/>
        <v>7</v>
      </c>
      <c r="AB211" s="9" t="str">
        <f t="shared" ca="1" si="146"/>
        <v>—</v>
      </c>
      <c r="AC211" s="15">
        <f t="shared" ca="1" si="147"/>
        <v>7</v>
      </c>
      <c r="AD211" s="76" t="str">
        <f t="shared" ca="1" si="148"/>
        <v>—</v>
      </c>
      <c r="AE211" s="15">
        <f t="shared" ca="1" si="149"/>
        <v>7</v>
      </c>
      <c r="AF211" s="76" t="str">
        <f t="shared" ca="1" si="150"/>
        <v>—</v>
      </c>
      <c r="AG211" s="15">
        <f t="shared" ca="1" si="151"/>
        <v>7</v>
      </c>
      <c r="AH211" s="9" t="str">
        <f t="shared" ca="1" si="152"/>
        <v>—</v>
      </c>
      <c r="AI211" s="15">
        <f t="shared" ca="1" si="153"/>
        <v>7</v>
      </c>
      <c r="AJ211" s="26" t="str">
        <f t="shared" ca="1" si="154"/>
        <v>—</v>
      </c>
      <c r="AK211" s="15">
        <f t="shared" ca="1" si="155"/>
        <v>7</v>
      </c>
      <c r="AL211" s="9" t="str">
        <f t="shared" ca="1" si="156"/>
        <v>—</v>
      </c>
      <c r="AM211" s="15">
        <f t="shared" ca="1" si="157"/>
        <v>7</v>
      </c>
      <c r="AN211" s="9" t="str">
        <f t="shared" ca="1" si="158"/>
        <v>—</v>
      </c>
      <c r="AO211" s="15">
        <f t="shared" ca="1" si="159"/>
        <v>7</v>
      </c>
    </row>
    <row r="212" spans="1:41" x14ac:dyDescent="0.25">
      <c r="A212" s="4">
        <f t="shared" si="120"/>
        <v>78989</v>
      </c>
      <c r="B212" t="str">
        <f ca="1">TEXT(DATE(YEAR(Invoer!$A$5),1,1)+ROWS(B$2:B212)-1,"jjjjmmdd")</f>
        <v>19130730</v>
      </c>
      <c r="C212" s="72">
        <f t="shared" si="121"/>
        <v>800</v>
      </c>
      <c r="D212" s="16" t="str">
        <f t="shared" ca="1" si="122"/>
        <v>—</v>
      </c>
      <c r="E212" s="15">
        <f t="shared" ca="1" si="123"/>
        <v>7</v>
      </c>
      <c r="F212" s="73" t="str">
        <f t="shared" ca="1" si="124"/>
        <v>—</v>
      </c>
      <c r="G212" s="15">
        <f t="shared" ca="1" si="125"/>
        <v>7</v>
      </c>
      <c r="H212" s="73" t="str">
        <f t="shared" ca="1" si="126"/>
        <v>—</v>
      </c>
      <c r="I212" s="15">
        <f t="shared" ca="1" si="127"/>
        <v>7</v>
      </c>
      <c r="J212" s="73" t="str">
        <f t="shared" ca="1" si="128"/>
        <v>—</v>
      </c>
      <c r="K212" s="15">
        <f t="shared" ca="1" si="129"/>
        <v>7</v>
      </c>
      <c r="L212" s="16">
        <f t="shared" ca="1" si="130"/>
        <v>761</v>
      </c>
      <c r="M212" s="15">
        <f t="shared" ca="1" si="131"/>
        <v>0</v>
      </c>
      <c r="N212" s="16" t="str">
        <f t="shared" ca="1" si="132"/>
        <v>—</v>
      </c>
      <c r="O212" s="15">
        <f t="shared" ca="1" si="133"/>
        <v>7</v>
      </c>
      <c r="P212" s="16" t="str">
        <f t="shared" ca="1" si="134"/>
        <v>—</v>
      </c>
      <c r="Q212" s="15">
        <f t="shared" ca="1" si="135"/>
        <v>7</v>
      </c>
      <c r="R212" s="16" t="str">
        <f t="shared" ca="1" si="136"/>
        <v>—</v>
      </c>
      <c r="S212" s="15">
        <f t="shared" ca="1" si="137"/>
        <v>7</v>
      </c>
      <c r="T212" s="9" t="str">
        <f t="shared" ca="1" si="138"/>
        <v>—</v>
      </c>
      <c r="U212" s="15">
        <f t="shared" ca="1" si="139"/>
        <v>7</v>
      </c>
      <c r="V212" s="16" t="str">
        <f t="shared" ca="1" si="140"/>
        <v>—</v>
      </c>
      <c r="W212" s="15">
        <f t="shared" ca="1" si="141"/>
        <v>7</v>
      </c>
      <c r="X212" s="16" t="str">
        <f t="shared" ca="1" si="142"/>
        <v>—</v>
      </c>
      <c r="Y212" s="15">
        <f t="shared" ca="1" si="143"/>
        <v>7</v>
      </c>
      <c r="Z212" s="16" t="str">
        <f t="shared" ca="1" si="144"/>
        <v>—</v>
      </c>
      <c r="AA212" s="15">
        <f t="shared" ca="1" si="145"/>
        <v>7</v>
      </c>
      <c r="AB212" s="9">
        <f t="shared" ca="1" si="146"/>
        <v>90</v>
      </c>
      <c r="AC212" s="15">
        <f t="shared" ca="1" si="147"/>
        <v>0</v>
      </c>
      <c r="AD212" s="76" t="str">
        <f t="shared" ca="1" si="148"/>
        <v>—</v>
      </c>
      <c r="AE212" s="15">
        <f t="shared" ca="1" si="149"/>
        <v>7</v>
      </c>
      <c r="AF212" s="76" t="str">
        <f t="shared" ca="1" si="150"/>
        <v>—</v>
      </c>
      <c r="AG212" s="15">
        <f t="shared" ca="1" si="151"/>
        <v>7</v>
      </c>
      <c r="AH212" s="9" t="str">
        <f t="shared" ca="1" si="152"/>
        <v>—</v>
      </c>
      <c r="AI212" s="15">
        <f t="shared" ca="1" si="153"/>
        <v>7</v>
      </c>
      <c r="AJ212" s="26" t="str">
        <f t="shared" ca="1" si="154"/>
        <v>—</v>
      </c>
      <c r="AK212" s="15">
        <f t="shared" ca="1" si="155"/>
        <v>7</v>
      </c>
      <c r="AL212" s="9" t="str">
        <f t="shared" ca="1" si="156"/>
        <v>—</v>
      </c>
      <c r="AM212" s="15">
        <f t="shared" ca="1" si="157"/>
        <v>7</v>
      </c>
      <c r="AN212" s="9" t="str">
        <f t="shared" ca="1" si="158"/>
        <v>—</v>
      </c>
      <c r="AO212" s="15">
        <f t="shared" ca="1" si="159"/>
        <v>7</v>
      </c>
    </row>
    <row r="213" spans="1:41" x14ac:dyDescent="0.25">
      <c r="A213" s="4">
        <f t="shared" si="120"/>
        <v>78989</v>
      </c>
      <c r="B213" t="str">
        <f ca="1">TEXT(DATE(YEAR(Invoer!$A$5),1,1)+ROWS(B$2:B213)-1,"jjjjmmdd")</f>
        <v>19130731</v>
      </c>
      <c r="C213" s="72">
        <f t="shared" si="121"/>
        <v>800</v>
      </c>
      <c r="D213" s="16" t="str">
        <f t="shared" ca="1" si="122"/>
        <v>—</v>
      </c>
      <c r="E213" s="15">
        <f t="shared" ca="1" si="123"/>
        <v>7</v>
      </c>
      <c r="F213" s="73" t="str">
        <f t="shared" ca="1" si="124"/>
        <v>—</v>
      </c>
      <c r="G213" s="15">
        <f t="shared" ca="1" si="125"/>
        <v>7</v>
      </c>
      <c r="H213" s="73" t="str">
        <f t="shared" ca="1" si="126"/>
        <v>—</v>
      </c>
      <c r="I213" s="15">
        <f t="shared" ca="1" si="127"/>
        <v>7</v>
      </c>
      <c r="J213" s="73" t="str">
        <f t="shared" ca="1" si="128"/>
        <v>—</v>
      </c>
      <c r="K213" s="15">
        <f t="shared" ca="1" si="129"/>
        <v>7</v>
      </c>
      <c r="L213" s="16">
        <f t="shared" ca="1" si="130"/>
        <v>761.5</v>
      </c>
      <c r="M213" s="15">
        <f t="shared" ca="1" si="131"/>
        <v>0</v>
      </c>
      <c r="N213" s="16" t="str">
        <f t="shared" ca="1" si="132"/>
        <v>—</v>
      </c>
      <c r="O213" s="15">
        <f t="shared" ca="1" si="133"/>
        <v>7</v>
      </c>
      <c r="P213" s="16" t="str">
        <f t="shared" ca="1" si="134"/>
        <v>—</v>
      </c>
      <c r="Q213" s="15">
        <f t="shared" ca="1" si="135"/>
        <v>7</v>
      </c>
      <c r="R213" s="16" t="str">
        <f t="shared" ca="1" si="136"/>
        <v>—</v>
      </c>
      <c r="S213" s="15">
        <f t="shared" ca="1" si="137"/>
        <v>7</v>
      </c>
      <c r="T213" s="9" t="str">
        <f t="shared" ca="1" si="138"/>
        <v>—</v>
      </c>
      <c r="U213" s="15">
        <f t="shared" ca="1" si="139"/>
        <v>7</v>
      </c>
      <c r="V213" s="16" t="str">
        <f t="shared" ca="1" si="140"/>
        <v>—</v>
      </c>
      <c r="W213" s="15">
        <f t="shared" ca="1" si="141"/>
        <v>7</v>
      </c>
      <c r="X213" s="16" t="str">
        <f t="shared" ca="1" si="142"/>
        <v>—</v>
      </c>
      <c r="Y213" s="15">
        <f t="shared" ca="1" si="143"/>
        <v>7</v>
      </c>
      <c r="Z213" s="16" t="str">
        <f t="shared" ca="1" si="144"/>
        <v>—</v>
      </c>
      <c r="AA213" s="15">
        <f t="shared" ca="1" si="145"/>
        <v>7</v>
      </c>
      <c r="AB213" s="9">
        <f t="shared" ca="1" si="146"/>
        <v>90</v>
      </c>
      <c r="AC213" s="15">
        <f t="shared" ca="1" si="147"/>
        <v>0</v>
      </c>
      <c r="AD213" s="76" t="str">
        <f t="shared" ca="1" si="148"/>
        <v>—</v>
      </c>
      <c r="AE213" s="15">
        <f t="shared" ca="1" si="149"/>
        <v>7</v>
      </c>
      <c r="AF213" s="76" t="str">
        <f t="shared" ca="1" si="150"/>
        <v>—</v>
      </c>
      <c r="AG213" s="15">
        <f t="shared" ca="1" si="151"/>
        <v>7</v>
      </c>
      <c r="AH213" s="9" t="str">
        <f t="shared" ca="1" si="152"/>
        <v>—</v>
      </c>
      <c r="AI213" s="15">
        <f t="shared" ca="1" si="153"/>
        <v>7</v>
      </c>
      <c r="AJ213" s="26" t="str">
        <f t="shared" ca="1" si="154"/>
        <v>—</v>
      </c>
      <c r="AK213" s="15">
        <f t="shared" ca="1" si="155"/>
        <v>7</v>
      </c>
      <c r="AL213" s="9" t="str">
        <f t="shared" ca="1" si="156"/>
        <v>—</v>
      </c>
      <c r="AM213" s="15">
        <f t="shared" ca="1" si="157"/>
        <v>7</v>
      </c>
      <c r="AN213" s="9" t="str">
        <f t="shared" ca="1" si="158"/>
        <v>—</v>
      </c>
      <c r="AO213" s="15">
        <f t="shared" ca="1" si="159"/>
        <v>7</v>
      </c>
    </row>
    <row r="214" spans="1:41" x14ac:dyDescent="0.25">
      <c r="A214" s="4">
        <f t="shared" si="120"/>
        <v>78989</v>
      </c>
      <c r="B214" t="str">
        <f ca="1">TEXT(DATE(YEAR(Invoer!$A$5),1,1)+ROWS(B$2:B214)-1,"jjjjmmdd")</f>
        <v>19130801</v>
      </c>
      <c r="C214" s="72">
        <f t="shared" si="121"/>
        <v>800</v>
      </c>
      <c r="D214" s="16" t="str">
        <f t="shared" ca="1" si="122"/>
        <v>—</v>
      </c>
      <c r="E214" s="15">
        <f t="shared" ca="1" si="123"/>
        <v>7</v>
      </c>
      <c r="F214" s="73" t="str">
        <f t="shared" ca="1" si="124"/>
        <v>—</v>
      </c>
      <c r="G214" s="15">
        <f t="shared" ca="1" si="125"/>
        <v>7</v>
      </c>
      <c r="H214" s="73" t="str">
        <f t="shared" ca="1" si="126"/>
        <v>—</v>
      </c>
      <c r="I214" s="15">
        <f t="shared" ca="1" si="127"/>
        <v>7</v>
      </c>
      <c r="J214" s="73" t="str">
        <f t="shared" ca="1" si="128"/>
        <v>—</v>
      </c>
      <c r="K214" s="15">
        <f t="shared" ca="1" si="129"/>
        <v>7</v>
      </c>
      <c r="L214" s="16">
        <f t="shared" ca="1" si="130"/>
        <v>761.5</v>
      </c>
      <c r="M214" s="15">
        <f t="shared" ca="1" si="131"/>
        <v>0</v>
      </c>
      <c r="N214" s="16" t="str">
        <f t="shared" ca="1" si="132"/>
        <v>—</v>
      </c>
      <c r="O214" s="15">
        <f t="shared" ca="1" si="133"/>
        <v>7</v>
      </c>
      <c r="P214" s="16" t="str">
        <f t="shared" ca="1" si="134"/>
        <v>—</v>
      </c>
      <c r="Q214" s="15">
        <f t="shared" ca="1" si="135"/>
        <v>7</v>
      </c>
      <c r="R214" s="16" t="str">
        <f t="shared" ca="1" si="136"/>
        <v>—</v>
      </c>
      <c r="S214" s="15">
        <f t="shared" ca="1" si="137"/>
        <v>7</v>
      </c>
      <c r="T214" s="9" t="str">
        <f t="shared" ca="1" si="138"/>
        <v>—</v>
      </c>
      <c r="U214" s="15">
        <f t="shared" ca="1" si="139"/>
        <v>7</v>
      </c>
      <c r="V214" s="16" t="str">
        <f t="shared" ca="1" si="140"/>
        <v>—</v>
      </c>
      <c r="W214" s="15">
        <f t="shared" ca="1" si="141"/>
        <v>7</v>
      </c>
      <c r="X214" s="16" t="str">
        <f t="shared" ca="1" si="142"/>
        <v>—</v>
      </c>
      <c r="Y214" s="15">
        <f t="shared" ca="1" si="143"/>
        <v>7</v>
      </c>
      <c r="Z214" s="16" t="str">
        <f t="shared" ca="1" si="144"/>
        <v>—</v>
      </c>
      <c r="AA214" s="15">
        <f t="shared" ca="1" si="145"/>
        <v>7</v>
      </c>
      <c r="AB214" s="9">
        <f t="shared" ca="1" si="146"/>
        <v>45</v>
      </c>
      <c r="AC214" s="15">
        <f t="shared" ca="1" si="147"/>
        <v>0</v>
      </c>
      <c r="AD214" s="76" t="str">
        <f t="shared" ca="1" si="148"/>
        <v>—</v>
      </c>
      <c r="AE214" s="15">
        <f t="shared" ca="1" si="149"/>
        <v>7</v>
      </c>
      <c r="AF214" s="76" t="str">
        <f t="shared" ca="1" si="150"/>
        <v>—</v>
      </c>
      <c r="AG214" s="15">
        <f t="shared" ca="1" si="151"/>
        <v>7</v>
      </c>
      <c r="AH214" s="9" t="str">
        <f t="shared" ca="1" si="152"/>
        <v>—</v>
      </c>
      <c r="AI214" s="15">
        <f t="shared" ca="1" si="153"/>
        <v>7</v>
      </c>
      <c r="AJ214" s="26" t="str">
        <f t="shared" ca="1" si="154"/>
        <v>—</v>
      </c>
      <c r="AK214" s="15">
        <f t="shared" ca="1" si="155"/>
        <v>7</v>
      </c>
      <c r="AL214" s="9" t="str">
        <f t="shared" ca="1" si="156"/>
        <v>—</v>
      </c>
      <c r="AM214" s="15">
        <f t="shared" ca="1" si="157"/>
        <v>7</v>
      </c>
      <c r="AN214" s="9" t="str">
        <f t="shared" ca="1" si="158"/>
        <v>—</v>
      </c>
      <c r="AO214" s="15">
        <f t="shared" ca="1" si="159"/>
        <v>7</v>
      </c>
    </row>
    <row r="215" spans="1:41" x14ac:dyDescent="0.25">
      <c r="A215" s="4">
        <f t="shared" si="120"/>
        <v>78989</v>
      </c>
      <c r="B215" t="str">
        <f ca="1">TEXT(DATE(YEAR(Invoer!$A$5),1,1)+ROWS(B$2:B215)-1,"jjjjmmdd")</f>
        <v>19130802</v>
      </c>
      <c r="C215" s="72">
        <f t="shared" si="121"/>
        <v>800</v>
      </c>
      <c r="D215" s="16" t="str">
        <f t="shared" ca="1" si="122"/>
        <v>—</v>
      </c>
      <c r="E215" s="15">
        <f t="shared" ca="1" si="123"/>
        <v>7</v>
      </c>
      <c r="F215" s="73" t="str">
        <f t="shared" ca="1" si="124"/>
        <v>—</v>
      </c>
      <c r="G215" s="15">
        <f t="shared" ca="1" si="125"/>
        <v>7</v>
      </c>
      <c r="H215" s="73" t="str">
        <f t="shared" ca="1" si="126"/>
        <v>—</v>
      </c>
      <c r="I215" s="15">
        <f t="shared" ca="1" si="127"/>
        <v>7</v>
      </c>
      <c r="J215" s="73" t="str">
        <f t="shared" ca="1" si="128"/>
        <v>—</v>
      </c>
      <c r="K215" s="15">
        <f t="shared" ca="1" si="129"/>
        <v>7</v>
      </c>
      <c r="L215" s="16" t="str">
        <f t="shared" ca="1" si="130"/>
        <v>—</v>
      </c>
      <c r="M215" s="15">
        <f t="shared" ca="1" si="131"/>
        <v>7</v>
      </c>
      <c r="N215" s="16" t="str">
        <f t="shared" ca="1" si="132"/>
        <v>—</v>
      </c>
      <c r="O215" s="15">
        <f t="shared" ca="1" si="133"/>
        <v>7</v>
      </c>
      <c r="P215" s="16" t="str">
        <f t="shared" ca="1" si="134"/>
        <v>—</v>
      </c>
      <c r="Q215" s="15">
        <f t="shared" ca="1" si="135"/>
        <v>7</v>
      </c>
      <c r="R215" s="16" t="str">
        <f t="shared" ca="1" si="136"/>
        <v>—</v>
      </c>
      <c r="S215" s="15">
        <f t="shared" ca="1" si="137"/>
        <v>7</v>
      </c>
      <c r="T215" s="9" t="str">
        <f t="shared" ca="1" si="138"/>
        <v>—</v>
      </c>
      <c r="U215" s="15">
        <f t="shared" ca="1" si="139"/>
        <v>7</v>
      </c>
      <c r="V215" s="16" t="str">
        <f t="shared" ca="1" si="140"/>
        <v>—</v>
      </c>
      <c r="W215" s="15">
        <f t="shared" ca="1" si="141"/>
        <v>7</v>
      </c>
      <c r="X215" s="16" t="str">
        <f t="shared" ca="1" si="142"/>
        <v>—</v>
      </c>
      <c r="Y215" s="15">
        <f t="shared" ca="1" si="143"/>
        <v>7</v>
      </c>
      <c r="Z215" s="16" t="str">
        <f t="shared" ca="1" si="144"/>
        <v>—</v>
      </c>
      <c r="AA215" s="15">
        <f t="shared" ca="1" si="145"/>
        <v>7</v>
      </c>
      <c r="AB215" s="9" t="str">
        <f t="shared" ca="1" si="146"/>
        <v>—</v>
      </c>
      <c r="AC215" s="15">
        <f t="shared" ca="1" si="147"/>
        <v>7</v>
      </c>
      <c r="AD215" s="76" t="str">
        <f t="shared" ca="1" si="148"/>
        <v>—</v>
      </c>
      <c r="AE215" s="15">
        <f t="shared" ca="1" si="149"/>
        <v>7</v>
      </c>
      <c r="AF215" s="76" t="str">
        <f t="shared" ca="1" si="150"/>
        <v>—</v>
      </c>
      <c r="AG215" s="15">
        <f t="shared" ca="1" si="151"/>
        <v>7</v>
      </c>
      <c r="AH215" s="9" t="str">
        <f t="shared" ca="1" si="152"/>
        <v>—</v>
      </c>
      <c r="AI215" s="15">
        <f t="shared" ca="1" si="153"/>
        <v>7</v>
      </c>
      <c r="AJ215" s="26" t="str">
        <f t="shared" ca="1" si="154"/>
        <v>—</v>
      </c>
      <c r="AK215" s="15">
        <f t="shared" ca="1" si="155"/>
        <v>7</v>
      </c>
      <c r="AL215" s="9" t="str">
        <f t="shared" ca="1" si="156"/>
        <v>—</v>
      </c>
      <c r="AM215" s="15">
        <f t="shared" ca="1" si="157"/>
        <v>7</v>
      </c>
      <c r="AN215" s="9" t="str">
        <f t="shared" ca="1" si="158"/>
        <v>—</v>
      </c>
      <c r="AO215" s="15">
        <f t="shared" ca="1" si="159"/>
        <v>7</v>
      </c>
    </row>
    <row r="216" spans="1:41" x14ac:dyDescent="0.25">
      <c r="A216" s="4">
        <f t="shared" si="120"/>
        <v>78989</v>
      </c>
      <c r="B216" t="str">
        <f ca="1">TEXT(DATE(YEAR(Invoer!$A$5),1,1)+ROWS(B$2:B216)-1,"jjjjmmdd")</f>
        <v>19130803</v>
      </c>
      <c r="C216" s="72">
        <f t="shared" si="121"/>
        <v>800</v>
      </c>
      <c r="D216" s="16" t="str">
        <f t="shared" ca="1" si="122"/>
        <v>—</v>
      </c>
      <c r="E216" s="15">
        <f t="shared" ca="1" si="123"/>
        <v>7</v>
      </c>
      <c r="F216" s="73" t="str">
        <f t="shared" ca="1" si="124"/>
        <v>—</v>
      </c>
      <c r="G216" s="15">
        <f t="shared" ca="1" si="125"/>
        <v>7</v>
      </c>
      <c r="H216" s="73" t="str">
        <f t="shared" ca="1" si="126"/>
        <v>—</v>
      </c>
      <c r="I216" s="15">
        <f t="shared" ca="1" si="127"/>
        <v>7</v>
      </c>
      <c r="J216" s="73" t="str">
        <f t="shared" ca="1" si="128"/>
        <v>—</v>
      </c>
      <c r="K216" s="15">
        <f t="shared" ca="1" si="129"/>
        <v>7</v>
      </c>
      <c r="L216" s="16">
        <f t="shared" ca="1" si="130"/>
        <v>760.5</v>
      </c>
      <c r="M216" s="15">
        <f t="shared" ca="1" si="131"/>
        <v>0</v>
      </c>
      <c r="N216" s="16" t="str">
        <f t="shared" ca="1" si="132"/>
        <v>—</v>
      </c>
      <c r="O216" s="15">
        <f t="shared" ca="1" si="133"/>
        <v>7</v>
      </c>
      <c r="P216" s="16" t="str">
        <f t="shared" ca="1" si="134"/>
        <v>—</v>
      </c>
      <c r="Q216" s="15">
        <f t="shared" ca="1" si="135"/>
        <v>7</v>
      </c>
      <c r="R216" s="16" t="str">
        <f t="shared" ca="1" si="136"/>
        <v>—</v>
      </c>
      <c r="S216" s="15">
        <f t="shared" ca="1" si="137"/>
        <v>7</v>
      </c>
      <c r="T216" s="9" t="str">
        <f t="shared" ca="1" si="138"/>
        <v>—</v>
      </c>
      <c r="U216" s="15">
        <f t="shared" ca="1" si="139"/>
        <v>7</v>
      </c>
      <c r="V216" s="16" t="str">
        <f t="shared" ca="1" si="140"/>
        <v>—</v>
      </c>
      <c r="W216" s="15">
        <f t="shared" ca="1" si="141"/>
        <v>7</v>
      </c>
      <c r="X216" s="16" t="str">
        <f t="shared" ca="1" si="142"/>
        <v>—</v>
      </c>
      <c r="Y216" s="15">
        <f t="shared" ca="1" si="143"/>
        <v>7</v>
      </c>
      <c r="Z216" s="16" t="str">
        <f t="shared" ca="1" si="144"/>
        <v>—</v>
      </c>
      <c r="AA216" s="15">
        <f t="shared" ca="1" si="145"/>
        <v>7</v>
      </c>
      <c r="AB216" s="9">
        <f t="shared" ca="1" si="146"/>
        <v>135</v>
      </c>
      <c r="AC216" s="15">
        <f t="shared" ca="1" si="147"/>
        <v>0</v>
      </c>
      <c r="AD216" s="76" t="str">
        <f t="shared" ca="1" si="148"/>
        <v>—</v>
      </c>
      <c r="AE216" s="15">
        <f t="shared" ca="1" si="149"/>
        <v>7</v>
      </c>
      <c r="AF216" s="76" t="str">
        <f t="shared" ca="1" si="150"/>
        <v>—</v>
      </c>
      <c r="AG216" s="15">
        <f t="shared" ca="1" si="151"/>
        <v>7</v>
      </c>
      <c r="AH216" s="9" t="str">
        <f t="shared" ca="1" si="152"/>
        <v>—</v>
      </c>
      <c r="AI216" s="15">
        <f t="shared" ca="1" si="153"/>
        <v>7</v>
      </c>
      <c r="AJ216" s="26" t="str">
        <f t="shared" ca="1" si="154"/>
        <v>—</v>
      </c>
      <c r="AK216" s="15">
        <f t="shared" ca="1" si="155"/>
        <v>7</v>
      </c>
      <c r="AL216" s="9" t="str">
        <f t="shared" ca="1" si="156"/>
        <v>—</v>
      </c>
      <c r="AM216" s="15">
        <f t="shared" ca="1" si="157"/>
        <v>7</v>
      </c>
      <c r="AN216" s="9" t="str">
        <f t="shared" ca="1" si="158"/>
        <v>—</v>
      </c>
      <c r="AO216" s="15">
        <f t="shared" ca="1" si="159"/>
        <v>7</v>
      </c>
    </row>
    <row r="217" spans="1:41" x14ac:dyDescent="0.25">
      <c r="A217" s="4">
        <f t="shared" si="120"/>
        <v>78989</v>
      </c>
      <c r="B217" t="str">
        <f ca="1">TEXT(DATE(YEAR(Invoer!$A$5),1,1)+ROWS(B$2:B217)-1,"jjjjmmdd")</f>
        <v>19130804</v>
      </c>
      <c r="C217" s="72">
        <f t="shared" si="121"/>
        <v>800</v>
      </c>
      <c r="D217" s="16" t="str">
        <f t="shared" ca="1" si="122"/>
        <v>—</v>
      </c>
      <c r="E217" s="15">
        <f t="shared" ca="1" si="123"/>
        <v>7</v>
      </c>
      <c r="F217" s="73" t="str">
        <f t="shared" ca="1" si="124"/>
        <v>—</v>
      </c>
      <c r="G217" s="15">
        <f t="shared" ca="1" si="125"/>
        <v>7</v>
      </c>
      <c r="H217" s="73" t="str">
        <f t="shared" ca="1" si="126"/>
        <v>—</v>
      </c>
      <c r="I217" s="15">
        <f t="shared" ca="1" si="127"/>
        <v>7</v>
      </c>
      <c r="J217" s="73" t="str">
        <f t="shared" ca="1" si="128"/>
        <v>—</v>
      </c>
      <c r="K217" s="15">
        <f t="shared" ca="1" si="129"/>
        <v>7</v>
      </c>
      <c r="L217" s="16" t="str">
        <f t="shared" ca="1" si="130"/>
        <v>—</v>
      </c>
      <c r="M217" s="15">
        <f t="shared" ca="1" si="131"/>
        <v>7</v>
      </c>
      <c r="N217" s="16" t="str">
        <f t="shared" ca="1" si="132"/>
        <v>—</v>
      </c>
      <c r="O217" s="15">
        <f t="shared" ca="1" si="133"/>
        <v>7</v>
      </c>
      <c r="P217" s="16" t="str">
        <f t="shared" ca="1" si="134"/>
        <v>—</v>
      </c>
      <c r="Q217" s="15">
        <f t="shared" ca="1" si="135"/>
        <v>7</v>
      </c>
      <c r="R217" s="16" t="str">
        <f t="shared" ca="1" si="136"/>
        <v>—</v>
      </c>
      <c r="S217" s="15">
        <f t="shared" ca="1" si="137"/>
        <v>7</v>
      </c>
      <c r="T217" s="9" t="str">
        <f t="shared" ca="1" si="138"/>
        <v>—</v>
      </c>
      <c r="U217" s="15">
        <f t="shared" ca="1" si="139"/>
        <v>7</v>
      </c>
      <c r="V217" s="16" t="str">
        <f t="shared" ca="1" si="140"/>
        <v>—</v>
      </c>
      <c r="W217" s="15">
        <f t="shared" ca="1" si="141"/>
        <v>7</v>
      </c>
      <c r="X217" s="16" t="str">
        <f t="shared" ca="1" si="142"/>
        <v>—</v>
      </c>
      <c r="Y217" s="15">
        <f t="shared" ca="1" si="143"/>
        <v>7</v>
      </c>
      <c r="Z217" s="16" t="str">
        <f t="shared" ca="1" si="144"/>
        <v>—</v>
      </c>
      <c r="AA217" s="15">
        <f t="shared" ca="1" si="145"/>
        <v>7</v>
      </c>
      <c r="AB217" s="9" t="str">
        <f t="shared" ca="1" si="146"/>
        <v>—</v>
      </c>
      <c r="AC217" s="15">
        <f t="shared" ca="1" si="147"/>
        <v>7</v>
      </c>
      <c r="AD217" s="76" t="str">
        <f t="shared" ca="1" si="148"/>
        <v>—</v>
      </c>
      <c r="AE217" s="15">
        <f t="shared" ca="1" si="149"/>
        <v>7</v>
      </c>
      <c r="AF217" s="76" t="str">
        <f t="shared" ca="1" si="150"/>
        <v>—</v>
      </c>
      <c r="AG217" s="15">
        <f t="shared" ca="1" si="151"/>
        <v>7</v>
      </c>
      <c r="AH217" s="9" t="str">
        <f t="shared" ca="1" si="152"/>
        <v>—</v>
      </c>
      <c r="AI217" s="15">
        <f t="shared" ca="1" si="153"/>
        <v>7</v>
      </c>
      <c r="AJ217" s="26" t="str">
        <f t="shared" ca="1" si="154"/>
        <v>—</v>
      </c>
      <c r="AK217" s="15">
        <f t="shared" ca="1" si="155"/>
        <v>7</v>
      </c>
      <c r="AL217" s="9" t="str">
        <f t="shared" ca="1" si="156"/>
        <v>—</v>
      </c>
      <c r="AM217" s="15">
        <f t="shared" ca="1" si="157"/>
        <v>7</v>
      </c>
      <c r="AN217" s="9" t="str">
        <f t="shared" ca="1" si="158"/>
        <v>—</v>
      </c>
      <c r="AO217" s="15">
        <f t="shared" ca="1" si="159"/>
        <v>7</v>
      </c>
    </row>
    <row r="218" spans="1:41" x14ac:dyDescent="0.25">
      <c r="A218" s="4">
        <f t="shared" si="120"/>
        <v>78989</v>
      </c>
      <c r="B218" t="str">
        <f ca="1">TEXT(DATE(YEAR(Invoer!$A$5),1,1)+ROWS(B$2:B218)-1,"jjjjmmdd")</f>
        <v>19130805</v>
      </c>
      <c r="C218" s="72">
        <f t="shared" si="121"/>
        <v>800</v>
      </c>
      <c r="D218" s="16" t="str">
        <f t="shared" ca="1" si="122"/>
        <v>—</v>
      </c>
      <c r="E218" s="15">
        <f t="shared" ca="1" si="123"/>
        <v>7</v>
      </c>
      <c r="F218" s="73" t="str">
        <f t="shared" ca="1" si="124"/>
        <v>—</v>
      </c>
      <c r="G218" s="15">
        <f t="shared" ca="1" si="125"/>
        <v>7</v>
      </c>
      <c r="H218" s="73" t="str">
        <f t="shared" ca="1" si="126"/>
        <v>—</v>
      </c>
      <c r="I218" s="15">
        <f t="shared" ca="1" si="127"/>
        <v>7</v>
      </c>
      <c r="J218" s="73" t="str">
        <f t="shared" ca="1" si="128"/>
        <v>—</v>
      </c>
      <c r="K218" s="15">
        <f t="shared" ca="1" si="129"/>
        <v>7</v>
      </c>
      <c r="L218" s="16">
        <f t="shared" ca="1" si="130"/>
        <v>760.5</v>
      </c>
      <c r="M218" s="15">
        <f t="shared" ca="1" si="131"/>
        <v>0</v>
      </c>
      <c r="N218" s="16" t="str">
        <f t="shared" ca="1" si="132"/>
        <v>—</v>
      </c>
      <c r="O218" s="15">
        <f t="shared" ca="1" si="133"/>
        <v>7</v>
      </c>
      <c r="P218" s="16" t="str">
        <f t="shared" ca="1" si="134"/>
        <v>—</v>
      </c>
      <c r="Q218" s="15">
        <f t="shared" ca="1" si="135"/>
        <v>7</v>
      </c>
      <c r="R218" s="16" t="str">
        <f t="shared" ca="1" si="136"/>
        <v>—</v>
      </c>
      <c r="S218" s="15">
        <f t="shared" ca="1" si="137"/>
        <v>7</v>
      </c>
      <c r="T218" s="9" t="str">
        <f t="shared" ca="1" si="138"/>
        <v>—</v>
      </c>
      <c r="U218" s="15">
        <f t="shared" ca="1" si="139"/>
        <v>7</v>
      </c>
      <c r="V218" s="16" t="str">
        <f t="shared" ca="1" si="140"/>
        <v>—</v>
      </c>
      <c r="W218" s="15">
        <f t="shared" ca="1" si="141"/>
        <v>7</v>
      </c>
      <c r="X218" s="16" t="str">
        <f t="shared" ca="1" si="142"/>
        <v>—</v>
      </c>
      <c r="Y218" s="15">
        <f t="shared" ca="1" si="143"/>
        <v>7</v>
      </c>
      <c r="Z218" s="16" t="str">
        <f t="shared" ca="1" si="144"/>
        <v>—</v>
      </c>
      <c r="AA218" s="15">
        <f t="shared" ca="1" si="145"/>
        <v>7</v>
      </c>
      <c r="AB218" s="9">
        <f t="shared" ca="1" si="146"/>
        <v>90</v>
      </c>
      <c r="AC218" s="15">
        <f t="shared" ca="1" si="147"/>
        <v>0</v>
      </c>
      <c r="AD218" s="76" t="str">
        <f t="shared" ca="1" si="148"/>
        <v>—</v>
      </c>
      <c r="AE218" s="15">
        <f t="shared" ca="1" si="149"/>
        <v>7</v>
      </c>
      <c r="AF218" s="76" t="str">
        <f t="shared" ca="1" si="150"/>
        <v>—</v>
      </c>
      <c r="AG218" s="15">
        <f t="shared" ca="1" si="151"/>
        <v>7</v>
      </c>
      <c r="AH218" s="9" t="str">
        <f t="shared" ca="1" si="152"/>
        <v>—</v>
      </c>
      <c r="AI218" s="15">
        <f t="shared" ca="1" si="153"/>
        <v>7</v>
      </c>
      <c r="AJ218" s="26" t="str">
        <f t="shared" ca="1" si="154"/>
        <v>—</v>
      </c>
      <c r="AK218" s="15">
        <f t="shared" ca="1" si="155"/>
        <v>7</v>
      </c>
      <c r="AL218" s="9" t="str">
        <f t="shared" ca="1" si="156"/>
        <v>—</v>
      </c>
      <c r="AM218" s="15">
        <f t="shared" ca="1" si="157"/>
        <v>7</v>
      </c>
      <c r="AN218" s="9" t="str">
        <f t="shared" ca="1" si="158"/>
        <v>—</v>
      </c>
      <c r="AO218" s="15">
        <f t="shared" ca="1" si="159"/>
        <v>7</v>
      </c>
    </row>
    <row r="219" spans="1:41" x14ac:dyDescent="0.25">
      <c r="A219" s="4">
        <f t="shared" si="120"/>
        <v>78989</v>
      </c>
      <c r="B219" t="str">
        <f ca="1">TEXT(DATE(YEAR(Invoer!$A$5),1,1)+ROWS(B$2:B219)-1,"jjjjmmdd")</f>
        <v>19130806</v>
      </c>
      <c r="C219" s="72">
        <f t="shared" si="121"/>
        <v>800</v>
      </c>
      <c r="D219" s="16" t="str">
        <f t="shared" ca="1" si="122"/>
        <v>—</v>
      </c>
      <c r="E219" s="15">
        <f t="shared" ca="1" si="123"/>
        <v>7</v>
      </c>
      <c r="F219" s="73" t="str">
        <f t="shared" ca="1" si="124"/>
        <v>—</v>
      </c>
      <c r="G219" s="15">
        <f t="shared" ca="1" si="125"/>
        <v>7</v>
      </c>
      <c r="H219" s="73" t="str">
        <f t="shared" ca="1" si="126"/>
        <v>—</v>
      </c>
      <c r="I219" s="15">
        <f t="shared" ca="1" si="127"/>
        <v>7</v>
      </c>
      <c r="J219" s="73" t="str">
        <f t="shared" ca="1" si="128"/>
        <v>—</v>
      </c>
      <c r="K219" s="15">
        <f t="shared" ca="1" si="129"/>
        <v>7</v>
      </c>
      <c r="L219" s="16">
        <f t="shared" ca="1" si="130"/>
        <v>761</v>
      </c>
      <c r="M219" s="15">
        <f t="shared" ca="1" si="131"/>
        <v>0</v>
      </c>
      <c r="N219" s="16" t="str">
        <f t="shared" ca="1" si="132"/>
        <v>—</v>
      </c>
      <c r="O219" s="15">
        <f t="shared" ca="1" si="133"/>
        <v>7</v>
      </c>
      <c r="P219" s="16" t="str">
        <f t="shared" ca="1" si="134"/>
        <v>—</v>
      </c>
      <c r="Q219" s="15">
        <f t="shared" ca="1" si="135"/>
        <v>7</v>
      </c>
      <c r="R219" s="16" t="str">
        <f t="shared" ca="1" si="136"/>
        <v>—</v>
      </c>
      <c r="S219" s="15">
        <f t="shared" ca="1" si="137"/>
        <v>7</v>
      </c>
      <c r="T219" s="9" t="str">
        <f t="shared" ca="1" si="138"/>
        <v>—</v>
      </c>
      <c r="U219" s="15">
        <f t="shared" ca="1" si="139"/>
        <v>7</v>
      </c>
      <c r="V219" s="16" t="str">
        <f t="shared" ca="1" si="140"/>
        <v>—</v>
      </c>
      <c r="W219" s="15">
        <f t="shared" ca="1" si="141"/>
        <v>7</v>
      </c>
      <c r="X219" s="16" t="str">
        <f t="shared" ca="1" si="142"/>
        <v>—</v>
      </c>
      <c r="Y219" s="15">
        <f t="shared" ca="1" si="143"/>
        <v>7</v>
      </c>
      <c r="Z219" s="16" t="str">
        <f t="shared" ca="1" si="144"/>
        <v>—</v>
      </c>
      <c r="AA219" s="15">
        <f t="shared" ca="1" si="145"/>
        <v>7</v>
      </c>
      <c r="AB219" s="9">
        <f t="shared" ca="1" si="146"/>
        <v>90</v>
      </c>
      <c r="AC219" s="15">
        <f t="shared" ca="1" si="147"/>
        <v>0</v>
      </c>
      <c r="AD219" s="76" t="str">
        <f t="shared" ca="1" si="148"/>
        <v>—</v>
      </c>
      <c r="AE219" s="15">
        <f t="shared" ca="1" si="149"/>
        <v>7</v>
      </c>
      <c r="AF219" s="76" t="str">
        <f t="shared" ca="1" si="150"/>
        <v>—</v>
      </c>
      <c r="AG219" s="15">
        <f t="shared" ca="1" si="151"/>
        <v>7</v>
      </c>
      <c r="AH219" s="9" t="str">
        <f t="shared" ca="1" si="152"/>
        <v>—</v>
      </c>
      <c r="AI219" s="15">
        <f t="shared" ca="1" si="153"/>
        <v>7</v>
      </c>
      <c r="AJ219" s="26" t="str">
        <f t="shared" ca="1" si="154"/>
        <v>—</v>
      </c>
      <c r="AK219" s="15">
        <f t="shared" ca="1" si="155"/>
        <v>7</v>
      </c>
      <c r="AL219" s="9" t="str">
        <f t="shared" ca="1" si="156"/>
        <v>—</v>
      </c>
      <c r="AM219" s="15">
        <f t="shared" ca="1" si="157"/>
        <v>7</v>
      </c>
      <c r="AN219" s="9" t="str">
        <f t="shared" ca="1" si="158"/>
        <v>—</v>
      </c>
      <c r="AO219" s="15">
        <f t="shared" ca="1" si="159"/>
        <v>7</v>
      </c>
    </row>
    <row r="220" spans="1:41" x14ac:dyDescent="0.25">
      <c r="A220" s="4">
        <f t="shared" si="120"/>
        <v>78989</v>
      </c>
      <c r="B220" t="str">
        <f ca="1">TEXT(DATE(YEAR(Invoer!$A$5),1,1)+ROWS(B$2:B220)-1,"jjjjmmdd")</f>
        <v>19130807</v>
      </c>
      <c r="C220" s="72">
        <f t="shared" si="121"/>
        <v>800</v>
      </c>
      <c r="D220" s="16" t="str">
        <f t="shared" ca="1" si="122"/>
        <v>—</v>
      </c>
      <c r="E220" s="15">
        <f t="shared" ca="1" si="123"/>
        <v>7</v>
      </c>
      <c r="F220" s="73" t="str">
        <f t="shared" ca="1" si="124"/>
        <v>—</v>
      </c>
      <c r="G220" s="15">
        <f t="shared" ca="1" si="125"/>
        <v>7</v>
      </c>
      <c r="H220" s="73" t="str">
        <f t="shared" ca="1" si="126"/>
        <v>—</v>
      </c>
      <c r="I220" s="15">
        <f t="shared" ca="1" si="127"/>
        <v>7</v>
      </c>
      <c r="J220" s="73" t="str">
        <f t="shared" ca="1" si="128"/>
        <v>—</v>
      </c>
      <c r="K220" s="15">
        <f t="shared" ca="1" si="129"/>
        <v>7</v>
      </c>
      <c r="L220" s="16">
        <f t="shared" ca="1" si="130"/>
        <v>760.5</v>
      </c>
      <c r="M220" s="15">
        <f t="shared" ca="1" si="131"/>
        <v>0</v>
      </c>
      <c r="N220" s="16" t="str">
        <f t="shared" ca="1" si="132"/>
        <v>—</v>
      </c>
      <c r="O220" s="15">
        <f t="shared" ca="1" si="133"/>
        <v>7</v>
      </c>
      <c r="P220" s="16" t="str">
        <f t="shared" ca="1" si="134"/>
        <v>—</v>
      </c>
      <c r="Q220" s="15">
        <f t="shared" ca="1" si="135"/>
        <v>7</v>
      </c>
      <c r="R220" s="16" t="str">
        <f t="shared" ca="1" si="136"/>
        <v>—</v>
      </c>
      <c r="S220" s="15">
        <f t="shared" ca="1" si="137"/>
        <v>7</v>
      </c>
      <c r="T220" s="9" t="str">
        <f t="shared" ca="1" si="138"/>
        <v>—</v>
      </c>
      <c r="U220" s="15">
        <f t="shared" ca="1" si="139"/>
        <v>7</v>
      </c>
      <c r="V220" s="16" t="str">
        <f t="shared" ca="1" si="140"/>
        <v>—</v>
      </c>
      <c r="W220" s="15">
        <f t="shared" ca="1" si="141"/>
        <v>7</v>
      </c>
      <c r="X220" s="16" t="str">
        <f t="shared" ca="1" si="142"/>
        <v>—</v>
      </c>
      <c r="Y220" s="15">
        <f t="shared" ca="1" si="143"/>
        <v>7</v>
      </c>
      <c r="Z220" s="16" t="str">
        <f t="shared" ca="1" si="144"/>
        <v>—</v>
      </c>
      <c r="AA220" s="15">
        <f t="shared" ca="1" si="145"/>
        <v>7</v>
      </c>
      <c r="AB220" s="9">
        <f t="shared" ca="1" si="146"/>
        <v>135</v>
      </c>
      <c r="AC220" s="15">
        <f t="shared" ca="1" si="147"/>
        <v>0</v>
      </c>
      <c r="AD220" s="76" t="str">
        <f t="shared" ca="1" si="148"/>
        <v>—</v>
      </c>
      <c r="AE220" s="15">
        <f t="shared" ca="1" si="149"/>
        <v>7</v>
      </c>
      <c r="AF220" s="76" t="str">
        <f t="shared" ca="1" si="150"/>
        <v>—</v>
      </c>
      <c r="AG220" s="15">
        <f t="shared" ca="1" si="151"/>
        <v>7</v>
      </c>
      <c r="AH220" s="9" t="str">
        <f t="shared" ca="1" si="152"/>
        <v>—</v>
      </c>
      <c r="AI220" s="15">
        <f t="shared" ca="1" si="153"/>
        <v>7</v>
      </c>
      <c r="AJ220" s="26" t="str">
        <f t="shared" ca="1" si="154"/>
        <v>—</v>
      </c>
      <c r="AK220" s="15">
        <f t="shared" ca="1" si="155"/>
        <v>7</v>
      </c>
      <c r="AL220" s="9" t="str">
        <f t="shared" ca="1" si="156"/>
        <v>—</v>
      </c>
      <c r="AM220" s="15">
        <f t="shared" ca="1" si="157"/>
        <v>7</v>
      </c>
      <c r="AN220" s="9" t="str">
        <f t="shared" ca="1" si="158"/>
        <v>—</v>
      </c>
      <c r="AO220" s="15">
        <f t="shared" ca="1" si="159"/>
        <v>7</v>
      </c>
    </row>
    <row r="221" spans="1:41" x14ac:dyDescent="0.25">
      <c r="A221" s="4">
        <f t="shared" si="120"/>
        <v>78989</v>
      </c>
      <c r="B221" t="str">
        <f ca="1">TEXT(DATE(YEAR(Invoer!$A$5),1,1)+ROWS(B$2:B221)-1,"jjjjmmdd")</f>
        <v>19130808</v>
      </c>
      <c r="C221" s="72">
        <f t="shared" si="121"/>
        <v>800</v>
      </c>
      <c r="D221" s="16" t="str">
        <f t="shared" ca="1" si="122"/>
        <v>—</v>
      </c>
      <c r="E221" s="15">
        <f t="shared" ca="1" si="123"/>
        <v>7</v>
      </c>
      <c r="F221" s="73" t="str">
        <f t="shared" ca="1" si="124"/>
        <v>—</v>
      </c>
      <c r="G221" s="15">
        <f t="shared" ca="1" si="125"/>
        <v>7</v>
      </c>
      <c r="H221" s="73" t="str">
        <f t="shared" ca="1" si="126"/>
        <v>—</v>
      </c>
      <c r="I221" s="15">
        <f t="shared" ca="1" si="127"/>
        <v>7</v>
      </c>
      <c r="J221" s="73" t="str">
        <f t="shared" ca="1" si="128"/>
        <v>—</v>
      </c>
      <c r="K221" s="15">
        <f t="shared" ca="1" si="129"/>
        <v>7</v>
      </c>
      <c r="L221" s="16" t="str">
        <f t="shared" ca="1" si="130"/>
        <v>—</v>
      </c>
      <c r="M221" s="15">
        <f t="shared" ca="1" si="131"/>
        <v>7</v>
      </c>
      <c r="N221" s="16" t="str">
        <f t="shared" ca="1" si="132"/>
        <v>—</v>
      </c>
      <c r="O221" s="15">
        <f t="shared" ca="1" si="133"/>
        <v>7</v>
      </c>
      <c r="P221" s="16" t="str">
        <f t="shared" ca="1" si="134"/>
        <v>—</v>
      </c>
      <c r="Q221" s="15">
        <f t="shared" ca="1" si="135"/>
        <v>7</v>
      </c>
      <c r="R221" s="16" t="str">
        <f t="shared" ca="1" si="136"/>
        <v>—</v>
      </c>
      <c r="S221" s="15">
        <f t="shared" ca="1" si="137"/>
        <v>7</v>
      </c>
      <c r="T221" s="9" t="str">
        <f t="shared" ca="1" si="138"/>
        <v>—</v>
      </c>
      <c r="U221" s="15">
        <f t="shared" ca="1" si="139"/>
        <v>7</v>
      </c>
      <c r="V221" s="16" t="str">
        <f t="shared" ca="1" si="140"/>
        <v>—</v>
      </c>
      <c r="W221" s="15">
        <f t="shared" ca="1" si="141"/>
        <v>7</v>
      </c>
      <c r="X221" s="16" t="str">
        <f t="shared" ca="1" si="142"/>
        <v>—</v>
      </c>
      <c r="Y221" s="15">
        <f t="shared" ca="1" si="143"/>
        <v>7</v>
      </c>
      <c r="Z221" s="16" t="str">
        <f t="shared" ca="1" si="144"/>
        <v>—</v>
      </c>
      <c r="AA221" s="15">
        <f t="shared" ca="1" si="145"/>
        <v>7</v>
      </c>
      <c r="AB221" s="9" t="str">
        <f t="shared" ca="1" si="146"/>
        <v>—</v>
      </c>
      <c r="AC221" s="15">
        <f t="shared" ca="1" si="147"/>
        <v>7</v>
      </c>
      <c r="AD221" s="76" t="str">
        <f t="shared" ca="1" si="148"/>
        <v>—</v>
      </c>
      <c r="AE221" s="15">
        <f t="shared" ca="1" si="149"/>
        <v>7</v>
      </c>
      <c r="AF221" s="76" t="str">
        <f t="shared" ca="1" si="150"/>
        <v>—</v>
      </c>
      <c r="AG221" s="15">
        <f t="shared" ca="1" si="151"/>
        <v>7</v>
      </c>
      <c r="AH221" s="9" t="str">
        <f t="shared" ca="1" si="152"/>
        <v>—</v>
      </c>
      <c r="AI221" s="15">
        <f t="shared" ca="1" si="153"/>
        <v>7</v>
      </c>
      <c r="AJ221" s="26" t="str">
        <f t="shared" ca="1" si="154"/>
        <v>—</v>
      </c>
      <c r="AK221" s="15">
        <f t="shared" ca="1" si="155"/>
        <v>7</v>
      </c>
      <c r="AL221" s="9" t="str">
        <f t="shared" ca="1" si="156"/>
        <v>—</v>
      </c>
      <c r="AM221" s="15">
        <f t="shared" ca="1" si="157"/>
        <v>7</v>
      </c>
      <c r="AN221" s="9" t="str">
        <f t="shared" ca="1" si="158"/>
        <v>—</v>
      </c>
      <c r="AO221" s="15">
        <f t="shared" ca="1" si="159"/>
        <v>7</v>
      </c>
    </row>
    <row r="222" spans="1:41" x14ac:dyDescent="0.25">
      <c r="A222" s="4">
        <f t="shared" si="120"/>
        <v>78989</v>
      </c>
      <c r="B222" t="str">
        <f ca="1">TEXT(DATE(YEAR(Invoer!$A$5),1,1)+ROWS(B$2:B222)-1,"jjjjmmdd")</f>
        <v>19130809</v>
      </c>
      <c r="C222" s="72">
        <f t="shared" si="121"/>
        <v>800</v>
      </c>
      <c r="D222" s="16" t="str">
        <f t="shared" ca="1" si="122"/>
        <v>—</v>
      </c>
      <c r="E222" s="15">
        <f t="shared" ca="1" si="123"/>
        <v>7</v>
      </c>
      <c r="F222" s="73" t="str">
        <f t="shared" ca="1" si="124"/>
        <v>—</v>
      </c>
      <c r="G222" s="15">
        <f t="shared" ca="1" si="125"/>
        <v>7</v>
      </c>
      <c r="H222" s="73" t="str">
        <f t="shared" ca="1" si="126"/>
        <v>—</v>
      </c>
      <c r="I222" s="15">
        <f t="shared" ca="1" si="127"/>
        <v>7</v>
      </c>
      <c r="J222" s="73" t="str">
        <f t="shared" ca="1" si="128"/>
        <v>—</v>
      </c>
      <c r="K222" s="15">
        <f t="shared" ca="1" si="129"/>
        <v>7</v>
      </c>
      <c r="L222" s="16">
        <f t="shared" ca="1" si="130"/>
        <v>759.5</v>
      </c>
      <c r="M222" s="15">
        <f t="shared" ca="1" si="131"/>
        <v>0</v>
      </c>
      <c r="N222" s="16" t="str">
        <f t="shared" ca="1" si="132"/>
        <v>—</v>
      </c>
      <c r="O222" s="15">
        <f t="shared" ca="1" si="133"/>
        <v>7</v>
      </c>
      <c r="P222" s="16" t="str">
        <f t="shared" ca="1" si="134"/>
        <v>—</v>
      </c>
      <c r="Q222" s="15">
        <f t="shared" ca="1" si="135"/>
        <v>7</v>
      </c>
      <c r="R222" s="16" t="str">
        <f t="shared" ca="1" si="136"/>
        <v>—</v>
      </c>
      <c r="S222" s="15">
        <f t="shared" ca="1" si="137"/>
        <v>7</v>
      </c>
      <c r="T222" s="9" t="str">
        <f t="shared" ca="1" si="138"/>
        <v>—</v>
      </c>
      <c r="U222" s="15">
        <f t="shared" ca="1" si="139"/>
        <v>7</v>
      </c>
      <c r="V222" s="16" t="str">
        <f t="shared" ca="1" si="140"/>
        <v>—</v>
      </c>
      <c r="W222" s="15">
        <f t="shared" ca="1" si="141"/>
        <v>7</v>
      </c>
      <c r="X222" s="16" t="str">
        <f t="shared" ca="1" si="142"/>
        <v>—</v>
      </c>
      <c r="Y222" s="15">
        <f t="shared" ca="1" si="143"/>
        <v>7</v>
      </c>
      <c r="Z222" s="16" t="str">
        <f t="shared" ca="1" si="144"/>
        <v>—</v>
      </c>
      <c r="AA222" s="15">
        <f t="shared" ca="1" si="145"/>
        <v>7</v>
      </c>
      <c r="AB222" s="9">
        <f t="shared" ca="1" si="146"/>
        <v>90</v>
      </c>
      <c r="AC222" s="15">
        <f t="shared" ca="1" si="147"/>
        <v>0</v>
      </c>
      <c r="AD222" s="76" t="str">
        <f t="shared" ca="1" si="148"/>
        <v>—</v>
      </c>
      <c r="AE222" s="15">
        <f t="shared" ca="1" si="149"/>
        <v>7</v>
      </c>
      <c r="AF222" s="76" t="str">
        <f t="shared" ca="1" si="150"/>
        <v>—</v>
      </c>
      <c r="AG222" s="15">
        <f t="shared" ca="1" si="151"/>
        <v>7</v>
      </c>
      <c r="AH222" s="9" t="str">
        <f t="shared" ca="1" si="152"/>
        <v>—</v>
      </c>
      <c r="AI222" s="15">
        <f t="shared" ca="1" si="153"/>
        <v>7</v>
      </c>
      <c r="AJ222" s="26" t="str">
        <f t="shared" ca="1" si="154"/>
        <v>—</v>
      </c>
      <c r="AK222" s="15">
        <f t="shared" ca="1" si="155"/>
        <v>7</v>
      </c>
      <c r="AL222" s="9" t="str">
        <f t="shared" ca="1" si="156"/>
        <v>—</v>
      </c>
      <c r="AM222" s="15">
        <f t="shared" ca="1" si="157"/>
        <v>7</v>
      </c>
      <c r="AN222" s="9" t="str">
        <f t="shared" ca="1" si="158"/>
        <v>—</v>
      </c>
      <c r="AO222" s="15">
        <f t="shared" ca="1" si="159"/>
        <v>7</v>
      </c>
    </row>
    <row r="223" spans="1:41" x14ac:dyDescent="0.25">
      <c r="A223" s="4">
        <f t="shared" si="120"/>
        <v>78989</v>
      </c>
      <c r="B223" t="str">
        <f ca="1">TEXT(DATE(YEAR(Invoer!$A$5),1,1)+ROWS(B$2:B223)-1,"jjjjmmdd")</f>
        <v>19130810</v>
      </c>
      <c r="C223" s="72">
        <f t="shared" si="121"/>
        <v>800</v>
      </c>
      <c r="D223" s="16" t="str">
        <f t="shared" ca="1" si="122"/>
        <v>—</v>
      </c>
      <c r="E223" s="15">
        <f t="shared" ca="1" si="123"/>
        <v>7</v>
      </c>
      <c r="F223" s="73" t="str">
        <f t="shared" ca="1" si="124"/>
        <v>—</v>
      </c>
      <c r="G223" s="15">
        <f t="shared" ca="1" si="125"/>
        <v>7</v>
      </c>
      <c r="H223" s="73" t="str">
        <f t="shared" ca="1" si="126"/>
        <v>—</v>
      </c>
      <c r="I223" s="15">
        <f t="shared" ca="1" si="127"/>
        <v>7</v>
      </c>
      <c r="J223" s="73" t="str">
        <f t="shared" ca="1" si="128"/>
        <v>—</v>
      </c>
      <c r="K223" s="15">
        <f t="shared" ca="1" si="129"/>
        <v>7</v>
      </c>
      <c r="L223" s="16">
        <f t="shared" ca="1" si="130"/>
        <v>760.5</v>
      </c>
      <c r="M223" s="15">
        <f t="shared" ca="1" si="131"/>
        <v>0</v>
      </c>
      <c r="N223" s="16" t="str">
        <f t="shared" ca="1" si="132"/>
        <v>—</v>
      </c>
      <c r="O223" s="15">
        <f t="shared" ca="1" si="133"/>
        <v>7</v>
      </c>
      <c r="P223" s="16" t="str">
        <f t="shared" ca="1" si="134"/>
        <v>—</v>
      </c>
      <c r="Q223" s="15">
        <f t="shared" ca="1" si="135"/>
        <v>7</v>
      </c>
      <c r="R223" s="16" t="str">
        <f t="shared" ca="1" si="136"/>
        <v>—</v>
      </c>
      <c r="S223" s="15">
        <f t="shared" ca="1" si="137"/>
        <v>7</v>
      </c>
      <c r="T223" s="9" t="str">
        <f t="shared" ca="1" si="138"/>
        <v>—</v>
      </c>
      <c r="U223" s="15">
        <f t="shared" ca="1" si="139"/>
        <v>7</v>
      </c>
      <c r="V223" s="16" t="str">
        <f t="shared" ca="1" si="140"/>
        <v>—</v>
      </c>
      <c r="W223" s="15">
        <f t="shared" ca="1" si="141"/>
        <v>7</v>
      </c>
      <c r="X223" s="16" t="str">
        <f t="shared" ca="1" si="142"/>
        <v>—</v>
      </c>
      <c r="Y223" s="15">
        <f t="shared" ca="1" si="143"/>
        <v>7</v>
      </c>
      <c r="Z223" s="16" t="str">
        <f t="shared" ca="1" si="144"/>
        <v>—</v>
      </c>
      <c r="AA223" s="15">
        <f t="shared" ca="1" si="145"/>
        <v>7</v>
      </c>
      <c r="AB223" s="9">
        <f t="shared" ca="1" si="146"/>
        <v>90</v>
      </c>
      <c r="AC223" s="15">
        <f t="shared" ca="1" si="147"/>
        <v>0</v>
      </c>
      <c r="AD223" s="76" t="str">
        <f t="shared" ca="1" si="148"/>
        <v>—</v>
      </c>
      <c r="AE223" s="15">
        <f t="shared" ca="1" si="149"/>
        <v>7</v>
      </c>
      <c r="AF223" s="76" t="str">
        <f t="shared" ca="1" si="150"/>
        <v>—</v>
      </c>
      <c r="AG223" s="15">
        <f t="shared" ca="1" si="151"/>
        <v>7</v>
      </c>
      <c r="AH223" s="9" t="str">
        <f t="shared" ca="1" si="152"/>
        <v>—</v>
      </c>
      <c r="AI223" s="15">
        <f t="shared" ca="1" si="153"/>
        <v>7</v>
      </c>
      <c r="AJ223" s="26" t="str">
        <f t="shared" ca="1" si="154"/>
        <v>—</v>
      </c>
      <c r="AK223" s="15">
        <f t="shared" ca="1" si="155"/>
        <v>7</v>
      </c>
      <c r="AL223" s="9" t="str">
        <f t="shared" ca="1" si="156"/>
        <v>—</v>
      </c>
      <c r="AM223" s="15">
        <f t="shared" ca="1" si="157"/>
        <v>7</v>
      </c>
      <c r="AN223" s="9" t="str">
        <f t="shared" ca="1" si="158"/>
        <v>—</v>
      </c>
      <c r="AO223" s="15">
        <f t="shared" ca="1" si="159"/>
        <v>7</v>
      </c>
    </row>
    <row r="224" spans="1:41" x14ac:dyDescent="0.25">
      <c r="A224" s="4">
        <f t="shared" si="120"/>
        <v>78989</v>
      </c>
      <c r="B224" t="str">
        <f ca="1">TEXT(DATE(YEAR(Invoer!$A$5),1,1)+ROWS(B$2:B224)-1,"jjjjmmdd")</f>
        <v>19130811</v>
      </c>
      <c r="C224" s="72">
        <f t="shared" si="121"/>
        <v>800</v>
      </c>
      <c r="D224" s="16" t="str">
        <f t="shared" ca="1" si="122"/>
        <v>—</v>
      </c>
      <c r="E224" s="15">
        <f t="shared" ca="1" si="123"/>
        <v>7</v>
      </c>
      <c r="F224" s="73" t="str">
        <f t="shared" ca="1" si="124"/>
        <v>—</v>
      </c>
      <c r="G224" s="15">
        <f t="shared" ca="1" si="125"/>
        <v>7</v>
      </c>
      <c r="H224" s="73" t="str">
        <f t="shared" ca="1" si="126"/>
        <v>—</v>
      </c>
      <c r="I224" s="15">
        <f t="shared" ca="1" si="127"/>
        <v>7</v>
      </c>
      <c r="J224" s="73" t="str">
        <f t="shared" ca="1" si="128"/>
        <v>—</v>
      </c>
      <c r="K224" s="15">
        <f t="shared" ca="1" si="129"/>
        <v>7</v>
      </c>
      <c r="L224" s="16">
        <f t="shared" ca="1" si="130"/>
        <v>761</v>
      </c>
      <c r="M224" s="15">
        <f t="shared" ca="1" si="131"/>
        <v>0</v>
      </c>
      <c r="N224" s="16" t="str">
        <f t="shared" ca="1" si="132"/>
        <v>—</v>
      </c>
      <c r="O224" s="15">
        <f t="shared" ca="1" si="133"/>
        <v>7</v>
      </c>
      <c r="P224" s="16" t="str">
        <f t="shared" ca="1" si="134"/>
        <v>—</v>
      </c>
      <c r="Q224" s="15">
        <f t="shared" ca="1" si="135"/>
        <v>7</v>
      </c>
      <c r="R224" s="16" t="str">
        <f t="shared" ca="1" si="136"/>
        <v>—</v>
      </c>
      <c r="S224" s="15">
        <f t="shared" ca="1" si="137"/>
        <v>7</v>
      </c>
      <c r="T224" s="9" t="str">
        <f t="shared" ca="1" si="138"/>
        <v>—</v>
      </c>
      <c r="U224" s="15">
        <f t="shared" ca="1" si="139"/>
        <v>7</v>
      </c>
      <c r="V224" s="16" t="str">
        <f t="shared" ca="1" si="140"/>
        <v>—</v>
      </c>
      <c r="W224" s="15">
        <f t="shared" ca="1" si="141"/>
        <v>7</v>
      </c>
      <c r="X224" s="16" t="str">
        <f t="shared" ca="1" si="142"/>
        <v>—</v>
      </c>
      <c r="Y224" s="15">
        <f t="shared" ca="1" si="143"/>
        <v>7</v>
      </c>
      <c r="Z224" s="16" t="str">
        <f t="shared" ca="1" si="144"/>
        <v>—</v>
      </c>
      <c r="AA224" s="15">
        <f t="shared" ca="1" si="145"/>
        <v>7</v>
      </c>
      <c r="AB224" s="9">
        <f t="shared" ca="1" si="146"/>
        <v>90</v>
      </c>
      <c r="AC224" s="15">
        <f t="shared" ca="1" si="147"/>
        <v>0</v>
      </c>
      <c r="AD224" s="76" t="str">
        <f t="shared" ca="1" si="148"/>
        <v>—</v>
      </c>
      <c r="AE224" s="15">
        <f t="shared" ca="1" si="149"/>
        <v>7</v>
      </c>
      <c r="AF224" s="76" t="str">
        <f t="shared" ca="1" si="150"/>
        <v>—</v>
      </c>
      <c r="AG224" s="15">
        <f t="shared" ca="1" si="151"/>
        <v>7</v>
      </c>
      <c r="AH224" s="9" t="str">
        <f t="shared" ca="1" si="152"/>
        <v>—</v>
      </c>
      <c r="AI224" s="15">
        <f t="shared" ca="1" si="153"/>
        <v>7</v>
      </c>
      <c r="AJ224" s="26" t="str">
        <f t="shared" ca="1" si="154"/>
        <v>—</v>
      </c>
      <c r="AK224" s="15">
        <f t="shared" ca="1" si="155"/>
        <v>7</v>
      </c>
      <c r="AL224" s="9" t="str">
        <f t="shared" ca="1" si="156"/>
        <v>—</v>
      </c>
      <c r="AM224" s="15">
        <f t="shared" ca="1" si="157"/>
        <v>7</v>
      </c>
      <c r="AN224" s="9" t="str">
        <f t="shared" ca="1" si="158"/>
        <v>—</v>
      </c>
      <c r="AO224" s="15">
        <f t="shared" ca="1" si="159"/>
        <v>7</v>
      </c>
    </row>
    <row r="225" spans="1:41" x14ac:dyDescent="0.25">
      <c r="A225" s="4">
        <f t="shared" si="120"/>
        <v>78989</v>
      </c>
      <c r="B225" t="str">
        <f ca="1">TEXT(DATE(YEAR(Invoer!$A$5),1,1)+ROWS(B$2:B225)-1,"jjjjmmdd")</f>
        <v>19130812</v>
      </c>
      <c r="C225" s="72">
        <f t="shared" si="121"/>
        <v>800</v>
      </c>
      <c r="D225" s="16" t="str">
        <f t="shared" ca="1" si="122"/>
        <v>—</v>
      </c>
      <c r="E225" s="15">
        <f t="shared" ca="1" si="123"/>
        <v>7</v>
      </c>
      <c r="F225" s="73" t="str">
        <f t="shared" ca="1" si="124"/>
        <v>—</v>
      </c>
      <c r="G225" s="15">
        <f t="shared" ca="1" si="125"/>
        <v>7</v>
      </c>
      <c r="H225" s="73" t="str">
        <f t="shared" ca="1" si="126"/>
        <v>—</v>
      </c>
      <c r="I225" s="15">
        <f t="shared" ca="1" si="127"/>
        <v>7</v>
      </c>
      <c r="J225" s="73" t="str">
        <f t="shared" ca="1" si="128"/>
        <v>—</v>
      </c>
      <c r="K225" s="15">
        <f t="shared" ca="1" si="129"/>
        <v>7</v>
      </c>
      <c r="L225" s="16">
        <f t="shared" ca="1" si="130"/>
        <v>761.5</v>
      </c>
      <c r="M225" s="15">
        <f t="shared" ca="1" si="131"/>
        <v>0</v>
      </c>
      <c r="N225" s="16" t="str">
        <f t="shared" ca="1" si="132"/>
        <v>—</v>
      </c>
      <c r="O225" s="15">
        <f t="shared" ca="1" si="133"/>
        <v>7</v>
      </c>
      <c r="P225" s="16" t="str">
        <f t="shared" ca="1" si="134"/>
        <v>—</v>
      </c>
      <c r="Q225" s="15">
        <f t="shared" ca="1" si="135"/>
        <v>7</v>
      </c>
      <c r="R225" s="16" t="str">
        <f t="shared" ca="1" si="136"/>
        <v>—</v>
      </c>
      <c r="S225" s="15">
        <f t="shared" ca="1" si="137"/>
        <v>7</v>
      </c>
      <c r="T225" s="9" t="str">
        <f t="shared" ca="1" si="138"/>
        <v>—</v>
      </c>
      <c r="U225" s="15">
        <f t="shared" ca="1" si="139"/>
        <v>7</v>
      </c>
      <c r="V225" s="16" t="str">
        <f t="shared" ca="1" si="140"/>
        <v>—</v>
      </c>
      <c r="W225" s="15">
        <f t="shared" ca="1" si="141"/>
        <v>7</v>
      </c>
      <c r="X225" s="16" t="str">
        <f t="shared" ca="1" si="142"/>
        <v>—</v>
      </c>
      <c r="Y225" s="15">
        <f t="shared" ca="1" si="143"/>
        <v>7</v>
      </c>
      <c r="Z225" s="16" t="str">
        <f t="shared" ca="1" si="144"/>
        <v>—</v>
      </c>
      <c r="AA225" s="15">
        <f t="shared" ca="1" si="145"/>
        <v>7</v>
      </c>
      <c r="AB225" s="9">
        <f t="shared" ca="1" si="146"/>
        <v>90</v>
      </c>
      <c r="AC225" s="15">
        <f t="shared" ca="1" si="147"/>
        <v>0</v>
      </c>
      <c r="AD225" s="76" t="str">
        <f t="shared" ca="1" si="148"/>
        <v>—</v>
      </c>
      <c r="AE225" s="15">
        <f t="shared" ca="1" si="149"/>
        <v>7</v>
      </c>
      <c r="AF225" s="76" t="str">
        <f t="shared" ca="1" si="150"/>
        <v>—</v>
      </c>
      <c r="AG225" s="15">
        <f t="shared" ca="1" si="151"/>
        <v>7</v>
      </c>
      <c r="AH225" s="9" t="str">
        <f t="shared" ca="1" si="152"/>
        <v>—</v>
      </c>
      <c r="AI225" s="15">
        <f t="shared" ca="1" si="153"/>
        <v>7</v>
      </c>
      <c r="AJ225" s="26" t="str">
        <f t="shared" ca="1" si="154"/>
        <v>—</v>
      </c>
      <c r="AK225" s="15">
        <f t="shared" ca="1" si="155"/>
        <v>7</v>
      </c>
      <c r="AL225" s="9" t="str">
        <f t="shared" ca="1" si="156"/>
        <v>—</v>
      </c>
      <c r="AM225" s="15">
        <f t="shared" ca="1" si="157"/>
        <v>7</v>
      </c>
      <c r="AN225" s="9" t="str">
        <f t="shared" ca="1" si="158"/>
        <v>—</v>
      </c>
      <c r="AO225" s="15">
        <f t="shared" ca="1" si="159"/>
        <v>7</v>
      </c>
    </row>
    <row r="226" spans="1:41" x14ac:dyDescent="0.25">
      <c r="A226" s="4">
        <f t="shared" si="120"/>
        <v>78989</v>
      </c>
      <c r="B226" t="str">
        <f ca="1">TEXT(DATE(YEAR(Invoer!$A$5),1,1)+ROWS(B$2:B226)-1,"jjjjmmdd")</f>
        <v>19130813</v>
      </c>
      <c r="C226" s="72">
        <f t="shared" si="121"/>
        <v>800</v>
      </c>
      <c r="D226" s="16" t="str">
        <f t="shared" ca="1" si="122"/>
        <v>—</v>
      </c>
      <c r="E226" s="15">
        <f t="shared" ca="1" si="123"/>
        <v>7</v>
      </c>
      <c r="F226" s="73" t="str">
        <f t="shared" ca="1" si="124"/>
        <v>—</v>
      </c>
      <c r="G226" s="15">
        <f t="shared" ca="1" si="125"/>
        <v>7</v>
      </c>
      <c r="H226" s="73" t="str">
        <f t="shared" ca="1" si="126"/>
        <v>—</v>
      </c>
      <c r="I226" s="15">
        <f t="shared" ca="1" si="127"/>
        <v>7</v>
      </c>
      <c r="J226" s="73" t="str">
        <f t="shared" ca="1" si="128"/>
        <v>—</v>
      </c>
      <c r="K226" s="15">
        <f t="shared" ca="1" si="129"/>
        <v>7</v>
      </c>
      <c r="L226" s="16">
        <f t="shared" ca="1" si="130"/>
        <v>762</v>
      </c>
      <c r="M226" s="15">
        <f t="shared" ca="1" si="131"/>
        <v>0</v>
      </c>
      <c r="N226" s="16" t="str">
        <f t="shared" ca="1" si="132"/>
        <v>—</v>
      </c>
      <c r="O226" s="15">
        <f t="shared" ca="1" si="133"/>
        <v>7</v>
      </c>
      <c r="P226" s="16" t="str">
        <f t="shared" ca="1" si="134"/>
        <v>—</v>
      </c>
      <c r="Q226" s="15">
        <f t="shared" ca="1" si="135"/>
        <v>7</v>
      </c>
      <c r="R226" s="16" t="str">
        <f t="shared" ca="1" si="136"/>
        <v>—</v>
      </c>
      <c r="S226" s="15">
        <f t="shared" ca="1" si="137"/>
        <v>7</v>
      </c>
      <c r="T226" s="9" t="str">
        <f t="shared" ca="1" si="138"/>
        <v>—</v>
      </c>
      <c r="U226" s="15">
        <f t="shared" ca="1" si="139"/>
        <v>7</v>
      </c>
      <c r="V226" s="16" t="str">
        <f t="shared" ca="1" si="140"/>
        <v>—</v>
      </c>
      <c r="W226" s="15">
        <f t="shared" ca="1" si="141"/>
        <v>7</v>
      </c>
      <c r="X226" s="16" t="str">
        <f t="shared" ca="1" si="142"/>
        <v>—</v>
      </c>
      <c r="Y226" s="15">
        <f t="shared" ca="1" si="143"/>
        <v>7</v>
      </c>
      <c r="Z226" s="16" t="str">
        <f t="shared" ca="1" si="144"/>
        <v>—</v>
      </c>
      <c r="AA226" s="15">
        <f t="shared" ca="1" si="145"/>
        <v>7</v>
      </c>
      <c r="AB226" s="9">
        <f t="shared" ca="1" si="146"/>
        <v>135</v>
      </c>
      <c r="AC226" s="15">
        <f t="shared" ca="1" si="147"/>
        <v>0</v>
      </c>
      <c r="AD226" s="76" t="str">
        <f t="shared" ca="1" si="148"/>
        <v>—</v>
      </c>
      <c r="AE226" s="15">
        <f t="shared" ca="1" si="149"/>
        <v>7</v>
      </c>
      <c r="AF226" s="76" t="str">
        <f t="shared" ca="1" si="150"/>
        <v>—</v>
      </c>
      <c r="AG226" s="15">
        <f t="shared" ca="1" si="151"/>
        <v>7</v>
      </c>
      <c r="AH226" s="9" t="str">
        <f t="shared" ca="1" si="152"/>
        <v>—</v>
      </c>
      <c r="AI226" s="15">
        <f t="shared" ca="1" si="153"/>
        <v>7</v>
      </c>
      <c r="AJ226" s="26" t="str">
        <f t="shared" ca="1" si="154"/>
        <v>—</v>
      </c>
      <c r="AK226" s="15">
        <f t="shared" ca="1" si="155"/>
        <v>7</v>
      </c>
      <c r="AL226" s="9" t="str">
        <f t="shared" ca="1" si="156"/>
        <v>—</v>
      </c>
      <c r="AM226" s="15">
        <f t="shared" ca="1" si="157"/>
        <v>7</v>
      </c>
      <c r="AN226" s="9" t="str">
        <f t="shared" ca="1" si="158"/>
        <v>—</v>
      </c>
      <c r="AO226" s="15">
        <f t="shared" ca="1" si="159"/>
        <v>7</v>
      </c>
    </row>
    <row r="227" spans="1:41" x14ac:dyDescent="0.25">
      <c r="A227" s="4">
        <f t="shared" si="120"/>
        <v>78989</v>
      </c>
      <c r="B227" t="str">
        <f ca="1">TEXT(DATE(YEAR(Invoer!$A$5),1,1)+ROWS(B$2:B227)-1,"jjjjmmdd")</f>
        <v>19130814</v>
      </c>
      <c r="C227" s="72">
        <f t="shared" si="121"/>
        <v>800</v>
      </c>
      <c r="D227" s="16" t="str">
        <f t="shared" ca="1" si="122"/>
        <v>—</v>
      </c>
      <c r="E227" s="15">
        <f t="shared" ca="1" si="123"/>
        <v>7</v>
      </c>
      <c r="F227" s="73" t="str">
        <f t="shared" ca="1" si="124"/>
        <v>—</v>
      </c>
      <c r="G227" s="15">
        <f t="shared" ca="1" si="125"/>
        <v>7</v>
      </c>
      <c r="H227" s="73" t="str">
        <f t="shared" ca="1" si="126"/>
        <v>—</v>
      </c>
      <c r="I227" s="15">
        <f t="shared" ca="1" si="127"/>
        <v>7</v>
      </c>
      <c r="J227" s="73" t="str">
        <f t="shared" ca="1" si="128"/>
        <v>—</v>
      </c>
      <c r="K227" s="15">
        <f t="shared" ca="1" si="129"/>
        <v>7</v>
      </c>
      <c r="L227" s="16">
        <f t="shared" ca="1" si="130"/>
        <v>761.5</v>
      </c>
      <c r="M227" s="15">
        <f t="shared" ca="1" si="131"/>
        <v>0</v>
      </c>
      <c r="N227" s="16" t="str">
        <f t="shared" ca="1" si="132"/>
        <v>—</v>
      </c>
      <c r="O227" s="15">
        <f t="shared" ca="1" si="133"/>
        <v>7</v>
      </c>
      <c r="P227" s="16" t="str">
        <f t="shared" ca="1" si="134"/>
        <v>—</v>
      </c>
      <c r="Q227" s="15">
        <f t="shared" ca="1" si="135"/>
        <v>7</v>
      </c>
      <c r="R227" s="16" t="str">
        <f t="shared" ca="1" si="136"/>
        <v>—</v>
      </c>
      <c r="S227" s="15">
        <f t="shared" ca="1" si="137"/>
        <v>7</v>
      </c>
      <c r="T227" s="9" t="str">
        <f t="shared" ca="1" si="138"/>
        <v>—</v>
      </c>
      <c r="U227" s="15">
        <f t="shared" ca="1" si="139"/>
        <v>7</v>
      </c>
      <c r="V227" s="16" t="str">
        <f t="shared" ca="1" si="140"/>
        <v>—</v>
      </c>
      <c r="W227" s="15">
        <f t="shared" ca="1" si="141"/>
        <v>7</v>
      </c>
      <c r="X227" s="16" t="str">
        <f t="shared" ca="1" si="142"/>
        <v>—</v>
      </c>
      <c r="Y227" s="15">
        <f t="shared" ca="1" si="143"/>
        <v>7</v>
      </c>
      <c r="Z227" s="16" t="str">
        <f t="shared" ca="1" si="144"/>
        <v>—</v>
      </c>
      <c r="AA227" s="15">
        <f t="shared" ca="1" si="145"/>
        <v>7</v>
      </c>
      <c r="AB227" s="9">
        <f t="shared" ca="1" si="146"/>
        <v>90</v>
      </c>
      <c r="AC227" s="15">
        <f t="shared" ca="1" si="147"/>
        <v>0</v>
      </c>
      <c r="AD227" s="76" t="str">
        <f t="shared" ca="1" si="148"/>
        <v>—</v>
      </c>
      <c r="AE227" s="15">
        <f t="shared" ca="1" si="149"/>
        <v>7</v>
      </c>
      <c r="AF227" s="76" t="str">
        <f t="shared" ca="1" si="150"/>
        <v>—</v>
      </c>
      <c r="AG227" s="15">
        <f t="shared" ca="1" si="151"/>
        <v>7</v>
      </c>
      <c r="AH227" s="9" t="str">
        <f t="shared" ca="1" si="152"/>
        <v>—</v>
      </c>
      <c r="AI227" s="15">
        <f t="shared" ca="1" si="153"/>
        <v>7</v>
      </c>
      <c r="AJ227" s="26" t="str">
        <f t="shared" ca="1" si="154"/>
        <v>—</v>
      </c>
      <c r="AK227" s="15">
        <f t="shared" ca="1" si="155"/>
        <v>7</v>
      </c>
      <c r="AL227" s="9" t="str">
        <f t="shared" ca="1" si="156"/>
        <v>—</v>
      </c>
      <c r="AM227" s="15">
        <f t="shared" ca="1" si="157"/>
        <v>7</v>
      </c>
      <c r="AN227" s="9" t="str">
        <f t="shared" ca="1" si="158"/>
        <v>—</v>
      </c>
      <c r="AO227" s="15">
        <f t="shared" ca="1" si="159"/>
        <v>7</v>
      </c>
    </row>
    <row r="228" spans="1:41" x14ac:dyDescent="0.25">
      <c r="A228" s="4">
        <f t="shared" si="120"/>
        <v>78989</v>
      </c>
      <c r="B228" t="str">
        <f ca="1">TEXT(DATE(YEAR(Invoer!$A$5),1,1)+ROWS(B$2:B228)-1,"jjjjmmdd")</f>
        <v>19130815</v>
      </c>
      <c r="C228" s="72">
        <f t="shared" si="121"/>
        <v>800</v>
      </c>
      <c r="D228" s="16" t="str">
        <f t="shared" ca="1" si="122"/>
        <v>—</v>
      </c>
      <c r="E228" s="15">
        <f t="shared" ca="1" si="123"/>
        <v>7</v>
      </c>
      <c r="F228" s="73" t="str">
        <f t="shared" ca="1" si="124"/>
        <v>—</v>
      </c>
      <c r="G228" s="15">
        <f t="shared" ca="1" si="125"/>
        <v>7</v>
      </c>
      <c r="H228" s="73" t="str">
        <f t="shared" ca="1" si="126"/>
        <v>—</v>
      </c>
      <c r="I228" s="15">
        <f t="shared" ca="1" si="127"/>
        <v>7</v>
      </c>
      <c r="J228" s="73" t="str">
        <f t="shared" ca="1" si="128"/>
        <v>—</v>
      </c>
      <c r="K228" s="15">
        <f t="shared" ca="1" si="129"/>
        <v>7</v>
      </c>
      <c r="L228" s="16">
        <f t="shared" ca="1" si="130"/>
        <v>759</v>
      </c>
      <c r="M228" s="15">
        <f t="shared" ca="1" si="131"/>
        <v>0</v>
      </c>
      <c r="N228" s="16" t="str">
        <f t="shared" ca="1" si="132"/>
        <v>—</v>
      </c>
      <c r="O228" s="15">
        <f t="shared" ca="1" si="133"/>
        <v>7</v>
      </c>
      <c r="P228" s="16" t="str">
        <f t="shared" ca="1" si="134"/>
        <v>—</v>
      </c>
      <c r="Q228" s="15">
        <f t="shared" ca="1" si="135"/>
        <v>7</v>
      </c>
      <c r="R228" s="16" t="str">
        <f t="shared" ca="1" si="136"/>
        <v>—</v>
      </c>
      <c r="S228" s="15">
        <f t="shared" ca="1" si="137"/>
        <v>7</v>
      </c>
      <c r="T228" s="9" t="str">
        <f t="shared" ca="1" si="138"/>
        <v>—</v>
      </c>
      <c r="U228" s="15">
        <f t="shared" ca="1" si="139"/>
        <v>7</v>
      </c>
      <c r="V228" s="16" t="str">
        <f t="shared" ca="1" si="140"/>
        <v>—</v>
      </c>
      <c r="W228" s="15">
        <f t="shared" ca="1" si="141"/>
        <v>7</v>
      </c>
      <c r="X228" s="16" t="str">
        <f t="shared" ca="1" si="142"/>
        <v>—</v>
      </c>
      <c r="Y228" s="15">
        <f t="shared" ca="1" si="143"/>
        <v>7</v>
      </c>
      <c r="Z228" s="16" t="str">
        <f t="shared" ca="1" si="144"/>
        <v>—</v>
      </c>
      <c r="AA228" s="15">
        <f t="shared" ca="1" si="145"/>
        <v>7</v>
      </c>
      <c r="AB228" s="9">
        <f t="shared" ca="1" si="146"/>
        <v>90</v>
      </c>
      <c r="AC228" s="15">
        <f t="shared" ca="1" si="147"/>
        <v>0</v>
      </c>
      <c r="AD228" s="76" t="str">
        <f t="shared" ca="1" si="148"/>
        <v>—</v>
      </c>
      <c r="AE228" s="15">
        <f t="shared" ca="1" si="149"/>
        <v>7</v>
      </c>
      <c r="AF228" s="76" t="str">
        <f t="shared" ca="1" si="150"/>
        <v>—</v>
      </c>
      <c r="AG228" s="15">
        <f t="shared" ca="1" si="151"/>
        <v>7</v>
      </c>
      <c r="AH228" s="9" t="str">
        <f t="shared" ca="1" si="152"/>
        <v>—</v>
      </c>
      <c r="AI228" s="15">
        <f t="shared" ca="1" si="153"/>
        <v>7</v>
      </c>
      <c r="AJ228" s="26" t="str">
        <f t="shared" ca="1" si="154"/>
        <v>—</v>
      </c>
      <c r="AK228" s="15">
        <f t="shared" ca="1" si="155"/>
        <v>7</v>
      </c>
      <c r="AL228" s="9" t="str">
        <f t="shared" ca="1" si="156"/>
        <v>—</v>
      </c>
      <c r="AM228" s="15">
        <f t="shared" ca="1" si="157"/>
        <v>7</v>
      </c>
      <c r="AN228" s="9" t="str">
        <f t="shared" ca="1" si="158"/>
        <v>—</v>
      </c>
      <c r="AO228" s="15">
        <f t="shared" ca="1" si="159"/>
        <v>7</v>
      </c>
    </row>
    <row r="229" spans="1:41" x14ac:dyDescent="0.25">
      <c r="A229" s="4">
        <f t="shared" si="120"/>
        <v>78989</v>
      </c>
      <c r="B229" t="str">
        <f ca="1">TEXT(DATE(YEAR(Invoer!$A$5),1,1)+ROWS(B$2:B229)-1,"jjjjmmdd")</f>
        <v>19130816</v>
      </c>
      <c r="C229" s="72">
        <f t="shared" si="121"/>
        <v>800</v>
      </c>
      <c r="D229" s="16" t="str">
        <f t="shared" ca="1" si="122"/>
        <v>—</v>
      </c>
      <c r="E229" s="15">
        <f t="shared" ca="1" si="123"/>
        <v>7</v>
      </c>
      <c r="F229" s="73" t="str">
        <f t="shared" ca="1" si="124"/>
        <v>—</v>
      </c>
      <c r="G229" s="15">
        <f t="shared" ca="1" si="125"/>
        <v>7</v>
      </c>
      <c r="H229" s="73" t="str">
        <f t="shared" ca="1" si="126"/>
        <v>—</v>
      </c>
      <c r="I229" s="15">
        <f t="shared" ca="1" si="127"/>
        <v>7</v>
      </c>
      <c r="J229" s="73" t="str">
        <f t="shared" ca="1" si="128"/>
        <v>—</v>
      </c>
      <c r="K229" s="15">
        <f t="shared" ca="1" si="129"/>
        <v>7</v>
      </c>
      <c r="L229" s="16">
        <f t="shared" ca="1" si="130"/>
        <v>758.4</v>
      </c>
      <c r="M229" s="15">
        <f t="shared" ca="1" si="131"/>
        <v>0</v>
      </c>
      <c r="N229" s="16" t="str">
        <f t="shared" ca="1" si="132"/>
        <v>—</v>
      </c>
      <c r="O229" s="15">
        <f t="shared" ca="1" si="133"/>
        <v>7</v>
      </c>
      <c r="P229" s="16" t="str">
        <f t="shared" ca="1" si="134"/>
        <v>—</v>
      </c>
      <c r="Q229" s="15">
        <f t="shared" ca="1" si="135"/>
        <v>7</v>
      </c>
      <c r="R229" s="16" t="str">
        <f t="shared" ca="1" si="136"/>
        <v>—</v>
      </c>
      <c r="S229" s="15">
        <f t="shared" ca="1" si="137"/>
        <v>7</v>
      </c>
      <c r="T229" s="9" t="str">
        <f t="shared" ca="1" si="138"/>
        <v>—</v>
      </c>
      <c r="U229" s="15">
        <f t="shared" ca="1" si="139"/>
        <v>7</v>
      </c>
      <c r="V229" s="16" t="str">
        <f t="shared" ca="1" si="140"/>
        <v>—</v>
      </c>
      <c r="W229" s="15">
        <f t="shared" ca="1" si="141"/>
        <v>7</v>
      </c>
      <c r="X229" s="16" t="str">
        <f t="shared" ca="1" si="142"/>
        <v>—</v>
      </c>
      <c r="Y229" s="15">
        <f t="shared" ca="1" si="143"/>
        <v>7</v>
      </c>
      <c r="Z229" s="16" t="str">
        <f t="shared" ca="1" si="144"/>
        <v>—</v>
      </c>
      <c r="AA229" s="15">
        <f t="shared" ca="1" si="145"/>
        <v>7</v>
      </c>
      <c r="AB229" s="9">
        <f t="shared" ca="1" si="146"/>
        <v>90</v>
      </c>
      <c r="AC229" s="15">
        <f t="shared" ca="1" si="147"/>
        <v>0</v>
      </c>
      <c r="AD229" s="76" t="str">
        <f t="shared" ca="1" si="148"/>
        <v>—</v>
      </c>
      <c r="AE229" s="15">
        <f t="shared" ca="1" si="149"/>
        <v>7</v>
      </c>
      <c r="AF229" s="76" t="str">
        <f t="shared" ca="1" si="150"/>
        <v>—</v>
      </c>
      <c r="AG229" s="15">
        <f t="shared" ca="1" si="151"/>
        <v>7</v>
      </c>
      <c r="AH229" s="9" t="str">
        <f t="shared" ca="1" si="152"/>
        <v>—</v>
      </c>
      <c r="AI229" s="15">
        <f t="shared" ca="1" si="153"/>
        <v>7</v>
      </c>
      <c r="AJ229" s="26" t="str">
        <f t="shared" ca="1" si="154"/>
        <v>—</v>
      </c>
      <c r="AK229" s="15">
        <f t="shared" ca="1" si="155"/>
        <v>7</v>
      </c>
      <c r="AL229" s="9" t="str">
        <f t="shared" ca="1" si="156"/>
        <v>—</v>
      </c>
      <c r="AM229" s="15">
        <f t="shared" ca="1" si="157"/>
        <v>7</v>
      </c>
      <c r="AN229" s="9" t="str">
        <f t="shared" ca="1" si="158"/>
        <v>—</v>
      </c>
      <c r="AO229" s="15">
        <f t="shared" ca="1" si="159"/>
        <v>7</v>
      </c>
    </row>
    <row r="230" spans="1:41" x14ac:dyDescent="0.25">
      <c r="A230" s="4">
        <f t="shared" si="120"/>
        <v>78989</v>
      </c>
      <c r="B230" t="str">
        <f ca="1">TEXT(DATE(YEAR(Invoer!$A$5),1,1)+ROWS(B$2:B230)-1,"jjjjmmdd")</f>
        <v>19130817</v>
      </c>
      <c r="C230" s="72">
        <f t="shared" si="121"/>
        <v>800</v>
      </c>
      <c r="D230" s="16" t="str">
        <f t="shared" ca="1" si="122"/>
        <v>—</v>
      </c>
      <c r="E230" s="15">
        <f t="shared" ca="1" si="123"/>
        <v>7</v>
      </c>
      <c r="F230" s="73" t="str">
        <f t="shared" ca="1" si="124"/>
        <v>—</v>
      </c>
      <c r="G230" s="15">
        <f t="shared" ca="1" si="125"/>
        <v>7</v>
      </c>
      <c r="H230" s="73" t="str">
        <f t="shared" ca="1" si="126"/>
        <v>—</v>
      </c>
      <c r="I230" s="15">
        <f t="shared" ca="1" si="127"/>
        <v>7</v>
      </c>
      <c r="J230" s="73" t="str">
        <f t="shared" ca="1" si="128"/>
        <v>—</v>
      </c>
      <c r="K230" s="15">
        <f t="shared" ca="1" si="129"/>
        <v>7</v>
      </c>
      <c r="L230" s="16">
        <f t="shared" ca="1" si="130"/>
        <v>759</v>
      </c>
      <c r="M230" s="15">
        <f t="shared" ca="1" si="131"/>
        <v>0</v>
      </c>
      <c r="N230" s="16" t="str">
        <f t="shared" ca="1" si="132"/>
        <v>—</v>
      </c>
      <c r="O230" s="15">
        <f t="shared" ca="1" si="133"/>
        <v>7</v>
      </c>
      <c r="P230" s="16" t="str">
        <f t="shared" ca="1" si="134"/>
        <v>—</v>
      </c>
      <c r="Q230" s="15">
        <f t="shared" ca="1" si="135"/>
        <v>7</v>
      </c>
      <c r="R230" s="16" t="str">
        <f t="shared" ca="1" si="136"/>
        <v>—</v>
      </c>
      <c r="S230" s="15">
        <f t="shared" ca="1" si="137"/>
        <v>7</v>
      </c>
      <c r="T230" s="9" t="str">
        <f t="shared" ca="1" si="138"/>
        <v>—</v>
      </c>
      <c r="U230" s="15">
        <f t="shared" ca="1" si="139"/>
        <v>7</v>
      </c>
      <c r="V230" s="16" t="str">
        <f t="shared" ca="1" si="140"/>
        <v>—</v>
      </c>
      <c r="W230" s="15">
        <f t="shared" ca="1" si="141"/>
        <v>7</v>
      </c>
      <c r="X230" s="16" t="str">
        <f t="shared" ca="1" si="142"/>
        <v>—</v>
      </c>
      <c r="Y230" s="15">
        <f t="shared" ca="1" si="143"/>
        <v>7</v>
      </c>
      <c r="Z230" s="16" t="str">
        <f t="shared" ca="1" si="144"/>
        <v>—</v>
      </c>
      <c r="AA230" s="15">
        <f t="shared" ca="1" si="145"/>
        <v>7</v>
      </c>
      <c r="AB230" s="9">
        <f t="shared" ca="1" si="146"/>
        <v>135</v>
      </c>
      <c r="AC230" s="15">
        <f t="shared" ca="1" si="147"/>
        <v>0</v>
      </c>
      <c r="AD230" s="76" t="str">
        <f t="shared" ca="1" si="148"/>
        <v>—</v>
      </c>
      <c r="AE230" s="15">
        <f t="shared" ca="1" si="149"/>
        <v>7</v>
      </c>
      <c r="AF230" s="76" t="str">
        <f t="shared" ca="1" si="150"/>
        <v>—</v>
      </c>
      <c r="AG230" s="15">
        <f t="shared" ca="1" si="151"/>
        <v>7</v>
      </c>
      <c r="AH230" s="9" t="str">
        <f t="shared" ca="1" si="152"/>
        <v>—</v>
      </c>
      <c r="AI230" s="15">
        <f t="shared" ca="1" si="153"/>
        <v>7</v>
      </c>
      <c r="AJ230" s="26" t="str">
        <f t="shared" ca="1" si="154"/>
        <v>—</v>
      </c>
      <c r="AK230" s="15">
        <f t="shared" ca="1" si="155"/>
        <v>7</v>
      </c>
      <c r="AL230" s="9" t="str">
        <f t="shared" ca="1" si="156"/>
        <v>—</v>
      </c>
      <c r="AM230" s="15">
        <f t="shared" ca="1" si="157"/>
        <v>7</v>
      </c>
      <c r="AN230" s="9" t="str">
        <f t="shared" ca="1" si="158"/>
        <v>—</v>
      </c>
      <c r="AO230" s="15">
        <f t="shared" ca="1" si="159"/>
        <v>7</v>
      </c>
    </row>
    <row r="231" spans="1:41" x14ac:dyDescent="0.25">
      <c r="A231" s="4">
        <f t="shared" si="120"/>
        <v>78989</v>
      </c>
      <c r="B231" t="str">
        <f ca="1">TEXT(DATE(YEAR(Invoer!$A$5),1,1)+ROWS(B$2:B231)-1,"jjjjmmdd")</f>
        <v>19130818</v>
      </c>
      <c r="C231" s="72">
        <f t="shared" si="121"/>
        <v>800</v>
      </c>
      <c r="D231" s="16" t="str">
        <f t="shared" ca="1" si="122"/>
        <v>—</v>
      </c>
      <c r="E231" s="15">
        <f t="shared" ca="1" si="123"/>
        <v>7</v>
      </c>
      <c r="F231" s="73" t="str">
        <f t="shared" ca="1" si="124"/>
        <v>—</v>
      </c>
      <c r="G231" s="15">
        <f t="shared" ca="1" si="125"/>
        <v>7</v>
      </c>
      <c r="H231" s="73" t="str">
        <f t="shared" ca="1" si="126"/>
        <v>—</v>
      </c>
      <c r="I231" s="15">
        <f t="shared" ca="1" si="127"/>
        <v>7</v>
      </c>
      <c r="J231" s="73" t="str">
        <f t="shared" ca="1" si="128"/>
        <v>—</v>
      </c>
      <c r="K231" s="15">
        <f t="shared" ca="1" si="129"/>
        <v>7</v>
      </c>
      <c r="L231" s="16">
        <f t="shared" ca="1" si="130"/>
        <v>759.5</v>
      </c>
      <c r="M231" s="15">
        <f t="shared" ca="1" si="131"/>
        <v>0</v>
      </c>
      <c r="N231" s="16" t="str">
        <f t="shared" ca="1" si="132"/>
        <v>—</v>
      </c>
      <c r="O231" s="15">
        <f t="shared" ca="1" si="133"/>
        <v>7</v>
      </c>
      <c r="P231" s="16" t="str">
        <f t="shared" ca="1" si="134"/>
        <v>—</v>
      </c>
      <c r="Q231" s="15">
        <f t="shared" ca="1" si="135"/>
        <v>7</v>
      </c>
      <c r="R231" s="16" t="str">
        <f t="shared" ca="1" si="136"/>
        <v>—</v>
      </c>
      <c r="S231" s="15">
        <f t="shared" ca="1" si="137"/>
        <v>7</v>
      </c>
      <c r="T231" s="9" t="str">
        <f t="shared" ca="1" si="138"/>
        <v>—</v>
      </c>
      <c r="U231" s="15">
        <f t="shared" ca="1" si="139"/>
        <v>7</v>
      </c>
      <c r="V231" s="16" t="str">
        <f t="shared" ca="1" si="140"/>
        <v>—</v>
      </c>
      <c r="W231" s="15">
        <f t="shared" ca="1" si="141"/>
        <v>7</v>
      </c>
      <c r="X231" s="16" t="str">
        <f t="shared" ca="1" si="142"/>
        <v>—</v>
      </c>
      <c r="Y231" s="15">
        <f t="shared" ca="1" si="143"/>
        <v>7</v>
      </c>
      <c r="Z231" s="16" t="str">
        <f t="shared" ca="1" si="144"/>
        <v>—</v>
      </c>
      <c r="AA231" s="15">
        <f t="shared" ca="1" si="145"/>
        <v>7</v>
      </c>
      <c r="AB231" s="9">
        <f t="shared" ca="1" si="146"/>
        <v>135</v>
      </c>
      <c r="AC231" s="15">
        <f t="shared" ca="1" si="147"/>
        <v>0</v>
      </c>
      <c r="AD231" s="76" t="str">
        <f t="shared" ca="1" si="148"/>
        <v>—</v>
      </c>
      <c r="AE231" s="15">
        <f t="shared" ca="1" si="149"/>
        <v>7</v>
      </c>
      <c r="AF231" s="76" t="str">
        <f t="shared" ca="1" si="150"/>
        <v>—</v>
      </c>
      <c r="AG231" s="15">
        <f t="shared" ca="1" si="151"/>
        <v>7</v>
      </c>
      <c r="AH231" s="9" t="str">
        <f t="shared" ca="1" si="152"/>
        <v>—</v>
      </c>
      <c r="AI231" s="15">
        <f t="shared" ca="1" si="153"/>
        <v>7</v>
      </c>
      <c r="AJ231" s="26" t="str">
        <f t="shared" ca="1" si="154"/>
        <v>—</v>
      </c>
      <c r="AK231" s="15">
        <f t="shared" ca="1" si="155"/>
        <v>7</v>
      </c>
      <c r="AL231" s="9" t="str">
        <f t="shared" ca="1" si="156"/>
        <v>—</v>
      </c>
      <c r="AM231" s="15">
        <f t="shared" ca="1" si="157"/>
        <v>7</v>
      </c>
      <c r="AN231" s="9" t="str">
        <f t="shared" ca="1" si="158"/>
        <v>—</v>
      </c>
      <c r="AO231" s="15">
        <f t="shared" ca="1" si="159"/>
        <v>7</v>
      </c>
    </row>
    <row r="232" spans="1:41" x14ac:dyDescent="0.25">
      <c r="A232" s="4">
        <f t="shared" si="120"/>
        <v>78989</v>
      </c>
      <c r="B232" t="str">
        <f ca="1">TEXT(DATE(YEAR(Invoer!$A$5),1,1)+ROWS(B$2:B232)-1,"jjjjmmdd")</f>
        <v>19130819</v>
      </c>
      <c r="C232" s="72">
        <f t="shared" si="121"/>
        <v>800</v>
      </c>
      <c r="D232" s="16" t="str">
        <f t="shared" ca="1" si="122"/>
        <v>—</v>
      </c>
      <c r="E232" s="15">
        <f t="shared" ca="1" si="123"/>
        <v>7</v>
      </c>
      <c r="F232" s="73" t="str">
        <f t="shared" ca="1" si="124"/>
        <v>—</v>
      </c>
      <c r="G232" s="15">
        <f t="shared" ca="1" si="125"/>
        <v>7</v>
      </c>
      <c r="H232" s="73" t="str">
        <f t="shared" ca="1" si="126"/>
        <v>—</v>
      </c>
      <c r="I232" s="15">
        <f t="shared" ca="1" si="127"/>
        <v>7</v>
      </c>
      <c r="J232" s="73" t="str">
        <f t="shared" ca="1" si="128"/>
        <v>—</v>
      </c>
      <c r="K232" s="15">
        <f t="shared" ca="1" si="129"/>
        <v>7</v>
      </c>
      <c r="L232" s="16">
        <f t="shared" ca="1" si="130"/>
        <v>760.5</v>
      </c>
      <c r="M232" s="15">
        <f t="shared" ca="1" si="131"/>
        <v>0</v>
      </c>
      <c r="N232" s="16" t="str">
        <f t="shared" ca="1" si="132"/>
        <v>—</v>
      </c>
      <c r="O232" s="15">
        <f t="shared" ca="1" si="133"/>
        <v>7</v>
      </c>
      <c r="P232" s="16" t="str">
        <f t="shared" ca="1" si="134"/>
        <v>—</v>
      </c>
      <c r="Q232" s="15">
        <f t="shared" ca="1" si="135"/>
        <v>7</v>
      </c>
      <c r="R232" s="16" t="str">
        <f t="shared" ca="1" si="136"/>
        <v>—</v>
      </c>
      <c r="S232" s="15">
        <f t="shared" ca="1" si="137"/>
        <v>7</v>
      </c>
      <c r="T232" s="9" t="str">
        <f t="shared" ca="1" si="138"/>
        <v>—</v>
      </c>
      <c r="U232" s="15">
        <f t="shared" ca="1" si="139"/>
        <v>7</v>
      </c>
      <c r="V232" s="16" t="str">
        <f t="shared" ca="1" si="140"/>
        <v>—</v>
      </c>
      <c r="W232" s="15">
        <f t="shared" ca="1" si="141"/>
        <v>7</v>
      </c>
      <c r="X232" s="16" t="str">
        <f t="shared" ca="1" si="142"/>
        <v>—</v>
      </c>
      <c r="Y232" s="15">
        <f t="shared" ca="1" si="143"/>
        <v>7</v>
      </c>
      <c r="Z232" s="16" t="str">
        <f t="shared" ca="1" si="144"/>
        <v>—</v>
      </c>
      <c r="AA232" s="15">
        <f t="shared" ca="1" si="145"/>
        <v>7</v>
      </c>
      <c r="AB232" s="9">
        <f t="shared" ca="1" si="146"/>
        <v>90</v>
      </c>
      <c r="AC232" s="15">
        <f t="shared" ca="1" si="147"/>
        <v>0</v>
      </c>
      <c r="AD232" s="76" t="str">
        <f t="shared" ca="1" si="148"/>
        <v>—</v>
      </c>
      <c r="AE232" s="15">
        <f t="shared" ca="1" si="149"/>
        <v>7</v>
      </c>
      <c r="AF232" s="76" t="str">
        <f t="shared" ca="1" si="150"/>
        <v>—</v>
      </c>
      <c r="AG232" s="15">
        <f t="shared" ca="1" si="151"/>
        <v>7</v>
      </c>
      <c r="AH232" s="9" t="str">
        <f t="shared" ca="1" si="152"/>
        <v>—</v>
      </c>
      <c r="AI232" s="15">
        <f t="shared" ca="1" si="153"/>
        <v>7</v>
      </c>
      <c r="AJ232" s="26" t="str">
        <f t="shared" ca="1" si="154"/>
        <v>—</v>
      </c>
      <c r="AK232" s="15">
        <f t="shared" ca="1" si="155"/>
        <v>7</v>
      </c>
      <c r="AL232" s="9" t="str">
        <f t="shared" ca="1" si="156"/>
        <v>—</v>
      </c>
      <c r="AM232" s="15">
        <f t="shared" ca="1" si="157"/>
        <v>7</v>
      </c>
      <c r="AN232" s="9" t="str">
        <f t="shared" ca="1" si="158"/>
        <v>—</v>
      </c>
      <c r="AO232" s="15">
        <f t="shared" ca="1" si="159"/>
        <v>7</v>
      </c>
    </row>
    <row r="233" spans="1:41" x14ac:dyDescent="0.25">
      <c r="A233" s="4">
        <f t="shared" si="120"/>
        <v>78989</v>
      </c>
      <c r="B233" t="str">
        <f ca="1">TEXT(DATE(YEAR(Invoer!$A$5),1,1)+ROWS(B$2:B233)-1,"jjjjmmdd")</f>
        <v>19130820</v>
      </c>
      <c r="C233" s="72">
        <f t="shared" si="121"/>
        <v>800</v>
      </c>
      <c r="D233" s="16" t="str">
        <f t="shared" ca="1" si="122"/>
        <v>—</v>
      </c>
      <c r="E233" s="15">
        <f t="shared" ca="1" si="123"/>
        <v>7</v>
      </c>
      <c r="F233" s="73" t="str">
        <f t="shared" ca="1" si="124"/>
        <v>—</v>
      </c>
      <c r="G233" s="15">
        <f t="shared" ca="1" si="125"/>
        <v>7</v>
      </c>
      <c r="H233" s="73" t="str">
        <f t="shared" ca="1" si="126"/>
        <v>—</v>
      </c>
      <c r="I233" s="15">
        <f t="shared" ca="1" si="127"/>
        <v>7</v>
      </c>
      <c r="J233" s="73" t="str">
        <f t="shared" ca="1" si="128"/>
        <v>—</v>
      </c>
      <c r="K233" s="15">
        <f t="shared" ca="1" si="129"/>
        <v>7</v>
      </c>
      <c r="L233" s="16">
        <f t="shared" ca="1" si="130"/>
        <v>761</v>
      </c>
      <c r="M233" s="15">
        <f t="shared" ca="1" si="131"/>
        <v>0</v>
      </c>
      <c r="N233" s="16" t="str">
        <f t="shared" ca="1" si="132"/>
        <v>—</v>
      </c>
      <c r="O233" s="15">
        <f t="shared" ca="1" si="133"/>
        <v>7</v>
      </c>
      <c r="P233" s="16" t="str">
        <f t="shared" ca="1" si="134"/>
        <v>—</v>
      </c>
      <c r="Q233" s="15">
        <f t="shared" ca="1" si="135"/>
        <v>7</v>
      </c>
      <c r="R233" s="16" t="str">
        <f t="shared" ca="1" si="136"/>
        <v>—</v>
      </c>
      <c r="S233" s="15">
        <f t="shared" ca="1" si="137"/>
        <v>7</v>
      </c>
      <c r="T233" s="9" t="str">
        <f t="shared" ca="1" si="138"/>
        <v>—</v>
      </c>
      <c r="U233" s="15">
        <f t="shared" ca="1" si="139"/>
        <v>7</v>
      </c>
      <c r="V233" s="16" t="str">
        <f t="shared" ca="1" si="140"/>
        <v>—</v>
      </c>
      <c r="W233" s="15">
        <f t="shared" ca="1" si="141"/>
        <v>7</v>
      </c>
      <c r="X233" s="16" t="str">
        <f t="shared" ca="1" si="142"/>
        <v>—</v>
      </c>
      <c r="Y233" s="15">
        <f t="shared" ca="1" si="143"/>
        <v>7</v>
      </c>
      <c r="Z233" s="16" t="str">
        <f t="shared" ca="1" si="144"/>
        <v>—</v>
      </c>
      <c r="AA233" s="15">
        <f t="shared" ca="1" si="145"/>
        <v>7</v>
      </c>
      <c r="AB233" s="9">
        <f t="shared" ca="1" si="146"/>
        <v>90</v>
      </c>
      <c r="AC233" s="15">
        <f t="shared" ca="1" si="147"/>
        <v>0</v>
      </c>
      <c r="AD233" s="76" t="str">
        <f t="shared" ca="1" si="148"/>
        <v>—</v>
      </c>
      <c r="AE233" s="15">
        <f t="shared" ca="1" si="149"/>
        <v>7</v>
      </c>
      <c r="AF233" s="76" t="str">
        <f t="shared" ca="1" si="150"/>
        <v>—</v>
      </c>
      <c r="AG233" s="15">
        <f t="shared" ca="1" si="151"/>
        <v>7</v>
      </c>
      <c r="AH233" s="9" t="str">
        <f t="shared" ca="1" si="152"/>
        <v>—</v>
      </c>
      <c r="AI233" s="15">
        <f t="shared" ca="1" si="153"/>
        <v>7</v>
      </c>
      <c r="AJ233" s="26" t="str">
        <f t="shared" ca="1" si="154"/>
        <v>—</v>
      </c>
      <c r="AK233" s="15">
        <f t="shared" ca="1" si="155"/>
        <v>7</v>
      </c>
      <c r="AL233" s="9" t="str">
        <f t="shared" ca="1" si="156"/>
        <v>—</v>
      </c>
      <c r="AM233" s="15">
        <f t="shared" ca="1" si="157"/>
        <v>7</v>
      </c>
      <c r="AN233" s="9" t="str">
        <f t="shared" ca="1" si="158"/>
        <v>—</v>
      </c>
      <c r="AO233" s="15">
        <f t="shared" ca="1" si="159"/>
        <v>7</v>
      </c>
    </row>
    <row r="234" spans="1:41" x14ac:dyDescent="0.25">
      <c r="A234" s="4">
        <f t="shared" si="120"/>
        <v>78989</v>
      </c>
      <c r="B234" t="str">
        <f ca="1">TEXT(DATE(YEAR(Invoer!$A$5),1,1)+ROWS(B$2:B234)-1,"jjjjmmdd")</f>
        <v>19130821</v>
      </c>
      <c r="C234" s="72">
        <f t="shared" si="121"/>
        <v>800</v>
      </c>
      <c r="D234" s="16" t="str">
        <f t="shared" ca="1" si="122"/>
        <v>—</v>
      </c>
      <c r="E234" s="15">
        <f t="shared" ca="1" si="123"/>
        <v>7</v>
      </c>
      <c r="F234" s="73" t="str">
        <f t="shared" ca="1" si="124"/>
        <v>—</v>
      </c>
      <c r="G234" s="15">
        <f t="shared" ca="1" si="125"/>
        <v>7</v>
      </c>
      <c r="H234" s="73" t="str">
        <f t="shared" ca="1" si="126"/>
        <v>—</v>
      </c>
      <c r="I234" s="15">
        <f t="shared" ca="1" si="127"/>
        <v>7</v>
      </c>
      <c r="J234" s="73" t="str">
        <f t="shared" ca="1" si="128"/>
        <v>—</v>
      </c>
      <c r="K234" s="15">
        <f t="shared" ca="1" si="129"/>
        <v>7</v>
      </c>
      <c r="L234" s="16">
        <f t="shared" ca="1" si="130"/>
        <v>760</v>
      </c>
      <c r="M234" s="15">
        <f t="shared" ca="1" si="131"/>
        <v>0</v>
      </c>
      <c r="N234" s="16" t="str">
        <f t="shared" ca="1" si="132"/>
        <v>—</v>
      </c>
      <c r="O234" s="15">
        <f t="shared" ca="1" si="133"/>
        <v>7</v>
      </c>
      <c r="P234" s="16" t="str">
        <f t="shared" ca="1" si="134"/>
        <v>—</v>
      </c>
      <c r="Q234" s="15">
        <f t="shared" ca="1" si="135"/>
        <v>7</v>
      </c>
      <c r="R234" s="16" t="str">
        <f t="shared" ca="1" si="136"/>
        <v>—</v>
      </c>
      <c r="S234" s="15">
        <f t="shared" ca="1" si="137"/>
        <v>7</v>
      </c>
      <c r="T234" s="9" t="str">
        <f t="shared" ca="1" si="138"/>
        <v>—</v>
      </c>
      <c r="U234" s="15">
        <f t="shared" ca="1" si="139"/>
        <v>7</v>
      </c>
      <c r="V234" s="16" t="str">
        <f t="shared" ca="1" si="140"/>
        <v>—</v>
      </c>
      <c r="W234" s="15">
        <f t="shared" ca="1" si="141"/>
        <v>7</v>
      </c>
      <c r="X234" s="16" t="str">
        <f t="shared" ca="1" si="142"/>
        <v>—</v>
      </c>
      <c r="Y234" s="15">
        <f t="shared" ca="1" si="143"/>
        <v>7</v>
      </c>
      <c r="Z234" s="16" t="str">
        <f t="shared" ca="1" si="144"/>
        <v>—</v>
      </c>
      <c r="AA234" s="15">
        <f t="shared" ca="1" si="145"/>
        <v>7</v>
      </c>
      <c r="AB234" s="9">
        <f t="shared" ca="1" si="146"/>
        <v>90</v>
      </c>
      <c r="AC234" s="15">
        <f t="shared" ca="1" si="147"/>
        <v>0</v>
      </c>
      <c r="AD234" s="76" t="str">
        <f t="shared" ca="1" si="148"/>
        <v>—</v>
      </c>
      <c r="AE234" s="15">
        <f t="shared" ca="1" si="149"/>
        <v>7</v>
      </c>
      <c r="AF234" s="76" t="str">
        <f t="shared" ca="1" si="150"/>
        <v>—</v>
      </c>
      <c r="AG234" s="15">
        <f t="shared" ca="1" si="151"/>
        <v>7</v>
      </c>
      <c r="AH234" s="9" t="str">
        <f t="shared" ca="1" si="152"/>
        <v>—</v>
      </c>
      <c r="AI234" s="15">
        <f t="shared" ca="1" si="153"/>
        <v>7</v>
      </c>
      <c r="AJ234" s="26" t="str">
        <f t="shared" ca="1" si="154"/>
        <v>—</v>
      </c>
      <c r="AK234" s="15">
        <f t="shared" ca="1" si="155"/>
        <v>7</v>
      </c>
      <c r="AL234" s="9" t="str">
        <f t="shared" ca="1" si="156"/>
        <v>—</v>
      </c>
      <c r="AM234" s="15">
        <f t="shared" ca="1" si="157"/>
        <v>7</v>
      </c>
      <c r="AN234" s="9" t="str">
        <f t="shared" ca="1" si="158"/>
        <v>—</v>
      </c>
      <c r="AO234" s="15">
        <f t="shared" ca="1" si="159"/>
        <v>7</v>
      </c>
    </row>
    <row r="235" spans="1:41" x14ac:dyDescent="0.25">
      <c r="A235" s="4">
        <f t="shared" si="120"/>
        <v>78989</v>
      </c>
      <c r="B235" t="str">
        <f ca="1">TEXT(DATE(YEAR(Invoer!$A$5),1,1)+ROWS(B$2:B235)-1,"jjjjmmdd")</f>
        <v>19130822</v>
      </c>
      <c r="C235" s="72">
        <f t="shared" si="121"/>
        <v>800</v>
      </c>
      <c r="D235" s="16" t="str">
        <f t="shared" ca="1" si="122"/>
        <v>—</v>
      </c>
      <c r="E235" s="15">
        <f t="shared" ca="1" si="123"/>
        <v>7</v>
      </c>
      <c r="F235" s="73" t="str">
        <f t="shared" ca="1" si="124"/>
        <v>—</v>
      </c>
      <c r="G235" s="15">
        <f t="shared" ca="1" si="125"/>
        <v>7</v>
      </c>
      <c r="H235" s="73" t="str">
        <f t="shared" ca="1" si="126"/>
        <v>—</v>
      </c>
      <c r="I235" s="15">
        <f t="shared" ca="1" si="127"/>
        <v>7</v>
      </c>
      <c r="J235" s="73" t="str">
        <f t="shared" ca="1" si="128"/>
        <v>—</v>
      </c>
      <c r="K235" s="15">
        <f t="shared" ca="1" si="129"/>
        <v>7</v>
      </c>
      <c r="L235" s="16">
        <f t="shared" ca="1" si="130"/>
        <v>760</v>
      </c>
      <c r="M235" s="15">
        <f t="shared" ca="1" si="131"/>
        <v>0</v>
      </c>
      <c r="N235" s="16" t="str">
        <f t="shared" ca="1" si="132"/>
        <v>—</v>
      </c>
      <c r="O235" s="15">
        <f t="shared" ca="1" si="133"/>
        <v>7</v>
      </c>
      <c r="P235" s="16" t="str">
        <f t="shared" ca="1" si="134"/>
        <v>—</v>
      </c>
      <c r="Q235" s="15">
        <f t="shared" ca="1" si="135"/>
        <v>7</v>
      </c>
      <c r="R235" s="16" t="str">
        <f t="shared" ca="1" si="136"/>
        <v>—</v>
      </c>
      <c r="S235" s="15">
        <f t="shared" ca="1" si="137"/>
        <v>7</v>
      </c>
      <c r="T235" s="9" t="str">
        <f t="shared" ca="1" si="138"/>
        <v>—</v>
      </c>
      <c r="U235" s="15">
        <f t="shared" ca="1" si="139"/>
        <v>7</v>
      </c>
      <c r="V235" s="16" t="str">
        <f t="shared" ca="1" si="140"/>
        <v>—</v>
      </c>
      <c r="W235" s="15">
        <f t="shared" ca="1" si="141"/>
        <v>7</v>
      </c>
      <c r="X235" s="16" t="str">
        <f t="shared" ca="1" si="142"/>
        <v>—</v>
      </c>
      <c r="Y235" s="15">
        <f t="shared" ca="1" si="143"/>
        <v>7</v>
      </c>
      <c r="Z235" s="16" t="str">
        <f t="shared" ca="1" si="144"/>
        <v>—</v>
      </c>
      <c r="AA235" s="15">
        <f t="shared" ca="1" si="145"/>
        <v>7</v>
      </c>
      <c r="AB235" s="9">
        <f t="shared" ca="1" si="146"/>
        <v>90</v>
      </c>
      <c r="AC235" s="15">
        <f t="shared" ca="1" si="147"/>
        <v>0</v>
      </c>
      <c r="AD235" s="76" t="str">
        <f t="shared" ca="1" si="148"/>
        <v>—</v>
      </c>
      <c r="AE235" s="15">
        <f t="shared" ca="1" si="149"/>
        <v>7</v>
      </c>
      <c r="AF235" s="76" t="str">
        <f t="shared" ca="1" si="150"/>
        <v>—</v>
      </c>
      <c r="AG235" s="15">
        <f t="shared" ca="1" si="151"/>
        <v>7</v>
      </c>
      <c r="AH235" s="9" t="str">
        <f t="shared" ca="1" si="152"/>
        <v>—</v>
      </c>
      <c r="AI235" s="15">
        <f t="shared" ca="1" si="153"/>
        <v>7</v>
      </c>
      <c r="AJ235" s="26" t="str">
        <f t="shared" ca="1" si="154"/>
        <v>—</v>
      </c>
      <c r="AK235" s="15">
        <f t="shared" ca="1" si="155"/>
        <v>7</v>
      </c>
      <c r="AL235" s="9" t="str">
        <f t="shared" ca="1" si="156"/>
        <v>—</v>
      </c>
      <c r="AM235" s="15">
        <f t="shared" ca="1" si="157"/>
        <v>7</v>
      </c>
      <c r="AN235" s="9" t="str">
        <f t="shared" ca="1" si="158"/>
        <v>—</v>
      </c>
      <c r="AO235" s="15">
        <f t="shared" ca="1" si="159"/>
        <v>7</v>
      </c>
    </row>
    <row r="236" spans="1:41" x14ac:dyDescent="0.25">
      <c r="A236" s="4">
        <f t="shared" si="120"/>
        <v>78989</v>
      </c>
      <c r="B236" t="str">
        <f ca="1">TEXT(DATE(YEAR(Invoer!$A$5),1,1)+ROWS(B$2:B236)-1,"jjjjmmdd")</f>
        <v>19130823</v>
      </c>
      <c r="C236" s="72">
        <f t="shared" si="121"/>
        <v>800</v>
      </c>
      <c r="D236" s="16" t="str">
        <f t="shared" ca="1" si="122"/>
        <v>—</v>
      </c>
      <c r="E236" s="15">
        <f t="shared" ca="1" si="123"/>
        <v>7</v>
      </c>
      <c r="F236" s="73" t="str">
        <f t="shared" ca="1" si="124"/>
        <v>—</v>
      </c>
      <c r="G236" s="15">
        <f t="shared" ca="1" si="125"/>
        <v>7</v>
      </c>
      <c r="H236" s="73" t="str">
        <f t="shared" ca="1" si="126"/>
        <v>—</v>
      </c>
      <c r="I236" s="15">
        <f t="shared" ca="1" si="127"/>
        <v>7</v>
      </c>
      <c r="J236" s="73" t="str">
        <f t="shared" ca="1" si="128"/>
        <v>—</v>
      </c>
      <c r="K236" s="15">
        <f t="shared" ca="1" si="129"/>
        <v>7</v>
      </c>
      <c r="L236" s="16">
        <f t="shared" ca="1" si="130"/>
        <v>761.5</v>
      </c>
      <c r="M236" s="15">
        <f t="shared" ca="1" si="131"/>
        <v>0</v>
      </c>
      <c r="N236" s="16" t="str">
        <f t="shared" ca="1" si="132"/>
        <v>—</v>
      </c>
      <c r="O236" s="15">
        <f t="shared" ca="1" si="133"/>
        <v>7</v>
      </c>
      <c r="P236" s="16" t="str">
        <f t="shared" ca="1" si="134"/>
        <v>—</v>
      </c>
      <c r="Q236" s="15">
        <f t="shared" ca="1" si="135"/>
        <v>7</v>
      </c>
      <c r="R236" s="16" t="str">
        <f t="shared" ca="1" si="136"/>
        <v>—</v>
      </c>
      <c r="S236" s="15">
        <f t="shared" ca="1" si="137"/>
        <v>7</v>
      </c>
      <c r="T236" s="9" t="str">
        <f t="shared" ca="1" si="138"/>
        <v>—</v>
      </c>
      <c r="U236" s="15">
        <f t="shared" ca="1" si="139"/>
        <v>7</v>
      </c>
      <c r="V236" s="16" t="str">
        <f t="shared" ca="1" si="140"/>
        <v>—</v>
      </c>
      <c r="W236" s="15">
        <f t="shared" ca="1" si="141"/>
        <v>7</v>
      </c>
      <c r="X236" s="16" t="str">
        <f t="shared" ca="1" si="142"/>
        <v>—</v>
      </c>
      <c r="Y236" s="15">
        <f t="shared" ca="1" si="143"/>
        <v>7</v>
      </c>
      <c r="Z236" s="16" t="str">
        <f t="shared" ca="1" si="144"/>
        <v>—</v>
      </c>
      <c r="AA236" s="15">
        <f t="shared" ca="1" si="145"/>
        <v>7</v>
      </c>
      <c r="AB236" s="9">
        <f t="shared" ca="1" si="146"/>
        <v>135</v>
      </c>
      <c r="AC236" s="15">
        <f t="shared" ca="1" si="147"/>
        <v>0</v>
      </c>
      <c r="AD236" s="76" t="str">
        <f t="shared" ca="1" si="148"/>
        <v>—</v>
      </c>
      <c r="AE236" s="15">
        <f t="shared" ca="1" si="149"/>
        <v>7</v>
      </c>
      <c r="AF236" s="76" t="str">
        <f t="shared" ca="1" si="150"/>
        <v>—</v>
      </c>
      <c r="AG236" s="15">
        <f t="shared" ca="1" si="151"/>
        <v>7</v>
      </c>
      <c r="AH236" s="9" t="str">
        <f t="shared" ca="1" si="152"/>
        <v>—</v>
      </c>
      <c r="AI236" s="15">
        <f t="shared" ca="1" si="153"/>
        <v>7</v>
      </c>
      <c r="AJ236" s="26" t="str">
        <f t="shared" ca="1" si="154"/>
        <v>—</v>
      </c>
      <c r="AK236" s="15">
        <f t="shared" ca="1" si="155"/>
        <v>7</v>
      </c>
      <c r="AL236" s="9" t="str">
        <f t="shared" ca="1" si="156"/>
        <v>—</v>
      </c>
      <c r="AM236" s="15">
        <f t="shared" ca="1" si="157"/>
        <v>7</v>
      </c>
      <c r="AN236" s="9" t="str">
        <f t="shared" ca="1" si="158"/>
        <v>—</v>
      </c>
      <c r="AO236" s="15">
        <f t="shared" ca="1" si="159"/>
        <v>7</v>
      </c>
    </row>
    <row r="237" spans="1:41" x14ac:dyDescent="0.25">
      <c r="A237" s="4">
        <f t="shared" si="120"/>
        <v>78989</v>
      </c>
      <c r="B237" t="str">
        <f ca="1">TEXT(DATE(YEAR(Invoer!$A$5),1,1)+ROWS(B$2:B237)-1,"jjjjmmdd")</f>
        <v>19130824</v>
      </c>
      <c r="C237" s="72">
        <f t="shared" si="121"/>
        <v>800</v>
      </c>
      <c r="D237" s="16" t="str">
        <f t="shared" ca="1" si="122"/>
        <v>—</v>
      </c>
      <c r="E237" s="15">
        <f t="shared" ca="1" si="123"/>
        <v>7</v>
      </c>
      <c r="F237" s="73" t="str">
        <f t="shared" ca="1" si="124"/>
        <v>—</v>
      </c>
      <c r="G237" s="15">
        <f t="shared" ca="1" si="125"/>
        <v>7</v>
      </c>
      <c r="H237" s="73" t="str">
        <f t="shared" ca="1" si="126"/>
        <v>—</v>
      </c>
      <c r="I237" s="15">
        <f t="shared" ca="1" si="127"/>
        <v>7</v>
      </c>
      <c r="J237" s="73" t="str">
        <f t="shared" ca="1" si="128"/>
        <v>—</v>
      </c>
      <c r="K237" s="15">
        <f t="shared" ca="1" si="129"/>
        <v>7</v>
      </c>
      <c r="L237" s="16" t="str">
        <f t="shared" ca="1" si="130"/>
        <v>—</v>
      </c>
      <c r="M237" s="15">
        <f t="shared" ca="1" si="131"/>
        <v>7</v>
      </c>
      <c r="N237" s="16" t="str">
        <f t="shared" ca="1" si="132"/>
        <v>—</v>
      </c>
      <c r="O237" s="15">
        <f t="shared" ca="1" si="133"/>
        <v>7</v>
      </c>
      <c r="P237" s="16" t="str">
        <f t="shared" ca="1" si="134"/>
        <v>—</v>
      </c>
      <c r="Q237" s="15">
        <f t="shared" ca="1" si="135"/>
        <v>7</v>
      </c>
      <c r="R237" s="16" t="str">
        <f t="shared" ca="1" si="136"/>
        <v>—</v>
      </c>
      <c r="S237" s="15">
        <f t="shared" ca="1" si="137"/>
        <v>7</v>
      </c>
      <c r="T237" s="9" t="str">
        <f t="shared" ca="1" si="138"/>
        <v>—</v>
      </c>
      <c r="U237" s="15">
        <f t="shared" ca="1" si="139"/>
        <v>7</v>
      </c>
      <c r="V237" s="16" t="str">
        <f t="shared" ca="1" si="140"/>
        <v>—</v>
      </c>
      <c r="W237" s="15">
        <f t="shared" ca="1" si="141"/>
        <v>7</v>
      </c>
      <c r="X237" s="16" t="str">
        <f t="shared" ca="1" si="142"/>
        <v>—</v>
      </c>
      <c r="Y237" s="15">
        <f t="shared" ca="1" si="143"/>
        <v>7</v>
      </c>
      <c r="Z237" s="16" t="str">
        <f t="shared" ca="1" si="144"/>
        <v>—</v>
      </c>
      <c r="AA237" s="15">
        <f t="shared" ca="1" si="145"/>
        <v>7</v>
      </c>
      <c r="AB237" s="9" t="str">
        <f t="shared" ca="1" si="146"/>
        <v>—</v>
      </c>
      <c r="AC237" s="15">
        <f t="shared" ca="1" si="147"/>
        <v>7</v>
      </c>
      <c r="AD237" s="76" t="str">
        <f t="shared" ca="1" si="148"/>
        <v>—</v>
      </c>
      <c r="AE237" s="15">
        <f t="shared" ca="1" si="149"/>
        <v>7</v>
      </c>
      <c r="AF237" s="76" t="str">
        <f t="shared" ca="1" si="150"/>
        <v>—</v>
      </c>
      <c r="AG237" s="15">
        <f t="shared" ca="1" si="151"/>
        <v>7</v>
      </c>
      <c r="AH237" s="9" t="str">
        <f t="shared" ca="1" si="152"/>
        <v>—</v>
      </c>
      <c r="AI237" s="15">
        <f t="shared" ca="1" si="153"/>
        <v>7</v>
      </c>
      <c r="AJ237" s="26" t="str">
        <f t="shared" ca="1" si="154"/>
        <v>—</v>
      </c>
      <c r="AK237" s="15">
        <f t="shared" ca="1" si="155"/>
        <v>7</v>
      </c>
      <c r="AL237" s="9" t="str">
        <f t="shared" ca="1" si="156"/>
        <v>—</v>
      </c>
      <c r="AM237" s="15">
        <f t="shared" ca="1" si="157"/>
        <v>7</v>
      </c>
      <c r="AN237" s="9" t="str">
        <f t="shared" ca="1" si="158"/>
        <v>—</v>
      </c>
      <c r="AO237" s="15">
        <f t="shared" ca="1" si="159"/>
        <v>7</v>
      </c>
    </row>
    <row r="238" spans="1:41" x14ac:dyDescent="0.25">
      <c r="A238" s="4">
        <f t="shared" si="120"/>
        <v>78989</v>
      </c>
      <c r="B238" t="str">
        <f ca="1">TEXT(DATE(YEAR(Invoer!$A$5),1,1)+ROWS(B$2:B238)-1,"jjjjmmdd")</f>
        <v>19130825</v>
      </c>
      <c r="C238" s="72">
        <f t="shared" si="121"/>
        <v>800</v>
      </c>
      <c r="D238" s="16" t="str">
        <f t="shared" ca="1" si="122"/>
        <v>—</v>
      </c>
      <c r="E238" s="15">
        <f t="shared" ca="1" si="123"/>
        <v>7</v>
      </c>
      <c r="F238" s="73" t="str">
        <f t="shared" ca="1" si="124"/>
        <v>—</v>
      </c>
      <c r="G238" s="15">
        <f t="shared" ca="1" si="125"/>
        <v>7</v>
      </c>
      <c r="H238" s="73" t="str">
        <f t="shared" ca="1" si="126"/>
        <v>—</v>
      </c>
      <c r="I238" s="15">
        <f t="shared" ca="1" si="127"/>
        <v>7</v>
      </c>
      <c r="J238" s="73" t="str">
        <f t="shared" ca="1" si="128"/>
        <v>—</v>
      </c>
      <c r="K238" s="15">
        <f t="shared" ca="1" si="129"/>
        <v>7</v>
      </c>
      <c r="L238" s="16">
        <f t="shared" ca="1" si="130"/>
        <v>760.5</v>
      </c>
      <c r="M238" s="15">
        <f t="shared" ca="1" si="131"/>
        <v>0</v>
      </c>
      <c r="N238" s="16" t="str">
        <f t="shared" ca="1" si="132"/>
        <v>—</v>
      </c>
      <c r="O238" s="15">
        <f t="shared" ca="1" si="133"/>
        <v>7</v>
      </c>
      <c r="P238" s="16" t="str">
        <f t="shared" ca="1" si="134"/>
        <v>—</v>
      </c>
      <c r="Q238" s="15">
        <f t="shared" ca="1" si="135"/>
        <v>7</v>
      </c>
      <c r="R238" s="16" t="str">
        <f t="shared" ca="1" si="136"/>
        <v>—</v>
      </c>
      <c r="S238" s="15">
        <f t="shared" ca="1" si="137"/>
        <v>7</v>
      </c>
      <c r="T238" s="9" t="str">
        <f t="shared" ca="1" si="138"/>
        <v>—</v>
      </c>
      <c r="U238" s="15">
        <f t="shared" ca="1" si="139"/>
        <v>7</v>
      </c>
      <c r="V238" s="16" t="str">
        <f t="shared" ca="1" si="140"/>
        <v>—</v>
      </c>
      <c r="W238" s="15">
        <f t="shared" ca="1" si="141"/>
        <v>7</v>
      </c>
      <c r="X238" s="16" t="str">
        <f t="shared" ca="1" si="142"/>
        <v>—</v>
      </c>
      <c r="Y238" s="15">
        <f t="shared" ca="1" si="143"/>
        <v>7</v>
      </c>
      <c r="Z238" s="16" t="str">
        <f t="shared" ca="1" si="144"/>
        <v>—</v>
      </c>
      <c r="AA238" s="15">
        <f t="shared" ca="1" si="145"/>
        <v>7</v>
      </c>
      <c r="AB238" s="9">
        <f t="shared" ca="1" si="146"/>
        <v>90</v>
      </c>
      <c r="AC238" s="15">
        <f t="shared" ca="1" si="147"/>
        <v>0</v>
      </c>
      <c r="AD238" s="76" t="str">
        <f t="shared" ca="1" si="148"/>
        <v>—</v>
      </c>
      <c r="AE238" s="15">
        <f t="shared" ca="1" si="149"/>
        <v>7</v>
      </c>
      <c r="AF238" s="76" t="str">
        <f t="shared" ca="1" si="150"/>
        <v>—</v>
      </c>
      <c r="AG238" s="15">
        <f t="shared" ca="1" si="151"/>
        <v>7</v>
      </c>
      <c r="AH238" s="9" t="str">
        <f t="shared" ca="1" si="152"/>
        <v>—</v>
      </c>
      <c r="AI238" s="15">
        <f t="shared" ca="1" si="153"/>
        <v>7</v>
      </c>
      <c r="AJ238" s="26" t="str">
        <f t="shared" ca="1" si="154"/>
        <v>—</v>
      </c>
      <c r="AK238" s="15">
        <f t="shared" ca="1" si="155"/>
        <v>7</v>
      </c>
      <c r="AL238" s="9" t="str">
        <f t="shared" ca="1" si="156"/>
        <v>—</v>
      </c>
      <c r="AM238" s="15">
        <f t="shared" ca="1" si="157"/>
        <v>7</v>
      </c>
      <c r="AN238" s="9" t="str">
        <f t="shared" ca="1" si="158"/>
        <v>—</v>
      </c>
      <c r="AO238" s="15">
        <f t="shared" ca="1" si="159"/>
        <v>7</v>
      </c>
    </row>
    <row r="239" spans="1:41" x14ac:dyDescent="0.25">
      <c r="A239" s="4">
        <f t="shared" si="120"/>
        <v>78989</v>
      </c>
      <c r="B239" t="str">
        <f ca="1">TEXT(DATE(YEAR(Invoer!$A$5),1,1)+ROWS(B$2:B239)-1,"jjjjmmdd")</f>
        <v>19130826</v>
      </c>
      <c r="C239" s="72">
        <f t="shared" si="121"/>
        <v>800</v>
      </c>
      <c r="D239" s="16" t="str">
        <f t="shared" ca="1" si="122"/>
        <v>—</v>
      </c>
      <c r="E239" s="15">
        <f t="shared" ca="1" si="123"/>
        <v>7</v>
      </c>
      <c r="F239" s="73" t="str">
        <f t="shared" ca="1" si="124"/>
        <v>—</v>
      </c>
      <c r="G239" s="15">
        <f t="shared" ca="1" si="125"/>
        <v>7</v>
      </c>
      <c r="H239" s="73" t="str">
        <f t="shared" ca="1" si="126"/>
        <v>—</v>
      </c>
      <c r="I239" s="15">
        <f t="shared" ca="1" si="127"/>
        <v>7</v>
      </c>
      <c r="J239" s="73" t="str">
        <f t="shared" ca="1" si="128"/>
        <v>—</v>
      </c>
      <c r="K239" s="15">
        <f t="shared" ca="1" si="129"/>
        <v>7</v>
      </c>
      <c r="L239" s="16">
        <f t="shared" ca="1" si="130"/>
        <v>759</v>
      </c>
      <c r="M239" s="15">
        <f t="shared" ca="1" si="131"/>
        <v>0</v>
      </c>
      <c r="N239" s="16" t="str">
        <f t="shared" ca="1" si="132"/>
        <v>—</v>
      </c>
      <c r="O239" s="15">
        <f t="shared" ca="1" si="133"/>
        <v>7</v>
      </c>
      <c r="P239" s="16" t="str">
        <f t="shared" ca="1" si="134"/>
        <v>—</v>
      </c>
      <c r="Q239" s="15">
        <f t="shared" ca="1" si="135"/>
        <v>7</v>
      </c>
      <c r="R239" s="16" t="str">
        <f t="shared" ca="1" si="136"/>
        <v>—</v>
      </c>
      <c r="S239" s="15">
        <f t="shared" ca="1" si="137"/>
        <v>7</v>
      </c>
      <c r="T239" s="9" t="str">
        <f t="shared" ca="1" si="138"/>
        <v>—</v>
      </c>
      <c r="U239" s="15">
        <f t="shared" ca="1" si="139"/>
        <v>7</v>
      </c>
      <c r="V239" s="16" t="str">
        <f t="shared" ca="1" si="140"/>
        <v>—</v>
      </c>
      <c r="W239" s="15">
        <f t="shared" ca="1" si="141"/>
        <v>7</v>
      </c>
      <c r="X239" s="16" t="str">
        <f t="shared" ca="1" si="142"/>
        <v>—</v>
      </c>
      <c r="Y239" s="15">
        <f t="shared" ca="1" si="143"/>
        <v>7</v>
      </c>
      <c r="Z239" s="16" t="str">
        <f t="shared" ca="1" si="144"/>
        <v>—</v>
      </c>
      <c r="AA239" s="15">
        <f t="shared" ca="1" si="145"/>
        <v>7</v>
      </c>
      <c r="AB239" s="9">
        <f t="shared" ca="1" si="146"/>
        <v>135</v>
      </c>
      <c r="AC239" s="15">
        <f t="shared" ca="1" si="147"/>
        <v>0</v>
      </c>
      <c r="AD239" s="76" t="str">
        <f t="shared" ca="1" si="148"/>
        <v>—</v>
      </c>
      <c r="AE239" s="15">
        <f t="shared" ca="1" si="149"/>
        <v>7</v>
      </c>
      <c r="AF239" s="76" t="str">
        <f t="shared" ca="1" si="150"/>
        <v>—</v>
      </c>
      <c r="AG239" s="15">
        <f t="shared" ca="1" si="151"/>
        <v>7</v>
      </c>
      <c r="AH239" s="9" t="str">
        <f t="shared" ca="1" si="152"/>
        <v>—</v>
      </c>
      <c r="AI239" s="15">
        <f t="shared" ca="1" si="153"/>
        <v>7</v>
      </c>
      <c r="AJ239" s="26" t="str">
        <f t="shared" ca="1" si="154"/>
        <v>—</v>
      </c>
      <c r="AK239" s="15">
        <f t="shared" ca="1" si="155"/>
        <v>7</v>
      </c>
      <c r="AL239" s="9" t="str">
        <f t="shared" ca="1" si="156"/>
        <v>—</v>
      </c>
      <c r="AM239" s="15">
        <f t="shared" ca="1" si="157"/>
        <v>7</v>
      </c>
      <c r="AN239" s="9" t="str">
        <f t="shared" ca="1" si="158"/>
        <v>—</v>
      </c>
      <c r="AO239" s="15">
        <f t="shared" ca="1" si="159"/>
        <v>7</v>
      </c>
    </row>
    <row r="240" spans="1:41" x14ac:dyDescent="0.25">
      <c r="A240" s="4">
        <f t="shared" si="120"/>
        <v>78989</v>
      </c>
      <c r="B240" t="str">
        <f ca="1">TEXT(DATE(YEAR(Invoer!$A$5),1,1)+ROWS(B$2:B240)-1,"jjjjmmdd")</f>
        <v>19130827</v>
      </c>
      <c r="C240" s="72">
        <f t="shared" si="121"/>
        <v>800</v>
      </c>
      <c r="D240" s="16" t="str">
        <f t="shared" ca="1" si="122"/>
        <v>—</v>
      </c>
      <c r="E240" s="15">
        <f t="shared" ca="1" si="123"/>
        <v>7</v>
      </c>
      <c r="F240" s="73" t="str">
        <f t="shared" ca="1" si="124"/>
        <v>—</v>
      </c>
      <c r="G240" s="15">
        <f t="shared" ca="1" si="125"/>
        <v>7</v>
      </c>
      <c r="H240" s="73" t="str">
        <f t="shared" ca="1" si="126"/>
        <v>—</v>
      </c>
      <c r="I240" s="15">
        <f t="shared" ca="1" si="127"/>
        <v>7</v>
      </c>
      <c r="J240" s="73" t="str">
        <f t="shared" ca="1" si="128"/>
        <v>—</v>
      </c>
      <c r="K240" s="15">
        <f t="shared" ca="1" si="129"/>
        <v>7</v>
      </c>
      <c r="L240" s="16">
        <f t="shared" ca="1" si="130"/>
        <v>760</v>
      </c>
      <c r="M240" s="15">
        <f t="shared" ca="1" si="131"/>
        <v>0</v>
      </c>
      <c r="N240" s="16" t="str">
        <f t="shared" ca="1" si="132"/>
        <v>—</v>
      </c>
      <c r="O240" s="15">
        <f t="shared" ca="1" si="133"/>
        <v>7</v>
      </c>
      <c r="P240" s="16" t="str">
        <f t="shared" ca="1" si="134"/>
        <v>—</v>
      </c>
      <c r="Q240" s="15">
        <f t="shared" ca="1" si="135"/>
        <v>7</v>
      </c>
      <c r="R240" s="16" t="str">
        <f t="shared" ca="1" si="136"/>
        <v>—</v>
      </c>
      <c r="S240" s="15">
        <f t="shared" ca="1" si="137"/>
        <v>7</v>
      </c>
      <c r="T240" s="9" t="str">
        <f t="shared" ca="1" si="138"/>
        <v>—</v>
      </c>
      <c r="U240" s="15">
        <f t="shared" ca="1" si="139"/>
        <v>7</v>
      </c>
      <c r="V240" s="16" t="str">
        <f t="shared" ca="1" si="140"/>
        <v>—</v>
      </c>
      <c r="W240" s="15">
        <f t="shared" ca="1" si="141"/>
        <v>7</v>
      </c>
      <c r="X240" s="16" t="str">
        <f t="shared" ca="1" si="142"/>
        <v>—</v>
      </c>
      <c r="Y240" s="15">
        <f t="shared" ca="1" si="143"/>
        <v>7</v>
      </c>
      <c r="Z240" s="16" t="str">
        <f t="shared" ca="1" si="144"/>
        <v>—</v>
      </c>
      <c r="AA240" s="15">
        <f t="shared" ca="1" si="145"/>
        <v>7</v>
      </c>
      <c r="AB240" s="9">
        <f t="shared" ca="1" si="146"/>
        <v>90</v>
      </c>
      <c r="AC240" s="15">
        <f t="shared" ca="1" si="147"/>
        <v>0</v>
      </c>
      <c r="AD240" s="76" t="str">
        <f t="shared" ca="1" si="148"/>
        <v>—</v>
      </c>
      <c r="AE240" s="15">
        <f t="shared" ca="1" si="149"/>
        <v>7</v>
      </c>
      <c r="AF240" s="76" t="str">
        <f t="shared" ca="1" si="150"/>
        <v>—</v>
      </c>
      <c r="AG240" s="15">
        <f t="shared" ca="1" si="151"/>
        <v>7</v>
      </c>
      <c r="AH240" s="9" t="str">
        <f t="shared" ca="1" si="152"/>
        <v>—</v>
      </c>
      <c r="AI240" s="15">
        <f t="shared" ca="1" si="153"/>
        <v>7</v>
      </c>
      <c r="AJ240" s="26" t="str">
        <f t="shared" ca="1" si="154"/>
        <v>—</v>
      </c>
      <c r="AK240" s="15">
        <f t="shared" ca="1" si="155"/>
        <v>7</v>
      </c>
      <c r="AL240" s="9" t="str">
        <f t="shared" ca="1" si="156"/>
        <v>—</v>
      </c>
      <c r="AM240" s="15">
        <f t="shared" ca="1" si="157"/>
        <v>7</v>
      </c>
      <c r="AN240" s="9" t="str">
        <f t="shared" ca="1" si="158"/>
        <v>—</v>
      </c>
      <c r="AO240" s="15">
        <f t="shared" ca="1" si="159"/>
        <v>7</v>
      </c>
    </row>
    <row r="241" spans="1:41" x14ac:dyDescent="0.25">
      <c r="A241" s="4">
        <f t="shared" si="120"/>
        <v>78989</v>
      </c>
      <c r="B241" t="str">
        <f ca="1">TEXT(DATE(YEAR(Invoer!$A$5),1,1)+ROWS(B$2:B241)-1,"jjjjmmdd")</f>
        <v>19130828</v>
      </c>
      <c r="C241" s="72">
        <f t="shared" si="121"/>
        <v>800</v>
      </c>
      <c r="D241" s="16" t="str">
        <f t="shared" ca="1" si="122"/>
        <v>—</v>
      </c>
      <c r="E241" s="15">
        <f t="shared" ca="1" si="123"/>
        <v>7</v>
      </c>
      <c r="F241" s="73" t="str">
        <f t="shared" ca="1" si="124"/>
        <v>—</v>
      </c>
      <c r="G241" s="15">
        <f t="shared" ca="1" si="125"/>
        <v>7</v>
      </c>
      <c r="H241" s="73" t="str">
        <f t="shared" ca="1" si="126"/>
        <v>—</v>
      </c>
      <c r="I241" s="15">
        <f t="shared" ca="1" si="127"/>
        <v>7</v>
      </c>
      <c r="J241" s="73" t="str">
        <f t="shared" ca="1" si="128"/>
        <v>—</v>
      </c>
      <c r="K241" s="15">
        <f t="shared" ca="1" si="129"/>
        <v>7</v>
      </c>
      <c r="L241" s="16">
        <f t="shared" ca="1" si="130"/>
        <v>760</v>
      </c>
      <c r="M241" s="15">
        <f t="shared" ca="1" si="131"/>
        <v>0</v>
      </c>
      <c r="N241" s="16" t="str">
        <f t="shared" ca="1" si="132"/>
        <v>—</v>
      </c>
      <c r="O241" s="15">
        <f t="shared" ca="1" si="133"/>
        <v>7</v>
      </c>
      <c r="P241" s="16" t="str">
        <f t="shared" ca="1" si="134"/>
        <v>—</v>
      </c>
      <c r="Q241" s="15">
        <f t="shared" ca="1" si="135"/>
        <v>7</v>
      </c>
      <c r="R241" s="16" t="str">
        <f t="shared" ca="1" si="136"/>
        <v>—</v>
      </c>
      <c r="S241" s="15">
        <f t="shared" ca="1" si="137"/>
        <v>7</v>
      </c>
      <c r="T241" s="9" t="str">
        <f t="shared" ca="1" si="138"/>
        <v>—</v>
      </c>
      <c r="U241" s="15">
        <f t="shared" ca="1" si="139"/>
        <v>7</v>
      </c>
      <c r="V241" s="16" t="str">
        <f t="shared" ca="1" si="140"/>
        <v>—</v>
      </c>
      <c r="W241" s="15">
        <f t="shared" ca="1" si="141"/>
        <v>7</v>
      </c>
      <c r="X241" s="16" t="str">
        <f t="shared" ca="1" si="142"/>
        <v>—</v>
      </c>
      <c r="Y241" s="15">
        <f t="shared" ca="1" si="143"/>
        <v>7</v>
      </c>
      <c r="Z241" s="16" t="str">
        <f t="shared" ca="1" si="144"/>
        <v>—</v>
      </c>
      <c r="AA241" s="15">
        <f t="shared" ca="1" si="145"/>
        <v>7</v>
      </c>
      <c r="AB241" s="9">
        <f t="shared" ca="1" si="146"/>
        <v>135</v>
      </c>
      <c r="AC241" s="15">
        <f t="shared" ca="1" si="147"/>
        <v>0</v>
      </c>
      <c r="AD241" s="76" t="str">
        <f t="shared" ca="1" si="148"/>
        <v>—</v>
      </c>
      <c r="AE241" s="15">
        <f t="shared" ca="1" si="149"/>
        <v>7</v>
      </c>
      <c r="AF241" s="76" t="str">
        <f t="shared" ca="1" si="150"/>
        <v>—</v>
      </c>
      <c r="AG241" s="15">
        <f t="shared" ca="1" si="151"/>
        <v>7</v>
      </c>
      <c r="AH241" s="9" t="str">
        <f t="shared" ca="1" si="152"/>
        <v>—</v>
      </c>
      <c r="AI241" s="15">
        <f t="shared" ca="1" si="153"/>
        <v>7</v>
      </c>
      <c r="AJ241" s="26" t="str">
        <f t="shared" ca="1" si="154"/>
        <v>—</v>
      </c>
      <c r="AK241" s="15">
        <f t="shared" ca="1" si="155"/>
        <v>7</v>
      </c>
      <c r="AL241" s="9" t="str">
        <f t="shared" ca="1" si="156"/>
        <v>—</v>
      </c>
      <c r="AM241" s="15">
        <f t="shared" ca="1" si="157"/>
        <v>7</v>
      </c>
      <c r="AN241" s="9" t="str">
        <f t="shared" ca="1" si="158"/>
        <v>—</v>
      </c>
      <c r="AO241" s="15">
        <f t="shared" ca="1" si="159"/>
        <v>7</v>
      </c>
    </row>
    <row r="242" spans="1:41" x14ac:dyDescent="0.25">
      <c r="A242" s="4">
        <f t="shared" si="120"/>
        <v>78989</v>
      </c>
      <c r="B242" t="str">
        <f ca="1">TEXT(DATE(YEAR(Invoer!$A$5),1,1)+ROWS(B$2:B242)-1,"jjjjmmdd")</f>
        <v>19130829</v>
      </c>
      <c r="C242" s="72">
        <f t="shared" si="121"/>
        <v>800</v>
      </c>
      <c r="D242" s="16" t="str">
        <f t="shared" ca="1" si="122"/>
        <v>—</v>
      </c>
      <c r="E242" s="15">
        <f t="shared" ca="1" si="123"/>
        <v>7</v>
      </c>
      <c r="F242" s="73" t="str">
        <f t="shared" ca="1" si="124"/>
        <v>—</v>
      </c>
      <c r="G242" s="15">
        <f t="shared" ca="1" si="125"/>
        <v>7</v>
      </c>
      <c r="H242" s="73" t="str">
        <f t="shared" ca="1" si="126"/>
        <v>—</v>
      </c>
      <c r="I242" s="15">
        <f t="shared" ca="1" si="127"/>
        <v>7</v>
      </c>
      <c r="J242" s="73" t="str">
        <f t="shared" ca="1" si="128"/>
        <v>—</v>
      </c>
      <c r="K242" s="15">
        <f t="shared" ca="1" si="129"/>
        <v>7</v>
      </c>
      <c r="L242" s="16">
        <f t="shared" ca="1" si="130"/>
        <v>759</v>
      </c>
      <c r="M242" s="15">
        <f t="shared" ca="1" si="131"/>
        <v>0</v>
      </c>
      <c r="N242" s="16" t="str">
        <f t="shared" ca="1" si="132"/>
        <v>—</v>
      </c>
      <c r="O242" s="15">
        <f t="shared" ca="1" si="133"/>
        <v>7</v>
      </c>
      <c r="P242" s="16" t="str">
        <f t="shared" ca="1" si="134"/>
        <v>—</v>
      </c>
      <c r="Q242" s="15">
        <f t="shared" ca="1" si="135"/>
        <v>7</v>
      </c>
      <c r="R242" s="16" t="str">
        <f t="shared" ca="1" si="136"/>
        <v>—</v>
      </c>
      <c r="S242" s="15">
        <f t="shared" ca="1" si="137"/>
        <v>7</v>
      </c>
      <c r="T242" s="9" t="str">
        <f t="shared" ca="1" si="138"/>
        <v>—</v>
      </c>
      <c r="U242" s="15">
        <f t="shared" ca="1" si="139"/>
        <v>7</v>
      </c>
      <c r="V242" s="16" t="str">
        <f t="shared" ca="1" si="140"/>
        <v>—</v>
      </c>
      <c r="W242" s="15">
        <f t="shared" ca="1" si="141"/>
        <v>7</v>
      </c>
      <c r="X242" s="16" t="str">
        <f t="shared" ca="1" si="142"/>
        <v>—</v>
      </c>
      <c r="Y242" s="15">
        <f t="shared" ca="1" si="143"/>
        <v>7</v>
      </c>
      <c r="Z242" s="16" t="str">
        <f t="shared" ca="1" si="144"/>
        <v>—</v>
      </c>
      <c r="AA242" s="15">
        <f t="shared" ca="1" si="145"/>
        <v>7</v>
      </c>
      <c r="AB242" s="9">
        <f t="shared" ca="1" si="146"/>
        <v>135</v>
      </c>
      <c r="AC242" s="15">
        <f t="shared" ca="1" si="147"/>
        <v>0</v>
      </c>
      <c r="AD242" s="76" t="str">
        <f t="shared" ca="1" si="148"/>
        <v>—</v>
      </c>
      <c r="AE242" s="15">
        <f t="shared" ca="1" si="149"/>
        <v>7</v>
      </c>
      <c r="AF242" s="76" t="str">
        <f t="shared" ca="1" si="150"/>
        <v>—</v>
      </c>
      <c r="AG242" s="15">
        <f t="shared" ca="1" si="151"/>
        <v>7</v>
      </c>
      <c r="AH242" s="9" t="str">
        <f t="shared" ca="1" si="152"/>
        <v>—</v>
      </c>
      <c r="AI242" s="15">
        <f t="shared" ca="1" si="153"/>
        <v>7</v>
      </c>
      <c r="AJ242" s="26" t="str">
        <f t="shared" ca="1" si="154"/>
        <v>—</v>
      </c>
      <c r="AK242" s="15">
        <f t="shared" ca="1" si="155"/>
        <v>7</v>
      </c>
      <c r="AL242" s="9" t="str">
        <f t="shared" ca="1" si="156"/>
        <v>—</v>
      </c>
      <c r="AM242" s="15">
        <f t="shared" ca="1" si="157"/>
        <v>7</v>
      </c>
      <c r="AN242" s="9" t="str">
        <f t="shared" ca="1" si="158"/>
        <v>—</v>
      </c>
      <c r="AO242" s="15">
        <f t="shared" ca="1" si="159"/>
        <v>7</v>
      </c>
    </row>
    <row r="243" spans="1:41" x14ac:dyDescent="0.25">
      <c r="A243" s="4">
        <f t="shared" si="120"/>
        <v>78989</v>
      </c>
      <c r="B243" t="str">
        <f ca="1">TEXT(DATE(YEAR(Invoer!$A$5),1,1)+ROWS(B$2:B243)-1,"jjjjmmdd")</f>
        <v>19130830</v>
      </c>
      <c r="C243" s="72">
        <f t="shared" si="121"/>
        <v>800</v>
      </c>
      <c r="D243" s="16" t="str">
        <f t="shared" ca="1" si="122"/>
        <v>—</v>
      </c>
      <c r="E243" s="15">
        <f t="shared" ca="1" si="123"/>
        <v>7</v>
      </c>
      <c r="F243" s="73" t="str">
        <f t="shared" ca="1" si="124"/>
        <v>—</v>
      </c>
      <c r="G243" s="15">
        <f t="shared" ca="1" si="125"/>
        <v>7</v>
      </c>
      <c r="H243" s="73" t="str">
        <f t="shared" ca="1" si="126"/>
        <v>—</v>
      </c>
      <c r="I243" s="15">
        <f t="shared" ca="1" si="127"/>
        <v>7</v>
      </c>
      <c r="J243" s="73" t="str">
        <f t="shared" ca="1" si="128"/>
        <v>—</v>
      </c>
      <c r="K243" s="15">
        <f t="shared" ca="1" si="129"/>
        <v>7</v>
      </c>
      <c r="L243" s="16">
        <f t="shared" ca="1" si="130"/>
        <v>758.4</v>
      </c>
      <c r="M243" s="15">
        <f t="shared" ca="1" si="131"/>
        <v>0</v>
      </c>
      <c r="N243" s="16" t="str">
        <f t="shared" ca="1" si="132"/>
        <v>—</v>
      </c>
      <c r="O243" s="15">
        <f t="shared" ca="1" si="133"/>
        <v>7</v>
      </c>
      <c r="P243" s="16" t="str">
        <f t="shared" ca="1" si="134"/>
        <v>—</v>
      </c>
      <c r="Q243" s="15">
        <f t="shared" ca="1" si="135"/>
        <v>7</v>
      </c>
      <c r="R243" s="16" t="str">
        <f t="shared" ca="1" si="136"/>
        <v>—</v>
      </c>
      <c r="S243" s="15">
        <f t="shared" ca="1" si="137"/>
        <v>7</v>
      </c>
      <c r="T243" s="9" t="str">
        <f t="shared" ca="1" si="138"/>
        <v>—</v>
      </c>
      <c r="U243" s="15">
        <f t="shared" ca="1" si="139"/>
        <v>7</v>
      </c>
      <c r="V243" s="16" t="str">
        <f t="shared" ca="1" si="140"/>
        <v>—</v>
      </c>
      <c r="W243" s="15">
        <f t="shared" ca="1" si="141"/>
        <v>7</v>
      </c>
      <c r="X243" s="16" t="str">
        <f t="shared" ca="1" si="142"/>
        <v>—</v>
      </c>
      <c r="Y243" s="15">
        <f t="shared" ca="1" si="143"/>
        <v>7</v>
      </c>
      <c r="Z243" s="16" t="str">
        <f t="shared" ca="1" si="144"/>
        <v>—</v>
      </c>
      <c r="AA243" s="15">
        <f t="shared" ca="1" si="145"/>
        <v>7</v>
      </c>
      <c r="AB243" s="9">
        <f t="shared" ca="1" si="146"/>
        <v>90</v>
      </c>
      <c r="AC243" s="15">
        <f t="shared" ca="1" si="147"/>
        <v>0</v>
      </c>
      <c r="AD243" s="76" t="str">
        <f t="shared" ca="1" si="148"/>
        <v>—</v>
      </c>
      <c r="AE243" s="15">
        <f t="shared" ca="1" si="149"/>
        <v>7</v>
      </c>
      <c r="AF243" s="76" t="str">
        <f t="shared" ca="1" si="150"/>
        <v>—</v>
      </c>
      <c r="AG243" s="15">
        <f t="shared" ca="1" si="151"/>
        <v>7</v>
      </c>
      <c r="AH243" s="9" t="str">
        <f t="shared" ca="1" si="152"/>
        <v>—</v>
      </c>
      <c r="AI243" s="15">
        <f t="shared" ca="1" si="153"/>
        <v>7</v>
      </c>
      <c r="AJ243" s="26" t="str">
        <f t="shared" ca="1" si="154"/>
        <v>—</v>
      </c>
      <c r="AK243" s="15">
        <f t="shared" ca="1" si="155"/>
        <v>7</v>
      </c>
      <c r="AL243" s="9" t="str">
        <f t="shared" ca="1" si="156"/>
        <v>—</v>
      </c>
      <c r="AM243" s="15">
        <f t="shared" ca="1" si="157"/>
        <v>7</v>
      </c>
      <c r="AN243" s="9" t="str">
        <f t="shared" ca="1" si="158"/>
        <v>—</v>
      </c>
      <c r="AO243" s="15">
        <f t="shared" ca="1" si="159"/>
        <v>7</v>
      </c>
    </row>
    <row r="244" spans="1:41" x14ac:dyDescent="0.25">
      <c r="A244" s="4">
        <f t="shared" si="120"/>
        <v>78989</v>
      </c>
      <c r="B244" t="str">
        <f ca="1">TEXT(DATE(YEAR(Invoer!$A$5),1,1)+ROWS(B$2:B244)-1,"jjjjmmdd")</f>
        <v>19130831</v>
      </c>
      <c r="C244" s="72">
        <f t="shared" si="121"/>
        <v>800</v>
      </c>
      <c r="D244" s="16" t="str">
        <f t="shared" ca="1" si="122"/>
        <v>—</v>
      </c>
      <c r="E244" s="15">
        <f t="shared" ca="1" si="123"/>
        <v>7</v>
      </c>
      <c r="F244" s="73" t="str">
        <f t="shared" ca="1" si="124"/>
        <v>—</v>
      </c>
      <c r="G244" s="15">
        <f t="shared" ca="1" si="125"/>
        <v>7</v>
      </c>
      <c r="H244" s="73" t="str">
        <f t="shared" ca="1" si="126"/>
        <v>—</v>
      </c>
      <c r="I244" s="15">
        <f t="shared" ca="1" si="127"/>
        <v>7</v>
      </c>
      <c r="J244" s="73" t="str">
        <f t="shared" ca="1" si="128"/>
        <v>—</v>
      </c>
      <c r="K244" s="15">
        <f t="shared" ca="1" si="129"/>
        <v>7</v>
      </c>
      <c r="L244" s="16">
        <f t="shared" ca="1" si="130"/>
        <v>759.5</v>
      </c>
      <c r="M244" s="15">
        <f t="shared" ca="1" si="131"/>
        <v>0</v>
      </c>
      <c r="N244" s="16" t="str">
        <f t="shared" ca="1" si="132"/>
        <v>—</v>
      </c>
      <c r="O244" s="15">
        <f t="shared" ca="1" si="133"/>
        <v>7</v>
      </c>
      <c r="P244" s="16" t="str">
        <f t="shared" ca="1" si="134"/>
        <v>—</v>
      </c>
      <c r="Q244" s="15">
        <f t="shared" ca="1" si="135"/>
        <v>7</v>
      </c>
      <c r="R244" s="16" t="str">
        <f t="shared" ca="1" si="136"/>
        <v>—</v>
      </c>
      <c r="S244" s="15">
        <f t="shared" ca="1" si="137"/>
        <v>7</v>
      </c>
      <c r="T244" s="9" t="str">
        <f t="shared" ca="1" si="138"/>
        <v>—</v>
      </c>
      <c r="U244" s="15">
        <f t="shared" ca="1" si="139"/>
        <v>7</v>
      </c>
      <c r="V244" s="16" t="str">
        <f t="shared" ca="1" si="140"/>
        <v>—</v>
      </c>
      <c r="W244" s="15">
        <f t="shared" ca="1" si="141"/>
        <v>7</v>
      </c>
      <c r="X244" s="16" t="str">
        <f t="shared" ca="1" si="142"/>
        <v>—</v>
      </c>
      <c r="Y244" s="15">
        <f t="shared" ca="1" si="143"/>
        <v>7</v>
      </c>
      <c r="Z244" s="16" t="str">
        <f t="shared" ca="1" si="144"/>
        <v>—</v>
      </c>
      <c r="AA244" s="15">
        <f t="shared" ca="1" si="145"/>
        <v>7</v>
      </c>
      <c r="AB244" s="9">
        <f t="shared" ca="1" si="146"/>
        <v>135</v>
      </c>
      <c r="AC244" s="15">
        <f t="shared" ca="1" si="147"/>
        <v>0</v>
      </c>
      <c r="AD244" s="76" t="str">
        <f t="shared" ca="1" si="148"/>
        <v>—</v>
      </c>
      <c r="AE244" s="15">
        <f t="shared" ca="1" si="149"/>
        <v>7</v>
      </c>
      <c r="AF244" s="76" t="str">
        <f t="shared" ca="1" si="150"/>
        <v>—</v>
      </c>
      <c r="AG244" s="15">
        <f t="shared" ca="1" si="151"/>
        <v>7</v>
      </c>
      <c r="AH244" s="9" t="str">
        <f t="shared" ca="1" si="152"/>
        <v>—</v>
      </c>
      <c r="AI244" s="15">
        <f t="shared" ca="1" si="153"/>
        <v>7</v>
      </c>
      <c r="AJ244" s="26" t="str">
        <f t="shared" ca="1" si="154"/>
        <v>—</v>
      </c>
      <c r="AK244" s="15">
        <f t="shared" ca="1" si="155"/>
        <v>7</v>
      </c>
      <c r="AL244" s="9" t="str">
        <f t="shared" ca="1" si="156"/>
        <v>—</v>
      </c>
      <c r="AM244" s="15">
        <f t="shared" ca="1" si="157"/>
        <v>7</v>
      </c>
      <c r="AN244" s="9" t="str">
        <f t="shared" ca="1" si="158"/>
        <v>—</v>
      </c>
      <c r="AO244" s="15">
        <f t="shared" ca="1" si="159"/>
        <v>7</v>
      </c>
    </row>
    <row r="245" spans="1:41" x14ac:dyDescent="0.25">
      <c r="A245" s="4">
        <f t="shared" si="120"/>
        <v>78989</v>
      </c>
      <c r="B245" t="str">
        <f ca="1">TEXT(DATE(YEAR(Invoer!$A$5),1,1)+ROWS(B$2:B245)-1,"jjjjmmdd")</f>
        <v>19130901</v>
      </c>
      <c r="C245" s="72">
        <f t="shared" si="121"/>
        <v>800</v>
      </c>
      <c r="D245" s="16" t="str">
        <f t="shared" ca="1" si="122"/>
        <v>—</v>
      </c>
      <c r="E245" s="15">
        <f t="shared" ca="1" si="123"/>
        <v>7</v>
      </c>
      <c r="F245" s="73" t="str">
        <f t="shared" ca="1" si="124"/>
        <v>—</v>
      </c>
      <c r="G245" s="15">
        <f t="shared" ca="1" si="125"/>
        <v>7</v>
      </c>
      <c r="H245" s="73" t="str">
        <f t="shared" ca="1" si="126"/>
        <v>—</v>
      </c>
      <c r="I245" s="15">
        <f t="shared" ca="1" si="127"/>
        <v>7</v>
      </c>
      <c r="J245" s="73" t="str">
        <f t="shared" ca="1" si="128"/>
        <v>—</v>
      </c>
      <c r="K245" s="15">
        <f t="shared" ca="1" si="129"/>
        <v>7</v>
      </c>
      <c r="L245" s="16">
        <f t="shared" ca="1" si="130"/>
        <v>760.5</v>
      </c>
      <c r="M245" s="15">
        <f t="shared" ca="1" si="131"/>
        <v>0</v>
      </c>
      <c r="N245" s="16" t="str">
        <f t="shared" ca="1" si="132"/>
        <v>—</v>
      </c>
      <c r="O245" s="15">
        <f t="shared" ca="1" si="133"/>
        <v>7</v>
      </c>
      <c r="P245" s="16" t="str">
        <f t="shared" ca="1" si="134"/>
        <v>—</v>
      </c>
      <c r="Q245" s="15">
        <f t="shared" ca="1" si="135"/>
        <v>7</v>
      </c>
      <c r="R245" s="16" t="str">
        <f t="shared" ca="1" si="136"/>
        <v>—</v>
      </c>
      <c r="S245" s="15">
        <f t="shared" ca="1" si="137"/>
        <v>7</v>
      </c>
      <c r="T245" s="9" t="str">
        <f t="shared" ca="1" si="138"/>
        <v>—</v>
      </c>
      <c r="U245" s="15">
        <f t="shared" ca="1" si="139"/>
        <v>7</v>
      </c>
      <c r="V245" s="16" t="str">
        <f t="shared" ca="1" si="140"/>
        <v>—</v>
      </c>
      <c r="W245" s="15">
        <f t="shared" ca="1" si="141"/>
        <v>7</v>
      </c>
      <c r="X245" s="16" t="str">
        <f t="shared" ca="1" si="142"/>
        <v>—</v>
      </c>
      <c r="Y245" s="15">
        <f t="shared" ca="1" si="143"/>
        <v>7</v>
      </c>
      <c r="Z245" s="16" t="str">
        <f t="shared" ca="1" si="144"/>
        <v>—</v>
      </c>
      <c r="AA245" s="15">
        <f t="shared" ca="1" si="145"/>
        <v>7</v>
      </c>
      <c r="AB245" s="9">
        <f t="shared" ca="1" si="146"/>
        <v>90</v>
      </c>
      <c r="AC245" s="15">
        <f t="shared" ca="1" si="147"/>
        <v>0</v>
      </c>
      <c r="AD245" s="76" t="str">
        <f t="shared" ca="1" si="148"/>
        <v>—</v>
      </c>
      <c r="AE245" s="15">
        <f t="shared" ca="1" si="149"/>
        <v>7</v>
      </c>
      <c r="AF245" s="76" t="str">
        <f t="shared" ca="1" si="150"/>
        <v>—</v>
      </c>
      <c r="AG245" s="15">
        <f t="shared" ca="1" si="151"/>
        <v>7</v>
      </c>
      <c r="AH245" s="9" t="str">
        <f t="shared" ca="1" si="152"/>
        <v>—</v>
      </c>
      <c r="AI245" s="15">
        <f t="shared" ca="1" si="153"/>
        <v>7</v>
      </c>
      <c r="AJ245" s="26" t="str">
        <f t="shared" ca="1" si="154"/>
        <v>—</v>
      </c>
      <c r="AK245" s="15">
        <f t="shared" ca="1" si="155"/>
        <v>7</v>
      </c>
      <c r="AL245" s="9" t="str">
        <f t="shared" ca="1" si="156"/>
        <v>—</v>
      </c>
      <c r="AM245" s="15">
        <f t="shared" ca="1" si="157"/>
        <v>7</v>
      </c>
      <c r="AN245" s="9" t="str">
        <f t="shared" ca="1" si="158"/>
        <v>—</v>
      </c>
      <c r="AO245" s="15">
        <f t="shared" ca="1" si="159"/>
        <v>7</v>
      </c>
    </row>
    <row r="246" spans="1:41" x14ac:dyDescent="0.25">
      <c r="A246" s="4">
        <f t="shared" si="120"/>
        <v>78989</v>
      </c>
      <c r="B246" t="str">
        <f ca="1">TEXT(DATE(YEAR(Invoer!$A$5),1,1)+ROWS(B$2:B246)-1,"jjjjmmdd")</f>
        <v>19130902</v>
      </c>
      <c r="C246" s="72">
        <f t="shared" si="121"/>
        <v>800</v>
      </c>
      <c r="D246" s="16" t="str">
        <f t="shared" ca="1" si="122"/>
        <v>—</v>
      </c>
      <c r="E246" s="15">
        <f t="shared" ca="1" si="123"/>
        <v>7</v>
      </c>
      <c r="F246" s="73" t="str">
        <f t="shared" ca="1" si="124"/>
        <v>—</v>
      </c>
      <c r="G246" s="15">
        <f t="shared" ca="1" si="125"/>
        <v>7</v>
      </c>
      <c r="H246" s="73" t="str">
        <f t="shared" ca="1" si="126"/>
        <v>—</v>
      </c>
      <c r="I246" s="15">
        <f t="shared" ca="1" si="127"/>
        <v>7</v>
      </c>
      <c r="J246" s="73" t="str">
        <f t="shared" ca="1" si="128"/>
        <v>—</v>
      </c>
      <c r="K246" s="15">
        <f t="shared" ca="1" si="129"/>
        <v>7</v>
      </c>
      <c r="L246" s="16">
        <f t="shared" ca="1" si="130"/>
        <v>759.5</v>
      </c>
      <c r="M246" s="15">
        <f t="shared" ca="1" si="131"/>
        <v>0</v>
      </c>
      <c r="N246" s="16" t="str">
        <f t="shared" ca="1" si="132"/>
        <v>—</v>
      </c>
      <c r="O246" s="15">
        <f t="shared" ca="1" si="133"/>
        <v>7</v>
      </c>
      <c r="P246" s="16" t="str">
        <f t="shared" ca="1" si="134"/>
        <v>—</v>
      </c>
      <c r="Q246" s="15">
        <f t="shared" ca="1" si="135"/>
        <v>7</v>
      </c>
      <c r="R246" s="16" t="str">
        <f t="shared" ca="1" si="136"/>
        <v>—</v>
      </c>
      <c r="S246" s="15">
        <f t="shared" ca="1" si="137"/>
        <v>7</v>
      </c>
      <c r="T246" s="9" t="str">
        <f t="shared" ca="1" si="138"/>
        <v>—</v>
      </c>
      <c r="U246" s="15">
        <f t="shared" ca="1" si="139"/>
        <v>7</v>
      </c>
      <c r="V246" s="16" t="str">
        <f t="shared" ca="1" si="140"/>
        <v>—</v>
      </c>
      <c r="W246" s="15">
        <f t="shared" ca="1" si="141"/>
        <v>7</v>
      </c>
      <c r="X246" s="16" t="str">
        <f t="shared" ca="1" si="142"/>
        <v>—</v>
      </c>
      <c r="Y246" s="15">
        <f t="shared" ca="1" si="143"/>
        <v>7</v>
      </c>
      <c r="Z246" s="16" t="str">
        <f t="shared" ca="1" si="144"/>
        <v>—</v>
      </c>
      <c r="AA246" s="15">
        <f t="shared" ca="1" si="145"/>
        <v>7</v>
      </c>
      <c r="AB246" s="9">
        <f t="shared" ca="1" si="146"/>
        <v>90</v>
      </c>
      <c r="AC246" s="15">
        <f t="shared" ca="1" si="147"/>
        <v>0</v>
      </c>
      <c r="AD246" s="76" t="str">
        <f t="shared" ca="1" si="148"/>
        <v>—</v>
      </c>
      <c r="AE246" s="15">
        <f t="shared" ca="1" si="149"/>
        <v>7</v>
      </c>
      <c r="AF246" s="76" t="str">
        <f t="shared" ca="1" si="150"/>
        <v>—</v>
      </c>
      <c r="AG246" s="15">
        <f t="shared" ca="1" si="151"/>
        <v>7</v>
      </c>
      <c r="AH246" s="9" t="str">
        <f t="shared" ca="1" si="152"/>
        <v>—</v>
      </c>
      <c r="AI246" s="15">
        <f t="shared" ca="1" si="153"/>
        <v>7</v>
      </c>
      <c r="AJ246" s="26" t="str">
        <f t="shared" ca="1" si="154"/>
        <v>—</v>
      </c>
      <c r="AK246" s="15">
        <f t="shared" ca="1" si="155"/>
        <v>7</v>
      </c>
      <c r="AL246" s="9" t="str">
        <f t="shared" ca="1" si="156"/>
        <v>—</v>
      </c>
      <c r="AM246" s="15">
        <f t="shared" ca="1" si="157"/>
        <v>7</v>
      </c>
      <c r="AN246" s="9" t="str">
        <f t="shared" ca="1" si="158"/>
        <v>—</v>
      </c>
      <c r="AO246" s="15">
        <f t="shared" ca="1" si="159"/>
        <v>7</v>
      </c>
    </row>
    <row r="247" spans="1:41" x14ac:dyDescent="0.25">
      <c r="A247" s="4">
        <f t="shared" si="120"/>
        <v>78989</v>
      </c>
      <c r="B247" t="str">
        <f ca="1">TEXT(DATE(YEAR(Invoer!$A$5),1,1)+ROWS(B$2:B247)-1,"jjjjmmdd")</f>
        <v>19130903</v>
      </c>
      <c r="C247" s="72">
        <f t="shared" si="121"/>
        <v>800</v>
      </c>
      <c r="D247" s="16" t="str">
        <f t="shared" ca="1" si="122"/>
        <v>—</v>
      </c>
      <c r="E247" s="15">
        <f t="shared" ca="1" si="123"/>
        <v>7</v>
      </c>
      <c r="F247" s="73" t="str">
        <f t="shared" ca="1" si="124"/>
        <v>—</v>
      </c>
      <c r="G247" s="15">
        <f t="shared" ca="1" si="125"/>
        <v>7</v>
      </c>
      <c r="H247" s="73" t="str">
        <f t="shared" ca="1" si="126"/>
        <v>—</v>
      </c>
      <c r="I247" s="15">
        <f t="shared" ca="1" si="127"/>
        <v>7</v>
      </c>
      <c r="J247" s="73" t="str">
        <f t="shared" ca="1" si="128"/>
        <v>—</v>
      </c>
      <c r="K247" s="15">
        <f t="shared" ca="1" si="129"/>
        <v>7</v>
      </c>
      <c r="L247" s="16" t="str">
        <f t="shared" ca="1" si="130"/>
        <v>—</v>
      </c>
      <c r="M247" s="15">
        <f t="shared" ca="1" si="131"/>
        <v>7</v>
      </c>
      <c r="N247" s="16" t="str">
        <f t="shared" ca="1" si="132"/>
        <v>—</v>
      </c>
      <c r="O247" s="15">
        <f t="shared" ca="1" si="133"/>
        <v>7</v>
      </c>
      <c r="P247" s="16" t="str">
        <f t="shared" ca="1" si="134"/>
        <v>—</v>
      </c>
      <c r="Q247" s="15">
        <f t="shared" ca="1" si="135"/>
        <v>7</v>
      </c>
      <c r="R247" s="16" t="str">
        <f t="shared" ca="1" si="136"/>
        <v>—</v>
      </c>
      <c r="S247" s="15">
        <f t="shared" ca="1" si="137"/>
        <v>7</v>
      </c>
      <c r="T247" s="9" t="str">
        <f t="shared" ca="1" si="138"/>
        <v>—</v>
      </c>
      <c r="U247" s="15">
        <f t="shared" ca="1" si="139"/>
        <v>7</v>
      </c>
      <c r="V247" s="16" t="str">
        <f t="shared" ca="1" si="140"/>
        <v>—</v>
      </c>
      <c r="W247" s="15">
        <f t="shared" ca="1" si="141"/>
        <v>7</v>
      </c>
      <c r="X247" s="16" t="str">
        <f t="shared" ca="1" si="142"/>
        <v>—</v>
      </c>
      <c r="Y247" s="15">
        <f t="shared" ca="1" si="143"/>
        <v>7</v>
      </c>
      <c r="Z247" s="16" t="str">
        <f t="shared" ca="1" si="144"/>
        <v>—</v>
      </c>
      <c r="AA247" s="15">
        <f t="shared" ca="1" si="145"/>
        <v>7</v>
      </c>
      <c r="AB247" s="9" t="str">
        <f t="shared" ca="1" si="146"/>
        <v>—</v>
      </c>
      <c r="AC247" s="15">
        <f t="shared" ca="1" si="147"/>
        <v>7</v>
      </c>
      <c r="AD247" s="76" t="str">
        <f t="shared" ca="1" si="148"/>
        <v>—</v>
      </c>
      <c r="AE247" s="15">
        <f t="shared" ca="1" si="149"/>
        <v>7</v>
      </c>
      <c r="AF247" s="76" t="str">
        <f t="shared" ca="1" si="150"/>
        <v>—</v>
      </c>
      <c r="AG247" s="15">
        <f t="shared" ca="1" si="151"/>
        <v>7</v>
      </c>
      <c r="AH247" s="9" t="str">
        <f t="shared" ca="1" si="152"/>
        <v>—</v>
      </c>
      <c r="AI247" s="15">
        <f t="shared" ca="1" si="153"/>
        <v>7</v>
      </c>
      <c r="AJ247" s="26" t="str">
        <f t="shared" ca="1" si="154"/>
        <v>—</v>
      </c>
      <c r="AK247" s="15">
        <f t="shared" ca="1" si="155"/>
        <v>7</v>
      </c>
      <c r="AL247" s="9" t="str">
        <f t="shared" ca="1" si="156"/>
        <v>—</v>
      </c>
      <c r="AM247" s="15">
        <f t="shared" ca="1" si="157"/>
        <v>7</v>
      </c>
      <c r="AN247" s="9" t="str">
        <f t="shared" ca="1" si="158"/>
        <v>—</v>
      </c>
      <c r="AO247" s="15">
        <f t="shared" ca="1" si="159"/>
        <v>7</v>
      </c>
    </row>
    <row r="248" spans="1:41" x14ac:dyDescent="0.25">
      <c r="A248" s="4">
        <f t="shared" si="120"/>
        <v>78989</v>
      </c>
      <c r="B248" t="str">
        <f ca="1">TEXT(DATE(YEAR(Invoer!$A$5),1,1)+ROWS(B$2:B248)-1,"jjjjmmdd")</f>
        <v>19130904</v>
      </c>
      <c r="C248" s="72">
        <f t="shared" si="121"/>
        <v>800</v>
      </c>
      <c r="D248" s="16" t="str">
        <f t="shared" ca="1" si="122"/>
        <v>—</v>
      </c>
      <c r="E248" s="15">
        <f t="shared" ca="1" si="123"/>
        <v>7</v>
      </c>
      <c r="F248" s="73" t="str">
        <f t="shared" ca="1" si="124"/>
        <v>—</v>
      </c>
      <c r="G248" s="15">
        <f t="shared" ca="1" si="125"/>
        <v>7</v>
      </c>
      <c r="H248" s="73" t="str">
        <f t="shared" ca="1" si="126"/>
        <v>—</v>
      </c>
      <c r="I248" s="15">
        <f t="shared" ca="1" si="127"/>
        <v>7</v>
      </c>
      <c r="J248" s="73" t="str">
        <f t="shared" ca="1" si="128"/>
        <v>—</v>
      </c>
      <c r="K248" s="15">
        <f t="shared" ca="1" si="129"/>
        <v>7</v>
      </c>
      <c r="L248" s="16" t="str">
        <f t="shared" ca="1" si="130"/>
        <v>—</v>
      </c>
      <c r="M248" s="15">
        <f t="shared" ca="1" si="131"/>
        <v>7</v>
      </c>
      <c r="N248" s="16" t="str">
        <f t="shared" ca="1" si="132"/>
        <v>—</v>
      </c>
      <c r="O248" s="15">
        <f t="shared" ca="1" si="133"/>
        <v>7</v>
      </c>
      <c r="P248" s="16" t="str">
        <f t="shared" ca="1" si="134"/>
        <v>—</v>
      </c>
      <c r="Q248" s="15">
        <f t="shared" ca="1" si="135"/>
        <v>7</v>
      </c>
      <c r="R248" s="16" t="str">
        <f t="shared" ca="1" si="136"/>
        <v>—</v>
      </c>
      <c r="S248" s="15">
        <f t="shared" ca="1" si="137"/>
        <v>7</v>
      </c>
      <c r="T248" s="9" t="str">
        <f t="shared" ca="1" si="138"/>
        <v>—</v>
      </c>
      <c r="U248" s="15">
        <f t="shared" ca="1" si="139"/>
        <v>7</v>
      </c>
      <c r="V248" s="16" t="str">
        <f t="shared" ca="1" si="140"/>
        <v>—</v>
      </c>
      <c r="W248" s="15">
        <f t="shared" ca="1" si="141"/>
        <v>7</v>
      </c>
      <c r="X248" s="16" t="str">
        <f t="shared" ca="1" si="142"/>
        <v>—</v>
      </c>
      <c r="Y248" s="15">
        <f t="shared" ca="1" si="143"/>
        <v>7</v>
      </c>
      <c r="Z248" s="16" t="str">
        <f t="shared" ca="1" si="144"/>
        <v>—</v>
      </c>
      <c r="AA248" s="15">
        <f t="shared" ca="1" si="145"/>
        <v>7</v>
      </c>
      <c r="AB248" s="9" t="str">
        <f t="shared" ca="1" si="146"/>
        <v>—</v>
      </c>
      <c r="AC248" s="15">
        <f t="shared" ca="1" si="147"/>
        <v>7</v>
      </c>
      <c r="AD248" s="76" t="str">
        <f t="shared" ca="1" si="148"/>
        <v>—</v>
      </c>
      <c r="AE248" s="15">
        <f t="shared" ca="1" si="149"/>
        <v>7</v>
      </c>
      <c r="AF248" s="76" t="str">
        <f t="shared" ca="1" si="150"/>
        <v>—</v>
      </c>
      <c r="AG248" s="15">
        <f t="shared" ca="1" si="151"/>
        <v>7</v>
      </c>
      <c r="AH248" s="9" t="str">
        <f t="shared" ca="1" si="152"/>
        <v>—</v>
      </c>
      <c r="AI248" s="15">
        <f t="shared" ca="1" si="153"/>
        <v>7</v>
      </c>
      <c r="AJ248" s="26" t="str">
        <f t="shared" ca="1" si="154"/>
        <v>—</v>
      </c>
      <c r="AK248" s="15">
        <f t="shared" ca="1" si="155"/>
        <v>7</v>
      </c>
      <c r="AL248" s="9" t="str">
        <f t="shared" ca="1" si="156"/>
        <v>—</v>
      </c>
      <c r="AM248" s="15">
        <f t="shared" ca="1" si="157"/>
        <v>7</v>
      </c>
      <c r="AN248" s="9" t="str">
        <f t="shared" ca="1" si="158"/>
        <v>—</v>
      </c>
      <c r="AO248" s="15">
        <f t="shared" ca="1" si="159"/>
        <v>7</v>
      </c>
    </row>
    <row r="249" spans="1:41" x14ac:dyDescent="0.25">
      <c r="A249" s="4">
        <f t="shared" si="120"/>
        <v>78989</v>
      </c>
      <c r="B249" t="str">
        <f ca="1">TEXT(DATE(YEAR(Invoer!$A$5),1,1)+ROWS(B$2:B249)-1,"jjjjmmdd")</f>
        <v>19130905</v>
      </c>
      <c r="C249" s="72">
        <f t="shared" si="121"/>
        <v>800</v>
      </c>
      <c r="D249" s="16" t="str">
        <f t="shared" ca="1" si="122"/>
        <v>—</v>
      </c>
      <c r="E249" s="15">
        <f t="shared" ca="1" si="123"/>
        <v>7</v>
      </c>
      <c r="F249" s="73" t="str">
        <f t="shared" ca="1" si="124"/>
        <v>—</v>
      </c>
      <c r="G249" s="15">
        <f t="shared" ca="1" si="125"/>
        <v>7</v>
      </c>
      <c r="H249" s="73" t="str">
        <f t="shared" ca="1" si="126"/>
        <v>—</v>
      </c>
      <c r="I249" s="15">
        <f t="shared" ca="1" si="127"/>
        <v>7</v>
      </c>
      <c r="J249" s="73" t="str">
        <f t="shared" ca="1" si="128"/>
        <v>—</v>
      </c>
      <c r="K249" s="15">
        <f t="shared" ca="1" si="129"/>
        <v>7</v>
      </c>
      <c r="L249" s="16" t="str">
        <f t="shared" ca="1" si="130"/>
        <v>—</v>
      </c>
      <c r="M249" s="15">
        <f t="shared" ca="1" si="131"/>
        <v>7</v>
      </c>
      <c r="N249" s="16" t="str">
        <f t="shared" ca="1" si="132"/>
        <v>—</v>
      </c>
      <c r="O249" s="15">
        <f t="shared" ca="1" si="133"/>
        <v>7</v>
      </c>
      <c r="P249" s="16" t="str">
        <f t="shared" ca="1" si="134"/>
        <v>—</v>
      </c>
      <c r="Q249" s="15">
        <f t="shared" ca="1" si="135"/>
        <v>7</v>
      </c>
      <c r="R249" s="16" t="str">
        <f t="shared" ca="1" si="136"/>
        <v>—</v>
      </c>
      <c r="S249" s="15">
        <f t="shared" ca="1" si="137"/>
        <v>7</v>
      </c>
      <c r="T249" s="9" t="str">
        <f t="shared" ca="1" si="138"/>
        <v>—</v>
      </c>
      <c r="U249" s="15">
        <f t="shared" ca="1" si="139"/>
        <v>7</v>
      </c>
      <c r="V249" s="16" t="str">
        <f t="shared" ca="1" si="140"/>
        <v>—</v>
      </c>
      <c r="W249" s="15">
        <f t="shared" ca="1" si="141"/>
        <v>7</v>
      </c>
      <c r="X249" s="16" t="str">
        <f t="shared" ca="1" si="142"/>
        <v>—</v>
      </c>
      <c r="Y249" s="15">
        <f t="shared" ca="1" si="143"/>
        <v>7</v>
      </c>
      <c r="Z249" s="16" t="str">
        <f t="shared" ca="1" si="144"/>
        <v>—</v>
      </c>
      <c r="AA249" s="15">
        <f t="shared" ca="1" si="145"/>
        <v>7</v>
      </c>
      <c r="AB249" s="9" t="str">
        <f t="shared" ca="1" si="146"/>
        <v>—</v>
      </c>
      <c r="AC249" s="15">
        <f t="shared" ca="1" si="147"/>
        <v>7</v>
      </c>
      <c r="AD249" s="76" t="str">
        <f t="shared" ca="1" si="148"/>
        <v>—</v>
      </c>
      <c r="AE249" s="15">
        <f t="shared" ca="1" si="149"/>
        <v>7</v>
      </c>
      <c r="AF249" s="76" t="str">
        <f t="shared" ca="1" si="150"/>
        <v>—</v>
      </c>
      <c r="AG249" s="15">
        <f t="shared" ca="1" si="151"/>
        <v>7</v>
      </c>
      <c r="AH249" s="9" t="str">
        <f t="shared" ca="1" si="152"/>
        <v>—</v>
      </c>
      <c r="AI249" s="15">
        <f t="shared" ca="1" si="153"/>
        <v>7</v>
      </c>
      <c r="AJ249" s="26" t="str">
        <f t="shared" ca="1" si="154"/>
        <v>—</v>
      </c>
      <c r="AK249" s="15">
        <f t="shared" ca="1" si="155"/>
        <v>7</v>
      </c>
      <c r="AL249" s="9" t="str">
        <f t="shared" ca="1" si="156"/>
        <v>—</v>
      </c>
      <c r="AM249" s="15">
        <f t="shared" ca="1" si="157"/>
        <v>7</v>
      </c>
      <c r="AN249" s="9" t="str">
        <f t="shared" ca="1" si="158"/>
        <v>—</v>
      </c>
      <c r="AO249" s="15">
        <f t="shared" ca="1" si="159"/>
        <v>7</v>
      </c>
    </row>
    <row r="250" spans="1:41" x14ac:dyDescent="0.25">
      <c r="A250" s="4">
        <f t="shared" si="120"/>
        <v>78989</v>
      </c>
      <c r="B250" t="str">
        <f ca="1">TEXT(DATE(YEAR(Invoer!$A$5),1,1)+ROWS(B$2:B250)-1,"jjjjmmdd")</f>
        <v>19130906</v>
      </c>
      <c r="C250" s="72">
        <f t="shared" si="121"/>
        <v>800</v>
      </c>
      <c r="D250" s="16" t="str">
        <f t="shared" ca="1" si="122"/>
        <v>—</v>
      </c>
      <c r="E250" s="15">
        <f t="shared" ca="1" si="123"/>
        <v>7</v>
      </c>
      <c r="F250" s="73" t="str">
        <f t="shared" ca="1" si="124"/>
        <v>—</v>
      </c>
      <c r="G250" s="15">
        <f t="shared" ca="1" si="125"/>
        <v>7</v>
      </c>
      <c r="H250" s="73" t="str">
        <f t="shared" ca="1" si="126"/>
        <v>—</v>
      </c>
      <c r="I250" s="15">
        <f t="shared" ca="1" si="127"/>
        <v>7</v>
      </c>
      <c r="J250" s="73" t="str">
        <f t="shared" ca="1" si="128"/>
        <v>—</v>
      </c>
      <c r="K250" s="15">
        <f t="shared" ca="1" si="129"/>
        <v>7</v>
      </c>
      <c r="L250" s="16" t="str">
        <f t="shared" ca="1" si="130"/>
        <v>—</v>
      </c>
      <c r="M250" s="15">
        <f t="shared" ca="1" si="131"/>
        <v>7</v>
      </c>
      <c r="N250" s="16" t="str">
        <f t="shared" ca="1" si="132"/>
        <v>—</v>
      </c>
      <c r="O250" s="15">
        <f t="shared" ca="1" si="133"/>
        <v>7</v>
      </c>
      <c r="P250" s="16" t="str">
        <f t="shared" ca="1" si="134"/>
        <v>—</v>
      </c>
      <c r="Q250" s="15">
        <f t="shared" ca="1" si="135"/>
        <v>7</v>
      </c>
      <c r="R250" s="16" t="str">
        <f t="shared" ca="1" si="136"/>
        <v>—</v>
      </c>
      <c r="S250" s="15">
        <f t="shared" ca="1" si="137"/>
        <v>7</v>
      </c>
      <c r="T250" s="9" t="str">
        <f t="shared" ca="1" si="138"/>
        <v>—</v>
      </c>
      <c r="U250" s="15">
        <f t="shared" ca="1" si="139"/>
        <v>7</v>
      </c>
      <c r="V250" s="16" t="str">
        <f t="shared" ca="1" si="140"/>
        <v>—</v>
      </c>
      <c r="W250" s="15">
        <f t="shared" ca="1" si="141"/>
        <v>7</v>
      </c>
      <c r="X250" s="16" t="str">
        <f t="shared" ca="1" si="142"/>
        <v>—</v>
      </c>
      <c r="Y250" s="15">
        <f t="shared" ca="1" si="143"/>
        <v>7</v>
      </c>
      <c r="Z250" s="16" t="str">
        <f t="shared" ca="1" si="144"/>
        <v>—</v>
      </c>
      <c r="AA250" s="15">
        <f t="shared" ca="1" si="145"/>
        <v>7</v>
      </c>
      <c r="AB250" s="9" t="str">
        <f t="shared" ca="1" si="146"/>
        <v>—</v>
      </c>
      <c r="AC250" s="15">
        <f t="shared" ca="1" si="147"/>
        <v>7</v>
      </c>
      <c r="AD250" s="76" t="str">
        <f t="shared" ca="1" si="148"/>
        <v>—</v>
      </c>
      <c r="AE250" s="15">
        <f t="shared" ca="1" si="149"/>
        <v>7</v>
      </c>
      <c r="AF250" s="76" t="str">
        <f t="shared" ca="1" si="150"/>
        <v>—</v>
      </c>
      <c r="AG250" s="15">
        <f t="shared" ca="1" si="151"/>
        <v>7</v>
      </c>
      <c r="AH250" s="9" t="str">
        <f t="shared" ca="1" si="152"/>
        <v>—</v>
      </c>
      <c r="AI250" s="15">
        <f t="shared" ca="1" si="153"/>
        <v>7</v>
      </c>
      <c r="AJ250" s="26" t="str">
        <f t="shared" ca="1" si="154"/>
        <v>—</v>
      </c>
      <c r="AK250" s="15">
        <f t="shared" ca="1" si="155"/>
        <v>7</v>
      </c>
      <c r="AL250" s="9" t="str">
        <f t="shared" ca="1" si="156"/>
        <v>—</v>
      </c>
      <c r="AM250" s="15">
        <f t="shared" ca="1" si="157"/>
        <v>7</v>
      </c>
      <c r="AN250" s="9" t="str">
        <f t="shared" ca="1" si="158"/>
        <v>—</v>
      </c>
      <c r="AO250" s="15">
        <f t="shared" ca="1" si="159"/>
        <v>7</v>
      </c>
    </row>
    <row r="251" spans="1:41" x14ac:dyDescent="0.25">
      <c r="A251" s="4">
        <f t="shared" si="120"/>
        <v>78989</v>
      </c>
      <c r="B251" t="str">
        <f ca="1">TEXT(DATE(YEAR(Invoer!$A$5),1,1)+ROWS(B$2:B251)-1,"jjjjmmdd")</f>
        <v>19130907</v>
      </c>
      <c r="C251" s="72">
        <f t="shared" si="121"/>
        <v>800</v>
      </c>
      <c r="D251" s="16" t="str">
        <f t="shared" ca="1" si="122"/>
        <v>—</v>
      </c>
      <c r="E251" s="15">
        <f t="shared" ca="1" si="123"/>
        <v>7</v>
      </c>
      <c r="F251" s="73" t="str">
        <f t="shared" ca="1" si="124"/>
        <v>—</v>
      </c>
      <c r="G251" s="15">
        <f t="shared" ca="1" si="125"/>
        <v>7</v>
      </c>
      <c r="H251" s="73" t="str">
        <f t="shared" ca="1" si="126"/>
        <v>—</v>
      </c>
      <c r="I251" s="15">
        <f t="shared" ca="1" si="127"/>
        <v>7</v>
      </c>
      <c r="J251" s="73" t="str">
        <f t="shared" ca="1" si="128"/>
        <v>—</v>
      </c>
      <c r="K251" s="15">
        <f t="shared" ca="1" si="129"/>
        <v>7</v>
      </c>
      <c r="L251" s="16" t="str">
        <f t="shared" ca="1" si="130"/>
        <v>—</v>
      </c>
      <c r="M251" s="15">
        <f t="shared" ca="1" si="131"/>
        <v>7</v>
      </c>
      <c r="N251" s="16" t="str">
        <f t="shared" ca="1" si="132"/>
        <v>—</v>
      </c>
      <c r="O251" s="15">
        <f t="shared" ca="1" si="133"/>
        <v>7</v>
      </c>
      <c r="P251" s="16" t="str">
        <f t="shared" ca="1" si="134"/>
        <v>—</v>
      </c>
      <c r="Q251" s="15">
        <f t="shared" ca="1" si="135"/>
        <v>7</v>
      </c>
      <c r="R251" s="16" t="str">
        <f t="shared" ca="1" si="136"/>
        <v>—</v>
      </c>
      <c r="S251" s="15">
        <f t="shared" ca="1" si="137"/>
        <v>7</v>
      </c>
      <c r="T251" s="9" t="str">
        <f t="shared" ca="1" si="138"/>
        <v>—</v>
      </c>
      <c r="U251" s="15">
        <f t="shared" ca="1" si="139"/>
        <v>7</v>
      </c>
      <c r="V251" s="16" t="str">
        <f t="shared" ca="1" si="140"/>
        <v>—</v>
      </c>
      <c r="W251" s="15">
        <f t="shared" ca="1" si="141"/>
        <v>7</v>
      </c>
      <c r="X251" s="16" t="str">
        <f t="shared" ca="1" si="142"/>
        <v>—</v>
      </c>
      <c r="Y251" s="15">
        <f t="shared" ca="1" si="143"/>
        <v>7</v>
      </c>
      <c r="Z251" s="16" t="str">
        <f t="shared" ca="1" si="144"/>
        <v>—</v>
      </c>
      <c r="AA251" s="15">
        <f t="shared" ca="1" si="145"/>
        <v>7</v>
      </c>
      <c r="AB251" s="9" t="str">
        <f t="shared" ca="1" si="146"/>
        <v>—</v>
      </c>
      <c r="AC251" s="15">
        <f t="shared" ca="1" si="147"/>
        <v>7</v>
      </c>
      <c r="AD251" s="76" t="str">
        <f t="shared" ca="1" si="148"/>
        <v>—</v>
      </c>
      <c r="AE251" s="15">
        <f t="shared" ca="1" si="149"/>
        <v>7</v>
      </c>
      <c r="AF251" s="76" t="str">
        <f t="shared" ca="1" si="150"/>
        <v>—</v>
      </c>
      <c r="AG251" s="15">
        <f t="shared" ca="1" si="151"/>
        <v>7</v>
      </c>
      <c r="AH251" s="9" t="str">
        <f t="shared" ca="1" si="152"/>
        <v>—</v>
      </c>
      <c r="AI251" s="15">
        <f t="shared" ca="1" si="153"/>
        <v>7</v>
      </c>
      <c r="AJ251" s="26" t="str">
        <f t="shared" ca="1" si="154"/>
        <v>—</v>
      </c>
      <c r="AK251" s="15">
        <f t="shared" ca="1" si="155"/>
        <v>7</v>
      </c>
      <c r="AL251" s="9" t="str">
        <f t="shared" ca="1" si="156"/>
        <v>—</v>
      </c>
      <c r="AM251" s="15">
        <f t="shared" ca="1" si="157"/>
        <v>7</v>
      </c>
      <c r="AN251" s="9" t="str">
        <f t="shared" ca="1" si="158"/>
        <v>—</v>
      </c>
      <c r="AO251" s="15">
        <f t="shared" ca="1" si="159"/>
        <v>7</v>
      </c>
    </row>
    <row r="252" spans="1:41" x14ac:dyDescent="0.25">
      <c r="A252" s="4">
        <f t="shared" si="120"/>
        <v>78989</v>
      </c>
      <c r="B252" t="str">
        <f ca="1">TEXT(DATE(YEAR(Invoer!$A$5),1,1)+ROWS(B$2:B252)-1,"jjjjmmdd")</f>
        <v>19130908</v>
      </c>
      <c r="C252" s="72">
        <f t="shared" si="121"/>
        <v>800</v>
      </c>
      <c r="D252" s="16" t="str">
        <f t="shared" ca="1" si="122"/>
        <v>—</v>
      </c>
      <c r="E252" s="15">
        <f t="shared" ca="1" si="123"/>
        <v>7</v>
      </c>
      <c r="F252" s="73" t="str">
        <f t="shared" ca="1" si="124"/>
        <v>—</v>
      </c>
      <c r="G252" s="15">
        <f t="shared" ca="1" si="125"/>
        <v>7</v>
      </c>
      <c r="H252" s="73" t="str">
        <f t="shared" ca="1" si="126"/>
        <v>—</v>
      </c>
      <c r="I252" s="15">
        <f t="shared" ca="1" si="127"/>
        <v>7</v>
      </c>
      <c r="J252" s="73" t="str">
        <f t="shared" ca="1" si="128"/>
        <v>—</v>
      </c>
      <c r="K252" s="15">
        <f t="shared" ca="1" si="129"/>
        <v>7</v>
      </c>
      <c r="L252" s="16" t="str">
        <f t="shared" ca="1" si="130"/>
        <v>—</v>
      </c>
      <c r="M252" s="15">
        <f t="shared" ca="1" si="131"/>
        <v>7</v>
      </c>
      <c r="N252" s="16" t="str">
        <f t="shared" ca="1" si="132"/>
        <v>—</v>
      </c>
      <c r="O252" s="15">
        <f t="shared" ca="1" si="133"/>
        <v>7</v>
      </c>
      <c r="P252" s="16" t="str">
        <f t="shared" ca="1" si="134"/>
        <v>—</v>
      </c>
      <c r="Q252" s="15">
        <f t="shared" ca="1" si="135"/>
        <v>7</v>
      </c>
      <c r="R252" s="16" t="str">
        <f t="shared" ca="1" si="136"/>
        <v>—</v>
      </c>
      <c r="S252" s="15">
        <f t="shared" ca="1" si="137"/>
        <v>7</v>
      </c>
      <c r="T252" s="9" t="str">
        <f t="shared" ca="1" si="138"/>
        <v>—</v>
      </c>
      <c r="U252" s="15">
        <f t="shared" ca="1" si="139"/>
        <v>7</v>
      </c>
      <c r="V252" s="16" t="str">
        <f t="shared" ca="1" si="140"/>
        <v>—</v>
      </c>
      <c r="W252" s="15">
        <f t="shared" ca="1" si="141"/>
        <v>7</v>
      </c>
      <c r="X252" s="16" t="str">
        <f t="shared" ca="1" si="142"/>
        <v>—</v>
      </c>
      <c r="Y252" s="15">
        <f t="shared" ca="1" si="143"/>
        <v>7</v>
      </c>
      <c r="Z252" s="16" t="str">
        <f t="shared" ca="1" si="144"/>
        <v>—</v>
      </c>
      <c r="AA252" s="15">
        <f t="shared" ca="1" si="145"/>
        <v>7</v>
      </c>
      <c r="AB252" s="9" t="str">
        <f t="shared" ca="1" si="146"/>
        <v>—</v>
      </c>
      <c r="AC252" s="15">
        <f t="shared" ca="1" si="147"/>
        <v>7</v>
      </c>
      <c r="AD252" s="76" t="str">
        <f t="shared" ca="1" si="148"/>
        <v>—</v>
      </c>
      <c r="AE252" s="15">
        <f t="shared" ca="1" si="149"/>
        <v>7</v>
      </c>
      <c r="AF252" s="76" t="str">
        <f t="shared" ca="1" si="150"/>
        <v>—</v>
      </c>
      <c r="AG252" s="15">
        <f t="shared" ca="1" si="151"/>
        <v>7</v>
      </c>
      <c r="AH252" s="9" t="str">
        <f t="shared" ca="1" si="152"/>
        <v>—</v>
      </c>
      <c r="AI252" s="15">
        <f t="shared" ca="1" si="153"/>
        <v>7</v>
      </c>
      <c r="AJ252" s="26" t="str">
        <f t="shared" ca="1" si="154"/>
        <v>—</v>
      </c>
      <c r="AK252" s="15">
        <f t="shared" ca="1" si="155"/>
        <v>7</v>
      </c>
      <c r="AL252" s="9" t="str">
        <f t="shared" ca="1" si="156"/>
        <v>—</v>
      </c>
      <c r="AM252" s="15">
        <f t="shared" ca="1" si="157"/>
        <v>7</v>
      </c>
      <c r="AN252" s="9" t="str">
        <f t="shared" ca="1" si="158"/>
        <v>—</v>
      </c>
      <c r="AO252" s="15">
        <f t="shared" ca="1" si="159"/>
        <v>7</v>
      </c>
    </row>
    <row r="253" spans="1:41" x14ac:dyDescent="0.25">
      <c r="A253" s="4">
        <f t="shared" si="120"/>
        <v>78989</v>
      </c>
      <c r="B253" t="str">
        <f ca="1">TEXT(DATE(YEAR(Invoer!$A$5),1,1)+ROWS(B$2:B253)-1,"jjjjmmdd")</f>
        <v>19130909</v>
      </c>
      <c r="C253" s="72">
        <f t="shared" si="121"/>
        <v>800</v>
      </c>
      <c r="D253" s="16" t="str">
        <f t="shared" ca="1" si="122"/>
        <v>—</v>
      </c>
      <c r="E253" s="15">
        <f t="shared" ca="1" si="123"/>
        <v>7</v>
      </c>
      <c r="F253" s="73" t="str">
        <f t="shared" ca="1" si="124"/>
        <v>—</v>
      </c>
      <c r="G253" s="15">
        <f t="shared" ca="1" si="125"/>
        <v>7</v>
      </c>
      <c r="H253" s="73" t="str">
        <f t="shared" ca="1" si="126"/>
        <v>—</v>
      </c>
      <c r="I253" s="15">
        <f t="shared" ca="1" si="127"/>
        <v>7</v>
      </c>
      <c r="J253" s="73" t="str">
        <f t="shared" ca="1" si="128"/>
        <v>—</v>
      </c>
      <c r="K253" s="15">
        <f t="shared" ca="1" si="129"/>
        <v>7</v>
      </c>
      <c r="L253" s="16" t="str">
        <f t="shared" ca="1" si="130"/>
        <v>—</v>
      </c>
      <c r="M253" s="15">
        <f t="shared" ca="1" si="131"/>
        <v>7</v>
      </c>
      <c r="N253" s="16" t="str">
        <f t="shared" ca="1" si="132"/>
        <v>—</v>
      </c>
      <c r="O253" s="15">
        <f t="shared" ca="1" si="133"/>
        <v>7</v>
      </c>
      <c r="P253" s="16" t="str">
        <f t="shared" ca="1" si="134"/>
        <v>—</v>
      </c>
      <c r="Q253" s="15">
        <f t="shared" ca="1" si="135"/>
        <v>7</v>
      </c>
      <c r="R253" s="16" t="str">
        <f t="shared" ca="1" si="136"/>
        <v>—</v>
      </c>
      <c r="S253" s="15">
        <f t="shared" ca="1" si="137"/>
        <v>7</v>
      </c>
      <c r="T253" s="9" t="str">
        <f t="shared" ca="1" si="138"/>
        <v>—</v>
      </c>
      <c r="U253" s="15">
        <f t="shared" ca="1" si="139"/>
        <v>7</v>
      </c>
      <c r="V253" s="16" t="str">
        <f t="shared" ca="1" si="140"/>
        <v>—</v>
      </c>
      <c r="W253" s="15">
        <f t="shared" ca="1" si="141"/>
        <v>7</v>
      </c>
      <c r="X253" s="16" t="str">
        <f t="shared" ca="1" si="142"/>
        <v>—</v>
      </c>
      <c r="Y253" s="15">
        <f t="shared" ca="1" si="143"/>
        <v>7</v>
      </c>
      <c r="Z253" s="16" t="str">
        <f t="shared" ca="1" si="144"/>
        <v>—</v>
      </c>
      <c r="AA253" s="15">
        <f t="shared" ca="1" si="145"/>
        <v>7</v>
      </c>
      <c r="AB253" s="9" t="str">
        <f t="shared" ca="1" si="146"/>
        <v>—</v>
      </c>
      <c r="AC253" s="15">
        <f t="shared" ca="1" si="147"/>
        <v>7</v>
      </c>
      <c r="AD253" s="76" t="str">
        <f t="shared" ca="1" si="148"/>
        <v>—</v>
      </c>
      <c r="AE253" s="15">
        <f t="shared" ca="1" si="149"/>
        <v>7</v>
      </c>
      <c r="AF253" s="76" t="str">
        <f t="shared" ca="1" si="150"/>
        <v>—</v>
      </c>
      <c r="AG253" s="15">
        <f t="shared" ca="1" si="151"/>
        <v>7</v>
      </c>
      <c r="AH253" s="9" t="str">
        <f t="shared" ca="1" si="152"/>
        <v>—</v>
      </c>
      <c r="AI253" s="15">
        <f t="shared" ca="1" si="153"/>
        <v>7</v>
      </c>
      <c r="AJ253" s="26" t="str">
        <f t="shared" ca="1" si="154"/>
        <v>—</v>
      </c>
      <c r="AK253" s="15">
        <f t="shared" ca="1" si="155"/>
        <v>7</v>
      </c>
      <c r="AL253" s="9" t="str">
        <f t="shared" ca="1" si="156"/>
        <v>—</v>
      </c>
      <c r="AM253" s="15">
        <f t="shared" ca="1" si="157"/>
        <v>7</v>
      </c>
      <c r="AN253" s="9" t="str">
        <f t="shared" ca="1" si="158"/>
        <v>—</v>
      </c>
      <c r="AO253" s="15">
        <f t="shared" ca="1" si="159"/>
        <v>7</v>
      </c>
    </row>
    <row r="254" spans="1:41" x14ac:dyDescent="0.25">
      <c r="A254" s="4">
        <f t="shared" si="120"/>
        <v>78989</v>
      </c>
      <c r="B254" t="str">
        <f ca="1">TEXT(DATE(YEAR(Invoer!$A$5),1,1)+ROWS(B$2:B254)-1,"jjjjmmdd")</f>
        <v>19130910</v>
      </c>
      <c r="C254" s="72">
        <f t="shared" si="121"/>
        <v>800</v>
      </c>
      <c r="D254" s="16" t="str">
        <f t="shared" ca="1" si="122"/>
        <v>—</v>
      </c>
      <c r="E254" s="15">
        <f t="shared" ca="1" si="123"/>
        <v>7</v>
      </c>
      <c r="F254" s="73" t="str">
        <f t="shared" ca="1" si="124"/>
        <v>—</v>
      </c>
      <c r="G254" s="15">
        <f t="shared" ca="1" si="125"/>
        <v>7</v>
      </c>
      <c r="H254" s="73" t="str">
        <f t="shared" ca="1" si="126"/>
        <v>—</v>
      </c>
      <c r="I254" s="15">
        <f t="shared" ca="1" si="127"/>
        <v>7</v>
      </c>
      <c r="J254" s="73" t="str">
        <f t="shared" ca="1" si="128"/>
        <v>—</v>
      </c>
      <c r="K254" s="15">
        <f t="shared" ca="1" si="129"/>
        <v>7</v>
      </c>
      <c r="L254" s="16" t="str">
        <f t="shared" ca="1" si="130"/>
        <v>—</v>
      </c>
      <c r="M254" s="15">
        <f t="shared" ca="1" si="131"/>
        <v>7</v>
      </c>
      <c r="N254" s="16" t="str">
        <f t="shared" ca="1" si="132"/>
        <v>—</v>
      </c>
      <c r="O254" s="15">
        <f t="shared" ca="1" si="133"/>
        <v>7</v>
      </c>
      <c r="P254" s="16" t="str">
        <f t="shared" ca="1" si="134"/>
        <v>—</v>
      </c>
      <c r="Q254" s="15">
        <f t="shared" ca="1" si="135"/>
        <v>7</v>
      </c>
      <c r="R254" s="16" t="str">
        <f t="shared" ca="1" si="136"/>
        <v>—</v>
      </c>
      <c r="S254" s="15">
        <f t="shared" ca="1" si="137"/>
        <v>7</v>
      </c>
      <c r="T254" s="9" t="str">
        <f t="shared" ca="1" si="138"/>
        <v>—</v>
      </c>
      <c r="U254" s="15">
        <f t="shared" ca="1" si="139"/>
        <v>7</v>
      </c>
      <c r="V254" s="16" t="str">
        <f t="shared" ca="1" si="140"/>
        <v>—</v>
      </c>
      <c r="W254" s="15">
        <f t="shared" ca="1" si="141"/>
        <v>7</v>
      </c>
      <c r="X254" s="16" t="str">
        <f t="shared" ca="1" si="142"/>
        <v>—</v>
      </c>
      <c r="Y254" s="15">
        <f t="shared" ca="1" si="143"/>
        <v>7</v>
      </c>
      <c r="Z254" s="16" t="str">
        <f t="shared" ca="1" si="144"/>
        <v>—</v>
      </c>
      <c r="AA254" s="15">
        <f t="shared" ca="1" si="145"/>
        <v>7</v>
      </c>
      <c r="AB254" s="9" t="str">
        <f t="shared" ca="1" si="146"/>
        <v>—</v>
      </c>
      <c r="AC254" s="15">
        <f t="shared" ca="1" si="147"/>
        <v>7</v>
      </c>
      <c r="AD254" s="76" t="str">
        <f t="shared" ca="1" si="148"/>
        <v>—</v>
      </c>
      <c r="AE254" s="15">
        <f t="shared" ca="1" si="149"/>
        <v>7</v>
      </c>
      <c r="AF254" s="76" t="str">
        <f t="shared" ca="1" si="150"/>
        <v>—</v>
      </c>
      <c r="AG254" s="15">
        <f t="shared" ca="1" si="151"/>
        <v>7</v>
      </c>
      <c r="AH254" s="9" t="str">
        <f t="shared" ca="1" si="152"/>
        <v>—</v>
      </c>
      <c r="AI254" s="15">
        <f t="shared" ca="1" si="153"/>
        <v>7</v>
      </c>
      <c r="AJ254" s="26" t="str">
        <f t="shared" ca="1" si="154"/>
        <v>—</v>
      </c>
      <c r="AK254" s="15">
        <f t="shared" ca="1" si="155"/>
        <v>7</v>
      </c>
      <c r="AL254" s="9" t="str">
        <f t="shared" ca="1" si="156"/>
        <v>—</v>
      </c>
      <c r="AM254" s="15">
        <f t="shared" ca="1" si="157"/>
        <v>7</v>
      </c>
      <c r="AN254" s="9" t="str">
        <f t="shared" ca="1" si="158"/>
        <v>—</v>
      </c>
      <c r="AO254" s="15">
        <f t="shared" ca="1" si="159"/>
        <v>7</v>
      </c>
    </row>
    <row r="255" spans="1:41" x14ac:dyDescent="0.25">
      <c r="A255" s="4">
        <f t="shared" si="120"/>
        <v>78989</v>
      </c>
      <c r="B255" t="str">
        <f ca="1">TEXT(DATE(YEAR(Invoer!$A$5),1,1)+ROWS(B$2:B255)-1,"jjjjmmdd")</f>
        <v>19130911</v>
      </c>
      <c r="C255" s="72">
        <f t="shared" si="121"/>
        <v>800</v>
      </c>
      <c r="D255" s="16" t="str">
        <f t="shared" ca="1" si="122"/>
        <v>—</v>
      </c>
      <c r="E255" s="15">
        <f t="shared" ca="1" si="123"/>
        <v>7</v>
      </c>
      <c r="F255" s="73" t="str">
        <f t="shared" ca="1" si="124"/>
        <v>—</v>
      </c>
      <c r="G255" s="15">
        <f t="shared" ca="1" si="125"/>
        <v>7</v>
      </c>
      <c r="H255" s="73" t="str">
        <f t="shared" ca="1" si="126"/>
        <v>—</v>
      </c>
      <c r="I255" s="15">
        <f t="shared" ca="1" si="127"/>
        <v>7</v>
      </c>
      <c r="J255" s="73" t="str">
        <f t="shared" ca="1" si="128"/>
        <v>—</v>
      </c>
      <c r="K255" s="15">
        <f t="shared" ca="1" si="129"/>
        <v>7</v>
      </c>
      <c r="L255" s="16" t="str">
        <f t="shared" ca="1" si="130"/>
        <v>—</v>
      </c>
      <c r="M255" s="15">
        <f t="shared" ca="1" si="131"/>
        <v>7</v>
      </c>
      <c r="N255" s="16" t="str">
        <f t="shared" ca="1" si="132"/>
        <v>—</v>
      </c>
      <c r="O255" s="15">
        <f t="shared" ca="1" si="133"/>
        <v>7</v>
      </c>
      <c r="P255" s="16" t="str">
        <f t="shared" ca="1" si="134"/>
        <v>—</v>
      </c>
      <c r="Q255" s="15">
        <f t="shared" ca="1" si="135"/>
        <v>7</v>
      </c>
      <c r="R255" s="16" t="str">
        <f t="shared" ca="1" si="136"/>
        <v>—</v>
      </c>
      <c r="S255" s="15">
        <f t="shared" ca="1" si="137"/>
        <v>7</v>
      </c>
      <c r="T255" s="9" t="str">
        <f t="shared" ca="1" si="138"/>
        <v>—</v>
      </c>
      <c r="U255" s="15">
        <f t="shared" ca="1" si="139"/>
        <v>7</v>
      </c>
      <c r="V255" s="16" t="str">
        <f t="shared" ca="1" si="140"/>
        <v>—</v>
      </c>
      <c r="W255" s="15">
        <f t="shared" ca="1" si="141"/>
        <v>7</v>
      </c>
      <c r="X255" s="16" t="str">
        <f t="shared" ca="1" si="142"/>
        <v>—</v>
      </c>
      <c r="Y255" s="15">
        <f t="shared" ca="1" si="143"/>
        <v>7</v>
      </c>
      <c r="Z255" s="16" t="str">
        <f t="shared" ca="1" si="144"/>
        <v>—</v>
      </c>
      <c r="AA255" s="15">
        <f t="shared" ca="1" si="145"/>
        <v>7</v>
      </c>
      <c r="AB255" s="9" t="str">
        <f t="shared" ca="1" si="146"/>
        <v>—</v>
      </c>
      <c r="AC255" s="15">
        <f t="shared" ca="1" si="147"/>
        <v>7</v>
      </c>
      <c r="AD255" s="76" t="str">
        <f t="shared" ca="1" si="148"/>
        <v>—</v>
      </c>
      <c r="AE255" s="15">
        <f t="shared" ca="1" si="149"/>
        <v>7</v>
      </c>
      <c r="AF255" s="76" t="str">
        <f t="shared" ca="1" si="150"/>
        <v>—</v>
      </c>
      <c r="AG255" s="15">
        <f t="shared" ca="1" si="151"/>
        <v>7</v>
      </c>
      <c r="AH255" s="9" t="str">
        <f t="shared" ca="1" si="152"/>
        <v>—</v>
      </c>
      <c r="AI255" s="15">
        <f t="shared" ca="1" si="153"/>
        <v>7</v>
      </c>
      <c r="AJ255" s="26" t="str">
        <f t="shared" ca="1" si="154"/>
        <v>—</v>
      </c>
      <c r="AK255" s="15">
        <f t="shared" ca="1" si="155"/>
        <v>7</v>
      </c>
      <c r="AL255" s="9" t="str">
        <f t="shared" ca="1" si="156"/>
        <v>—</v>
      </c>
      <c r="AM255" s="15">
        <f t="shared" ca="1" si="157"/>
        <v>7</v>
      </c>
      <c r="AN255" s="9" t="str">
        <f t="shared" ca="1" si="158"/>
        <v>—</v>
      </c>
      <c r="AO255" s="15">
        <f t="shared" ca="1" si="159"/>
        <v>7</v>
      </c>
    </row>
    <row r="256" spans="1:41" x14ac:dyDescent="0.25">
      <c r="A256" s="4">
        <f t="shared" si="120"/>
        <v>78989</v>
      </c>
      <c r="B256" t="str">
        <f ca="1">TEXT(DATE(YEAR(Invoer!$A$5),1,1)+ROWS(B$2:B256)-1,"jjjjmmdd")</f>
        <v>19130912</v>
      </c>
      <c r="C256" s="72">
        <f t="shared" si="121"/>
        <v>800</v>
      </c>
      <c r="D256" s="16" t="str">
        <f t="shared" ca="1" si="122"/>
        <v>—</v>
      </c>
      <c r="E256" s="15">
        <f t="shared" ca="1" si="123"/>
        <v>7</v>
      </c>
      <c r="F256" s="73" t="str">
        <f t="shared" ca="1" si="124"/>
        <v>—</v>
      </c>
      <c r="G256" s="15">
        <f t="shared" ca="1" si="125"/>
        <v>7</v>
      </c>
      <c r="H256" s="73" t="str">
        <f t="shared" ca="1" si="126"/>
        <v>—</v>
      </c>
      <c r="I256" s="15">
        <f t="shared" ca="1" si="127"/>
        <v>7</v>
      </c>
      <c r="J256" s="73" t="str">
        <f t="shared" ca="1" si="128"/>
        <v>—</v>
      </c>
      <c r="K256" s="15">
        <f t="shared" ca="1" si="129"/>
        <v>7</v>
      </c>
      <c r="L256" s="16" t="str">
        <f t="shared" ca="1" si="130"/>
        <v>—</v>
      </c>
      <c r="M256" s="15">
        <f t="shared" ca="1" si="131"/>
        <v>7</v>
      </c>
      <c r="N256" s="16" t="str">
        <f t="shared" ca="1" si="132"/>
        <v>—</v>
      </c>
      <c r="O256" s="15">
        <f t="shared" ca="1" si="133"/>
        <v>7</v>
      </c>
      <c r="P256" s="16" t="str">
        <f t="shared" ca="1" si="134"/>
        <v>—</v>
      </c>
      <c r="Q256" s="15">
        <f t="shared" ca="1" si="135"/>
        <v>7</v>
      </c>
      <c r="R256" s="16" t="str">
        <f t="shared" ca="1" si="136"/>
        <v>—</v>
      </c>
      <c r="S256" s="15">
        <f t="shared" ca="1" si="137"/>
        <v>7</v>
      </c>
      <c r="T256" s="9" t="str">
        <f t="shared" ca="1" si="138"/>
        <v>—</v>
      </c>
      <c r="U256" s="15">
        <f t="shared" ca="1" si="139"/>
        <v>7</v>
      </c>
      <c r="V256" s="16" t="str">
        <f t="shared" ca="1" si="140"/>
        <v>—</v>
      </c>
      <c r="W256" s="15">
        <f t="shared" ca="1" si="141"/>
        <v>7</v>
      </c>
      <c r="X256" s="16" t="str">
        <f t="shared" ca="1" si="142"/>
        <v>—</v>
      </c>
      <c r="Y256" s="15">
        <f t="shared" ca="1" si="143"/>
        <v>7</v>
      </c>
      <c r="Z256" s="16" t="str">
        <f t="shared" ca="1" si="144"/>
        <v>—</v>
      </c>
      <c r="AA256" s="15">
        <f t="shared" ca="1" si="145"/>
        <v>7</v>
      </c>
      <c r="AB256" s="9" t="str">
        <f t="shared" ca="1" si="146"/>
        <v>—</v>
      </c>
      <c r="AC256" s="15">
        <f t="shared" ca="1" si="147"/>
        <v>7</v>
      </c>
      <c r="AD256" s="76" t="str">
        <f t="shared" ca="1" si="148"/>
        <v>—</v>
      </c>
      <c r="AE256" s="15">
        <f t="shared" ca="1" si="149"/>
        <v>7</v>
      </c>
      <c r="AF256" s="76" t="str">
        <f t="shared" ca="1" si="150"/>
        <v>—</v>
      </c>
      <c r="AG256" s="15">
        <f t="shared" ca="1" si="151"/>
        <v>7</v>
      </c>
      <c r="AH256" s="9" t="str">
        <f t="shared" ca="1" si="152"/>
        <v>—</v>
      </c>
      <c r="AI256" s="15">
        <f t="shared" ca="1" si="153"/>
        <v>7</v>
      </c>
      <c r="AJ256" s="26" t="str">
        <f t="shared" ca="1" si="154"/>
        <v>—</v>
      </c>
      <c r="AK256" s="15">
        <f t="shared" ca="1" si="155"/>
        <v>7</v>
      </c>
      <c r="AL256" s="9" t="str">
        <f t="shared" ca="1" si="156"/>
        <v>—</v>
      </c>
      <c r="AM256" s="15">
        <f t="shared" ca="1" si="157"/>
        <v>7</v>
      </c>
      <c r="AN256" s="9" t="str">
        <f t="shared" ca="1" si="158"/>
        <v>—</v>
      </c>
      <c r="AO256" s="15">
        <f t="shared" ca="1" si="159"/>
        <v>7</v>
      </c>
    </row>
    <row r="257" spans="1:41" x14ac:dyDescent="0.25">
      <c r="A257" s="4">
        <f t="shared" si="120"/>
        <v>78989</v>
      </c>
      <c r="B257" t="str">
        <f ca="1">TEXT(DATE(YEAR(Invoer!$A$5),1,1)+ROWS(B$2:B257)-1,"jjjjmmdd")</f>
        <v>19130913</v>
      </c>
      <c r="C257" s="72">
        <f t="shared" si="121"/>
        <v>800</v>
      </c>
      <c r="D257" s="16" t="str">
        <f t="shared" ca="1" si="122"/>
        <v>—</v>
      </c>
      <c r="E257" s="15">
        <f t="shared" ca="1" si="123"/>
        <v>7</v>
      </c>
      <c r="F257" s="73" t="str">
        <f t="shared" ca="1" si="124"/>
        <v>—</v>
      </c>
      <c r="G257" s="15">
        <f t="shared" ca="1" si="125"/>
        <v>7</v>
      </c>
      <c r="H257" s="73" t="str">
        <f t="shared" ca="1" si="126"/>
        <v>—</v>
      </c>
      <c r="I257" s="15">
        <f t="shared" ca="1" si="127"/>
        <v>7</v>
      </c>
      <c r="J257" s="73" t="str">
        <f t="shared" ca="1" si="128"/>
        <v>—</v>
      </c>
      <c r="K257" s="15">
        <f t="shared" ca="1" si="129"/>
        <v>7</v>
      </c>
      <c r="L257" s="16" t="str">
        <f t="shared" ca="1" si="130"/>
        <v>—</v>
      </c>
      <c r="M257" s="15">
        <f t="shared" ca="1" si="131"/>
        <v>7</v>
      </c>
      <c r="N257" s="16" t="str">
        <f t="shared" ca="1" si="132"/>
        <v>—</v>
      </c>
      <c r="O257" s="15">
        <f t="shared" ca="1" si="133"/>
        <v>7</v>
      </c>
      <c r="P257" s="16" t="str">
        <f t="shared" ca="1" si="134"/>
        <v>—</v>
      </c>
      <c r="Q257" s="15">
        <f t="shared" ca="1" si="135"/>
        <v>7</v>
      </c>
      <c r="R257" s="16" t="str">
        <f t="shared" ca="1" si="136"/>
        <v>—</v>
      </c>
      <c r="S257" s="15">
        <f t="shared" ca="1" si="137"/>
        <v>7</v>
      </c>
      <c r="T257" s="9" t="str">
        <f t="shared" ca="1" si="138"/>
        <v>—</v>
      </c>
      <c r="U257" s="15">
        <f t="shared" ca="1" si="139"/>
        <v>7</v>
      </c>
      <c r="V257" s="16" t="str">
        <f t="shared" ca="1" si="140"/>
        <v>—</v>
      </c>
      <c r="W257" s="15">
        <f t="shared" ca="1" si="141"/>
        <v>7</v>
      </c>
      <c r="X257" s="16" t="str">
        <f t="shared" ca="1" si="142"/>
        <v>—</v>
      </c>
      <c r="Y257" s="15">
        <f t="shared" ca="1" si="143"/>
        <v>7</v>
      </c>
      <c r="Z257" s="16" t="str">
        <f t="shared" ca="1" si="144"/>
        <v>—</v>
      </c>
      <c r="AA257" s="15">
        <f t="shared" ca="1" si="145"/>
        <v>7</v>
      </c>
      <c r="AB257" s="9" t="str">
        <f t="shared" ca="1" si="146"/>
        <v>—</v>
      </c>
      <c r="AC257" s="15">
        <f t="shared" ca="1" si="147"/>
        <v>7</v>
      </c>
      <c r="AD257" s="76" t="str">
        <f t="shared" ca="1" si="148"/>
        <v>—</v>
      </c>
      <c r="AE257" s="15">
        <f t="shared" ca="1" si="149"/>
        <v>7</v>
      </c>
      <c r="AF257" s="76" t="str">
        <f t="shared" ca="1" si="150"/>
        <v>—</v>
      </c>
      <c r="AG257" s="15">
        <f t="shared" ca="1" si="151"/>
        <v>7</v>
      </c>
      <c r="AH257" s="9" t="str">
        <f t="shared" ca="1" si="152"/>
        <v>—</v>
      </c>
      <c r="AI257" s="15">
        <f t="shared" ca="1" si="153"/>
        <v>7</v>
      </c>
      <c r="AJ257" s="26" t="str">
        <f t="shared" ca="1" si="154"/>
        <v>—</v>
      </c>
      <c r="AK257" s="15">
        <f t="shared" ca="1" si="155"/>
        <v>7</v>
      </c>
      <c r="AL257" s="9" t="str">
        <f t="shared" ca="1" si="156"/>
        <v>—</v>
      </c>
      <c r="AM257" s="15">
        <f t="shared" ca="1" si="157"/>
        <v>7</v>
      </c>
      <c r="AN257" s="9" t="str">
        <f t="shared" ca="1" si="158"/>
        <v>—</v>
      </c>
      <c r="AO257" s="15">
        <f t="shared" ca="1" si="159"/>
        <v>7</v>
      </c>
    </row>
    <row r="258" spans="1:41" x14ac:dyDescent="0.25">
      <c r="A258" s="4">
        <f t="shared" ref="A258:A321" si="160">INDEX(Stations,2,1)</f>
        <v>78989</v>
      </c>
      <c r="B258" t="str">
        <f ca="1">TEXT(DATE(YEAR(Invoer!$A$5),1,1)+ROWS(B$2:B258)-1,"jjjjmmdd")</f>
        <v>19130914</v>
      </c>
      <c r="C258" s="72">
        <f t="shared" ref="C258:C321" si="161">Tijd</f>
        <v>800</v>
      </c>
      <c r="D258" s="16" t="str">
        <f t="shared" ref="D258:D321" ca="1" si="162">IF(OR(ISBLANK(VLOOKUP(DATEVALUE(LEFT($B258,4)&amp;"-"&amp;MID($B258,5,2)&amp;"-"&amp;RIGHT($B258,2)),Data,MATCH(LEFT(VLOOKUP(D$1,Parameters,2,FALSE()),3)&amp;"*",OFFSET(Data,N(ISNA(MATCH(LEFT(VLOOKUP(D$1,Parameters,2,FALSE()),3)&amp;"*",OFFSET(Data,0,0,1),0))),0,1),0)+3*N(EXACT(D$1,"DFx")),FALSE())),ISTEXT(VLOOKUP(DATEVALUE(LEFT($B258,4)&amp;"-"&amp;MID($B258,5,2)&amp;"-"&amp;RIGHT($B258,2)),Data,MATCH(LEFT(VLOOKUP(D$1,Parameters,2,FALSE()),3)&amp;"*",OFFSET(Data,N(ISNA(MATCH(LEFT(VLOOKUP(D$1,Parameters,2,FALSE()),3)&amp;"*",OFFSET(Data,0,0,1),0))),0,1),0)+3*N(EXACT(D$1,"DFx")),FALSE()))),"—",ROUND(5*(VLOOKUP(DATEVALUE(LEFT($B258,4)&amp;"-"&amp;MID($B258,5,2)&amp;"-"&amp;RIGHT($B258,2)),Data,MATCH(LEFT(VLOOKUP(D$1,Parameters,2,FALSE()),3)&amp;"*",OFFSET(Data,N(ISNA(MATCH(LEFT(VLOOKUP(D$1,Parameters,2,FALSE()),3)&amp;"*",OFFSET(Data,0,0,1),0))),0,1),0)+3*N(EXACT(D$1,"DFx")),FALSE())-320)/90,1))</f>
        <v>—</v>
      </c>
      <c r="E258" s="15">
        <f t="shared" ref="E258:E321" ca="1" si="163">IF(OR(ISBLANK(VLOOKUP(DATEVALUE(LEFT($B258,4)&amp;"-"&amp;MID($B258,5,2)&amp;"-"&amp;RIGHT($B258,2)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258,4)&amp;"-"&amp;MID($B258,5,2)&amp;"-"&amp;RIGHT($B258,2)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258,4)&amp;"-"&amp;MID($B258,5,2)&amp;"-"&amp;RIGHT($B258,2)),OFFSET(Catalogus,0,0,,1),0)),Ok,VLOOKUP(DATEVALUE(LEFT($B258,4)&amp;"-"&amp;MID($B258,5,2)&amp;"-"&amp;RIGHT($B258,2)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258" s="73" t="str">
        <f t="shared" ref="F258:F321" ca="1" si="164">IF(OR(ISBLANK(VLOOKUP(DATEVALUE(LEFT($B258,4)&amp;"-"&amp;MID($B258,5,2)&amp;"-"&amp;RIGHT($B258,2)),Data,MATCH(LEFT(VLOOKUP(F$1,Parameters,2,FALSE()),3)&amp;"*",OFFSET(Data,N(ISNA(MATCH(LEFT(VLOOKUP(F$1,Parameters,2,FALSE()),3)&amp;"*",OFFSET(Data,0,0,1),0))),0,1),0)+3*N(EXACT(F$1,"DFx")),FALSE())),ISTEXT(VLOOKUP(DATEVALUE(LEFT($B258,4)&amp;"-"&amp;MID($B258,5,2)&amp;"-"&amp;RIGHT($B258,2)),Data,MATCH(LEFT(VLOOKUP(F$1,Parameters,2,FALSE()),3)&amp;"*",OFFSET(Data,N(ISNA(MATCH(LEFT(VLOOKUP(F$1,Parameters,2,FALSE()),3)&amp;"*",OFFSET(Data,0,0,1),0))),0,1),0)+3*N(EXACT(F$1,"DFx")),FALSE()))),"—",ROUND(0.0254*VLOOKUP(DATEVALUE(LEFT($B258,4)&amp;"-"&amp;MID($B258,5,2)&amp;"-"&amp;RIGHT($B258,2)),Data,MATCH(LEFT(VLOOKUP(F$1,Parameters,2,FALSE()),3)&amp;"*",OFFSET(Data,N(ISNA(MATCH(LEFT(VLOOKUP(F$1,Parameters,2,FALSE()),3)&amp;"*",OFFSET(Data,0,0,1),0))),0,1),0)+3*N(EXACT(F$1,"DFx")),FALSE()),2))</f>
        <v>—</v>
      </c>
      <c r="G258" s="15">
        <f t="shared" ref="G258:G321" ca="1" si="165">IF(OR(ISBLANK(VLOOKUP(DATEVALUE(LEFT($B258,4)&amp;"-"&amp;MID($B258,5,2)&amp;"-"&amp;RIGHT($B258,2)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258,4)&amp;"-"&amp;MID($B258,5,2)&amp;"-"&amp;RIGHT($B258,2)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258,4)&amp;"-"&amp;MID($B258,5,2)&amp;"-"&amp;RIGHT($B258,2)),OFFSET(Catalogus,0,0,,1),0)),Ok,VLOOKUP(DATEVALUE(LEFT($B258,4)&amp;"-"&amp;MID($B258,5,2)&amp;"-"&amp;RIGHT($B258,2)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258" s="73" t="str">
        <f t="shared" ref="H258:H321" ca="1" si="166">IF(OR(ISBLANK(VLOOKUP(DATEVALUE(LEFT($B258,4)&amp;"-"&amp;MID($B258,5,2)&amp;"-"&amp;RIGHT($B258,2)),Data,MATCH(LEFT(VLOOKUP(H$1,Parameters,2,FALSE()),3)&amp;"*",OFFSET(Data,N(ISNA(MATCH(LEFT(VLOOKUP(H$1,Parameters,2,FALSE()),3)&amp;"*",OFFSET(Data,0,0,1),0))),0,1),0)+3*N(EXACT(H$1,"DFx")),FALSE())),ISTEXT(VLOOKUP(DATEVALUE(LEFT($B258,4)&amp;"-"&amp;MID($B258,5,2)&amp;"-"&amp;RIGHT($B258,2)),Data,MATCH(LEFT(VLOOKUP(H$1,Parameters,2,FALSE()),3)&amp;"*",OFFSET(Data,N(ISNA(MATCH(LEFT(VLOOKUP(H$1,Parameters,2,FALSE()),3)&amp;"*",OFFSET(Data,0,0,1),0))),0,1),0)+3*N(EXACT(H$1,"DFx")),FALSE()))),"—",ROUND(0.0254*VLOOKUP(DATEVALUE(LEFT($B258,4)&amp;"-"&amp;MID($B258,5,2)&amp;"-"&amp;RIGHT($B258,2)),Data,MATCH(LEFT(VLOOKUP(H$1,Parameters,2,FALSE()),3)&amp;"*",OFFSET(Data,N(ISNA(MATCH(LEFT(VLOOKUP(H$1,Parameters,2,FALSE()),3)&amp;"*",OFFSET(Data,0,0,1),0))),0,1),0)+3*N(EXACT(H$1,"DFx")),FALSE()),2))</f>
        <v>—</v>
      </c>
      <c r="I258" s="15">
        <f t="shared" ref="I258:I321" ca="1" si="167">IF(OR(ISBLANK(VLOOKUP(DATEVALUE(LEFT($B258,4)&amp;"-"&amp;MID($B258,5,2)&amp;"-"&amp;RIGHT($B258,2)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258,4)&amp;"-"&amp;MID($B258,5,2)&amp;"-"&amp;RIGHT($B258,2)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258,4)&amp;"-"&amp;MID($B258,5,2)&amp;"-"&amp;RIGHT($B258,2)),OFFSET(Catalogus,0,0,,1),0)),Ok,VLOOKUP(DATEVALUE(LEFT($B258,4)&amp;"-"&amp;MID($B258,5,2)&amp;"-"&amp;RIGHT($B258,2)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258" s="73" t="str">
        <f t="shared" ref="J258:J321" ca="1" si="168">IF(OR(ISBLANK(VLOOKUP(DATEVALUE(LEFT($B258,4)&amp;"-"&amp;MID($B258,5,2)&amp;"-"&amp;RIGHT($B258,2)),Data,MATCH(LEFT(VLOOKUP(J$1,Parameters,2,FALSE()),3)&amp;"*",OFFSET(Data,N(ISNA(MATCH(LEFT(VLOOKUP(J$1,Parameters,2,FALSE()),3)&amp;"*",OFFSET(Data,0,0,1),0))),0,1),0)+3*N(EXACT(J$1,"DFx")),FALSE())),ISTEXT(VLOOKUP(DATEVALUE(LEFT($B258,4)&amp;"-"&amp;MID($B258,5,2)&amp;"-"&amp;RIGHT($B258,2)),Data,MATCH(LEFT(VLOOKUP(J$1,Parameters,2,FALSE()),3)&amp;"*",OFFSET(Data,N(ISNA(MATCH(LEFT(VLOOKUP(J$1,Parameters,2,FALSE()),3)&amp;"*",OFFSET(Data,0,0,1),0))),0,1),0)+3*N(EXACT(J$1,"DFx")),FALSE()))),"—",ROUND(0.0254*VLOOKUP(DATEVALUE(LEFT($B258,4)&amp;"-"&amp;MID($B258,5,2)&amp;"-"&amp;RIGHT($B258,2)),Data,MATCH(LEFT(VLOOKUP(J$1,Parameters,2,FALSE()),3)&amp;"*",OFFSET(Data,N(ISNA(MATCH(LEFT(VLOOKUP(J$1,Parameters,2,FALSE()),3)&amp;"*",OFFSET(Data,0,0,1),0))),0,1),0)+3*N(EXACT(J$1,"DFx")),FALSE()),2))</f>
        <v>—</v>
      </c>
      <c r="K258" s="15">
        <f t="shared" ref="K258:K321" ca="1" si="169">IF(OR(ISBLANK(VLOOKUP(DATEVALUE(LEFT($B258,4)&amp;"-"&amp;MID($B258,5,2)&amp;"-"&amp;RIGHT($B258,2)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258,4)&amp;"-"&amp;MID($B258,5,2)&amp;"-"&amp;RIGHT($B258,2)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258,4)&amp;"-"&amp;MID($B258,5,2)&amp;"-"&amp;RIGHT($B258,2)),OFFSET(Catalogus,0,0,,1),0)),Ok,VLOOKUP(DATEVALUE(LEFT($B258,4)&amp;"-"&amp;MID($B258,5,2)&amp;"-"&amp;RIGHT($B258,2)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258" s="16" t="str">
        <f t="shared" ref="L258:L321" ca="1" si="170">IF(OR(ISBLANK(VLOOKUP(DATEVALUE(LEFT($B258,4)&amp;"-"&amp;MID($B258,5,2)&amp;"-"&amp;RIGHT($B258,2)),Data,MATCH(LEFT(VLOOKUP(L$1,Parameters,2,FALSE()),3)&amp;"*",OFFSET(Data,N(ISNA(MATCH(LEFT(VLOOKUP(L$1,Parameters,2,FALSE()),3)&amp;"*",OFFSET(Data,0,0,1),0))),0,1),0)+3*N(EXACT(L$1,"DFx")),FALSE())),ISTEXT(VLOOKUP(DATEVALUE(LEFT($B258,4)&amp;"-"&amp;MID($B258,5,2)&amp;"-"&amp;RIGHT($B258,2)),Data,MATCH(LEFT(VLOOKUP(L$1,Parameters,2,FALSE()),3)&amp;"*",OFFSET(Data,N(ISNA(MATCH(LEFT(VLOOKUP(L$1,Parameters,2,FALSE()),3)&amp;"*",OFFSET(Data,0,0,1),0))),0,1),0)+3*N(EXACT(L$1,"DFx")),FALSE()))),"—",ROUND(0.254*VLOOKUP(DATEVALUE(LEFT($B258,4)&amp;"-"&amp;MID($B258,5,2)&amp;"-"&amp;RIGHT($B258,2)),Data,MATCH(LEFT(VLOOKUP(L$1,Parameters,2,FALSE()),3)&amp;"*",OFFSET(Data,N(ISNA(MATCH(LEFT(VLOOKUP(L$1,Parameters,2,FALSE()),3)&amp;"*",OFFSET(Data,0,0,1),0))),0,1),0)+3*N(EXACT(L$1,"DFx")),FALSE()),1))</f>
        <v>—</v>
      </c>
      <c r="M258" s="15">
        <f t="shared" ref="M258:M321" ca="1" si="171">IF(OR(ISBLANK(VLOOKUP(DATEVALUE(LEFT($B258,4)&amp;"-"&amp;MID($B258,5,2)&amp;"-"&amp;RIGHT($B258,2)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258,4)&amp;"-"&amp;MID($B258,5,2)&amp;"-"&amp;RIGHT($B258,2)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258,4)&amp;"-"&amp;MID($B258,5,2)&amp;"-"&amp;RIGHT($B258,2)),OFFSET(Catalogus,0,0,,1),0)),Ok,VLOOKUP(DATEVALUE(LEFT($B258,4)&amp;"-"&amp;MID($B258,5,2)&amp;"-"&amp;RIGHT($B258,2)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7</v>
      </c>
      <c r="N258" s="16" t="str">
        <f t="shared" ref="N258:N321" ca="1" si="172">IF(OR(ISBLANK(VLOOKUP(DATEVALUE(LEFT($B258,4)&amp;"-"&amp;MID($B258,5,2)&amp;"-"&amp;RIGHT($B258,2)),Data,MATCH(LEFT(VLOOKUP(N$1,Parameters,2,FALSE()),3)&amp;"*",OFFSET(Data,N(ISNA(MATCH(LEFT(VLOOKUP(N$1,Parameters,2,FALSE()),3)&amp;"*",OFFSET(Data,0,0,1),0))),0,1),0)+3*N(EXACT(N$1,"DFx")),FALSE())),ISTEXT(VLOOKUP(DATEVALUE(LEFT($B258,4)&amp;"-"&amp;MID($B258,5,2)&amp;"-"&amp;RIGHT($B258,2)),Data,MATCH(LEFT(VLOOKUP(N$1,Parameters,2,FALSE()),3)&amp;"*",OFFSET(Data,N(ISNA(MATCH(LEFT(VLOOKUP(N$1,Parameters,2,FALSE()),3)&amp;"*",OFFSET(Data,0,0,1),0))),0,1),0)+3*N(EXACT(N$1,"DFx")),FALSE()))),"—",ROUND(5*(VLOOKUP(DATEVALUE(LEFT($B258,4)&amp;"-"&amp;MID($B258,5,2)&amp;"-"&amp;RIGHT($B258,2)),Data,MATCH(LEFT(VLOOKUP(N$1,Parameters,2,FALSE()),3)&amp;"*",OFFSET(Data,N(ISNA(MATCH(LEFT(VLOOKUP(N$1,Parameters,2,FALSE()),3)&amp;"*",OFFSET(Data,0,0,1),0))),0,1),0)+3*N(EXACT(N$1,"DFx")),FALSE())-320)/90,1))</f>
        <v>—</v>
      </c>
      <c r="O258" s="15">
        <f t="shared" ref="O258:O321" ca="1" si="173">IF(OR(ISBLANK(VLOOKUP(DATEVALUE(LEFT($B258,4)&amp;"-"&amp;MID($B258,5,2)&amp;"-"&amp;RIGHT($B258,2)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258,4)&amp;"-"&amp;MID($B258,5,2)&amp;"-"&amp;RIGHT($B258,2)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258,4)&amp;"-"&amp;MID($B258,5,2)&amp;"-"&amp;RIGHT($B258,2)),OFFSET(Catalogus,0,0,,1),0)),Ok,VLOOKUP(DATEVALUE(LEFT($B258,4)&amp;"-"&amp;MID($B258,5,2)&amp;"-"&amp;RIGHT($B258,2)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258" s="16" t="str">
        <f t="shared" ref="P258:P321" ca="1" si="174">IF(OR(ISBLANK(VLOOKUP(DATEVALUE(LEFT($B258,4)&amp;"-"&amp;MID($B258,5,2)&amp;"-"&amp;RIGHT($B258,2)),Data,MATCH(LEFT(VLOOKUP(P$1,Parameters,2,FALSE()),3)&amp;"*",OFFSET(Data,N(ISNA(MATCH(LEFT(VLOOKUP(P$1,Parameters,2,FALSE()),3)&amp;"*",OFFSET(Data,0,0,1),0))),0,1),0)+3*N(EXACT(P$1,"DFx")),FALSE())),ISTEXT(VLOOKUP(DATEVALUE(LEFT($B258,4)&amp;"-"&amp;MID($B258,5,2)&amp;"-"&amp;RIGHT($B258,2)),Data,MATCH(LEFT(VLOOKUP(P$1,Parameters,2,FALSE()),3)&amp;"*",OFFSET(Data,N(ISNA(MATCH(LEFT(VLOOKUP(P$1,Parameters,2,FALSE()),3)&amp;"*",OFFSET(Data,0,0,1),0))),0,1),0)+3*N(EXACT(P$1,"DFx")),FALSE()))),"—",ROUND(5*(VLOOKUP(DATEVALUE(LEFT($B258,4)&amp;"-"&amp;MID($B258,5,2)&amp;"-"&amp;RIGHT($B258,2)),Data,MATCH(LEFT(VLOOKUP(P$1,Parameters,2,FALSE()),3)&amp;"*",OFFSET(Data,N(ISNA(MATCH(LEFT(VLOOKUP(P$1,Parameters,2,FALSE()),3)&amp;"*",OFFSET(Data,0,0,1),0))),0,1),0)+3*N(EXACT(P$1,"DFx")),FALSE())-320)/90,1))</f>
        <v>—</v>
      </c>
      <c r="Q258" s="15">
        <f t="shared" ref="Q258:Q321" ca="1" si="175">IF(OR(ISBLANK(VLOOKUP(DATEVALUE(LEFT($B258,4)&amp;"-"&amp;MID($B258,5,2)&amp;"-"&amp;RIGHT($B258,2)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258,4)&amp;"-"&amp;MID($B258,5,2)&amp;"-"&amp;RIGHT($B258,2)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258,4)&amp;"-"&amp;MID($B258,5,2)&amp;"-"&amp;RIGHT($B258,2)),OFFSET(Catalogus,0,0,,1),0)),Ok,VLOOKUP(DATEVALUE(LEFT($B258,4)&amp;"-"&amp;MID($B258,5,2)&amp;"-"&amp;RIGHT($B258,2)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258" s="16" t="str">
        <f t="shared" ref="R258:R321" ca="1" si="176">IF(OR(ISBLANK(VLOOKUP(DATEVALUE(LEFT($B258,4)&amp;"-"&amp;MID($B258,5,2)&amp;"-"&amp;RIGHT($B258,2)),Data,MATCH(LEFT(VLOOKUP(R$1,Parameters,2,FALSE()),3)&amp;"*",OFFSET(Data,N(ISNA(MATCH(LEFT(VLOOKUP(R$1,Parameters,2,FALSE()),3)&amp;"*",OFFSET(Data,0,0,1),0))),0,1),0)+3*N(EXACT(R$1,"DFx")),FALSE())),ISTEXT(VLOOKUP(DATEVALUE(LEFT($B258,4)&amp;"-"&amp;MID($B258,5,2)&amp;"-"&amp;RIGHT($B258,2)),Data,MATCH(LEFT(VLOOKUP(R$1,Parameters,2,FALSE()),3)&amp;"*",OFFSET(Data,N(ISNA(MATCH(LEFT(VLOOKUP(R$1,Parameters,2,FALSE()),3)&amp;"*",OFFSET(Data,0,0,1),0))),0,1),0)+3*N(EXACT(R$1,"DFx")),FALSE()))),"—",ROUND(5*(VLOOKUP(DATEVALUE(LEFT($B258,4)&amp;"-"&amp;MID($B258,5,2)&amp;"-"&amp;RIGHT($B258,2)),Data,MATCH(LEFT(VLOOKUP(R$1,Parameters,2,FALSE()),3)&amp;"*",OFFSET(Data,N(ISNA(MATCH(LEFT(VLOOKUP(R$1,Parameters,2,FALSE()),3)&amp;"*",OFFSET(Data,0,0,1),0))),0,1),0)+3*N(EXACT(R$1,"DFx")),FALSE())-320)/90,1))</f>
        <v>—</v>
      </c>
      <c r="S258" s="15">
        <f t="shared" ref="S258:S321" ca="1" si="177">IF(OR(ISBLANK(VLOOKUP(DATEVALUE(LEFT($B258,4)&amp;"-"&amp;MID($B258,5,2)&amp;"-"&amp;RIGHT($B258,2)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258,4)&amp;"-"&amp;MID($B258,5,2)&amp;"-"&amp;RIGHT($B258,2)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258,4)&amp;"-"&amp;MID($B258,5,2)&amp;"-"&amp;RIGHT($B258,2)),OFFSET(Catalogus,0,0,,1),0)),Ok,VLOOKUP(DATEVALUE(LEFT($B258,4)&amp;"-"&amp;MID($B258,5,2)&amp;"-"&amp;RIGHT($B258,2)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258" s="9" t="str">
        <f t="shared" ref="T258:T321" ca="1" si="178">IF(OR(ISBLANK(VLOOKUP(DATEVALUE(LEFT($B258,4)&amp;"-"&amp;MID($B258,5,2)&amp;"-"&amp;RIGHT($B258,2)),Data,MATCH(LEFT(VLOOKUP(T$1,Parameters,2,FALSE()),3)&amp;"*",OFFSET(Data,N(ISNA(MATCH(LEFT(VLOOKUP(T$1,Parameters,2,FALSE()),3)&amp;"*",OFFSET(Data,0,0,1),0))),0,1),0)+3*N(EXACT(T$1,"DFx")),FALSE())),ISTEXT(VLOOKUP(DATEVALUE(LEFT($B258,4)&amp;"-"&amp;MID($B258,5,2)&amp;"-"&amp;RIGHT($B258,2)),Data,MATCH(LEFT(VLOOKUP(T$1,Parameters,2,FALSE()),3)&amp;"*",OFFSET(Data,N(ISNA(MATCH(LEFT(VLOOKUP(T$1,Parameters,2,FALSE()),3)&amp;"*",OFFSET(Data,0,0,1),0))),0,1),0)+3*N(EXACT(T$1,"DFx")),FALSE()))),"—",VLOOKUP(DATEVALUE(LEFT($B258,4)&amp;"-"&amp;MID($B258,5,2)&amp;"-"&amp;RIGHT($B258,2)),Data,MATCH(LEFT(VLOOKUP(T$1,Parameters,2,FALSE()),3)&amp;"*",OFFSET(Data,N(ISNA(MATCH(LEFT(VLOOKUP(T$1,Parameters,2,FALSE()),3)&amp;"*",OFFSET(Data,0,0,1),0))),0,1),0)+3*N(EXACT(T$1,"DFx")),FALSE()))</f>
        <v>—</v>
      </c>
      <c r="U258" s="15">
        <f t="shared" ref="U258:U321" ca="1" si="179">IF(OR(ISBLANK(VLOOKUP(DATEVALUE(LEFT($B258,4)&amp;"-"&amp;MID($B258,5,2)&amp;"-"&amp;RIGHT($B258,2)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258,4)&amp;"-"&amp;MID($B258,5,2)&amp;"-"&amp;RIGHT($B258,2)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258,4)&amp;"-"&amp;MID($B258,5,2)&amp;"-"&amp;RIGHT($B258,2)),OFFSET(Catalogus,0,0,,1),0)),Ok,VLOOKUP(DATEVALUE(LEFT($B258,4)&amp;"-"&amp;MID($B258,5,2)&amp;"-"&amp;RIGHT($B258,2)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258" s="16" t="str">
        <f t="shared" ref="V258:V321" ca="1" si="180">IF(OR(ISBLANK(VLOOKUP(DATEVALUE(LEFT($B258,4)&amp;"-"&amp;MID($B258,5,2)&amp;"-"&amp;RIGHT($B258,2)),Data,MATCH(LEFT(VLOOKUP(V$1,Parameters,2,FALSE()),3)&amp;"*",OFFSET(Data,N(ISNA(MATCH(LEFT(VLOOKUP(V$1,Parameters,2,FALSE()),3)&amp;"*",OFFSET(Data,0,0,1),0))),0,1),0)+3*N(EXACT(V$1,"DFx")),FALSE())),ISTEXT(VLOOKUP(DATEVALUE(LEFT($B258,4)&amp;"-"&amp;MID($B258,5,2)&amp;"-"&amp;RIGHT($B258,2)),Data,MATCH(LEFT(VLOOKUP(V$1,Parameters,2,FALSE()),3)&amp;"*",OFFSET(Data,N(ISNA(MATCH(LEFT(VLOOKUP(V$1,Parameters,2,FALSE()),3)&amp;"*",OFFSET(Data,0,0,1),0))),0,1),0)+3*N(EXACT(V$1,"DFx")),FALSE()))),"—",ROUND(0.0254*VLOOKUP(DATEVALUE(LEFT($B258,4)&amp;"-"&amp;MID($B258,5,2)&amp;"-"&amp;RIGHT($B258,2)),Data,MATCH(LEFT(VLOOKUP(V$1,Parameters,2,FALSE()),3)&amp;"*",OFFSET(Data,N(ISNA(MATCH(LEFT(VLOOKUP(V$1,Parameters,2,FALSE()),3)&amp;"*",OFFSET(Data,0,0,1),0))),0,1),0)+3*N(EXACT(V$1,"DFx")),FALSE()),1))</f>
        <v>—</v>
      </c>
      <c r="W258" s="15">
        <f t="shared" ref="W258:W321" ca="1" si="181">IF(OR(ISBLANK(VLOOKUP(DATEVALUE(LEFT($B258,4)&amp;"-"&amp;MID($B258,5,2)&amp;"-"&amp;RIGHT($B258,2)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258,4)&amp;"-"&amp;MID($B258,5,2)&amp;"-"&amp;RIGHT($B258,2)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258,4)&amp;"-"&amp;MID($B258,5,2)&amp;"-"&amp;RIGHT($B258,2)),OFFSET(Catalogus,0,0,,1),0)),Ok,VLOOKUP(DATEVALUE(LEFT($B258,4)&amp;"-"&amp;MID($B258,5,2)&amp;"-"&amp;RIGHT($B258,2)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258" s="16" t="str">
        <f t="shared" ref="X258:X321" ca="1" si="182">IF(OR(ISBLANK(VLOOKUP(DATEVALUE(LEFT($B258,4)&amp;"-"&amp;MID($B258,5,2)&amp;"-"&amp;RIGHT($B258,2)),Data,MATCH(LEFT(VLOOKUP(X$1,Parameters,2,FALSE()),3)&amp;"*",OFFSET(Data,N(ISNA(MATCH(LEFT(VLOOKUP(X$1,Parameters,2,FALSE()),3)&amp;"*",OFFSET(Data,0,0,1),0))),0,1),0)+3*N(EXACT(X$1,"DFx")),FALSE())),ISTEXT(VLOOKUP(DATEVALUE(LEFT($B258,4)&amp;"-"&amp;MID($B258,5,2)&amp;"-"&amp;RIGHT($B258,2)),Data,MATCH(LEFT(VLOOKUP(X$1,Parameters,2,FALSE()),3)&amp;"*",OFFSET(Data,N(ISNA(MATCH(LEFT(VLOOKUP(X$1,Parameters,2,FALSE()),3)&amp;"*",OFFSET(Data,0,0,1),0))),0,1),0)+3*N(EXACT(X$1,"DFx")),FALSE()))),"—",ROUND(5*(VLOOKUP(DATEVALUE(LEFT($B258,4)&amp;"-"&amp;MID($B258,5,2)&amp;"-"&amp;RIGHT($B258,2)),Data,MATCH(LEFT(VLOOKUP(X$1,Parameters,2,FALSE()),3)&amp;"*",OFFSET(Data,N(ISNA(MATCH(LEFT(VLOOKUP(X$1,Parameters,2,FALSE()),3)&amp;"*",OFFSET(Data,0,0,1),0))),0,1),0)+3*N(EXACT(X$1,"DFx")),FALSE())-320)/90,1))</f>
        <v>—</v>
      </c>
      <c r="Y258" s="15">
        <f t="shared" ref="Y258:Y321" ca="1" si="183">IF(OR(ISBLANK(VLOOKUP(DATEVALUE(LEFT($B258,4)&amp;"-"&amp;MID($B258,5,2)&amp;"-"&amp;RIGHT($B258,2)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258,4)&amp;"-"&amp;MID($B258,5,2)&amp;"-"&amp;RIGHT($B258,2)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258,4)&amp;"-"&amp;MID($B258,5,2)&amp;"-"&amp;RIGHT($B258,2)),OFFSET(Catalogus,0,0,,1),0)),Ok,VLOOKUP(DATEVALUE(LEFT($B258,4)&amp;"-"&amp;MID($B258,5,2)&amp;"-"&amp;RIGHT($B258,2)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7</v>
      </c>
      <c r="Z258" s="16" t="str">
        <f t="shared" ref="Z258:Z321" ca="1" si="184">IF(OR(ISBLANK(VLOOKUP(DATEVALUE(LEFT($B258,4)&amp;"-"&amp;MID($B258,5,2)&amp;"-"&amp;RIGHT($B258,2)),Data,MATCH(LEFT(VLOOKUP(Z$1,Parameters,2,FALSE()),3)&amp;"*",OFFSET(Data,N(ISNA(MATCH(LEFT(VLOOKUP(Z$1,Parameters,2,FALSE()),3)&amp;"*",OFFSET(Data,0,0,1),0))),0,1),0)+3*N(EXACT(Z$1,"DFx")),FALSE())),ISTEXT(VLOOKUP(DATEVALUE(LEFT($B258,4)&amp;"-"&amp;MID($B258,5,2)&amp;"-"&amp;RIGHT($B258,2)),Data,MATCH(LEFT(VLOOKUP(Z$1,Parameters,2,FALSE()),3)&amp;"*",OFFSET(Data,N(ISNA(MATCH(LEFT(VLOOKUP(Z$1,Parameters,2,FALSE()),3)&amp;"*",OFFSET(Data,0,0,1),0))),0,1),0)+3*N(EXACT(Z$1,"DFx")),FALSE()))),"—",ROUND(5*(VLOOKUP(DATEVALUE(LEFT($B258,4)&amp;"-"&amp;MID($B258,5,2)&amp;"-"&amp;RIGHT($B258,2)),Data,MATCH(LEFT(VLOOKUP(Z$1,Parameters,2,FALSE()),3)&amp;"*",OFFSET(Data,N(ISNA(MATCH(LEFT(VLOOKUP(Z$1,Parameters,2,FALSE()),3)&amp;"*",OFFSET(Data,0,0,1),0))),0,1),0)+3*N(EXACT(Z$1,"DFx")),FALSE())-320)/90,1))</f>
        <v>—</v>
      </c>
      <c r="AA258" s="15">
        <f t="shared" ref="AA258:AA321" ca="1" si="185">IF(OR(ISBLANK(VLOOKUP(DATEVALUE(LEFT($B258,4)&amp;"-"&amp;MID($B258,5,2)&amp;"-"&amp;RIGHT($B258,2)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258,4)&amp;"-"&amp;MID($B258,5,2)&amp;"-"&amp;RIGHT($B258,2)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258,4)&amp;"-"&amp;MID($B258,5,2)&amp;"-"&amp;RIGHT($B258,2)),OFFSET(Catalogus,0,0,,1),0)),Ok,VLOOKUP(DATEVALUE(LEFT($B258,4)&amp;"-"&amp;MID($B258,5,2)&amp;"-"&amp;RIGHT($B258,2)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7</v>
      </c>
      <c r="AB258" s="9" t="str">
        <f t="shared" ref="AB258:AB321" ca="1" si="186">IF(OR(ISBLANK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AND(ISTEXT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ISNA(MATCH(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,OFFSET(Windrichting,0,1,,1),0),1))</f>
        <v>—</v>
      </c>
      <c r="AC258" s="15">
        <f t="shared" ref="AC258:AC321" ca="1" si="187">IF(OR(ISBLANK(VLOOKUP(DATEVALUE(LEFT($B258,4)&amp;"-"&amp;MID($B258,5,2)&amp;"-"&amp;RIGHT($B258,2)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ISNA(MATCH(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258,4)&amp;"-"&amp;MID($B258,5,2)&amp;"-"&amp;RIGHT($B258,2)),OFFSET(Catalogus,0,0,,1),0)),Ok,VLOOKUP(DATEVALUE(LEFT($B258,4)&amp;"-"&amp;MID($B258,5,2)&amp;"-"&amp;RIGHT($B258,2)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7</v>
      </c>
      <c r="AD258" s="76" t="str">
        <f t="shared" ref="AD258:AD321" ca="1" si="188">IF(OR(ISBLANK(VLOOKUP(DATEVALUE(LEFT($B258,4)&amp;"-"&amp;MID($B258,5,2)&amp;"-"&amp;RIGHT($B258,2)),Data,MATCH(LEFT(VLOOKUP(AD$1,Parameters,2,FALSE()),3)&amp;"*",OFFSET(Data,N(ISNA(MATCH(LEFT(VLOOKUP(AD$1,Parameters,2,FALSE()),3)&amp;"*",OFFSET(Data,0,0,1),0))),0,1),0)+3*N(EXACT(AD$1,"DFx")),FALSE())),ISTEXT(VLOOKUP(DATEVALUE(LEFT($B258,4)&amp;"-"&amp;MID($B258,5,2)&amp;"-"&amp;RIGHT($B258,2)),Data,MATCH(LEFT(VLOOKUP(AD$1,Parameters,2,FALSE()),3)&amp;"*",OFFSET(Data,N(ISNA(MATCH(LEFT(VLOOKUP(AD$1,Parameters,2,FALSE()),3)&amp;"*",OFFSET(Data,0,0,1),0))),0,1),0)+3*N(EXACT(AD$1,"DFx")),FALSE()))),"—",ROUND(Kts*VLOOKUP(DATEVALUE(LEFT($B258,4)&amp;"-"&amp;MID($B258,5,2)&amp;"-"&amp;RIGHT($B258,2)),Data,MATCH(LEFT(VLOOKUP(AD$1,Parameters,2,FALSE()),3)&amp;"*",OFFSET(Data,N(ISNA(MATCH(LEFT(VLOOKUP(AD$1,Parameters,2,FALSE()),3)&amp;"*",OFFSET(Data,0,0,1),0))),0,1),0)+3*N(EXACT(AD$1,"DFx")),FALSE()),1))</f>
        <v>—</v>
      </c>
      <c r="AE258" s="15">
        <f t="shared" ref="AE258:AE321" ca="1" si="189">IF(OR(ISBLANK(VLOOKUP(DATEVALUE(LEFT($B258,4)&amp;"-"&amp;MID($B258,5,2)&amp;"-"&amp;RIGHT($B258,2)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258,4)&amp;"-"&amp;MID($B258,5,2)&amp;"-"&amp;RIGHT($B258,2)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258,4)&amp;"-"&amp;MID($B258,5,2)&amp;"-"&amp;RIGHT($B258,2)),OFFSET(Catalogus,0,0,,1),0)),Ok,VLOOKUP(DATEVALUE(LEFT($B258,4)&amp;"-"&amp;MID($B258,5,2)&amp;"-"&amp;RIGHT($B258,2)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7</v>
      </c>
      <c r="AF258" s="76" t="str">
        <f t="shared" ref="AF258:AF321" ca="1" si="190">IF(OR(ISBLANK(VLOOKUP(DATEVALUE(LEFT($B258,4)&amp;"-"&amp;MID($B258,5,2)&amp;"-"&amp;RIGHT($B258,2)),Data,MATCH(LEFT(VLOOKUP(AF$1,Parameters,2,FALSE()),3)&amp;"*",OFFSET(Data,N(ISNA(MATCH(LEFT(VLOOKUP(AF$1,Parameters,2,FALSE()),3)&amp;"*",OFFSET(Data,0,0,1),0))),0,1),0)+3*N(EXACT(AF$1,"DFx")),FALSE())),ISTEXT(VLOOKUP(DATEVALUE(LEFT($B258,4)&amp;"-"&amp;MID($B258,5,2)&amp;"-"&amp;RIGHT($B258,2)),Data,MATCH(LEFT(VLOOKUP(AF$1,Parameters,2,FALSE()),3)&amp;"*",OFFSET(Data,N(ISNA(MATCH(LEFT(VLOOKUP(AF$1,Parameters,2,FALSE()),3)&amp;"*",OFFSET(Data,0,0,1),0))),0,1),0)+3*N(EXACT(AF$1,"DFx")),FALSE()))),"—",ROUND(Kts*VLOOKUP(DATEVALUE(LEFT($B258,4)&amp;"-"&amp;MID($B258,5,2)&amp;"-"&amp;RIGHT($B258,2)),Data,MATCH(LEFT(VLOOKUP(AF$1,Parameters,2,FALSE()),3)&amp;"*",OFFSET(Data,N(ISNA(MATCH(LEFT(VLOOKUP(AF$1,Parameters,2,FALSE()),3)&amp;"*",OFFSET(Data,0,0,1),0))),0,1),0)+3*N(EXACT(AF$1,"DFx")),FALSE()),1))</f>
        <v>—</v>
      </c>
      <c r="AG258" s="15">
        <f t="shared" ref="AG258:AG321" ca="1" si="191">IF(OR(ISBLANK(VLOOKUP(DATEVALUE(LEFT($B258,4)&amp;"-"&amp;MID($B258,5,2)&amp;"-"&amp;RIGHT($B258,2)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258,4)&amp;"-"&amp;MID($B258,5,2)&amp;"-"&amp;RIGHT($B258,2)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258,4)&amp;"-"&amp;MID($B258,5,2)&amp;"-"&amp;RIGHT($B258,2)),OFFSET(Catalogus,0,0,,1),0)),Ok,VLOOKUP(DATEVALUE(LEFT($B258,4)&amp;"-"&amp;MID($B258,5,2)&amp;"-"&amp;RIGHT($B258,2)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258" s="9" t="str">
        <f t="shared" ref="AH258:AH321" ca="1" si="192">IF(OR(ISBLANK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AND(ISTEXT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ISNA(MATCH(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258" s="15">
        <f t="shared" ref="AI258:AI321" ca="1" si="193">IF(OR(ISBLANK(VLOOKUP(DATEVALUE(LEFT($B258,4)&amp;"-"&amp;MID($B258,5,2)&amp;"-"&amp;RIGHT($B258,2)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ISNA(MATCH(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258,4)&amp;"-"&amp;MID($B258,5,2)&amp;"-"&amp;RIGHT($B258,2)),OFFSET(Catalogus,0,0,,1),0)),Ok,VLOOKUP(DATEVALUE(LEFT($B258,4)&amp;"-"&amp;MID($B258,5,2)&amp;"-"&amp;RIGHT($B258,2)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258" s="26" t="str">
        <f t="shared" ref="AJ258:AJ321" ca="1" si="194">IF(OR(ISBLANK(VLOOKUP(DATEVALUE(LEFT($B258,4)&amp;"-"&amp;MID($B258,5,2)&amp;"-"&amp;RIGHT($B258,2)),Data,MATCH(LEFT(VLOOKUP(AJ$1,Parameters,2,FALSE()),3)&amp;"*",OFFSET(Data,N(ISNA(MATCH(LEFT(VLOOKUP(AJ$1,Parameters,2,FALSE()),3)&amp;"*",OFFSET(Data,0,0,1),0))),0,1),0)+3*N(EXACT(AJ$1,"DFx")),FALSE())),ISTEXT(VLOOKUP(DATEVALUE(LEFT($B258,4)&amp;"-"&amp;MID($B258,5,2)&amp;"-"&amp;RIGHT($B258,2)),Data,MATCH(LEFT(VLOOKUP(AJ$1,Parameters,2,FALSE()),3)&amp;"*",OFFSET(Data,N(ISNA(MATCH(LEFT(VLOOKUP(AJ$1,Parameters,2,FALSE()),3)&amp;"*",OFFSET(Data,0,0,1),0))),0,1),0)+3*N(EXACT(AJ$1,"DFx")),FALSE()))),"—",VLOOKUP(DATEVALUE(LEFT($B258,4)&amp;"-"&amp;MID($B258,5,2)&amp;"-"&amp;RIGHT($B258,2)),Data,MATCH(LEFT(VLOOKUP(AJ$1,Parameters,2,FALSE()),3)&amp;"*",OFFSET(Data,N(ISNA(MATCH(LEFT(VLOOKUP(AJ$1,Parameters,2,FALSE()),3)&amp;"*",OFFSET(Data,0,0,1),0))),0,1),0)+3*N(EXACT(AJ$1,"DFx")),FALSE()))</f>
        <v>—</v>
      </c>
      <c r="AK258" s="15">
        <f t="shared" ref="AK258:AK321" ca="1" si="195">IF(OR(ISBLANK(VLOOKUP(DATEVALUE(LEFT($B258,4)&amp;"-"&amp;MID($B258,5,2)&amp;"-"&amp;RIGHT($B258,2)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258,4)&amp;"-"&amp;MID($B258,5,2)&amp;"-"&amp;RIGHT($B258,2)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258,4)&amp;"-"&amp;MID($B258,5,2)&amp;"-"&amp;RIGHT($B258,2)),OFFSET(Catalogus,0,0,,1),0)),Ok,VLOOKUP(DATEVALUE(LEFT($B258,4)&amp;"-"&amp;MID($B258,5,2)&amp;"-"&amp;RIGHT($B258,2)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258" s="9" t="str">
        <f t="shared" ref="AL258:AL321" ca="1" si="196">IF(OR(ISBLANK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,AND(ISTEXT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,EXACT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,"—"))),"—",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</f>
        <v>—</v>
      </c>
      <c r="AM258" s="15">
        <f t="shared" ref="AM258:AM321" ca="1" si="197">IF(OR(ISBLANK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,AND(ISTEXT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,EXACT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,"—"))),Lacking,IF(ISNA(MATCH(DATEVALUE(LEFT($B258,4)&amp;"-"&amp;MID($B258,5,2)&amp;"-"&amp;RIGHT($B258,2)),OFFSET(Catalogus,0,0,,1),0)),Ok,VLOOKUP(DATEVALUE(LEFT($B258,4)&amp;"-"&amp;MID($B258,5,2)&amp;"-"&amp;RIGHT($B258,2)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258" s="9" t="str">
        <f t="shared" ref="AN258:AN321" ca="1" si="198">IF(OR(ISBLANK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AND(ISTEXT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ISNA(MATCH(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258" s="15">
        <f t="shared" ref="AO258:AO321" ca="1" si="199">IF(OR(ISBLANK(VLOOKUP(DATEVALUE(LEFT($B258,4)&amp;"-"&amp;MID($B258,5,2)&amp;"-"&amp;RIGHT($B258,2)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ISNA(MATCH(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258,4)&amp;"-"&amp;MID($B258,5,2)&amp;"-"&amp;RIGHT($B258,2)),OFFSET(Catalogus,0,0,,1),0)),Ok,VLOOKUP(DATEVALUE(LEFT($B258,4)&amp;"-"&amp;MID($B258,5,2)&amp;"-"&amp;RIGHT($B258,2)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259" spans="1:41" x14ac:dyDescent="0.25">
      <c r="A259" s="4">
        <f t="shared" si="160"/>
        <v>78989</v>
      </c>
      <c r="B259" t="str">
        <f ca="1">TEXT(DATE(YEAR(Invoer!$A$5),1,1)+ROWS(B$2:B259)-1,"jjjjmmdd")</f>
        <v>19130915</v>
      </c>
      <c r="C259" s="72">
        <f t="shared" si="161"/>
        <v>800</v>
      </c>
      <c r="D259" s="16" t="str">
        <f t="shared" ca="1" si="162"/>
        <v>—</v>
      </c>
      <c r="E259" s="15">
        <f t="shared" ca="1" si="163"/>
        <v>7</v>
      </c>
      <c r="F259" s="73" t="str">
        <f t="shared" ca="1" si="164"/>
        <v>—</v>
      </c>
      <c r="G259" s="15">
        <f t="shared" ca="1" si="165"/>
        <v>7</v>
      </c>
      <c r="H259" s="73" t="str">
        <f t="shared" ca="1" si="166"/>
        <v>—</v>
      </c>
      <c r="I259" s="15">
        <f t="shared" ca="1" si="167"/>
        <v>7</v>
      </c>
      <c r="J259" s="73" t="str">
        <f t="shared" ca="1" si="168"/>
        <v>—</v>
      </c>
      <c r="K259" s="15">
        <f t="shared" ca="1" si="169"/>
        <v>7</v>
      </c>
      <c r="L259" s="16" t="str">
        <f t="shared" ca="1" si="170"/>
        <v>—</v>
      </c>
      <c r="M259" s="15">
        <f t="shared" ca="1" si="171"/>
        <v>7</v>
      </c>
      <c r="N259" s="16" t="str">
        <f t="shared" ca="1" si="172"/>
        <v>—</v>
      </c>
      <c r="O259" s="15">
        <f t="shared" ca="1" si="173"/>
        <v>7</v>
      </c>
      <c r="P259" s="16" t="str">
        <f t="shared" ca="1" si="174"/>
        <v>—</v>
      </c>
      <c r="Q259" s="15">
        <f t="shared" ca="1" si="175"/>
        <v>7</v>
      </c>
      <c r="R259" s="16" t="str">
        <f t="shared" ca="1" si="176"/>
        <v>—</v>
      </c>
      <c r="S259" s="15">
        <f t="shared" ca="1" si="177"/>
        <v>7</v>
      </c>
      <c r="T259" s="9" t="str">
        <f t="shared" ca="1" si="178"/>
        <v>—</v>
      </c>
      <c r="U259" s="15">
        <f t="shared" ca="1" si="179"/>
        <v>7</v>
      </c>
      <c r="V259" s="16" t="str">
        <f t="shared" ca="1" si="180"/>
        <v>—</v>
      </c>
      <c r="W259" s="15">
        <f t="shared" ca="1" si="181"/>
        <v>7</v>
      </c>
      <c r="X259" s="16" t="str">
        <f t="shared" ca="1" si="182"/>
        <v>—</v>
      </c>
      <c r="Y259" s="15">
        <f t="shared" ca="1" si="183"/>
        <v>7</v>
      </c>
      <c r="Z259" s="16" t="str">
        <f t="shared" ca="1" si="184"/>
        <v>—</v>
      </c>
      <c r="AA259" s="15">
        <f t="shared" ca="1" si="185"/>
        <v>7</v>
      </c>
      <c r="AB259" s="9" t="str">
        <f t="shared" ca="1" si="186"/>
        <v>—</v>
      </c>
      <c r="AC259" s="15">
        <f t="shared" ca="1" si="187"/>
        <v>7</v>
      </c>
      <c r="AD259" s="76" t="str">
        <f t="shared" ca="1" si="188"/>
        <v>—</v>
      </c>
      <c r="AE259" s="15">
        <f t="shared" ca="1" si="189"/>
        <v>7</v>
      </c>
      <c r="AF259" s="76" t="str">
        <f t="shared" ca="1" si="190"/>
        <v>—</v>
      </c>
      <c r="AG259" s="15">
        <f t="shared" ca="1" si="191"/>
        <v>7</v>
      </c>
      <c r="AH259" s="9" t="str">
        <f t="shared" ca="1" si="192"/>
        <v>—</v>
      </c>
      <c r="AI259" s="15">
        <f t="shared" ca="1" si="193"/>
        <v>7</v>
      </c>
      <c r="AJ259" s="26" t="str">
        <f t="shared" ca="1" si="194"/>
        <v>—</v>
      </c>
      <c r="AK259" s="15">
        <f t="shared" ca="1" si="195"/>
        <v>7</v>
      </c>
      <c r="AL259" s="9" t="str">
        <f t="shared" ca="1" si="196"/>
        <v>—</v>
      </c>
      <c r="AM259" s="15">
        <f t="shared" ca="1" si="197"/>
        <v>7</v>
      </c>
      <c r="AN259" s="9" t="str">
        <f t="shared" ca="1" si="198"/>
        <v>—</v>
      </c>
      <c r="AO259" s="15">
        <f t="shared" ca="1" si="199"/>
        <v>7</v>
      </c>
    </row>
    <row r="260" spans="1:41" x14ac:dyDescent="0.25">
      <c r="A260" s="4">
        <f t="shared" si="160"/>
        <v>78989</v>
      </c>
      <c r="B260" t="str">
        <f ca="1">TEXT(DATE(YEAR(Invoer!$A$5),1,1)+ROWS(B$2:B260)-1,"jjjjmmdd")</f>
        <v>19130916</v>
      </c>
      <c r="C260" s="72">
        <f t="shared" si="161"/>
        <v>800</v>
      </c>
      <c r="D260" s="16" t="str">
        <f t="shared" ca="1" si="162"/>
        <v>—</v>
      </c>
      <c r="E260" s="15">
        <f t="shared" ca="1" si="163"/>
        <v>7</v>
      </c>
      <c r="F260" s="73" t="str">
        <f t="shared" ca="1" si="164"/>
        <v>—</v>
      </c>
      <c r="G260" s="15">
        <f t="shared" ca="1" si="165"/>
        <v>7</v>
      </c>
      <c r="H260" s="73" t="str">
        <f t="shared" ca="1" si="166"/>
        <v>—</v>
      </c>
      <c r="I260" s="15">
        <f t="shared" ca="1" si="167"/>
        <v>7</v>
      </c>
      <c r="J260" s="73" t="str">
        <f t="shared" ca="1" si="168"/>
        <v>—</v>
      </c>
      <c r="K260" s="15">
        <f t="shared" ca="1" si="169"/>
        <v>7</v>
      </c>
      <c r="L260" s="16" t="str">
        <f t="shared" ca="1" si="170"/>
        <v>—</v>
      </c>
      <c r="M260" s="15">
        <f t="shared" ca="1" si="171"/>
        <v>7</v>
      </c>
      <c r="N260" s="16" t="str">
        <f t="shared" ca="1" si="172"/>
        <v>—</v>
      </c>
      <c r="O260" s="15">
        <f t="shared" ca="1" si="173"/>
        <v>7</v>
      </c>
      <c r="P260" s="16" t="str">
        <f t="shared" ca="1" si="174"/>
        <v>—</v>
      </c>
      <c r="Q260" s="15">
        <f t="shared" ca="1" si="175"/>
        <v>7</v>
      </c>
      <c r="R260" s="16" t="str">
        <f t="shared" ca="1" si="176"/>
        <v>—</v>
      </c>
      <c r="S260" s="15">
        <f t="shared" ca="1" si="177"/>
        <v>7</v>
      </c>
      <c r="T260" s="9" t="str">
        <f t="shared" ca="1" si="178"/>
        <v>—</v>
      </c>
      <c r="U260" s="15">
        <f t="shared" ca="1" si="179"/>
        <v>7</v>
      </c>
      <c r="V260" s="16" t="str">
        <f t="shared" ca="1" si="180"/>
        <v>—</v>
      </c>
      <c r="W260" s="15">
        <f t="shared" ca="1" si="181"/>
        <v>7</v>
      </c>
      <c r="X260" s="16" t="str">
        <f t="shared" ca="1" si="182"/>
        <v>—</v>
      </c>
      <c r="Y260" s="15">
        <f t="shared" ca="1" si="183"/>
        <v>7</v>
      </c>
      <c r="Z260" s="16" t="str">
        <f t="shared" ca="1" si="184"/>
        <v>—</v>
      </c>
      <c r="AA260" s="15">
        <f t="shared" ca="1" si="185"/>
        <v>7</v>
      </c>
      <c r="AB260" s="9" t="str">
        <f t="shared" ca="1" si="186"/>
        <v>—</v>
      </c>
      <c r="AC260" s="15">
        <f t="shared" ca="1" si="187"/>
        <v>7</v>
      </c>
      <c r="AD260" s="76" t="str">
        <f t="shared" ca="1" si="188"/>
        <v>—</v>
      </c>
      <c r="AE260" s="15">
        <f t="shared" ca="1" si="189"/>
        <v>7</v>
      </c>
      <c r="AF260" s="76" t="str">
        <f t="shared" ca="1" si="190"/>
        <v>—</v>
      </c>
      <c r="AG260" s="15">
        <f t="shared" ca="1" si="191"/>
        <v>7</v>
      </c>
      <c r="AH260" s="9" t="str">
        <f t="shared" ca="1" si="192"/>
        <v>—</v>
      </c>
      <c r="AI260" s="15">
        <f t="shared" ca="1" si="193"/>
        <v>7</v>
      </c>
      <c r="AJ260" s="26" t="str">
        <f t="shared" ca="1" si="194"/>
        <v>—</v>
      </c>
      <c r="AK260" s="15">
        <f t="shared" ca="1" si="195"/>
        <v>7</v>
      </c>
      <c r="AL260" s="9" t="str">
        <f t="shared" ca="1" si="196"/>
        <v>—</v>
      </c>
      <c r="AM260" s="15">
        <f t="shared" ca="1" si="197"/>
        <v>7</v>
      </c>
      <c r="AN260" s="9" t="str">
        <f t="shared" ca="1" si="198"/>
        <v>—</v>
      </c>
      <c r="AO260" s="15">
        <f t="shared" ca="1" si="199"/>
        <v>7</v>
      </c>
    </row>
    <row r="261" spans="1:41" x14ac:dyDescent="0.25">
      <c r="A261" s="4">
        <f t="shared" si="160"/>
        <v>78989</v>
      </c>
      <c r="B261" t="str">
        <f ca="1">TEXT(DATE(YEAR(Invoer!$A$5),1,1)+ROWS(B$2:B261)-1,"jjjjmmdd")</f>
        <v>19130917</v>
      </c>
      <c r="C261" s="72">
        <f t="shared" si="161"/>
        <v>800</v>
      </c>
      <c r="D261" s="16" t="str">
        <f t="shared" ca="1" si="162"/>
        <v>—</v>
      </c>
      <c r="E261" s="15">
        <f t="shared" ca="1" si="163"/>
        <v>7</v>
      </c>
      <c r="F261" s="73" t="str">
        <f t="shared" ca="1" si="164"/>
        <v>—</v>
      </c>
      <c r="G261" s="15">
        <f t="shared" ca="1" si="165"/>
        <v>7</v>
      </c>
      <c r="H261" s="73" t="str">
        <f t="shared" ca="1" si="166"/>
        <v>—</v>
      </c>
      <c r="I261" s="15">
        <f t="shared" ca="1" si="167"/>
        <v>7</v>
      </c>
      <c r="J261" s="73" t="str">
        <f t="shared" ca="1" si="168"/>
        <v>—</v>
      </c>
      <c r="K261" s="15">
        <f t="shared" ca="1" si="169"/>
        <v>7</v>
      </c>
      <c r="L261" s="16" t="str">
        <f t="shared" ca="1" si="170"/>
        <v>—</v>
      </c>
      <c r="M261" s="15">
        <f t="shared" ca="1" si="171"/>
        <v>7</v>
      </c>
      <c r="N261" s="16" t="str">
        <f t="shared" ca="1" si="172"/>
        <v>—</v>
      </c>
      <c r="O261" s="15">
        <f t="shared" ca="1" si="173"/>
        <v>7</v>
      </c>
      <c r="P261" s="16" t="str">
        <f t="shared" ca="1" si="174"/>
        <v>—</v>
      </c>
      <c r="Q261" s="15">
        <f t="shared" ca="1" si="175"/>
        <v>7</v>
      </c>
      <c r="R261" s="16" t="str">
        <f t="shared" ca="1" si="176"/>
        <v>—</v>
      </c>
      <c r="S261" s="15">
        <f t="shared" ca="1" si="177"/>
        <v>7</v>
      </c>
      <c r="T261" s="9" t="str">
        <f t="shared" ca="1" si="178"/>
        <v>—</v>
      </c>
      <c r="U261" s="15">
        <f t="shared" ca="1" si="179"/>
        <v>7</v>
      </c>
      <c r="V261" s="16" t="str">
        <f t="shared" ca="1" si="180"/>
        <v>—</v>
      </c>
      <c r="W261" s="15">
        <f t="shared" ca="1" si="181"/>
        <v>7</v>
      </c>
      <c r="X261" s="16" t="str">
        <f t="shared" ca="1" si="182"/>
        <v>—</v>
      </c>
      <c r="Y261" s="15">
        <f t="shared" ca="1" si="183"/>
        <v>7</v>
      </c>
      <c r="Z261" s="16" t="str">
        <f t="shared" ca="1" si="184"/>
        <v>—</v>
      </c>
      <c r="AA261" s="15">
        <f t="shared" ca="1" si="185"/>
        <v>7</v>
      </c>
      <c r="AB261" s="9" t="str">
        <f t="shared" ca="1" si="186"/>
        <v>—</v>
      </c>
      <c r="AC261" s="15">
        <f t="shared" ca="1" si="187"/>
        <v>7</v>
      </c>
      <c r="AD261" s="76" t="str">
        <f t="shared" ca="1" si="188"/>
        <v>—</v>
      </c>
      <c r="AE261" s="15">
        <f t="shared" ca="1" si="189"/>
        <v>7</v>
      </c>
      <c r="AF261" s="76" t="str">
        <f t="shared" ca="1" si="190"/>
        <v>—</v>
      </c>
      <c r="AG261" s="15">
        <f t="shared" ca="1" si="191"/>
        <v>7</v>
      </c>
      <c r="AH261" s="9" t="str">
        <f t="shared" ca="1" si="192"/>
        <v>—</v>
      </c>
      <c r="AI261" s="15">
        <f t="shared" ca="1" si="193"/>
        <v>7</v>
      </c>
      <c r="AJ261" s="26" t="str">
        <f t="shared" ca="1" si="194"/>
        <v>—</v>
      </c>
      <c r="AK261" s="15">
        <f t="shared" ca="1" si="195"/>
        <v>7</v>
      </c>
      <c r="AL261" s="9" t="str">
        <f t="shared" ca="1" si="196"/>
        <v>—</v>
      </c>
      <c r="AM261" s="15">
        <f t="shared" ca="1" si="197"/>
        <v>7</v>
      </c>
      <c r="AN261" s="9" t="str">
        <f t="shared" ca="1" si="198"/>
        <v>—</v>
      </c>
      <c r="AO261" s="15">
        <f t="shared" ca="1" si="199"/>
        <v>7</v>
      </c>
    </row>
    <row r="262" spans="1:41" x14ac:dyDescent="0.25">
      <c r="A262" s="4">
        <f t="shared" si="160"/>
        <v>78989</v>
      </c>
      <c r="B262" t="str">
        <f ca="1">TEXT(DATE(YEAR(Invoer!$A$5),1,1)+ROWS(B$2:B262)-1,"jjjjmmdd")</f>
        <v>19130918</v>
      </c>
      <c r="C262" s="72">
        <f t="shared" si="161"/>
        <v>800</v>
      </c>
      <c r="D262" s="16" t="str">
        <f t="shared" ca="1" si="162"/>
        <v>—</v>
      </c>
      <c r="E262" s="15">
        <f t="shared" ca="1" si="163"/>
        <v>7</v>
      </c>
      <c r="F262" s="73" t="str">
        <f t="shared" ca="1" si="164"/>
        <v>—</v>
      </c>
      <c r="G262" s="15">
        <f t="shared" ca="1" si="165"/>
        <v>7</v>
      </c>
      <c r="H262" s="73" t="str">
        <f t="shared" ca="1" si="166"/>
        <v>—</v>
      </c>
      <c r="I262" s="15">
        <f t="shared" ca="1" si="167"/>
        <v>7</v>
      </c>
      <c r="J262" s="73" t="str">
        <f t="shared" ca="1" si="168"/>
        <v>—</v>
      </c>
      <c r="K262" s="15">
        <f t="shared" ca="1" si="169"/>
        <v>7</v>
      </c>
      <c r="L262" s="16" t="str">
        <f t="shared" ca="1" si="170"/>
        <v>—</v>
      </c>
      <c r="M262" s="15">
        <f t="shared" ca="1" si="171"/>
        <v>7</v>
      </c>
      <c r="N262" s="16" t="str">
        <f t="shared" ca="1" si="172"/>
        <v>—</v>
      </c>
      <c r="O262" s="15">
        <f t="shared" ca="1" si="173"/>
        <v>7</v>
      </c>
      <c r="P262" s="16" t="str">
        <f t="shared" ca="1" si="174"/>
        <v>—</v>
      </c>
      <c r="Q262" s="15">
        <f t="shared" ca="1" si="175"/>
        <v>7</v>
      </c>
      <c r="R262" s="16" t="str">
        <f t="shared" ca="1" si="176"/>
        <v>—</v>
      </c>
      <c r="S262" s="15">
        <f t="shared" ca="1" si="177"/>
        <v>7</v>
      </c>
      <c r="T262" s="9" t="str">
        <f t="shared" ca="1" si="178"/>
        <v>—</v>
      </c>
      <c r="U262" s="15">
        <f t="shared" ca="1" si="179"/>
        <v>7</v>
      </c>
      <c r="V262" s="16" t="str">
        <f t="shared" ca="1" si="180"/>
        <v>—</v>
      </c>
      <c r="W262" s="15">
        <f t="shared" ca="1" si="181"/>
        <v>7</v>
      </c>
      <c r="X262" s="16" t="str">
        <f t="shared" ca="1" si="182"/>
        <v>—</v>
      </c>
      <c r="Y262" s="15">
        <f t="shared" ca="1" si="183"/>
        <v>7</v>
      </c>
      <c r="Z262" s="16" t="str">
        <f t="shared" ca="1" si="184"/>
        <v>—</v>
      </c>
      <c r="AA262" s="15">
        <f t="shared" ca="1" si="185"/>
        <v>7</v>
      </c>
      <c r="AB262" s="9" t="str">
        <f t="shared" ca="1" si="186"/>
        <v>—</v>
      </c>
      <c r="AC262" s="15">
        <f t="shared" ca="1" si="187"/>
        <v>7</v>
      </c>
      <c r="AD262" s="76" t="str">
        <f t="shared" ca="1" si="188"/>
        <v>—</v>
      </c>
      <c r="AE262" s="15">
        <f t="shared" ca="1" si="189"/>
        <v>7</v>
      </c>
      <c r="AF262" s="76" t="str">
        <f t="shared" ca="1" si="190"/>
        <v>—</v>
      </c>
      <c r="AG262" s="15">
        <f t="shared" ca="1" si="191"/>
        <v>7</v>
      </c>
      <c r="AH262" s="9" t="str">
        <f t="shared" ca="1" si="192"/>
        <v>—</v>
      </c>
      <c r="AI262" s="15">
        <f t="shared" ca="1" si="193"/>
        <v>7</v>
      </c>
      <c r="AJ262" s="26" t="str">
        <f t="shared" ca="1" si="194"/>
        <v>—</v>
      </c>
      <c r="AK262" s="15">
        <f t="shared" ca="1" si="195"/>
        <v>7</v>
      </c>
      <c r="AL262" s="9" t="str">
        <f t="shared" ca="1" si="196"/>
        <v>—</v>
      </c>
      <c r="AM262" s="15">
        <f t="shared" ca="1" si="197"/>
        <v>7</v>
      </c>
      <c r="AN262" s="9" t="str">
        <f t="shared" ca="1" si="198"/>
        <v>—</v>
      </c>
      <c r="AO262" s="15">
        <f t="shared" ca="1" si="199"/>
        <v>7</v>
      </c>
    </row>
    <row r="263" spans="1:41" x14ac:dyDescent="0.25">
      <c r="A263" s="4">
        <f t="shared" si="160"/>
        <v>78989</v>
      </c>
      <c r="B263" t="str">
        <f ca="1">TEXT(DATE(YEAR(Invoer!$A$5),1,1)+ROWS(B$2:B263)-1,"jjjjmmdd")</f>
        <v>19130919</v>
      </c>
      <c r="C263" s="72">
        <f t="shared" si="161"/>
        <v>800</v>
      </c>
      <c r="D263" s="16" t="str">
        <f t="shared" ca="1" si="162"/>
        <v>—</v>
      </c>
      <c r="E263" s="15">
        <f t="shared" ca="1" si="163"/>
        <v>7</v>
      </c>
      <c r="F263" s="73" t="str">
        <f t="shared" ca="1" si="164"/>
        <v>—</v>
      </c>
      <c r="G263" s="15">
        <f t="shared" ca="1" si="165"/>
        <v>7</v>
      </c>
      <c r="H263" s="73" t="str">
        <f t="shared" ca="1" si="166"/>
        <v>—</v>
      </c>
      <c r="I263" s="15">
        <f t="shared" ca="1" si="167"/>
        <v>7</v>
      </c>
      <c r="J263" s="73" t="str">
        <f t="shared" ca="1" si="168"/>
        <v>—</v>
      </c>
      <c r="K263" s="15">
        <f t="shared" ca="1" si="169"/>
        <v>7</v>
      </c>
      <c r="L263" s="16" t="str">
        <f t="shared" ca="1" si="170"/>
        <v>—</v>
      </c>
      <c r="M263" s="15">
        <f t="shared" ca="1" si="171"/>
        <v>7</v>
      </c>
      <c r="N263" s="16" t="str">
        <f t="shared" ca="1" si="172"/>
        <v>—</v>
      </c>
      <c r="O263" s="15">
        <f t="shared" ca="1" si="173"/>
        <v>7</v>
      </c>
      <c r="P263" s="16" t="str">
        <f t="shared" ca="1" si="174"/>
        <v>—</v>
      </c>
      <c r="Q263" s="15">
        <f t="shared" ca="1" si="175"/>
        <v>7</v>
      </c>
      <c r="R263" s="16" t="str">
        <f t="shared" ca="1" si="176"/>
        <v>—</v>
      </c>
      <c r="S263" s="15">
        <f t="shared" ca="1" si="177"/>
        <v>7</v>
      </c>
      <c r="T263" s="9" t="str">
        <f t="shared" ca="1" si="178"/>
        <v>—</v>
      </c>
      <c r="U263" s="15">
        <f t="shared" ca="1" si="179"/>
        <v>7</v>
      </c>
      <c r="V263" s="16" t="str">
        <f t="shared" ca="1" si="180"/>
        <v>—</v>
      </c>
      <c r="W263" s="15">
        <f t="shared" ca="1" si="181"/>
        <v>7</v>
      </c>
      <c r="X263" s="16" t="str">
        <f t="shared" ca="1" si="182"/>
        <v>—</v>
      </c>
      <c r="Y263" s="15">
        <f t="shared" ca="1" si="183"/>
        <v>7</v>
      </c>
      <c r="Z263" s="16" t="str">
        <f t="shared" ca="1" si="184"/>
        <v>—</v>
      </c>
      <c r="AA263" s="15">
        <f t="shared" ca="1" si="185"/>
        <v>7</v>
      </c>
      <c r="AB263" s="9" t="str">
        <f t="shared" ca="1" si="186"/>
        <v>—</v>
      </c>
      <c r="AC263" s="15">
        <f t="shared" ca="1" si="187"/>
        <v>7</v>
      </c>
      <c r="AD263" s="76" t="str">
        <f t="shared" ca="1" si="188"/>
        <v>—</v>
      </c>
      <c r="AE263" s="15">
        <f t="shared" ca="1" si="189"/>
        <v>7</v>
      </c>
      <c r="AF263" s="76" t="str">
        <f t="shared" ca="1" si="190"/>
        <v>—</v>
      </c>
      <c r="AG263" s="15">
        <f t="shared" ca="1" si="191"/>
        <v>7</v>
      </c>
      <c r="AH263" s="9" t="str">
        <f t="shared" ca="1" si="192"/>
        <v>—</v>
      </c>
      <c r="AI263" s="15">
        <f t="shared" ca="1" si="193"/>
        <v>7</v>
      </c>
      <c r="AJ263" s="26" t="str">
        <f t="shared" ca="1" si="194"/>
        <v>—</v>
      </c>
      <c r="AK263" s="15">
        <f t="shared" ca="1" si="195"/>
        <v>7</v>
      </c>
      <c r="AL263" s="9" t="str">
        <f t="shared" ca="1" si="196"/>
        <v>—</v>
      </c>
      <c r="AM263" s="15">
        <f t="shared" ca="1" si="197"/>
        <v>7</v>
      </c>
      <c r="AN263" s="9" t="str">
        <f t="shared" ca="1" si="198"/>
        <v>—</v>
      </c>
      <c r="AO263" s="15">
        <f t="shared" ca="1" si="199"/>
        <v>7</v>
      </c>
    </row>
    <row r="264" spans="1:41" x14ac:dyDescent="0.25">
      <c r="A264" s="4">
        <f t="shared" si="160"/>
        <v>78989</v>
      </c>
      <c r="B264" t="str">
        <f ca="1">TEXT(DATE(YEAR(Invoer!$A$5),1,1)+ROWS(B$2:B264)-1,"jjjjmmdd")</f>
        <v>19130920</v>
      </c>
      <c r="C264" s="72">
        <f t="shared" si="161"/>
        <v>800</v>
      </c>
      <c r="D264" s="16" t="str">
        <f t="shared" ca="1" si="162"/>
        <v>—</v>
      </c>
      <c r="E264" s="15">
        <f t="shared" ca="1" si="163"/>
        <v>7</v>
      </c>
      <c r="F264" s="73" t="str">
        <f t="shared" ca="1" si="164"/>
        <v>—</v>
      </c>
      <c r="G264" s="15">
        <f t="shared" ca="1" si="165"/>
        <v>7</v>
      </c>
      <c r="H264" s="73" t="str">
        <f t="shared" ca="1" si="166"/>
        <v>—</v>
      </c>
      <c r="I264" s="15">
        <f t="shared" ca="1" si="167"/>
        <v>7</v>
      </c>
      <c r="J264" s="73" t="str">
        <f t="shared" ca="1" si="168"/>
        <v>—</v>
      </c>
      <c r="K264" s="15">
        <f t="shared" ca="1" si="169"/>
        <v>7</v>
      </c>
      <c r="L264" s="16" t="str">
        <f t="shared" ca="1" si="170"/>
        <v>—</v>
      </c>
      <c r="M264" s="15">
        <f t="shared" ca="1" si="171"/>
        <v>7</v>
      </c>
      <c r="N264" s="16" t="str">
        <f t="shared" ca="1" si="172"/>
        <v>—</v>
      </c>
      <c r="O264" s="15">
        <f t="shared" ca="1" si="173"/>
        <v>7</v>
      </c>
      <c r="P264" s="16" t="str">
        <f t="shared" ca="1" si="174"/>
        <v>—</v>
      </c>
      <c r="Q264" s="15">
        <f t="shared" ca="1" si="175"/>
        <v>7</v>
      </c>
      <c r="R264" s="16" t="str">
        <f t="shared" ca="1" si="176"/>
        <v>—</v>
      </c>
      <c r="S264" s="15">
        <f t="shared" ca="1" si="177"/>
        <v>7</v>
      </c>
      <c r="T264" s="9" t="str">
        <f t="shared" ca="1" si="178"/>
        <v>—</v>
      </c>
      <c r="U264" s="15">
        <f t="shared" ca="1" si="179"/>
        <v>7</v>
      </c>
      <c r="V264" s="16" t="str">
        <f t="shared" ca="1" si="180"/>
        <v>—</v>
      </c>
      <c r="W264" s="15">
        <f t="shared" ca="1" si="181"/>
        <v>7</v>
      </c>
      <c r="X264" s="16" t="str">
        <f t="shared" ca="1" si="182"/>
        <v>—</v>
      </c>
      <c r="Y264" s="15">
        <f t="shared" ca="1" si="183"/>
        <v>7</v>
      </c>
      <c r="Z264" s="16" t="str">
        <f t="shared" ca="1" si="184"/>
        <v>—</v>
      </c>
      <c r="AA264" s="15">
        <f t="shared" ca="1" si="185"/>
        <v>7</v>
      </c>
      <c r="AB264" s="9" t="str">
        <f t="shared" ca="1" si="186"/>
        <v>—</v>
      </c>
      <c r="AC264" s="15">
        <f t="shared" ca="1" si="187"/>
        <v>7</v>
      </c>
      <c r="AD264" s="76" t="str">
        <f t="shared" ca="1" si="188"/>
        <v>—</v>
      </c>
      <c r="AE264" s="15">
        <f t="shared" ca="1" si="189"/>
        <v>7</v>
      </c>
      <c r="AF264" s="76" t="str">
        <f t="shared" ca="1" si="190"/>
        <v>—</v>
      </c>
      <c r="AG264" s="15">
        <f t="shared" ca="1" si="191"/>
        <v>7</v>
      </c>
      <c r="AH264" s="9" t="str">
        <f t="shared" ca="1" si="192"/>
        <v>—</v>
      </c>
      <c r="AI264" s="15">
        <f t="shared" ca="1" si="193"/>
        <v>7</v>
      </c>
      <c r="AJ264" s="26" t="str">
        <f t="shared" ca="1" si="194"/>
        <v>—</v>
      </c>
      <c r="AK264" s="15">
        <f t="shared" ca="1" si="195"/>
        <v>7</v>
      </c>
      <c r="AL264" s="9" t="str">
        <f t="shared" ca="1" si="196"/>
        <v>—</v>
      </c>
      <c r="AM264" s="15">
        <f t="shared" ca="1" si="197"/>
        <v>7</v>
      </c>
      <c r="AN264" s="9" t="str">
        <f t="shared" ca="1" si="198"/>
        <v>—</v>
      </c>
      <c r="AO264" s="15">
        <f t="shared" ca="1" si="199"/>
        <v>7</v>
      </c>
    </row>
    <row r="265" spans="1:41" x14ac:dyDescent="0.25">
      <c r="A265" s="4">
        <f t="shared" si="160"/>
        <v>78989</v>
      </c>
      <c r="B265" t="str">
        <f ca="1">TEXT(DATE(YEAR(Invoer!$A$5),1,1)+ROWS(B$2:B265)-1,"jjjjmmdd")</f>
        <v>19130921</v>
      </c>
      <c r="C265" s="72">
        <f t="shared" si="161"/>
        <v>800</v>
      </c>
      <c r="D265" s="16" t="str">
        <f t="shared" ca="1" si="162"/>
        <v>—</v>
      </c>
      <c r="E265" s="15">
        <f t="shared" ca="1" si="163"/>
        <v>7</v>
      </c>
      <c r="F265" s="73" t="str">
        <f t="shared" ca="1" si="164"/>
        <v>—</v>
      </c>
      <c r="G265" s="15">
        <f t="shared" ca="1" si="165"/>
        <v>7</v>
      </c>
      <c r="H265" s="73" t="str">
        <f t="shared" ca="1" si="166"/>
        <v>—</v>
      </c>
      <c r="I265" s="15">
        <f t="shared" ca="1" si="167"/>
        <v>7</v>
      </c>
      <c r="J265" s="73" t="str">
        <f t="shared" ca="1" si="168"/>
        <v>—</v>
      </c>
      <c r="K265" s="15">
        <f t="shared" ca="1" si="169"/>
        <v>7</v>
      </c>
      <c r="L265" s="16" t="str">
        <f t="shared" ca="1" si="170"/>
        <v>—</v>
      </c>
      <c r="M265" s="15">
        <f t="shared" ca="1" si="171"/>
        <v>7</v>
      </c>
      <c r="N265" s="16" t="str">
        <f t="shared" ca="1" si="172"/>
        <v>—</v>
      </c>
      <c r="O265" s="15">
        <f t="shared" ca="1" si="173"/>
        <v>7</v>
      </c>
      <c r="P265" s="16" t="str">
        <f t="shared" ca="1" si="174"/>
        <v>—</v>
      </c>
      <c r="Q265" s="15">
        <f t="shared" ca="1" si="175"/>
        <v>7</v>
      </c>
      <c r="R265" s="16" t="str">
        <f t="shared" ca="1" si="176"/>
        <v>—</v>
      </c>
      <c r="S265" s="15">
        <f t="shared" ca="1" si="177"/>
        <v>7</v>
      </c>
      <c r="T265" s="9" t="str">
        <f t="shared" ca="1" si="178"/>
        <v>—</v>
      </c>
      <c r="U265" s="15">
        <f t="shared" ca="1" si="179"/>
        <v>7</v>
      </c>
      <c r="V265" s="16" t="str">
        <f t="shared" ca="1" si="180"/>
        <v>—</v>
      </c>
      <c r="W265" s="15">
        <f t="shared" ca="1" si="181"/>
        <v>7</v>
      </c>
      <c r="X265" s="16" t="str">
        <f t="shared" ca="1" si="182"/>
        <v>—</v>
      </c>
      <c r="Y265" s="15">
        <f t="shared" ca="1" si="183"/>
        <v>7</v>
      </c>
      <c r="Z265" s="16" t="str">
        <f t="shared" ca="1" si="184"/>
        <v>—</v>
      </c>
      <c r="AA265" s="15">
        <f t="shared" ca="1" si="185"/>
        <v>7</v>
      </c>
      <c r="AB265" s="9" t="str">
        <f t="shared" ca="1" si="186"/>
        <v>—</v>
      </c>
      <c r="AC265" s="15">
        <f t="shared" ca="1" si="187"/>
        <v>7</v>
      </c>
      <c r="AD265" s="76" t="str">
        <f t="shared" ca="1" si="188"/>
        <v>—</v>
      </c>
      <c r="AE265" s="15">
        <f t="shared" ca="1" si="189"/>
        <v>7</v>
      </c>
      <c r="AF265" s="76" t="str">
        <f t="shared" ca="1" si="190"/>
        <v>—</v>
      </c>
      <c r="AG265" s="15">
        <f t="shared" ca="1" si="191"/>
        <v>7</v>
      </c>
      <c r="AH265" s="9" t="str">
        <f t="shared" ca="1" si="192"/>
        <v>—</v>
      </c>
      <c r="AI265" s="15">
        <f t="shared" ca="1" si="193"/>
        <v>7</v>
      </c>
      <c r="AJ265" s="26" t="str">
        <f t="shared" ca="1" si="194"/>
        <v>—</v>
      </c>
      <c r="AK265" s="15">
        <f t="shared" ca="1" si="195"/>
        <v>7</v>
      </c>
      <c r="AL265" s="9" t="str">
        <f t="shared" ca="1" si="196"/>
        <v>—</v>
      </c>
      <c r="AM265" s="15">
        <f t="shared" ca="1" si="197"/>
        <v>7</v>
      </c>
      <c r="AN265" s="9" t="str">
        <f t="shared" ca="1" si="198"/>
        <v>—</v>
      </c>
      <c r="AO265" s="15">
        <f t="shared" ca="1" si="199"/>
        <v>7</v>
      </c>
    </row>
    <row r="266" spans="1:41" x14ac:dyDescent="0.25">
      <c r="A266" s="4">
        <f t="shared" si="160"/>
        <v>78989</v>
      </c>
      <c r="B266" t="str">
        <f ca="1">TEXT(DATE(YEAR(Invoer!$A$5),1,1)+ROWS(B$2:B266)-1,"jjjjmmdd")</f>
        <v>19130922</v>
      </c>
      <c r="C266" s="72">
        <f t="shared" si="161"/>
        <v>800</v>
      </c>
      <c r="D266" s="16" t="str">
        <f t="shared" ca="1" si="162"/>
        <v>—</v>
      </c>
      <c r="E266" s="15">
        <f t="shared" ca="1" si="163"/>
        <v>7</v>
      </c>
      <c r="F266" s="73" t="str">
        <f t="shared" ca="1" si="164"/>
        <v>—</v>
      </c>
      <c r="G266" s="15">
        <f t="shared" ca="1" si="165"/>
        <v>7</v>
      </c>
      <c r="H266" s="73" t="str">
        <f t="shared" ca="1" si="166"/>
        <v>—</v>
      </c>
      <c r="I266" s="15">
        <f t="shared" ca="1" si="167"/>
        <v>7</v>
      </c>
      <c r="J266" s="73" t="str">
        <f t="shared" ca="1" si="168"/>
        <v>—</v>
      </c>
      <c r="K266" s="15">
        <f t="shared" ca="1" si="169"/>
        <v>7</v>
      </c>
      <c r="L266" s="16" t="str">
        <f t="shared" ca="1" si="170"/>
        <v>—</v>
      </c>
      <c r="M266" s="15">
        <f t="shared" ca="1" si="171"/>
        <v>7</v>
      </c>
      <c r="N266" s="16" t="str">
        <f t="shared" ca="1" si="172"/>
        <v>—</v>
      </c>
      <c r="O266" s="15">
        <f t="shared" ca="1" si="173"/>
        <v>7</v>
      </c>
      <c r="P266" s="16" t="str">
        <f t="shared" ca="1" si="174"/>
        <v>—</v>
      </c>
      <c r="Q266" s="15">
        <f t="shared" ca="1" si="175"/>
        <v>7</v>
      </c>
      <c r="R266" s="16" t="str">
        <f t="shared" ca="1" si="176"/>
        <v>—</v>
      </c>
      <c r="S266" s="15">
        <f t="shared" ca="1" si="177"/>
        <v>7</v>
      </c>
      <c r="T266" s="9" t="str">
        <f t="shared" ca="1" si="178"/>
        <v>—</v>
      </c>
      <c r="U266" s="15">
        <f t="shared" ca="1" si="179"/>
        <v>7</v>
      </c>
      <c r="V266" s="16" t="str">
        <f t="shared" ca="1" si="180"/>
        <v>—</v>
      </c>
      <c r="W266" s="15">
        <f t="shared" ca="1" si="181"/>
        <v>7</v>
      </c>
      <c r="X266" s="16" t="str">
        <f t="shared" ca="1" si="182"/>
        <v>—</v>
      </c>
      <c r="Y266" s="15">
        <f t="shared" ca="1" si="183"/>
        <v>7</v>
      </c>
      <c r="Z266" s="16" t="str">
        <f t="shared" ca="1" si="184"/>
        <v>—</v>
      </c>
      <c r="AA266" s="15">
        <f t="shared" ca="1" si="185"/>
        <v>7</v>
      </c>
      <c r="AB266" s="9" t="str">
        <f t="shared" ca="1" si="186"/>
        <v>—</v>
      </c>
      <c r="AC266" s="15">
        <f t="shared" ca="1" si="187"/>
        <v>7</v>
      </c>
      <c r="AD266" s="76" t="str">
        <f t="shared" ca="1" si="188"/>
        <v>—</v>
      </c>
      <c r="AE266" s="15">
        <f t="shared" ca="1" si="189"/>
        <v>7</v>
      </c>
      <c r="AF266" s="76" t="str">
        <f t="shared" ca="1" si="190"/>
        <v>—</v>
      </c>
      <c r="AG266" s="15">
        <f t="shared" ca="1" si="191"/>
        <v>7</v>
      </c>
      <c r="AH266" s="9" t="str">
        <f t="shared" ca="1" si="192"/>
        <v>—</v>
      </c>
      <c r="AI266" s="15">
        <f t="shared" ca="1" si="193"/>
        <v>7</v>
      </c>
      <c r="AJ266" s="26" t="str">
        <f t="shared" ca="1" si="194"/>
        <v>—</v>
      </c>
      <c r="AK266" s="15">
        <f t="shared" ca="1" si="195"/>
        <v>7</v>
      </c>
      <c r="AL266" s="9" t="str">
        <f t="shared" ca="1" si="196"/>
        <v>—</v>
      </c>
      <c r="AM266" s="15">
        <f t="shared" ca="1" si="197"/>
        <v>7</v>
      </c>
      <c r="AN266" s="9" t="str">
        <f t="shared" ca="1" si="198"/>
        <v>—</v>
      </c>
      <c r="AO266" s="15">
        <f t="shared" ca="1" si="199"/>
        <v>7</v>
      </c>
    </row>
    <row r="267" spans="1:41" x14ac:dyDescent="0.25">
      <c r="A267" s="4">
        <f t="shared" si="160"/>
        <v>78989</v>
      </c>
      <c r="B267" t="str">
        <f ca="1">TEXT(DATE(YEAR(Invoer!$A$5),1,1)+ROWS(B$2:B267)-1,"jjjjmmdd")</f>
        <v>19130923</v>
      </c>
      <c r="C267" s="72">
        <f t="shared" si="161"/>
        <v>800</v>
      </c>
      <c r="D267" s="16" t="str">
        <f t="shared" ca="1" si="162"/>
        <v>—</v>
      </c>
      <c r="E267" s="15">
        <f t="shared" ca="1" si="163"/>
        <v>7</v>
      </c>
      <c r="F267" s="73" t="str">
        <f t="shared" ca="1" si="164"/>
        <v>—</v>
      </c>
      <c r="G267" s="15">
        <f t="shared" ca="1" si="165"/>
        <v>7</v>
      </c>
      <c r="H267" s="73" t="str">
        <f t="shared" ca="1" si="166"/>
        <v>—</v>
      </c>
      <c r="I267" s="15">
        <f t="shared" ca="1" si="167"/>
        <v>7</v>
      </c>
      <c r="J267" s="73" t="str">
        <f t="shared" ca="1" si="168"/>
        <v>—</v>
      </c>
      <c r="K267" s="15">
        <f t="shared" ca="1" si="169"/>
        <v>7</v>
      </c>
      <c r="L267" s="16" t="str">
        <f t="shared" ca="1" si="170"/>
        <v>—</v>
      </c>
      <c r="M267" s="15">
        <f t="shared" ca="1" si="171"/>
        <v>7</v>
      </c>
      <c r="N267" s="16" t="str">
        <f t="shared" ca="1" si="172"/>
        <v>—</v>
      </c>
      <c r="O267" s="15">
        <f t="shared" ca="1" si="173"/>
        <v>7</v>
      </c>
      <c r="P267" s="16" t="str">
        <f t="shared" ca="1" si="174"/>
        <v>—</v>
      </c>
      <c r="Q267" s="15">
        <f t="shared" ca="1" si="175"/>
        <v>7</v>
      </c>
      <c r="R267" s="16" t="str">
        <f t="shared" ca="1" si="176"/>
        <v>—</v>
      </c>
      <c r="S267" s="15">
        <f t="shared" ca="1" si="177"/>
        <v>7</v>
      </c>
      <c r="T267" s="9" t="str">
        <f t="shared" ca="1" si="178"/>
        <v>—</v>
      </c>
      <c r="U267" s="15">
        <f t="shared" ca="1" si="179"/>
        <v>7</v>
      </c>
      <c r="V267" s="16" t="str">
        <f t="shared" ca="1" si="180"/>
        <v>—</v>
      </c>
      <c r="W267" s="15">
        <f t="shared" ca="1" si="181"/>
        <v>7</v>
      </c>
      <c r="X267" s="16" t="str">
        <f t="shared" ca="1" si="182"/>
        <v>—</v>
      </c>
      <c r="Y267" s="15">
        <f t="shared" ca="1" si="183"/>
        <v>7</v>
      </c>
      <c r="Z267" s="16" t="str">
        <f t="shared" ca="1" si="184"/>
        <v>—</v>
      </c>
      <c r="AA267" s="15">
        <f t="shared" ca="1" si="185"/>
        <v>7</v>
      </c>
      <c r="AB267" s="9" t="str">
        <f t="shared" ca="1" si="186"/>
        <v>—</v>
      </c>
      <c r="AC267" s="15">
        <f t="shared" ca="1" si="187"/>
        <v>7</v>
      </c>
      <c r="AD267" s="76" t="str">
        <f t="shared" ca="1" si="188"/>
        <v>—</v>
      </c>
      <c r="AE267" s="15">
        <f t="shared" ca="1" si="189"/>
        <v>7</v>
      </c>
      <c r="AF267" s="76" t="str">
        <f t="shared" ca="1" si="190"/>
        <v>—</v>
      </c>
      <c r="AG267" s="15">
        <f t="shared" ca="1" si="191"/>
        <v>7</v>
      </c>
      <c r="AH267" s="9" t="str">
        <f t="shared" ca="1" si="192"/>
        <v>—</v>
      </c>
      <c r="AI267" s="15">
        <f t="shared" ca="1" si="193"/>
        <v>7</v>
      </c>
      <c r="AJ267" s="26" t="str">
        <f t="shared" ca="1" si="194"/>
        <v>—</v>
      </c>
      <c r="AK267" s="15">
        <f t="shared" ca="1" si="195"/>
        <v>7</v>
      </c>
      <c r="AL267" s="9" t="str">
        <f t="shared" ca="1" si="196"/>
        <v>—</v>
      </c>
      <c r="AM267" s="15">
        <f t="shared" ca="1" si="197"/>
        <v>7</v>
      </c>
      <c r="AN267" s="9" t="str">
        <f t="shared" ca="1" si="198"/>
        <v>—</v>
      </c>
      <c r="AO267" s="15">
        <f t="shared" ca="1" si="199"/>
        <v>7</v>
      </c>
    </row>
    <row r="268" spans="1:41" x14ac:dyDescent="0.25">
      <c r="A268" s="4">
        <f t="shared" si="160"/>
        <v>78989</v>
      </c>
      <c r="B268" t="str">
        <f ca="1">TEXT(DATE(YEAR(Invoer!$A$5),1,1)+ROWS(B$2:B268)-1,"jjjjmmdd")</f>
        <v>19130924</v>
      </c>
      <c r="C268" s="72">
        <f t="shared" si="161"/>
        <v>800</v>
      </c>
      <c r="D268" s="16" t="str">
        <f t="shared" ca="1" si="162"/>
        <v>—</v>
      </c>
      <c r="E268" s="15">
        <f t="shared" ca="1" si="163"/>
        <v>7</v>
      </c>
      <c r="F268" s="73" t="str">
        <f t="shared" ca="1" si="164"/>
        <v>—</v>
      </c>
      <c r="G268" s="15">
        <f t="shared" ca="1" si="165"/>
        <v>7</v>
      </c>
      <c r="H268" s="73" t="str">
        <f t="shared" ca="1" si="166"/>
        <v>—</v>
      </c>
      <c r="I268" s="15">
        <f t="shared" ca="1" si="167"/>
        <v>7</v>
      </c>
      <c r="J268" s="73" t="str">
        <f t="shared" ca="1" si="168"/>
        <v>—</v>
      </c>
      <c r="K268" s="15">
        <f t="shared" ca="1" si="169"/>
        <v>7</v>
      </c>
      <c r="L268" s="16" t="str">
        <f t="shared" ca="1" si="170"/>
        <v>—</v>
      </c>
      <c r="M268" s="15">
        <f t="shared" ca="1" si="171"/>
        <v>7</v>
      </c>
      <c r="N268" s="16" t="str">
        <f t="shared" ca="1" si="172"/>
        <v>—</v>
      </c>
      <c r="O268" s="15">
        <f t="shared" ca="1" si="173"/>
        <v>7</v>
      </c>
      <c r="P268" s="16" t="str">
        <f t="shared" ca="1" si="174"/>
        <v>—</v>
      </c>
      <c r="Q268" s="15">
        <f t="shared" ca="1" si="175"/>
        <v>7</v>
      </c>
      <c r="R268" s="16" t="str">
        <f t="shared" ca="1" si="176"/>
        <v>—</v>
      </c>
      <c r="S268" s="15">
        <f t="shared" ca="1" si="177"/>
        <v>7</v>
      </c>
      <c r="T268" s="9" t="str">
        <f t="shared" ca="1" si="178"/>
        <v>—</v>
      </c>
      <c r="U268" s="15">
        <f t="shared" ca="1" si="179"/>
        <v>7</v>
      </c>
      <c r="V268" s="16" t="str">
        <f t="shared" ca="1" si="180"/>
        <v>—</v>
      </c>
      <c r="W268" s="15">
        <f t="shared" ca="1" si="181"/>
        <v>7</v>
      </c>
      <c r="X268" s="16" t="str">
        <f t="shared" ca="1" si="182"/>
        <v>—</v>
      </c>
      <c r="Y268" s="15">
        <f t="shared" ca="1" si="183"/>
        <v>7</v>
      </c>
      <c r="Z268" s="16" t="str">
        <f t="shared" ca="1" si="184"/>
        <v>—</v>
      </c>
      <c r="AA268" s="15">
        <f t="shared" ca="1" si="185"/>
        <v>7</v>
      </c>
      <c r="AB268" s="9" t="str">
        <f t="shared" ca="1" si="186"/>
        <v>—</v>
      </c>
      <c r="AC268" s="15">
        <f t="shared" ca="1" si="187"/>
        <v>7</v>
      </c>
      <c r="AD268" s="76" t="str">
        <f t="shared" ca="1" si="188"/>
        <v>—</v>
      </c>
      <c r="AE268" s="15">
        <f t="shared" ca="1" si="189"/>
        <v>7</v>
      </c>
      <c r="AF268" s="76" t="str">
        <f t="shared" ca="1" si="190"/>
        <v>—</v>
      </c>
      <c r="AG268" s="15">
        <f t="shared" ca="1" si="191"/>
        <v>7</v>
      </c>
      <c r="AH268" s="9" t="str">
        <f t="shared" ca="1" si="192"/>
        <v>—</v>
      </c>
      <c r="AI268" s="15">
        <f t="shared" ca="1" si="193"/>
        <v>7</v>
      </c>
      <c r="AJ268" s="26" t="str">
        <f t="shared" ca="1" si="194"/>
        <v>—</v>
      </c>
      <c r="AK268" s="15">
        <f t="shared" ca="1" si="195"/>
        <v>7</v>
      </c>
      <c r="AL268" s="9" t="str">
        <f t="shared" ca="1" si="196"/>
        <v>—</v>
      </c>
      <c r="AM268" s="15">
        <f t="shared" ca="1" si="197"/>
        <v>7</v>
      </c>
      <c r="AN268" s="9" t="str">
        <f t="shared" ca="1" si="198"/>
        <v>—</v>
      </c>
      <c r="AO268" s="15">
        <f t="shared" ca="1" si="199"/>
        <v>7</v>
      </c>
    </row>
    <row r="269" spans="1:41" x14ac:dyDescent="0.25">
      <c r="A269" s="4">
        <f t="shared" si="160"/>
        <v>78989</v>
      </c>
      <c r="B269" t="str">
        <f ca="1">TEXT(DATE(YEAR(Invoer!$A$5),1,1)+ROWS(B$2:B269)-1,"jjjjmmdd")</f>
        <v>19130925</v>
      </c>
      <c r="C269" s="72">
        <f t="shared" si="161"/>
        <v>800</v>
      </c>
      <c r="D269" s="16" t="str">
        <f t="shared" ca="1" si="162"/>
        <v>—</v>
      </c>
      <c r="E269" s="15">
        <f t="shared" ca="1" si="163"/>
        <v>7</v>
      </c>
      <c r="F269" s="73" t="str">
        <f t="shared" ca="1" si="164"/>
        <v>—</v>
      </c>
      <c r="G269" s="15">
        <f t="shared" ca="1" si="165"/>
        <v>7</v>
      </c>
      <c r="H269" s="73" t="str">
        <f t="shared" ca="1" si="166"/>
        <v>—</v>
      </c>
      <c r="I269" s="15">
        <f t="shared" ca="1" si="167"/>
        <v>7</v>
      </c>
      <c r="J269" s="73" t="str">
        <f t="shared" ca="1" si="168"/>
        <v>—</v>
      </c>
      <c r="K269" s="15">
        <f t="shared" ca="1" si="169"/>
        <v>7</v>
      </c>
      <c r="L269" s="16" t="str">
        <f t="shared" ca="1" si="170"/>
        <v>—</v>
      </c>
      <c r="M269" s="15">
        <f t="shared" ca="1" si="171"/>
        <v>7</v>
      </c>
      <c r="N269" s="16" t="str">
        <f t="shared" ca="1" si="172"/>
        <v>—</v>
      </c>
      <c r="O269" s="15">
        <f t="shared" ca="1" si="173"/>
        <v>7</v>
      </c>
      <c r="P269" s="16" t="str">
        <f t="shared" ca="1" si="174"/>
        <v>—</v>
      </c>
      <c r="Q269" s="15">
        <f t="shared" ca="1" si="175"/>
        <v>7</v>
      </c>
      <c r="R269" s="16" t="str">
        <f t="shared" ca="1" si="176"/>
        <v>—</v>
      </c>
      <c r="S269" s="15">
        <f t="shared" ca="1" si="177"/>
        <v>7</v>
      </c>
      <c r="T269" s="9" t="str">
        <f t="shared" ca="1" si="178"/>
        <v>—</v>
      </c>
      <c r="U269" s="15">
        <f t="shared" ca="1" si="179"/>
        <v>7</v>
      </c>
      <c r="V269" s="16" t="str">
        <f t="shared" ca="1" si="180"/>
        <v>—</v>
      </c>
      <c r="W269" s="15">
        <f t="shared" ca="1" si="181"/>
        <v>7</v>
      </c>
      <c r="X269" s="16" t="str">
        <f t="shared" ca="1" si="182"/>
        <v>—</v>
      </c>
      <c r="Y269" s="15">
        <f t="shared" ca="1" si="183"/>
        <v>7</v>
      </c>
      <c r="Z269" s="16" t="str">
        <f t="shared" ca="1" si="184"/>
        <v>—</v>
      </c>
      <c r="AA269" s="15">
        <f t="shared" ca="1" si="185"/>
        <v>7</v>
      </c>
      <c r="AB269" s="9" t="str">
        <f t="shared" ca="1" si="186"/>
        <v>—</v>
      </c>
      <c r="AC269" s="15">
        <f t="shared" ca="1" si="187"/>
        <v>7</v>
      </c>
      <c r="AD269" s="76" t="str">
        <f t="shared" ca="1" si="188"/>
        <v>—</v>
      </c>
      <c r="AE269" s="15">
        <f t="shared" ca="1" si="189"/>
        <v>7</v>
      </c>
      <c r="AF269" s="76" t="str">
        <f t="shared" ca="1" si="190"/>
        <v>—</v>
      </c>
      <c r="AG269" s="15">
        <f t="shared" ca="1" si="191"/>
        <v>7</v>
      </c>
      <c r="AH269" s="9" t="str">
        <f t="shared" ca="1" si="192"/>
        <v>—</v>
      </c>
      <c r="AI269" s="15">
        <f t="shared" ca="1" si="193"/>
        <v>7</v>
      </c>
      <c r="AJ269" s="26" t="str">
        <f t="shared" ca="1" si="194"/>
        <v>—</v>
      </c>
      <c r="AK269" s="15">
        <f t="shared" ca="1" si="195"/>
        <v>7</v>
      </c>
      <c r="AL269" s="9" t="str">
        <f t="shared" ca="1" si="196"/>
        <v>—</v>
      </c>
      <c r="AM269" s="15">
        <f t="shared" ca="1" si="197"/>
        <v>7</v>
      </c>
      <c r="AN269" s="9" t="str">
        <f t="shared" ca="1" si="198"/>
        <v>—</v>
      </c>
      <c r="AO269" s="15">
        <f t="shared" ca="1" si="199"/>
        <v>7</v>
      </c>
    </row>
    <row r="270" spans="1:41" x14ac:dyDescent="0.25">
      <c r="A270" s="4">
        <f t="shared" si="160"/>
        <v>78989</v>
      </c>
      <c r="B270" t="str">
        <f ca="1">TEXT(DATE(YEAR(Invoer!$A$5),1,1)+ROWS(B$2:B270)-1,"jjjjmmdd")</f>
        <v>19130926</v>
      </c>
      <c r="C270" s="72">
        <f t="shared" si="161"/>
        <v>800</v>
      </c>
      <c r="D270" s="16" t="str">
        <f t="shared" ca="1" si="162"/>
        <v>—</v>
      </c>
      <c r="E270" s="15">
        <f t="shared" ca="1" si="163"/>
        <v>7</v>
      </c>
      <c r="F270" s="73" t="str">
        <f t="shared" ca="1" si="164"/>
        <v>—</v>
      </c>
      <c r="G270" s="15">
        <f t="shared" ca="1" si="165"/>
        <v>7</v>
      </c>
      <c r="H270" s="73" t="str">
        <f t="shared" ca="1" si="166"/>
        <v>—</v>
      </c>
      <c r="I270" s="15">
        <f t="shared" ca="1" si="167"/>
        <v>7</v>
      </c>
      <c r="J270" s="73" t="str">
        <f t="shared" ca="1" si="168"/>
        <v>—</v>
      </c>
      <c r="K270" s="15">
        <f t="shared" ca="1" si="169"/>
        <v>7</v>
      </c>
      <c r="L270" s="16" t="str">
        <f t="shared" ca="1" si="170"/>
        <v>—</v>
      </c>
      <c r="M270" s="15">
        <f t="shared" ca="1" si="171"/>
        <v>7</v>
      </c>
      <c r="N270" s="16" t="str">
        <f t="shared" ca="1" si="172"/>
        <v>—</v>
      </c>
      <c r="O270" s="15">
        <f t="shared" ca="1" si="173"/>
        <v>7</v>
      </c>
      <c r="P270" s="16" t="str">
        <f t="shared" ca="1" si="174"/>
        <v>—</v>
      </c>
      <c r="Q270" s="15">
        <f t="shared" ca="1" si="175"/>
        <v>7</v>
      </c>
      <c r="R270" s="16" t="str">
        <f t="shared" ca="1" si="176"/>
        <v>—</v>
      </c>
      <c r="S270" s="15">
        <f t="shared" ca="1" si="177"/>
        <v>7</v>
      </c>
      <c r="T270" s="9" t="str">
        <f t="shared" ca="1" si="178"/>
        <v>—</v>
      </c>
      <c r="U270" s="15">
        <f t="shared" ca="1" si="179"/>
        <v>7</v>
      </c>
      <c r="V270" s="16" t="str">
        <f t="shared" ca="1" si="180"/>
        <v>—</v>
      </c>
      <c r="W270" s="15">
        <f t="shared" ca="1" si="181"/>
        <v>7</v>
      </c>
      <c r="X270" s="16" t="str">
        <f t="shared" ca="1" si="182"/>
        <v>—</v>
      </c>
      <c r="Y270" s="15">
        <f t="shared" ca="1" si="183"/>
        <v>7</v>
      </c>
      <c r="Z270" s="16" t="str">
        <f t="shared" ca="1" si="184"/>
        <v>—</v>
      </c>
      <c r="AA270" s="15">
        <f t="shared" ca="1" si="185"/>
        <v>7</v>
      </c>
      <c r="AB270" s="9" t="str">
        <f t="shared" ca="1" si="186"/>
        <v>—</v>
      </c>
      <c r="AC270" s="15">
        <f t="shared" ca="1" si="187"/>
        <v>7</v>
      </c>
      <c r="AD270" s="76" t="str">
        <f t="shared" ca="1" si="188"/>
        <v>—</v>
      </c>
      <c r="AE270" s="15">
        <f t="shared" ca="1" si="189"/>
        <v>7</v>
      </c>
      <c r="AF270" s="76" t="str">
        <f t="shared" ca="1" si="190"/>
        <v>—</v>
      </c>
      <c r="AG270" s="15">
        <f t="shared" ca="1" si="191"/>
        <v>7</v>
      </c>
      <c r="AH270" s="9" t="str">
        <f t="shared" ca="1" si="192"/>
        <v>—</v>
      </c>
      <c r="AI270" s="15">
        <f t="shared" ca="1" si="193"/>
        <v>7</v>
      </c>
      <c r="AJ270" s="26" t="str">
        <f t="shared" ca="1" si="194"/>
        <v>—</v>
      </c>
      <c r="AK270" s="15">
        <f t="shared" ca="1" si="195"/>
        <v>7</v>
      </c>
      <c r="AL270" s="9" t="str">
        <f t="shared" ca="1" si="196"/>
        <v>—</v>
      </c>
      <c r="AM270" s="15">
        <f t="shared" ca="1" si="197"/>
        <v>7</v>
      </c>
      <c r="AN270" s="9" t="str">
        <f t="shared" ca="1" si="198"/>
        <v>—</v>
      </c>
      <c r="AO270" s="15">
        <f t="shared" ca="1" si="199"/>
        <v>7</v>
      </c>
    </row>
    <row r="271" spans="1:41" x14ac:dyDescent="0.25">
      <c r="A271" s="4">
        <f t="shared" si="160"/>
        <v>78989</v>
      </c>
      <c r="B271" t="str">
        <f ca="1">TEXT(DATE(YEAR(Invoer!$A$5),1,1)+ROWS(B$2:B271)-1,"jjjjmmdd")</f>
        <v>19130927</v>
      </c>
      <c r="C271" s="72">
        <f t="shared" si="161"/>
        <v>800</v>
      </c>
      <c r="D271" s="16" t="str">
        <f t="shared" ca="1" si="162"/>
        <v>—</v>
      </c>
      <c r="E271" s="15">
        <f t="shared" ca="1" si="163"/>
        <v>7</v>
      </c>
      <c r="F271" s="73" t="str">
        <f t="shared" ca="1" si="164"/>
        <v>—</v>
      </c>
      <c r="G271" s="15">
        <f t="shared" ca="1" si="165"/>
        <v>7</v>
      </c>
      <c r="H271" s="73" t="str">
        <f t="shared" ca="1" si="166"/>
        <v>—</v>
      </c>
      <c r="I271" s="15">
        <f t="shared" ca="1" si="167"/>
        <v>7</v>
      </c>
      <c r="J271" s="73" t="str">
        <f t="shared" ca="1" si="168"/>
        <v>—</v>
      </c>
      <c r="K271" s="15">
        <f t="shared" ca="1" si="169"/>
        <v>7</v>
      </c>
      <c r="L271" s="16" t="str">
        <f t="shared" ca="1" si="170"/>
        <v>—</v>
      </c>
      <c r="M271" s="15">
        <f t="shared" ca="1" si="171"/>
        <v>7</v>
      </c>
      <c r="N271" s="16" t="str">
        <f t="shared" ca="1" si="172"/>
        <v>—</v>
      </c>
      <c r="O271" s="15">
        <f t="shared" ca="1" si="173"/>
        <v>7</v>
      </c>
      <c r="P271" s="16" t="str">
        <f t="shared" ca="1" si="174"/>
        <v>—</v>
      </c>
      <c r="Q271" s="15">
        <f t="shared" ca="1" si="175"/>
        <v>7</v>
      </c>
      <c r="R271" s="16" t="str">
        <f t="shared" ca="1" si="176"/>
        <v>—</v>
      </c>
      <c r="S271" s="15">
        <f t="shared" ca="1" si="177"/>
        <v>7</v>
      </c>
      <c r="T271" s="9" t="str">
        <f t="shared" ca="1" si="178"/>
        <v>—</v>
      </c>
      <c r="U271" s="15">
        <f t="shared" ca="1" si="179"/>
        <v>7</v>
      </c>
      <c r="V271" s="16" t="str">
        <f t="shared" ca="1" si="180"/>
        <v>—</v>
      </c>
      <c r="W271" s="15">
        <f t="shared" ca="1" si="181"/>
        <v>7</v>
      </c>
      <c r="X271" s="16" t="str">
        <f t="shared" ca="1" si="182"/>
        <v>—</v>
      </c>
      <c r="Y271" s="15">
        <f t="shared" ca="1" si="183"/>
        <v>7</v>
      </c>
      <c r="Z271" s="16" t="str">
        <f t="shared" ca="1" si="184"/>
        <v>—</v>
      </c>
      <c r="AA271" s="15">
        <f t="shared" ca="1" si="185"/>
        <v>7</v>
      </c>
      <c r="AB271" s="9" t="str">
        <f t="shared" ca="1" si="186"/>
        <v>—</v>
      </c>
      <c r="AC271" s="15">
        <f t="shared" ca="1" si="187"/>
        <v>7</v>
      </c>
      <c r="AD271" s="76" t="str">
        <f t="shared" ca="1" si="188"/>
        <v>—</v>
      </c>
      <c r="AE271" s="15">
        <f t="shared" ca="1" si="189"/>
        <v>7</v>
      </c>
      <c r="AF271" s="76" t="str">
        <f t="shared" ca="1" si="190"/>
        <v>—</v>
      </c>
      <c r="AG271" s="15">
        <f t="shared" ca="1" si="191"/>
        <v>7</v>
      </c>
      <c r="AH271" s="9" t="str">
        <f t="shared" ca="1" si="192"/>
        <v>—</v>
      </c>
      <c r="AI271" s="15">
        <f t="shared" ca="1" si="193"/>
        <v>7</v>
      </c>
      <c r="AJ271" s="26" t="str">
        <f t="shared" ca="1" si="194"/>
        <v>—</v>
      </c>
      <c r="AK271" s="15">
        <f t="shared" ca="1" si="195"/>
        <v>7</v>
      </c>
      <c r="AL271" s="9" t="str">
        <f t="shared" ca="1" si="196"/>
        <v>—</v>
      </c>
      <c r="AM271" s="15">
        <f t="shared" ca="1" si="197"/>
        <v>7</v>
      </c>
      <c r="AN271" s="9" t="str">
        <f t="shared" ca="1" si="198"/>
        <v>—</v>
      </c>
      <c r="AO271" s="15">
        <f t="shared" ca="1" si="199"/>
        <v>7</v>
      </c>
    </row>
    <row r="272" spans="1:41" x14ac:dyDescent="0.25">
      <c r="A272" s="4">
        <f t="shared" si="160"/>
        <v>78989</v>
      </c>
      <c r="B272" t="str">
        <f ca="1">TEXT(DATE(YEAR(Invoer!$A$5),1,1)+ROWS(B$2:B272)-1,"jjjjmmdd")</f>
        <v>19130928</v>
      </c>
      <c r="C272" s="72">
        <f t="shared" si="161"/>
        <v>800</v>
      </c>
      <c r="D272" s="16" t="str">
        <f t="shared" ca="1" si="162"/>
        <v>—</v>
      </c>
      <c r="E272" s="15">
        <f t="shared" ca="1" si="163"/>
        <v>7</v>
      </c>
      <c r="F272" s="73" t="str">
        <f t="shared" ca="1" si="164"/>
        <v>—</v>
      </c>
      <c r="G272" s="15">
        <f t="shared" ca="1" si="165"/>
        <v>7</v>
      </c>
      <c r="H272" s="73" t="str">
        <f t="shared" ca="1" si="166"/>
        <v>—</v>
      </c>
      <c r="I272" s="15">
        <f t="shared" ca="1" si="167"/>
        <v>7</v>
      </c>
      <c r="J272" s="73" t="str">
        <f t="shared" ca="1" si="168"/>
        <v>—</v>
      </c>
      <c r="K272" s="15">
        <f t="shared" ca="1" si="169"/>
        <v>7</v>
      </c>
      <c r="L272" s="16" t="str">
        <f t="shared" ca="1" si="170"/>
        <v>—</v>
      </c>
      <c r="M272" s="15">
        <f t="shared" ca="1" si="171"/>
        <v>7</v>
      </c>
      <c r="N272" s="16" t="str">
        <f t="shared" ca="1" si="172"/>
        <v>—</v>
      </c>
      <c r="O272" s="15">
        <f t="shared" ca="1" si="173"/>
        <v>7</v>
      </c>
      <c r="P272" s="16" t="str">
        <f t="shared" ca="1" si="174"/>
        <v>—</v>
      </c>
      <c r="Q272" s="15">
        <f t="shared" ca="1" si="175"/>
        <v>7</v>
      </c>
      <c r="R272" s="16" t="str">
        <f t="shared" ca="1" si="176"/>
        <v>—</v>
      </c>
      <c r="S272" s="15">
        <f t="shared" ca="1" si="177"/>
        <v>7</v>
      </c>
      <c r="T272" s="9" t="str">
        <f t="shared" ca="1" si="178"/>
        <v>—</v>
      </c>
      <c r="U272" s="15">
        <f t="shared" ca="1" si="179"/>
        <v>7</v>
      </c>
      <c r="V272" s="16" t="str">
        <f t="shared" ca="1" si="180"/>
        <v>—</v>
      </c>
      <c r="W272" s="15">
        <f t="shared" ca="1" si="181"/>
        <v>7</v>
      </c>
      <c r="X272" s="16" t="str">
        <f t="shared" ca="1" si="182"/>
        <v>—</v>
      </c>
      <c r="Y272" s="15">
        <f t="shared" ca="1" si="183"/>
        <v>7</v>
      </c>
      <c r="Z272" s="16" t="str">
        <f t="shared" ca="1" si="184"/>
        <v>—</v>
      </c>
      <c r="AA272" s="15">
        <f t="shared" ca="1" si="185"/>
        <v>7</v>
      </c>
      <c r="AB272" s="9" t="str">
        <f t="shared" ca="1" si="186"/>
        <v>—</v>
      </c>
      <c r="AC272" s="15">
        <f t="shared" ca="1" si="187"/>
        <v>7</v>
      </c>
      <c r="AD272" s="76" t="str">
        <f t="shared" ca="1" si="188"/>
        <v>—</v>
      </c>
      <c r="AE272" s="15">
        <f t="shared" ca="1" si="189"/>
        <v>7</v>
      </c>
      <c r="AF272" s="76" t="str">
        <f t="shared" ca="1" si="190"/>
        <v>—</v>
      </c>
      <c r="AG272" s="15">
        <f t="shared" ca="1" si="191"/>
        <v>7</v>
      </c>
      <c r="AH272" s="9" t="str">
        <f t="shared" ca="1" si="192"/>
        <v>—</v>
      </c>
      <c r="AI272" s="15">
        <f t="shared" ca="1" si="193"/>
        <v>7</v>
      </c>
      <c r="AJ272" s="26" t="str">
        <f t="shared" ca="1" si="194"/>
        <v>—</v>
      </c>
      <c r="AK272" s="15">
        <f t="shared" ca="1" si="195"/>
        <v>7</v>
      </c>
      <c r="AL272" s="9" t="str">
        <f t="shared" ca="1" si="196"/>
        <v>—</v>
      </c>
      <c r="AM272" s="15">
        <f t="shared" ca="1" si="197"/>
        <v>7</v>
      </c>
      <c r="AN272" s="9" t="str">
        <f t="shared" ca="1" si="198"/>
        <v>—</v>
      </c>
      <c r="AO272" s="15">
        <f t="shared" ca="1" si="199"/>
        <v>7</v>
      </c>
    </row>
    <row r="273" spans="1:41" x14ac:dyDescent="0.25">
      <c r="A273" s="4">
        <f t="shared" si="160"/>
        <v>78989</v>
      </c>
      <c r="B273" t="str">
        <f ca="1">TEXT(DATE(YEAR(Invoer!$A$5),1,1)+ROWS(B$2:B273)-1,"jjjjmmdd")</f>
        <v>19130929</v>
      </c>
      <c r="C273" s="72">
        <f t="shared" si="161"/>
        <v>800</v>
      </c>
      <c r="D273" s="16" t="str">
        <f t="shared" ca="1" si="162"/>
        <v>—</v>
      </c>
      <c r="E273" s="15">
        <f t="shared" ca="1" si="163"/>
        <v>7</v>
      </c>
      <c r="F273" s="73" t="str">
        <f t="shared" ca="1" si="164"/>
        <v>—</v>
      </c>
      <c r="G273" s="15">
        <f t="shared" ca="1" si="165"/>
        <v>7</v>
      </c>
      <c r="H273" s="73" t="str">
        <f t="shared" ca="1" si="166"/>
        <v>—</v>
      </c>
      <c r="I273" s="15">
        <f t="shared" ca="1" si="167"/>
        <v>7</v>
      </c>
      <c r="J273" s="73" t="str">
        <f t="shared" ca="1" si="168"/>
        <v>—</v>
      </c>
      <c r="K273" s="15">
        <f t="shared" ca="1" si="169"/>
        <v>7</v>
      </c>
      <c r="L273" s="16" t="str">
        <f t="shared" ca="1" si="170"/>
        <v>—</v>
      </c>
      <c r="M273" s="15">
        <f t="shared" ca="1" si="171"/>
        <v>7</v>
      </c>
      <c r="N273" s="16" t="str">
        <f t="shared" ca="1" si="172"/>
        <v>—</v>
      </c>
      <c r="O273" s="15">
        <f t="shared" ca="1" si="173"/>
        <v>7</v>
      </c>
      <c r="P273" s="16" t="str">
        <f t="shared" ca="1" si="174"/>
        <v>—</v>
      </c>
      <c r="Q273" s="15">
        <f t="shared" ca="1" si="175"/>
        <v>7</v>
      </c>
      <c r="R273" s="16" t="str">
        <f t="shared" ca="1" si="176"/>
        <v>—</v>
      </c>
      <c r="S273" s="15">
        <f t="shared" ca="1" si="177"/>
        <v>7</v>
      </c>
      <c r="T273" s="9" t="str">
        <f t="shared" ca="1" si="178"/>
        <v>—</v>
      </c>
      <c r="U273" s="15">
        <f t="shared" ca="1" si="179"/>
        <v>7</v>
      </c>
      <c r="V273" s="16" t="str">
        <f t="shared" ca="1" si="180"/>
        <v>—</v>
      </c>
      <c r="W273" s="15">
        <f t="shared" ca="1" si="181"/>
        <v>7</v>
      </c>
      <c r="X273" s="16" t="str">
        <f t="shared" ca="1" si="182"/>
        <v>—</v>
      </c>
      <c r="Y273" s="15">
        <f t="shared" ca="1" si="183"/>
        <v>7</v>
      </c>
      <c r="Z273" s="16" t="str">
        <f t="shared" ca="1" si="184"/>
        <v>—</v>
      </c>
      <c r="AA273" s="15">
        <f t="shared" ca="1" si="185"/>
        <v>7</v>
      </c>
      <c r="AB273" s="9" t="str">
        <f t="shared" ca="1" si="186"/>
        <v>—</v>
      </c>
      <c r="AC273" s="15">
        <f t="shared" ca="1" si="187"/>
        <v>7</v>
      </c>
      <c r="AD273" s="76" t="str">
        <f t="shared" ca="1" si="188"/>
        <v>—</v>
      </c>
      <c r="AE273" s="15">
        <f t="shared" ca="1" si="189"/>
        <v>7</v>
      </c>
      <c r="AF273" s="76" t="str">
        <f t="shared" ca="1" si="190"/>
        <v>—</v>
      </c>
      <c r="AG273" s="15">
        <f t="shared" ca="1" si="191"/>
        <v>7</v>
      </c>
      <c r="AH273" s="9" t="str">
        <f t="shared" ca="1" si="192"/>
        <v>—</v>
      </c>
      <c r="AI273" s="15">
        <f t="shared" ca="1" si="193"/>
        <v>7</v>
      </c>
      <c r="AJ273" s="26" t="str">
        <f t="shared" ca="1" si="194"/>
        <v>—</v>
      </c>
      <c r="AK273" s="15">
        <f t="shared" ca="1" si="195"/>
        <v>7</v>
      </c>
      <c r="AL273" s="9" t="str">
        <f t="shared" ca="1" si="196"/>
        <v>—</v>
      </c>
      <c r="AM273" s="15">
        <f t="shared" ca="1" si="197"/>
        <v>7</v>
      </c>
      <c r="AN273" s="9" t="str">
        <f t="shared" ca="1" si="198"/>
        <v>—</v>
      </c>
      <c r="AO273" s="15">
        <f t="shared" ca="1" si="199"/>
        <v>7</v>
      </c>
    </row>
    <row r="274" spans="1:41" x14ac:dyDescent="0.25">
      <c r="A274" s="4">
        <f t="shared" si="160"/>
        <v>78989</v>
      </c>
      <c r="B274" t="str">
        <f ca="1">TEXT(DATE(YEAR(Invoer!$A$5),1,1)+ROWS(B$2:B274)-1,"jjjjmmdd")</f>
        <v>19130930</v>
      </c>
      <c r="C274" s="72">
        <f t="shared" si="161"/>
        <v>800</v>
      </c>
      <c r="D274" s="16" t="str">
        <f t="shared" ca="1" si="162"/>
        <v>—</v>
      </c>
      <c r="E274" s="15">
        <f t="shared" ca="1" si="163"/>
        <v>7</v>
      </c>
      <c r="F274" s="73" t="str">
        <f t="shared" ca="1" si="164"/>
        <v>—</v>
      </c>
      <c r="G274" s="15">
        <f t="shared" ca="1" si="165"/>
        <v>7</v>
      </c>
      <c r="H274" s="73" t="str">
        <f t="shared" ca="1" si="166"/>
        <v>—</v>
      </c>
      <c r="I274" s="15">
        <f t="shared" ca="1" si="167"/>
        <v>7</v>
      </c>
      <c r="J274" s="73" t="str">
        <f t="shared" ca="1" si="168"/>
        <v>—</v>
      </c>
      <c r="K274" s="15">
        <f t="shared" ca="1" si="169"/>
        <v>7</v>
      </c>
      <c r="L274" s="16" t="str">
        <f t="shared" ca="1" si="170"/>
        <v>—</v>
      </c>
      <c r="M274" s="15">
        <f t="shared" ca="1" si="171"/>
        <v>7</v>
      </c>
      <c r="N274" s="16" t="str">
        <f t="shared" ca="1" si="172"/>
        <v>—</v>
      </c>
      <c r="O274" s="15">
        <f t="shared" ca="1" si="173"/>
        <v>7</v>
      </c>
      <c r="P274" s="16" t="str">
        <f t="shared" ca="1" si="174"/>
        <v>—</v>
      </c>
      <c r="Q274" s="15">
        <f t="shared" ca="1" si="175"/>
        <v>7</v>
      </c>
      <c r="R274" s="16" t="str">
        <f t="shared" ca="1" si="176"/>
        <v>—</v>
      </c>
      <c r="S274" s="15">
        <f t="shared" ca="1" si="177"/>
        <v>7</v>
      </c>
      <c r="T274" s="9" t="str">
        <f t="shared" ca="1" si="178"/>
        <v>—</v>
      </c>
      <c r="U274" s="15">
        <f t="shared" ca="1" si="179"/>
        <v>7</v>
      </c>
      <c r="V274" s="16" t="str">
        <f t="shared" ca="1" si="180"/>
        <v>—</v>
      </c>
      <c r="W274" s="15">
        <f t="shared" ca="1" si="181"/>
        <v>7</v>
      </c>
      <c r="X274" s="16" t="str">
        <f t="shared" ca="1" si="182"/>
        <v>—</v>
      </c>
      <c r="Y274" s="15">
        <f t="shared" ca="1" si="183"/>
        <v>7</v>
      </c>
      <c r="Z274" s="16" t="str">
        <f t="shared" ca="1" si="184"/>
        <v>—</v>
      </c>
      <c r="AA274" s="15">
        <f t="shared" ca="1" si="185"/>
        <v>7</v>
      </c>
      <c r="AB274" s="9" t="str">
        <f t="shared" ca="1" si="186"/>
        <v>—</v>
      </c>
      <c r="AC274" s="15">
        <f t="shared" ca="1" si="187"/>
        <v>7</v>
      </c>
      <c r="AD274" s="76" t="str">
        <f t="shared" ca="1" si="188"/>
        <v>—</v>
      </c>
      <c r="AE274" s="15">
        <f t="shared" ca="1" si="189"/>
        <v>7</v>
      </c>
      <c r="AF274" s="76" t="str">
        <f t="shared" ca="1" si="190"/>
        <v>—</v>
      </c>
      <c r="AG274" s="15">
        <f t="shared" ca="1" si="191"/>
        <v>7</v>
      </c>
      <c r="AH274" s="9" t="str">
        <f t="shared" ca="1" si="192"/>
        <v>—</v>
      </c>
      <c r="AI274" s="15">
        <f t="shared" ca="1" si="193"/>
        <v>7</v>
      </c>
      <c r="AJ274" s="26" t="str">
        <f t="shared" ca="1" si="194"/>
        <v>—</v>
      </c>
      <c r="AK274" s="15">
        <f t="shared" ca="1" si="195"/>
        <v>7</v>
      </c>
      <c r="AL274" s="9" t="str">
        <f t="shared" ca="1" si="196"/>
        <v>—</v>
      </c>
      <c r="AM274" s="15">
        <f t="shared" ca="1" si="197"/>
        <v>7</v>
      </c>
      <c r="AN274" s="9" t="str">
        <f t="shared" ca="1" si="198"/>
        <v>—</v>
      </c>
      <c r="AO274" s="15">
        <f t="shared" ca="1" si="199"/>
        <v>7</v>
      </c>
    </row>
    <row r="275" spans="1:41" x14ac:dyDescent="0.25">
      <c r="A275" s="4">
        <f t="shared" si="160"/>
        <v>78989</v>
      </c>
      <c r="B275" t="str">
        <f ca="1">TEXT(DATE(YEAR(Invoer!$A$5),1,1)+ROWS(B$2:B275)-1,"jjjjmmdd")</f>
        <v>19131001</v>
      </c>
      <c r="C275" s="72">
        <f t="shared" si="161"/>
        <v>800</v>
      </c>
      <c r="D275" s="16" t="str">
        <f t="shared" ca="1" si="162"/>
        <v>—</v>
      </c>
      <c r="E275" s="15">
        <f t="shared" ca="1" si="163"/>
        <v>7</v>
      </c>
      <c r="F275" s="73" t="str">
        <f t="shared" ca="1" si="164"/>
        <v>—</v>
      </c>
      <c r="G275" s="15">
        <f t="shared" ca="1" si="165"/>
        <v>7</v>
      </c>
      <c r="H275" s="73" t="str">
        <f t="shared" ca="1" si="166"/>
        <v>—</v>
      </c>
      <c r="I275" s="15">
        <f t="shared" ca="1" si="167"/>
        <v>7</v>
      </c>
      <c r="J275" s="73" t="str">
        <f t="shared" ca="1" si="168"/>
        <v>—</v>
      </c>
      <c r="K275" s="15">
        <f t="shared" ca="1" si="169"/>
        <v>7</v>
      </c>
      <c r="L275" s="16" t="str">
        <f t="shared" ca="1" si="170"/>
        <v>—</v>
      </c>
      <c r="M275" s="15">
        <f t="shared" ca="1" si="171"/>
        <v>7</v>
      </c>
      <c r="N275" s="16" t="str">
        <f t="shared" ca="1" si="172"/>
        <v>—</v>
      </c>
      <c r="O275" s="15">
        <f t="shared" ca="1" si="173"/>
        <v>7</v>
      </c>
      <c r="P275" s="16" t="str">
        <f t="shared" ca="1" si="174"/>
        <v>—</v>
      </c>
      <c r="Q275" s="15">
        <f t="shared" ca="1" si="175"/>
        <v>7</v>
      </c>
      <c r="R275" s="16" t="str">
        <f t="shared" ca="1" si="176"/>
        <v>—</v>
      </c>
      <c r="S275" s="15">
        <f t="shared" ca="1" si="177"/>
        <v>7</v>
      </c>
      <c r="T275" s="9" t="str">
        <f t="shared" ca="1" si="178"/>
        <v>—</v>
      </c>
      <c r="U275" s="15">
        <f t="shared" ca="1" si="179"/>
        <v>7</v>
      </c>
      <c r="V275" s="16" t="str">
        <f t="shared" ca="1" si="180"/>
        <v>—</v>
      </c>
      <c r="W275" s="15">
        <f t="shared" ca="1" si="181"/>
        <v>7</v>
      </c>
      <c r="X275" s="16" t="str">
        <f t="shared" ca="1" si="182"/>
        <v>—</v>
      </c>
      <c r="Y275" s="15">
        <f t="shared" ca="1" si="183"/>
        <v>7</v>
      </c>
      <c r="Z275" s="16" t="str">
        <f t="shared" ca="1" si="184"/>
        <v>—</v>
      </c>
      <c r="AA275" s="15">
        <f t="shared" ca="1" si="185"/>
        <v>7</v>
      </c>
      <c r="AB275" s="9" t="str">
        <f t="shared" ca="1" si="186"/>
        <v>—</v>
      </c>
      <c r="AC275" s="15">
        <f t="shared" ca="1" si="187"/>
        <v>7</v>
      </c>
      <c r="AD275" s="76" t="str">
        <f t="shared" ca="1" si="188"/>
        <v>—</v>
      </c>
      <c r="AE275" s="15">
        <f t="shared" ca="1" si="189"/>
        <v>7</v>
      </c>
      <c r="AF275" s="76" t="str">
        <f t="shared" ca="1" si="190"/>
        <v>—</v>
      </c>
      <c r="AG275" s="15">
        <f t="shared" ca="1" si="191"/>
        <v>7</v>
      </c>
      <c r="AH275" s="9" t="str">
        <f t="shared" ca="1" si="192"/>
        <v>—</v>
      </c>
      <c r="AI275" s="15">
        <f t="shared" ca="1" si="193"/>
        <v>7</v>
      </c>
      <c r="AJ275" s="26" t="str">
        <f t="shared" ca="1" si="194"/>
        <v>—</v>
      </c>
      <c r="AK275" s="15">
        <f t="shared" ca="1" si="195"/>
        <v>7</v>
      </c>
      <c r="AL275" s="9" t="str">
        <f t="shared" ca="1" si="196"/>
        <v>—</v>
      </c>
      <c r="AM275" s="15">
        <f t="shared" ca="1" si="197"/>
        <v>7</v>
      </c>
      <c r="AN275" s="9" t="str">
        <f t="shared" ca="1" si="198"/>
        <v>—</v>
      </c>
      <c r="AO275" s="15">
        <f t="shared" ca="1" si="199"/>
        <v>7</v>
      </c>
    </row>
    <row r="276" spans="1:41" x14ac:dyDescent="0.25">
      <c r="A276" s="4">
        <f t="shared" si="160"/>
        <v>78989</v>
      </c>
      <c r="B276" t="str">
        <f ca="1">TEXT(DATE(YEAR(Invoer!$A$5),1,1)+ROWS(B$2:B276)-1,"jjjjmmdd")</f>
        <v>19131002</v>
      </c>
      <c r="C276" s="72">
        <f t="shared" si="161"/>
        <v>800</v>
      </c>
      <c r="D276" s="16" t="str">
        <f t="shared" ca="1" si="162"/>
        <v>—</v>
      </c>
      <c r="E276" s="15">
        <f t="shared" ca="1" si="163"/>
        <v>7</v>
      </c>
      <c r="F276" s="73" t="str">
        <f t="shared" ca="1" si="164"/>
        <v>—</v>
      </c>
      <c r="G276" s="15">
        <f t="shared" ca="1" si="165"/>
        <v>7</v>
      </c>
      <c r="H276" s="73" t="str">
        <f t="shared" ca="1" si="166"/>
        <v>—</v>
      </c>
      <c r="I276" s="15">
        <f t="shared" ca="1" si="167"/>
        <v>7</v>
      </c>
      <c r="J276" s="73" t="str">
        <f t="shared" ca="1" si="168"/>
        <v>—</v>
      </c>
      <c r="K276" s="15">
        <f t="shared" ca="1" si="169"/>
        <v>7</v>
      </c>
      <c r="L276" s="16" t="str">
        <f t="shared" ca="1" si="170"/>
        <v>—</v>
      </c>
      <c r="M276" s="15">
        <f t="shared" ca="1" si="171"/>
        <v>7</v>
      </c>
      <c r="N276" s="16" t="str">
        <f t="shared" ca="1" si="172"/>
        <v>—</v>
      </c>
      <c r="O276" s="15">
        <f t="shared" ca="1" si="173"/>
        <v>7</v>
      </c>
      <c r="P276" s="16" t="str">
        <f t="shared" ca="1" si="174"/>
        <v>—</v>
      </c>
      <c r="Q276" s="15">
        <f t="shared" ca="1" si="175"/>
        <v>7</v>
      </c>
      <c r="R276" s="16" t="str">
        <f t="shared" ca="1" si="176"/>
        <v>—</v>
      </c>
      <c r="S276" s="15">
        <f t="shared" ca="1" si="177"/>
        <v>7</v>
      </c>
      <c r="T276" s="9" t="str">
        <f t="shared" ca="1" si="178"/>
        <v>—</v>
      </c>
      <c r="U276" s="15">
        <f t="shared" ca="1" si="179"/>
        <v>7</v>
      </c>
      <c r="V276" s="16" t="str">
        <f t="shared" ca="1" si="180"/>
        <v>—</v>
      </c>
      <c r="W276" s="15">
        <f t="shared" ca="1" si="181"/>
        <v>7</v>
      </c>
      <c r="X276" s="16" t="str">
        <f t="shared" ca="1" si="182"/>
        <v>—</v>
      </c>
      <c r="Y276" s="15">
        <f t="shared" ca="1" si="183"/>
        <v>7</v>
      </c>
      <c r="Z276" s="16" t="str">
        <f t="shared" ca="1" si="184"/>
        <v>—</v>
      </c>
      <c r="AA276" s="15">
        <f t="shared" ca="1" si="185"/>
        <v>7</v>
      </c>
      <c r="AB276" s="9" t="str">
        <f t="shared" ca="1" si="186"/>
        <v>—</v>
      </c>
      <c r="AC276" s="15">
        <f t="shared" ca="1" si="187"/>
        <v>7</v>
      </c>
      <c r="AD276" s="76" t="str">
        <f t="shared" ca="1" si="188"/>
        <v>—</v>
      </c>
      <c r="AE276" s="15">
        <f t="shared" ca="1" si="189"/>
        <v>7</v>
      </c>
      <c r="AF276" s="76" t="str">
        <f t="shared" ca="1" si="190"/>
        <v>—</v>
      </c>
      <c r="AG276" s="15">
        <f t="shared" ca="1" si="191"/>
        <v>7</v>
      </c>
      <c r="AH276" s="9" t="str">
        <f t="shared" ca="1" si="192"/>
        <v>—</v>
      </c>
      <c r="AI276" s="15">
        <f t="shared" ca="1" si="193"/>
        <v>7</v>
      </c>
      <c r="AJ276" s="26" t="str">
        <f t="shared" ca="1" si="194"/>
        <v>—</v>
      </c>
      <c r="AK276" s="15">
        <f t="shared" ca="1" si="195"/>
        <v>7</v>
      </c>
      <c r="AL276" s="9" t="str">
        <f t="shared" ca="1" si="196"/>
        <v>—</v>
      </c>
      <c r="AM276" s="15">
        <f t="shared" ca="1" si="197"/>
        <v>7</v>
      </c>
      <c r="AN276" s="9" t="str">
        <f t="shared" ca="1" si="198"/>
        <v>—</v>
      </c>
      <c r="AO276" s="15">
        <f t="shared" ca="1" si="199"/>
        <v>7</v>
      </c>
    </row>
    <row r="277" spans="1:41" x14ac:dyDescent="0.25">
      <c r="A277" s="4">
        <f t="shared" si="160"/>
        <v>78989</v>
      </c>
      <c r="B277" t="str">
        <f ca="1">TEXT(DATE(YEAR(Invoer!$A$5),1,1)+ROWS(B$2:B277)-1,"jjjjmmdd")</f>
        <v>19131003</v>
      </c>
      <c r="C277" s="72">
        <f t="shared" si="161"/>
        <v>800</v>
      </c>
      <c r="D277" s="16" t="str">
        <f t="shared" ca="1" si="162"/>
        <v>—</v>
      </c>
      <c r="E277" s="15">
        <f t="shared" ca="1" si="163"/>
        <v>7</v>
      </c>
      <c r="F277" s="73" t="str">
        <f t="shared" ca="1" si="164"/>
        <v>—</v>
      </c>
      <c r="G277" s="15">
        <f t="shared" ca="1" si="165"/>
        <v>7</v>
      </c>
      <c r="H277" s="73" t="str">
        <f t="shared" ca="1" si="166"/>
        <v>—</v>
      </c>
      <c r="I277" s="15">
        <f t="shared" ca="1" si="167"/>
        <v>7</v>
      </c>
      <c r="J277" s="73" t="str">
        <f t="shared" ca="1" si="168"/>
        <v>—</v>
      </c>
      <c r="K277" s="15">
        <f t="shared" ca="1" si="169"/>
        <v>7</v>
      </c>
      <c r="L277" s="16" t="str">
        <f t="shared" ca="1" si="170"/>
        <v>—</v>
      </c>
      <c r="M277" s="15">
        <f t="shared" ca="1" si="171"/>
        <v>7</v>
      </c>
      <c r="N277" s="16" t="str">
        <f t="shared" ca="1" si="172"/>
        <v>—</v>
      </c>
      <c r="O277" s="15">
        <f t="shared" ca="1" si="173"/>
        <v>7</v>
      </c>
      <c r="P277" s="16" t="str">
        <f t="shared" ca="1" si="174"/>
        <v>—</v>
      </c>
      <c r="Q277" s="15">
        <f t="shared" ca="1" si="175"/>
        <v>7</v>
      </c>
      <c r="R277" s="16" t="str">
        <f t="shared" ca="1" si="176"/>
        <v>—</v>
      </c>
      <c r="S277" s="15">
        <f t="shared" ca="1" si="177"/>
        <v>7</v>
      </c>
      <c r="T277" s="9" t="str">
        <f t="shared" ca="1" si="178"/>
        <v>—</v>
      </c>
      <c r="U277" s="15">
        <f t="shared" ca="1" si="179"/>
        <v>7</v>
      </c>
      <c r="V277" s="16" t="str">
        <f t="shared" ca="1" si="180"/>
        <v>—</v>
      </c>
      <c r="W277" s="15">
        <f t="shared" ca="1" si="181"/>
        <v>7</v>
      </c>
      <c r="X277" s="16" t="str">
        <f t="shared" ca="1" si="182"/>
        <v>—</v>
      </c>
      <c r="Y277" s="15">
        <f t="shared" ca="1" si="183"/>
        <v>7</v>
      </c>
      <c r="Z277" s="16" t="str">
        <f t="shared" ca="1" si="184"/>
        <v>—</v>
      </c>
      <c r="AA277" s="15">
        <f t="shared" ca="1" si="185"/>
        <v>7</v>
      </c>
      <c r="AB277" s="9" t="str">
        <f t="shared" ca="1" si="186"/>
        <v>—</v>
      </c>
      <c r="AC277" s="15">
        <f t="shared" ca="1" si="187"/>
        <v>7</v>
      </c>
      <c r="AD277" s="76" t="str">
        <f t="shared" ca="1" si="188"/>
        <v>—</v>
      </c>
      <c r="AE277" s="15">
        <f t="shared" ca="1" si="189"/>
        <v>7</v>
      </c>
      <c r="AF277" s="76" t="str">
        <f t="shared" ca="1" si="190"/>
        <v>—</v>
      </c>
      <c r="AG277" s="15">
        <f t="shared" ca="1" si="191"/>
        <v>7</v>
      </c>
      <c r="AH277" s="9" t="str">
        <f t="shared" ca="1" si="192"/>
        <v>—</v>
      </c>
      <c r="AI277" s="15">
        <f t="shared" ca="1" si="193"/>
        <v>7</v>
      </c>
      <c r="AJ277" s="26" t="str">
        <f t="shared" ca="1" si="194"/>
        <v>—</v>
      </c>
      <c r="AK277" s="15">
        <f t="shared" ca="1" si="195"/>
        <v>7</v>
      </c>
      <c r="AL277" s="9" t="str">
        <f t="shared" ca="1" si="196"/>
        <v>—</v>
      </c>
      <c r="AM277" s="15">
        <f t="shared" ca="1" si="197"/>
        <v>7</v>
      </c>
      <c r="AN277" s="9" t="str">
        <f t="shared" ca="1" si="198"/>
        <v>—</v>
      </c>
      <c r="AO277" s="15">
        <f t="shared" ca="1" si="199"/>
        <v>7</v>
      </c>
    </row>
    <row r="278" spans="1:41" x14ac:dyDescent="0.25">
      <c r="A278" s="4">
        <f t="shared" si="160"/>
        <v>78989</v>
      </c>
      <c r="B278" t="str">
        <f ca="1">TEXT(DATE(YEAR(Invoer!$A$5),1,1)+ROWS(B$2:B278)-1,"jjjjmmdd")</f>
        <v>19131004</v>
      </c>
      <c r="C278" s="72">
        <f t="shared" si="161"/>
        <v>800</v>
      </c>
      <c r="D278" s="16" t="str">
        <f t="shared" ca="1" si="162"/>
        <v>—</v>
      </c>
      <c r="E278" s="15">
        <f t="shared" ca="1" si="163"/>
        <v>7</v>
      </c>
      <c r="F278" s="73" t="str">
        <f t="shared" ca="1" si="164"/>
        <v>—</v>
      </c>
      <c r="G278" s="15">
        <f t="shared" ca="1" si="165"/>
        <v>7</v>
      </c>
      <c r="H278" s="73" t="str">
        <f t="shared" ca="1" si="166"/>
        <v>—</v>
      </c>
      <c r="I278" s="15">
        <f t="shared" ca="1" si="167"/>
        <v>7</v>
      </c>
      <c r="J278" s="73" t="str">
        <f t="shared" ca="1" si="168"/>
        <v>—</v>
      </c>
      <c r="K278" s="15">
        <f t="shared" ca="1" si="169"/>
        <v>7</v>
      </c>
      <c r="L278" s="16" t="str">
        <f t="shared" ca="1" si="170"/>
        <v>—</v>
      </c>
      <c r="M278" s="15">
        <f t="shared" ca="1" si="171"/>
        <v>7</v>
      </c>
      <c r="N278" s="16" t="str">
        <f t="shared" ca="1" si="172"/>
        <v>—</v>
      </c>
      <c r="O278" s="15">
        <f t="shared" ca="1" si="173"/>
        <v>7</v>
      </c>
      <c r="P278" s="16" t="str">
        <f t="shared" ca="1" si="174"/>
        <v>—</v>
      </c>
      <c r="Q278" s="15">
        <f t="shared" ca="1" si="175"/>
        <v>7</v>
      </c>
      <c r="R278" s="16" t="str">
        <f t="shared" ca="1" si="176"/>
        <v>—</v>
      </c>
      <c r="S278" s="15">
        <f t="shared" ca="1" si="177"/>
        <v>7</v>
      </c>
      <c r="T278" s="9" t="str">
        <f t="shared" ca="1" si="178"/>
        <v>—</v>
      </c>
      <c r="U278" s="15">
        <f t="shared" ca="1" si="179"/>
        <v>7</v>
      </c>
      <c r="V278" s="16" t="str">
        <f t="shared" ca="1" si="180"/>
        <v>—</v>
      </c>
      <c r="W278" s="15">
        <f t="shared" ca="1" si="181"/>
        <v>7</v>
      </c>
      <c r="X278" s="16" t="str">
        <f t="shared" ca="1" si="182"/>
        <v>—</v>
      </c>
      <c r="Y278" s="15">
        <f t="shared" ca="1" si="183"/>
        <v>7</v>
      </c>
      <c r="Z278" s="16" t="str">
        <f t="shared" ca="1" si="184"/>
        <v>—</v>
      </c>
      <c r="AA278" s="15">
        <f t="shared" ca="1" si="185"/>
        <v>7</v>
      </c>
      <c r="AB278" s="9" t="str">
        <f t="shared" ca="1" si="186"/>
        <v>—</v>
      </c>
      <c r="AC278" s="15">
        <f t="shared" ca="1" si="187"/>
        <v>7</v>
      </c>
      <c r="AD278" s="76" t="str">
        <f t="shared" ca="1" si="188"/>
        <v>—</v>
      </c>
      <c r="AE278" s="15">
        <f t="shared" ca="1" si="189"/>
        <v>7</v>
      </c>
      <c r="AF278" s="76" t="str">
        <f t="shared" ca="1" si="190"/>
        <v>—</v>
      </c>
      <c r="AG278" s="15">
        <f t="shared" ca="1" si="191"/>
        <v>7</v>
      </c>
      <c r="AH278" s="9" t="str">
        <f t="shared" ca="1" si="192"/>
        <v>—</v>
      </c>
      <c r="AI278" s="15">
        <f t="shared" ca="1" si="193"/>
        <v>7</v>
      </c>
      <c r="AJ278" s="26" t="str">
        <f t="shared" ca="1" si="194"/>
        <v>—</v>
      </c>
      <c r="AK278" s="15">
        <f t="shared" ca="1" si="195"/>
        <v>7</v>
      </c>
      <c r="AL278" s="9" t="str">
        <f t="shared" ca="1" si="196"/>
        <v>—</v>
      </c>
      <c r="AM278" s="15">
        <f t="shared" ca="1" si="197"/>
        <v>7</v>
      </c>
      <c r="AN278" s="9" t="str">
        <f t="shared" ca="1" si="198"/>
        <v>—</v>
      </c>
      <c r="AO278" s="15">
        <f t="shared" ca="1" si="199"/>
        <v>7</v>
      </c>
    </row>
    <row r="279" spans="1:41" x14ac:dyDescent="0.25">
      <c r="A279" s="4">
        <f t="shared" si="160"/>
        <v>78989</v>
      </c>
      <c r="B279" t="str">
        <f ca="1">TEXT(DATE(YEAR(Invoer!$A$5),1,1)+ROWS(B$2:B279)-1,"jjjjmmdd")</f>
        <v>19131005</v>
      </c>
      <c r="C279" s="72">
        <f t="shared" si="161"/>
        <v>800</v>
      </c>
      <c r="D279" s="16" t="str">
        <f t="shared" ca="1" si="162"/>
        <v>—</v>
      </c>
      <c r="E279" s="15">
        <f t="shared" ca="1" si="163"/>
        <v>7</v>
      </c>
      <c r="F279" s="73" t="str">
        <f t="shared" ca="1" si="164"/>
        <v>—</v>
      </c>
      <c r="G279" s="15">
        <f t="shared" ca="1" si="165"/>
        <v>7</v>
      </c>
      <c r="H279" s="73" t="str">
        <f t="shared" ca="1" si="166"/>
        <v>—</v>
      </c>
      <c r="I279" s="15">
        <f t="shared" ca="1" si="167"/>
        <v>7</v>
      </c>
      <c r="J279" s="73" t="str">
        <f t="shared" ca="1" si="168"/>
        <v>—</v>
      </c>
      <c r="K279" s="15">
        <f t="shared" ca="1" si="169"/>
        <v>7</v>
      </c>
      <c r="L279" s="16">
        <f t="shared" ca="1" si="170"/>
        <v>759.5</v>
      </c>
      <c r="M279" s="15">
        <f t="shared" ca="1" si="171"/>
        <v>0</v>
      </c>
      <c r="N279" s="16" t="str">
        <f t="shared" ca="1" si="172"/>
        <v>—</v>
      </c>
      <c r="O279" s="15">
        <f t="shared" ca="1" si="173"/>
        <v>7</v>
      </c>
      <c r="P279" s="16" t="str">
        <f t="shared" ca="1" si="174"/>
        <v>—</v>
      </c>
      <c r="Q279" s="15">
        <f t="shared" ca="1" si="175"/>
        <v>7</v>
      </c>
      <c r="R279" s="16" t="str">
        <f t="shared" ca="1" si="176"/>
        <v>—</v>
      </c>
      <c r="S279" s="15">
        <f t="shared" ca="1" si="177"/>
        <v>7</v>
      </c>
      <c r="T279" s="9" t="str">
        <f t="shared" ca="1" si="178"/>
        <v>—</v>
      </c>
      <c r="U279" s="15">
        <f t="shared" ca="1" si="179"/>
        <v>7</v>
      </c>
      <c r="V279" s="16" t="str">
        <f t="shared" ca="1" si="180"/>
        <v>—</v>
      </c>
      <c r="W279" s="15">
        <f t="shared" ca="1" si="181"/>
        <v>7</v>
      </c>
      <c r="X279" s="16" t="str">
        <f t="shared" ca="1" si="182"/>
        <v>—</v>
      </c>
      <c r="Y279" s="15">
        <f t="shared" ca="1" si="183"/>
        <v>7</v>
      </c>
      <c r="Z279" s="16" t="str">
        <f t="shared" ca="1" si="184"/>
        <v>—</v>
      </c>
      <c r="AA279" s="15">
        <f t="shared" ca="1" si="185"/>
        <v>7</v>
      </c>
      <c r="AB279" s="9">
        <f t="shared" ca="1" si="186"/>
        <v>90</v>
      </c>
      <c r="AC279" s="15">
        <f t="shared" ca="1" si="187"/>
        <v>0</v>
      </c>
      <c r="AD279" s="76" t="str">
        <f t="shared" ca="1" si="188"/>
        <v>—</v>
      </c>
      <c r="AE279" s="15">
        <f t="shared" ca="1" si="189"/>
        <v>7</v>
      </c>
      <c r="AF279" s="76" t="str">
        <f t="shared" ca="1" si="190"/>
        <v>—</v>
      </c>
      <c r="AG279" s="15">
        <f t="shared" ca="1" si="191"/>
        <v>7</v>
      </c>
      <c r="AH279" s="9" t="str">
        <f t="shared" ca="1" si="192"/>
        <v>—</v>
      </c>
      <c r="AI279" s="15">
        <f t="shared" ca="1" si="193"/>
        <v>7</v>
      </c>
      <c r="AJ279" s="26" t="str">
        <f t="shared" ca="1" si="194"/>
        <v>—</v>
      </c>
      <c r="AK279" s="15">
        <f t="shared" ca="1" si="195"/>
        <v>7</v>
      </c>
      <c r="AL279" s="9" t="str">
        <f t="shared" ca="1" si="196"/>
        <v>—</v>
      </c>
      <c r="AM279" s="15">
        <f t="shared" ca="1" si="197"/>
        <v>7</v>
      </c>
      <c r="AN279" s="9" t="str">
        <f t="shared" ca="1" si="198"/>
        <v>—</v>
      </c>
      <c r="AO279" s="15">
        <f t="shared" ca="1" si="199"/>
        <v>7</v>
      </c>
    </row>
    <row r="280" spans="1:41" x14ac:dyDescent="0.25">
      <c r="A280" s="4">
        <f t="shared" si="160"/>
        <v>78989</v>
      </c>
      <c r="B280" t="str">
        <f ca="1">TEXT(DATE(YEAR(Invoer!$A$5),1,1)+ROWS(B$2:B280)-1,"jjjjmmdd")</f>
        <v>19131006</v>
      </c>
      <c r="C280" s="72">
        <f t="shared" si="161"/>
        <v>800</v>
      </c>
      <c r="D280" s="16" t="str">
        <f t="shared" ca="1" si="162"/>
        <v>—</v>
      </c>
      <c r="E280" s="15">
        <f t="shared" ca="1" si="163"/>
        <v>7</v>
      </c>
      <c r="F280" s="73" t="str">
        <f t="shared" ca="1" si="164"/>
        <v>—</v>
      </c>
      <c r="G280" s="15">
        <f t="shared" ca="1" si="165"/>
        <v>7</v>
      </c>
      <c r="H280" s="73" t="str">
        <f t="shared" ca="1" si="166"/>
        <v>—</v>
      </c>
      <c r="I280" s="15">
        <f t="shared" ca="1" si="167"/>
        <v>7</v>
      </c>
      <c r="J280" s="73" t="str">
        <f t="shared" ca="1" si="168"/>
        <v>—</v>
      </c>
      <c r="K280" s="15">
        <f t="shared" ca="1" si="169"/>
        <v>7</v>
      </c>
      <c r="L280" s="16">
        <f t="shared" ca="1" si="170"/>
        <v>759.5</v>
      </c>
      <c r="M280" s="15">
        <f t="shared" ca="1" si="171"/>
        <v>0</v>
      </c>
      <c r="N280" s="16" t="str">
        <f t="shared" ca="1" si="172"/>
        <v>—</v>
      </c>
      <c r="O280" s="15">
        <f t="shared" ca="1" si="173"/>
        <v>7</v>
      </c>
      <c r="P280" s="16" t="str">
        <f t="shared" ca="1" si="174"/>
        <v>—</v>
      </c>
      <c r="Q280" s="15">
        <f t="shared" ca="1" si="175"/>
        <v>7</v>
      </c>
      <c r="R280" s="16" t="str">
        <f t="shared" ca="1" si="176"/>
        <v>—</v>
      </c>
      <c r="S280" s="15">
        <f t="shared" ca="1" si="177"/>
        <v>7</v>
      </c>
      <c r="T280" s="9" t="str">
        <f t="shared" ca="1" si="178"/>
        <v>—</v>
      </c>
      <c r="U280" s="15">
        <f t="shared" ca="1" si="179"/>
        <v>7</v>
      </c>
      <c r="V280" s="16" t="str">
        <f t="shared" ca="1" si="180"/>
        <v>—</v>
      </c>
      <c r="W280" s="15">
        <f t="shared" ca="1" si="181"/>
        <v>7</v>
      </c>
      <c r="X280" s="16" t="str">
        <f t="shared" ca="1" si="182"/>
        <v>—</v>
      </c>
      <c r="Y280" s="15">
        <f t="shared" ca="1" si="183"/>
        <v>7</v>
      </c>
      <c r="Z280" s="16" t="str">
        <f t="shared" ca="1" si="184"/>
        <v>—</v>
      </c>
      <c r="AA280" s="15">
        <f t="shared" ca="1" si="185"/>
        <v>7</v>
      </c>
      <c r="AB280" s="9">
        <f t="shared" ca="1" si="186"/>
        <v>90</v>
      </c>
      <c r="AC280" s="15">
        <f t="shared" ca="1" si="187"/>
        <v>0</v>
      </c>
      <c r="AD280" s="76" t="str">
        <f t="shared" ca="1" si="188"/>
        <v>—</v>
      </c>
      <c r="AE280" s="15">
        <f t="shared" ca="1" si="189"/>
        <v>7</v>
      </c>
      <c r="AF280" s="76" t="str">
        <f t="shared" ca="1" si="190"/>
        <v>—</v>
      </c>
      <c r="AG280" s="15">
        <f t="shared" ca="1" si="191"/>
        <v>7</v>
      </c>
      <c r="AH280" s="9" t="str">
        <f t="shared" ca="1" si="192"/>
        <v>—</v>
      </c>
      <c r="AI280" s="15">
        <f t="shared" ca="1" si="193"/>
        <v>7</v>
      </c>
      <c r="AJ280" s="26" t="str">
        <f t="shared" ca="1" si="194"/>
        <v>—</v>
      </c>
      <c r="AK280" s="15">
        <f t="shared" ca="1" si="195"/>
        <v>7</v>
      </c>
      <c r="AL280" s="9" t="str">
        <f t="shared" ca="1" si="196"/>
        <v>—</v>
      </c>
      <c r="AM280" s="15">
        <f t="shared" ca="1" si="197"/>
        <v>7</v>
      </c>
      <c r="AN280" s="9" t="str">
        <f t="shared" ca="1" si="198"/>
        <v>—</v>
      </c>
      <c r="AO280" s="15">
        <f t="shared" ca="1" si="199"/>
        <v>7</v>
      </c>
    </row>
    <row r="281" spans="1:41" x14ac:dyDescent="0.25">
      <c r="A281" s="4">
        <f t="shared" si="160"/>
        <v>78989</v>
      </c>
      <c r="B281" t="str">
        <f ca="1">TEXT(DATE(YEAR(Invoer!$A$5),1,1)+ROWS(B$2:B281)-1,"jjjjmmdd")</f>
        <v>19131007</v>
      </c>
      <c r="C281" s="72">
        <f t="shared" si="161"/>
        <v>800</v>
      </c>
      <c r="D281" s="16" t="str">
        <f t="shared" ca="1" si="162"/>
        <v>—</v>
      </c>
      <c r="E281" s="15">
        <f t="shared" ca="1" si="163"/>
        <v>7</v>
      </c>
      <c r="F281" s="73" t="str">
        <f t="shared" ca="1" si="164"/>
        <v>—</v>
      </c>
      <c r="G281" s="15">
        <f t="shared" ca="1" si="165"/>
        <v>7</v>
      </c>
      <c r="H281" s="73" t="str">
        <f t="shared" ca="1" si="166"/>
        <v>—</v>
      </c>
      <c r="I281" s="15">
        <f t="shared" ca="1" si="167"/>
        <v>7</v>
      </c>
      <c r="J281" s="73" t="str">
        <f t="shared" ca="1" si="168"/>
        <v>—</v>
      </c>
      <c r="K281" s="15">
        <f t="shared" ca="1" si="169"/>
        <v>7</v>
      </c>
      <c r="L281" s="16" t="str">
        <f t="shared" ca="1" si="170"/>
        <v>—</v>
      </c>
      <c r="M281" s="15">
        <f t="shared" ca="1" si="171"/>
        <v>7</v>
      </c>
      <c r="N281" s="16" t="str">
        <f t="shared" ca="1" si="172"/>
        <v>—</v>
      </c>
      <c r="O281" s="15">
        <f t="shared" ca="1" si="173"/>
        <v>7</v>
      </c>
      <c r="P281" s="16" t="str">
        <f t="shared" ca="1" si="174"/>
        <v>—</v>
      </c>
      <c r="Q281" s="15">
        <f t="shared" ca="1" si="175"/>
        <v>7</v>
      </c>
      <c r="R281" s="16" t="str">
        <f t="shared" ca="1" si="176"/>
        <v>—</v>
      </c>
      <c r="S281" s="15">
        <f t="shared" ca="1" si="177"/>
        <v>7</v>
      </c>
      <c r="T281" s="9" t="str">
        <f t="shared" ca="1" si="178"/>
        <v>—</v>
      </c>
      <c r="U281" s="15">
        <f t="shared" ca="1" si="179"/>
        <v>7</v>
      </c>
      <c r="V281" s="16" t="str">
        <f t="shared" ca="1" si="180"/>
        <v>—</v>
      </c>
      <c r="W281" s="15">
        <f t="shared" ca="1" si="181"/>
        <v>7</v>
      </c>
      <c r="X281" s="16" t="str">
        <f t="shared" ca="1" si="182"/>
        <v>—</v>
      </c>
      <c r="Y281" s="15">
        <f t="shared" ca="1" si="183"/>
        <v>7</v>
      </c>
      <c r="Z281" s="16" t="str">
        <f t="shared" ca="1" si="184"/>
        <v>—</v>
      </c>
      <c r="AA281" s="15">
        <f t="shared" ca="1" si="185"/>
        <v>7</v>
      </c>
      <c r="AB281" s="9" t="str">
        <f t="shared" ca="1" si="186"/>
        <v>—</v>
      </c>
      <c r="AC281" s="15">
        <f t="shared" ca="1" si="187"/>
        <v>7</v>
      </c>
      <c r="AD281" s="76" t="str">
        <f t="shared" ca="1" si="188"/>
        <v>—</v>
      </c>
      <c r="AE281" s="15">
        <f t="shared" ca="1" si="189"/>
        <v>7</v>
      </c>
      <c r="AF281" s="76" t="str">
        <f t="shared" ca="1" si="190"/>
        <v>—</v>
      </c>
      <c r="AG281" s="15">
        <f t="shared" ca="1" si="191"/>
        <v>7</v>
      </c>
      <c r="AH281" s="9" t="str">
        <f t="shared" ca="1" si="192"/>
        <v>—</v>
      </c>
      <c r="AI281" s="15">
        <f t="shared" ca="1" si="193"/>
        <v>7</v>
      </c>
      <c r="AJ281" s="26" t="str">
        <f t="shared" ca="1" si="194"/>
        <v>—</v>
      </c>
      <c r="AK281" s="15">
        <f t="shared" ca="1" si="195"/>
        <v>7</v>
      </c>
      <c r="AL281" s="9" t="str">
        <f t="shared" ca="1" si="196"/>
        <v>—</v>
      </c>
      <c r="AM281" s="15">
        <f t="shared" ca="1" si="197"/>
        <v>7</v>
      </c>
      <c r="AN281" s="9" t="str">
        <f t="shared" ca="1" si="198"/>
        <v>—</v>
      </c>
      <c r="AO281" s="15">
        <f t="shared" ca="1" si="199"/>
        <v>7</v>
      </c>
    </row>
    <row r="282" spans="1:41" x14ac:dyDescent="0.25">
      <c r="A282" s="4">
        <f t="shared" si="160"/>
        <v>78989</v>
      </c>
      <c r="B282" t="str">
        <f ca="1">TEXT(DATE(YEAR(Invoer!$A$5),1,1)+ROWS(B$2:B282)-1,"jjjjmmdd")</f>
        <v>19131008</v>
      </c>
      <c r="C282" s="72">
        <f t="shared" si="161"/>
        <v>800</v>
      </c>
      <c r="D282" s="16" t="str">
        <f t="shared" ca="1" si="162"/>
        <v>—</v>
      </c>
      <c r="E282" s="15">
        <f t="shared" ca="1" si="163"/>
        <v>7</v>
      </c>
      <c r="F282" s="73" t="str">
        <f t="shared" ca="1" si="164"/>
        <v>—</v>
      </c>
      <c r="G282" s="15">
        <f t="shared" ca="1" si="165"/>
        <v>7</v>
      </c>
      <c r="H282" s="73" t="str">
        <f t="shared" ca="1" si="166"/>
        <v>—</v>
      </c>
      <c r="I282" s="15">
        <f t="shared" ca="1" si="167"/>
        <v>7</v>
      </c>
      <c r="J282" s="73" t="str">
        <f t="shared" ca="1" si="168"/>
        <v>—</v>
      </c>
      <c r="K282" s="15">
        <f t="shared" ca="1" si="169"/>
        <v>7</v>
      </c>
      <c r="L282" s="16">
        <f t="shared" ca="1" si="170"/>
        <v>758.4</v>
      </c>
      <c r="M282" s="15">
        <f t="shared" ca="1" si="171"/>
        <v>0</v>
      </c>
      <c r="N282" s="16" t="str">
        <f t="shared" ca="1" si="172"/>
        <v>—</v>
      </c>
      <c r="O282" s="15">
        <f t="shared" ca="1" si="173"/>
        <v>7</v>
      </c>
      <c r="P282" s="16" t="str">
        <f t="shared" ca="1" si="174"/>
        <v>—</v>
      </c>
      <c r="Q282" s="15">
        <f t="shared" ca="1" si="175"/>
        <v>7</v>
      </c>
      <c r="R282" s="16" t="str">
        <f t="shared" ca="1" si="176"/>
        <v>—</v>
      </c>
      <c r="S282" s="15">
        <f t="shared" ca="1" si="177"/>
        <v>7</v>
      </c>
      <c r="T282" s="9" t="str">
        <f t="shared" ca="1" si="178"/>
        <v>—</v>
      </c>
      <c r="U282" s="15">
        <f t="shared" ca="1" si="179"/>
        <v>7</v>
      </c>
      <c r="V282" s="16" t="str">
        <f t="shared" ca="1" si="180"/>
        <v>—</v>
      </c>
      <c r="W282" s="15">
        <f t="shared" ca="1" si="181"/>
        <v>7</v>
      </c>
      <c r="X282" s="16" t="str">
        <f t="shared" ca="1" si="182"/>
        <v>—</v>
      </c>
      <c r="Y282" s="15">
        <f t="shared" ca="1" si="183"/>
        <v>7</v>
      </c>
      <c r="Z282" s="16" t="str">
        <f t="shared" ca="1" si="184"/>
        <v>—</v>
      </c>
      <c r="AA282" s="15">
        <f t="shared" ca="1" si="185"/>
        <v>7</v>
      </c>
      <c r="AB282" s="9">
        <f t="shared" ca="1" si="186"/>
        <v>90</v>
      </c>
      <c r="AC282" s="15">
        <f t="shared" ca="1" si="187"/>
        <v>0</v>
      </c>
      <c r="AD282" s="76" t="str">
        <f t="shared" ca="1" si="188"/>
        <v>—</v>
      </c>
      <c r="AE282" s="15">
        <f t="shared" ca="1" si="189"/>
        <v>7</v>
      </c>
      <c r="AF282" s="76" t="str">
        <f t="shared" ca="1" si="190"/>
        <v>—</v>
      </c>
      <c r="AG282" s="15">
        <f t="shared" ca="1" si="191"/>
        <v>7</v>
      </c>
      <c r="AH282" s="9" t="str">
        <f t="shared" ca="1" si="192"/>
        <v>—</v>
      </c>
      <c r="AI282" s="15">
        <f t="shared" ca="1" si="193"/>
        <v>7</v>
      </c>
      <c r="AJ282" s="26" t="str">
        <f t="shared" ca="1" si="194"/>
        <v>—</v>
      </c>
      <c r="AK282" s="15">
        <f t="shared" ca="1" si="195"/>
        <v>7</v>
      </c>
      <c r="AL282" s="9" t="str">
        <f t="shared" ca="1" si="196"/>
        <v>—</v>
      </c>
      <c r="AM282" s="15">
        <f t="shared" ca="1" si="197"/>
        <v>7</v>
      </c>
      <c r="AN282" s="9" t="str">
        <f t="shared" ca="1" si="198"/>
        <v>—</v>
      </c>
      <c r="AO282" s="15">
        <f t="shared" ca="1" si="199"/>
        <v>7</v>
      </c>
    </row>
    <row r="283" spans="1:41" x14ac:dyDescent="0.25">
      <c r="A283" s="4">
        <f t="shared" si="160"/>
        <v>78989</v>
      </c>
      <c r="B283" t="str">
        <f ca="1">TEXT(DATE(YEAR(Invoer!$A$5),1,1)+ROWS(B$2:B283)-1,"jjjjmmdd")</f>
        <v>19131009</v>
      </c>
      <c r="C283" s="72">
        <f t="shared" si="161"/>
        <v>800</v>
      </c>
      <c r="D283" s="16" t="str">
        <f t="shared" ca="1" si="162"/>
        <v>—</v>
      </c>
      <c r="E283" s="15">
        <f t="shared" ca="1" si="163"/>
        <v>7</v>
      </c>
      <c r="F283" s="73" t="str">
        <f t="shared" ca="1" si="164"/>
        <v>—</v>
      </c>
      <c r="G283" s="15">
        <f t="shared" ca="1" si="165"/>
        <v>7</v>
      </c>
      <c r="H283" s="73" t="str">
        <f t="shared" ca="1" si="166"/>
        <v>—</v>
      </c>
      <c r="I283" s="15">
        <f t="shared" ca="1" si="167"/>
        <v>7</v>
      </c>
      <c r="J283" s="73" t="str">
        <f t="shared" ca="1" si="168"/>
        <v>—</v>
      </c>
      <c r="K283" s="15">
        <f t="shared" ca="1" si="169"/>
        <v>7</v>
      </c>
      <c r="L283" s="16">
        <f t="shared" ca="1" si="170"/>
        <v>759</v>
      </c>
      <c r="M283" s="15">
        <f t="shared" ca="1" si="171"/>
        <v>0</v>
      </c>
      <c r="N283" s="16" t="str">
        <f t="shared" ca="1" si="172"/>
        <v>—</v>
      </c>
      <c r="O283" s="15">
        <f t="shared" ca="1" si="173"/>
        <v>7</v>
      </c>
      <c r="P283" s="16" t="str">
        <f t="shared" ca="1" si="174"/>
        <v>—</v>
      </c>
      <c r="Q283" s="15">
        <f t="shared" ca="1" si="175"/>
        <v>7</v>
      </c>
      <c r="R283" s="16" t="str">
        <f t="shared" ca="1" si="176"/>
        <v>—</v>
      </c>
      <c r="S283" s="15">
        <f t="shared" ca="1" si="177"/>
        <v>7</v>
      </c>
      <c r="T283" s="9" t="str">
        <f t="shared" ca="1" si="178"/>
        <v>—</v>
      </c>
      <c r="U283" s="15">
        <f t="shared" ca="1" si="179"/>
        <v>7</v>
      </c>
      <c r="V283" s="16" t="str">
        <f t="shared" ca="1" si="180"/>
        <v>—</v>
      </c>
      <c r="W283" s="15">
        <f t="shared" ca="1" si="181"/>
        <v>7</v>
      </c>
      <c r="X283" s="16" t="str">
        <f t="shared" ca="1" si="182"/>
        <v>—</v>
      </c>
      <c r="Y283" s="15">
        <f t="shared" ca="1" si="183"/>
        <v>7</v>
      </c>
      <c r="Z283" s="16" t="str">
        <f t="shared" ca="1" si="184"/>
        <v>—</v>
      </c>
      <c r="AA283" s="15">
        <f t="shared" ca="1" si="185"/>
        <v>7</v>
      </c>
      <c r="AB283" s="9">
        <f t="shared" ca="1" si="186"/>
        <v>90</v>
      </c>
      <c r="AC283" s="15">
        <f t="shared" ca="1" si="187"/>
        <v>0</v>
      </c>
      <c r="AD283" s="76" t="str">
        <f t="shared" ca="1" si="188"/>
        <v>—</v>
      </c>
      <c r="AE283" s="15">
        <f t="shared" ca="1" si="189"/>
        <v>7</v>
      </c>
      <c r="AF283" s="76" t="str">
        <f t="shared" ca="1" si="190"/>
        <v>—</v>
      </c>
      <c r="AG283" s="15">
        <f t="shared" ca="1" si="191"/>
        <v>7</v>
      </c>
      <c r="AH283" s="9" t="str">
        <f t="shared" ca="1" si="192"/>
        <v>—</v>
      </c>
      <c r="AI283" s="15">
        <f t="shared" ca="1" si="193"/>
        <v>7</v>
      </c>
      <c r="AJ283" s="26" t="str">
        <f t="shared" ca="1" si="194"/>
        <v>—</v>
      </c>
      <c r="AK283" s="15">
        <f t="shared" ca="1" si="195"/>
        <v>7</v>
      </c>
      <c r="AL283" s="9" t="str">
        <f t="shared" ca="1" si="196"/>
        <v>—</v>
      </c>
      <c r="AM283" s="15">
        <f t="shared" ca="1" si="197"/>
        <v>7</v>
      </c>
      <c r="AN283" s="9" t="str">
        <f t="shared" ca="1" si="198"/>
        <v>—</v>
      </c>
      <c r="AO283" s="15">
        <f t="shared" ca="1" si="199"/>
        <v>7</v>
      </c>
    </row>
    <row r="284" spans="1:41" x14ac:dyDescent="0.25">
      <c r="A284" s="4">
        <f t="shared" si="160"/>
        <v>78989</v>
      </c>
      <c r="B284" t="str">
        <f ca="1">TEXT(DATE(YEAR(Invoer!$A$5),1,1)+ROWS(B$2:B284)-1,"jjjjmmdd")</f>
        <v>19131010</v>
      </c>
      <c r="C284" s="72">
        <f t="shared" si="161"/>
        <v>800</v>
      </c>
      <c r="D284" s="16" t="str">
        <f t="shared" ca="1" si="162"/>
        <v>—</v>
      </c>
      <c r="E284" s="15">
        <f t="shared" ca="1" si="163"/>
        <v>7</v>
      </c>
      <c r="F284" s="73" t="str">
        <f t="shared" ca="1" si="164"/>
        <v>—</v>
      </c>
      <c r="G284" s="15">
        <f t="shared" ca="1" si="165"/>
        <v>7</v>
      </c>
      <c r="H284" s="73" t="str">
        <f t="shared" ca="1" si="166"/>
        <v>—</v>
      </c>
      <c r="I284" s="15">
        <f t="shared" ca="1" si="167"/>
        <v>7</v>
      </c>
      <c r="J284" s="73" t="str">
        <f t="shared" ca="1" si="168"/>
        <v>—</v>
      </c>
      <c r="K284" s="15">
        <f t="shared" ca="1" si="169"/>
        <v>7</v>
      </c>
      <c r="L284" s="16" t="str">
        <f t="shared" ca="1" si="170"/>
        <v>—</v>
      </c>
      <c r="M284" s="15">
        <f t="shared" ca="1" si="171"/>
        <v>7</v>
      </c>
      <c r="N284" s="16" t="str">
        <f t="shared" ca="1" si="172"/>
        <v>—</v>
      </c>
      <c r="O284" s="15">
        <f t="shared" ca="1" si="173"/>
        <v>7</v>
      </c>
      <c r="P284" s="16" t="str">
        <f t="shared" ca="1" si="174"/>
        <v>—</v>
      </c>
      <c r="Q284" s="15">
        <f t="shared" ca="1" si="175"/>
        <v>7</v>
      </c>
      <c r="R284" s="16" t="str">
        <f t="shared" ca="1" si="176"/>
        <v>—</v>
      </c>
      <c r="S284" s="15">
        <f t="shared" ca="1" si="177"/>
        <v>7</v>
      </c>
      <c r="T284" s="9" t="str">
        <f t="shared" ca="1" si="178"/>
        <v>—</v>
      </c>
      <c r="U284" s="15">
        <f t="shared" ca="1" si="179"/>
        <v>7</v>
      </c>
      <c r="V284" s="16" t="str">
        <f t="shared" ca="1" si="180"/>
        <v>—</v>
      </c>
      <c r="W284" s="15">
        <f t="shared" ca="1" si="181"/>
        <v>7</v>
      </c>
      <c r="X284" s="16" t="str">
        <f t="shared" ca="1" si="182"/>
        <v>—</v>
      </c>
      <c r="Y284" s="15">
        <f t="shared" ca="1" si="183"/>
        <v>7</v>
      </c>
      <c r="Z284" s="16" t="str">
        <f t="shared" ca="1" si="184"/>
        <v>—</v>
      </c>
      <c r="AA284" s="15">
        <f t="shared" ca="1" si="185"/>
        <v>7</v>
      </c>
      <c r="AB284" s="9" t="str">
        <f t="shared" ca="1" si="186"/>
        <v>—</v>
      </c>
      <c r="AC284" s="15">
        <f t="shared" ca="1" si="187"/>
        <v>7</v>
      </c>
      <c r="AD284" s="76" t="str">
        <f t="shared" ca="1" si="188"/>
        <v>—</v>
      </c>
      <c r="AE284" s="15">
        <f t="shared" ca="1" si="189"/>
        <v>7</v>
      </c>
      <c r="AF284" s="76" t="str">
        <f t="shared" ca="1" si="190"/>
        <v>—</v>
      </c>
      <c r="AG284" s="15">
        <f t="shared" ca="1" si="191"/>
        <v>7</v>
      </c>
      <c r="AH284" s="9" t="str">
        <f t="shared" ca="1" si="192"/>
        <v>—</v>
      </c>
      <c r="AI284" s="15">
        <f t="shared" ca="1" si="193"/>
        <v>7</v>
      </c>
      <c r="AJ284" s="26" t="str">
        <f t="shared" ca="1" si="194"/>
        <v>—</v>
      </c>
      <c r="AK284" s="15">
        <f t="shared" ca="1" si="195"/>
        <v>7</v>
      </c>
      <c r="AL284" s="9" t="str">
        <f t="shared" ca="1" si="196"/>
        <v>—</v>
      </c>
      <c r="AM284" s="15">
        <f t="shared" ca="1" si="197"/>
        <v>7</v>
      </c>
      <c r="AN284" s="9" t="str">
        <f t="shared" ca="1" si="198"/>
        <v>—</v>
      </c>
      <c r="AO284" s="15">
        <f t="shared" ca="1" si="199"/>
        <v>7</v>
      </c>
    </row>
    <row r="285" spans="1:41" x14ac:dyDescent="0.25">
      <c r="A285" s="4">
        <f t="shared" si="160"/>
        <v>78989</v>
      </c>
      <c r="B285" t="str">
        <f ca="1">TEXT(DATE(YEAR(Invoer!$A$5),1,1)+ROWS(B$2:B285)-1,"jjjjmmdd")</f>
        <v>19131011</v>
      </c>
      <c r="C285" s="72">
        <f t="shared" si="161"/>
        <v>800</v>
      </c>
      <c r="D285" s="16" t="str">
        <f t="shared" ca="1" si="162"/>
        <v>—</v>
      </c>
      <c r="E285" s="15">
        <f t="shared" ca="1" si="163"/>
        <v>7</v>
      </c>
      <c r="F285" s="73" t="str">
        <f t="shared" ca="1" si="164"/>
        <v>—</v>
      </c>
      <c r="G285" s="15">
        <f t="shared" ca="1" si="165"/>
        <v>7</v>
      </c>
      <c r="H285" s="73" t="str">
        <f t="shared" ca="1" si="166"/>
        <v>—</v>
      </c>
      <c r="I285" s="15">
        <f t="shared" ca="1" si="167"/>
        <v>7</v>
      </c>
      <c r="J285" s="73" t="str">
        <f t="shared" ca="1" si="168"/>
        <v>—</v>
      </c>
      <c r="K285" s="15">
        <f t="shared" ca="1" si="169"/>
        <v>7</v>
      </c>
      <c r="L285" s="16">
        <f t="shared" ca="1" si="170"/>
        <v>760</v>
      </c>
      <c r="M285" s="15">
        <f t="shared" ca="1" si="171"/>
        <v>0</v>
      </c>
      <c r="N285" s="16" t="str">
        <f t="shared" ca="1" si="172"/>
        <v>—</v>
      </c>
      <c r="O285" s="15">
        <f t="shared" ca="1" si="173"/>
        <v>7</v>
      </c>
      <c r="P285" s="16" t="str">
        <f t="shared" ca="1" si="174"/>
        <v>—</v>
      </c>
      <c r="Q285" s="15">
        <f t="shared" ca="1" si="175"/>
        <v>7</v>
      </c>
      <c r="R285" s="16" t="str">
        <f t="shared" ca="1" si="176"/>
        <v>—</v>
      </c>
      <c r="S285" s="15">
        <f t="shared" ca="1" si="177"/>
        <v>7</v>
      </c>
      <c r="T285" s="9" t="str">
        <f t="shared" ca="1" si="178"/>
        <v>—</v>
      </c>
      <c r="U285" s="15">
        <f t="shared" ca="1" si="179"/>
        <v>7</v>
      </c>
      <c r="V285" s="16" t="str">
        <f t="shared" ca="1" si="180"/>
        <v>—</v>
      </c>
      <c r="W285" s="15">
        <f t="shared" ca="1" si="181"/>
        <v>7</v>
      </c>
      <c r="X285" s="16" t="str">
        <f t="shared" ca="1" si="182"/>
        <v>—</v>
      </c>
      <c r="Y285" s="15">
        <f t="shared" ca="1" si="183"/>
        <v>7</v>
      </c>
      <c r="Z285" s="16" t="str">
        <f t="shared" ca="1" si="184"/>
        <v>—</v>
      </c>
      <c r="AA285" s="15">
        <f t="shared" ca="1" si="185"/>
        <v>7</v>
      </c>
      <c r="AB285" s="9">
        <f t="shared" ca="1" si="186"/>
        <v>45</v>
      </c>
      <c r="AC285" s="15">
        <f t="shared" ca="1" si="187"/>
        <v>0</v>
      </c>
      <c r="AD285" s="76" t="str">
        <f t="shared" ca="1" si="188"/>
        <v>—</v>
      </c>
      <c r="AE285" s="15">
        <f t="shared" ca="1" si="189"/>
        <v>7</v>
      </c>
      <c r="AF285" s="76" t="str">
        <f t="shared" ca="1" si="190"/>
        <v>—</v>
      </c>
      <c r="AG285" s="15">
        <f t="shared" ca="1" si="191"/>
        <v>7</v>
      </c>
      <c r="AH285" s="9" t="str">
        <f t="shared" ca="1" si="192"/>
        <v>—</v>
      </c>
      <c r="AI285" s="15">
        <f t="shared" ca="1" si="193"/>
        <v>7</v>
      </c>
      <c r="AJ285" s="26" t="str">
        <f t="shared" ca="1" si="194"/>
        <v>—</v>
      </c>
      <c r="AK285" s="15">
        <f t="shared" ca="1" si="195"/>
        <v>7</v>
      </c>
      <c r="AL285" s="9" t="str">
        <f t="shared" ca="1" si="196"/>
        <v>—</v>
      </c>
      <c r="AM285" s="15">
        <f t="shared" ca="1" si="197"/>
        <v>7</v>
      </c>
      <c r="AN285" s="9" t="str">
        <f t="shared" ca="1" si="198"/>
        <v>—</v>
      </c>
      <c r="AO285" s="15">
        <f t="shared" ca="1" si="199"/>
        <v>7</v>
      </c>
    </row>
    <row r="286" spans="1:41" x14ac:dyDescent="0.25">
      <c r="A286" s="4">
        <f t="shared" si="160"/>
        <v>78989</v>
      </c>
      <c r="B286" t="str">
        <f ca="1">TEXT(DATE(YEAR(Invoer!$A$5),1,1)+ROWS(B$2:B286)-1,"jjjjmmdd")</f>
        <v>19131012</v>
      </c>
      <c r="C286" s="72">
        <f t="shared" si="161"/>
        <v>800</v>
      </c>
      <c r="D286" s="16" t="str">
        <f t="shared" ca="1" si="162"/>
        <v>—</v>
      </c>
      <c r="E286" s="15">
        <f t="shared" ca="1" si="163"/>
        <v>7</v>
      </c>
      <c r="F286" s="73" t="str">
        <f t="shared" ca="1" si="164"/>
        <v>—</v>
      </c>
      <c r="G286" s="15">
        <f t="shared" ca="1" si="165"/>
        <v>7</v>
      </c>
      <c r="H286" s="73" t="str">
        <f t="shared" ca="1" si="166"/>
        <v>—</v>
      </c>
      <c r="I286" s="15">
        <f t="shared" ca="1" si="167"/>
        <v>7</v>
      </c>
      <c r="J286" s="73" t="str">
        <f t="shared" ca="1" si="168"/>
        <v>—</v>
      </c>
      <c r="K286" s="15">
        <f t="shared" ca="1" si="169"/>
        <v>7</v>
      </c>
      <c r="L286" s="16">
        <f t="shared" ca="1" si="170"/>
        <v>759</v>
      </c>
      <c r="M286" s="15">
        <f t="shared" ca="1" si="171"/>
        <v>0</v>
      </c>
      <c r="N286" s="16" t="str">
        <f t="shared" ca="1" si="172"/>
        <v>—</v>
      </c>
      <c r="O286" s="15">
        <f t="shared" ca="1" si="173"/>
        <v>7</v>
      </c>
      <c r="P286" s="16" t="str">
        <f t="shared" ca="1" si="174"/>
        <v>—</v>
      </c>
      <c r="Q286" s="15">
        <f t="shared" ca="1" si="175"/>
        <v>7</v>
      </c>
      <c r="R286" s="16" t="str">
        <f t="shared" ca="1" si="176"/>
        <v>—</v>
      </c>
      <c r="S286" s="15">
        <f t="shared" ca="1" si="177"/>
        <v>7</v>
      </c>
      <c r="T286" s="9" t="str">
        <f t="shared" ca="1" si="178"/>
        <v>—</v>
      </c>
      <c r="U286" s="15">
        <f t="shared" ca="1" si="179"/>
        <v>7</v>
      </c>
      <c r="V286" s="16" t="str">
        <f t="shared" ca="1" si="180"/>
        <v>—</v>
      </c>
      <c r="W286" s="15">
        <f t="shared" ca="1" si="181"/>
        <v>7</v>
      </c>
      <c r="X286" s="16" t="str">
        <f t="shared" ca="1" si="182"/>
        <v>—</v>
      </c>
      <c r="Y286" s="15">
        <f t="shared" ca="1" si="183"/>
        <v>7</v>
      </c>
      <c r="Z286" s="16" t="str">
        <f t="shared" ca="1" si="184"/>
        <v>—</v>
      </c>
      <c r="AA286" s="15">
        <f t="shared" ca="1" si="185"/>
        <v>7</v>
      </c>
      <c r="AB286" s="9">
        <f t="shared" ca="1" si="186"/>
        <v>90</v>
      </c>
      <c r="AC286" s="15">
        <f t="shared" ca="1" si="187"/>
        <v>0</v>
      </c>
      <c r="AD286" s="76" t="str">
        <f t="shared" ca="1" si="188"/>
        <v>—</v>
      </c>
      <c r="AE286" s="15">
        <f t="shared" ca="1" si="189"/>
        <v>7</v>
      </c>
      <c r="AF286" s="76" t="str">
        <f t="shared" ca="1" si="190"/>
        <v>—</v>
      </c>
      <c r="AG286" s="15">
        <f t="shared" ca="1" si="191"/>
        <v>7</v>
      </c>
      <c r="AH286" s="9" t="str">
        <f t="shared" ca="1" si="192"/>
        <v>—</v>
      </c>
      <c r="AI286" s="15">
        <f t="shared" ca="1" si="193"/>
        <v>7</v>
      </c>
      <c r="AJ286" s="26" t="str">
        <f t="shared" ca="1" si="194"/>
        <v>—</v>
      </c>
      <c r="AK286" s="15">
        <f t="shared" ca="1" si="195"/>
        <v>7</v>
      </c>
      <c r="AL286" s="9" t="str">
        <f t="shared" ca="1" si="196"/>
        <v>—</v>
      </c>
      <c r="AM286" s="15">
        <f t="shared" ca="1" si="197"/>
        <v>7</v>
      </c>
      <c r="AN286" s="9" t="str">
        <f t="shared" ca="1" si="198"/>
        <v>—</v>
      </c>
      <c r="AO286" s="15">
        <f t="shared" ca="1" si="199"/>
        <v>7</v>
      </c>
    </row>
    <row r="287" spans="1:41" x14ac:dyDescent="0.25">
      <c r="A287" s="4">
        <f t="shared" si="160"/>
        <v>78989</v>
      </c>
      <c r="B287" t="str">
        <f ca="1">TEXT(DATE(YEAR(Invoer!$A$5),1,1)+ROWS(B$2:B287)-1,"jjjjmmdd")</f>
        <v>19131013</v>
      </c>
      <c r="C287" s="72">
        <f t="shared" si="161"/>
        <v>800</v>
      </c>
      <c r="D287" s="16" t="str">
        <f t="shared" ca="1" si="162"/>
        <v>—</v>
      </c>
      <c r="E287" s="15">
        <f t="shared" ca="1" si="163"/>
        <v>7</v>
      </c>
      <c r="F287" s="73" t="str">
        <f t="shared" ca="1" si="164"/>
        <v>—</v>
      </c>
      <c r="G287" s="15">
        <f t="shared" ca="1" si="165"/>
        <v>7</v>
      </c>
      <c r="H287" s="73" t="str">
        <f t="shared" ca="1" si="166"/>
        <v>—</v>
      </c>
      <c r="I287" s="15">
        <f t="shared" ca="1" si="167"/>
        <v>7</v>
      </c>
      <c r="J287" s="73" t="str">
        <f t="shared" ca="1" si="168"/>
        <v>—</v>
      </c>
      <c r="K287" s="15">
        <f t="shared" ca="1" si="169"/>
        <v>7</v>
      </c>
      <c r="L287" s="16">
        <f t="shared" ca="1" si="170"/>
        <v>759</v>
      </c>
      <c r="M287" s="15">
        <f t="shared" ca="1" si="171"/>
        <v>0</v>
      </c>
      <c r="N287" s="16" t="str">
        <f t="shared" ca="1" si="172"/>
        <v>—</v>
      </c>
      <c r="O287" s="15">
        <f t="shared" ca="1" si="173"/>
        <v>7</v>
      </c>
      <c r="P287" s="16" t="str">
        <f t="shared" ca="1" si="174"/>
        <v>—</v>
      </c>
      <c r="Q287" s="15">
        <f t="shared" ca="1" si="175"/>
        <v>7</v>
      </c>
      <c r="R287" s="16" t="str">
        <f t="shared" ca="1" si="176"/>
        <v>—</v>
      </c>
      <c r="S287" s="15">
        <f t="shared" ca="1" si="177"/>
        <v>7</v>
      </c>
      <c r="T287" s="9" t="str">
        <f t="shared" ca="1" si="178"/>
        <v>—</v>
      </c>
      <c r="U287" s="15">
        <f t="shared" ca="1" si="179"/>
        <v>7</v>
      </c>
      <c r="V287" s="16" t="str">
        <f t="shared" ca="1" si="180"/>
        <v>—</v>
      </c>
      <c r="W287" s="15">
        <f t="shared" ca="1" si="181"/>
        <v>7</v>
      </c>
      <c r="X287" s="16" t="str">
        <f t="shared" ca="1" si="182"/>
        <v>—</v>
      </c>
      <c r="Y287" s="15">
        <f t="shared" ca="1" si="183"/>
        <v>7</v>
      </c>
      <c r="Z287" s="16" t="str">
        <f t="shared" ca="1" si="184"/>
        <v>—</v>
      </c>
      <c r="AA287" s="15">
        <f t="shared" ca="1" si="185"/>
        <v>7</v>
      </c>
      <c r="AB287" s="9">
        <f t="shared" ca="1" si="186"/>
        <v>90</v>
      </c>
      <c r="AC287" s="15">
        <f t="shared" ca="1" si="187"/>
        <v>0</v>
      </c>
      <c r="AD287" s="76" t="str">
        <f t="shared" ca="1" si="188"/>
        <v>—</v>
      </c>
      <c r="AE287" s="15">
        <f t="shared" ca="1" si="189"/>
        <v>7</v>
      </c>
      <c r="AF287" s="76" t="str">
        <f t="shared" ca="1" si="190"/>
        <v>—</v>
      </c>
      <c r="AG287" s="15">
        <f t="shared" ca="1" si="191"/>
        <v>7</v>
      </c>
      <c r="AH287" s="9" t="str">
        <f t="shared" ca="1" si="192"/>
        <v>—</v>
      </c>
      <c r="AI287" s="15">
        <f t="shared" ca="1" si="193"/>
        <v>7</v>
      </c>
      <c r="AJ287" s="26" t="str">
        <f t="shared" ca="1" si="194"/>
        <v>—</v>
      </c>
      <c r="AK287" s="15">
        <f t="shared" ca="1" si="195"/>
        <v>7</v>
      </c>
      <c r="AL287" s="9" t="str">
        <f t="shared" ca="1" si="196"/>
        <v>—</v>
      </c>
      <c r="AM287" s="15">
        <f t="shared" ca="1" si="197"/>
        <v>7</v>
      </c>
      <c r="AN287" s="9" t="str">
        <f t="shared" ca="1" si="198"/>
        <v>—</v>
      </c>
      <c r="AO287" s="15">
        <f t="shared" ca="1" si="199"/>
        <v>7</v>
      </c>
    </row>
    <row r="288" spans="1:41" x14ac:dyDescent="0.25">
      <c r="A288" s="4">
        <f t="shared" si="160"/>
        <v>78989</v>
      </c>
      <c r="B288" t="str">
        <f ca="1">TEXT(DATE(YEAR(Invoer!$A$5),1,1)+ROWS(B$2:B288)-1,"jjjjmmdd")</f>
        <v>19131014</v>
      </c>
      <c r="C288" s="72">
        <f t="shared" si="161"/>
        <v>800</v>
      </c>
      <c r="D288" s="16" t="str">
        <f t="shared" ca="1" si="162"/>
        <v>—</v>
      </c>
      <c r="E288" s="15">
        <f t="shared" ca="1" si="163"/>
        <v>7</v>
      </c>
      <c r="F288" s="73" t="str">
        <f t="shared" ca="1" si="164"/>
        <v>—</v>
      </c>
      <c r="G288" s="15">
        <f t="shared" ca="1" si="165"/>
        <v>7</v>
      </c>
      <c r="H288" s="73" t="str">
        <f t="shared" ca="1" si="166"/>
        <v>—</v>
      </c>
      <c r="I288" s="15">
        <f t="shared" ca="1" si="167"/>
        <v>7</v>
      </c>
      <c r="J288" s="73" t="str">
        <f t="shared" ca="1" si="168"/>
        <v>—</v>
      </c>
      <c r="K288" s="15">
        <f t="shared" ca="1" si="169"/>
        <v>7</v>
      </c>
      <c r="L288" s="16">
        <f t="shared" ca="1" si="170"/>
        <v>759.5</v>
      </c>
      <c r="M288" s="15">
        <f t="shared" ca="1" si="171"/>
        <v>0</v>
      </c>
      <c r="N288" s="16" t="str">
        <f t="shared" ca="1" si="172"/>
        <v>—</v>
      </c>
      <c r="O288" s="15">
        <f t="shared" ca="1" si="173"/>
        <v>7</v>
      </c>
      <c r="P288" s="16" t="str">
        <f t="shared" ca="1" si="174"/>
        <v>—</v>
      </c>
      <c r="Q288" s="15">
        <f t="shared" ca="1" si="175"/>
        <v>7</v>
      </c>
      <c r="R288" s="16" t="str">
        <f t="shared" ca="1" si="176"/>
        <v>—</v>
      </c>
      <c r="S288" s="15">
        <f t="shared" ca="1" si="177"/>
        <v>7</v>
      </c>
      <c r="T288" s="9" t="str">
        <f t="shared" ca="1" si="178"/>
        <v>—</v>
      </c>
      <c r="U288" s="15">
        <f t="shared" ca="1" si="179"/>
        <v>7</v>
      </c>
      <c r="V288" s="16" t="str">
        <f t="shared" ca="1" si="180"/>
        <v>—</v>
      </c>
      <c r="W288" s="15">
        <f t="shared" ca="1" si="181"/>
        <v>7</v>
      </c>
      <c r="X288" s="16" t="str">
        <f t="shared" ca="1" si="182"/>
        <v>—</v>
      </c>
      <c r="Y288" s="15">
        <f t="shared" ca="1" si="183"/>
        <v>7</v>
      </c>
      <c r="Z288" s="16" t="str">
        <f t="shared" ca="1" si="184"/>
        <v>—</v>
      </c>
      <c r="AA288" s="15">
        <f t="shared" ca="1" si="185"/>
        <v>7</v>
      </c>
      <c r="AB288" s="9">
        <f t="shared" ca="1" si="186"/>
        <v>45</v>
      </c>
      <c r="AC288" s="15">
        <f t="shared" ca="1" si="187"/>
        <v>0</v>
      </c>
      <c r="AD288" s="76" t="str">
        <f t="shared" ca="1" si="188"/>
        <v>—</v>
      </c>
      <c r="AE288" s="15">
        <f t="shared" ca="1" si="189"/>
        <v>7</v>
      </c>
      <c r="AF288" s="76" t="str">
        <f t="shared" ca="1" si="190"/>
        <v>—</v>
      </c>
      <c r="AG288" s="15">
        <f t="shared" ca="1" si="191"/>
        <v>7</v>
      </c>
      <c r="AH288" s="9" t="str">
        <f t="shared" ca="1" si="192"/>
        <v>—</v>
      </c>
      <c r="AI288" s="15">
        <f t="shared" ca="1" si="193"/>
        <v>7</v>
      </c>
      <c r="AJ288" s="26" t="str">
        <f t="shared" ca="1" si="194"/>
        <v>—</v>
      </c>
      <c r="AK288" s="15">
        <f t="shared" ca="1" si="195"/>
        <v>7</v>
      </c>
      <c r="AL288" s="9" t="str">
        <f t="shared" ca="1" si="196"/>
        <v>—</v>
      </c>
      <c r="AM288" s="15">
        <f t="shared" ca="1" si="197"/>
        <v>7</v>
      </c>
      <c r="AN288" s="9" t="str">
        <f t="shared" ca="1" si="198"/>
        <v>—</v>
      </c>
      <c r="AO288" s="15">
        <f t="shared" ca="1" si="199"/>
        <v>7</v>
      </c>
    </row>
    <row r="289" spans="1:41" x14ac:dyDescent="0.25">
      <c r="A289" s="4">
        <f t="shared" si="160"/>
        <v>78989</v>
      </c>
      <c r="B289" t="str">
        <f ca="1">TEXT(DATE(YEAR(Invoer!$A$5),1,1)+ROWS(B$2:B289)-1,"jjjjmmdd")</f>
        <v>19131015</v>
      </c>
      <c r="C289" s="72">
        <f t="shared" si="161"/>
        <v>800</v>
      </c>
      <c r="D289" s="16" t="str">
        <f t="shared" ca="1" si="162"/>
        <v>—</v>
      </c>
      <c r="E289" s="15">
        <f t="shared" ca="1" si="163"/>
        <v>7</v>
      </c>
      <c r="F289" s="73" t="str">
        <f t="shared" ca="1" si="164"/>
        <v>—</v>
      </c>
      <c r="G289" s="15">
        <f t="shared" ca="1" si="165"/>
        <v>7</v>
      </c>
      <c r="H289" s="73" t="str">
        <f t="shared" ca="1" si="166"/>
        <v>—</v>
      </c>
      <c r="I289" s="15">
        <f t="shared" ca="1" si="167"/>
        <v>7</v>
      </c>
      <c r="J289" s="73" t="str">
        <f t="shared" ca="1" si="168"/>
        <v>—</v>
      </c>
      <c r="K289" s="15">
        <f t="shared" ca="1" si="169"/>
        <v>7</v>
      </c>
      <c r="L289" s="16">
        <f t="shared" ca="1" si="170"/>
        <v>760</v>
      </c>
      <c r="M289" s="15">
        <f t="shared" ca="1" si="171"/>
        <v>0</v>
      </c>
      <c r="N289" s="16" t="str">
        <f t="shared" ca="1" si="172"/>
        <v>—</v>
      </c>
      <c r="O289" s="15">
        <f t="shared" ca="1" si="173"/>
        <v>7</v>
      </c>
      <c r="P289" s="16" t="str">
        <f t="shared" ca="1" si="174"/>
        <v>—</v>
      </c>
      <c r="Q289" s="15">
        <f t="shared" ca="1" si="175"/>
        <v>7</v>
      </c>
      <c r="R289" s="16" t="str">
        <f t="shared" ca="1" si="176"/>
        <v>—</v>
      </c>
      <c r="S289" s="15">
        <f t="shared" ca="1" si="177"/>
        <v>7</v>
      </c>
      <c r="T289" s="9" t="str">
        <f t="shared" ca="1" si="178"/>
        <v>—</v>
      </c>
      <c r="U289" s="15">
        <f t="shared" ca="1" si="179"/>
        <v>7</v>
      </c>
      <c r="V289" s="16" t="str">
        <f t="shared" ca="1" si="180"/>
        <v>—</v>
      </c>
      <c r="W289" s="15">
        <f t="shared" ca="1" si="181"/>
        <v>7</v>
      </c>
      <c r="X289" s="16" t="str">
        <f t="shared" ca="1" si="182"/>
        <v>—</v>
      </c>
      <c r="Y289" s="15">
        <f t="shared" ca="1" si="183"/>
        <v>7</v>
      </c>
      <c r="Z289" s="16" t="str">
        <f t="shared" ca="1" si="184"/>
        <v>—</v>
      </c>
      <c r="AA289" s="15">
        <f t="shared" ca="1" si="185"/>
        <v>7</v>
      </c>
      <c r="AB289" s="9">
        <f t="shared" ca="1" si="186"/>
        <v>45</v>
      </c>
      <c r="AC289" s="15">
        <f t="shared" ca="1" si="187"/>
        <v>0</v>
      </c>
      <c r="AD289" s="76" t="str">
        <f t="shared" ca="1" si="188"/>
        <v>—</v>
      </c>
      <c r="AE289" s="15">
        <f t="shared" ca="1" si="189"/>
        <v>7</v>
      </c>
      <c r="AF289" s="76" t="str">
        <f t="shared" ca="1" si="190"/>
        <v>—</v>
      </c>
      <c r="AG289" s="15">
        <f t="shared" ca="1" si="191"/>
        <v>7</v>
      </c>
      <c r="AH289" s="9" t="str">
        <f t="shared" ca="1" si="192"/>
        <v>—</v>
      </c>
      <c r="AI289" s="15">
        <f t="shared" ca="1" si="193"/>
        <v>7</v>
      </c>
      <c r="AJ289" s="26" t="str">
        <f t="shared" ca="1" si="194"/>
        <v>—</v>
      </c>
      <c r="AK289" s="15">
        <f t="shared" ca="1" si="195"/>
        <v>7</v>
      </c>
      <c r="AL289" s="9" t="str">
        <f t="shared" ca="1" si="196"/>
        <v>—</v>
      </c>
      <c r="AM289" s="15">
        <f t="shared" ca="1" si="197"/>
        <v>7</v>
      </c>
      <c r="AN289" s="9" t="str">
        <f t="shared" ca="1" si="198"/>
        <v>—</v>
      </c>
      <c r="AO289" s="15">
        <f t="shared" ca="1" si="199"/>
        <v>7</v>
      </c>
    </row>
    <row r="290" spans="1:41" x14ac:dyDescent="0.25">
      <c r="A290" s="4">
        <f t="shared" si="160"/>
        <v>78989</v>
      </c>
      <c r="B290" t="str">
        <f ca="1">TEXT(DATE(YEAR(Invoer!$A$5),1,1)+ROWS(B$2:B290)-1,"jjjjmmdd")</f>
        <v>19131016</v>
      </c>
      <c r="C290" s="72">
        <f t="shared" si="161"/>
        <v>800</v>
      </c>
      <c r="D290" s="16" t="str">
        <f t="shared" ca="1" si="162"/>
        <v>—</v>
      </c>
      <c r="E290" s="15">
        <f t="shared" ca="1" si="163"/>
        <v>7</v>
      </c>
      <c r="F290" s="73" t="str">
        <f t="shared" ca="1" si="164"/>
        <v>—</v>
      </c>
      <c r="G290" s="15">
        <f t="shared" ca="1" si="165"/>
        <v>7</v>
      </c>
      <c r="H290" s="73" t="str">
        <f t="shared" ca="1" si="166"/>
        <v>—</v>
      </c>
      <c r="I290" s="15">
        <f t="shared" ca="1" si="167"/>
        <v>7</v>
      </c>
      <c r="J290" s="73" t="str">
        <f t="shared" ca="1" si="168"/>
        <v>—</v>
      </c>
      <c r="K290" s="15">
        <f t="shared" ca="1" si="169"/>
        <v>7</v>
      </c>
      <c r="L290" s="16" t="str">
        <f t="shared" ca="1" si="170"/>
        <v>—</v>
      </c>
      <c r="M290" s="15">
        <f t="shared" ca="1" si="171"/>
        <v>7</v>
      </c>
      <c r="N290" s="16" t="str">
        <f t="shared" ca="1" si="172"/>
        <v>—</v>
      </c>
      <c r="O290" s="15">
        <f t="shared" ca="1" si="173"/>
        <v>7</v>
      </c>
      <c r="P290" s="16" t="str">
        <f t="shared" ca="1" si="174"/>
        <v>—</v>
      </c>
      <c r="Q290" s="15">
        <f t="shared" ca="1" si="175"/>
        <v>7</v>
      </c>
      <c r="R290" s="16" t="str">
        <f t="shared" ca="1" si="176"/>
        <v>—</v>
      </c>
      <c r="S290" s="15">
        <f t="shared" ca="1" si="177"/>
        <v>7</v>
      </c>
      <c r="T290" s="9" t="str">
        <f t="shared" ca="1" si="178"/>
        <v>—</v>
      </c>
      <c r="U290" s="15">
        <f t="shared" ca="1" si="179"/>
        <v>7</v>
      </c>
      <c r="V290" s="16" t="str">
        <f t="shared" ca="1" si="180"/>
        <v>—</v>
      </c>
      <c r="W290" s="15">
        <f t="shared" ca="1" si="181"/>
        <v>7</v>
      </c>
      <c r="X290" s="16" t="str">
        <f t="shared" ca="1" si="182"/>
        <v>—</v>
      </c>
      <c r="Y290" s="15">
        <f t="shared" ca="1" si="183"/>
        <v>7</v>
      </c>
      <c r="Z290" s="16" t="str">
        <f t="shared" ca="1" si="184"/>
        <v>—</v>
      </c>
      <c r="AA290" s="15">
        <f t="shared" ca="1" si="185"/>
        <v>7</v>
      </c>
      <c r="AB290" s="9" t="str">
        <f t="shared" ca="1" si="186"/>
        <v>—</v>
      </c>
      <c r="AC290" s="15">
        <f t="shared" ca="1" si="187"/>
        <v>7</v>
      </c>
      <c r="AD290" s="76" t="str">
        <f t="shared" ca="1" si="188"/>
        <v>—</v>
      </c>
      <c r="AE290" s="15">
        <f t="shared" ca="1" si="189"/>
        <v>7</v>
      </c>
      <c r="AF290" s="76" t="str">
        <f t="shared" ca="1" si="190"/>
        <v>—</v>
      </c>
      <c r="AG290" s="15">
        <f t="shared" ca="1" si="191"/>
        <v>7</v>
      </c>
      <c r="AH290" s="9" t="str">
        <f t="shared" ca="1" si="192"/>
        <v>—</v>
      </c>
      <c r="AI290" s="15">
        <f t="shared" ca="1" si="193"/>
        <v>7</v>
      </c>
      <c r="AJ290" s="26" t="str">
        <f t="shared" ca="1" si="194"/>
        <v>—</v>
      </c>
      <c r="AK290" s="15">
        <f t="shared" ca="1" si="195"/>
        <v>7</v>
      </c>
      <c r="AL290" s="9" t="str">
        <f t="shared" ca="1" si="196"/>
        <v>—</v>
      </c>
      <c r="AM290" s="15">
        <f t="shared" ca="1" si="197"/>
        <v>7</v>
      </c>
      <c r="AN290" s="9" t="str">
        <f t="shared" ca="1" si="198"/>
        <v>—</v>
      </c>
      <c r="AO290" s="15">
        <f t="shared" ca="1" si="199"/>
        <v>7</v>
      </c>
    </row>
    <row r="291" spans="1:41" x14ac:dyDescent="0.25">
      <c r="A291" s="4">
        <f t="shared" si="160"/>
        <v>78989</v>
      </c>
      <c r="B291" t="str">
        <f ca="1">TEXT(DATE(YEAR(Invoer!$A$5),1,1)+ROWS(B$2:B291)-1,"jjjjmmdd")</f>
        <v>19131017</v>
      </c>
      <c r="C291" s="72">
        <f t="shared" si="161"/>
        <v>800</v>
      </c>
      <c r="D291" s="16" t="str">
        <f t="shared" ca="1" si="162"/>
        <v>—</v>
      </c>
      <c r="E291" s="15">
        <f t="shared" ca="1" si="163"/>
        <v>7</v>
      </c>
      <c r="F291" s="73" t="str">
        <f t="shared" ca="1" si="164"/>
        <v>—</v>
      </c>
      <c r="G291" s="15">
        <f t="shared" ca="1" si="165"/>
        <v>7</v>
      </c>
      <c r="H291" s="73" t="str">
        <f t="shared" ca="1" si="166"/>
        <v>—</v>
      </c>
      <c r="I291" s="15">
        <f t="shared" ca="1" si="167"/>
        <v>7</v>
      </c>
      <c r="J291" s="73" t="str">
        <f t="shared" ca="1" si="168"/>
        <v>—</v>
      </c>
      <c r="K291" s="15">
        <f t="shared" ca="1" si="169"/>
        <v>7</v>
      </c>
      <c r="L291" s="16" t="str">
        <f t="shared" ca="1" si="170"/>
        <v>—</v>
      </c>
      <c r="M291" s="15">
        <f t="shared" ca="1" si="171"/>
        <v>7</v>
      </c>
      <c r="N291" s="16" t="str">
        <f t="shared" ca="1" si="172"/>
        <v>—</v>
      </c>
      <c r="O291" s="15">
        <f t="shared" ca="1" si="173"/>
        <v>7</v>
      </c>
      <c r="P291" s="16" t="str">
        <f t="shared" ca="1" si="174"/>
        <v>—</v>
      </c>
      <c r="Q291" s="15">
        <f t="shared" ca="1" si="175"/>
        <v>7</v>
      </c>
      <c r="R291" s="16" t="str">
        <f t="shared" ca="1" si="176"/>
        <v>—</v>
      </c>
      <c r="S291" s="15">
        <f t="shared" ca="1" si="177"/>
        <v>7</v>
      </c>
      <c r="T291" s="9" t="str">
        <f t="shared" ca="1" si="178"/>
        <v>—</v>
      </c>
      <c r="U291" s="15">
        <f t="shared" ca="1" si="179"/>
        <v>7</v>
      </c>
      <c r="V291" s="16" t="str">
        <f t="shared" ca="1" si="180"/>
        <v>—</v>
      </c>
      <c r="W291" s="15">
        <f t="shared" ca="1" si="181"/>
        <v>7</v>
      </c>
      <c r="X291" s="16" t="str">
        <f t="shared" ca="1" si="182"/>
        <v>—</v>
      </c>
      <c r="Y291" s="15">
        <f t="shared" ca="1" si="183"/>
        <v>7</v>
      </c>
      <c r="Z291" s="16" t="str">
        <f t="shared" ca="1" si="184"/>
        <v>—</v>
      </c>
      <c r="AA291" s="15">
        <f t="shared" ca="1" si="185"/>
        <v>7</v>
      </c>
      <c r="AB291" s="9" t="str">
        <f t="shared" ca="1" si="186"/>
        <v>—</v>
      </c>
      <c r="AC291" s="15">
        <f t="shared" ca="1" si="187"/>
        <v>7</v>
      </c>
      <c r="AD291" s="76" t="str">
        <f t="shared" ca="1" si="188"/>
        <v>—</v>
      </c>
      <c r="AE291" s="15">
        <f t="shared" ca="1" si="189"/>
        <v>7</v>
      </c>
      <c r="AF291" s="76" t="str">
        <f t="shared" ca="1" si="190"/>
        <v>—</v>
      </c>
      <c r="AG291" s="15">
        <f t="shared" ca="1" si="191"/>
        <v>7</v>
      </c>
      <c r="AH291" s="9" t="str">
        <f t="shared" ca="1" si="192"/>
        <v>—</v>
      </c>
      <c r="AI291" s="15">
        <f t="shared" ca="1" si="193"/>
        <v>7</v>
      </c>
      <c r="AJ291" s="26" t="str">
        <f t="shared" ca="1" si="194"/>
        <v>—</v>
      </c>
      <c r="AK291" s="15">
        <f t="shared" ca="1" si="195"/>
        <v>7</v>
      </c>
      <c r="AL291" s="9" t="str">
        <f t="shared" ca="1" si="196"/>
        <v>—</v>
      </c>
      <c r="AM291" s="15">
        <f t="shared" ca="1" si="197"/>
        <v>7</v>
      </c>
      <c r="AN291" s="9" t="str">
        <f t="shared" ca="1" si="198"/>
        <v>—</v>
      </c>
      <c r="AO291" s="15">
        <f t="shared" ca="1" si="199"/>
        <v>7</v>
      </c>
    </row>
    <row r="292" spans="1:41" x14ac:dyDescent="0.25">
      <c r="A292" s="4">
        <f t="shared" si="160"/>
        <v>78989</v>
      </c>
      <c r="B292" t="str">
        <f ca="1">TEXT(DATE(YEAR(Invoer!$A$5),1,1)+ROWS(B$2:B292)-1,"jjjjmmdd")</f>
        <v>19131018</v>
      </c>
      <c r="C292" s="72">
        <f t="shared" si="161"/>
        <v>800</v>
      </c>
      <c r="D292" s="16" t="str">
        <f t="shared" ca="1" si="162"/>
        <v>—</v>
      </c>
      <c r="E292" s="15">
        <f t="shared" ca="1" si="163"/>
        <v>7</v>
      </c>
      <c r="F292" s="73" t="str">
        <f t="shared" ca="1" si="164"/>
        <v>—</v>
      </c>
      <c r="G292" s="15">
        <f t="shared" ca="1" si="165"/>
        <v>7</v>
      </c>
      <c r="H292" s="73" t="str">
        <f t="shared" ca="1" si="166"/>
        <v>—</v>
      </c>
      <c r="I292" s="15">
        <f t="shared" ca="1" si="167"/>
        <v>7</v>
      </c>
      <c r="J292" s="73" t="str">
        <f t="shared" ca="1" si="168"/>
        <v>—</v>
      </c>
      <c r="K292" s="15">
        <f t="shared" ca="1" si="169"/>
        <v>7</v>
      </c>
      <c r="L292" s="16" t="str">
        <f t="shared" ca="1" si="170"/>
        <v>—</v>
      </c>
      <c r="M292" s="15">
        <f t="shared" ca="1" si="171"/>
        <v>7</v>
      </c>
      <c r="N292" s="16" t="str">
        <f t="shared" ca="1" si="172"/>
        <v>—</v>
      </c>
      <c r="O292" s="15">
        <f t="shared" ca="1" si="173"/>
        <v>7</v>
      </c>
      <c r="P292" s="16" t="str">
        <f t="shared" ca="1" si="174"/>
        <v>—</v>
      </c>
      <c r="Q292" s="15">
        <f t="shared" ca="1" si="175"/>
        <v>7</v>
      </c>
      <c r="R292" s="16" t="str">
        <f t="shared" ca="1" si="176"/>
        <v>—</v>
      </c>
      <c r="S292" s="15">
        <f t="shared" ca="1" si="177"/>
        <v>7</v>
      </c>
      <c r="T292" s="9" t="str">
        <f t="shared" ca="1" si="178"/>
        <v>—</v>
      </c>
      <c r="U292" s="15">
        <f t="shared" ca="1" si="179"/>
        <v>7</v>
      </c>
      <c r="V292" s="16" t="str">
        <f t="shared" ca="1" si="180"/>
        <v>—</v>
      </c>
      <c r="W292" s="15">
        <f t="shared" ca="1" si="181"/>
        <v>7</v>
      </c>
      <c r="X292" s="16" t="str">
        <f t="shared" ca="1" si="182"/>
        <v>—</v>
      </c>
      <c r="Y292" s="15">
        <f t="shared" ca="1" si="183"/>
        <v>7</v>
      </c>
      <c r="Z292" s="16" t="str">
        <f t="shared" ca="1" si="184"/>
        <v>—</v>
      </c>
      <c r="AA292" s="15">
        <f t="shared" ca="1" si="185"/>
        <v>7</v>
      </c>
      <c r="AB292" s="9" t="str">
        <f t="shared" ca="1" si="186"/>
        <v>—</v>
      </c>
      <c r="AC292" s="15">
        <f t="shared" ca="1" si="187"/>
        <v>7</v>
      </c>
      <c r="AD292" s="76" t="str">
        <f t="shared" ca="1" si="188"/>
        <v>—</v>
      </c>
      <c r="AE292" s="15">
        <f t="shared" ca="1" si="189"/>
        <v>7</v>
      </c>
      <c r="AF292" s="76" t="str">
        <f t="shared" ca="1" si="190"/>
        <v>—</v>
      </c>
      <c r="AG292" s="15">
        <f t="shared" ca="1" si="191"/>
        <v>7</v>
      </c>
      <c r="AH292" s="9" t="str">
        <f t="shared" ca="1" si="192"/>
        <v>—</v>
      </c>
      <c r="AI292" s="15">
        <f t="shared" ca="1" si="193"/>
        <v>7</v>
      </c>
      <c r="AJ292" s="26" t="str">
        <f t="shared" ca="1" si="194"/>
        <v>—</v>
      </c>
      <c r="AK292" s="15">
        <f t="shared" ca="1" si="195"/>
        <v>7</v>
      </c>
      <c r="AL292" s="9" t="str">
        <f t="shared" ca="1" si="196"/>
        <v>—</v>
      </c>
      <c r="AM292" s="15">
        <f t="shared" ca="1" si="197"/>
        <v>7</v>
      </c>
      <c r="AN292" s="9" t="str">
        <f t="shared" ca="1" si="198"/>
        <v>—</v>
      </c>
      <c r="AO292" s="15">
        <f t="shared" ca="1" si="199"/>
        <v>7</v>
      </c>
    </row>
    <row r="293" spans="1:41" x14ac:dyDescent="0.25">
      <c r="A293" s="4">
        <f t="shared" si="160"/>
        <v>78989</v>
      </c>
      <c r="B293" t="str">
        <f ca="1">TEXT(DATE(YEAR(Invoer!$A$5),1,1)+ROWS(B$2:B293)-1,"jjjjmmdd")</f>
        <v>19131019</v>
      </c>
      <c r="C293" s="72">
        <f t="shared" si="161"/>
        <v>800</v>
      </c>
      <c r="D293" s="16" t="str">
        <f t="shared" ca="1" si="162"/>
        <v>—</v>
      </c>
      <c r="E293" s="15">
        <f t="shared" ca="1" si="163"/>
        <v>7</v>
      </c>
      <c r="F293" s="73" t="str">
        <f t="shared" ca="1" si="164"/>
        <v>—</v>
      </c>
      <c r="G293" s="15">
        <f t="shared" ca="1" si="165"/>
        <v>7</v>
      </c>
      <c r="H293" s="73" t="str">
        <f t="shared" ca="1" si="166"/>
        <v>—</v>
      </c>
      <c r="I293" s="15">
        <f t="shared" ca="1" si="167"/>
        <v>7</v>
      </c>
      <c r="J293" s="73" t="str">
        <f t="shared" ca="1" si="168"/>
        <v>—</v>
      </c>
      <c r="K293" s="15">
        <f t="shared" ca="1" si="169"/>
        <v>7</v>
      </c>
      <c r="L293" s="16" t="str">
        <f t="shared" ca="1" si="170"/>
        <v>—</v>
      </c>
      <c r="M293" s="15">
        <f t="shared" ca="1" si="171"/>
        <v>7</v>
      </c>
      <c r="N293" s="16" t="str">
        <f t="shared" ca="1" si="172"/>
        <v>—</v>
      </c>
      <c r="O293" s="15">
        <f t="shared" ca="1" si="173"/>
        <v>7</v>
      </c>
      <c r="P293" s="16" t="str">
        <f t="shared" ca="1" si="174"/>
        <v>—</v>
      </c>
      <c r="Q293" s="15">
        <f t="shared" ca="1" si="175"/>
        <v>7</v>
      </c>
      <c r="R293" s="16" t="str">
        <f t="shared" ca="1" si="176"/>
        <v>—</v>
      </c>
      <c r="S293" s="15">
        <f t="shared" ca="1" si="177"/>
        <v>7</v>
      </c>
      <c r="T293" s="9" t="str">
        <f t="shared" ca="1" si="178"/>
        <v>—</v>
      </c>
      <c r="U293" s="15">
        <f t="shared" ca="1" si="179"/>
        <v>7</v>
      </c>
      <c r="V293" s="16" t="str">
        <f t="shared" ca="1" si="180"/>
        <v>—</v>
      </c>
      <c r="W293" s="15">
        <f t="shared" ca="1" si="181"/>
        <v>7</v>
      </c>
      <c r="X293" s="16" t="str">
        <f t="shared" ca="1" si="182"/>
        <v>—</v>
      </c>
      <c r="Y293" s="15">
        <f t="shared" ca="1" si="183"/>
        <v>7</v>
      </c>
      <c r="Z293" s="16" t="str">
        <f t="shared" ca="1" si="184"/>
        <v>—</v>
      </c>
      <c r="AA293" s="15">
        <f t="shared" ca="1" si="185"/>
        <v>7</v>
      </c>
      <c r="AB293" s="9" t="str">
        <f t="shared" ca="1" si="186"/>
        <v>—</v>
      </c>
      <c r="AC293" s="15">
        <f t="shared" ca="1" si="187"/>
        <v>7</v>
      </c>
      <c r="AD293" s="76" t="str">
        <f t="shared" ca="1" si="188"/>
        <v>—</v>
      </c>
      <c r="AE293" s="15">
        <f t="shared" ca="1" si="189"/>
        <v>7</v>
      </c>
      <c r="AF293" s="76" t="str">
        <f t="shared" ca="1" si="190"/>
        <v>—</v>
      </c>
      <c r="AG293" s="15">
        <f t="shared" ca="1" si="191"/>
        <v>7</v>
      </c>
      <c r="AH293" s="9" t="str">
        <f t="shared" ca="1" si="192"/>
        <v>—</v>
      </c>
      <c r="AI293" s="15">
        <f t="shared" ca="1" si="193"/>
        <v>7</v>
      </c>
      <c r="AJ293" s="26" t="str">
        <f t="shared" ca="1" si="194"/>
        <v>—</v>
      </c>
      <c r="AK293" s="15">
        <f t="shared" ca="1" si="195"/>
        <v>7</v>
      </c>
      <c r="AL293" s="9" t="str">
        <f t="shared" ca="1" si="196"/>
        <v>—</v>
      </c>
      <c r="AM293" s="15">
        <f t="shared" ca="1" si="197"/>
        <v>7</v>
      </c>
      <c r="AN293" s="9" t="str">
        <f t="shared" ca="1" si="198"/>
        <v>—</v>
      </c>
      <c r="AO293" s="15">
        <f t="shared" ca="1" si="199"/>
        <v>7</v>
      </c>
    </row>
    <row r="294" spans="1:41" x14ac:dyDescent="0.25">
      <c r="A294" s="4">
        <f t="shared" si="160"/>
        <v>78989</v>
      </c>
      <c r="B294" t="str">
        <f ca="1">TEXT(DATE(YEAR(Invoer!$A$5),1,1)+ROWS(B$2:B294)-1,"jjjjmmdd")</f>
        <v>19131020</v>
      </c>
      <c r="C294" s="72">
        <f t="shared" si="161"/>
        <v>800</v>
      </c>
      <c r="D294" s="16" t="str">
        <f t="shared" ca="1" si="162"/>
        <v>—</v>
      </c>
      <c r="E294" s="15">
        <f t="shared" ca="1" si="163"/>
        <v>7</v>
      </c>
      <c r="F294" s="73" t="str">
        <f t="shared" ca="1" si="164"/>
        <v>—</v>
      </c>
      <c r="G294" s="15">
        <f t="shared" ca="1" si="165"/>
        <v>7</v>
      </c>
      <c r="H294" s="73" t="str">
        <f t="shared" ca="1" si="166"/>
        <v>—</v>
      </c>
      <c r="I294" s="15">
        <f t="shared" ca="1" si="167"/>
        <v>7</v>
      </c>
      <c r="J294" s="73" t="str">
        <f t="shared" ca="1" si="168"/>
        <v>—</v>
      </c>
      <c r="K294" s="15">
        <f t="shared" ca="1" si="169"/>
        <v>7</v>
      </c>
      <c r="L294" s="16" t="str">
        <f t="shared" ca="1" si="170"/>
        <v>—</v>
      </c>
      <c r="M294" s="15">
        <f t="shared" ca="1" si="171"/>
        <v>7</v>
      </c>
      <c r="N294" s="16" t="str">
        <f t="shared" ca="1" si="172"/>
        <v>—</v>
      </c>
      <c r="O294" s="15">
        <f t="shared" ca="1" si="173"/>
        <v>7</v>
      </c>
      <c r="P294" s="16" t="str">
        <f t="shared" ca="1" si="174"/>
        <v>—</v>
      </c>
      <c r="Q294" s="15">
        <f t="shared" ca="1" si="175"/>
        <v>7</v>
      </c>
      <c r="R294" s="16" t="str">
        <f t="shared" ca="1" si="176"/>
        <v>—</v>
      </c>
      <c r="S294" s="15">
        <f t="shared" ca="1" si="177"/>
        <v>7</v>
      </c>
      <c r="T294" s="9" t="str">
        <f t="shared" ca="1" si="178"/>
        <v>—</v>
      </c>
      <c r="U294" s="15">
        <f t="shared" ca="1" si="179"/>
        <v>7</v>
      </c>
      <c r="V294" s="16" t="str">
        <f t="shared" ca="1" si="180"/>
        <v>—</v>
      </c>
      <c r="W294" s="15">
        <f t="shared" ca="1" si="181"/>
        <v>7</v>
      </c>
      <c r="X294" s="16" t="str">
        <f t="shared" ca="1" si="182"/>
        <v>—</v>
      </c>
      <c r="Y294" s="15">
        <f t="shared" ca="1" si="183"/>
        <v>7</v>
      </c>
      <c r="Z294" s="16" t="str">
        <f t="shared" ca="1" si="184"/>
        <v>—</v>
      </c>
      <c r="AA294" s="15">
        <f t="shared" ca="1" si="185"/>
        <v>7</v>
      </c>
      <c r="AB294" s="9" t="str">
        <f t="shared" ca="1" si="186"/>
        <v>—</v>
      </c>
      <c r="AC294" s="15">
        <f t="shared" ca="1" si="187"/>
        <v>7</v>
      </c>
      <c r="AD294" s="76" t="str">
        <f t="shared" ca="1" si="188"/>
        <v>—</v>
      </c>
      <c r="AE294" s="15">
        <f t="shared" ca="1" si="189"/>
        <v>7</v>
      </c>
      <c r="AF294" s="76" t="str">
        <f t="shared" ca="1" si="190"/>
        <v>—</v>
      </c>
      <c r="AG294" s="15">
        <f t="shared" ca="1" si="191"/>
        <v>7</v>
      </c>
      <c r="AH294" s="9" t="str">
        <f t="shared" ca="1" si="192"/>
        <v>—</v>
      </c>
      <c r="AI294" s="15">
        <f t="shared" ca="1" si="193"/>
        <v>7</v>
      </c>
      <c r="AJ294" s="26" t="str">
        <f t="shared" ca="1" si="194"/>
        <v>—</v>
      </c>
      <c r="AK294" s="15">
        <f t="shared" ca="1" si="195"/>
        <v>7</v>
      </c>
      <c r="AL294" s="9" t="str">
        <f t="shared" ca="1" si="196"/>
        <v>—</v>
      </c>
      <c r="AM294" s="15">
        <f t="shared" ca="1" si="197"/>
        <v>7</v>
      </c>
      <c r="AN294" s="9" t="str">
        <f t="shared" ca="1" si="198"/>
        <v>—</v>
      </c>
      <c r="AO294" s="15">
        <f t="shared" ca="1" si="199"/>
        <v>7</v>
      </c>
    </row>
    <row r="295" spans="1:41" x14ac:dyDescent="0.25">
      <c r="A295" s="4">
        <f t="shared" si="160"/>
        <v>78989</v>
      </c>
      <c r="B295" t="str">
        <f ca="1">TEXT(DATE(YEAR(Invoer!$A$5),1,1)+ROWS(B$2:B295)-1,"jjjjmmdd")</f>
        <v>19131021</v>
      </c>
      <c r="C295" s="72">
        <f t="shared" si="161"/>
        <v>800</v>
      </c>
      <c r="D295" s="16" t="str">
        <f t="shared" ca="1" si="162"/>
        <v>—</v>
      </c>
      <c r="E295" s="15">
        <f t="shared" ca="1" si="163"/>
        <v>7</v>
      </c>
      <c r="F295" s="73" t="str">
        <f t="shared" ca="1" si="164"/>
        <v>—</v>
      </c>
      <c r="G295" s="15">
        <f t="shared" ca="1" si="165"/>
        <v>7</v>
      </c>
      <c r="H295" s="73" t="str">
        <f t="shared" ca="1" si="166"/>
        <v>—</v>
      </c>
      <c r="I295" s="15">
        <f t="shared" ca="1" si="167"/>
        <v>7</v>
      </c>
      <c r="J295" s="73" t="str">
        <f t="shared" ca="1" si="168"/>
        <v>—</v>
      </c>
      <c r="K295" s="15">
        <f t="shared" ca="1" si="169"/>
        <v>7</v>
      </c>
      <c r="L295" s="16" t="str">
        <f t="shared" ca="1" si="170"/>
        <v>—</v>
      </c>
      <c r="M295" s="15">
        <f t="shared" ca="1" si="171"/>
        <v>7</v>
      </c>
      <c r="N295" s="16" t="str">
        <f t="shared" ca="1" si="172"/>
        <v>—</v>
      </c>
      <c r="O295" s="15">
        <f t="shared" ca="1" si="173"/>
        <v>7</v>
      </c>
      <c r="P295" s="16" t="str">
        <f t="shared" ca="1" si="174"/>
        <v>—</v>
      </c>
      <c r="Q295" s="15">
        <f t="shared" ca="1" si="175"/>
        <v>7</v>
      </c>
      <c r="R295" s="16" t="str">
        <f t="shared" ca="1" si="176"/>
        <v>—</v>
      </c>
      <c r="S295" s="15">
        <f t="shared" ca="1" si="177"/>
        <v>7</v>
      </c>
      <c r="T295" s="9" t="str">
        <f t="shared" ca="1" si="178"/>
        <v>—</v>
      </c>
      <c r="U295" s="15">
        <f t="shared" ca="1" si="179"/>
        <v>7</v>
      </c>
      <c r="V295" s="16" t="str">
        <f t="shared" ca="1" si="180"/>
        <v>—</v>
      </c>
      <c r="W295" s="15">
        <f t="shared" ca="1" si="181"/>
        <v>7</v>
      </c>
      <c r="X295" s="16" t="str">
        <f t="shared" ca="1" si="182"/>
        <v>—</v>
      </c>
      <c r="Y295" s="15">
        <f t="shared" ca="1" si="183"/>
        <v>7</v>
      </c>
      <c r="Z295" s="16" t="str">
        <f t="shared" ca="1" si="184"/>
        <v>—</v>
      </c>
      <c r="AA295" s="15">
        <f t="shared" ca="1" si="185"/>
        <v>7</v>
      </c>
      <c r="AB295" s="9" t="str">
        <f t="shared" ca="1" si="186"/>
        <v>—</v>
      </c>
      <c r="AC295" s="15">
        <f t="shared" ca="1" si="187"/>
        <v>7</v>
      </c>
      <c r="AD295" s="76" t="str">
        <f t="shared" ca="1" si="188"/>
        <v>—</v>
      </c>
      <c r="AE295" s="15">
        <f t="shared" ca="1" si="189"/>
        <v>7</v>
      </c>
      <c r="AF295" s="76" t="str">
        <f t="shared" ca="1" si="190"/>
        <v>—</v>
      </c>
      <c r="AG295" s="15">
        <f t="shared" ca="1" si="191"/>
        <v>7</v>
      </c>
      <c r="AH295" s="9" t="str">
        <f t="shared" ca="1" si="192"/>
        <v>—</v>
      </c>
      <c r="AI295" s="15">
        <f t="shared" ca="1" si="193"/>
        <v>7</v>
      </c>
      <c r="AJ295" s="26" t="str">
        <f t="shared" ca="1" si="194"/>
        <v>—</v>
      </c>
      <c r="AK295" s="15">
        <f t="shared" ca="1" si="195"/>
        <v>7</v>
      </c>
      <c r="AL295" s="9" t="str">
        <f t="shared" ca="1" si="196"/>
        <v>—</v>
      </c>
      <c r="AM295" s="15">
        <f t="shared" ca="1" si="197"/>
        <v>7</v>
      </c>
      <c r="AN295" s="9" t="str">
        <f t="shared" ca="1" si="198"/>
        <v>—</v>
      </c>
      <c r="AO295" s="15">
        <f t="shared" ca="1" si="199"/>
        <v>7</v>
      </c>
    </row>
    <row r="296" spans="1:41" x14ac:dyDescent="0.25">
      <c r="A296" s="4">
        <f t="shared" si="160"/>
        <v>78989</v>
      </c>
      <c r="B296" t="str">
        <f ca="1">TEXT(DATE(YEAR(Invoer!$A$5),1,1)+ROWS(B$2:B296)-1,"jjjjmmdd")</f>
        <v>19131022</v>
      </c>
      <c r="C296" s="72">
        <f t="shared" si="161"/>
        <v>800</v>
      </c>
      <c r="D296" s="16" t="str">
        <f t="shared" ca="1" si="162"/>
        <v>—</v>
      </c>
      <c r="E296" s="15">
        <f t="shared" ca="1" si="163"/>
        <v>7</v>
      </c>
      <c r="F296" s="73" t="str">
        <f t="shared" ca="1" si="164"/>
        <v>—</v>
      </c>
      <c r="G296" s="15">
        <f t="shared" ca="1" si="165"/>
        <v>7</v>
      </c>
      <c r="H296" s="73" t="str">
        <f t="shared" ca="1" si="166"/>
        <v>—</v>
      </c>
      <c r="I296" s="15">
        <f t="shared" ca="1" si="167"/>
        <v>7</v>
      </c>
      <c r="J296" s="73" t="str">
        <f t="shared" ca="1" si="168"/>
        <v>—</v>
      </c>
      <c r="K296" s="15">
        <f t="shared" ca="1" si="169"/>
        <v>7</v>
      </c>
      <c r="L296" s="16" t="str">
        <f t="shared" ca="1" si="170"/>
        <v>—</v>
      </c>
      <c r="M296" s="15">
        <f t="shared" ca="1" si="171"/>
        <v>7</v>
      </c>
      <c r="N296" s="16" t="str">
        <f t="shared" ca="1" si="172"/>
        <v>—</v>
      </c>
      <c r="O296" s="15">
        <f t="shared" ca="1" si="173"/>
        <v>7</v>
      </c>
      <c r="P296" s="16" t="str">
        <f t="shared" ca="1" si="174"/>
        <v>—</v>
      </c>
      <c r="Q296" s="15">
        <f t="shared" ca="1" si="175"/>
        <v>7</v>
      </c>
      <c r="R296" s="16" t="str">
        <f t="shared" ca="1" si="176"/>
        <v>—</v>
      </c>
      <c r="S296" s="15">
        <f t="shared" ca="1" si="177"/>
        <v>7</v>
      </c>
      <c r="T296" s="9" t="str">
        <f t="shared" ca="1" si="178"/>
        <v>—</v>
      </c>
      <c r="U296" s="15">
        <f t="shared" ca="1" si="179"/>
        <v>7</v>
      </c>
      <c r="V296" s="16" t="str">
        <f t="shared" ca="1" si="180"/>
        <v>—</v>
      </c>
      <c r="W296" s="15">
        <f t="shared" ca="1" si="181"/>
        <v>7</v>
      </c>
      <c r="X296" s="16" t="str">
        <f t="shared" ca="1" si="182"/>
        <v>—</v>
      </c>
      <c r="Y296" s="15">
        <f t="shared" ca="1" si="183"/>
        <v>7</v>
      </c>
      <c r="Z296" s="16" t="str">
        <f t="shared" ca="1" si="184"/>
        <v>—</v>
      </c>
      <c r="AA296" s="15">
        <f t="shared" ca="1" si="185"/>
        <v>7</v>
      </c>
      <c r="AB296" s="9" t="str">
        <f t="shared" ca="1" si="186"/>
        <v>—</v>
      </c>
      <c r="AC296" s="15">
        <f t="shared" ca="1" si="187"/>
        <v>7</v>
      </c>
      <c r="AD296" s="76" t="str">
        <f t="shared" ca="1" si="188"/>
        <v>—</v>
      </c>
      <c r="AE296" s="15">
        <f t="shared" ca="1" si="189"/>
        <v>7</v>
      </c>
      <c r="AF296" s="76" t="str">
        <f t="shared" ca="1" si="190"/>
        <v>—</v>
      </c>
      <c r="AG296" s="15">
        <f t="shared" ca="1" si="191"/>
        <v>7</v>
      </c>
      <c r="AH296" s="9" t="str">
        <f t="shared" ca="1" si="192"/>
        <v>—</v>
      </c>
      <c r="AI296" s="15">
        <f t="shared" ca="1" si="193"/>
        <v>7</v>
      </c>
      <c r="AJ296" s="26" t="str">
        <f t="shared" ca="1" si="194"/>
        <v>—</v>
      </c>
      <c r="AK296" s="15">
        <f t="shared" ca="1" si="195"/>
        <v>7</v>
      </c>
      <c r="AL296" s="9" t="str">
        <f t="shared" ca="1" si="196"/>
        <v>—</v>
      </c>
      <c r="AM296" s="15">
        <f t="shared" ca="1" si="197"/>
        <v>7</v>
      </c>
      <c r="AN296" s="9" t="str">
        <f t="shared" ca="1" si="198"/>
        <v>—</v>
      </c>
      <c r="AO296" s="15">
        <f t="shared" ca="1" si="199"/>
        <v>7</v>
      </c>
    </row>
    <row r="297" spans="1:41" x14ac:dyDescent="0.25">
      <c r="A297" s="4">
        <f t="shared" si="160"/>
        <v>78989</v>
      </c>
      <c r="B297" t="str">
        <f ca="1">TEXT(DATE(YEAR(Invoer!$A$5),1,1)+ROWS(B$2:B297)-1,"jjjjmmdd")</f>
        <v>19131023</v>
      </c>
      <c r="C297" s="72">
        <f t="shared" si="161"/>
        <v>800</v>
      </c>
      <c r="D297" s="16" t="str">
        <f t="shared" ca="1" si="162"/>
        <v>—</v>
      </c>
      <c r="E297" s="15">
        <f t="shared" ca="1" si="163"/>
        <v>7</v>
      </c>
      <c r="F297" s="73" t="str">
        <f t="shared" ca="1" si="164"/>
        <v>—</v>
      </c>
      <c r="G297" s="15">
        <f t="shared" ca="1" si="165"/>
        <v>7</v>
      </c>
      <c r="H297" s="73" t="str">
        <f t="shared" ca="1" si="166"/>
        <v>—</v>
      </c>
      <c r="I297" s="15">
        <f t="shared" ca="1" si="167"/>
        <v>7</v>
      </c>
      <c r="J297" s="73" t="str">
        <f t="shared" ca="1" si="168"/>
        <v>—</v>
      </c>
      <c r="K297" s="15">
        <f t="shared" ca="1" si="169"/>
        <v>7</v>
      </c>
      <c r="L297" s="16" t="str">
        <f t="shared" ca="1" si="170"/>
        <v>—</v>
      </c>
      <c r="M297" s="15">
        <f t="shared" ca="1" si="171"/>
        <v>7</v>
      </c>
      <c r="N297" s="16" t="str">
        <f t="shared" ca="1" si="172"/>
        <v>—</v>
      </c>
      <c r="O297" s="15">
        <f t="shared" ca="1" si="173"/>
        <v>7</v>
      </c>
      <c r="P297" s="16" t="str">
        <f t="shared" ca="1" si="174"/>
        <v>—</v>
      </c>
      <c r="Q297" s="15">
        <f t="shared" ca="1" si="175"/>
        <v>7</v>
      </c>
      <c r="R297" s="16" t="str">
        <f t="shared" ca="1" si="176"/>
        <v>—</v>
      </c>
      <c r="S297" s="15">
        <f t="shared" ca="1" si="177"/>
        <v>7</v>
      </c>
      <c r="T297" s="9" t="str">
        <f t="shared" ca="1" si="178"/>
        <v>—</v>
      </c>
      <c r="U297" s="15">
        <f t="shared" ca="1" si="179"/>
        <v>7</v>
      </c>
      <c r="V297" s="16" t="str">
        <f t="shared" ca="1" si="180"/>
        <v>—</v>
      </c>
      <c r="W297" s="15">
        <f t="shared" ca="1" si="181"/>
        <v>7</v>
      </c>
      <c r="X297" s="16" t="str">
        <f t="shared" ca="1" si="182"/>
        <v>—</v>
      </c>
      <c r="Y297" s="15">
        <f t="shared" ca="1" si="183"/>
        <v>7</v>
      </c>
      <c r="Z297" s="16" t="str">
        <f t="shared" ca="1" si="184"/>
        <v>—</v>
      </c>
      <c r="AA297" s="15">
        <f t="shared" ca="1" si="185"/>
        <v>7</v>
      </c>
      <c r="AB297" s="9" t="str">
        <f t="shared" ca="1" si="186"/>
        <v>—</v>
      </c>
      <c r="AC297" s="15">
        <f t="shared" ca="1" si="187"/>
        <v>7</v>
      </c>
      <c r="AD297" s="76" t="str">
        <f t="shared" ca="1" si="188"/>
        <v>—</v>
      </c>
      <c r="AE297" s="15">
        <f t="shared" ca="1" si="189"/>
        <v>7</v>
      </c>
      <c r="AF297" s="76" t="str">
        <f t="shared" ca="1" si="190"/>
        <v>—</v>
      </c>
      <c r="AG297" s="15">
        <f t="shared" ca="1" si="191"/>
        <v>7</v>
      </c>
      <c r="AH297" s="9" t="str">
        <f t="shared" ca="1" si="192"/>
        <v>—</v>
      </c>
      <c r="AI297" s="15">
        <f t="shared" ca="1" si="193"/>
        <v>7</v>
      </c>
      <c r="AJ297" s="26" t="str">
        <f t="shared" ca="1" si="194"/>
        <v>—</v>
      </c>
      <c r="AK297" s="15">
        <f t="shared" ca="1" si="195"/>
        <v>7</v>
      </c>
      <c r="AL297" s="9" t="str">
        <f t="shared" ca="1" si="196"/>
        <v>—</v>
      </c>
      <c r="AM297" s="15">
        <f t="shared" ca="1" si="197"/>
        <v>7</v>
      </c>
      <c r="AN297" s="9" t="str">
        <f t="shared" ca="1" si="198"/>
        <v>—</v>
      </c>
      <c r="AO297" s="15">
        <f t="shared" ca="1" si="199"/>
        <v>7</v>
      </c>
    </row>
    <row r="298" spans="1:41" x14ac:dyDescent="0.25">
      <c r="A298" s="4">
        <f t="shared" si="160"/>
        <v>78989</v>
      </c>
      <c r="B298" t="str">
        <f ca="1">TEXT(DATE(YEAR(Invoer!$A$5),1,1)+ROWS(B$2:B298)-1,"jjjjmmdd")</f>
        <v>19131024</v>
      </c>
      <c r="C298" s="72">
        <f t="shared" si="161"/>
        <v>800</v>
      </c>
      <c r="D298" s="16" t="str">
        <f t="shared" ca="1" si="162"/>
        <v>—</v>
      </c>
      <c r="E298" s="15">
        <f t="shared" ca="1" si="163"/>
        <v>7</v>
      </c>
      <c r="F298" s="73" t="str">
        <f t="shared" ca="1" si="164"/>
        <v>—</v>
      </c>
      <c r="G298" s="15">
        <f t="shared" ca="1" si="165"/>
        <v>7</v>
      </c>
      <c r="H298" s="73" t="str">
        <f t="shared" ca="1" si="166"/>
        <v>—</v>
      </c>
      <c r="I298" s="15">
        <f t="shared" ca="1" si="167"/>
        <v>7</v>
      </c>
      <c r="J298" s="73" t="str">
        <f t="shared" ca="1" si="168"/>
        <v>—</v>
      </c>
      <c r="K298" s="15">
        <f t="shared" ca="1" si="169"/>
        <v>7</v>
      </c>
      <c r="L298" s="16" t="str">
        <f t="shared" ca="1" si="170"/>
        <v>—</v>
      </c>
      <c r="M298" s="15">
        <f t="shared" ca="1" si="171"/>
        <v>7</v>
      </c>
      <c r="N298" s="16" t="str">
        <f t="shared" ca="1" si="172"/>
        <v>—</v>
      </c>
      <c r="O298" s="15">
        <f t="shared" ca="1" si="173"/>
        <v>7</v>
      </c>
      <c r="P298" s="16" t="str">
        <f t="shared" ca="1" si="174"/>
        <v>—</v>
      </c>
      <c r="Q298" s="15">
        <f t="shared" ca="1" si="175"/>
        <v>7</v>
      </c>
      <c r="R298" s="16" t="str">
        <f t="shared" ca="1" si="176"/>
        <v>—</v>
      </c>
      <c r="S298" s="15">
        <f t="shared" ca="1" si="177"/>
        <v>7</v>
      </c>
      <c r="T298" s="9" t="str">
        <f t="shared" ca="1" si="178"/>
        <v>—</v>
      </c>
      <c r="U298" s="15">
        <f t="shared" ca="1" si="179"/>
        <v>7</v>
      </c>
      <c r="V298" s="16" t="str">
        <f t="shared" ca="1" si="180"/>
        <v>—</v>
      </c>
      <c r="W298" s="15">
        <f t="shared" ca="1" si="181"/>
        <v>7</v>
      </c>
      <c r="X298" s="16" t="str">
        <f t="shared" ca="1" si="182"/>
        <v>—</v>
      </c>
      <c r="Y298" s="15">
        <f t="shared" ca="1" si="183"/>
        <v>7</v>
      </c>
      <c r="Z298" s="16" t="str">
        <f t="shared" ca="1" si="184"/>
        <v>—</v>
      </c>
      <c r="AA298" s="15">
        <f t="shared" ca="1" si="185"/>
        <v>7</v>
      </c>
      <c r="AB298" s="9" t="str">
        <f t="shared" ca="1" si="186"/>
        <v>—</v>
      </c>
      <c r="AC298" s="15">
        <f t="shared" ca="1" si="187"/>
        <v>7</v>
      </c>
      <c r="AD298" s="76" t="str">
        <f t="shared" ca="1" si="188"/>
        <v>—</v>
      </c>
      <c r="AE298" s="15">
        <f t="shared" ca="1" si="189"/>
        <v>7</v>
      </c>
      <c r="AF298" s="76" t="str">
        <f t="shared" ca="1" si="190"/>
        <v>—</v>
      </c>
      <c r="AG298" s="15">
        <f t="shared" ca="1" si="191"/>
        <v>7</v>
      </c>
      <c r="AH298" s="9" t="str">
        <f t="shared" ca="1" si="192"/>
        <v>—</v>
      </c>
      <c r="AI298" s="15">
        <f t="shared" ca="1" si="193"/>
        <v>7</v>
      </c>
      <c r="AJ298" s="26" t="str">
        <f t="shared" ca="1" si="194"/>
        <v>—</v>
      </c>
      <c r="AK298" s="15">
        <f t="shared" ca="1" si="195"/>
        <v>7</v>
      </c>
      <c r="AL298" s="9" t="str">
        <f t="shared" ca="1" si="196"/>
        <v>—</v>
      </c>
      <c r="AM298" s="15">
        <f t="shared" ca="1" si="197"/>
        <v>7</v>
      </c>
      <c r="AN298" s="9" t="str">
        <f t="shared" ca="1" si="198"/>
        <v>—</v>
      </c>
      <c r="AO298" s="15">
        <f t="shared" ca="1" si="199"/>
        <v>7</v>
      </c>
    </row>
    <row r="299" spans="1:41" x14ac:dyDescent="0.25">
      <c r="A299" s="4">
        <f t="shared" si="160"/>
        <v>78989</v>
      </c>
      <c r="B299" t="str">
        <f ca="1">TEXT(DATE(YEAR(Invoer!$A$5),1,1)+ROWS(B$2:B299)-1,"jjjjmmdd")</f>
        <v>19131025</v>
      </c>
      <c r="C299" s="72">
        <f t="shared" si="161"/>
        <v>800</v>
      </c>
      <c r="D299" s="16" t="str">
        <f t="shared" ca="1" si="162"/>
        <v>—</v>
      </c>
      <c r="E299" s="15">
        <f t="shared" ca="1" si="163"/>
        <v>7</v>
      </c>
      <c r="F299" s="73" t="str">
        <f t="shared" ca="1" si="164"/>
        <v>—</v>
      </c>
      <c r="G299" s="15">
        <f t="shared" ca="1" si="165"/>
        <v>7</v>
      </c>
      <c r="H299" s="73" t="str">
        <f t="shared" ca="1" si="166"/>
        <v>—</v>
      </c>
      <c r="I299" s="15">
        <f t="shared" ca="1" si="167"/>
        <v>7</v>
      </c>
      <c r="J299" s="73" t="str">
        <f t="shared" ca="1" si="168"/>
        <v>—</v>
      </c>
      <c r="K299" s="15">
        <f t="shared" ca="1" si="169"/>
        <v>7</v>
      </c>
      <c r="L299" s="16" t="str">
        <f t="shared" ca="1" si="170"/>
        <v>—</v>
      </c>
      <c r="M299" s="15">
        <f t="shared" ca="1" si="171"/>
        <v>7</v>
      </c>
      <c r="N299" s="16" t="str">
        <f t="shared" ca="1" si="172"/>
        <v>—</v>
      </c>
      <c r="O299" s="15">
        <f t="shared" ca="1" si="173"/>
        <v>7</v>
      </c>
      <c r="P299" s="16" t="str">
        <f t="shared" ca="1" si="174"/>
        <v>—</v>
      </c>
      <c r="Q299" s="15">
        <f t="shared" ca="1" si="175"/>
        <v>7</v>
      </c>
      <c r="R299" s="16" t="str">
        <f t="shared" ca="1" si="176"/>
        <v>—</v>
      </c>
      <c r="S299" s="15">
        <f t="shared" ca="1" si="177"/>
        <v>7</v>
      </c>
      <c r="T299" s="9" t="str">
        <f t="shared" ca="1" si="178"/>
        <v>—</v>
      </c>
      <c r="U299" s="15">
        <f t="shared" ca="1" si="179"/>
        <v>7</v>
      </c>
      <c r="V299" s="16" t="str">
        <f t="shared" ca="1" si="180"/>
        <v>—</v>
      </c>
      <c r="W299" s="15">
        <f t="shared" ca="1" si="181"/>
        <v>7</v>
      </c>
      <c r="X299" s="16" t="str">
        <f t="shared" ca="1" si="182"/>
        <v>—</v>
      </c>
      <c r="Y299" s="15">
        <f t="shared" ca="1" si="183"/>
        <v>7</v>
      </c>
      <c r="Z299" s="16" t="str">
        <f t="shared" ca="1" si="184"/>
        <v>—</v>
      </c>
      <c r="AA299" s="15">
        <f t="shared" ca="1" si="185"/>
        <v>7</v>
      </c>
      <c r="AB299" s="9" t="str">
        <f t="shared" ca="1" si="186"/>
        <v>—</v>
      </c>
      <c r="AC299" s="15">
        <f t="shared" ca="1" si="187"/>
        <v>7</v>
      </c>
      <c r="AD299" s="76" t="str">
        <f t="shared" ca="1" si="188"/>
        <v>—</v>
      </c>
      <c r="AE299" s="15">
        <f t="shared" ca="1" si="189"/>
        <v>7</v>
      </c>
      <c r="AF299" s="76" t="str">
        <f t="shared" ca="1" si="190"/>
        <v>—</v>
      </c>
      <c r="AG299" s="15">
        <f t="shared" ca="1" si="191"/>
        <v>7</v>
      </c>
      <c r="AH299" s="9" t="str">
        <f t="shared" ca="1" si="192"/>
        <v>—</v>
      </c>
      <c r="AI299" s="15">
        <f t="shared" ca="1" si="193"/>
        <v>7</v>
      </c>
      <c r="AJ299" s="26" t="str">
        <f t="shared" ca="1" si="194"/>
        <v>—</v>
      </c>
      <c r="AK299" s="15">
        <f t="shared" ca="1" si="195"/>
        <v>7</v>
      </c>
      <c r="AL299" s="9" t="str">
        <f t="shared" ca="1" si="196"/>
        <v>—</v>
      </c>
      <c r="AM299" s="15">
        <f t="shared" ca="1" si="197"/>
        <v>7</v>
      </c>
      <c r="AN299" s="9" t="str">
        <f t="shared" ca="1" si="198"/>
        <v>—</v>
      </c>
      <c r="AO299" s="15">
        <f t="shared" ca="1" si="199"/>
        <v>7</v>
      </c>
    </row>
    <row r="300" spans="1:41" x14ac:dyDescent="0.25">
      <c r="A300" s="4">
        <f t="shared" si="160"/>
        <v>78989</v>
      </c>
      <c r="B300" t="str">
        <f ca="1">TEXT(DATE(YEAR(Invoer!$A$5),1,1)+ROWS(B$2:B300)-1,"jjjjmmdd")</f>
        <v>19131026</v>
      </c>
      <c r="C300" s="72">
        <f t="shared" si="161"/>
        <v>800</v>
      </c>
      <c r="D300" s="16" t="str">
        <f t="shared" ca="1" si="162"/>
        <v>—</v>
      </c>
      <c r="E300" s="15">
        <f t="shared" ca="1" si="163"/>
        <v>7</v>
      </c>
      <c r="F300" s="73" t="str">
        <f t="shared" ca="1" si="164"/>
        <v>—</v>
      </c>
      <c r="G300" s="15">
        <f t="shared" ca="1" si="165"/>
        <v>7</v>
      </c>
      <c r="H300" s="73" t="str">
        <f t="shared" ca="1" si="166"/>
        <v>—</v>
      </c>
      <c r="I300" s="15">
        <f t="shared" ca="1" si="167"/>
        <v>7</v>
      </c>
      <c r="J300" s="73" t="str">
        <f t="shared" ca="1" si="168"/>
        <v>—</v>
      </c>
      <c r="K300" s="15">
        <f t="shared" ca="1" si="169"/>
        <v>7</v>
      </c>
      <c r="L300" s="16" t="str">
        <f t="shared" ca="1" si="170"/>
        <v>—</v>
      </c>
      <c r="M300" s="15">
        <f t="shared" ca="1" si="171"/>
        <v>7</v>
      </c>
      <c r="N300" s="16" t="str">
        <f t="shared" ca="1" si="172"/>
        <v>—</v>
      </c>
      <c r="O300" s="15">
        <f t="shared" ca="1" si="173"/>
        <v>7</v>
      </c>
      <c r="P300" s="16" t="str">
        <f t="shared" ca="1" si="174"/>
        <v>—</v>
      </c>
      <c r="Q300" s="15">
        <f t="shared" ca="1" si="175"/>
        <v>7</v>
      </c>
      <c r="R300" s="16" t="str">
        <f t="shared" ca="1" si="176"/>
        <v>—</v>
      </c>
      <c r="S300" s="15">
        <f t="shared" ca="1" si="177"/>
        <v>7</v>
      </c>
      <c r="T300" s="9" t="str">
        <f t="shared" ca="1" si="178"/>
        <v>—</v>
      </c>
      <c r="U300" s="15">
        <f t="shared" ca="1" si="179"/>
        <v>7</v>
      </c>
      <c r="V300" s="16" t="str">
        <f t="shared" ca="1" si="180"/>
        <v>—</v>
      </c>
      <c r="W300" s="15">
        <f t="shared" ca="1" si="181"/>
        <v>7</v>
      </c>
      <c r="X300" s="16" t="str">
        <f t="shared" ca="1" si="182"/>
        <v>—</v>
      </c>
      <c r="Y300" s="15">
        <f t="shared" ca="1" si="183"/>
        <v>7</v>
      </c>
      <c r="Z300" s="16" t="str">
        <f t="shared" ca="1" si="184"/>
        <v>—</v>
      </c>
      <c r="AA300" s="15">
        <f t="shared" ca="1" si="185"/>
        <v>7</v>
      </c>
      <c r="AB300" s="9" t="str">
        <f t="shared" ca="1" si="186"/>
        <v>—</v>
      </c>
      <c r="AC300" s="15">
        <f t="shared" ca="1" si="187"/>
        <v>7</v>
      </c>
      <c r="AD300" s="76" t="str">
        <f t="shared" ca="1" si="188"/>
        <v>—</v>
      </c>
      <c r="AE300" s="15">
        <f t="shared" ca="1" si="189"/>
        <v>7</v>
      </c>
      <c r="AF300" s="76" t="str">
        <f t="shared" ca="1" si="190"/>
        <v>—</v>
      </c>
      <c r="AG300" s="15">
        <f t="shared" ca="1" si="191"/>
        <v>7</v>
      </c>
      <c r="AH300" s="9" t="str">
        <f t="shared" ca="1" si="192"/>
        <v>—</v>
      </c>
      <c r="AI300" s="15">
        <f t="shared" ca="1" si="193"/>
        <v>7</v>
      </c>
      <c r="AJ300" s="26" t="str">
        <f t="shared" ca="1" si="194"/>
        <v>—</v>
      </c>
      <c r="AK300" s="15">
        <f t="shared" ca="1" si="195"/>
        <v>7</v>
      </c>
      <c r="AL300" s="9" t="str">
        <f t="shared" ca="1" si="196"/>
        <v>—</v>
      </c>
      <c r="AM300" s="15">
        <f t="shared" ca="1" si="197"/>
        <v>7</v>
      </c>
      <c r="AN300" s="9" t="str">
        <f t="shared" ca="1" si="198"/>
        <v>—</v>
      </c>
      <c r="AO300" s="15">
        <f t="shared" ca="1" si="199"/>
        <v>7</v>
      </c>
    </row>
    <row r="301" spans="1:41" x14ac:dyDescent="0.25">
      <c r="A301" s="4">
        <f t="shared" si="160"/>
        <v>78989</v>
      </c>
      <c r="B301" t="str">
        <f ca="1">TEXT(DATE(YEAR(Invoer!$A$5),1,1)+ROWS(B$2:B301)-1,"jjjjmmdd")</f>
        <v>19131027</v>
      </c>
      <c r="C301" s="72">
        <f t="shared" si="161"/>
        <v>800</v>
      </c>
      <c r="D301" s="16" t="str">
        <f t="shared" ca="1" si="162"/>
        <v>—</v>
      </c>
      <c r="E301" s="15">
        <f t="shared" ca="1" si="163"/>
        <v>7</v>
      </c>
      <c r="F301" s="73" t="str">
        <f t="shared" ca="1" si="164"/>
        <v>—</v>
      </c>
      <c r="G301" s="15">
        <f t="shared" ca="1" si="165"/>
        <v>7</v>
      </c>
      <c r="H301" s="73" t="str">
        <f t="shared" ca="1" si="166"/>
        <v>—</v>
      </c>
      <c r="I301" s="15">
        <f t="shared" ca="1" si="167"/>
        <v>7</v>
      </c>
      <c r="J301" s="73" t="str">
        <f t="shared" ca="1" si="168"/>
        <v>—</v>
      </c>
      <c r="K301" s="15">
        <f t="shared" ca="1" si="169"/>
        <v>7</v>
      </c>
      <c r="L301" s="16" t="str">
        <f t="shared" ca="1" si="170"/>
        <v>—</v>
      </c>
      <c r="M301" s="15">
        <f t="shared" ca="1" si="171"/>
        <v>7</v>
      </c>
      <c r="N301" s="16" t="str">
        <f t="shared" ca="1" si="172"/>
        <v>—</v>
      </c>
      <c r="O301" s="15">
        <f t="shared" ca="1" si="173"/>
        <v>7</v>
      </c>
      <c r="P301" s="16" t="str">
        <f t="shared" ca="1" si="174"/>
        <v>—</v>
      </c>
      <c r="Q301" s="15">
        <f t="shared" ca="1" si="175"/>
        <v>7</v>
      </c>
      <c r="R301" s="16" t="str">
        <f t="shared" ca="1" si="176"/>
        <v>—</v>
      </c>
      <c r="S301" s="15">
        <f t="shared" ca="1" si="177"/>
        <v>7</v>
      </c>
      <c r="T301" s="9" t="str">
        <f t="shared" ca="1" si="178"/>
        <v>—</v>
      </c>
      <c r="U301" s="15">
        <f t="shared" ca="1" si="179"/>
        <v>7</v>
      </c>
      <c r="V301" s="16" t="str">
        <f t="shared" ca="1" si="180"/>
        <v>—</v>
      </c>
      <c r="W301" s="15">
        <f t="shared" ca="1" si="181"/>
        <v>7</v>
      </c>
      <c r="X301" s="16" t="str">
        <f t="shared" ca="1" si="182"/>
        <v>—</v>
      </c>
      <c r="Y301" s="15">
        <f t="shared" ca="1" si="183"/>
        <v>7</v>
      </c>
      <c r="Z301" s="16" t="str">
        <f t="shared" ca="1" si="184"/>
        <v>—</v>
      </c>
      <c r="AA301" s="15">
        <f t="shared" ca="1" si="185"/>
        <v>7</v>
      </c>
      <c r="AB301" s="9" t="str">
        <f t="shared" ca="1" si="186"/>
        <v>—</v>
      </c>
      <c r="AC301" s="15">
        <f t="shared" ca="1" si="187"/>
        <v>7</v>
      </c>
      <c r="AD301" s="76" t="str">
        <f t="shared" ca="1" si="188"/>
        <v>—</v>
      </c>
      <c r="AE301" s="15">
        <f t="shared" ca="1" si="189"/>
        <v>7</v>
      </c>
      <c r="AF301" s="76" t="str">
        <f t="shared" ca="1" si="190"/>
        <v>—</v>
      </c>
      <c r="AG301" s="15">
        <f t="shared" ca="1" si="191"/>
        <v>7</v>
      </c>
      <c r="AH301" s="9" t="str">
        <f t="shared" ca="1" si="192"/>
        <v>—</v>
      </c>
      <c r="AI301" s="15">
        <f t="shared" ca="1" si="193"/>
        <v>7</v>
      </c>
      <c r="AJ301" s="26" t="str">
        <f t="shared" ca="1" si="194"/>
        <v>—</v>
      </c>
      <c r="AK301" s="15">
        <f t="shared" ca="1" si="195"/>
        <v>7</v>
      </c>
      <c r="AL301" s="9" t="str">
        <f t="shared" ca="1" si="196"/>
        <v>—</v>
      </c>
      <c r="AM301" s="15">
        <f t="shared" ca="1" si="197"/>
        <v>7</v>
      </c>
      <c r="AN301" s="9" t="str">
        <f t="shared" ca="1" si="198"/>
        <v>—</v>
      </c>
      <c r="AO301" s="15">
        <f t="shared" ca="1" si="199"/>
        <v>7</v>
      </c>
    </row>
    <row r="302" spans="1:41" x14ac:dyDescent="0.25">
      <c r="A302" s="4">
        <f t="shared" si="160"/>
        <v>78989</v>
      </c>
      <c r="B302" t="str">
        <f ca="1">TEXT(DATE(YEAR(Invoer!$A$5),1,1)+ROWS(B$2:B302)-1,"jjjjmmdd")</f>
        <v>19131028</v>
      </c>
      <c r="C302" s="72">
        <f t="shared" si="161"/>
        <v>800</v>
      </c>
      <c r="D302" s="16" t="str">
        <f t="shared" ca="1" si="162"/>
        <v>—</v>
      </c>
      <c r="E302" s="15">
        <f t="shared" ca="1" si="163"/>
        <v>7</v>
      </c>
      <c r="F302" s="73" t="str">
        <f t="shared" ca="1" si="164"/>
        <v>—</v>
      </c>
      <c r="G302" s="15">
        <f t="shared" ca="1" si="165"/>
        <v>7</v>
      </c>
      <c r="H302" s="73" t="str">
        <f t="shared" ca="1" si="166"/>
        <v>—</v>
      </c>
      <c r="I302" s="15">
        <f t="shared" ca="1" si="167"/>
        <v>7</v>
      </c>
      <c r="J302" s="73" t="str">
        <f t="shared" ca="1" si="168"/>
        <v>—</v>
      </c>
      <c r="K302" s="15">
        <f t="shared" ca="1" si="169"/>
        <v>7</v>
      </c>
      <c r="L302" s="16" t="str">
        <f t="shared" ca="1" si="170"/>
        <v>—</v>
      </c>
      <c r="M302" s="15">
        <f t="shared" ca="1" si="171"/>
        <v>7</v>
      </c>
      <c r="N302" s="16" t="str">
        <f t="shared" ca="1" si="172"/>
        <v>—</v>
      </c>
      <c r="O302" s="15">
        <f t="shared" ca="1" si="173"/>
        <v>7</v>
      </c>
      <c r="P302" s="16" t="str">
        <f t="shared" ca="1" si="174"/>
        <v>—</v>
      </c>
      <c r="Q302" s="15">
        <f t="shared" ca="1" si="175"/>
        <v>7</v>
      </c>
      <c r="R302" s="16" t="str">
        <f t="shared" ca="1" si="176"/>
        <v>—</v>
      </c>
      <c r="S302" s="15">
        <f t="shared" ca="1" si="177"/>
        <v>7</v>
      </c>
      <c r="T302" s="9" t="str">
        <f t="shared" ca="1" si="178"/>
        <v>—</v>
      </c>
      <c r="U302" s="15">
        <f t="shared" ca="1" si="179"/>
        <v>7</v>
      </c>
      <c r="V302" s="16" t="str">
        <f t="shared" ca="1" si="180"/>
        <v>—</v>
      </c>
      <c r="W302" s="15">
        <f t="shared" ca="1" si="181"/>
        <v>7</v>
      </c>
      <c r="X302" s="16" t="str">
        <f t="shared" ca="1" si="182"/>
        <v>—</v>
      </c>
      <c r="Y302" s="15">
        <f t="shared" ca="1" si="183"/>
        <v>7</v>
      </c>
      <c r="Z302" s="16" t="str">
        <f t="shared" ca="1" si="184"/>
        <v>—</v>
      </c>
      <c r="AA302" s="15">
        <f t="shared" ca="1" si="185"/>
        <v>7</v>
      </c>
      <c r="AB302" s="9" t="str">
        <f t="shared" ca="1" si="186"/>
        <v>—</v>
      </c>
      <c r="AC302" s="15">
        <f t="shared" ca="1" si="187"/>
        <v>7</v>
      </c>
      <c r="AD302" s="76" t="str">
        <f t="shared" ca="1" si="188"/>
        <v>—</v>
      </c>
      <c r="AE302" s="15">
        <f t="shared" ca="1" si="189"/>
        <v>7</v>
      </c>
      <c r="AF302" s="76" t="str">
        <f t="shared" ca="1" si="190"/>
        <v>—</v>
      </c>
      <c r="AG302" s="15">
        <f t="shared" ca="1" si="191"/>
        <v>7</v>
      </c>
      <c r="AH302" s="9" t="str">
        <f t="shared" ca="1" si="192"/>
        <v>—</v>
      </c>
      <c r="AI302" s="15">
        <f t="shared" ca="1" si="193"/>
        <v>7</v>
      </c>
      <c r="AJ302" s="26" t="str">
        <f t="shared" ca="1" si="194"/>
        <v>—</v>
      </c>
      <c r="AK302" s="15">
        <f t="shared" ca="1" si="195"/>
        <v>7</v>
      </c>
      <c r="AL302" s="9" t="str">
        <f t="shared" ca="1" si="196"/>
        <v>—</v>
      </c>
      <c r="AM302" s="15">
        <f t="shared" ca="1" si="197"/>
        <v>7</v>
      </c>
      <c r="AN302" s="9" t="str">
        <f t="shared" ca="1" si="198"/>
        <v>—</v>
      </c>
      <c r="AO302" s="15">
        <f t="shared" ca="1" si="199"/>
        <v>7</v>
      </c>
    </row>
    <row r="303" spans="1:41" x14ac:dyDescent="0.25">
      <c r="A303" s="4">
        <f t="shared" si="160"/>
        <v>78989</v>
      </c>
      <c r="B303" t="str">
        <f ca="1">TEXT(DATE(YEAR(Invoer!$A$5),1,1)+ROWS(B$2:B303)-1,"jjjjmmdd")</f>
        <v>19131029</v>
      </c>
      <c r="C303" s="72">
        <f t="shared" si="161"/>
        <v>800</v>
      </c>
      <c r="D303" s="16" t="str">
        <f t="shared" ca="1" si="162"/>
        <v>—</v>
      </c>
      <c r="E303" s="15">
        <f t="shared" ca="1" si="163"/>
        <v>7</v>
      </c>
      <c r="F303" s="73" t="str">
        <f t="shared" ca="1" si="164"/>
        <v>—</v>
      </c>
      <c r="G303" s="15">
        <f t="shared" ca="1" si="165"/>
        <v>7</v>
      </c>
      <c r="H303" s="73" t="str">
        <f t="shared" ca="1" si="166"/>
        <v>—</v>
      </c>
      <c r="I303" s="15">
        <f t="shared" ca="1" si="167"/>
        <v>7</v>
      </c>
      <c r="J303" s="73" t="str">
        <f t="shared" ca="1" si="168"/>
        <v>—</v>
      </c>
      <c r="K303" s="15">
        <f t="shared" ca="1" si="169"/>
        <v>7</v>
      </c>
      <c r="L303" s="16" t="str">
        <f t="shared" ca="1" si="170"/>
        <v>—</v>
      </c>
      <c r="M303" s="15">
        <f t="shared" ca="1" si="171"/>
        <v>7</v>
      </c>
      <c r="N303" s="16" t="str">
        <f t="shared" ca="1" si="172"/>
        <v>—</v>
      </c>
      <c r="O303" s="15">
        <f t="shared" ca="1" si="173"/>
        <v>7</v>
      </c>
      <c r="P303" s="16" t="str">
        <f t="shared" ca="1" si="174"/>
        <v>—</v>
      </c>
      <c r="Q303" s="15">
        <f t="shared" ca="1" si="175"/>
        <v>7</v>
      </c>
      <c r="R303" s="16" t="str">
        <f t="shared" ca="1" si="176"/>
        <v>—</v>
      </c>
      <c r="S303" s="15">
        <f t="shared" ca="1" si="177"/>
        <v>7</v>
      </c>
      <c r="T303" s="9" t="str">
        <f t="shared" ca="1" si="178"/>
        <v>—</v>
      </c>
      <c r="U303" s="15">
        <f t="shared" ca="1" si="179"/>
        <v>7</v>
      </c>
      <c r="V303" s="16" t="str">
        <f t="shared" ca="1" si="180"/>
        <v>—</v>
      </c>
      <c r="W303" s="15">
        <f t="shared" ca="1" si="181"/>
        <v>7</v>
      </c>
      <c r="X303" s="16" t="str">
        <f t="shared" ca="1" si="182"/>
        <v>—</v>
      </c>
      <c r="Y303" s="15">
        <f t="shared" ca="1" si="183"/>
        <v>7</v>
      </c>
      <c r="Z303" s="16" t="str">
        <f t="shared" ca="1" si="184"/>
        <v>—</v>
      </c>
      <c r="AA303" s="15">
        <f t="shared" ca="1" si="185"/>
        <v>7</v>
      </c>
      <c r="AB303" s="9" t="str">
        <f t="shared" ca="1" si="186"/>
        <v>—</v>
      </c>
      <c r="AC303" s="15">
        <f t="shared" ca="1" si="187"/>
        <v>7</v>
      </c>
      <c r="AD303" s="76" t="str">
        <f t="shared" ca="1" si="188"/>
        <v>—</v>
      </c>
      <c r="AE303" s="15">
        <f t="shared" ca="1" si="189"/>
        <v>7</v>
      </c>
      <c r="AF303" s="76" t="str">
        <f t="shared" ca="1" si="190"/>
        <v>—</v>
      </c>
      <c r="AG303" s="15">
        <f t="shared" ca="1" si="191"/>
        <v>7</v>
      </c>
      <c r="AH303" s="9" t="str">
        <f t="shared" ca="1" si="192"/>
        <v>—</v>
      </c>
      <c r="AI303" s="15">
        <f t="shared" ca="1" si="193"/>
        <v>7</v>
      </c>
      <c r="AJ303" s="26" t="str">
        <f t="shared" ca="1" si="194"/>
        <v>—</v>
      </c>
      <c r="AK303" s="15">
        <f t="shared" ca="1" si="195"/>
        <v>7</v>
      </c>
      <c r="AL303" s="9" t="str">
        <f t="shared" ca="1" si="196"/>
        <v>—</v>
      </c>
      <c r="AM303" s="15">
        <f t="shared" ca="1" si="197"/>
        <v>7</v>
      </c>
      <c r="AN303" s="9" t="str">
        <f t="shared" ca="1" si="198"/>
        <v>—</v>
      </c>
      <c r="AO303" s="15">
        <f t="shared" ca="1" si="199"/>
        <v>7</v>
      </c>
    </row>
    <row r="304" spans="1:41" x14ac:dyDescent="0.25">
      <c r="A304" s="4">
        <f t="shared" si="160"/>
        <v>78989</v>
      </c>
      <c r="B304" t="str">
        <f ca="1">TEXT(DATE(YEAR(Invoer!$A$5),1,1)+ROWS(B$2:B304)-1,"jjjjmmdd")</f>
        <v>19131030</v>
      </c>
      <c r="C304" s="72">
        <f t="shared" si="161"/>
        <v>800</v>
      </c>
      <c r="D304" s="16" t="str">
        <f t="shared" ca="1" si="162"/>
        <v>—</v>
      </c>
      <c r="E304" s="15">
        <f t="shared" ca="1" si="163"/>
        <v>7</v>
      </c>
      <c r="F304" s="73" t="str">
        <f t="shared" ca="1" si="164"/>
        <v>—</v>
      </c>
      <c r="G304" s="15">
        <f t="shared" ca="1" si="165"/>
        <v>7</v>
      </c>
      <c r="H304" s="73" t="str">
        <f t="shared" ca="1" si="166"/>
        <v>—</v>
      </c>
      <c r="I304" s="15">
        <f t="shared" ca="1" si="167"/>
        <v>7</v>
      </c>
      <c r="J304" s="73" t="str">
        <f t="shared" ca="1" si="168"/>
        <v>—</v>
      </c>
      <c r="K304" s="15">
        <f t="shared" ca="1" si="169"/>
        <v>7</v>
      </c>
      <c r="L304" s="16" t="str">
        <f t="shared" ca="1" si="170"/>
        <v>—</v>
      </c>
      <c r="M304" s="15">
        <f t="shared" ca="1" si="171"/>
        <v>7</v>
      </c>
      <c r="N304" s="16" t="str">
        <f t="shared" ca="1" si="172"/>
        <v>—</v>
      </c>
      <c r="O304" s="15">
        <f t="shared" ca="1" si="173"/>
        <v>7</v>
      </c>
      <c r="P304" s="16" t="str">
        <f t="shared" ca="1" si="174"/>
        <v>—</v>
      </c>
      <c r="Q304" s="15">
        <f t="shared" ca="1" si="175"/>
        <v>7</v>
      </c>
      <c r="R304" s="16" t="str">
        <f t="shared" ca="1" si="176"/>
        <v>—</v>
      </c>
      <c r="S304" s="15">
        <f t="shared" ca="1" si="177"/>
        <v>7</v>
      </c>
      <c r="T304" s="9" t="str">
        <f t="shared" ca="1" si="178"/>
        <v>—</v>
      </c>
      <c r="U304" s="15">
        <f t="shared" ca="1" si="179"/>
        <v>7</v>
      </c>
      <c r="V304" s="16" t="str">
        <f t="shared" ca="1" si="180"/>
        <v>—</v>
      </c>
      <c r="W304" s="15">
        <f t="shared" ca="1" si="181"/>
        <v>7</v>
      </c>
      <c r="X304" s="16" t="str">
        <f t="shared" ca="1" si="182"/>
        <v>—</v>
      </c>
      <c r="Y304" s="15">
        <f t="shared" ca="1" si="183"/>
        <v>7</v>
      </c>
      <c r="Z304" s="16" t="str">
        <f t="shared" ca="1" si="184"/>
        <v>—</v>
      </c>
      <c r="AA304" s="15">
        <f t="shared" ca="1" si="185"/>
        <v>7</v>
      </c>
      <c r="AB304" s="9" t="str">
        <f t="shared" ca="1" si="186"/>
        <v>—</v>
      </c>
      <c r="AC304" s="15">
        <f t="shared" ca="1" si="187"/>
        <v>7</v>
      </c>
      <c r="AD304" s="76" t="str">
        <f t="shared" ca="1" si="188"/>
        <v>—</v>
      </c>
      <c r="AE304" s="15">
        <f t="shared" ca="1" si="189"/>
        <v>7</v>
      </c>
      <c r="AF304" s="76" t="str">
        <f t="shared" ca="1" si="190"/>
        <v>—</v>
      </c>
      <c r="AG304" s="15">
        <f t="shared" ca="1" si="191"/>
        <v>7</v>
      </c>
      <c r="AH304" s="9" t="str">
        <f t="shared" ca="1" si="192"/>
        <v>—</v>
      </c>
      <c r="AI304" s="15">
        <f t="shared" ca="1" si="193"/>
        <v>7</v>
      </c>
      <c r="AJ304" s="26" t="str">
        <f t="shared" ca="1" si="194"/>
        <v>—</v>
      </c>
      <c r="AK304" s="15">
        <f t="shared" ca="1" si="195"/>
        <v>7</v>
      </c>
      <c r="AL304" s="9" t="str">
        <f t="shared" ca="1" si="196"/>
        <v>—</v>
      </c>
      <c r="AM304" s="15">
        <f t="shared" ca="1" si="197"/>
        <v>7</v>
      </c>
      <c r="AN304" s="9" t="str">
        <f t="shared" ca="1" si="198"/>
        <v>—</v>
      </c>
      <c r="AO304" s="15">
        <f t="shared" ca="1" si="199"/>
        <v>7</v>
      </c>
    </row>
    <row r="305" spans="1:41" x14ac:dyDescent="0.25">
      <c r="A305" s="4">
        <f t="shared" si="160"/>
        <v>78989</v>
      </c>
      <c r="B305" t="str">
        <f ca="1">TEXT(DATE(YEAR(Invoer!$A$5),1,1)+ROWS(B$2:B305)-1,"jjjjmmdd")</f>
        <v>19131031</v>
      </c>
      <c r="C305" s="72">
        <f t="shared" si="161"/>
        <v>800</v>
      </c>
      <c r="D305" s="16" t="str">
        <f t="shared" ca="1" si="162"/>
        <v>—</v>
      </c>
      <c r="E305" s="15">
        <f t="shared" ca="1" si="163"/>
        <v>7</v>
      </c>
      <c r="F305" s="73" t="str">
        <f t="shared" ca="1" si="164"/>
        <v>—</v>
      </c>
      <c r="G305" s="15">
        <f t="shared" ca="1" si="165"/>
        <v>7</v>
      </c>
      <c r="H305" s="73" t="str">
        <f t="shared" ca="1" si="166"/>
        <v>—</v>
      </c>
      <c r="I305" s="15">
        <f t="shared" ca="1" si="167"/>
        <v>7</v>
      </c>
      <c r="J305" s="73" t="str">
        <f t="shared" ca="1" si="168"/>
        <v>—</v>
      </c>
      <c r="K305" s="15">
        <f t="shared" ca="1" si="169"/>
        <v>7</v>
      </c>
      <c r="L305" s="16" t="str">
        <f t="shared" ca="1" si="170"/>
        <v>—</v>
      </c>
      <c r="M305" s="15">
        <f t="shared" ca="1" si="171"/>
        <v>7</v>
      </c>
      <c r="N305" s="16" t="str">
        <f t="shared" ca="1" si="172"/>
        <v>—</v>
      </c>
      <c r="O305" s="15">
        <f t="shared" ca="1" si="173"/>
        <v>7</v>
      </c>
      <c r="P305" s="16" t="str">
        <f t="shared" ca="1" si="174"/>
        <v>—</v>
      </c>
      <c r="Q305" s="15">
        <f t="shared" ca="1" si="175"/>
        <v>7</v>
      </c>
      <c r="R305" s="16" t="str">
        <f t="shared" ca="1" si="176"/>
        <v>—</v>
      </c>
      <c r="S305" s="15">
        <f t="shared" ca="1" si="177"/>
        <v>7</v>
      </c>
      <c r="T305" s="9" t="str">
        <f t="shared" ca="1" si="178"/>
        <v>—</v>
      </c>
      <c r="U305" s="15">
        <f t="shared" ca="1" si="179"/>
        <v>7</v>
      </c>
      <c r="V305" s="16" t="str">
        <f t="shared" ca="1" si="180"/>
        <v>—</v>
      </c>
      <c r="W305" s="15">
        <f t="shared" ca="1" si="181"/>
        <v>7</v>
      </c>
      <c r="X305" s="16" t="str">
        <f t="shared" ca="1" si="182"/>
        <v>—</v>
      </c>
      <c r="Y305" s="15">
        <f t="shared" ca="1" si="183"/>
        <v>7</v>
      </c>
      <c r="Z305" s="16" t="str">
        <f t="shared" ca="1" si="184"/>
        <v>—</v>
      </c>
      <c r="AA305" s="15">
        <f t="shared" ca="1" si="185"/>
        <v>7</v>
      </c>
      <c r="AB305" s="9" t="str">
        <f t="shared" ca="1" si="186"/>
        <v>—</v>
      </c>
      <c r="AC305" s="15">
        <f t="shared" ca="1" si="187"/>
        <v>7</v>
      </c>
      <c r="AD305" s="76" t="str">
        <f t="shared" ca="1" si="188"/>
        <v>—</v>
      </c>
      <c r="AE305" s="15">
        <f t="shared" ca="1" si="189"/>
        <v>7</v>
      </c>
      <c r="AF305" s="76" t="str">
        <f t="shared" ca="1" si="190"/>
        <v>—</v>
      </c>
      <c r="AG305" s="15">
        <f t="shared" ca="1" si="191"/>
        <v>7</v>
      </c>
      <c r="AH305" s="9" t="str">
        <f t="shared" ca="1" si="192"/>
        <v>—</v>
      </c>
      <c r="AI305" s="15">
        <f t="shared" ca="1" si="193"/>
        <v>7</v>
      </c>
      <c r="AJ305" s="26" t="str">
        <f t="shared" ca="1" si="194"/>
        <v>—</v>
      </c>
      <c r="AK305" s="15">
        <f t="shared" ca="1" si="195"/>
        <v>7</v>
      </c>
      <c r="AL305" s="9" t="str">
        <f t="shared" ca="1" si="196"/>
        <v>—</v>
      </c>
      <c r="AM305" s="15">
        <f t="shared" ca="1" si="197"/>
        <v>7</v>
      </c>
      <c r="AN305" s="9" t="str">
        <f t="shared" ca="1" si="198"/>
        <v>—</v>
      </c>
      <c r="AO305" s="15">
        <f t="shared" ca="1" si="199"/>
        <v>7</v>
      </c>
    </row>
    <row r="306" spans="1:41" x14ac:dyDescent="0.25">
      <c r="A306" s="4">
        <f t="shared" si="160"/>
        <v>78989</v>
      </c>
      <c r="B306" t="str">
        <f ca="1">TEXT(DATE(YEAR(Invoer!$A$5),1,1)+ROWS(B$2:B306)-1,"jjjjmmdd")</f>
        <v>19131101</v>
      </c>
      <c r="C306" s="72">
        <f t="shared" si="161"/>
        <v>800</v>
      </c>
      <c r="D306" s="16" t="str">
        <f t="shared" ca="1" si="162"/>
        <v>—</v>
      </c>
      <c r="E306" s="15">
        <f t="shared" ca="1" si="163"/>
        <v>7</v>
      </c>
      <c r="F306" s="73" t="str">
        <f t="shared" ca="1" si="164"/>
        <v>—</v>
      </c>
      <c r="G306" s="15">
        <f t="shared" ca="1" si="165"/>
        <v>7</v>
      </c>
      <c r="H306" s="73" t="str">
        <f t="shared" ca="1" si="166"/>
        <v>—</v>
      </c>
      <c r="I306" s="15">
        <f t="shared" ca="1" si="167"/>
        <v>7</v>
      </c>
      <c r="J306" s="73" t="str">
        <f t="shared" ca="1" si="168"/>
        <v>—</v>
      </c>
      <c r="K306" s="15">
        <f t="shared" ca="1" si="169"/>
        <v>7</v>
      </c>
      <c r="L306" s="16" t="str">
        <f t="shared" ca="1" si="170"/>
        <v>—</v>
      </c>
      <c r="M306" s="15">
        <f t="shared" ca="1" si="171"/>
        <v>7</v>
      </c>
      <c r="N306" s="16" t="str">
        <f t="shared" ca="1" si="172"/>
        <v>—</v>
      </c>
      <c r="O306" s="15">
        <f t="shared" ca="1" si="173"/>
        <v>7</v>
      </c>
      <c r="P306" s="16" t="str">
        <f t="shared" ca="1" si="174"/>
        <v>—</v>
      </c>
      <c r="Q306" s="15">
        <f t="shared" ca="1" si="175"/>
        <v>7</v>
      </c>
      <c r="R306" s="16" t="str">
        <f t="shared" ca="1" si="176"/>
        <v>—</v>
      </c>
      <c r="S306" s="15">
        <f t="shared" ca="1" si="177"/>
        <v>7</v>
      </c>
      <c r="T306" s="9" t="str">
        <f t="shared" ca="1" si="178"/>
        <v>—</v>
      </c>
      <c r="U306" s="15">
        <f t="shared" ca="1" si="179"/>
        <v>7</v>
      </c>
      <c r="V306" s="16" t="str">
        <f t="shared" ca="1" si="180"/>
        <v>—</v>
      </c>
      <c r="W306" s="15">
        <f t="shared" ca="1" si="181"/>
        <v>7</v>
      </c>
      <c r="X306" s="16" t="str">
        <f t="shared" ca="1" si="182"/>
        <v>—</v>
      </c>
      <c r="Y306" s="15">
        <f t="shared" ca="1" si="183"/>
        <v>7</v>
      </c>
      <c r="Z306" s="16" t="str">
        <f t="shared" ca="1" si="184"/>
        <v>—</v>
      </c>
      <c r="AA306" s="15">
        <f t="shared" ca="1" si="185"/>
        <v>7</v>
      </c>
      <c r="AB306" s="9" t="str">
        <f t="shared" ca="1" si="186"/>
        <v>—</v>
      </c>
      <c r="AC306" s="15">
        <f t="shared" ca="1" si="187"/>
        <v>7</v>
      </c>
      <c r="AD306" s="76" t="str">
        <f t="shared" ca="1" si="188"/>
        <v>—</v>
      </c>
      <c r="AE306" s="15">
        <f t="shared" ca="1" si="189"/>
        <v>7</v>
      </c>
      <c r="AF306" s="76" t="str">
        <f t="shared" ca="1" si="190"/>
        <v>—</v>
      </c>
      <c r="AG306" s="15">
        <f t="shared" ca="1" si="191"/>
        <v>7</v>
      </c>
      <c r="AH306" s="9" t="str">
        <f t="shared" ca="1" si="192"/>
        <v>—</v>
      </c>
      <c r="AI306" s="15">
        <f t="shared" ca="1" si="193"/>
        <v>7</v>
      </c>
      <c r="AJ306" s="26" t="str">
        <f t="shared" ca="1" si="194"/>
        <v>—</v>
      </c>
      <c r="AK306" s="15">
        <f t="shared" ca="1" si="195"/>
        <v>7</v>
      </c>
      <c r="AL306" s="9" t="str">
        <f t="shared" ca="1" si="196"/>
        <v>—</v>
      </c>
      <c r="AM306" s="15">
        <f t="shared" ca="1" si="197"/>
        <v>7</v>
      </c>
      <c r="AN306" s="9" t="str">
        <f t="shared" ca="1" si="198"/>
        <v>—</v>
      </c>
      <c r="AO306" s="15">
        <f t="shared" ca="1" si="199"/>
        <v>7</v>
      </c>
    </row>
    <row r="307" spans="1:41" x14ac:dyDescent="0.25">
      <c r="A307" s="4">
        <f t="shared" si="160"/>
        <v>78989</v>
      </c>
      <c r="B307" t="str">
        <f ca="1">TEXT(DATE(YEAR(Invoer!$A$5),1,1)+ROWS(B$2:B307)-1,"jjjjmmdd")</f>
        <v>19131102</v>
      </c>
      <c r="C307" s="72">
        <f t="shared" si="161"/>
        <v>800</v>
      </c>
      <c r="D307" s="16" t="str">
        <f t="shared" ca="1" si="162"/>
        <v>—</v>
      </c>
      <c r="E307" s="15">
        <f t="shared" ca="1" si="163"/>
        <v>7</v>
      </c>
      <c r="F307" s="73" t="str">
        <f t="shared" ca="1" si="164"/>
        <v>—</v>
      </c>
      <c r="G307" s="15">
        <f t="shared" ca="1" si="165"/>
        <v>7</v>
      </c>
      <c r="H307" s="73" t="str">
        <f t="shared" ca="1" si="166"/>
        <v>—</v>
      </c>
      <c r="I307" s="15">
        <f t="shared" ca="1" si="167"/>
        <v>7</v>
      </c>
      <c r="J307" s="73" t="str">
        <f t="shared" ca="1" si="168"/>
        <v>—</v>
      </c>
      <c r="K307" s="15">
        <f t="shared" ca="1" si="169"/>
        <v>7</v>
      </c>
      <c r="L307" s="16" t="str">
        <f t="shared" ca="1" si="170"/>
        <v>—</v>
      </c>
      <c r="M307" s="15">
        <f t="shared" ca="1" si="171"/>
        <v>7</v>
      </c>
      <c r="N307" s="16" t="str">
        <f t="shared" ca="1" si="172"/>
        <v>—</v>
      </c>
      <c r="O307" s="15">
        <f t="shared" ca="1" si="173"/>
        <v>7</v>
      </c>
      <c r="P307" s="16" t="str">
        <f t="shared" ca="1" si="174"/>
        <v>—</v>
      </c>
      <c r="Q307" s="15">
        <f t="shared" ca="1" si="175"/>
        <v>7</v>
      </c>
      <c r="R307" s="16" t="str">
        <f t="shared" ca="1" si="176"/>
        <v>—</v>
      </c>
      <c r="S307" s="15">
        <f t="shared" ca="1" si="177"/>
        <v>7</v>
      </c>
      <c r="T307" s="9" t="str">
        <f t="shared" ca="1" si="178"/>
        <v>—</v>
      </c>
      <c r="U307" s="15">
        <f t="shared" ca="1" si="179"/>
        <v>7</v>
      </c>
      <c r="V307" s="16" t="str">
        <f t="shared" ca="1" si="180"/>
        <v>—</v>
      </c>
      <c r="W307" s="15">
        <f t="shared" ca="1" si="181"/>
        <v>7</v>
      </c>
      <c r="X307" s="16" t="str">
        <f t="shared" ca="1" si="182"/>
        <v>—</v>
      </c>
      <c r="Y307" s="15">
        <f t="shared" ca="1" si="183"/>
        <v>7</v>
      </c>
      <c r="Z307" s="16" t="str">
        <f t="shared" ca="1" si="184"/>
        <v>—</v>
      </c>
      <c r="AA307" s="15">
        <f t="shared" ca="1" si="185"/>
        <v>7</v>
      </c>
      <c r="AB307" s="9" t="str">
        <f t="shared" ca="1" si="186"/>
        <v>—</v>
      </c>
      <c r="AC307" s="15">
        <f t="shared" ca="1" si="187"/>
        <v>7</v>
      </c>
      <c r="AD307" s="76" t="str">
        <f t="shared" ca="1" si="188"/>
        <v>—</v>
      </c>
      <c r="AE307" s="15">
        <f t="shared" ca="1" si="189"/>
        <v>7</v>
      </c>
      <c r="AF307" s="76" t="str">
        <f t="shared" ca="1" si="190"/>
        <v>—</v>
      </c>
      <c r="AG307" s="15">
        <f t="shared" ca="1" si="191"/>
        <v>7</v>
      </c>
      <c r="AH307" s="9" t="str">
        <f t="shared" ca="1" si="192"/>
        <v>—</v>
      </c>
      <c r="AI307" s="15">
        <f t="shared" ca="1" si="193"/>
        <v>7</v>
      </c>
      <c r="AJ307" s="26" t="str">
        <f t="shared" ca="1" si="194"/>
        <v>—</v>
      </c>
      <c r="AK307" s="15">
        <f t="shared" ca="1" si="195"/>
        <v>7</v>
      </c>
      <c r="AL307" s="9" t="str">
        <f t="shared" ca="1" si="196"/>
        <v>—</v>
      </c>
      <c r="AM307" s="15">
        <f t="shared" ca="1" si="197"/>
        <v>7</v>
      </c>
      <c r="AN307" s="9" t="str">
        <f t="shared" ca="1" si="198"/>
        <v>—</v>
      </c>
      <c r="AO307" s="15">
        <f t="shared" ca="1" si="199"/>
        <v>7</v>
      </c>
    </row>
    <row r="308" spans="1:41" x14ac:dyDescent="0.25">
      <c r="A308" s="4">
        <f t="shared" si="160"/>
        <v>78989</v>
      </c>
      <c r="B308" t="str">
        <f ca="1">TEXT(DATE(YEAR(Invoer!$A$5),1,1)+ROWS(B$2:B308)-1,"jjjjmmdd")</f>
        <v>19131103</v>
      </c>
      <c r="C308" s="72">
        <f t="shared" si="161"/>
        <v>800</v>
      </c>
      <c r="D308" s="16" t="str">
        <f t="shared" ca="1" si="162"/>
        <v>—</v>
      </c>
      <c r="E308" s="15">
        <f t="shared" ca="1" si="163"/>
        <v>7</v>
      </c>
      <c r="F308" s="73" t="str">
        <f t="shared" ca="1" si="164"/>
        <v>—</v>
      </c>
      <c r="G308" s="15">
        <f t="shared" ca="1" si="165"/>
        <v>7</v>
      </c>
      <c r="H308" s="73" t="str">
        <f t="shared" ca="1" si="166"/>
        <v>—</v>
      </c>
      <c r="I308" s="15">
        <f t="shared" ca="1" si="167"/>
        <v>7</v>
      </c>
      <c r="J308" s="73" t="str">
        <f t="shared" ca="1" si="168"/>
        <v>—</v>
      </c>
      <c r="K308" s="15">
        <f t="shared" ca="1" si="169"/>
        <v>7</v>
      </c>
      <c r="L308" s="16" t="str">
        <f t="shared" ca="1" si="170"/>
        <v>—</v>
      </c>
      <c r="M308" s="15">
        <f t="shared" ca="1" si="171"/>
        <v>7</v>
      </c>
      <c r="N308" s="16" t="str">
        <f t="shared" ca="1" si="172"/>
        <v>—</v>
      </c>
      <c r="O308" s="15">
        <f t="shared" ca="1" si="173"/>
        <v>7</v>
      </c>
      <c r="P308" s="16" t="str">
        <f t="shared" ca="1" si="174"/>
        <v>—</v>
      </c>
      <c r="Q308" s="15">
        <f t="shared" ca="1" si="175"/>
        <v>7</v>
      </c>
      <c r="R308" s="16" t="str">
        <f t="shared" ca="1" si="176"/>
        <v>—</v>
      </c>
      <c r="S308" s="15">
        <f t="shared" ca="1" si="177"/>
        <v>7</v>
      </c>
      <c r="T308" s="9" t="str">
        <f t="shared" ca="1" si="178"/>
        <v>—</v>
      </c>
      <c r="U308" s="15">
        <f t="shared" ca="1" si="179"/>
        <v>7</v>
      </c>
      <c r="V308" s="16" t="str">
        <f t="shared" ca="1" si="180"/>
        <v>—</v>
      </c>
      <c r="W308" s="15">
        <f t="shared" ca="1" si="181"/>
        <v>7</v>
      </c>
      <c r="X308" s="16" t="str">
        <f t="shared" ca="1" si="182"/>
        <v>—</v>
      </c>
      <c r="Y308" s="15">
        <f t="shared" ca="1" si="183"/>
        <v>7</v>
      </c>
      <c r="Z308" s="16" t="str">
        <f t="shared" ca="1" si="184"/>
        <v>—</v>
      </c>
      <c r="AA308" s="15">
        <f t="shared" ca="1" si="185"/>
        <v>7</v>
      </c>
      <c r="AB308" s="9" t="str">
        <f t="shared" ca="1" si="186"/>
        <v>—</v>
      </c>
      <c r="AC308" s="15">
        <f t="shared" ca="1" si="187"/>
        <v>7</v>
      </c>
      <c r="AD308" s="76" t="str">
        <f t="shared" ca="1" si="188"/>
        <v>—</v>
      </c>
      <c r="AE308" s="15">
        <f t="shared" ca="1" si="189"/>
        <v>7</v>
      </c>
      <c r="AF308" s="76" t="str">
        <f t="shared" ca="1" si="190"/>
        <v>—</v>
      </c>
      <c r="AG308" s="15">
        <f t="shared" ca="1" si="191"/>
        <v>7</v>
      </c>
      <c r="AH308" s="9" t="str">
        <f t="shared" ca="1" si="192"/>
        <v>—</v>
      </c>
      <c r="AI308" s="15">
        <f t="shared" ca="1" si="193"/>
        <v>7</v>
      </c>
      <c r="AJ308" s="26" t="str">
        <f t="shared" ca="1" si="194"/>
        <v>—</v>
      </c>
      <c r="AK308" s="15">
        <f t="shared" ca="1" si="195"/>
        <v>7</v>
      </c>
      <c r="AL308" s="9" t="str">
        <f t="shared" ca="1" si="196"/>
        <v>—</v>
      </c>
      <c r="AM308" s="15">
        <f t="shared" ca="1" si="197"/>
        <v>7</v>
      </c>
      <c r="AN308" s="9" t="str">
        <f t="shared" ca="1" si="198"/>
        <v>—</v>
      </c>
      <c r="AO308" s="15">
        <f t="shared" ca="1" si="199"/>
        <v>7</v>
      </c>
    </row>
    <row r="309" spans="1:41" x14ac:dyDescent="0.25">
      <c r="A309" s="4">
        <f t="shared" si="160"/>
        <v>78989</v>
      </c>
      <c r="B309" t="str">
        <f ca="1">TEXT(DATE(YEAR(Invoer!$A$5),1,1)+ROWS(B$2:B309)-1,"jjjjmmdd")</f>
        <v>19131104</v>
      </c>
      <c r="C309" s="72">
        <f t="shared" si="161"/>
        <v>800</v>
      </c>
      <c r="D309" s="16" t="str">
        <f t="shared" ca="1" si="162"/>
        <v>—</v>
      </c>
      <c r="E309" s="15">
        <f t="shared" ca="1" si="163"/>
        <v>7</v>
      </c>
      <c r="F309" s="73" t="str">
        <f t="shared" ca="1" si="164"/>
        <v>—</v>
      </c>
      <c r="G309" s="15">
        <f t="shared" ca="1" si="165"/>
        <v>7</v>
      </c>
      <c r="H309" s="73" t="str">
        <f t="shared" ca="1" si="166"/>
        <v>—</v>
      </c>
      <c r="I309" s="15">
        <f t="shared" ca="1" si="167"/>
        <v>7</v>
      </c>
      <c r="J309" s="73" t="str">
        <f t="shared" ca="1" si="168"/>
        <v>—</v>
      </c>
      <c r="K309" s="15">
        <f t="shared" ca="1" si="169"/>
        <v>7</v>
      </c>
      <c r="L309" s="16" t="str">
        <f t="shared" ca="1" si="170"/>
        <v>—</v>
      </c>
      <c r="M309" s="15">
        <f t="shared" ca="1" si="171"/>
        <v>7</v>
      </c>
      <c r="N309" s="16" t="str">
        <f t="shared" ca="1" si="172"/>
        <v>—</v>
      </c>
      <c r="O309" s="15">
        <f t="shared" ca="1" si="173"/>
        <v>7</v>
      </c>
      <c r="P309" s="16" t="str">
        <f t="shared" ca="1" si="174"/>
        <v>—</v>
      </c>
      <c r="Q309" s="15">
        <f t="shared" ca="1" si="175"/>
        <v>7</v>
      </c>
      <c r="R309" s="16" t="str">
        <f t="shared" ca="1" si="176"/>
        <v>—</v>
      </c>
      <c r="S309" s="15">
        <f t="shared" ca="1" si="177"/>
        <v>7</v>
      </c>
      <c r="T309" s="9" t="str">
        <f t="shared" ca="1" si="178"/>
        <v>—</v>
      </c>
      <c r="U309" s="15">
        <f t="shared" ca="1" si="179"/>
        <v>7</v>
      </c>
      <c r="V309" s="16" t="str">
        <f t="shared" ca="1" si="180"/>
        <v>—</v>
      </c>
      <c r="W309" s="15">
        <f t="shared" ca="1" si="181"/>
        <v>7</v>
      </c>
      <c r="X309" s="16" t="str">
        <f t="shared" ca="1" si="182"/>
        <v>—</v>
      </c>
      <c r="Y309" s="15">
        <f t="shared" ca="1" si="183"/>
        <v>7</v>
      </c>
      <c r="Z309" s="16" t="str">
        <f t="shared" ca="1" si="184"/>
        <v>—</v>
      </c>
      <c r="AA309" s="15">
        <f t="shared" ca="1" si="185"/>
        <v>7</v>
      </c>
      <c r="AB309" s="9" t="str">
        <f t="shared" ca="1" si="186"/>
        <v>—</v>
      </c>
      <c r="AC309" s="15">
        <f t="shared" ca="1" si="187"/>
        <v>7</v>
      </c>
      <c r="AD309" s="76" t="str">
        <f t="shared" ca="1" si="188"/>
        <v>—</v>
      </c>
      <c r="AE309" s="15">
        <f t="shared" ca="1" si="189"/>
        <v>7</v>
      </c>
      <c r="AF309" s="76" t="str">
        <f t="shared" ca="1" si="190"/>
        <v>—</v>
      </c>
      <c r="AG309" s="15">
        <f t="shared" ca="1" si="191"/>
        <v>7</v>
      </c>
      <c r="AH309" s="9" t="str">
        <f t="shared" ca="1" si="192"/>
        <v>—</v>
      </c>
      <c r="AI309" s="15">
        <f t="shared" ca="1" si="193"/>
        <v>7</v>
      </c>
      <c r="AJ309" s="26" t="str">
        <f t="shared" ca="1" si="194"/>
        <v>—</v>
      </c>
      <c r="AK309" s="15">
        <f t="shared" ca="1" si="195"/>
        <v>7</v>
      </c>
      <c r="AL309" s="9" t="str">
        <f t="shared" ca="1" si="196"/>
        <v>—</v>
      </c>
      <c r="AM309" s="15">
        <f t="shared" ca="1" si="197"/>
        <v>7</v>
      </c>
      <c r="AN309" s="9" t="str">
        <f t="shared" ca="1" si="198"/>
        <v>—</v>
      </c>
      <c r="AO309" s="15">
        <f t="shared" ca="1" si="199"/>
        <v>7</v>
      </c>
    </row>
    <row r="310" spans="1:41" x14ac:dyDescent="0.25">
      <c r="A310" s="4">
        <f t="shared" si="160"/>
        <v>78989</v>
      </c>
      <c r="B310" t="str">
        <f ca="1">TEXT(DATE(YEAR(Invoer!$A$5),1,1)+ROWS(B$2:B310)-1,"jjjjmmdd")</f>
        <v>19131105</v>
      </c>
      <c r="C310" s="72">
        <f t="shared" si="161"/>
        <v>800</v>
      </c>
      <c r="D310" s="16" t="str">
        <f t="shared" ca="1" si="162"/>
        <v>—</v>
      </c>
      <c r="E310" s="15">
        <f t="shared" ca="1" si="163"/>
        <v>7</v>
      </c>
      <c r="F310" s="73" t="str">
        <f t="shared" ca="1" si="164"/>
        <v>—</v>
      </c>
      <c r="G310" s="15">
        <f t="shared" ca="1" si="165"/>
        <v>7</v>
      </c>
      <c r="H310" s="73" t="str">
        <f t="shared" ca="1" si="166"/>
        <v>—</v>
      </c>
      <c r="I310" s="15">
        <f t="shared" ca="1" si="167"/>
        <v>7</v>
      </c>
      <c r="J310" s="73" t="str">
        <f t="shared" ca="1" si="168"/>
        <v>—</v>
      </c>
      <c r="K310" s="15">
        <f t="shared" ca="1" si="169"/>
        <v>7</v>
      </c>
      <c r="L310" s="16" t="str">
        <f t="shared" ca="1" si="170"/>
        <v>—</v>
      </c>
      <c r="M310" s="15">
        <f t="shared" ca="1" si="171"/>
        <v>7</v>
      </c>
      <c r="N310" s="16" t="str">
        <f t="shared" ca="1" si="172"/>
        <v>—</v>
      </c>
      <c r="O310" s="15">
        <f t="shared" ca="1" si="173"/>
        <v>7</v>
      </c>
      <c r="P310" s="16" t="str">
        <f t="shared" ca="1" si="174"/>
        <v>—</v>
      </c>
      <c r="Q310" s="15">
        <f t="shared" ca="1" si="175"/>
        <v>7</v>
      </c>
      <c r="R310" s="16" t="str">
        <f t="shared" ca="1" si="176"/>
        <v>—</v>
      </c>
      <c r="S310" s="15">
        <f t="shared" ca="1" si="177"/>
        <v>7</v>
      </c>
      <c r="T310" s="9" t="str">
        <f t="shared" ca="1" si="178"/>
        <v>—</v>
      </c>
      <c r="U310" s="15">
        <f t="shared" ca="1" si="179"/>
        <v>7</v>
      </c>
      <c r="V310" s="16" t="str">
        <f t="shared" ca="1" si="180"/>
        <v>—</v>
      </c>
      <c r="W310" s="15">
        <f t="shared" ca="1" si="181"/>
        <v>7</v>
      </c>
      <c r="X310" s="16" t="str">
        <f t="shared" ca="1" si="182"/>
        <v>—</v>
      </c>
      <c r="Y310" s="15">
        <f t="shared" ca="1" si="183"/>
        <v>7</v>
      </c>
      <c r="Z310" s="16" t="str">
        <f t="shared" ca="1" si="184"/>
        <v>—</v>
      </c>
      <c r="AA310" s="15">
        <f t="shared" ca="1" si="185"/>
        <v>7</v>
      </c>
      <c r="AB310" s="9" t="str">
        <f t="shared" ca="1" si="186"/>
        <v>—</v>
      </c>
      <c r="AC310" s="15">
        <f t="shared" ca="1" si="187"/>
        <v>7</v>
      </c>
      <c r="AD310" s="76" t="str">
        <f t="shared" ca="1" si="188"/>
        <v>—</v>
      </c>
      <c r="AE310" s="15">
        <f t="shared" ca="1" si="189"/>
        <v>7</v>
      </c>
      <c r="AF310" s="76" t="str">
        <f t="shared" ca="1" si="190"/>
        <v>—</v>
      </c>
      <c r="AG310" s="15">
        <f t="shared" ca="1" si="191"/>
        <v>7</v>
      </c>
      <c r="AH310" s="9" t="str">
        <f t="shared" ca="1" si="192"/>
        <v>—</v>
      </c>
      <c r="AI310" s="15">
        <f t="shared" ca="1" si="193"/>
        <v>7</v>
      </c>
      <c r="AJ310" s="26" t="str">
        <f t="shared" ca="1" si="194"/>
        <v>—</v>
      </c>
      <c r="AK310" s="15">
        <f t="shared" ca="1" si="195"/>
        <v>7</v>
      </c>
      <c r="AL310" s="9" t="str">
        <f t="shared" ca="1" si="196"/>
        <v>—</v>
      </c>
      <c r="AM310" s="15">
        <f t="shared" ca="1" si="197"/>
        <v>7</v>
      </c>
      <c r="AN310" s="9" t="str">
        <f t="shared" ca="1" si="198"/>
        <v>—</v>
      </c>
      <c r="AO310" s="15">
        <f t="shared" ca="1" si="199"/>
        <v>7</v>
      </c>
    </row>
    <row r="311" spans="1:41" x14ac:dyDescent="0.25">
      <c r="A311" s="4">
        <f t="shared" si="160"/>
        <v>78989</v>
      </c>
      <c r="B311" t="str">
        <f ca="1">TEXT(DATE(YEAR(Invoer!$A$5),1,1)+ROWS(B$2:B311)-1,"jjjjmmdd")</f>
        <v>19131106</v>
      </c>
      <c r="C311" s="72">
        <f t="shared" si="161"/>
        <v>800</v>
      </c>
      <c r="D311" s="16" t="str">
        <f t="shared" ca="1" si="162"/>
        <v>—</v>
      </c>
      <c r="E311" s="15">
        <f t="shared" ca="1" si="163"/>
        <v>7</v>
      </c>
      <c r="F311" s="73" t="str">
        <f t="shared" ca="1" si="164"/>
        <v>—</v>
      </c>
      <c r="G311" s="15">
        <f t="shared" ca="1" si="165"/>
        <v>7</v>
      </c>
      <c r="H311" s="73" t="str">
        <f t="shared" ca="1" si="166"/>
        <v>—</v>
      </c>
      <c r="I311" s="15">
        <f t="shared" ca="1" si="167"/>
        <v>7</v>
      </c>
      <c r="J311" s="73" t="str">
        <f t="shared" ca="1" si="168"/>
        <v>—</v>
      </c>
      <c r="K311" s="15">
        <f t="shared" ca="1" si="169"/>
        <v>7</v>
      </c>
      <c r="L311" s="16" t="str">
        <f t="shared" ca="1" si="170"/>
        <v>—</v>
      </c>
      <c r="M311" s="15">
        <f t="shared" ca="1" si="171"/>
        <v>7</v>
      </c>
      <c r="N311" s="16" t="str">
        <f t="shared" ca="1" si="172"/>
        <v>—</v>
      </c>
      <c r="O311" s="15">
        <f t="shared" ca="1" si="173"/>
        <v>7</v>
      </c>
      <c r="P311" s="16" t="str">
        <f t="shared" ca="1" si="174"/>
        <v>—</v>
      </c>
      <c r="Q311" s="15">
        <f t="shared" ca="1" si="175"/>
        <v>7</v>
      </c>
      <c r="R311" s="16" t="str">
        <f t="shared" ca="1" si="176"/>
        <v>—</v>
      </c>
      <c r="S311" s="15">
        <f t="shared" ca="1" si="177"/>
        <v>7</v>
      </c>
      <c r="T311" s="9" t="str">
        <f t="shared" ca="1" si="178"/>
        <v>—</v>
      </c>
      <c r="U311" s="15">
        <f t="shared" ca="1" si="179"/>
        <v>7</v>
      </c>
      <c r="V311" s="16" t="str">
        <f t="shared" ca="1" si="180"/>
        <v>—</v>
      </c>
      <c r="W311" s="15">
        <f t="shared" ca="1" si="181"/>
        <v>7</v>
      </c>
      <c r="X311" s="16" t="str">
        <f t="shared" ca="1" si="182"/>
        <v>—</v>
      </c>
      <c r="Y311" s="15">
        <f t="shared" ca="1" si="183"/>
        <v>7</v>
      </c>
      <c r="Z311" s="16" t="str">
        <f t="shared" ca="1" si="184"/>
        <v>—</v>
      </c>
      <c r="AA311" s="15">
        <f t="shared" ca="1" si="185"/>
        <v>7</v>
      </c>
      <c r="AB311" s="9" t="str">
        <f t="shared" ca="1" si="186"/>
        <v>—</v>
      </c>
      <c r="AC311" s="15">
        <f t="shared" ca="1" si="187"/>
        <v>7</v>
      </c>
      <c r="AD311" s="76" t="str">
        <f t="shared" ca="1" si="188"/>
        <v>—</v>
      </c>
      <c r="AE311" s="15">
        <f t="shared" ca="1" si="189"/>
        <v>7</v>
      </c>
      <c r="AF311" s="76" t="str">
        <f t="shared" ca="1" si="190"/>
        <v>—</v>
      </c>
      <c r="AG311" s="15">
        <f t="shared" ca="1" si="191"/>
        <v>7</v>
      </c>
      <c r="AH311" s="9" t="str">
        <f t="shared" ca="1" si="192"/>
        <v>—</v>
      </c>
      <c r="AI311" s="15">
        <f t="shared" ca="1" si="193"/>
        <v>7</v>
      </c>
      <c r="AJ311" s="26" t="str">
        <f t="shared" ca="1" si="194"/>
        <v>—</v>
      </c>
      <c r="AK311" s="15">
        <f t="shared" ca="1" si="195"/>
        <v>7</v>
      </c>
      <c r="AL311" s="9" t="str">
        <f t="shared" ca="1" si="196"/>
        <v>—</v>
      </c>
      <c r="AM311" s="15">
        <f t="shared" ca="1" si="197"/>
        <v>7</v>
      </c>
      <c r="AN311" s="9" t="str">
        <f t="shared" ca="1" si="198"/>
        <v>—</v>
      </c>
      <c r="AO311" s="15">
        <f t="shared" ca="1" si="199"/>
        <v>7</v>
      </c>
    </row>
    <row r="312" spans="1:41" x14ac:dyDescent="0.25">
      <c r="A312" s="4">
        <f t="shared" si="160"/>
        <v>78989</v>
      </c>
      <c r="B312" t="str">
        <f ca="1">TEXT(DATE(YEAR(Invoer!$A$5),1,1)+ROWS(B$2:B312)-1,"jjjjmmdd")</f>
        <v>19131107</v>
      </c>
      <c r="C312" s="72">
        <f t="shared" si="161"/>
        <v>800</v>
      </c>
      <c r="D312" s="16" t="str">
        <f t="shared" ca="1" si="162"/>
        <v>—</v>
      </c>
      <c r="E312" s="15">
        <f t="shared" ca="1" si="163"/>
        <v>7</v>
      </c>
      <c r="F312" s="73" t="str">
        <f t="shared" ca="1" si="164"/>
        <v>—</v>
      </c>
      <c r="G312" s="15">
        <f t="shared" ca="1" si="165"/>
        <v>7</v>
      </c>
      <c r="H312" s="73" t="str">
        <f t="shared" ca="1" si="166"/>
        <v>—</v>
      </c>
      <c r="I312" s="15">
        <f t="shared" ca="1" si="167"/>
        <v>7</v>
      </c>
      <c r="J312" s="73" t="str">
        <f t="shared" ca="1" si="168"/>
        <v>—</v>
      </c>
      <c r="K312" s="15">
        <f t="shared" ca="1" si="169"/>
        <v>7</v>
      </c>
      <c r="L312" s="16" t="str">
        <f t="shared" ca="1" si="170"/>
        <v>—</v>
      </c>
      <c r="M312" s="15">
        <f t="shared" ca="1" si="171"/>
        <v>7</v>
      </c>
      <c r="N312" s="16" t="str">
        <f t="shared" ca="1" si="172"/>
        <v>—</v>
      </c>
      <c r="O312" s="15">
        <f t="shared" ca="1" si="173"/>
        <v>7</v>
      </c>
      <c r="P312" s="16" t="str">
        <f t="shared" ca="1" si="174"/>
        <v>—</v>
      </c>
      <c r="Q312" s="15">
        <f t="shared" ca="1" si="175"/>
        <v>7</v>
      </c>
      <c r="R312" s="16" t="str">
        <f t="shared" ca="1" si="176"/>
        <v>—</v>
      </c>
      <c r="S312" s="15">
        <f t="shared" ca="1" si="177"/>
        <v>7</v>
      </c>
      <c r="T312" s="9" t="str">
        <f t="shared" ca="1" si="178"/>
        <v>—</v>
      </c>
      <c r="U312" s="15">
        <f t="shared" ca="1" si="179"/>
        <v>7</v>
      </c>
      <c r="V312" s="16" t="str">
        <f t="shared" ca="1" si="180"/>
        <v>—</v>
      </c>
      <c r="W312" s="15">
        <f t="shared" ca="1" si="181"/>
        <v>7</v>
      </c>
      <c r="X312" s="16" t="str">
        <f t="shared" ca="1" si="182"/>
        <v>—</v>
      </c>
      <c r="Y312" s="15">
        <f t="shared" ca="1" si="183"/>
        <v>7</v>
      </c>
      <c r="Z312" s="16" t="str">
        <f t="shared" ca="1" si="184"/>
        <v>—</v>
      </c>
      <c r="AA312" s="15">
        <f t="shared" ca="1" si="185"/>
        <v>7</v>
      </c>
      <c r="AB312" s="9" t="str">
        <f t="shared" ca="1" si="186"/>
        <v>—</v>
      </c>
      <c r="AC312" s="15">
        <f t="shared" ca="1" si="187"/>
        <v>7</v>
      </c>
      <c r="AD312" s="76" t="str">
        <f t="shared" ca="1" si="188"/>
        <v>—</v>
      </c>
      <c r="AE312" s="15">
        <f t="shared" ca="1" si="189"/>
        <v>7</v>
      </c>
      <c r="AF312" s="76" t="str">
        <f t="shared" ca="1" si="190"/>
        <v>—</v>
      </c>
      <c r="AG312" s="15">
        <f t="shared" ca="1" si="191"/>
        <v>7</v>
      </c>
      <c r="AH312" s="9" t="str">
        <f t="shared" ca="1" si="192"/>
        <v>—</v>
      </c>
      <c r="AI312" s="15">
        <f t="shared" ca="1" si="193"/>
        <v>7</v>
      </c>
      <c r="AJ312" s="26" t="str">
        <f t="shared" ca="1" si="194"/>
        <v>—</v>
      </c>
      <c r="AK312" s="15">
        <f t="shared" ca="1" si="195"/>
        <v>7</v>
      </c>
      <c r="AL312" s="9" t="str">
        <f t="shared" ca="1" si="196"/>
        <v>—</v>
      </c>
      <c r="AM312" s="15">
        <f t="shared" ca="1" si="197"/>
        <v>7</v>
      </c>
      <c r="AN312" s="9" t="str">
        <f t="shared" ca="1" si="198"/>
        <v>—</v>
      </c>
      <c r="AO312" s="15">
        <f t="shared" ca="1" si="199"/>
        <v>7</v>
      </c>
    </row>
    <row r="313" spans="1:41" x14ac:dyDescent="0.25">
      <c r="A313" s="4">
        <f t="shared" si="160"/>
        <v>78989</v>
      </c>
      <c r="B313" t="str">
        <f ca="1">TEXT(DATE(YEAR(Invoer!$A$5),1,1)+ROWS(B$2:B313)-1,"jjjjmmdd")</f>
        <v>19131108</v>
      </c>
      <c r="C313" s="72">
        <f t="shared" si="161"/>
        <v>800</v>
      </c>
      <c r="D313" s="16" t="str">
        <f t="shared" ca="1" si="162"/>
        <v>—</v>
      </c>
      <c r="E313" s="15">
        <f t="shared" ca="1" si="163"/>
        <v>7</v>
      </c>
      <c r="F313" s="73" t="str">
        <f t="shared" ca="1" si="164"/>
        <v>—</v>
      </c>
      <c r="G313" s="15">
        <f t="shared" ca="1" si="165"/>
        <v>7</v>
      </c>
      <c r="H313" s="73" t="str">
        <f t="shared" ca="1" si="166"/>
        <v>—</v>
      </c>
      <c r="I313" s="15">
        <f t="shared" ca="1" si="167"/>
        <v>7</v>
      </c>
      <c r="J313" s="73" t="str">
        <f t="shared" ca="1" si="168"/>
        <v>—</v>
      </c>
      <c r="K313" s="15">
        <f t="shared" ca="1" si="169"/>
        <v>7</v>
      </c>
      <c r="L313" s="16" t="str">
        <f t="shared" ca="1" si="170"/>
        <v>—</v>
      </c>
      <c r="M313" s="15">
        <f t="shared" ca="1" si="171"/>
        <v>7</v>
      </c>
      <c r="N313" s="16" t="str">
        <f t="shared" ca="1" si="172"/>
        <v>—</v>
      </c>
      <c r="O313" s="15">
        <f t="shared" ca="1" si="173"/>
        <v>7</v>
      </c>
      <c r="P313" s="16" t="str">
        <f t="shared" ca="1" si="174"/>
        <v>—</v>
      </c>
      <c r="Q313" s="15">
        <f t="shared" ca="1" si="175"/>
        <v>7</v>
      </c>
      <c r="R313" s="16" t="str">
        <f t="shared" ca="1" si="176"/>
        <v>—</v>
      </c>
      <c r="S313" s="15">
        <f t="shared" ca="1" si="177"/>
        <v>7</v>
      </c>
      <c r="T313" s="9" t="str">
        <f t="shared" ca="1" si="178"/>
        <v>—</v>
      </c>
      <c r="U313" s="15">
        <f t="shared" ca="1" si="179"/>
        <v>7</v>
      </c>
      <c r="V313" s="16" t="str">
        <f t="shared" ca="1" si="180"/>
        <v>—</v>
      </c>
      <c r="W313" s="15">
        <f t="shared" ca="1" si="181"/>
        <v>7</v>
      </c>
      <c r="X313" s="16" t="str">
        <f t="shared" ca="1" si="182"/>
        <v>—</v>
      </c>
      <c r="Y313" s="15">
        <f t="shared" ca="1" si="183"/>
        <v>7</v>
      </c>
      <c r="Z313" s="16" t="str">
        <f t="shared" ca="1" si="184"/>
        <v>—</v>
      </c>
      <c r="AA313" s="15">
        <f t="shared" ca="1" si="185"/>
        <v>7</v>
      </c>
      <c r="AB313" s="9" t="str">
        <f t="shared" ca="1" si="186"/>
        <v>—</v>
      </c>
      <c r="AC313" s="15">
        <f t="shared" ca="1" si="187"/>
        <v>7</v>
      </c>
      <c r="AD313" s="76" t="str">
        <f t="shared" ca="1" si="188"/>
        <v>—</v>
      </c>
      <c r="AE313" s="15">
        <f t="shared" ca="1" si="189"/>
        <v>7</v>
      </c>
      <c r="AF313" s="76" t="str">
        <f t="shared" ca="1" si="190"/>
        <v>—</v>
      </c>
      <c r="AG313" s="15">
        <f t="shared" ca="1" si="191"/>
        <v>7</v>
      </c>
      <c r="AH313" s="9" t="str">
        <f t="shared" ca="1" si="192"/>
        <v>—</v>
      </c>
      <c r="AI313" s="15">
        <f t="shared" ca="1" si="193"/>
        <v>7</v>
      </c>
      <c r="AJ313" s="26" t="str">
        <f t="shared" ca="1" si="194"/>
        <v>—</v>
      </c>
      <c r="AK313" s="15">
        <f t="shared" ca="1" si="195"/>
        <v>7</v>
      </c>
      <c r="AL313" s="9" t="str">
        <f t="shared" ca="1" si="196"/>
        <v>—</v>
      </c>
      <c r="AM313" s="15">
        <f t="shared" ca="1" si="197"/>
        <v>7</v>
      </c>
      <c r="AN313" s="9" t="str">
        <f t="shared" ca="1" si="198"/>
        <v>—</v>
      </c>
      <c r="AO313" s="15">
        <f t="shared" ca="1" si="199"/>
        <v>7</v>
      </c>
    </row>
    <row r="314" spans="1:41" x14ac:dyDescent="0.25">
      <c r="A314" s="4">
        <f t="shared" si="160"/>
        <v>78989</v>
      </c>
      <c r="B314" t="str">
        <f ca="1">TEXT(DATE(YEAR(Invoer!$A$5),1,1)+ROWS(B$2:B314)-1,"jjjjmmdd")</f>
        <v>19131109</v>
      </c>
      <c r="C314" s="72">
        <f t="shared" si="161"/>
        <v>800</v>
      </c>
      <c r="D314" s="16" t="str">
        <f t="shared" ca="1" si="162"/>
        <v>—</v>
      </c>
      <c r="E314" s="15">
        <f t="shared" ca="1" si="163"/>
        <v>7</v>
      </c>
      <c r="F314" s="73" t="str">
        <f t="shared" ca="1" si="164"/>
        <v>—</v>
      </c>
      <c r="G314" s="15">
        <f t="shared" ca="1" si="165"/>
        <v>7</v>
      </c>
      <c r="H314" s="73" t="str">
        <f t="shared" ca="1" si="166"/>
        <v>—</v>
      </c>
      <c r="I314" s="15">
        <f t="shared" ca="1" si="167"/>
        <v>7</v>
      </c>
      <c r="J314" s="73" t="str">
        <f t="shared" ca="1" si="168"/>
        <v>—</v>
      </c>
      <c r="K314" s="15">
        <f t="shared" ca="1" si="169"/>
        <v>7</v>
      </c>
      <c r="L314" s="16" t="str">
        <f t="shared" ca="1" si="170"/>
        <v>—</v>
      </c>
      <c r="M314" s="15">
        <f t="shared" ca="1" si="171"/>
        <v>7</v>
      </c>
      <c r="N314" s="16" t="str">
        <f t="shared" ca="1" si="172"/>
        <v>—</v>
      </c>
      <c r="O314" s="15">
        <f t="shared" ca="1" si="173"/>
        <v>7</v>
      </c>
      <c r="P314" s="16" t="str">
        <f t="shared" ca="1" si="174"/>
        <v>—</v>
      </c>
      <c r="Q314" s="15">
        <f t="shared" ca="1" si="175"/>
        <v>7</v>
      </c>
      <c r="R314" s="16" t="str">
        <f t="shared" ca="1" si="176"/>
        <v>—</v>
      </c>
      <c r="S314" s="15">
        <f t="shared" ca="1" si="177"/>
        <v>7</v>
      </c>
      <c r="T314" s="9" t="str">
        <f t="shared" ca="1" si="178"/>
        <v>—</v>
      </c>
      <c r="U314" s="15">
        <f t="shared" ca="1" si="179"/>
        <v>7</v>
      </c>
      <c r="V314" s="16" t="str">
        <f t="shared" ca="1" si="180"/>
        <v>—</v>
      </c>
      <c r="W314" s="15">
        <f t="shared" ca="1" si="181"/>
        <v>7</v>
      </c>
      <c r="X314" s="16" t="str">
        <f t="shared" ca="1" si="182"/>
        <v>—</v>
      </c>
      <c r="Y314" s="15">
        <f t="shared" ca="1" si="183"/>
        <v>7</v>
      </c>
      <c r="Z314" s="16" t="str">
        <f t="shared" ca="1" si="184"/>
        <v>—</v>
      </c>
      <c r="AA314" s="15">
        <f t="shared" ca="1" si="185"/>
        <v>7</v>
      </c>
      <c r="AB314" s="9" t="str">
        <f t="shared" ca="1" si="186"/>
        <v>—</v>
      </c>
      <c r="AC314" s="15">
        <f t="shared" ca="1" si="187"/>
        <v>7</v>
      </c>
      <c r="AD314" s="76" t="str">
        <f t="shared" ca="1" si="188"/>
        <v>—</v>
      </c>
      <c r="AE314" s="15">
        <f t="shared" ca="1" si="189"/>
        <v>7</v>
      </c>
      <c r="AF314" s="76" t="str">
        <f t="shared" ca="1" si="190"/>
        <v>—</v>
      </c>
      <c r="AG314" s="15">
        <f t="shared" ca="1" si="191"/>
        <v>7</v>
      </c>
      <c r="AH314" s="9" t="str">
        <f t="shared" ca="1" si="192"/>
        <v>—</v>
      </c>
      <c r="AI314" s="15">
        <f t="shared" ca="1" si="193"/>
        <v>7</v>
      </c>
      <c r="AJ314" s="26" t="str">
        <f t="shared" ca="1" si="194"/>
        <v>—</v>
      </c>
      <c r="AK314" s="15">
        <f t="shared" ca="1" si="195"/>
        <v>7</v>
      </c>
      <c r="AL314" s="9" t="str">
        <f t="shared" ca="1" si="196"/>
        <v>—</v>
      </c>
      <c r="AM314" s="15">
        <f t="shared" ca="1" si="197"/>
        <v>7</v>
      </c>
      <c r="AN314" s="9" t="str">
        <f t="shared" ca="1" si="198"/>
        <v>—</v>
      </c>
      <c r="AO314" s="15">
        <f t="shared" ca="1" si="199"/>
        <v>7</v>
      </c>
    </row>
    <row r="315" spans="1:41" x14ac:dyDescent="0.25">
      <c r="A315" s="4">
        <f t="shared" si="160"/>
        <v>78989</v>
      </c>
      <c r="B315" t="str">
        <f ca="1">TEXT(DATE(YEAR(Invoer!$A$5),1,1)+ROWS(B$2:B315)-1,"jjjjmmdd")</f>
        <v>19131110</v>
      </c>
      <c r="C315" s="72">
        <f t="shared" si="161"/>
        <v>800</v>
      </c>
      <c r="D315" s="16" t="str">
        <f t="shared" ca="1" si="162"/>
        <v>—</v>
      </c>
      <c r="E315" s="15">
        <f t="shared" ca="1" si="163"/>
        <v>7</v>
      </c>
      <c r="F315" s="73" t="str">
        <f t="shared" ca="1" si="164"/>
        <v>—</v>
      </c>
      <c r="G315" s="15">
        <f t="shared" ca="1" si="165"/>
        <v>7</v>
      </c>
      <c r="H315" s="73" t="str">
        <f t="shared" ca="1" si="166"/>
        <v>—</v>
      </c>
      <c r="I315" s="15">
        <f t="shared" ca="1" si="167"/>
        <v>7</v>
      </c>
      <c r="J315" s="73" t="str">
        <f t="shared" ca="1" si="168"/>
        <v>—</v>
      </c>
      <c r="K315" s="15">
        <f t="shared" ca="1" si="169"/>
        <v>7</v>
      </c>
      <c r="L315" s="16" t="str">
        <f t="shared" ca="1" si="170"/>
        <v>—</v>
      </c>
      <c r="M315" s="15">
        <f t="shared" ca="1" si="171"/>
        <v>7</v>
      </c>
      <c r="N315" s="16" t="str">
        <f t="shared" ca="1" si="172"/>
        <v>—</v>
      </c>
      <c r="O315" s="15">
        <f t="shared" ca="1" si="173"/>
        <v>7</v>
      </c>
      <c r="P315" s="16" t="str">
        <f t="shared" ca="1" si="174"/>
        <v>—</v>
      </c>
      <c r="Q315" s="15">
        <f t="shared" ca="1" si="175"/>
        <v>7</v>
      </c>
      <c r="R315" s="16" t="str">
        <f t="shared" ca="1" si="176"/>
        <v>—</v>
      </c>
      <c r="S315" s="15">
        <f t="shared" ca="1" si="177"/>
        <v>7</v>
      </c>
      <c r="T315" s="9" t="str">
        <f t="shared" ca="1" si="178"/>
        <v>—</v>
      </c>
      <c r="U315" s="15">
        <f t="shared" ca="1" si="179"/>
        <v>7</v>
      </c>
      <c r="V315" s="16" t="str">
        <f t="shared" ca="1" si="180"/>
        <v>—</v>
      </c>
      <c r="W315" s="15">
        <f t="shared" ca="1" si="181"/>
        <v>7</v>
      </c>
      <c r="X315" s="16" t="str">
        <f t="shared" ca="1" si="182"/>
        <v>—</v>
      </c>
      <c r="Y315" s="15">
        <f t="shared" ca="1" si="183"/>
        <v>7</v>
      </c>
      <c r="Z315" s="16" t="str">
        <f t="shared" ca="1" si="184"/>
        <v>—</v>
      </c>
      <c r="AA315" s="15">
        <f t="shared" ca="1" si="185"/>
        <v>7</v>
      </c>
      <c r="AB315" s="9" t="str">
        <f t="shared" ca="1" si="186"/>
        <v>—</v>
      </c>
      <c r="AC315" s="15">
        <f t="shared" ca="1" si="187"/>
        <v>7</v>
      </c>
      <c r="AD315" s="76" t="str">
        <f t="shared" ca="1" si="188"/>
        <v>—</v>
      </c>
      <c r="AE315" s="15">
        <f t="shared" ca="1" si="189"/>
        <v>7</v>
      </c>
      <c r="AF315" s="76" t="str">
        <f t="shared" ca="1" si="190"/>
        <v>—</v>
      </c>
      <c r="AG315" s="15">
        <f t="shared" ca="1" si="191"/>
        <v>7</v>
      </c>
      <c r="AH315" s="9" t="str">
        <f t="shared" ca="1" si="192"/>
        <v>—</v>
      </c>
      <c r="AI315" s="15">
        <f t="shared" ca="1" si="193"/>
        <v>7</v>
      </c>
      <c r="AJ315" s="26" t="str">
        <f t="shared" ca="1" si="194"/>
        <v>—</v>
      </c>
      <c r="AK315" s="15">
        <f t="shared" ca="1" si="195"/>
        <v>7</v>
      </c>
      <c r="AL315" s="9" t="str">
        <f t="shared" ca="1" si="196"/>
        <v>—</v>
      </c>
      <c r="AM315" s="15">
        <f t="shared" ca="1" si="197"/>
        <v>7</v>
      </c>
      <c r="AN315" s="9" t="str">
        <f t="shared" ca="1" si="198"/>
        <v>—</v>
      </c>
      <c r="AO315" s="15">
        <f t="shared" ca="1" si="199"/>
        <v>7</v>
      </c>
    </row>
    <row r="316" spans="1:41" x14ac:dyDescent="0.25">
      <c r="A316" s="4">
        <f t="shared" si="160"/>
        <v>78989</v>
      </c>
      <c r="B316" t="str">
        <f ca="1">TEXT(DATE(YEAR(Invoer!$A$5),1,1)+ROWS(B$2:B316)-1,"jjjjmmdd")</f>
        <v>19131111</v>
      </c>
      <c r="C316" s="72">
        <f t="shared" si="161"/>
        <v>800</v>
      </c>
      <c r="D316" s="16" t="str">
        <f t="shared" ca="1" si="162"/>
        <v>—</v>
      </c>
      <c r="E316" s="15">
        <f t="shared" ca="1" si="163"/>
        <v>7</v>
      </c>
      <c r="F316" s="73" t="str">
        <f t="shared" ca="1" si="164"/>
        <v>—</v>
      </c>
      <c r="G316" s="15">
        <f t="shared" ca="1" si="165"/>
        <v>7</v>
      </c>
      <c r="H316" s="73" t="str">
        <f t="shared" ca="1" si="166"/>
        <v>—</v>
      </c>
      <c r="I316" s="15">
        <f t="shared" ca="1" si="167"/>
        <v>7</v>
      </c>
      <c r="J316" s="73" t="str">
        <f t="shared" ca="1" si="168"/>
        <v>—</v>
      </c>
      <c r="K316" s="15">
        <f t="shared" ca="1" si="169"/>
        <v>7</v>
      </c>
      <c r="L316" s="16" t="str">
        <f t="shared" ca="1" si="170"/>
        <v>—</v>
      </c>
      <c r="M316" s="15">
        <f t="shared" ca="1" si="171"/>
        <v>7</v>
      </c>
      <c r="N316" s="16" t="str">
        <f t="shared" ca="1" si="172"/>
        <v>—</v>
      </c>
      <c r="O316" s="15">
        <f t="shared" ca="1" si="173"/>
        <v>7</v>
      </c>
      <c r="P316" s="16" t="str">
        <f t="shared" ca="1" si="174"/>
        <v>—</v>
      </c>
      <c r="Q316" s="15">
        <f t="shared" ca="1" si="175"/>
        <v>7</v>
      </c>
      <c r="R316" s="16" t="str">
        <f t="shared" ca="1" si="176"/>
        <v>—</v>
      </c>
      <c r="S316" s="15">
        <f t="shared" ca="1" si="177"/>
        <v>7</v>
      </c>
      <c r="T316" s="9" t="str">
        <f t="shared" ca="1" si="178"/>
        <v>—</v>
      </c>
      <c r="U316" s="15">
        <f t="shared" ca="1" si="179"/>
        <v>7</v>
      </c>
      <c r="V316" s="16" t="str">
        <f t="shared" ca="1" si="180"/>
        <v>—</v>
      </c>
      <c r="W316" s="15">
        <f t="shared" ca="1" si="181"/>
        <v>7</v>
      </c>
      <c r="X316" s="16" t="str">
        <f t="shared" ca="1" si="182"/>
        <v>—</v>
      </c>
      <c r="Y316" s="15">
        <f t="shared" ca="1" si="183"/>
        <v>7</v>
      </c>
      <c r="Z316" s="16" t="str">
        <f t="shared" ca="1" si="184"/>
        <v>—</v>
      </c>
      <c r="AA316" s="15">
        <f t="shared" ca="1" si="185"/>
        <v>7</v>
      </c>
      <c r="AB316" s="9" t="str">
        <f t="shared" ca="1" si="186"/>
        <v>—</v>
      </c>
      <c r="AC316" s="15">
        <f t="shared" ca="1" si="187"/>
        <v>7</v>
      </c>
      <c r="AD316" s="76" t="str">
        <f t="shared" ca="1" si="188"/>
        <v>—</v>
      </c>
      <c r="AE316" s="15">
        <f t="shared" ca="1" si="189"/>
        <v>7</v>
      </c>
      <c r="AF316" s="76" t="str">
        <f t="shared" ca="1" si="190"/>
        <v>—</v>
      </c>
      <c r="AG316" s="15">
        <f t="shared" ca="1" si="191"/>
        <v>7</v>
      </c>
      <c r="AH316" s="9" t="str">
        <f t="shared" ca="1" si="192"/>
        <v>—</v>
      </c>
      <c r="AI316" s="15">
        <f t="shared" ca="1" si="193"/>
        <v>7</v>
      </c>
      <c r="AJ316" s="26" t="str">
        <f t="shared" ca="1" si="194"/>
        <v>—</v>
      </c>
      <c r="AK316" s="15">
        <f t="shared" ca="1" si="195"/>
        <v>7</v>
      </c>
      <c r="AL316" s="9" t="str">
        <f t="shared" ca="1" si="196"/>
        <v>—</v>
      </c>
      <c r="AM316" s="15">
        <f t="shared" ca="1" si="197"/>
        <v>7</v>
      </c>
      <c r="AN316" s="9" t="str">
        <f t="shared" ca="1" si="198"/>
        <v>—</v>
      </c>
      <c r="AO316" s="15">
        <f t="shared" ca="1" si="199"/>
        <v>7</v>
      </c>
    </row>
    <row r="317" spans="1:41" x14ac:dyDescent="0.25">
      <c r="A317" s="4">
        <f t="shared" si="160"/>
        <v>78989</v>
      </c>
      <c r="B317" t="str">
        <f ca="1">TEXT(DATE(YEAR(Invoer!$A$5),1,1)+ROWS(B$2:B317)-1,"jjjjmmdd")</f>
        <v>19131112</v>
      </c>
      <c r="C317" s="72">
        <f t="shared" si="161"/>
        <v>800</v>
      </c>
      <c r="D317" s="16" t="str">
        <f t="shared" ca="1" si="162"/>
        <v>—</v>
      </c>
      <c r="E317" s="15">
        <f t="shared" ca="1" si="163"/>
        <v>7</v>
      </c>
      <c r="F317" s="73" t="str">
        <f t="shared" ca="1" si="164"/>
        <v>—</v>
      </c>
      <c r="G317" s="15">
        <f t="shared" ca="1" si="165"/>
        <v>7</v>
      </c>
      <c r="H317" s="73" t="str">
        <f t="shared" ca="1" si="166"/>
        <v>—</v>
      </c>
      <c r="I317" s="15">
        <f t="shared" ca="1" si="167"/>
        <v>7</v>
      </c>
      <c r="J317" s="73" t="str">
        <f t="shared" ca="1" si="168"/>
        <v>—</v>
      </c>
      <c r="K317" s="15">
        <f t="shared" ca="1" si="169"/>
        <v>7</v>
      </c>
      <c r="L317" s="16" t="str">
        <f t="shared" ca="1" si="170"/>
        <v>—</v>
      </c>
      <c r="M317" s="15">
        <f t="shared" ca="1" si="171"/>
        <v>7</v>
      </c>
      <c r="N317" s="16" t="str">
        <f t="shared" ca="1" si="172"/>
        <v>—</v>
      </c>
      <c r="O317" s="15">
        <f t="shared" ca="1" si="173"/>
        <v>7</v>
      </c>
      <c r="P317" s="16" t="str">
        <f t="shared" ca="1" si="174"/>
        <v>—</v>
      </c>
      <c r="Q317" s="15">
        <f t="shared" ca="1" si="175"/>
        <v>7</v>
      </c>
      <c r="R317" s="16" t="str">
        <f t="shared" ca="1" si="176"/>
        <v>—</v>
      </c>
      <c r="S317" s="15">
        <f t="shared" ca="1" si="177"/>
        <v>7</v>
      </c>
      <c r="T317" s="9" t="str">
        <f t="shared" ca="1" si="178"/>
        <v>—</v>
      </c>
      <c r="U317" s="15">
        <f t="shared" ca="1" si="179"/>
        <v>7</v>
      </c>
      <c r="V317" s="16" t="str">
        <f t="shared" ca="1" si="180"/>
        <v>—</v>
      </c>
      <c r="W317" s="15">
        <f t="shared" ca="1" si="181"/>
        <v>7</v>
      </c>
      <c r="X317" s="16" t="str">
        <f t="shared" ca="1" si="182"/>
        <v>—</v>
      </c>
      <c r="Y317" s="15">
        <f t="shared" ca="1" si="183"/>
        <v>7</v>
      </c>
      <c r="Z317" s="16" t="str">
        <f t="shared" ca="1" si="184"/>
        <v>—</v>
      </c>
      <c r="AA317" s="15">
        <f t="shared" ca="1" si="185"/>
        <v>7</v>
      </c>
      <c r="AB317" s="9" t="str">
        <f t="shared" ca="1" si="186"/>
        <v>—</v>
      </c>
      <c r="AC317" s="15">
        <f t="shared" ca="1" si="187"/>
        <v>7</v>
      </c>
      <c r="AD317" s="76" t="str">
        <f t="shared" ca="1" si="188"/>
        <v>—</v>
      </c>
      <c r="AE317" s="15">
        <f t="shared" ca="1" si="189"/>
        <v>7</v>
      </c>
      <c r="AF317" s="76" t="str">
        <f t="shared" ca="1" si="190"/>
        <v>—</v>
      </c>
      <c r="AG317" s="15">
        <f t="shared" ca="1" si="191"/>
        <v>7</v>
      </c>
      <c r="AH317" s="9" t="str">
        <f t="shared" ca="1" si="192"/>
        <v>—</v>
      </c>
      <c r="AI317" s="15">
        <f t="shared" ca="1" si="193"/>
        <v>7</v>
      </c>
      <c r="AJ317" s="26" t="str">
        <f t="shared" ca="1" si="194"/>
        <v>—</v>
      </c>
      <c r="AK317" s="15">
        <f t="shared" ca="1" si="195"/>
        <v>7</v>
      </c>
      <c r="AL317" s="9" t="str">
        <f t="shared" ca="1" si="196"/>
        <v>—</v>
      </c>
      <c r="AM317" s="15">
        <f t="shared" ca="1" si="197"/>
        <v>7</v>
      </c>
      <c r="AN317" s="9" t="str">
        <f t="shared" ca="1" si="198"/>
        <v>—</v>
      </c>
      <c r="AO317" s="15">
        <f t="shared" ca="1" si="199"/>
        <v>7</v>
      </c>
    </row>
    <row r="318" spans="1:41" x14ac:dyDescent="0.25">
      <c r="A318" s="4">
        <f t="shared" si="160"/>
        <v>78989</v>
      </c>
      <c r="B318" t="str">
        <f ca="1">TEXT(DATE(YEAR(Invoer!$A$5),1,1)+ROWS(B$2:B318)-1,"jjjjmmdd")</f>
        <v>19131113</v>
      </c>
      <c r="C318" s="72">
        <f t="shared" si="161"/>
        <v>800</v>
      </c>
      <c r="D318" s="16" t="str">
        <f t="shared" ca="1" si="162"/>
        <v>—</v>
      </c>
      <c r="E318" s="15">
        <f t="shared" ca="1" si="163"/>
        <v>7</v>
      </c>
      <c r="F318" s="73" t="str">
        <f t="shared" ca="1" si="164"/>
        <v>—</v>
      </c>
      <c r="G318" s="15">
        <f t="shared" ca="1" si="165"/>
        <v>7</v>
      </c>
      <c r="H318" s="73" t="str">
        <f t="shared" ca="1" si="166"/>
        <v>—</v>
      </c>
      <c r="I318" s="15">
        <f t="shared" ca="1" si="167"/>
        <v>7</v>
      </c>
      <c r="J318" s="73" t="str">
        <f t="shared" ca="1" si="168"/>
        <v>—</v>
      </c>
      <c r="K318" s="15">
        <f t="shared" ca="1" si="169"/>
        <v>7</v>
      </c>
      <c r="L318" s="16" t="str">
        <f t="shared" ca="1" si="170"/>
        <v>—</v>
      </c>
      <c r="M318" s="15">
        <f t="shared" ca="1" si="171"/>
        <v>7</v>
      </c>
      <c r="N318" s="16" t="str">
        <f t="shared" ca="1" si="172"/>
        <v>—</v>
      </c>
      <c r="O318" s="15">
        <f t="shared" ca="1" si="173"/>
        <v>7</v>
      </c>
      <c r="P318" s="16" t="str">
        <f t="shared" ca="1" si="174"/>
        <v>—</v>
      </c>
      <c r="Q318" s="15">
        <f t="shared" ca="1" si="175"/>
        <v>7</v>
      </c>
      <c r="R318" s="16" t="str">
        <f t="shared" ca="1" si="176"/>
        <v>—</v>
      </c>
      <c r="S318" s="15">
        <f t="shared" ca="1" si="177"/>
        <v>7</v>
      </c>
      <c r="T318" s="9" t="str">
        <f t="shared" ca="1" si="178"/>
        <v>—</v>
      </c>
      <c r="U318" s="15">
        <f t="shared" ca="1" si="179"/>
        <v>7</v>
      </c>
      <c r="V318" s="16" t="str">
        <f t="shared" ca="1" si="180"/>
        <v>—</v>
      </c>
      <c r="W318" s="15">
        <f t="shared" ca="1" si="181"/>
        <v>7</v>
      </c>
      <c r="X318" s="16" t="str">
        <f t="shared" ca="1" si="182"/>
        <v>—</v>
      </c>
      <c r="Y318" s="15">
        <f t="shared" ca="1" si="183"/>
        <v>7</v>
      </c>
      <c r="Z318" s="16" t="str">
        <f t="shared" ca="1" si="184"/>
        <v>—</v>
      </c>
      <c r="AA318" s="15">
        <f t="shared" ca="1" si="185"/>
        <v>7</v>
      </c>
      <c r="AB318" s="9" t="str">
        <f t="shared" ca="1" si="186"/>
        <v>—</v>
      </c>
      <c r="AC318" s="15">
        <f t="shared" ca="1" si="187"/>
        <v>7</v>
      </c>
      <c r="AD318" s="76" t="str">
        <f t="shared" ca="1" si="188"/>
        <v>—</v>
      </c>
      <c r="AE318" s="15">
        <f t="shared" ca="1" si="189"/>
        <v>7</v>
      </c>
      <c r="AF318" s="76" t="str">
        <f t="shared" ca="1" si="190"/>
        <v>—</v>
      </c>
      <c r="AG318" s="15">
        <f t="shared" ca="1" si="191"/>
        <v>7</v>
      </c>
      <c r="AH318" s="9" t="str">
        <f t="shared" ca="1" si="192"/>
        <v>—</v>
      </c>
      <c r="AI318" s="15">
        <f t="shared" ca="1" si="193"/>
        <v>7</v>
      </c>
      <c r="AJ318" s="26" t="str">
        <f t="shared" ca="1" si="194"/>
        <v>—</v>
      </c>
      <c r="AK318" s="15">
        <f t="shared" ca="1" si="195"/>
        <v>7</v>
      </c>
      <c r="AL318" s="9" t="str">
        <f t="shared" ca="1" si="196"/>
        <v>—</v>
      </c>
      <c r="AM318" s="15">
        <f t="shared" ca="1" si="197"/>
        <v>7</v>
      </c>
      <c r="AN318" s="9" t="str">
        <f t="shared" ca="1" si="198"/>
        <v>—</v>
      </c>
      <c r="AO318" s="15">
        <f t="shared" ca="1" si="199"/>
        <v>7</v>
      </c>
    </row>
    <row r="319" spans="1:41" x14ac:dyDescent="0.25">
      <c r="A319" s="4">
        <f t="shared" si="160"/>
        <v>78989</v>
      </c>
      <c r="B319" t="str">
        <f ca="1">TEXT(DATE(YEAR(Invoer!$A$5),1,1)+ROWS(B$2:B319)-1,"jjjjmmdd")</f>
        <v>19131114</v>
      </c>
      <c r="C319" s="72">
        <f t="shared" si="161"/>
        <v>800</v>
      </c>
      <c r="D319" s="16" t="str">
        <f t="shared" ca="1" si="162"/>
        <v>—</v>
      </c>
      <c r="E319" s="15">
        <f t="shared" ca="1" si="163"/>
        <v>7</v>
      </c>
      <c r="F319" s="73" t="str">
        <f t="shared" ca="1" si="164"/>
        <v>—</v>
      </c>
      <c r="G319" s="15">
        <f t="shared" ca="1" si="165"/>
        <v>7</v>
      </c>
      <c r="H319" s="73" t="str">
        <f t="shared" ca="1" si="166"/>
        <v>—</v>
      </c>
      <c r="I319" s="15">
        <f t="shared" ca="1" si="167"/>
        <v>7</v>
      </c>
      <c r="J319" s="73" t="str">
        <f t="shared" ca="1" si="168"/>
        <v>—</v>
      </c>
      <c r="K319" s="15">
        <f t="shared" ca="1" si="169"/>
        <v>7</v>
      </c>
      <c r="L319" s="16" t="str">
        <f t="shared" ca="1" si="170"/>
        <v>—</v>
      </c>
      <c r="M319" s="15">
        <f t="shared" ca="1" si="171"/>
        <v>7</v>
      </c>
      <c r="N319" s="16" t="str">
        <f t="shared" ca="1" si="172"/>
        <v>—</v>
      </c>
      <c r="O319" s="15">
        <f t="shared" ca="1" si="173"/>
        <v>7</v>
      </c>
      <c r="P319" s="16" t="str">
        <f t="shared" ca="1" si="174"/>
        <v>—</v>
      </c>
      <c r="Q319" s="15">
        <f t="shared" ca="1" si="175"/>
        <v>7</v>
      </c>
      <c r="R319" s="16" t="str">
        <f t="shared" ca="1" si="176"/>
        <v>—</v>
      </c>
      <c r="S319" s="15">
        <f t="shared" ca="1" si="177"/>
        <v>7</v>
      </c>
      <c r="T319" s="9" t="str">
        <f t="shared" ca="1" si="178"/>
        <v>—</v>
      </c>
      <c r="U319" s="15">
        <f t="shared" ca="1" si="179"/>
        <v>7</v>
      </c>
      <c r="V319" s="16" t="str">
        <f t="shared" ca="1" si="180"/>
        <v>—</v>
      </c>
      <c r="W319" s="15">
        <f t="shared" ca="1" si="181"/>
        <v>7</v>
      </c>
      <c r="X319" s="16" t="str">
        <f t="shared" ca="1" si="182"/>
        <v>—</v>
      </c>
      <c r="Y319" s="15">
        <f t="shared" ca="1" si="183"/>
        <v>7</v>
      </c>
      <c r="Z319" s="16" t="str">
        <f t="shared" ca="1" si="184"/>
        <v>—</v>
      </c>
      <c r="AA319" s="15">
        <f t="shared" ca="1" si="185"/>
        <v>7</v>
      </c>
      <c r="AB319" s="9" t="str">
        <f t="shared" ca="1" si="186"/>
        <v>—</v>
      </c>
      <c r="AC319" s="15">
        <f t="shared" ca="1" si="187"/>
        <v>7</v>
      </c>
      <c r="AD319" s="76" t="str">
        <f t="shared" ca="1" si="188"/>
        <v>—</v>
      </c>
      <c r="AE319" s="15">
        <f t="shared" ca="1" si="189"/>
        <v>7</v>
      </c>
      <c r="AF319" s="76" t="str">
        <f t="shared" ca="1" si="190"/>
        <v>—</v>
      </c>
      <c r="AG319" s="15">
        <f t="shared" ca="1" si="191"/>
        <v>7</v>
      </c>
      <c r="AH319" s="9" t="str">
        <f t="shared" ca="1" si="192"/>
        <v>—</v>
      </c>
      <c r="AI319" s="15">
        <f t="shared" ca="1" si="193"/>
        <v>7</v>
      </c>
      <c r="AJ319" s="26" t="str">
        <f t="shared" ca="1" si="194"/>
        <v>—</v>
      </c>
      <c r="AK319" s="15">
        <f t="shared" ca="1" si="195"/>
        <v>7</v>
      </c>
      <c r="AL319" s="9" t="str">
        <f t="shared" ca="1" si="196"/>
        <v>—</v>
      </c>
      <c r="AM319" s="15">
        <f t="shared" ca="1" si="197"/>
        <v>7</v>
      </c>
      <c r="AN319" s="9" t="str">
        <f t="shared" ca="1" si="198"/>
        <v>—</v>
      </c>
      <c r="AO319" s="15">
        <f t="shared" ca="1" si="199"/>
        <v>7</v>
      </c>
    </row>
    <row r="320" spans="1:41" x14ac:dyDescent="0.25">
      <c r="A320" s="4">
        <f t="shared" si="160"/>
        <v>78989</v>
      </c>
      <c r="B320" t="str">
        <f ca="1">TEXT(DATE(YEAR(Invoer!$A$5),1,1)+ROWS(B$2:B320)-1,"jjjjmmdd")</f>
        <v>19131115</v>
      </c>
      <c r="C320" s="72">
        <f t="shared" si="161"/>
        <v>800</v>
      </c>
      <c r="D320" s="16" t="str">
        <f t="shared" ca="1" si="162"/>
        <v>—</v>
      </c>
      <c r="E320" s="15">
        <f t="shared" ca="1" si="163"/>
        <v>7</v>
      </c>
      <c r="F320" s="73" t="str">
        <f t="shared" ca="1" si="164"/>
        <v>—</v>
      </c>
      <c r="G320" s="15">
        <f t="shared" ca="1" si="165"/>
        <v>7</v>
      </c>
      <c r="H320" s="73" t="str">
        <f t="shared" ca="1" si="166"/>
        <v>—</v>
      </c>
      <c r="I320" s="15">
        <f t="shared" ca="1" si="167"/>
        <v>7</v>
      </c>
      <c r="J320" s="73" t="str">
        <f t="shared" ca="1" si="168"/>
        <v>—</v>
      </c>
      <c r="K320" s="15">
        <f t="shared" ca="1" si="169"/>
        <v>7</v>
      </c>
      <c r="L320" s="16" t="str">
        <f t="shared" ca="1" si="170"/>
        <v>—</v>
      </c>
      <c r="M320" s="15">
        <f t="shared" ca="1" si="171"/>
        <v>7</v>
      </c>
      <c r="N320" s="16" t="str">
        <f t="shared" ca="1" si="172"/>
        <v>—</v>
      </c>
      <c r="O320" s="15">
        <f t="shared" ca="1" si="173"/>
        <v>7</v>
      </c>
      <c r="P320" s="16" t="str">
        <f t="shared" ca="1" si="174"/>
        <v>—</v>
      </c>
      <c r="Q320" s="15">
        <f t="shared" ca="1" si="175"/>
        <v>7</v>
      </c>
      <c r="R320" s="16" t="str">
        <f t="shared" ca="1" si="176"/>
        <v>—</v>
      </c>
      <c r="S320" s="15">
        <f t="shared" ca="1" si="177"/>
        <v>7</v>
      </c>
      <c r="T320" s="9" t="str">
        <f t="shared" ca="1" si="178"/>
        <v>—</v>
      </c>
      <c r="U320" s="15">
        <f t="shared" ca="1" si="179"/>
        <v>7</v>
      </c>
      <c r="V320" s="16" t="str">
        <f t="shared" ca="1" si="180"/>
        <v>—</v>
      </c>
      <c r="W320" s="15">
        <f t="shared" ca="1" si="181"/>
        <v>7</v>
      </c>
      <c r="X320" s="16" t="str">
        <f t="shared" ca="1" si="182"/>
        <v>—</v>
      </c>
      <c r="Y320" s="15">
        <f t="shared" ca="1" si="183"/>
        <v>7</v>
      </c>
      <c r="Z320" s="16" t="str">
        <f t="shared" ca="1" si="184"/>
        <v>—</v>
      </c>
      <c r="AA320" s="15">
        <f t="shared" ca="1" si="185"/>
        <v>7</v>
      </c>
      <c r="AB320" s="9" t="str">
        <f t="shared" ca="1" si="186"/>
        <v>—</v>
      </c>
      <c r="AC320" s="15">
        <f t="shared" ca="1" si="187"/>
        <v>7</v>
      </c>
      <c r="AD320" s="76" t="str">
        <f t="shared" ca="1" si="188"/>
        <v>—</v>
      </c>
      <c r="AE320" s="15">
        <f t="shared" ca="1" si="189"/>
        <v>7</v>
      </c>
      <c r="AF320" s="76" t="str">
        <f t="shared" ca="1" si="190"/>
        <v>—</v>
      </c>
      <c r="AG320" s="15">
        <f t="shared" ca="1" si="191"/>
        <v>7</v>
      </c>
      <c r="AH320" s="9" t="str">
        <f t="shared" ca="1" si="192"/>
        <v>—</v>
      </c>
      <c r="AI320" s="15">
        <f t="shared" ca="1" si="193"/>
        <v>7</v>
      </c>
      <c r="AJ320" s="26" t="str">
        <f t="shared" ca="1" si="194"/>
        <v>—</v>
      </c>
      <c r="AK320" s="15">
        <f t="shared" ca="1" si="195"/>
        <v>7</v>
      </c>
      <c r="AL320" s="9" t="str">
        <f t="shared" ca="1" si="196"/>
        <v>—</v>
      </c>
      <c r="AM320" s="15">
        <f t="shared" ca="1" si="197"/>
        <v>7</v>
      </c>
      <c r="AN320" s="9" t="str">
        <f t="shared" ca="1" si="198"/>
        <v>—</v>
      </c>
      <c r="AO320" s="15">
        <f t="shared" ca="1" si="199"/>
        <v>7</v>
      </c>
    </row>
    <row r="321" spans="1:41" x14ac:dyDescent="0.25">
      <c r="A321" s="4">
        <f t="shared" si="160"/>
        <v>78989</v>
      </c>
      <c r="B321" t="str">
        <f ca="1">TEXT(DATE(YEAR(Invoer!$A$5),1,1)+ROWS(B$2:B321)-1,"jjjjmmdd")</f>
        <v>19131116</v>
      </c>
      <c r="C321" s="72">
        <f t="shared" si="161"/>
        <v>800</v>
      </c>
      <c r="D321" s="16" t="str">
        <f t="shared" ca="1" si="162"/>
        <v>—</v>
      </c>
      <c r="E321" s="15">
        <f t="shared" ca="1" si="163"/>
        <v>7</v>
      </c>
      <c r="F321" s="73" t="str">
        <f t="shared" ca="1" si="164"/>
        <v>—</v>
      </c>
      <c r="G321" s="15">
        <f t="shared" ca="1" si="165"/>
        <v>7</v>
      </c>
      <c r="H321" s="73" t="str">
        <f t="shared" ca="1" si="166"/>
        <v>—</v>
      </c>
      <c r="I321" s="15">
        <f t="shared" ca="1" si="167"/>
        <v>7</v>
      </c>
      <c r="J321" s="73" t="str">
        <f t="shared" ca="1" si="168"/>
        <v>—</v>
      </c>
      <c r="K321" s="15">
        <f t="shared" ca="1" si="169"/>
        <v>7</v>
      </c>
      <c r="L321" s="16" t="str">
        <f t="shared" ca="1" si="170"/>
        <v>—</v>
      </c>
      <c r="M321" s="15">
        <f t="shared" ca="1" si="171"/>
        <v>7</v>
      </c>
      <c r="N321" s="16" t="str">
        <f t="shared" ca="1" si="172"/>
        <v>—</v>
      </c>
      <c r="O321" s="15">
        <f t="shared" ca="1" si="173"/>
        <v>7</v>
      </c>
      <c r="P321" s="16" t="str">
        <f t="shared" ca="1" si="174"/>
        <v>—</v>
      </c>
      <c r="Q321" s="15">
        <f t="shared" ca="1" si="175"/>
        <v>7</v>
      </c>
      <c r="R321" s="16" t="str">
        <f t="shared" ca="1" si="176"/>
        <v>—</v>
      </c>
      <c r="S321" s="15">
        <f t="shared" ca="1" si="177"/>
        <v>7</v>
      </c>
      <c r="T321" s="9" t="str">
        <f t="shared" ca="1" si="178"/>
        <v>—</v>
      </c>
      <c r="U321" s="15">
        <f t="shared" ca="1" si="179"/>
        <v>7</v>
      </c>
      <c r="V321" s="16" t="str">
        <f t="shared" ca="1" si="180"/>
        <v>—</v>
      </c>
      <c r="W321" s="15">
        <f t="shared" ca="1" si="181"/>
        <v>7</v>
      </c>
      <c r="X321" s="16" t="str">
        <f t="shared" ca="1" si="182"/>
        <v>—</v>
      </c>
      <c r="Y321" s="15">
        <f t="shared" ca="1" si="183"/>
        <v>7</v>
      </c>
      <c r="Z321" s="16" t="str">
        <f t="shared" ca="1" si="184"/>
        <v>—</v>
      </c>
      <c r="AA321" s="15">
        <f t="shared" ca="1" si="185"/>
        <v>7</v>
      </c>
      <c r="AB321" s="9" t="str">
        <f t="shared" ca="1" si="186"/>
        <v>—</v>
      </c>
      <c r="AC321" s="15">
        <f t="shared" ca="1" si="187"/>
        <v>7</v>
      </c>
      <c r="AD321" s="76" t="str">
        <f t="shared" ca="1" si="188"/>
        <v>—</v>
      </c>
      <c r="AE321" s="15">
        <f t="shared" ca="1" si="189"/>
        <v>7</v>
      </c>
      <c r="AF321" s="76" t="str">
        <f t="shared" ca="1" si="190"/>
        <v>—</v>
      </c>
      <c r="AG321" s="15">
        <f t="shared" ca="1" si="191"/>
        <v>7</v>
      </c>
      <c r="AH321" s="9" t="str">
        <f t="shared" ca="1" si="192"/>
        <v>—</v>
      </c>
      <c r="AI321" s="15">
        <f t="shared" ca="1" si="193"/>
        <v>7</v>
      </c>
      <c r="AJ321" s="26" t="str">
        <f t="shared" ca="1" si="194"/>
        <v>—</v>
      </c>
      <c r="AK321" s="15">
        <f t="shared" ca="1" si="195"/>
        <v>7</v>
      </c>
      <c r="AL321" s="9" t="str">
        <f t="shared" ca="1" si="196"/>
        <v>—</v>
      </c>
      <c r="AM321" s="15">
        <f t="shared" ca="1" si="197"/>
        <v>7</v>
      </c>
      <c r="AN321" s="9" t="str">
        <f t="shared" ca="1" si="198"/>
        <v>—</v>
      </c>
      <c r="AO321" s="15">
        <f t="shared" ca="1" si="199"/>
        <v>7</v>
      </c>
    </row>
    <row r="322" spans="1:41" x14ac:dyDescent="0.25">
      <c r="A322" s="4">
        <f t="shared" ref="A322:A366" si="200">INDEX(Stations,2,1)</f>
        <v>78989</v>
      </c>
      <c r="B322" t="str">
        <f ca="1">TEXT(DATE(YEAR(Invoer!$A$5),1,1)+ROWS(B$2:B322)-1,"jjjjmmdd")</f>
        <v>19131117</v>
      </c>
      <c r="C322" s="72">
        <f t="shared" ref="C322:C366" si="201">Tijd</f>
        <v>800</v>
      </c>
      <c r="D322" s="16" t="str">
        <f t="shared" ref="D322:D366" ca="1" si="202">IF(OR(ISBLANK(VLOOKUP(DATEVALUE(LEFT($B322,4)&amp;"-"&amp;MID($B322,5,2)&amp;"-"&amp;RIGHT($B322,2)),Data,MATCH(LEFT(VLOOKUP(D$1,Parameters,2,FALSE()),3)&amp;"*",OFFSET(Data,N(ISNA(MATCH(LEFT(VLOOKUP(D$1,Parameters,2,FALSE()),3)&amp;"*",OFFSET(Data,0,0,1),0))),0,1),0)+3*N(EXACT(D$1,"DFx")),FALSE())),ISTEXT(VLOOKUP(DATEVALUE(LEFT($B322,4)&amp;"-"&amp;MID($B322,5,2)&amp;"-"&amp;RIGHT($B322,2)),Data,MATCH(LEFT(VLOOKUP(D$1,Parameters,2,FALSE()),3)&amp;"*",OFFSET(Data,N(ISNA(MATCH(LEFT(VLOOKUP(D$1,Parameters,2,FALSE()),3)&amp;"*",OFFSET(Data,0,0,1),0))),0,1),0)+3*N(EXACT(D$1,"DFx")),FALSE()))),"—",ROUND(5*(VLOOKUP(DATEVALUE(LEFT($B322,4)&amp;"-"&amp;MID($B322,5,2)&amp;"-"&amp;RIGHT($B322,2)),Data,MATCH(LEFT(VLOOKUP(D$1,Parameters,2,FALSE()),3)&amp;"*",OFFSET(Data,N(ISNA(MATCH(LEFT(VLOOKUP(D$1,Parameters,2,FALSE()),3)&amp;"*",OFFSET(Data,0,0,1),0))),0,1),0)+3*N(EXACT(D$1,"DFx")),FALSE())-320)/90,1))</f>
        <v>—</v>
      </c>
      <c r="E322" s="15">
        <f t="shared" ref="E322:E366" ca="1" si="203">IF(OR(ISBLANK(VLOOKUP(DATEVALUE(LEFT($B322,4)&amp;"-"&amp;MID($B322,5,2)&amp;"-"&amp;RIGHT($B322,2)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322,4)&amp;"-"&amp;MID($B322,5,2)&amp;"-"&amp;RIGHT($B322,2)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322,4)&amp;"-"&amp;MID($B322,5,2)&amp;"-"&amp;RIGHT($B322,2)),OFFSET(Catalogus,0,0,,1),0)),Ok,VLOOKUP(DATEVALUE(LEFT($B322,4)&amp;"-"&amp;MID($B322,5,2)&amp;"-"&amp;RIGHT($B322,2)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322" s="73" t="str">
        <f t="shared" ref="F322:F366" ca="1" si="204">IF(OR(ISBLANK(VLOOKUP(DATEVALUE(LEFT($B322,4)&amp;"-"&amp;MID($B322,5,2)&amp;"-"&amp;RIGHT($B322,2)),Data,MATCH(LEFT(VLOOKUP(F$1,Parameters,2,FALSE()),3)&amp;"*",OFFSET(Data,N(ISNA(MATCH(LEFT(VLOOKUP(F$1,Parameters,2,FALSE()),3)&amp;"*",OFFSET(Data,0,0,1),0))),0,1),0)+3*N(EXACT(F$1,"DFx")),FALSE())),ISTEXT(VLOOKUP(DATEVALUE(LEFT($B322,4)&amp;"-"&amp;MID($B322,5,2)&amp;"-"&amp;RIGHT($B322,2)),Data,MATCH(LEFT(VLOOKUP(F$1,Parameters,2,FALSE()),3)&amp;"*",OFFSET(Data,N(ISNA(MATCH(LEFT(VLOOKUP(F$1,Parameters,2,FALSE()),3)&amp;"*",OFFSET(Data,0,0,1),0))),0,1),0)+3*N(EXACT(F$1,"DFx")),FALSE()))),"—",ROUND(0.0254*VLOOKUP(DATEVALUE(LEFT($B322,4)&amp;"-"&amp;MID($B322,5,2)&amp;"-"&amp;RIGHT($B322,2)),Data,MATCH(LEFT(VLOOKUP(F$1,Parameters,2,FALSE()),3)&amp;"*",OFFSET(Data,N(ISNA(MATCH(LEFT(VLOOKUP(F$1,Parameters,2,FALSE()),3)&amp;"*",OFFSET(Data,0,0,1),0))),0,1),0)+3*N(EXACT(F$1,"DFx")),FALSE()),2))</f>
        <v>—</v>
      </c>
      <c r="G322" s="15">
        <f t="shared" ref="G322:G366" ca="1" si="205">IF(OR(ISBLANK(VLOOKUP(DATEVALUE(LEFT($B322,4)&amp;"-"&amp;MID($B322,5,2)&amp;"-"&amp;RIGHT($B322,2)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322,4)&amp;"-"&amp;MID($B322,5,2)&amp;"-"&amp;RIGHT($B322,2)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322,4)&amp;"-"&amp;MID($B322,5,2)&amp;"-"&amp;RIGHT($B322,2)),OFFSET(Catalogus,0,0,,1),0)),Ok,VLOOKUP(DATEVALUE(LEFT($B322,4)&amp;"-"&amp;MID($B322,5,2)&amp;"-"&amp;RIGHT($B322,2)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322" s="73" t="str">
        <f t="shared" ref="H322:H366" ca="1" si="206">IF(OR(ISBLANK(VLOOKUP(DATEVALUE(LEFT($B322,4)&amp;"-"&amp;MID($B322,5,2)&amp;"-"&amp;RIGHT($B322,2)),Data,MATCH(LEFT(VLOOKUP(H$1,Parameters,2,FALSE()),3)&amp;"*",OFFSET(Data,N(ISNA(MATCH(LEFT(VLOOKUP(H$1,Parameters,2,FALSE()),3)&amp;"*",OFFSET(Data,0,0,1),0))),0,1),0)+3*N(EXACT(H$1,"DFx")),FALSE())),ISTEXT(VLOOKUP(DATEVALUE(LEFT($B322,4)&amp;"-"&amp;MID($B322,5,2)&amp;"-"&amp;RIGHT($B322,2)),Data,MATCH(LEFT(VLOOKUP(H$1,Parameters,2,FALSE()),3)&amp;"*",OFFSET(Data,N(ISNA(MATCH(LEFT(VLOOKUP(H$1,Parameters,2,FALSE()),3)&amp;"*",OFFSET(Data,0,0,1),0))),0,1),0)+3*N(EXACT(H$1,"DFx")),FALSE()))),"—",ROUND(0.0254*VLOOKUP(DATEVALUE(LEFT($B322,4)&amp;"-"&amp;MID($B322,5,2)&amp;"-"&amp;RIGHT($B322,2)),Data,MATCH(LEFT(VLOOKUP(H$1,Parameters,2,FALSE()),3)&amp;"*",OFFSET(Data,N(ISNA(MATCH(LEFT(VLOOKUP(H$1,Parameters,2,FALSE()),3)&amp;"*",OFFSET(Data,0,0,1),0))),0,1),0)+3*N(EXACT(H$1,"DFx")),FALSE()),2))</f>
        <v>—</v>
      </c>
      <c r="I322" s="15">
        <f t="shared" ref="I322:I366" ca="1" si="207">IF(OR(ISBLANK(VLOOKUP(DATEVALUE(LEFT($B322,4)&amp;"-"&amp;MID($B322,5,2)&amp;"-"&amp;RIGHT($B322,2)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322,4)&amp;"-"&amp;MID($B322,5,2)&amp;"-"&amp;RIGHT($B322,2)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322,4)&amp;"-"&amp;MID($B322,5,2)&amp;"-"&amp;RIGHT($B322,2)),OFFSET(Catalogus,0,0,,1),0)),Ok,VLOOKUP(DATEVALUE(LEFT($B322,4)&amp;"-"&amp;MID($B322,5,2)&amp;"-"&amp;RIGHT($B322,2)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322" s="73" t="str">
        <f t="shared" ref="J322:J366" ca="1" si="208">IF(OR(ISBLANK(VLOOKUP(DATEVALUE(LEFT($B322,4)&amp;"-"&amp;MID($B322,5,2)&amp;"-"&amp;RIGHT($B322,2)),Data,MATCH(LEFT(VLOOKUP(J$1,Parameters,2,FALSE()),3)&amp;"*",OFFSET(Data,N(ISNA(MATCH(LEFT(VLOOKUP(J$1,Parameters,2,FALSE()),3)&amp;"*",OFFSET(Data,0,0,1),0))),0,1),0)+3*N(EXACT(J$1,"DFx")),FALSE())),ISTEXT(VLOOKUP(DATEVALUE(LEFT($B322,4)&amp;"-"&amp;MID($B322,5,2)&amp;"-"&amp;RIGHT($B322,2)),Data,MATCH(LEFT(VLOOKUP(J$1,Parameters,2,FALSE()),3)&amp;"*",OFFSET(Data,N(ISNA(MATCH(LEFT(VLOOKUP(J$1,Parameters,2,FALSE()),3)&amp;"*",OFFSET(Data,0,0,1),0))),0,1),0)+3*N(EXACT(J$1,"DFx")),FALSE()))),"—",ROUND(0.0254*VLOOKUP(DATEVALUE(LEFT($B322,4)&amp;"-"&amp;MID($B322,5,2)&amp;"-"&amp;RIGHT($B322,2)),Data,MATCH(LEFT(VLOOKUP(J$1,Parameters,2,FALSE()),3)&amp;"*",OFFSET(Data,N(ISNA(MATCH(LEFT(VLOOKUP(J$1,Parameters,2,FALSE()),3)&amp;"*",OFFSET(Data,0,0,1),0))),0,1),0)+3*N(EXACT(J$1,"DFx")),FALSE()),2))</f>
        <v>—</v>
      </c>
      <c r="K322" s="15">
        <f t="shared" ref="K322:K366" ca="1" si="209">IF(OR(ISBLANK(VLOOKUP(DATEVALUE(LEFT($B322,4)&amp;"-"&amp;MID($B322,5,2)&amp;"-"&amp;RIGHT($B322,2)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322,4)&amp;"-"&amp;MID($B322,5,2)&amp;"-"&amp;RIGHT($B322,2)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322,4)&amp;"-"&amp;MID($B322,5,2)&amp;"-"&amp;RIGHT($B322,2)),OFFSET(Catalogus,0,0,,1),0)),Ok,VLOOKUP(DATEVALUE(LEFT($B322,4)&amp;"-"&amp;MID($B322,5,2)&amp;"-"&amp;RIGHT($B322,2)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322" s="16" t="str">
        <f t="shared" ref="L322:L366" ca="1" si="210">IF(OR(ISBLANK(VLOOKUP(DATEVALUE(LEFT($B322,4)&amp;"-"&amp;MID($B322,5,2)&amp;"-"&amp;RIGHT($B322,2)),Data,MATCH(LEFT(VLOOKUP(L$1,Parameters,2,FALSE()),3)&amp;"*",OFFSET(Data,N(ISNA(MATCH(LEFT(VLOOKUP(L$1,Parameters,2,FALSE()),3)&amp;"*",OFFSET(Data,0,0,1),0))),0,1),0)+3*N(EXACT(L$1,"DFx")),FALSE())),ISTEXT(VLOOKUP(DATEVALUE(LEFT($B322,4)&amp;"-"&amp;MID($B322,5,2)&amp;"-"&amp;RIGHT($B322,2)),Data,MATCH(LEFT(VLOOKUP(L$1,Parameters,2,FALSE()),3)&amp;"*",OFFSET(Data,N(ISNA(MATCH(LEFT(VLOOKUP(L$1,Parameters,2,FALSE()),3)&amp;"*",OFFSET(Data,0,0,1),0))),0,1),0)+3*N(EXACT(L$1,"DFx")),FALSE()))),"—",ROUND(0.254*VLOOKUP(DATEVALUE(LEFT($B322,4)&amp;"-"&amp;MID($B322,5,2)&amp;"-"&amp;RIGHT($B322,2)),Data,MATCH(LEFT(VLOOKUP(L$1,Parameters,2,FALSE()),3)&amp;"*",OFFSET(Data,N(ISNA(MATCH(LEFT(VLOOKUP(L$1,Parameters,2,FALSE()),3)&amp;"*",OFFSET(Data,0,0,1),0))),0,1),0)+3*N(EXACT(L$1,"DFx")),FALSE()),1))</f>
        <v>—</v>
      </c>
      <c r="M322" s="15">
        <f t="shared" ref="M322:M366" ca="1" si="211">IF(OR(ISBLANK(VLOOKUP(DATEVALUE(LEFT($B322,4)&amp;"-"&amp;MID($B322,5,2)&amp;"-"&amp;RIGHT($B322,2)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322,4)&amp;"-"&amp;MID($B322,5,2)&amp;"-"&amp;RIGHT($B322,2)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322,4)&amp;"-"&amp;MID($B322,5,2)&amp;"-"&amp;RIGHT($B322,2)),OFFSET(Catalogus,0,0,,1),0)),Ok,VLOOKUP(DATEVALUE(LEFT($B322,4)&amp;"-"&amp;MID($B322,5,2)&amp;"-"&amp;RIGHT($B322,2)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7</v>
      </c>
      <c r="N322" s="16" t="str">
        <f t="shared" ref="N322:N366" ca="1" si="212">IF(OR(ISBLANK(VLOOKUP(DATEVALUE(LEFT($B322,4)&amp;"-"&amp;MID($B322,5,2)&amp;"-"&amp;RIGHT($B322,2)),Data,MATCH(LEFT(VLOOKUP(N$1,Parameters,2,FALSE()),3)&amp;"*",OFFSET(Data,N(ISNA(MATCH(LEFT(VLOOKUP(N$1,Parameters,2,FALSE()),3)&amp;"*",OFFSET(Data,0,0,1),0))),0,1),0)+3*N(EXACT(N$1,"DFx")),FALSE())),ISTEXT(VLOOKUP(DATEVALUE(LEFT($B322,4)&amp;"-"&amp;MID($B322,5,2)&amp;"-"&amp;RIGHT($B322,2)),Data,MATCH(LEFT(VLOOKUP(N$1,Parameters,2,FALSE()),3)&amp;"*",OFFSET(Data,N(ISNA(MATCH(LEFT(VLOOKUP(N$1,Parameters,2,FALSE()),3)&amp;"*",OFFSET(Data,0,0,1),0))),0,1),0)+3*N(EXACT(N$1,"DFx")),FALSE()))),"—",ROUND(5*(VLOOKUP(DATEVALUE(LEFT($B322,4)&amp;"-"&amp;MID($B322,5,2)&amp;"-"&amp;RIGHT($B322,2)),Data,MATCH(LEFT(VLOOKUP(N$1,Parameters,2,FALSE()),3)&amp;"*",OFFSET(Data,N(ISNA(MATCH(LEFT(VLOOKUP(N$1,Parameters,2,FALSE()),3)&amp;"*",OFFSET(Data,0,0,1),0))),0,1),0)+3*N(EXACT(N$1,"DFx")),FALSE())-320)/90,1))</f>
        <v>—</v>
      </c>
      <c r="O322" s="15">
        <f t="shared" ref="O322:O366" ca="1" si="213">IF(OR(ISBLANK(VLOOKUP(DATEVALUE(LEFT($B322,4)&amp;"-"&amp;MID($B322,5,2)&amp;"-"&amp;RIGHT($B322,2)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322,4)&amp;"-"&amp;MID($B322,5,2)&amp;"-"&amp;RIGHT($B322,2)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322,4)&amp;"-"&amp;MID($B322,5,2)&amp;"-"&amp;RIGHT($B322,2)),OFFSET(Catalogus,0,0,,1),0)),Ok,VLOOKUP(DATEVALUE(LEFT($B322,4)&amp;"-"&amp;MID($B322,5,2)&amp;"-"&amp;RIGHT($B322,2)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322" s="16" t="str">
        <f t="shared" ref="P322:P366" ca="1" si="214">IF(OR(ISBLANK(VLOOKUP(DATEVALUE(LEFT($B322,4)&amp;"-"&amp;MID($B322,5,2)&amp;"-"&amp;RIGHT($B322,2)),Data,MATCH(LEFT(VLOOKUP(P$1,Parameters,2,FALSE()),3)&amp;"*",OFFSET(Data,N(ISNA(MATCH(LEFT(VLOOKUP(P$1,Parameters,2,FALSE()),3)&amp;"*",OFFSET(Data,0,0,1),0))),0,1),0)+3*N(EXACT(P$1,"DFx")),FALSE())),ISTEXT(VLOOKUP(DATEVALUE(LEFT($B322,4)&amp;"-"&amp;MID($B322,5,2)&amp;"-"&amp;RIGHT($B322,2)),Data,MATCH(LEFT(VLOOKUP(P$1,Parameters,2,FALSE()),3)&amp;"*",OFFSET(Data,N(ISNA(MATCH(LEFT(VLOOKUP(P$1,Parameters,2,FALSE()),3)&amp;"*",OFFSET(Data,0,0,1),0))),0,1),0)+3*N(EXACT(P$1,"DFx")),FALSE()))),"—",ROUND(5*(VLOOKUP(DATEVALUE(LEFT($B322,4)&amp;"-"&amp;MID($B322,5,2)&amp;"-"&amp;RIGHT($B322,2)),Data,MATCH(LEFT(VLOOKUP(P$1,Parameters,2,FALSE()),3)&amp;"*",OFFSET(Data,N(ISNA(MATCH(LEFT(VLOOKUP(P$1,Parameters,2,FALSE()),3)&amp;"*",OFFSET(Data,0,0,1),0))),0,1),0)+3*N(EXACT(P$1,"DFx")),FALSE())-320)/90,1))</f>
        <v>—</v>
      </c>
      <c r="Q322" s="15">
        <f t="shared" ref="Q322:Q366" ca="1" si="215">IF(OR(ISBLANK(VLOOKUP(DATEVALUE(LEFT($B322,4)&amp;"-"&amp;MID($B322,5,2)&amp;"-"&amp;RIGHT($B322,2)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322,4)&amp;"-"&amp;MID($B322,5,2)&amp;"-"&amp;RIGHT($B322,2)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322,4)&amp;"-"&amp;MID($B322,5,2)&amp;"-"&amp;RIGHT($B322,2)),OFFSET(Catalogus,0,0,,1),0)),Ok,VLOOKUP(DATEVALUE(LEFT($B322,4)&amp;"-"&amp;MID($B322,5,2)&amp;"-"&amp;RIGHT($B322,2)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322" s="16" t="str">
        <f t="shared" ref="R322:R366" ca="1" si="216">IF(OR(ISBLANK(VLOOKUP(DATEVALUE(LEFT($B322,4)&amp;"-"&amp;MID($B322,5,2)&amp;"-"&amp;RIGHT($B322,2)),Data,MATCH(LEFT(VLOOKUP(R$1,Parameters,2,FALSE()),3)&amp;"*",OFFSET(Data,N(ISNA(MATCH(LEFT(VLOOKUP(R$1,Parameters,2,FALSE()),3)&amp;"*",OFFSET(Data,0,0,1),0))),0,1),0)+3*N(EXACT(R$1,"DFx")),FALSE())),ISTEXT(VLOOKUP(DATEVALUE(LEFT($B322,4)&amp;"-"&amp;MID($B322,5,2)&amp;"-"&amp;RIGHT($B322,2)),Data,MATCH(LEFT(VLOOKUP(R$1,Parameters,2,FALSE()),3)&amp;"*",OFFSET(Data,N(ISNA(MATCH(LEFT(VLOOKUP(R$1,Parameters,2,FALSE()),3)&amp;"*",OFFSET(Data,0,0,1),0))),0,1),0)+3*N(EXACT(R$1,"DFx")),FALSE()))),"—",ROUND(5*(VLOOKUP(DATEVALUE(LEFT($B322,4)&amp;"-"&amp;MID($B322,5,2)&amp;"-"&amp;RIGHT($B322,2)),Data,MATCH(LEFT(VLOOKUP(R$1,Parameters,2,FALSE()),3)&amp;"*",OFFSET(Data,N(ISNA(MATCH(LEFT(VLOOKUP(R$1,Parameters,2,FALSE()),3)&amp;"*",OFFSET(Data,0,0,1),0))),0,1),0)+3*N(EXACT(R$1,"DFx")),FALSE())-320)/90,1))</f>
        <v>—</v>
      </c>
      <c r="S322" s="15">
        <f t="shared" ref="S322:S366" ca="1" si="217">IF(OR(ISBLANK(VLOOKUP(DATEVALUE(LEFT($B322,4)&amp;"-"&amp;MID($B322,5,2)&amp;"-"&amp;RIGHT($B322,2)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322,4)&amp;"-"&amp;MID($B322,5,2)&amp;"-"&amp;RIGHT($B322,2)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322,4)&amp;"-"&amp;MID($B322,5,2)&amp;"-"&amp;RIGHT($B322,2)),OFFSET(Catalogus,0,0,,1),0)),Ok,VLOOKUP(DATEVALUE(LEFT($B322,4)&amp;"-"&amp;MID($B322,5,2)&amp;"-"&amp;RIGHT($B322,2)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322" s="9" t="str">
        <f t="shared" ref="T322:T366" ca="1" si="218">IF(OR(ISBLANK(VLOOKUP(DATEVALUE(LEFT($B322,4)&amp;"-"&amp;MID($B322,5,2)&amp;"-"&amp;RIGHT($B322,2)),Data,MATCH(LEFT(VLOOKUP(T$1,Parameters,2,FALSE()),3)&amp;"*",OFFSET(Data,N(ISNA(MATCH(LEFT(VLOOKUP(T$1,Parameters,2,FALSE()),3)&amp;"*",OFFSET(Data,0,0,1),0))),0,1),0)+3*N(EXACT(T$1,"DFx")),FALSE())),ISTEXT(VLOOKUP(DATEVALUE(LEFT($B322,4)&amp;"-"&amp;MID($B322,5,2)&amp;"-"&amp;RIGHT($B322,2)),Data,MATCH(LEFT(VLOOKUP(T$1,Parameters,2,FALSE()),3)&amp;"*",OFFSET(Data,N(ISNA(MATCH(LEFT(VLOOKUP(T$1,Parameters,2,FALSE()),3)&amp;"*",OFFSET(Data,0,0,1),0))),0,1),0)+3*N(EXACT(T$1,"DFx")),FALSE()))),"—",VLOOKUP(DATEVALUE(LEFT($B322,4)&amp;"-"&amp;MID($B322,5,2)&amp;"-"&amp;RIGHT($B322,2)),Data,MATCH(LEFT(VLOOKUP(T$1,Parameters,2,FALSE()),3)&amp;"*",OFFSET(Data,N(ISNA(MATCH(LEFT(VLOOKUP(T$1,Parameters,2,FALSE()),3)&amp;"*",OFFSET(Data,0,0,1),0))),0,1),0)+3*N(EXACT(T$1,"DFx")),FALSE()))</f>
        <v>—</v>
      </c>
      <c r="U322" s="15">
        <f t="shared" ref="U322:U366" ca="1" si="219">IF(OR(ISBLANK(VLOOKUP(DATEVALUE(LEFT($B322,4)&amp;"-"&amp;MID($B322,5,2)&amp;"-"&amp;RIGHT($B322,2)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322,4)&amp;"-"&amp;MID($B322,5,2)&amp;"-"&amp;RIGHT($B322,2)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322,4)&amp;"-"&amp;MID($B322,5,2)&amp;"-"&amp;RIGHT($B322,2)),OFFSET(Catalogus,0,0,,1),0)),Ok,VLOOKUP(DATEVALUE(LEFT($B322,4)&amp;"-"&amp;MID($B322,5,2)&amp;"-"&amp;RIGHT($B322,2)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322" s="16" t="str">
        <f t="shared" ref="V322:V366" ca="1" si="220">IF(OR(ISBLANK(VLOOKUP(DATEVALUE(LEFT($B322,4)&amp;"-"&amp;MID($B322,5,2)&amp;"-"&amp;RIGHT($B322,2)),Data,MATCH(LEFT(VLOOKUP(V$1,Parameters,2,FALSE()),3)&amp;"*",OFFSET(Data,N(ISNA(MATCH(LEFT(VLOOKUP(V$1,Parameters,2,FALSE()),3)&amp;"*",OFFSET(Data,0,0,1),0))),0,1),0)+3*N(EXACT(V$1,"DFx")),FALSE())),ISTEXT(VLOOKUP(DATEVALUE(LEFT($B322,4)&amp;"-"&amp;MID($B322,5,2)&amp;"-"&amp;RIGHT($B322,2)),Data,MATCH(LEFT(VLOOKUP(V$1,Parameters,2,FALSE()),3)&amp;"*",OFFSET(Data,N(ISNA(MATCH(LEFT(VLOOKUP(V$1,Parameters,2,FALSE()),3)&amp;"*",OFFSET(Data,0,0,1),0))),0,1),0)+3*N(EXACT(V$1,"DFx")),FALSE()))),"—",ROUND(0.0254*VLOOKUP(DATEVALUE(LEFT($B322,4)&amp;"-"&amp;MID($B322,5,2)&amp;"-"&amp;RIGHT($B322,2)),Data,MATCH(LEFT(VLOOKUP(V$1,Parameters,2,FALSE()),3)&amp;"*",OFFSET(Data,N(ISNA(MATCH(LEFT(VLOOKUP(V$1,Parameters,2,FALSE()),3)&amp;"*",OFFSET(Data,0,0,1),0))),0,1),0)+3*N(EXACT(V$1,"DFx")),FALSE()),1))</f>
        <v>—</v>
      </c>
      <c r="W322" s="15">
        <f t="shared" ref="W322:W366" ca="1" si="221">IF(OR(ISBLANK(VLOOKUP(DATEVALUE(LEFT($B322,4)&amp;"-"&amp;MID($B322,5,2)&amp;"-"&amp;RIGHT($B322,2)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322,4)&amp;"-"&amp;MID($B322,5,2)&amp;"-"&amp;RIGHT($B322,2)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322,4)&amp;"-"&amp;MID($B322,5,2)&amp;"-"&amp;RIGHT($B322,2)),OFFSET(Catalogus,0,0,,1),0)),Ok,VLOOKUP(DATEVALUE(LEFT($B322,4)&amp;"-"&amp;MID($B322,5,2)&amp;"-"&amp;RIGHT($B322,2)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322" s="16" t="str">
        <f t="shared" ref="X322:X366" ca="1" si="222">IF(OR(ISBLANK(VLOOKUP(DATEVALUE(LEFT($B322,4)&amp;"-"&amp;MID($B322,5,2)&amp;"-"&amp;RIGHT($B322,2)),Data,MATCH(LEFT(VLOOKUP(X$1,Parameters,2,FALSE()),3)&amp;"*",OFFSET(Data,N(ISNA(MATCH(LEFT(VLOOKUP(X$1,Parameters,2,FALSE()),3)&amp;"*",OFFSET(Data,0,0,1),0))),0,1),0)+3*N(EXACT(X$1,"DFx")),FALSE())),ISTEXT(VLOOKUP(DATEVALUE(LEFT($B322,4)&amp;"-"&amp;MID($B322,5,2)&amp;"-"&amp;RIGHT($B322,2)),Data,MATCH(LEFT(VLOOKUP(X$1,Parameters,2,FALSE()),3)&amp;"*",OFFSET(Data,N(ISNA(MATCH(LEFT(VLOOKUP(X$1,Parameters,2,FALSE()),3)&amp;"*",OFFSET(Data,0,0,1),0))),0,1),0)+3*N(EXACT(X$1,"DFx")),FALSE()))),"—",ROUND(5*(VLOOKUP(DATEVALUE(LEFT($B322,4)&amp;"-"&amp;MID($B322,5,2)&amp;"-"&amp;RIGHT($B322,2)),Data,MATCH(LEFT(VLOOKUP(X$1,Parameters,2,FALSE()),3)&amp;"*",OFFSET(Data,N(ISNA(MATCH(LEFT(VLOOKUP(X$1,Parameters,2,FALSE()),3)&amp;"*",OFFSET(Data,0,0,1),0))),0,1),0)+3*N(EXACT(X$1,"DFx")),FALSE())-320)/90,1))</f>
        <v>—</v>
      </c>
      <c r="Y322" s="15">
        <f t="shared" ref="Y322:Y366" ca="1" si="223">IF(OR(ISBLANK(VLOOKUP(DATEVALUE(LEFT($B322,4)&amp;"-"&amp;MID($B322,5,2)&amp;"-"&amp;RIGHT($B322,2)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322,4)&amp;"-"&amp;MID($B322,5,2)&amp;"-"&amp;RIGHT($B322,2)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322,4)&amp;"-"&amp;MID($B322,5,2)&amp;"-"&amp;RIGHT($B322,2)),OFFSET(Catalogus,0,0,,1),0)),Ok,VLOOKUP(DATEVALUE(LEFT($B322,4)&amp;"-"&amp;MID($B322,5,2)&amp;"-"&amp;RIGHT($B322,2)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7</v>
      </c>
      <c r="Z322" s="16" t="str">
        <f t="shared" ref="Z322:Z366" ca="1" si="224">IF(OR(ISBLANK(VLOOKUP(DATEVALUE(LEFT($B322,4)&amp;"-"&amp;MID($B322,5,2)&amp;"-"&amp;RIGHT($B322,2)),Data,MATCH(LEFT(VLOOKUP(Z$1,Parameters,2,FALSE()),3)&amp;"*",OFFSET(Data,N(ISNA(MATCH(LEFT(VLOOKUP(Z$1,Parameters,2,FALSE()),3)&amp;"*",OFFSET(Data,0,0,1),0))),0,1),0)+3*N(EXACT(Z$1,"DFx")),FALSE())),ISTEXT(VLOOKUP(DATEVALUE(LEFT($B322,4)&amp;"-"&amp;MID($B322,5,2)&amp;"-"&amp;RIGHT($B322,2)),Data,MATCH(LEFT(VLOOKUP(Z$1,Parameters,2,FALSE()),3)&amp;"*",OFFSET(Data,N(ISNA(MATCH(LEFT(VLOOKUP(Z$1,Parameters,2,FALSE()),3)&amp;"*",OFFSET(Data,0,0,1),0))),0,1),0)+3*N(EXACT(Z$1,"DFx")),FALSE()))),"—",ROUND(5*(VLOOKUP(DATEVALUE(LEFT($B322,4)&amp;"-"&amp;MID($B322,5,2)&amp;"-"&amp;RIGHT($B322,2)),Data,MATCH(LEFT(VLOOKUP(Z$1,Parameters,2,FALSE()),3)&amp;"*",OFFSET(Data,N(ISNA(MATCH(LEFT(VLOOKUP(Z$1,Parameters,2,FALSE()),3)&amp;"*",OFFSET(Data,0,0,1),0))),0,1),0)+3*N(EXACT(Z$1,"DFx")),FALSE())-320)/90,1))</f>
        <v>—</v>
      </c>
      <c r="AA322" s="15">
        <f t="shared" ref="AA322:AA366" ca="1" si="225">IF(OR(ISBLANK(VLOOKUP(DATEVALUE(LEFT($B322,4)&amp;"-"&amp;MID($B322,5,2)&amp;"-"&amp;RIGHT($B322,2)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322,4)&amp;"-"&amp;MID($B322,5,2)&amp;"-"&amp;RIGHT($B322,2)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322,4)&amp;"-"&amp;MID($B322,5,2)&amp;"-"&amp;RIGHT($B322,2)),OFFSET(Catalogus,0,0,,1),0)),Ok,VLOOKUP(DATEVALUE(LEFT($B322,4)&amp;"-"&amp;MID($B322,5,2)&amp;"-"&amp;RIGHT($B322,2)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7</v>
      </c>
      <c r="AB322" s="9" t="str">
        <f t="shared" ref="AB322:AB366" ca="1" si="226">IF(OR(ISBLANK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AND(ISTEXT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ISNA(MATCH(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,OFFSET(Windrichting,0,1,,1),0),1))</f>
        <v>—</v>
      </c>
      <c r="AC322" s="15">
        <f t="shared" ref="AC322:AC366" ca="1" si="227">IF(OR(ISBLANK(VLOOKUP(DATEVALUE(LEFT($B322,4)&amp;"-"&amp;MID($B322,5,2)&amp;"-"&amp;RIGHT($B322,2)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ISNA(MATCH(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322,4)&amp;"-"&amp;MID($B322,5,2)&amp;"-"&amp;RIGHT($B322,2)),OFFSET(Catalogus,0,0,,1),0)),Ok,VLOOKUP(DATEVALUE(LEFT($B322,4)&amp;"-"&amp;MID($B322,5,2)&amp;"-"&amp;RIGHT($B322,2)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7</v>
      </c>
      <c r="AD322" s="76" t="str">
        <f t="shared" ref="AD322:AD366" ca="1" si="228">IF(OR(ISBLANK(VLOOKUP(DATEVALUE(LEFT($B322,4)&amp;"-"&amp;MID($B322,5,2)&amp;"-"&amp;RIGHT($B322,2)),Data,MATCH(LEFT(VLOOKUP(AD$1,Parameters,2,FALSE()),3)&amp;"*",OFFSET(Data,N(ISNA(MATCH(LEFT(VLOOKUP(AD$1,Parameters,2,FALSE()),3)&amp;"*",OFFSET(Data,0,0,1),0))),0,1),0)+3*N(EXACT(AD$1,"DFx")),FALSE())),ISTEXT(VLOOKUP(DATEVALUE(LEFT($B322,4)&amp;"-"&amp;MID($B322,5,2)&amp;"-"&amp;RIGHT($B322,2)),Data,MATCH(LEFT(VLOOKUP(AD$1,Parameters,2,FALSE()),3)&amp;"*",OFFSET(Data,N(ISNA(MATCH(LEFT(VLOOKUP(AD$1,Parameters,2,FALSE()),3)&amp;"*",OFFSET(Data,0,0,1),0))),0,1),0)+3*N(EXACT(AD$1,"DFx")),FALSE()))),"—",ROUND(Kts*VLOOKUP(DATEVALUE(LEFT($B322,4)&amp;"-"&amp;MID($B322,5,2)&amp;"-"&amp;RIGHT($B322,2)),Data,MATCH(LEFT(VLOOKUP(AD$1,Parameters,2,FALSE()),3)&amp;"*",OFFSET(Data,N(ISNA(MATCH(LEFT(VLOOKUP(AD$1,Parameters,2,FALSE()),3)&amp;"*",OFFSET(Data,0,0,1),0))),0,1),0)+3*N(EXACT(AD$1,"DFx")),FALSE()),1))</f>
        <v>—</v>
      </c>
      <c r="AE322" s="15">
        <f t="shared" ref="AE322:AE366" ca="1" si="229">IF(OR(ISBLANK(VLOOKUP(DATEVALUE(LEFT($B322,4)&amp;"-"&amp;MID($B322,5,2)&amp;"-"&amp;RIGHT($B322,2)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322,4)&amp;"-"&amp;MID($B322,5,2)&amp;"-"&amp;RIGHT($B322,2)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322,4)&amp;"-"&amp;MID($B322,5,2)&amp;"-"&amp;RIGHT($B322,2)),OFFSET(Catalogus,0,0,,1),0)),Ok,VLOOKUP(DATEVALUE(LEFT($B322,4)&amp;"-"&amp;MID($B322,5,2)&amp;"-"&amp;RIGHT($B322,2)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7</v>
      </c>
      <c r="AF322" s="76" t="str">
        <f t="shared" ref="AF322:AF366" ca="1" si="230">IF(OR(ISBLANK(VLOOKUP(DATEVALUE(LEFT($B322,4)&amp;"-"&amp;MID($B322,5,2)&amp;"-"&amp;RIGHT($B322,2)),Data,MATCH(LEFT(VLOOKUP(AF$1,Parameters,2,FALSE()),3)&amp;"*",OFFSET(Data,N(ISNA(MATCH(LEFT(VLOOKUP(AF$1,Parameters,2,FALSE()),3)&amp;"*",OFFSET(Data,0,0,1),0))),0,1),0)+3*N(EXACT(AF$1,"DFx")),FALSE())),ISTEXT(VLOOKUP(DATEVALUE(LEFT($B322,4)&amp;"-"&amp;MID($B322,5,2)&amp;"-"&amp;RIGHT($B322,2)),Data,MATCH(LEFT(VLOOKUP(AF$1,Parameters,2,FALSE()),3)&amp;"*",OFFSET(Data,N(ISNA(MATCH(LEFT(VLOOKUP(AF$1,Parameters,2,FALSE()),3)&amp;"*",OFFSET(Data,0,0,1),0))),0,1),0)+3*N(EXACT(AF$1,"DFx")),FALSE()))),"—",ROUND(Kts*VLOOKUP(DATEVALUE(LEFT($B322,4)&amp;"-"&amp;MID($B322,5,2)&amp;"-"&amp;RIGHT($B322,2)),Data,MATCH(LEFT(VLOOKUP(AF$1,Parameters,2,FALSE()),3)&amp;"*",OFFSET(Data,N(ISNA(MATCH(LEFT(VLOOKUP(AF$1,Parameters,2,FALSE()),3)&amp;"*",OFFSET(Data,0,0,1),0))),0,1),0)+3*N(EXACT(AF$1,"DFx")),FALSE()),1))</f>
        <v>—</v>
      </c>
      <c r="AG322" s="15">
        <f t="shared" ref="AG322:AG366" ca="1" si="231">IF(OR(ISBLANK(VLOOKUP(DATEVALUE(LEFT($B322,4)&amp;"-"&amp;MID($B322,5,2)&amp;"-"&amp;RIGHT($B322,2)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322,4)&amp;"-"&amp;MID($B322,5,2)&amp;"-"&amp;RIGHT($B322,2)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322,4)&amp;"-"&amp;MID($B322,5,2)&amp;"-"&amp;RIGHT($B322,2)),OFFSET(Catalogus,0,0,,1),0)),Ok,VLOOKUP(DATEVALUE(LEFT($B322,4)&amp;"-"&amp;MID($B322,5,2)&amp;"-"&amp;RIGHT($B322,2)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322" s="9" t="str">
        <f t="shared" ref="AH322:AH366" ca="1" si="232">IF(OR(ISBLANK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AND(ISTEXT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ISNA(MATCH(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322" s="15">
        <f t="shared" ref="AI322:AI366" ca="1" si="233">IF(OR(ISBLANK(VLOOKUP(DATEVALUE(LEFT($B322,4)&amp;"-"&amp;MID($B322,5,2)&amp;"-"&amp;RIGHT($B322,2)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ISNA(MATCH(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322,4)&amp;"-"&amp;MID($B322,5,2)&amp;"-"&amp;RIGHT($B322,2)),OFFSET(Catalogus,0,0,,1),0)),Ok,VLOOKUP(DATEVALUE(LEFT($B322,4)&amp;"-"&amp;MID($B322,5,2)&amp;"-"&amp;RIGHT($B322,2)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322" s="26" t="str">
        <f t="shared" ref="AJ322:AJ366" ca="1" si="234">IF(OR(ISBLANK(VLOOKUP(DATEVALUE(LEFT($B322,4)&amp;"-"&amp;MID($B322,5,2)&amp;"-"&amp;RIGHT($B322,2)),Data,MATCH(LEFT(VLOOKUP(AJ$1,Parameters,2,FALSE()),3)&amp;"*",OFFSET(Data,N(ISNA(MATCH(LEFT(VLOOKUP(AJ$1,Parameters,2,FALSE()),3)&amp;"*",OFFSET(Data,0,0,1),0))),0,1),0)+3*N(EXACT(AJ$1,"DFx")),FALSE())),ISTEXT(VLOOKUP(DATEVALUE(LEFT($B322,4)&amp;"-"&amp;MID($B322,5,2)&amp;"-"&amp;RIGHT($B322,2)),Data,MATCH(LEFT(VLOOKUP(AJ$1,Parameters,2,FALSE()),3)&amp;"*",OFFSET(Data,N(ISNA(MATCH(LEFT(VLOOKUP(AJ$1,Parameters,2,FALSE()),3)&amp;"*",OFFSET(Data,0,0,1),0))),0,1),0)+3*N(EXACT(AJ$1,"DFx")),FALSE()))),"—",VLOOKUP(DATEVALUE(LEFT($B322,4)&amp;"-"&amp;MID($B322,5,2)&amp;"-"&amp;RIGHT($B322,2)),Data,MATCH(LEFT(VLOOKUP(AJ$1,Parameters,2,FALSE()),3)&amp;"*",OFFSET(Data,N(ISNA(MATCH(LEFT(VLOOKUP(AJ$1,Parameters,2,FALSE()),3)&amp;"*",OFFSET(Data,0,0,1),0))),0,1),0)+3*N(EXACT(AJ$1,"DFx")),FALSE()))</f>
        <v>—</v>
      </c>
      <c r="AK322" s="15">
        <f t="shared" ref="AK322:AK366" ca="1" si="235">IF(OR(ISBLANK(VLOOKUP(DATEVALUE(LEFT($B322,4)&amp;"-"&amp;MID($B322,5,2)&amp;"-"&amp;RIGHT($B322,2)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322,4)&amp;"-"&amp;MID($B322,5,2)&amp;"-"&amp;RIGHT($B322,2)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322,4)&amp;"-"&amp;MID($B322,5,2)&amp;"-"&amp;RIGHT($B322,2)),OFFSET(Catalogus,0,0,,1),0)),Ok,VLOOKUP(DATEVALUE(LEFT($B322,4)&amp;"-"&amp;MID($B322,5,2)&amp;"-"&amp;RIGHT($B322,2)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322" s="9" t="str">
        <f t="shared" ref="AL322:AL366" ca="1" si="236">IF(OR(ISBLANK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,AND(ISTEXT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,EXACT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,"—"))),"—",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</f>
        <v>—</v>
      </c>
      <c r="AM322" s="15">
        <f t="shared" ref="AM322:AM366" ca="1" si="237">IF(OR(ISBLANK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,AND(ISTEXT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,EXACT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,"—"))),Lacking,IF(ISNA(MATCH(DATEVALUE(LEFT($B322,4)&amp;"-"&amp;MID($B322,5,2)&amp;"-"&amp;RIGHT($B322,2)),OFFSET(Catalogus,0,0,,1),0)),Ok,VLOOKUP(DATEVALUE(LEFT($B322,4)&amp;"-"&amp;MID($B322,5,2)&amp;"-"&amp;RIGHT($B322,2)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322" s="9" t="str">
        <f t="shared" ref="AN322:AN366" ca="1" si="238">IF(OR(ISBLANK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AND(ISTEXT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ISNA(MATCH(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322" s="15">
        <f t="shared" ref="AO322:AO366" ca="1" si="239">IF(OR(ISBLANK(VLOOKUP(DATEVALUE(LEFT($B322,4)&amp;"-"&amp;MID($B322,5,2)&amp;"-"&amp;RIGHT($B322,2)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ISNA(MATCH(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322,4)&amp;"-"&amp;MID($B322,5,2)&amp;"-"&amp;RIGHT($B322,2)),OFFSET(Catalogus,0,0,,1),0)),Ok,VLOOKUP(DATEVALUE(LEFT($B322,4)&amp;"-"&amp;MID($B322,5,2)&amp;"-"&amp;RIGHT($B322,2)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323" spans="1:41" x14ac:dyDescent="0.25">
      <c r="A323" s="4">
        <f t="shared" si="200"/>
        <v>78989</v>
      </c>
      <c r="B323" t="str">
        <f ca="1">TEXT(DATE(YEAR(Invoer!$A$5),1,1)+ROWS(B$2:B323)-1,"jjjjmmdd")</f>
        <v>19131118</v>
      </c>
      <c r="C323" s="72">
        <f t="shared" si="201"/>
        <v>800</v>
      </c>
      <c r="D323" s="16" t="str">
        <f t="shared" ca="1" si="202"/>
        <v>—</v>
      </c>
      <c r="E323" s="15">
        <f t="shared" ca="1" si="203"/>
        <v>7</v>
      </c>
      <c r="F323" s="73" t="str">
        <f t="shared" ca="1" si="204"/>
        <v>—</v>
      </c>
      <c r="G323" s="15">
        <f t="shared" ca="1" si="205"/>
        <v>7</v>
      </c>
      <c r="H323" s="73" t="str">
        <f t="shared" ca="1" si="206"/>
        <v>—</v>
      </c>
      <c r="I323" s="15">
        <f t="shared" ca="1" si="207"/>
        <v>7</v>
      </c>
      <c r="J323" s="73" t="str">
        <f t="shared" ca="1" si="208"/>
        <v>—</v>
      </c>
      <c r="K323" s="15">
        <f t="shared" ca="1" si="209"/>
        <v>7</v>
      </c>
      <c r="L323" s="16" t="str">
        <f t="shared" ca="1" si="210"/>
        <v>—</v>
      </c>
      <c r="M323" s="15">
        <f t="shared" ca="1" si="211"/>
        <v>7</v>
      </c>
      <c r="N323" s="16" t="str">
        <f t="shared" ca="1" si="212"/>
        <v>—</v>
      </c>
      <c r="O323" s="15">
        <f t="shared" ca="1" si="213"/>
        <v>7</v>
      </c>
      <c r="P323" s="16" t="str">
        <f t="shared" ca="1" si="214"/>
        <v>—</v>
      </c>
      <c r="Q323" s="15">
        <f t="shared" ca="1" si="215"/>
        <v>7</v>
      </c>
      <c r="R323" s="16" t="str">
        <f t="shared" ca="1" si="216"/>
        <v>—</v>
      </c>
      <c r="S323" s="15">
        <f t="shared" ca="1" si="217"/>
        <v>7</v>
      </c>
      <c r="T323" s="9" t="str">
        <f t="shared" ca="1" si="218"/>
        <v>—</v>
      </c>
      <c r="U323" s="15">
        <f t="shared" ca="1" si="219"/>
        <v>7</v>
      </c>
      <c r="V323" s="16" t="str">
        <f t="shared" ca="1" si="220"/>
        <v>—</v>
      </c>
      <c r="W323" s="15">
        <f t="shared" ca="1" si="221"/>
        <v>7</v>
      </c>
      <c r="X323" s="16" t="str">
        <f t="shared" ca="1" si="222"/>
        <v>—</v>
      </c>
      <c r="Y323" s="15">
        <f t="shared" ca="1" si="223"/>
        <v>7</v>
      </c>
      <c r="Z323" s="16" t="str">
        <f t="shared" ca="1" si="224"/>
        <v>—</v>
      </c>
      <c r="AA323" s="15">
        <f t="shared" ca="1" si="225"/>
        <v>7</v>
      </c>
      <c r="AB323" s="9" t="str">
        <f t="shared" ca="1" si="226"/>
        <v>—</v>
      </c>
      <c r="AC323" s="15">
        <f t="shared" ca="1" si="227"/>
        <v>7</v>
      </c>
      <c r="AD323" s="76" t="str">
        <f t="shared" ca="1" si="228"/>
        <v>—</v>
      </c>
      <c r="AE323" s="15">
        <f t="shared" ca="1" si="229"/>
        <v>7</v>
      </c>
      <c r="AF323" s="76" t="str">
        <f t="shared" ca="1" si="230"/>
        <v>—</v>
      </c>
      <c r="AG323" s="15">
        <f t="shared" ca="1" si="231"/>
        <v>7</v>
      </c>
      <c r="AH323" s="9" t="str">
        <f t="shared" ca="1" si="232"/>
        <v>—</v>
      </c>
      <c r="AI323" s="15">
        <f t="shared" ca="1" si="233"/>
        <v>7</v>
      </c>
      <c r="AJ323" s="26" t="str">
        <f t="shared" ca="1" si="234"/>
        <v>—</v>
      </c>
      <c r="AK323" s="15">
        <f t="shared" ca="1" si="235"/>
        <v>7</v>
      </c>
      <c r="AL323" s="9" t="str">
        <f t="shared" ca="1" si="236"/>
        <v>—</v>
      </c>
      <c r="AM323" s="15">
        <f t="shared" ca="1" si="237"/>
        <v>7</v>
      </c>
      <c r="AN323" s="9" t="str">
        <f t="shared" ca="1" si="238"/>
        <v>—</v>
      </c>
      <c r="AO323" s="15">
        <f t="shared" ca="1" si="239"/>
        <v>7</v>
      </c>
    </row>
    <row r="324" spans="1:41" x14ac:dyDescent="0.25">
      <c r="A324" s="4">
        <f t="shared" si="200"/>
        <v>78989</v>
      </c>
      <c r="B324" t="str">
        <f ca="1">TEXT(DATE(YEAR(Invoer!$A$5),1,1)+ROWS(B$2:B324)-1,"jjjjmmdd")</f>
        <v>19131119</v>
      </c>
      <c r="C324" s="72">
        <f t="shared" si="201"/>
        <v>800</v>
      </c>
      <c r="D324" s="16" t="str">
        <f t="shared" ca="1" si="202"/>
        <v>—</v>
      </c>
      <c r="E324" s="15">
        <f t="shared" ca="1" si="203"/>
        <v>7</v>
      </c>
      <c r="F324" s="73" t="str">
        <f t="shared" ca="1" si="204"/>
        <v>—</v>
      </c>
      <c r="G324" s="15">
        <f t="shared" ca="1" si="205"/>
        <v>7</v>
      </c>
      <c r="H324" s="73" t="str">
        <f t="shared" ca="1" si="206"/>
        <v>—</v>
      </c>
      <c r="I324" s="15">
        <f t="shared" ca="1" si="207"/>
        <v>7</v>
      </c>
      <c r="J324" s="73" t="str">
        <f t="shared" ca="1" si="208"/>
        <v>—</v>
      </c>
      <c r="K324" s="15">
        <f t="shared" ca="1" si="209"/>
        <v>7</v>
      </c>
      <c r="L324" s="16" t="str">
        <f t="shared" ca="1" si="210"/>
        <v>—</v>
      </c>
      <c r="M324" s="15">
        <f t="shared" ca="1" si="211"/>
        <v>7</v>
      </c>
      <c r="N324" s="16" t="str">
        <f t="shared" ca="1" si="212"/>
        <v>—</v>
      </c>
      <c r="O324" s="15">
        <f t="shared" ca="1" si="213"/>
        <v>7</v>
      </c>
      <c r="P324" s="16" t="str">
        <f t="shared" ca="1" si="214"/>
        <v>—</v>
      </c>
      <c r="Q324" s="15">
        <f t="shared" ca="1" si="215"/>
        <v>7</v>
      </c>
      <c r="R324" s="16" t="str">
        <f t="shared" ca="1" si="216"/>
        <v>—</v>
      </c>
      <c r="S324" s="15">
        <f t="shared" ca="1" si="217"/>
        <v>7</v>
      </c>
      <c r="T324" s="9" t="str">
        <f t="shared" ca="1" si="218"/>
        <v>—</v>
      </c>
      <c r="U324" s="15">
        <f t="shared" ca="1" si="219"/>
        <v>7</v>
      </c>
      <c r="V324" s="16" t="str">
        <f t="shared" ca="1" si="220"/>
        <v>—</v>
      </c>
      <c r="W324" s="15">
        <f t="shared" ca="1" si="221"/>
        <v>7</v>
      </c>
      <c r="X324" s="16" t="str">
        <f t="shared" ca="1" si="222"/>
        <v>—</v>
      </c>
      <c r="Y324" s="15">
        <f t="shared" ca="1" si="223"/>
        <v>7</v>
      </c>
      <c r="Z324" s="16" t="str">
        <f t="shared" ca="1" si="224"/>
        <v>—</v>
      </c>
      <c r="AA324" s="15">
        <f t="shared" ca="1" si="225"/>
        <v>7</v>
      </c>
      <c r="AB324" s="9" t="str">
        <f t="shared" ca="1" si="226"/>
        <v>—</v>
      </c>
      <c r="AC324" s="15">
        <f t="shared" ca="1" si="227"/>
        <v>7</v>
      </c>
      <c r="AD324" s="76" t="str">
        <f t="shared" ca="1" si="228"/>
        <v>—</v>
      </c>
      <c r="AE324" s="15">
        <f t="shared" ca="1" si="229"/>
        <v>7</v>
      </c>
      <c r="AF324" s="76" t="str">
        <f t="shared" ca="1" si="230"/>
        <v>—</v>
      </c>
      <c r="AG324" s="15">
        <f t="shared" ca="1" si="231"/>
        <v>7</v>
      </c>
      <c r="AH324" s="9" t="str">
        <f t="shared" ca="1" si="232"/>
        <v>—</v>
      </c>
      <c r="AI324" s="15">
        <f t="shared" ca="1" si="233"/>
        <v>7</v>
      </c>
      <c r="AJ324" s="26" t="str">
        <f t="shared" ca="1" si="234"/>
        <v>—</v>
      </c>
      <c r="AK324" s="15">
        <f t="shared" ca="1" si="235"/>
        <v>7</v>
      </c>
      <c r="AL324" s="9" t="str">
        <f t="shared" ca="1" si="236"/>
        <v>—</v>
      </c>
      <c r="AM324" s="15">
        <f t="shared" ca="1" si="237"/>
        <v>7</v>
      </c>
      <c r="AN324" s="9" t="str">
        <f t="shared" ca="1" si="238"/>
        <v>—</v>
      </c>
      <c r="AO324" s="15">
        <f t="shared" ca="1" si="239"/>
        <v>7</v>
      </c>
    </row>
    <row r="325" spans="1:41" x14ac:dyDescent="0.25">
      <c r="A325" s="4">
        <f t="shared" si="200"/>
        <v>78989</v>
      </c>
      <c r="B325" t="str">
        <f ca="1">TEXT(DATE(YEAR(Invoer!$A$5),1,1)+ROWS(B$2:B325)-1,"jjjjmmdd")</f>
        <v>19131120</v>
      </c>
      <c r="C325" s="72">
        <f t="shared" si="201"/>
        <v>800</v>
      </c>
      <c r="D325" s="16" t="str">
        <f t="shared" ca="1" si="202"/>
        <v>—</v>
      </c>
      <c r="E325" s="15">
        <f t="shared" ca="1" si="203"/>
        <v>7</v>
      </c>
      <c r="F325" s="73" t="str">
        <f t="shared" ca="1" si="204"/>
        <v>—</v>
      </c>
      <c r="G325" s="15">
        <f t="shared" ca="1" si="205"/>
        <v>7</v>
      </c>
      <c r="H325" s="73" t="str">
        <f t="shared" ca="1" si="206"/>
        <v>—</v>
      </c>
      <c r="I325" s="15">
        <f t="shared" ca="1" si="207"/>
        <v>7</v>
      </c>
      <c r="J325" s="73" t="str">
        <f t="shared" ca="1" si="208"/>
        <v>—</v>
      </c>
      <c r="K325" s="15">
        <f t="shared" ca="1" si="209"/>
        <v>7</v>
      </c>
      <c r="L325" s="16" t="str">
        <f t="shared" ca="1" si="210"/>
        <v>—</v>
      </c>
      <c r="M325" s="15">
        <f t="shared" ca="1" si="211"/>
        <v>7</v>
      </c>
      <c r="N325" s="16" t="str">
        <f t="shared" ca="1" si="212"/>
        <v>—</v>
      </c>
      <c r="O325" s="15">
        <f t="shared" ca="1" si="213"/>
        <v>7</v>
      </c>
      <c r="P325" s="16" t="str">
        <f t="shared" ca="1" si="214"/>
        <v>—</v>
      </c>
      <c r="Q325" s="15">
        <f t="shared" ca="1" si="215"/>
        <v>7</v>
      </c>
      <c r="R325" s="16" t="str">
        <f t="shared" ca="1" si="216"/>
        <v>—</v>
      </c>
      <c r="S325" s="15">
        <f t="shared" ca="1" si="217"/>
        <v>7</v>
      </c>
      <c r="T325" s="9" t="str">
        <f t="shared" ca="1" si="218"/>
        <v>—</v>
      </c>
      <c r="U325" s="15">
        <f t="shared" ca="1" si="219"/>
        <v>7</v>
      </c>
      <c r="V325" s="16" t="str">
        <f t="shared" ca="1" si="220"/>
        <v>—</v>
      </c>
      <c r="W325" s="15">
        <f t="shared" ca="1" si="221"/>
        <v>7</v>
      </c>
      <c r="X325" s="16" t="str">
        <f t="shared" ca="1" si="222"/>
        <v>—</v>
      </c>
      <c r="Y325" s="15">
        <f t="shared" ca="1" si="223"/>
        <v>7</v>
      </c>
      <c r="Z325" s="16" t="str">
        <f t="shared" ca="1" si="224"/>
        <v>—</v>
      </c>
      <c r="AA325" s="15">
        <f t="shared" ca="1" si="225"/>
        <v>7</v>
      </c>
      <c r="AB325" s="9" t="str">
        <f t="shared" ca="1" si="226"/>
        <v>—</v>
      </c>
      <c r="AC325" s="15">
        <f t="shared" ca="1" si="227"/>
        <v>7</v>
      </c>
      <c r="AD325" s="76" t="str">
        <f t="shared" ca="1" si="228"/>
        <v>—</v>
      </c>
      <c r="AE325" s="15">
        <f t="shared" ca="1" si="229"/>
        <v>7</v>
      </c>
      <c r="AF325" s="76" t="str">
        <f t="shared" ca="1" si="230"/>
        <v>—</v>
      </c>
      <c r="AG325" s="15">
        <f t="shared" ca="1" si="231"/>
        <v>7</v>
      </c>
      <c r="AH325" s="9" t="str">
        <f t="shared" ca="1" si="232"/>
        <v>—</v>
      </c>
      <c r="AI325" s="15">
        <f t="shared" ca="1" si="233"/>
        <v>7</v>
      </c>
      <c r="AJ325" s="26" t="str">
        <f t="shared" ca="1" si="234"/>
        <v>—</v>
      </c>
      <c r="AK325" s="15">
        <f t="shared" ca="1" si="235"/>
        <v>7</v>
      </c>
      <c r="AL325" s="9" t="str">
        <f t="shared" ca="1" si="236"/>
        <v>—</v>
      </c>
      <c r="AM325" s="15">
        <f t="shared" ca="1" si="237"/>
        <v>7</v>
      </c>
      <c r="AN325" s="9" t="str">
        <f t="shared" ca="1" si="238"/>
        <v>—</v>
      </c>
      <c r="AO325" s="15">
        <f t="shared" ca="1" si="239"/>
        <v>7</v>
      </c>
    </row>
    <row r="326" spans="1:41" x14ac:dyDescent="0.25">
      <c r="A326" s="4">
        <f t="shared" si="200"/>
        <v>78989</v>
      </c>
      <c r="B326" t="str">
        <f ca="1">TEXT(DATE(YEAR(Invoer!$A$5),1,1)+ROWS(B$2:B326)-1,"jjjjmmdd")</f>
        <v>19131121</v>
      </c>
      <c r="C326" s="72">
        <f t="shared" si="201"/>
        <v>800</v>
      </c>
      <c r="D326" s="16" t="str">
        <f t="shared" ca="1" si="202"/>
        <v>—</v>
      </c>
      <c r="E326" s="15">
        <f t="shared" ca="1" si="203"/>
        <v>7</v>
      </c>
      <c r="F326" s="73" t="str">
        <f t="shared" ca="1" si="204"/>
        <v>—</v>
      </c>
      <c r="G326" s="15">
        <f t="shared" ca="1" si="205"/>
        <v>7</v>
      </c>
      <c r="H326" s="73" t="str">
        <f t="shared" ca="1" si="206"/>
        <v>—</v>
      </c>
      <c r="I326" s="15">
        <f t="shared" ca="1" si="207"/>
        <v>7</v>
      </c>
      <c r="J326" s="73" t="str">
        <f t="shared" ca="1" si="208"/>
        <v>—</v>
      </c>
      <c r="K326" s="15">
        <f t="shared" ca="1" si="209"/>
        <v>7</v>
      </c>
      <c r="L326" s="16" t="str">
        <f t="shared" ca="1" si="210"/>
        <v>—</v>
      </c>
      <c r="M326" s="15">
        <f t="shared" ca="1" si="211"/>
        <v>7</v>
      </c>
      <c r="N326" s="16" t="str">
        <f t="shared" ca="1" si="212"/>
        <v>—</v>
      </c>
      <c r="O326" s="15">
        <f t="shared" ca="1" si="213"/>
        <v>7</v>
      </c>
      <c r="P326" s="16" t="str">
        <f t="shared" ca="1" si="214"/>
        <v>—</v>
      </c>
      <c r="Q326" s="15">
        <f t="shared" ca="1" si="215"/>
        <v>7</v>
      </c>
      <c r="R326" s="16" t="str">
        <f t="shared" ca="1" si="216"/>
        <v>—</v>
      </c>
      <c r="S326" s="15">
        <f t="shared" ca="1" si="217"/>
        <v>7</v>
      </c>
      <c r="T326" s="9" t="str">
        <f t="shared" ca="1" si="218"/>
        <v>—</v>
      </c>
      <c r="U326" s="15">
        <f t="shared" ca="1" si="219"/>
        <v>7</v>
      </c>
      <c r="V326" s="16" t="str">
        <f t="shared" ca="1" si="220"/>
        <v>—</v>
      </c>
      <c r="W326" s="15">
        <f t="shared" ca="1" si="221"/>
        <v>7</v>
      </c>
      <c r="X326" s="16" t="str">
        <f t="shared" ca="1" si="222"/>
        <v>—</v>
      </c>
      <c r="Y326" s="15">
        <f t="shared" ca="1" si="223"/>
        <v>7</v>
      </c>
      <c r="Z326" s="16" t="str">
        <f t="shared" ca="1" si="224"/>
        <v>—</v>
      </c>
      <c r="AA326" s="15">
        <f t="shared" ca="1" si="225"/>
        <v>7</v>
      </c>
      <c r="AB326" s="9" t="str">
        <f t="shared" ca="1" si="226"/>
        <v>—</v>
      </c>
      <c r="AC326" s="15">
        <f t="shared" ca="1" si="227"/>
        <v>7</v>
      </c>
      <c r="AD326" s="76" t="str">
        <f t="shared" ca="1" si="228"/>
        <v>—</v>
      </c>
      <c r="AE326" s="15">
        <f t="shared" ca="1" si="229"/>
        <v>7</v>
      </c>
      <c r="AF326" s="76" t="str">
        <f t="shared" ca="1" si="230"/>
        <v>—</v>
      </c>
      <c r="AG326" s="15">
        <f t="shared" ca="1" si="231"/>
        <v>7</v>
      </c>
      <c r="AH326" s="9" t="str">
        <f t="shared" ca="1" si="232"/>
        <v>—</v>
      </c>
      <c r="AI326" s="15">
        <f t="shared" ca="1" si="233"/>
        <v>7</v>
      </c>
      <c r="AJ326" s="26" t="str">
        <f t="shared" ca="1" si="234"/>
        <v>—</v>
      </c>
      <c r="AK326" s="15">
        <f t="shared" ca="1" si="235"/>
        <v>7</v>
      </c>
      <c r="AL326" s="9" t="str">
        <f t="shared" ca="1" si="236"/>
        <v>—</v>
      </c>
      <c r="AM326" s="15">
        <f t="shared" ca="1" si="237"/>
        <v>7</v>
      </c>
      <c r="AN326" s="9" t="str">
        <f t="shared" ca="1" si="238"/>
        <v>—</v>
      </c>
      <c r="AO326" s="15">
        <f t="shared" ca="1" si="239"/>
        <v>7</v>
      </c>
    </row>
    <row r="327" spans="1:41" x14ac:dyDescent="0.25">
      <c r="A327" s="4">
        <f t="shared" si="200"/>
        <v>78989</v>
      </c>
      <c r="B327" t="str">
        <f ca="1">TEXT(DATE(YEAR(Invoer!$A$5),1,1)+ROWS(B$2:B327)-1,"jjjjmmdd")</f>
        <v>19131122</v>
      </c>
      <c r="C327" s="72">
        <f t="shared" si="201"/>
        <v>800</v>
      </c>
      <c r="D327" s="16" t="str">
        <f t="shared" ca="1" si="202"/>
        <v>—</v>
      </c>
      <c r="E327" s="15">
        <f t="shared" ca="1" si="203"/>
        <v>7</v>
      </c>
      <c r="F327" s="73" t="str">
        <f t="shared" ca="1" si="204"/>
        <v>—</v>
      </c>
      <c r="G327" s="15">
        <f t="shared" ca="1" si="205"/>
        <v>7</v>
      </c>
      <c r="H327" s="73" t="str">
        <f t="shared" ca="1" si="206"/>
        <v>—</v>
      </c>
      <c r="I327" s="15">
        <f t="shared" ca="1" si="207"/>
        <v>7</v>
      </c>
      <c r="J327" s="73" t="str">
        <f t="shared" ca="1" si="208"/>
        <v>—</v>
      </c>
      <c r="K327" s="15">
        <f t="shared" ca="1" si="209"/>
        <v>7</v>
      </c>
      <c r="L327" s="16" t="str">
        <f t="shared" ca="1" si="210"/>
        <v>—</v>
      </c>
      <c r="M327" s="15">
        <f t="shared" ca="1" si="211"/>
        <v>7</v>
      </c>
      <c r="N327" s="16" t="str">
        <f t="shared" ca="1" si="212"/>
        <v>—</v>
      </c>
      <c r="O327" s="15">
        <f t="shared" ca="1" si="213"/>
        <v>7</v>
      </c>
      <c r="P327" s="16" t="str">
        <f t="shared" ca="1" si="214"/>
        <v>—</v>
      </c>
      <c r="Q327" s="15">
        <f t="shared" ca="1" si="215"/>
        <v>7</v>
      </c>
      <c r="R327" s="16" t="str">
        <f t="shared" ca="1" si="216"/>
        <v>—</v>
      </c>
      <c r="S327" s="15">
        <f t="shared" ca="1" si="217"/>
        <v>7</v>
      </c>
      <c r="T327" s="9" t="str">
        <f t="shared" ca="1" si="218"/>
        <v>—</v>
      </c>
      <c r="U327" s="15">
        <f t="shared" ca="1" si="219"/>
        <v>7</v>
      </c>
      <c r="V327" s="16" t="str">
        <f t="shared" ca="1" si="220"/>
        <v>—</v>
      </c>
      <c r="W327" s="15">
        <f t="shared" ca="1" si="221"/>
        <v>7</v>
      </c>
      <c r="X327" s="16" t="str">
        <f t="shared" ca="1" si="222"/>
        <v>—</v>
      </c>
      <c r="Y327" s="15">
        <f t="shared" ca="1" si="223"/>
        <v>7</v>
      </c>
      <c r="Z327" s="16" t="str">
        <f t="shared" ca="1" si="224"/>
        <v>—</v>
      </c>
      <c r="AA327" s="15">
        <f t="shared" ca="1" si="225"/>
        <v>7</v>
      </c>
      <c r="AB327" s="9" t="str">
        <f t="shared" ca="1" si="226"/>
        <v>—</v>
      </c>
      <c r="AC327" s="15">
        <f t="shared" ca="1" si="227"/>
        <v>7</v>
      </c>
      <c r="AD327" s="76" t="str">
        <f t="shared" ca="1" si="228"/>
        <v>—</v>
      </c>
      <c r="AE327" s="15">
        <f t="shared" ca="1" si="229"/>
        <v>7</v>
      </c>
      <c r="AF327" s="76" t="str">
        <f t="shared" ca="1" si="230"/>
        <v>—</v>
      </c>
      <c r="AG327" s="15">
        <f t="shared" ca="1" si="231"/>
        <v>7</v>
      </c>
      <c r="AH327" s="9" t="str">
        <f t="shared" ca="1" si="232"/>
        <v>—</v>
      </c>
      <c r="AI327" s="15">
        <f t="shared" ca="1" si="233"/>
        <v>7</v>
      </c>
      <c r="AJ327" s="26" t="str">
        <f t="shared" ca="1" si="234"/>
        <v>—</v>
      </c>
      <c r="AK327" s="15">
        <f t="shared" ca="1" si="235"/>
        <v>7</v>
      </c>
      <c r="AL327" s="9" t="str">
        <f t="shared" ca="1" si="236"/>
        <v>—</v>
      </c>
      <c r="AM327" s="15">
        <f t="shared" ca="1" si="237"/>
        <v>7</v>
      </c>
      <c r="AN327" s="9" t="str">
        <f t="shared" ca="1" si="238"/>
        <v>—</v>
      </c>
      <c r="AO327" s="15">
        <f t="shared" ca="1" si="239"/>
        <v>7</v>
      </c>
    </row>
    <row r="328" spans="1:41" x14ac:dyDescent="0.25">
      <c r="A328" s="4">
        <f t="shared" si="200"/>
        <v>78989</v>
      </c>
      <c r="B328" t="str">
        <f ca="1">TEXT(DATE(YEAR(Invoer!$A$5),1,1)+ROWS(B$2:B328)-1,"jjjjmmdd")</f>
        <v>19131123</v>
      </c>
      <c r="C328" s="72">
        <f t="shared" si="201"/>
        <v>800</v>
      </c>
      <c r="D328" s="16" t="str">
        <f t="shared" ca="1" si="202"/>
        <v>—</v>
      </c>
      <c r="E328" s="15">
        <f t="shared" ca="1" si="203"/>
        <v>7</v>
      </c>
      <c r="F328" s="73" t="str">
        <f t="shared" ca="1" si="204"/>
        <v>—</v>
      </c>
      <c r="G328" s="15">
        <f t="shared" ca="1" si="205"/>
        <v>7</v>
      </c>
      <c r="H328" s="73" t="str">
        <f t="shared" ca="1" si="206"/>
        <v>—</v>
      </c>
      <c r="I328" s="15">
        <f t="shared" ca="1" si="207"/>
        <v>7</v>
      </c>
      <c r="J328" s="73" t="str">
        <f t="shared" ca="1" si="208"/>
        <v>—</v>
      </c>
      <c r="K328" s="15">
        <f t="shared" ca="1" si="209"/>
        <v>7</v>
      </c>
      <c r="L328" s="16" t="str">
        <f t="shared" ca="1" si="210"/>
        <v>—</v>
      </c>
      <c r="M328" s="15">
        <f t="shared" ca="1" si="211"/>
        <v>7</v>
      </c>
      <c r="N328" s="16" t="str">
        <f t="shared" ca="1" si="212"/>
        <v>—</v>
      </c>
      <c r="O328" s="15">
        <f t="shared" ca="1" si="213"/>
        <v>7</v>
      </c>
      <c r="P328" s="16" t="str">
        <f t="shared" ca="1" si="214"/>
        <v>—</v>
      </c>
      <c r="Q328" s="15">
        <f t="shared" ca="1" si="215"/>
        <v>7</v>
      </c>
      <c r="R328" s="16" t="str">
        <f t="shared" ca="1" si="216"/>
        <v>—</v>
      </c>
      <c r="S328" s="15">
        <f t="shared" ca="1" si="217"/>
        <v>7</v>
      </c>
      <c r="T328" s="9" t="str">
        <f t="shared" ca="1" si="218"/>
        <v>—</v>
      </c>
      <c r="U328" s="15">
        <f t="shared" ca="1" si="219"/>
        <v>7</v>
      </c>
      <c r="V328" s="16" t="str">
        <f t="shared" ca="1" si="220"/>
        <v>—</v>
      </c>
      <c r="W328" s="15">
        <f t="shared" ca="1" si="221"/>
        <v>7</v>
      </c>
      <c r="X328" s="16" t="str">
        <f t="shared" ca="1" si="222"/>
        <v>—</v>
      </c>
      <c r="Y328" s="15">
        <f t="shared" ca="1" si="223"/>
        <v>7</v>
      </c>
      <c r="Z328" s="16" t="str">
        <f t="shared" ca="1" si="224"/>
        <v>—</v>
      </c>
      <c r="AA328" s="15">
        <f t="shared" ca="1" si="225"/>
        <v>7</v>
      </c>
      <c r="AB328" s="9" t="str">
        <f t="shared" ca="1" si="226"/>
        <v>—</v>
      </c>
      <c r="AC328" s="15">
        <f t="shared" ca="1" si="227"/>
        <v>7</v>
      </c>
      <c r="AD328" s="76" t="str">
        <f t="shared" ca="1" si="228"/>
        <v>—</v>
      </c>
      <c r="AE328" s="15">
        <f t="shared" ca="1" si="229"/>
        <v>7</v>
      </c>
      <c r="AF328" s="76" t="str">
        <f t="shared" ca="1" si="230"/>
        <v>—</v>
      </c>
      <c r="AG328" s="15">
        <f t="shared" ca="1" si="231"/>
        <v>7</v>
      </c>
      <c r="AH328" s="9" t="str">
        <f t="shared" ca="1" si="232"/>
        <v>—</v>
      </c>
      <c r="AI328" s="15">
        <f t="shared" ca="1" si="233"/>
        <v>7</v>
      </c>
      <c r="AJ328" s="26" t="str">
        <f t="shared" ca="1" si="234"/>
        <v>—</v>
      </c>
      <c r="AK328" s="15">
        <f t="shared" ca="1" si="235"/>
        <v>7</v>
      </c>
      <c r="AL328" s="9" t="str">
        <f t="shared" ca="1" si="236"/>
        <v>—</v>
      </c>
      <c r="AM328" s="15">
        <f t="shared" ca="1" si="237"/>
        <v>7</v>
      </c>
      <c r="AN328" s="9" t="str">
        <f t="shared" ca="1" si="238"/>
        <v>—</v>
      </c>
      <c r="AO328" s="15">
        <f t="shared" ca="1" si="239"/>
        <v>7</v>
      </c>
    </row>
    <row r="329" spans="1:41" x14ac:dyDescent="0.25">
      <c r="A329" s="4">
        <f t="shared" si="200"/>
        <v>78989</v>
      </c>
      <c r="B329" t="str">
        <f ca="1">TEXT(DATE(YEAR(Invoer!$A$5),1,1)+ROWS(B$2:B329)-1,"jjjjmmdd")</f>
        <v>19131124</v>
      </c>
      <c r="C329" s="72">
        <f t="shared" si="201"/>
        <v>800</v>
      </c>
      <c r="D329" s="16" t="str">
        <f t="shared" ca="1" si="202"/>
        <v>—</v>
      </c>
      <c r="E329" s="15">
        <f t="shared" ca="1" si="203"/>
        <v>7</v>
      </c>
      <c r="F329" s="73" t="str">
        <f t="shared" ca="1" si="204"/>
        <v>—</v>
      </c>
      <c r="G329" s="15">
        <f t="shared" ca="1" si="205"/>
        <v>7</v>
      </c>
      <c r="H329" s="73" t="str">
        <f t="shared" ca="1" si="206"/>
        <v>—</v>
      </c>
      <c r="I329" s="15">
        <f t="shared" ca="1" si="207"/>
        <v>7</v>
      </c>
      <c r="J329" s="73" t="str">
        <f t="shared" ca="1" si="208"/>
        <v>—</v>
      </c>
      <c r="K329" s="15">
        <f t="shared" ca="1" si="209"/>
        <v>7</v>
      </c>
      <c r="L329" s="16" t="str">
        <f t="shared" ca="1" si="210"/>
        <v>—</v>
      </c>
      <c r="M329" s="15">
        <f t="shared" ca="1" si="211"/>
        <v>7</v>
      </c>
      <c r="N329" s="16" t="str">
        <f t="shared" ca="1" si="212"/>
        <v>—</v>
      </c>
      <c r="O329" s="15">
        <f t="shared" ca="1" si="213"/>
        <v>7</v>
      </c>
      <c r="P329" s="16" t="str">
        <f t="shared" ca="1" si="214"/>
        <v>—</v>
      </c>
      <c r="Q329" s="15">
        <f t="shared" ca="1" si="215"/>
        <v>7</v>
      </c>
      <c r="R329" s="16" t="str">
        <f t="shared" ca="1" si="216"/>
        <v>—</v>
      </c>
      <c r="S329" s="15">
        <f t="shared" ca="1" si="217"/>
        <v>7</v>
      </c>
      <c r="T329" s="9" t="str">
        <f t="shared" ca="1" si="218"/>
        <v>—</v>
      </c>
      <c r="U329" s="15">
        <f t="shared" ca="1" si="219"/>
        <v>7</v>
      </c>
      <c r="V329" s="16" t="str">
        <f t="shared" ca="1" si="220"/>
        <v>—</v>
      </c>
      <c r="W329" s="15">
        <f t="shared" ca="1" si="221"/>
        <v>7</v>
      </c>
      <c r="X329" s="16" t="str">
        <f t="shared" ca="1" si="222"/>
        <v>—</v>
      </c>
      <c r="Y329" s="15">
        <f t="shared" ca="1" si="223"/>
        <v>7</v>
      </c>
      <c r="Z329" s="16" t="str">
        <f t="shared" ca="1" si="224"/>
        <v>—</v>
      </c>
      <c r="AA329" s="15">
        <f t="shared" ca="1" si="225"/>
        <v>7</v>
      </c>
      <c r="AB329" s="9" t="str">
        <f t="shared" ca="1" si="226"/>
        <v>—</v>
      </c>
      <c r="AC329" s="15">
        <f t="shared" ca="1" si="227"/>
        <v>7</v>
      </c>
      <c r="AD329" s="76" t="str">
        <f t="shared" ca="1" si="228"/>
        <v>—</v>
      </c>
      <c r="AE329" s="15">
        <f t="shared" ca="1" si="229"/>
        <v>7</v>
      </c>
      <c r="AF329" s="76" t="str">
        <f t="shared" ca="1" si="230"/>
        <v>—</v>
      </c>
      <c r="AG329" s="15">
        <f t="shared" ca="1" si="231"/>
        <v>7</v>
      </c>
      <c r="AH329" s="9" t="str">
        <f t="shared" ca="1" si="232"/>
        <v>—</v>
      </c>
      <c r="AI329" s="15">
        <f t="shared" ca="1" si="233"/>
        <v>7</v>
      </c>
      <c r="AJ329" s="26" t="str">
        <f t="shared" ca="1" si="234"/>
        <v>—</v>
      </c>
      <c r="AK329" s="15">
        <f t="shared" ca="1" si="235"/>
        <v>7</v>
      </c>
      <c r="AL329" s="9" t="str">
        <f t="shared" ca="1" si="236"/>
        <v>—</v>
      </c>
      <c r="AM329" s="15">
        <f t="shared" ca="1" si="237"/>
        <v>7</v>
      </c>
      <c r="AN329" s="9" t="str">
        <f t="shared" ca="1" si="238"/>
        <v>—</v>
      </c>
      <c r="AO329" s="15">
        <f t="shared" ca="1" si="239"/>
        <v>7</v>
      </c>
    </row>
    <row r="330" spans="1:41" x14ac:dyDescent="0.25">
      <c r="A330" s="4">
        <f t="shared" si="200"/>
        <v>78989</v>
      </c>
      <c r="B330" t="str">
        <f ca="1">TEXT(DATE(YEAR(Invoer!$A$5),1,1)+ROWS(B$2:B330)-1,"jjjjmmdd")</f>
        <v>19131125</v>
      </c>
      <c r="C330" s="72">
        <f t="shared" si="201"/>
        <v>800</v>
      </c>
      <c r="D330" s="16" t="str">
        <f t="shared" ca="1" si="202"/>
        <v>—</v>
      </c>
      <c r="E330" s="15">
        <f t="shared" ca="1" si="203"/>
        <v>7</v>
      </c>
      <c r="F330" s="73" t="str">
        <f t="shared" ca="1" si="204"/>
        <v>—</v>
      </c>
      <c r="G330" s="15">
        <f t="shared" ca="1" si="205"/>
        <v>7</v>
      </c>
      <c r="H330" s="73" t="str">
        <f t="shared" ca="1" si="206"/>
        <v>—</v>
      </c>
      <c r="I330" s="15">
        <f t="shared" ca="1" si="207"/>
        <v>7</v>
      </c>
      <c r="J330" s="73" t="str">
        <f t="shared" ca="1" si="208"/>
        <v>—</v>
      </c>
      <c r="K330" s="15">
        <f t="shared" ca="1" si="209"/>
        <v>7</v>
      </c>
      <c r="L330" s="16" t="str">
        <f t="shared" ca="1" si="210"/>
        <v>—</v>
      </c>
      <c r="M330" s="15">
        <f t="shared" ca="1" si="211"/>
        <v>7</v>
      </c>
      <c r="N330" s="16" t="str">
        <f t="shared" ca="1" si="212"/>
        <v>—</v>
      </c>
      <c r="O330" s="15">
        <f t="shared" ca="1" si="213"/>
        <v>7</v>
      </c>
      <c r="P330" s="16" t="str">
        <f t="shared" ca="1" si="214"/>
        <v>—</v>
      </c>
      <c r="Q330" s="15">
        <f t="shared" ca="1" si="215"/>
        <v>7</v>
      </c>
      <c r="R330" s="16" t="str">
        <f t="shared" ca="1" si="216"/>
        <v>—</v>
      </c>
      <c r="S330" s="15">
        <f t="shared" ca="1" si="217"/>
        <v>7</v>
      </c>
      <c r="T330" s="9" t="str">
        <f t="shared" ca="1" si="218"/>
        <v>—</v>
      </c>
      <c r="U330" s="15">
        <f t="shared" ca="1" si="219"/>
        <v>7</v>
      </c>
      <c r="V330" s="16" t="str">
        <f t="shared" ca="1" si="220"/>
        <v>—</v>
      </c>
      <c r="W330" s="15">
        <f t="shared" ca="1" si="221"/>
        <v>7</v>
      </c>
      <c r="X330" s="16" t="str">
        <f t="shared" ca="1" si="222"/>
        <v>—</v>
      </c>
      <c r="Y330" s="15">
        <f t="shared" ca="1" si="223"/>
        <v>7</v>
      </c>
      <c r="Z330" s="16" t="str">
        <f t="shared" ca="1" si="224"/>
        <v>—</v>
      </c>
      <c r="AA330" s="15">
        <f t="shared" ca="1" si="225"/>
        <v>7</v>
      </c>
      <c r="AB330" s="9" t="str">
        <f t="shared" ca="1" si="226"/>
        <v>—</v>
      </c>
      <c r="AC330" s="15">
        <f t="shared" ca="1" si="227"/>
        <v>7</v>
      </c>
      <c r="AD330" s="76" t="str">
        <f t="shared" ca="1" si="228"/>
        <v>—</v>
      </c>
      <c r="AE330" s="15">
        <f t="shared" ca="1" si="229"/>
        <v>7</v>
      </c>
      <c r="AF330" s="76" t="str">
        <f t="shared" ca="1" si="230"/>
        <v>—</v>
      </c>
      <c r="AG330" s="15">
        <f t="shared" ca="1" si="231"/>
        <v>7</v>
      </c>
      <c r="AH330" s="9" t="str">
        <f t="shared" ca="1" si="232"/>
        <v>—</v>
      </c>
      <c r="AI330" s="15">
        <f t="shared" ca="1" si="233"/>
        <v>7</v>
      </c>
      <c r="AJ330" s="26" t="str">
        <f t="shared" ca="1" si="234"/>
        <v>—</v>
      </c>
      <c r="AK330" s="15">
        <f t="shared" ca="1" si="235"/>
        <v>7</v>
      </c>
      <c r="AL330" s="9" t="str">
        <f t="shared" ca="1" si="236"/>
        <v>—</v>
      </c>
      <c r="AM330" s="15">
        <f t="shared" ca="1" si="237"/>
        <v>7</v>
      </c>
      <c r="AN330" s="9" t="str">
        <f t="shared" ca="1" si="238"/>
        <v>—</v>
      </c>
      <c r="AO330" s="15">
        <f t="shared" ca="1" si="239"/>
        <v>7</v>
      </c>
    </row>
    <row r="331" spans="1:41" x14ac:dyDescent="0.25">
      <c r="A331" s="4">
        <f t="shared" si="200"/>
        <v>78989</v>
      </c>
      <c r="B331" t="str">
        <f ca="1">TEXT(DATE(YEAR(Invoer!$A$5),1,1)+ROWS(B$2:B331)-1,"jjjjmmdd")</f>
        <v>19131126</v>
      </c>
      <c r="C331" s="72">
        <f t="shared" si="201"/>
        <v>800</v>
      </c>
      <c r="D331" s="16" t="str">
        <f t="shared" ca="1" si="202"/>
        <v>—</v>
      </c>
      <c r="E331" s="15">
        <f t="shared" ca="1" si="203"/>
        <v>7</v>
      </c>
      <c r="F331" s="73" t="str">
        <f t="shared" ca="1" si="204"/>
        <v>—</v>
      </c>
      <c r="G331" s="15">
        <f t="shared" ca="1" si="205"/>
        <v>7</v>
      </c>
      <c r="H331" s="73" t="str">
        <f t="shared" ca="1" si="206"/>
        <v>—</v>
      </c>
      <c r="I331" s="15">
        <f t="shared" ca="1" si="207"/>
        <v>7</v>
      </c>
      <c r="J331" s="73" t="str">
        <f t="shared" ca="1" si="208"/>
        <v>—</v>
      </c>
      <c r="K331" s="15">
        <f t="shared" ca="1" si="209"/>
        <v>7</v>
      </c>
      <c r="L331" s="16" t="str">
        <f t="shared" ca="1" si="210"/>
        <v>—</v>
      </c>
      <c r="M331" s="15">
        <f t="shared" ca="1" si="211"/>
        <v>7</v>
      </c>
      <c r="N331" s="16" t="str">
        <f t="shared" ca="1" si="212"/>
        <v>—</v>
      </c>
      <c r="O331" s="15">
        <f t="shared" ca="1" si="213"/>
        <v>7</v>
      </c>
      <c r="P331" s="16" t="str">
        <f t="shared" ca="1" si="214"/>
        <v>—</v>
      </c>
      <c r="Q331" s="15">
        <f t="shared" ca="1" si="215"/>
        <v>7</v>
      </c>
      <c r="R331" s="16" t="str">
        <f t="shared" ca="1" si="216"/>
        <v>—</v>
      </c>
      <c r="S331" s="15">
        <f t="shared" ca="1" si="217"/>
        <v>7</v>
      </c>
      <c r="T331" s="9" t="str">
        <f t="shared" ca="1" si="218"/>
        <v>—</v>
      </c>
      <c r="U331" s="15">
        <f t="shared" ca="1" si="219"/>
        <v>7</v>
      </c>
      <c r="V331" s="16" t="str">
        <f t="shared" ca="1" si="220"/>
        <v>—</v>
      </c>
      <c r="W331" s="15">
        <f t="shared" ca="1" si="221"/>
        <v>7</v>
      </c>
      <c r="X331" s="16" t="str">
        <f t="shared" ca="1" si="222"/>
        <v>—</v>
      </c>
      <c r="Y331" s="15">
        <f t="shared" ca="1" si="223"/>
        <v>7</v>
      </c>
      <c r="Z331" s="16" t="str">
        <f t="shared" ca="1" si="224"/>
        <v>—</v>
      </c>
      <c r="AA331" s="15">
        <f t="shared" ca="1" si="225"/>
        <v>7</v>
      </c>
      <c r="AB331" s="9" t="str">
        <f t="shared" ca="1" si="226"/>
        <v>—</v>
      </c>
      <c r="AC331" s="15">
        <f t="shared" ca="1" si="227"/>
        <v>7</v>
      </c>
      <c r="AD331" s="76" t="str">
        <f t="shared" ca="1" si="228"/>
        <v>—</v>
      </c>
      <c r="AE331" s="15">
        <f t="shared" ca="1" si="229"/>
        <v>7</v>
      </c>
      <c r="AF331" s="76" t="str">
        <f t="shared" ca="1" si="230"/>
        <v>—</v>
      </c>
      <c r="AG331" s="15">
        <f t="shared" ca="1" si="231"/>
        <v>7</v>
      </c>
      <c r="AH331" s="9" t="str">
        <f t="shared" ca="1" si="232"/>
        <v>—</v>
      </c>
      <c r="AI331" s="15">
        <f t="shared" ca="1" si="233"/>
        <v>7</v>
      </c>
      <c r="AJ331" s="26" t="str">
        <f t="shared" ca="1" si="234"/>
        <v>—</v>
      </c>
      <c r="AK331" s="15">
        <f t="shared" ca="1" si="235"/>
        <v>7</v>
      </c>
      <c r="AL331" s="9" t="str">
        <f t="shared" ca="1" si="236"/>
        <v>—</v>
      </c>
      <c r="AM331" s="15">
        <f t="shared" ca="1" si="237"/>
        <v>7</v>
      </c>
      <c r="AN331" s="9" t="str">
        <f t="shared" ca="1" si="238"/>
        <v>—</v>
      </c>
      <c r="AO331" s="15">
        <f t="shared" ca="1" si="239"/>
        <v>7</v>
      </c>
    </row>
    <row r="332" spans="1:41" x14ac:dyDescent="0.25">
      <c r="A332" s="4">
        <f t="shared" si="200"/>
        <v>78989</v>
      </c>
      <c r="B332" t="str">
        <f ca="1">TEXT(DATE(YEAR(Invoer!$A$5),1,1)+ROWS(B$2:B332)-1,"jjjjmmdd")</f>
        <v>19131127</v>
      </c>
      <c r="C332" s="72">
        <f t="shared" si="201"/>
        <v>800</v>
      </c>
      <c r="D332" s="16" t="str">
        <f t="shared" ca="1" si="202"/>
        <v>—</v>
      </c>
      <c r="E332" s="15">
        <f t="shared" ca="1" si="203"/>
        <v>7</v>
      </c>
      <c r="F332" s="73" t="str">
        <f t="shared" ca="1" si="204"/>
        <v>—</v>
      </c>
      <c r="G332" s="15">
        <f t="shared" ca="1" si="205"/>
        <v>7</v>
      </c>
      <c r="H332" s="73" t="str">
        <f t="shared" ca="1" si="206"/>
        <v>—</v>
      </c>
      <c r="I332" s="15">
        <f t="shared" ca="1" si="207"/>
        <v>7</v>
      </c>
      <c r="J332" s="73" t="str">
        <f t="shared" ca="1" si="208"/>
        <v>—</v>
      </c>
      <c r="K332" s="15">
        <f t="shared" ca="1" si="209"/>
        <v>7</v>
      </c>
      <c r="L332" s="16" t="str">
        <f t="shared" ca="1" si="210"/>
        <v>—</v>
      </c>
      <c r="M332" s="15">
        <f t="shared" ca="1" si="211"/>
        <v>7</v>
      </c>
      <c r="N332" s="16" t="str">
        <f t="shared" ca="1" si="212"/>
        <v>—</v>
      </c>
      <c r="O332" s="15">
        <f t="shared" ca="1" si="213"/>
        <v>7</v>
      </c>
      <c r="P332" s="16" t="str">
        <f t="shared" ca="1" si="214"/>
        <v>—</v>
      </c>
      <c r="Q332" s="15">
        <f t="shared" ca="1" si="215"/>
        <v>7</v>
      </c>
      <c r="R332" s="16" t="str">
        <f t="shared" ca="1" si="216"/>
        <v>—</v>
      </c>
      <c r="S332" s="15">
        <f t="shared" ca="1" si="217"/>
        <v>7</v>
      </c>
      <c r="T332" s="9" t="str">
        <f t="shared" ca="1" si="218"/>
        <v>—</v>
      </c>
      <c r="U332" s="15">
        <f t="shared" ca="1" si="219"/>
        <v>7</v>
      </c>
      <c r="V332" s="16" t="str">
        <f t="shared" ca="1" si="220"/>
        <v>—</v>
      </c>
      <c r="W332" s="15">
        <f t="shared" ca="1" si="221"/>
        <v>7</v>
      </c>
      <c r="X332" s="16" t="str">
        <f t="shared" ca="1" si="222"/>
        <v>—</v>
      </c>
      <c r="Y332" s="15">
        <f t="shared" ca="1" si="223"/>
        <v>7</v>
      </c>
      <c r="Z332" s="16" t="str">
        <f t="shared" ca="1" si="224"/>
        <v>—</v>
      </c>
      <c r="AA332" s="15">
        <f t="shared" ca="1" si="225"/>
        <v>7</v>
      </c>
      <c r="AB332" s="9" t="str">
        <f t="shared" ca="1" si="226"/>
        <v>—</v>
      </c>
      <c r="AC332" s="15">
        <f t="shared" ca="1" si="227"/>
        <v>7</v>
      </c>
      <c r="AD332" s="76" t="str">
        <f t="shared" ca="1" si="228"/>
        <v>—</v>
      </c>
      <c r="AE332" s="15">
        <f t="shared" ca="1" si="229"/>
        <v>7</v>
      </c>
      <c r="AF332" s="76" t="str">
        <f t="shared" ca="1" si="230"/>
        <v>—</v>
      </c>
      <c r="AG332" s="15">
        <f t="shared" ca="1" si="231"/>
        <v>7</v>
      </c>
      <c r="AH332" s="9" t="str">
        <f t="shared" ca="1" si="232"/>
        <v>—</v>
      </c>
      <c r="AI332" s="15">
        <f t="shared" ca="1" si="233"/>
        <v>7</v>
      </c>
      <c r="AJ332" s="26" t="str">
        <f t="shared" ca="1" si="234"/>
        <v>—</v>
      </c>
      <c r="AK332" s="15">
        <f t="shared" ca="1" si="235"/>
        <v>7</v>
      </c>
      <c r="AL332" s="9" t="str">
        <f t="shared" ca="1" si="236"/>
        <v>—</v>
      </c>
      <c r="AM332" s="15">
        <f t="shared" ca="1" si="237"/>
        <v>7</v>
      </c>
      <c r="AN332" s="9" t="str">
        <f t="shared" ca="1" si="238"/>
        <v>—</v>
      </c>
      <c r="AO332" s="15">
        <f t="shared" ca="1" si="239"/>
        <v>7</v>
      </c>
    </row>
    <row r="333" spans="1:41" x14ac:dyDescent="0.25">
      <c r="A333" s="4">
        <f t="shared" si="200"/>
        <v>78989</v>
      </c>
      <c r="B333" t="str">
        <f ca="1">TEXT(DATE(YEAR(Invoer!$A$5),1,1)+ROWS(B$2:B333)-1,"jjjjmmdd")</f>
        <v>19131128</v>
      </c>
      <c r="C333" s="72">
        <f t="shared" si="201"/>
        <v>800</v>
      </c>
      <c r="D333" s="16" t="str">
        <f t="shared" ca="1" si="202"/>
        <v>—</v>
      </c>
      <c r="E333" s="15">
        <f t="shared" ca="1" si="203"/>
        <v>7</v>
      </c>
      <c r="F333" s="73" t="str">
        <f t="shared" ca="1" si="204"/>
        <v>—</v>
      </c>
      <c r="G333" s="15">
        <f t="shared" ca="1" si="205"/>
        <v>7</v>
      </c>
      <c r="H333" s="73" t="str">
        <f t="shared" ca="1" si="206"/>
        <v>—</v>
      </c>
      <c r="I333" s="15">
        <f t="shared" ca="1" si="207"/>
        <v>7</v>
      </c>
      <c r="J333" s="73" t="str">
        <f t="shared" ca="1" si="208"/>
        <v>—</v>
      </c>
      <c r="K333" s="15">
        <f t="shared" ca="1" si="209"/>
        <v>7</v>
      </c>
      <c r="L333" s="16" t="str">
        <f t="shared" ca="1" si="210"/>
        <v>—</v>
      </c>
      <c r="M333" s="15">
        <f t="shared" ca="1" si="211"/>
        <v>7</v>
      </c>
      <c r="N333" s="16" t="str">
        <f t="shared" ca="1" si="212"/>
        <v>—</v>
      </c>
      <c r="O333" s="15">
        <f t="shared" ca="1" si="213"/>
        <v>7</v>
      </c>
      <c r="P333" s="16" t="str">
        <f t="shared" ca="1" si="214"/>
        <v>—</v>
      </c>
      <c r="Q333" s="15">
        <f t="shared" ca="1" si="215"/>
        <v>7</v>
      </c>
      <c r="R333" s="16" t="str">
        <f t="shared" ca="1" si="216"/>
        <v>—</v>
      </c>
      <c r="S333" s="15">
        <f t="shared" ca="1" si="217"/>
        <v>7</v>
      </c>
      <c r="T333" s="9" t="str">
        <f t="shared" ca="1" si="218"/>
        <v>—</v>
      </c>
      <c r="U333" s="15">
        <f t="shared" ca="1" si="219"/>
        <v>7</v>
      </c>
      <c r="V333" s="16" t="str">
        <f t="shared" ca="1" si="220"/>
        <v>—</v>
      </c>
      <c r="W333" s="15">
        <f t="shared" ca="1" si="221"/>
        <v>7</v>
      </c>
      <c r="X333" s="16" t="str">
        <f t="shared" ca="1" si="222"/>
        <v>—</v>
      </c>
      <c r="Y333" s="15">
        <f t="shared" ca="1" si="223"/>
        <v>7</v>
      </c>
      <c r="Z333" s="16" t="str">
        <f t="shared" ca="1" si="224"/>
        <v>—</v>
      </c>
      <c r="AA333" s="15">
        <f t="shared" ca="1" si="225"/>
        <v>7</v>
      </c>
      <c r="AB333" s="9" t="str">
        <f t="shared" ca="1" si="226"/>
        <v>—</v>
      </c>
      <c r="AC333" s="15">
        <f t="shared" ca="1" si="227"/>
        <v>7</v>
      </c>
      <c r="AD333" s="76" t="str">
        <f t="shared" ca="1" si="228"/>
        <v>—</v>
      </c>
      <c r="AE333" s="15">
        <f t="shared" ca="1" si="229"/>
        <v>7</v>
      </c>
      <c r="AF333" s="76" t="str">
        <f t="shared" ca="1" si="230"/>
        <v>—</v>
      </c>
      <c r="AG333" s="15">
        <f t="shared" ca="1" si="231"/>
        <v>7</v>
      </c>
      <c r="AH333" s="9" t="str">
        <f t="shared" ca="1" si="232"/>
        <v>—</v>
      </c>
      <c r="AI333" s="15">
        <f t="shared" ca="1" si="233"/>
        <v>7</v>
      </c>
      <c r="AJ333" s="26" t="str">
        <f t="shared" ca="1" si="234"/>
        <v>—</v>
      </c>
      <c r="AK333" s="15">
        <f t="shared" ca="1" si="235"/>
        <v>7</v>
      </c>
      <c r="AL333" s="9" t="str">
        <f t="shared" ca="1" si="236"/>
        <v>—</v>
      </c>
      <c r="AM333" s="15">
        <f t="shared" ca="1" si="237"/>
        <v>7</v>
      </c>
      <c r="AN333" s="9" t="str">
        <f t="shared" ca="1" si="238"/>
        <v>—</v>
      </c>
      <c r="AO333" s="15">
        <f t="shared" ca="1" si="239"/>
        <v>7</v>
      </c>
    </row>
    <row r="334" spans="1:41" x14ac:dyDescent="0.25">
      <c r="A334" s="4">
        <f t="shared" si="200"/>
        <v>78989</v>
      </c>
      <c r="B334" t="str">
        <f ca="1">TEXT(DATE(YEAR(Invoer!$A$5),1,1)+ROWS(B$2:B334)-1,"jjjjmmdd")</f>
        <v>19131129</v>
      </c>
      <c r="C334" s="72">
        <f t="shared" si="201"/>
        <v>800</v>
      </c>
      <c r="D334" s="16" t="str">
        <f t="shared" ca="1" si="202"/>
        <v>—</v>
      </c>
      <c r="E334" s="15">
        <f t="shared" ca="1" si="203"/>
        <v>7</v>
      </c>
      <c r="F334" s="73" t="str">
        <f t="shared" ca="1" si="204"/>
        <v>—</v>
      </c>
      <c r="G334" s="15">
        <f t="shared" ca="1" si="205"/>
        <v>7</v>
      </c>
      <c r="H334" s="73" t="str">
        <f t="shared" ca="1" si="206"/>
        <v>—</v>
      </c>
      <c r="I334" s="15">
        <f t="shared" ca="1" si="207"/>
        <v>7</v>
      </c>
      <c r="J334" s="73" t="str">
        <f t="shared" ca="1" si="208"/>
        <v>—</v>
      </c>
      <c r="K334" s="15">
        <f t="shared" ca="1" si="209"/>
        <v>7</v>
      </c>
      <c r="L334" s="16" t="str">
        <f t="shared" ca="1" si="210"/>
        <v>—</v>
      </c>
      <c r="M334" s="15">
        <f t="shared" ca="1" si="211"/>
        <v>7</v>
      </c>
      <c r="N334" s="16" t="str">
        <f t="shared" ca="1" si="212"/>
        <v>—</v>
      </c>
      <c r="O334" s="15">
        <f t="shared" ca="1" si="213"/>
        <v>7</v>
      </c>
      <c r="P334" s="16" t="str">
        <f t="shared" ca="1" si="214"/>
        <v>—</v>
      </c>
      <c r="Q334" s="15">
        <f t="shared" ca="1" si="215"/>
        <v>7</v>
      </c>
      <c r="R334" s="16" t="str">
        <f t="shared" ca="1" si="216"/>
        <v>—</v>
      </c>
      <c r="S334" s="15">
        <f t="shared" ca="1" si="217"/>
        <v>7</v>
      </c>
      <c r="T334" s="9" t="str">
        <f t="shared" ca="1" si="218"/>
        <v>—</v>
      </c>
      <c r="U334" s="15">
        <f t="shared" ca="1" si="219"/>
        <v>7</v>
      </c>
      <c r="V334" s="16" t="str">
        <f t="shared" ca="1" si="220"/>
        <v>—</v>
      </c>
      <c r="W334" s="15">
        <f t="shared" ca="1" si="221"/>
        <v>7</v>
      </c>
      <c r="X334" s="16" t="str">
        <f t="shared" ca="1" si="222"/>
        <v>—</v>
      </c>
      <c r="Y334" s="15">
        <f t="shared" ca="1" si="223"/>
        <v>7</v>
      </c>
      <c r="Z334" s="16" t="str">
        <f t="shared" ca="1" si="224"/>
        <v>—</v>
      </c>
      <c r="AA334" s="15">
        <f t="shared" ca="1" si="225"/>
        <v>7</v>
      </c>
      <c r="AB334" s="9" t="str">
        <f t="shared" ca="1" si="226"/>
        <v>—</v>
      </c>
      <c r="AC334" s="15">
        <f t="shared" ca="1" si="227"/>
        <v>7</v>
      </c>
      <c r="AD334" s="76" t="str">
        <f t="shared" ca="1" si="228"/>
        <v>—</v>
      </c>
      <c r="AE334" s="15">
        <f t="shared" ca="1" si="229"/>
        <v>7</v>
      </c>
      <c r="AF334" s="76" t="str">
        <f t="shared" ca="1" si="230"/>
        <v>—</v>
      </c>
      <c r="AG334" s="15">
        <f t="shared" ca="1" si="231"/>
        <v>7</v>
      </c>
      <c r="AH334" s="9" t="str">
        <f t="shared" ca="1" si="232"/>
        <v>—</v>
      </c>
      <c r="AI334" s="15">
        <f t="shared" ca="1" si="233"/>
        <v>7</v>
      </c>
      <c r="AJ334" s="26" t="str">
        <f t="shared" ca="1" si="234"/>
        <v>—</v>
      </c>
      <c r="AK334" s="15">
        <f t="shared" ca="1" si="235"/>
        <v>7</v>
      </c>
      <c r="AL334" s="9" t="str">
        <f t="shared" ca="1" si="236"/>
        <v>—</v>
      </c>
      <c r="AM334" s="15">
        <f t="shared" ca="1" si="237"/>
        <v>7</v>
      </c>
      <c r="AN334" s="9" t="str">
        <f t="shared" ca="1" si="238"/>
        <v>—</v>
      </c>
      <c r="AO334" s="15">
        <f t="shared" ca="1" si="239"/>
        <v>7</v>
      </c>
    </row>
    <row r="335" spans="1:41" x14ac:dyDescent="0.25">
      <c r="A335" s="4">
        <f t="shared" si="200"/>
        <v>78989</v>
      </c>
      <c r="B335" t="str">
        <f ca="1">TEXT(DATE(YEAR(Invoer!$A$5),1,1)+ROWS(B$2:B335)-1,"jjjjmmdd")</f>
        <v>19131130</v>
      </c>
      <c r="C335" s="72">
        <f t="shared" si="201"/>
        <v>800</v>
      </c>
      <c r="D335" s="16" t="str">
        <f t="shared" ca="1" si="202"/>
        <v>—</v>
      </c>
      <c r="E335" s="15">
        <f t="shared" ca="1" si="203"/>
        <v>7</v>
      </c>
      <c r="F335" s="73" t="str">
        <f t="shared" ca="1" si="204"/>
        <v>—</v>
      </c>
      <c r="G335" s="15">
        <f t="shared" ca="1" si="205"/>
        <v>7</v>
      </c>
      <c r="H335" s="73" t="str">
        <f t="shared" ca="1" si="206"/>
        <v>—</v>
      </c>
      <c r="I335" s="15">
        <f t="shared" ca="1" si="207"/>
        <v>7</v>
      </c>
      <c r="J335" s="73" t="str">
        <f t="shared" ca="1" si="208"/>
        <v>—</v>
      </c>
      <c r="K335" s="15">
        <f t="shared" ca="1" si="209"/>
        <v>7</v>
      </c>
      <c r="L335" s="16" t="str">
        <f t="shared" ca="1" si="210"/>
        <v>—</v>
      </c>
      <c r="M335" s="15">
        <f t="shared" ca="1" si="211"/>
        <v>7</v>
      </c>
      <c r="N335" s="16" t="str">
        <f t="shared" ca="1" si="212"/>
        <v>—</v>
      </c>
      <c r="O335" s="15">
        <f t="shared" ca="1" si="213"/>
        <v>7</v>
      </c>
      <c r="P335" s="16" t="str">
        <f t="shared" ca="1" si="214"/>
        <v>—</v>
      </c>
      <c r="Q335" s="15">
        <f t="shared" ca="1" si="215"/>
        <v>7</v>
      </c>
      <c r="R335" s="16" t="str">
        <f t="shared" ca="1" si="216"/>
        <v>—</v>
      </c>
      <c r="S335" s="15">
        <f t="shared" ca="1" si="217"/>
        <v>7</v>
      </c>
      <c r="T335" s="9" t="str">
        <f t="shared" ca="1" si="218"/>
        <v>—</v>
      </c>
      <c r="U335" s="15">
        <f t="shared" ca="1" si="219"/>
        <v>7</v>
      </c>
      <c r="V335" s="16" t="str">
        <f t="shared" ca="1" si="220"/>
        <v>—</v>
      </c>
      <c r="W335" s="15">
        <f t="shared" ca="1" si="221"/>
        <v>7</v>
      </c>
      <c r="X335" s="16" t="str">
        <f t="shared" ca="1" si="222"/>
        <v>—</v>
      </c>
      <c r="Y335" s="15">
        <f t="shared" ca="1" si="223"/>
        <v>7</v>
      </c>
      <c r="Z335" s="16" t="str">
        <f t="shared" ca="1" si="224"/>
        <v>—</v>
      </c>
      <c r="AA335" s="15">
        <f t="shared" ca="1" si="225"/>
        <v>7</v>
      </c>
      <c r="AB335" s="9" t="str">
        <f t="shared" ca="1" si="226"/>
        <v>—</v>
      </c>
      <c r="AC335" s="15">
        <f t="shared" ca="1" si="227"/>
        <v>7</v>
      </c>
      <c r="AD335" s="76" t="str">
        <f t="shared" ca="1" si="228"/>
        <v>—</v>
      </c>
      <c r="AE335" s="15">
        <f t="shared" ca="1" si="229"/>
        <v>7</v>
      </c>
      <c r="AF335" s="76" t="str">
        <f t="shared" ca="1" si="230"/>
        <v>—</v>
      </c>
      <c r="AG335" s="15">
        <f t="shared" ca="1" si="231"/>
        <v>7</v>
      </c>
      <c r="AH335" s="9" t="str">
        <f t="shared" ca="1" si="232"/>
        <v>—</v>
      </c>
      <c r="AI335" s="15">
        <f t="shared" ca="1" si="233"/>
        <v>7</v>
      </c>
      <c r="AJ335" s="26" t="str">
        <f t="shared" ca="1" si="234"/>
        <v>—</v>
      </c>
      <c r="AK335" s="15">
        <f t="shared" ca="1" si="235"/>
        <v>7</v>
      </c>
      <c r="AL335" s="9" t="str">
        <f t="shared" ca="1" si="236"/>
        <v>—</v>
      </c>
      <c r="AM335" s="15">
        <f t="shared" ca="1" si="237"/>
        <v>7</v>
      </c>
      <c r="AN335" s="9" t="str">
        <f t="shared" ca="1" si="238"/>
        <v>—</v>
      </c>
      <c r="AO335" s="15">
        <f t="shared" ca="1" si="239"/>
        <v>7</v>
      </c>
    </row>
    <row r="336" spans="1:41" x14ac:dyDescent="0.25">
      <c r="A336" s="4">
        <f t="shared" si="200"/>
        <v>78989</v>
      </c>
      <c r="B336" t="str">
        <f ca="1">TEXT(DATE(YEAR(Invoer!$A$5),1,1)+ROWS(B$2:B336)-1,"jjjjmmdd")</f>
        <v>19131201</v>
      </c>
      <c r="C336" s="72">
        <f t="shared" si="201"/>
        <v>800</v>
      </c>
      <c r="D336" s="16" t="str">
        <f t="shared" ca="1" si="202"/>
        <v>—</v>
      </c>
      <c r="E336" s="15">
        <f t="shared" ca="1" si="203"/>
        <v>7</v>
      </c>
      <c r="F336" s="73" t="str">
        <f t="shared" ca="1" si="204"/>
        <v>—</v>
      </c>
      <c r="G336" s="15">
        <f t="shared" ca="1" si="205"/>
        <v>7</v>
      </c>
      <c r="H336" s="73" t="str">
        <f t="shared" ca="1" si="206"/>
        <v>—</v>
      </c>
      <c r="I336" s="15">
        <f t="shared" ca="1" si="207"/>
        <v>7</v>
      </c>
      <c r="J336" s="73" t="str">
        <f t="shared" ca="1" si="208"/>
        <v>—</v>
      </c>
      <c r="K336" s="15">
        <f t="shared" ca="1" si="209"/>
        <v>7</v>
      </c>
      <c r="L336" s="16" t="str">
        <f t="shared" ca="1" si="210"/>
        <v>—</v>
      </c>
      <c r="M336" s="15">
        <f t="shared" ca="1" si="211"/>
        <v>7</v>
      </c>
      <c r="N336" s="16" t="str">
        <f t="shared" ca="1" si="212"/>
        <v>—</v>
      </c>
      <c r="O336" s="15">
        <f t="shared" ca="1" si="213"/>
        <v>7</v>
      </c>
      <c r="P336" s="16" t="str">
        <f t="shared" ca="1" si="214"/>
        <v>—</v>
      </c>
      <c r="Q336" s="15">
        <f t="shared" ca="1" si="215"/>
        <v>7</v>
      </c>
      <c r="R336" s="16" t="str">
        <f t="shared" ca="1" si="216"/>
        <v>—</v>
      </c>
      <c r="S336" s="15">
        <f t="shared" ca="1" si="217"/>
        <v>7</v>
      </c>
      <c r="T336" s="9" t="str">
        <f t="shared" ca="1" si="218"/>
        <v>—</v>
      </c>
      <c r="U336" s="15">
        <f t="shared" ca="1" si="219"/>
        <v>7</v>
      </c>
      <c r="V336" s="16" t="str">
        <f t="shared" ca="1" si="220"/>
        <v>—</v>
      </c>
      <c r="W336" s="15">
        <f t="shared" ca="1" si="221"/>
        <v>7</v>
      </c>
      <c r="X336" s="16" t="str">
        <f t="shared" ca="1" si="222"/>
        <v>—</v>
      </c>
      <c r="Y336" s="15">
        <f t="shared" ca="1" si="223"/>
        <v>7</v>
      </c>
      <c r="Z336" s="16" t="str">
        <f t="shared" ca="1" si="224"/>
        <v>—</v>
      </c>
      <c r="AA336" s="15">
        <f t="shared" ca="1" si="225"/>
        <v>7</v>
      </c>
      <c r="AB336" s="9" t="str">
        <f t="shared" ca="1" si="226"/>
        <v>—</v>
      </c>
      <c r="AC336" s="15">
        <f t="shared" ca="1" si="227"/>
        <v>7</v>
      </c>
      <c r="AD336" s="76" t="str">
        <f t="shared" ca="1" si="228"/>
        <v>—</v>
      </c>
      <c r="AE336" s="15">
        <f t="shared" ca="1" si="229"/>
        <v>7</v>
      </c>
      <c r="AF336" s="76" t="str">
        <f t="shared" ca="1" si="230"/>
        <v>—</v>
      </c>
      <c r="AG336" s="15">
        <f t="shared" ca="1" si="231"/>
        <v>7</v>
      </c>
      <c r="AH336" s="9" t="str">
        <f t="shared" ca="1" si="232"/>
        <v>—</v>
      </c>
      <c r="AI336" s="15">
        <f t="shared" ca="1" si="233"/>
        <v>7</v>
      </c>
      <c r="AJ336" s="26" t="str">
        <f t="shared" ca="1" si="234"/>
        <v>—</v>
      </c>
      <c r="AK336" s="15">
        <f t="shared" ca="1" si="235"/>
        <v>7</v>
      </c>
      <c r="AL336" s="9" t="str">
        <f t="shared" ca="1" si="236"/>
        <v>—</v>
      </c>
      <c r="AM336" s="15">
        <f t="shared" ca="1" si="237"/>
        <v>7</v>
      </c>
      <c r="AN336" s="9" t="str">
        <f t="shared" ca="1" si="238"/>
        <v>—</v>
      </c>
      <c r="AO336" s="15">
        <f t="shared" ca="1" si="239"/>
        <v>7</v>
      </c>
    </row>
    <row r="337" spans="1:41" x14ac:dyDescent="0.25">
      <c r="A337" s="4">
        <f t="shared" si="200"/>
        <v>78989</v>
      </c>
      <c r="B337" t="str">
        <f ca="1">TEXT(DATE(YEAR(Invoer!$A$5),1,1)+ROWS(B$2:B337)-1,"jjjjmmdd")</f>
        <v>19131202</v>
      </c>
      <c r="C337" s="72">
        <f t="shared" si="201"/>
        <v>800</v>
      </c>
      <c r="D337" s="16" t="str">
        <f t="shared" ca="1" si="202"/>
        <v>—</v>
      </c>
      <c r="E337" s="15">
        <f t="shared" ca="1" si="203"/>
        <v>7</v>
      </c>
      <c r="F337" s="73" t="str">
        <f t="shared" ca="1" si="204"/>
        <v>—</v>
      </c>
      <c r="G337" s="15">
        <f t="shared" ca="1" si="205"/>
        <v>7</v>
      </c>
      <c r="H337" s="73" t="str">
        <f t="shared" ca="1" si="206"/>
        <v>—</v>
      </c>
      <c r="I337" s="15">
        <f t="shared" ca="1" si="207"/>
        <v>7</v>
      </c>
      <c r="J337" s="73" t="str">
        <f t="shared" ca="1" si="208"/>
        <v>—</v>
      </c>
      <c r="K337" s="15">
        <f t="shared" ca="1" si="209"/>
        <v>7</v>
      </c>
      <c r="L337" s="16" t="str">
        <f t="shared" ca="1" si="210"/>
        <v>—</v>
      </c>
      <c r="M337" s="15">
        <f t="shared" ca="1" si="211"/>
        <v>7</v>
      </c>
      <c r="N337" s="16" t="str">
        <f t="shared" ca="1" si="212"/>
        <v>—</v>
      </c>
      <c r="O337" s="15">
        <f t="shared" ca="1" si="213"/>
        <v>7</v>
      </c>
      <c r="P337" s="16" t="str">
        <f t="shared" ca="1" si="214"/>
        <v>—</v>
      </c>
      <c r="Q337" s="15">
        <f t="shared" ca="1" si="215"/>
        <v>7</v>
      </c>
      <c r="R337" s="16" t="str">
        <f t="shared" ca="1" si="216"/>
        <v>—</v>
      </c>
      <c r="S337" s="15">
        <f t="shared" ca="1" si="217"/>
        <v>7</v>
      </c>
      <c r="T337" s="9" t="str">
        <f t="shared" ca="1" si="218"/>
        <v>—</v>
      </c>
      <c r="U337" s="15">
        <f t="shared" ca="1" si="219"/>
        <v>7</v>
      </c>
      <c r="V337" s="16" t="str">
        <f t="shared" ca="1" si="220"/>
        <v>—</v>
      </c>
      <c r="W337" s="15">
        <f t="shared" ca="1" si="221"/>
        <v>7</v>
      </c>
      <c r="X337" s="16" t="str">
        <f t="shared" ca="1" si="222"/>
        <v>—</v>
      </c>
      <c r="Y337" s="15">
        <f t="shared" ca="1" si="223"/>
        <v>7</v>
      </c>
      <c r="Z337" s="16" t="str">
        <f t="shared" ca="1" si="224"/>
        <v>—</v>
      </c>
      <c r="AA337" s="15">
        <f t="shared" ca="1" si="225"/>
        <v>7</v>
      </c>
      <c r="AB337" s="9" t="str">
        <f t="shared" ca="1" si="226"/>
        <v>—</v>
      </c>
      <c r="AC337" s="15">
        <f t="shared" ca="1" si="227"/>
        <v>7</v>
      </c>
      <c r="AD337" s="76" t="str">
        <f t="shared" ca="1" si="228"/>
        <v>—</v>
      </c>
      <c r="AE337" s="15">
        <f t="shared" ca="1" si="229"/>
        <v>7</v>
      </c>
      <c r="AF337" s="76" t="str">
        <f t="shared" ca="1" si="230"/>
        <v>—</v>
      </c>
      <c r="AG337" s="15">
        <f t="shared" ca="1" si="231"/>
        <v>7</v>
      </c>
      <c r="AH337" s="9" t="str">
        <f t="shared" ca="1" si="232"/>
        <v>—</v>
      </c>
      <c r="AI337" s="15">
        <f t="shared" ca="1" si="233"/>
        <v>7</v>
      </c>
      <c r="AJ337" s="26" t="str">
        <f t="shared" ca="1" si="234"/>
        <v>—</v>
      </c>
      <c r="AK337" s="15">
        <f t="shared" ca="1" si="235"/>
        <v>7</v>
      </c>
      <c r="AL337" s="9" t="str">
        <f t="shared" ca="1" si="236"/>
        <v>—</v>
      </c>
      <c r="AM337" s="15">
        <f t="shared" ca="1" si="237"/>
        <v>7</v>
      </c>
      <c r="AN337" s="9" t="str">
        <f t="shared" ca="1" si="238"/>
        <v>—</v>
      </c>
      <c r="AO337" s="15">
        <f t="shared" ca="1" si="239"/>
        <v>7</v>
      </c>
    </row>
    <row r="338" spans="1:41" x14ac:dyDescent="0.25">
      <c r="A338" s="4">
        <f t="shared" si="200"/>
        <v>78989</v>
      </c>
      <c r="B338" t="str">
        <f ca="1">TEXT(DATE(YEAR(Invoer!$A$5),1,1)+ROWS(B$2:B338)-1,"jjjjmmdd")</f>
        <v>19131203</v>
      </c>
      <c r="C338" s="72">
        <f t="shared" si="201"/>
        <v>800</v>
      </c>
      <c r="D338" s="16" t="str">
        <f t="shared" ca="1" si="202"/>
        <v>—</v>
      </c>
      <c r="E338" s="15">
        <f t="shared" ca="1" si="203"/>
        <v>7</v>
      </c>
      <c r="F338" s="73" t="str">
        <f t="shared" ca="1" si="204"/>
        <v>—</v>
      </c>
      <c r="G338" s="15">
        <f t="shared" ca="1" si="205"/>
        <v>7</v>
      </c>
      <c r="H338" s="73" t="str">
        <f t="shared" ca="1" si="206"/>
        <v>—</v>
      </c>
      <c r="I338" s="15">
        <f t="shared" ca="1" si="207"/>
        <v>7</v>
      </c>
      <c r="J338" s="73" t="str">
        <f t="shared" ca="1" si="208"/>
        <v>—</v>
      </c>
      <c r="K338" s="15">
        <f t="shared" ca="1" si="209"/>
        <v>7</v>
      </c>
      <c r="L338" s="16" t="str">
        <f t="shared" ca="1" si="210"/>
        <v>—</v>
      </c>
      <c r="M338" s="15">
        <f t="shared" ca="1" si="211"/>
        <v>7</v>
      </c>
      <c r="N338" s="16" t="str">
        <f t="shared" ca="1" si="212"/>
        <v>—</v>
      </c>
      <c r="O338" s="15">
        <f t="shared" ca="1" si="213"/>
        <v>7</v>
      </c>
      <c r="P338" s="16" t="str">
        <f t="shared" ca="1" si="214"/>
        <v>—</v>
      </c>
      <c r="Q338" s="15">
        <f t="shared" ca="1" si="215"/>
        <v>7</v>
      </c>
      <c r="R338" s="16" t="str">
        <f t="shared" ca="1" si="216"/>
        <v>—</v>
      </c>
      <c r="S338" s="15">
        <f t="shared" ca="1" si="217"/>
        <v>7</v>
      </c>
      <c r="T338" s="9" t="str">
        <f t="shared" ca="1" si="218"/>
        <v>—</v>
      </c>
      <c r="U338" s="15">
        <f t="shared" ca="1" si="219"/>
        <v>7</v>
      </c>
      <c r="V338" s="16" t="str">
        <f t="shared" ca="1" si="220"/>
        <v>—</v>
      </c>
      <c r="W338" s="15">
        <f t="shared" ca="1" si="221"/>
        <v>7</v>
      </c>
      <c r="X338" s="16" t="str">
        <f t="shared" ca="1" si="222"/>
        <v>—</v>
      </c>
      <c r="Y338" s="15">
        <f t="shared" ca="1" si="223"/>
        <v>7</v>
      </c>
      <c r="Z338" s="16" t="str">
        <f t="shared" ca="1" si="224"/>
        <v>—</v>
      </c>
      <c r="AA338" s="15">
        <f t="shared" ca="1" si="225"/>
        <v>7</v>
      </c>
      <c r="AB338" s="9" t="str">
        <f t="shared" ca="1" si="226"/>
        <v>—</v>
      </c>
      <c r="AC338" s="15">
        <f t="shared" ca="1" si="227"/>
        <v>7</v>
      </c>
      <c r="AD338" s="76" t="str">
        <f t="shared" ca="1" si="228"/>
        <v>—</v>
      </c>
      <c r="AE338" s="15">
        <f t="shared" ca="1" si="229"/>
        <v>7</v>
      </c>
      <c r="AF338" s="76" t="str">
        <f t="shared" ca="1" si="230"/>
        <v>—</v>
      </c>
      <c r="AG338" s="15">
        <f t="shared" ca="1" si="231"/>
        <v>7</v>
      </c>
      <c r="AH338" s="9" t="str">
        <f t="shared" ca="1" si="232"/>
        <v>—</v>
      </c>
      <c r="AI338" s="15">
        <f t="shared" ca="1" si="233"/>
        <v>7</v>
      </c>
      <c r="AJ338" s="26" t="str">
        <f t="shared" ca="1" si="234"/>
        <v>—</v>
      </c>
      <c r="AK338" s="15">
        <f t="shared" ca="1" si="235"/>
        <v>7</v>
      </c>
      <c r="AL338" s="9" t="str">
        <f t="shared" ca="1" si="236"/>
        <v>—</v>
      </c>
      <c r="AM338" s="15">
        <f t="shared" ca="1" si="237"/>
        <v>7</v>
      </c>
      <c r="AN338" s="9" t="str">
        <f t="shared" ca="1" si="238"/>
        <v>—</v>
      </c>
      <c r="AO338" s="15">
        <f t="shared" ca="1" si="239"/>
        <v>7</v>
      </c>
    </row>
    <row r="339" spans="1:41" x14ac:dyDescent="0.25">
      <c r="A339" s="4">
        <f t="shared" si="200"/>
        <v>78989</v>
      </c>
      <c r="B339" t="str">
        <f ca="1">TEXT(DATE(YEAR(Invoer!$A$5),1,1)+ROWS(B$2:B339)-1,"jjjjmmdd")</f>
        <v>19131204</v>
      </c>
      <c r="C339" s="72">
        <f t="shared" si="201"/>
        <v>800</v>
      </c>
      <c r="D339" s="16" t="str">
        <f t="shared" ca="1" si="202"/>
        <v>—</v>
      </c>
      <c r="E339" s="15">
        <f t="shared" ca="1" si="203"/>
        <v>7</v>
      </c>
      <c r="F339" s="73" t="str">
        <f t="shared" ca="1" si="204"/>
        <v>—</v>
      </c>
      <c r="G339" s="15">
        <f t="shared" ca="1" si="205"/>
        <v>7</v>
      </c>
      <c r="H339" s="73" t="str">
        <f t="shared" ca="1" si="206"/>
        <v>—</v>
      </c>
      <c r="I339" s="15">
        <f t="shared" ca="1" si="207"/>
        <v>7</v>
      </c>
      <c r="J339" s="73" t="str">
        <f t="shared" ca="1" si="208"/>
        <v>—</v>
      </c>
      <c r="K339" s="15">
        <f t="shared" ca="1" si="209"/>
        <v>7</v>
      </c>
      <c r="L339" s="16" t="str">
        <f t="shared" ca="1" si="210"/>
        <v>—</v>
      </c>
      <c r="M339" s="15">
        <f t="shared" ca="1" si="211"/>
        <v>7</v>
      </c>
      <c r="N339" s="16" t="str">
        <f t="shared" ca="1" si="212"/>
        <v>—</v>
      </c>
      <c r="O339" s="15">
        <f t="shared" ca="1" si="213"/>
        <v>7</v>
      </c>
      <c r="P339" s="16" t="str">
        <f t="shared" ca="1" si="214"/>
        <v>—</v>
      </c>
      <c r="Q339" s="15">
        <f t="shared" ca="1" si="215"/>
        <v>7</v>
      </c>
      <c r="R339" s="16" t="str">
        <f t="shared" ca="1" si="216"/>
        <v>—</v>
      </c>
      <c r="S339" s="15">
        <f t="shared" ca="1" si="217"/>
        <v>7</v>
      </c>
      <c r="T339" s="9" t="str">
        <f t="shared" ca="1" si="218"/>
        <v>—</v>
      </c>
      <c r="U339" s="15">
        <f t="shared" ca="1" si="219"/>
        <v>7</v>
      </c>
      <c r="V339" s="16" t="str">
        <f t="shared" ca="1" si="220"/>
        <v>—</v>
      </c>
      <c r="W339" s="15">
        <f t="shared" ca="1" si="221"/>
        <v>7</v>
      </c>
      <c r="X339" s="16" t="str">
        <f t="shared" ca="1" si="222"/>
        <v>—</v>
      </c>
      <c r="Y339" s="15">
        <f t="shared" ca="1" si="223"/>
        <v>7</v>
      </c>
      <c r="Z339" s="16" t="str">
        <f t="shared" ca="1" si="224"/>
        <v>—</v>
      </c>
      <c r="AA339" s="15">
        <f t="shared" ca="1" si="225"/>
        <v>7</v>
      </c>
      <c r="AB339" s="9" t="str">
        <f t="shared" ca="1" si="226"/>
        <v>—</v>
      </c>
      <c r="AC339" s="15">
        <f t="shared" ca="1" si="227"/>
        <v>7</v>
      </c>
      <c r="AD339" s="76" t="str">
        <f t="shared" ca="1" si="228"/>
        <v>—</v>
      </c>
      <c r="AE339" s="15">
        <f t="shared" ca="1" si="229"/>
        <v>7</v>
      </c>
      <c r="AF339" s="76" t="str">
        <f t="shared" ca="1" si="230"/>
        <v>—</v>
      </c>
      <c r="AG339" s="15">
        <f t="shared" ca="1" si="231"/>
        <v>7</v>
      </c>
      <c r="AH339" s="9" t="str">
        <f t="shared" ca="1" si="232"/>
        <v>—</v>
      </c>
      <c r="AI339" s="15">
        <f t="shared" ca="1" si="233"/>
        <v>7</v>
      </c>
      <c r="AJ339" s="26" t="str">
        <f t="shared" ca="1" si="234"/>
        <v>—</v>
      </c>
      <c r="AK339" s="15">
        <f t="shared" ca="1" si="235"/>
        <v>7</v>
      </c>
      <c r="AL339" s="9" t="str">
        <f t="shared" ca="1" si="236"/>
        <v>—</v>
      </c>
      <c r="AM339" s="15">
        <f t="shared" ca="1" si="237"/>
        <v>7</v>
      </c>
      <c r="AN339" s="9" t="str">
        <f t="shared" ca="1" si="238"/>
        <v>—</v>
      </c>
      <c r="AO339" s="15">
        <f t="shared" ca="1" si="239"/>
        <v>7</v>
      </c>
    </row>
    <row r="340" spans="1:41" x14ac:dyDescent="0.25">
      <c r="A340" s="4">
        <f t="shared" si="200"/>
        <v>78989</v>
      </c>
      <c r="B340" t="str">
        <f ca="1">TEXT(DATE(YEAR(Invoer!$A$5),1,1)+ROWS(B$2:B340)-1,"jjjjmmdd")</f>
        <v>19131205</v>
      </c>
      <c r="C340" s="72">
        <f t="shared" si="201"/>
        <v>800</v>
      </c>
      <c r="D340" s="16" t="str">
        <f t="shared" ca="1" si="202"/>
        <v>—</v>
      </c>
      <c r="E340" s="15">
        <f t="shared" ca="1" si="203"/>
        <v>7</v>
      </c>
      <c r="F340" s="73" t="str">
        <f t="shared" ca="1" si="204"/>
        <v>—</v>
      </c>
      <c r="G340" s="15">
        <f t="shared" ca="1" si="205"/>
        <v>7</v>
      </c>
      <c r="H340" s="73" t="str">
        <f t="shared" ca="1" si="206"/>
        <v>—</v>
      </c>
      <c r="I340" s="15">
        <f t="shared" ca="1" si="207"/>
        <v>7</v>
      </c>
      <c r="J340" s="73" t="str">
        <f t="shared" ca="1" si="208"/>
        <v>—</v>
      </c>
      <c r="K340" s="15">
        <f t="shared" ca="1" si="209"/>
        <v>7</v>
      </c>
      <c r="L340" s="16" t="str">
        <f t="shared" ca="1" si="210"/>
        <v>—</v>
      </c>
      <c r="M340" s="15">
        <f t="shared" ca="1" si="211"/>
        <v>7</v>
      </c>
      <c r="N340" s="16" t="str">
        <f t="shared" ca="1" si="212"/>
        <v>—</v>
      </c>
      <c r="O340" s="15">
        <f t="shared" ca="1" si="213"/>
        <v>7</v>
      </c>
      <c r="P340" s="16" t="str">
        <f t="shared" ca="1" si="214"/>
        <v>—</v>
      </c>
      <c r="Q340" s="15">
        <f t="shared" ca="1" si="215"/>
        <v>7</v>
      </c>
      <c r="R340" s="16" t="str">
        <f t="shared" ca="1" si="216"/>
        <v>—</v>
      </c>
      <c r="S340" s="15">
        <f t="shared" ca="1" si="217"/>
        <v>7</v>
      </c>
      <c r="T340" s="9" t="str">
        <f t="shared" ca="1" si="218"/>
        <v>—</v>
      </c>
      <c r="U340" s="15">
        <f t="shared" ca="1" si="219"/>
        <v>7</v>
      </c>
      <c r="V340" s="16" t="str">
        <f t="shared" ca="1" si="220"/>
        <v>—</v>
      </c>
      <c r="W340" s="15">
        <f t="shared" ca="1" si="221"/>
        <v>7</v>
      </c>
      <c r="X340" s="16" t="str">
        <f t="shared" ca="1" si="222"/>
        <v>—</v>
      </c>
      <c r="Y340" s="15">
        <f t="shared" ca="1" si="223"/>
        <v>7</v>
      </c>
      <c r="Z340" s="16" t="str">
        <f t="shared" ca="1" si="224"/>
        <v>—</v>
      </c>
      <c r="AA340" s="15">
        <f t="shared" ca="1" si="225"/>
        <v>7</v>
      </c>
      <c r="AB340" s="9" t="str">
        <f t="shared" ca="1" si="226"/>
        <v>—</v>
      </c>
      <c r="AC340" s="15">
        <f t="shared" ca="1" si="227"/>
        <v>7</v>
      </c>
      <c r="AD340" s="76" t="str">
        <f t="shared" ca="1" si="228"/>
        <v>—</v>
      </c>
      <c r="AE340" s="15">
        <f t="shared" ca="1" si="229"/>
        <v>7</v>
      </c>
      <c r="AF340" s="76" t="str">
        <f t="shared" ca="1" si="230"/>
        <v>—</v>
      </c>
      <c r="AG340" s="15">
        <f t="shared" ca="1" si="231"/>
        <v>7</v>
      </c>
      <c r="AH340" s="9" t="str">
        <f t="shared" ca="1" si="232"/>
        <v>—</v>
      </c>
      <c r="AI340" s="15">
        <f t="shared" ca="1" si="233"/>
        <v>7</v>
      </c>
      <c r="AJ340" s="26" t="str">
        <f t="shared" ca="1" si="234"/>
        <v>—</v>
      </c>
      <c r="AK340" s="15">
        <f t="shared" ca="1" si="235"/>
        <v>7</v>
      </c>
      <c r="AL340" s="9" t="str">
        <f t="shared" ca="1" si="236"/>
        <v>—</v>
      </c>
      <c r="AM340" s="15">
        <f t="shared" ca="1" si="237"/>
        <v>7</v>
      </c>
      <c r="AN340" s="9" t="str">
        <f t="shared" ca="1" si="238"/>
        <v>—</v>
      </c>
      <c r="AO340" s="15">
        <f t="shared" ca="1" si="239"/>
        <v>7</v>
      </c>
    </row>
    <row r="341" spans="1:41" x14ac:dyDescent="0.25">
      <c r="A341" s="4">
        <f t="shared" si="200"/>
        <v>78989</v>
      </c>
      <c r="B341" t="str">
        <f ca="1">TEXT(DATE(YEAR(Invoer!$A$5),1,1)+ROWS(B$2:B341)-1,"jjjjmmdd")</f>
        <v>19131206</v>
      </c>
      <c r="C341" s="72">
        <f t="shared" si="201"/>
        <v>800</v>
      </c>
      <c r="D341" s="16" t="str">
        <f t="shared" ca="1" si="202"/>
        <v>—</v>
      </c>
      <c r="E341" s="15">
        <f t="shared" ca="1" si="203"/>
        <v>7</v>
      </c>
      <c r="F341" s="73" t="str">
        <f t="shared" ca="1" si="204"/>
        <v>—</v>
      </c>
      <c r="G341" s="15">
        <f t="shared" ca="1" si="205"/>
        <v>7</v>
      </c>
      <c r="H341" s="73" t="str">
        <f t="shared" ca="1" si="206"/>
        <v>—</v>
      </c>
      <c r="I341" s="15">
        <f t="shared" ca="1" si="207"/>
        <v>7</v>
      </c>
      <c r="J341" s="73" t="str">
        <f t="shared" ca="1" si="208"/>
        <v>—</v>
      </c>
      <c r="K341" s="15">
        <f t="shared" ca="1" si="209"/>
        <v>7</v>
      </c>
      <c r="L341" s="16" t="str">
        <f t="shared" ca="1" si="210"/>
        <v>—</v>
      </c>
      <c r="M341" s="15">
        <f t="shared" ca="1" si="211"/>
        <v>7</v>
      </c>
      <c r="N341" s="16" t="str">
        <f t="shared" ca="1" si="212"/>
        <v>—</v>
      </c>
      <c r="O341" s="15">
        <f t="shared" ca="1" si="213"/>
        <v>7</v>
      </c>
      <c r="P341" s="16" t="str">
        <f t="shared" ca="1" si="214"/>
        <v>—</v>
      </c>
      <c r="Q341" s="15">
        <f t="shared" ca="1" si="215"/>
        <v>7</v>
      </c>
      <c r="R341" s="16" t="str">
        <f t="shared" ca="1" si="216"/>
        <v>—</v>
      </c>
      <c r="S341" s="15">
        <f t="shared" ca="1" si="217"/>
        <v>7</v>
      </c>
      <c r="T341" s="9" t="str">
        <f t="shared" ca="1" si="218"/>
        <v>—</v>
      </c>
      <c r="U341" s="15">
        <f t="shared" ca="1" si="219"/>
        <v>7</v>
      </c>
      <c r="V341" s="16" t="str">
        <f t="shared" ca="1" si="220"/>
        <v>—</v>
      </c>
      <c r="W341" s="15">
        <f t="shared" ca="1" si="221"/>
        <v>7</v>
      </c>
      <c r="X341" s="16" t="str">
        <f t="shared" ca="1" si="222"/>
        <v>—</v>
      </c>
      <c r="Y341" s="15">
        <f t="shared" ca="1" si="223"/>
        <v>7</v>
      </c>
      <c r="Z341" s="16" t="str">
        <f t="shared" ca="1" si="224"/>
        <v>—</v>
      </c>
      <c r="AA341" s="15">
        <f t="shared" ca="1" si="225"/>
        <v>7</v>
      </c>
      <c r="AB341" s="9" t="str">
        <f t="shared" ca="1" si="226"/>
        <v>—</v>
      </c>
      <c r="AC341" s="15">
        <f t="shared" ca="1" si="227"/>
        <v>7</v>
      </c>
      <c r="AD341" s="76" t="str">
        <f t="shared" ca="1" si="228"/>
        <v>—</v>
      </c>
      <c r="AE341" s="15">
        <f t="shared" ca="1" si="229"/>
        <v>7</v>
      </c>
      <c r="AF341" s="76" t="str">
        <f t="shared" ca="1" si="230"/>
        <v>—</v>
      </c>
      <c r="AG341" s="15">
        <f t="shared" ca="1" si="231"/>
        <v>7</v>
      </c>
      <c r="AH341" s="9" t="str">
        <f t="shared" ca="1" si="232"/>
        <v>—</v>
      </c>
      <c r="AI341" s="15">
        <f t="shared" ca="1" si="233"/>
        <v>7</v>
      </c>
      <c r="AJ341" s="26" t="str">
        <f t="shared" ca="1" si="234"/>
        <v>—</v>
      </c>
      <c r="AK341" s="15">
        <f t="shared" ca="1" si="235"/>
        <v>7</v>
      </c>
      <c r="AL341" s="9" t="str">
        <f t="shared" ca="1" si="236"/>
        <v>—</v>
      </c>
      <c r="AM341" s="15">
        <f t="shared" ca="1" si="237"/>
        <v>7</v>
      </c>
      <c r="AN341" s="9" t="str">
        <f t="shared" ca="1" si="238"/>
        <v>—</v>
      </c>
      <c r="AO341" s="15">
        <f t="shared" ca="1" si="239"/>
        <v>7</v>
      </c>
    </row>
    <row r="342" spans="1:41" x14ac:dyDescent="0.25">
      <c r="A342" s="4">
        <f t="shared" si="200"/>
        <v>78989</v>
      </c>
      <c r="B342" t="str">
        <f ca="1">TEXT(DATE(YEAR(Invoer!$A$5),1,1)+ROWS(B$2:B342)-1,"jjjjmmdd")</f>
        <v>19131207</v>
      </c>
      <c r="C342" s="72">
        <f t="shared" si="201"/>
        <v>800</v>
      </c>
      <c r="D342" s="16" t="str">
        <f t="shared" ca="1" si="202"/>
        <v>—</v>
      </c>
      <c r="E342" s="15">
        <f t="shared" ca="1" si="203"/>
        <v>7</v>
      </c>
      <c r="F342" s="73" t="str">
        <f t="shared" ca="1" si="204"/>
        <v>—</v>
      </c>
      <c r="G342" s="15">
        <f t="shared" ca="1" si="205"/>
        <v>7</v>
      </c>
      <c r="H342" s="73" t="str">
        <f t="shared" ca="1" si="206"/>
        <v>—</v>
      </c>
      <c r="I342" s="15">
        <f t="shared" ca="1" si="207"/>
        <v>7</v>
      </c>
      <c r="J342" s="73" t="str">
        <f t="shared" ca="1" si="208"/>
        <v>—</v>
      </c>
      <c r="K342" s="15">
        <f t="shared" ca="1" si="209"/>
        <v>7</v>
      </c>
      <c r="L342" s="16" t="str">
        <f t="shared" ca="1" si="210"/>
        <v>—</v>
      </c>
      <c r="M342" s="15">
        <f t="shared" ca="1" si="211"/>
        <v>7</v>
      </c>
      <c r="N342" s="16" t="str">
        <f t="shared" ca="1" si="212"/>
        <v>—</v>
      </c>
      <c r="O342" s="15">
        <f t="shared" ca="1" si="213"/>
        <v>7</v>
      </c>
      <c r="P342" s="16" t="str">
        <f t="shared" ca="1" si="214"/>
        <v>—</v>
      </c>
      <c r="Q342" s="15">
        <f t="shared" ca="1" si="215"/>
        <v>7</v>
      </c>
      <c r="R342" s="16" t="str">
        <f t="shared" ca="1" si="216"/>
        <v>—</v>
      </c>
      <c r="S342" s="15">
        <f t="shared" ca="1" si="217"/>
        <v>7</v>
      </c>
      <c r="T342" s="9" t="str">
        <f t="shared" ca="1" si="218"/>
        <v>—</v>
      </c>
      <c r="U342" s="15">
        <f t="shared" ca="1" si="219"/>
        <v>7</v>
      </c>
      <c r="V342" s="16" t="str">
        <f t="shared" ca="1" si="220"/>
        <v>—</v>
      </c>
      <c r="W342" s="15">
        <f t="shared" ca="1" si="221"/>
        <v>7</v>
      </c>
      <c r="X342" s="16" t="str">
        <f t="shared" ca="1" si="222"/>
        <v>—</v>
      </c>
      <c r="Y342" s="15">
        <f t="shared" ca="1" si="223"/>
        <v>7</v>
      </c>
      <c r="Z342" s="16" t="str">
        <f t="shared" ca="1" si="224"/>
        <v>—</v>
      </c>
      <c r="AA342" s="15">
        <f t="shared" ca="1" si="225"/>
        <v>7</v>
      </c>
      <c r="AB342" s="9" t="str">
        <f t="shared" ca="1" si="226"/>
        <v>—</v>
      </c>
      <c r="AC342" s="15">
        <f t="shared" ca="1" si="227"/>
        <v>7</v>
      </c>
      <c r="AD342" s="76" t="str">
        <f t="shared" ca="1" si="228"/>
        <v>—</v>
      </c>
      <c r="AE342" s="15">
        <f t="shared" ca="1" si="229"/>
        <v>7</v>
      </c>
      <c r="AF342" s="76" t="str">
        <f t="shared" ca="1" si="230"/>
        <v>—</v>
      </c>
      <c r="AG342" s="15">
        <f t="shared" ca="1" si="231"/>
        <v>7</v>
      </c>
      <c r="AH342" s="9" t="str">
        <f t="shared" ca="1" si="232"/>
        <v>—</v>
      </c>
      <c r="AI342" s="15">
        <f t="shared" ca="1" si="233"/>
        <v>7</v>
      </c>
      <c r="AJ342" s="26" t="str">
        <f t="shared" ca="1" si="234"/>
        <v>—</v>
      </c>
      <c r="AK342" s="15">
        <f t="shared" ca="1" si="235"/>
        <v>7</v>
      </c>
      <c r="AL342" s="9" t="str">
        <f t="shared" ca="1" si="236"/>
        <v>—</v>
      </c>
      <c r="AM342" s="15">
        <f t="shared" ca="1" si="237"/>
        <v>7</v>
      </c>
      <c r="AN342" s="9" t="str">
        <f t="shared" ca="1" si="238"/>
        <v>—</v>
      </c>
      <c r="AO342" s="15">
        <f t="shared" ca="1" si="239"/>
        <v>7</v>
      </c>
    </row>
    <row r="343" spans="1:41" x14ac:dyDescent="0.25">
      <c r="A343" s="4">
        <f t="shared" si="200"/>
        <v>78989</v>
      </c>
      <c r="B343" t="str">
        <f ca="1">TEXT(DATE(YEAR(Invoer!$A$5),1,1)+ROWS(B$2:B343)-1,"jjjjmmdd")</f>
        <v>19131208</v>
      </c>
      <c r="C343" s="72">
        <f t="shared" si="201"/>
        <v>800</v>
      </c>
      <c r="D343" s="16" t="str">
        <f t="shared" ca="1" si="202"/>
        <v>—</v>
      </c>
      <c r="E343" s="15">
        <f t="shared" ca="1" si="203"/>
        <v>7</v>
      </c>
      <c r="F343" s="73" t="str">
        <f t="shared" ca="1" si="204"/>
        <v>—</v>
      </c>
      <c r="G343" s="15">
        <f t="shared" ca="1" si="205"/>
        <v>7</v>
      </c>
      <c r="H343" s="73" t="str">
        <f t="shared" ca="1" si="206"/>
        <v>—</v>
      </c>
      <c r="I343" s="15">
        <f t="shared" ca="1" si="207"/>
        <v>7</v>
      </c>
      <c r="J343" s="73" t="str">
        <f t="shared" ca="1" si="208"/>
        <v>—</v>
      </c>
      <c r="K343" s="15">
        <f t="shared" ca="1" si="209"/>
        <v>7</v>
      </c>
      <c r="L343" s="16" t="str">
        <f t="shared" ca="1" si="210"/>
        <v>—</v>
      </c>
      <c r="M343" s="15">
        <f t="shared" ca="1" si="211"/>
        <v>7</v>
      </c>
      <c r="N343" s="16" t="str">
        <f t="shared" ca="1" si="212"/>
        <v>—</v>
      </c>
      <c r="O343" s="15">
        <f t="shared" ca="1" si="213"/>
        <v>7</v>
      </c>
      <c r="P343" s="16" t="str">
        <f t="shared" ca="1" si="214"/>
        <v>—</v>
      </c>
      <c r="Q343" s="15">
        <f t="shared" ca="1" si="215"/>
        <v>7</v>
      </c>
      <c r="R343" s="16" t="str">
        <f t="shared" ca="1" si="216"/>
        <v>—</v>
      </c>
      <c r="S343" s="15">
        <f t="shared" ca="1" si="217"/>
        <v>7</v>
      </c>
      <c r="T343" s="9" t="str">
        <f t="shared" ca="1" si="218"/>
        <v>—</v>
      </c>
      <c r="U343" s="15">
        <f t="shared" ca="1" si="219"/>
        <v>7</v>
      </c>
      <c r="V343" s="16" t="str">
        <f t="shared" ca="1" si="220"/>
        <v>—</v>
      </c>
      <c r="W343" s="15">
        <f t="shared" ca="1" si="221"/>
        <v>7</v>
      </c>
      <c r="X343" s="16" t="str">
        <f t="shared" ca="1" si="222"/>
        <v>—</v>
      </c>
      <c r="Y343" s="15">
        <f t="shared" ca="1" si="223"/>
        <v>7</v>
      </c>
      <c r="Z343" s="16" t="str">
        <f t="shared" ca="1" si="224"/>
        <v>—</v>
      </c>
      <c r="AA343" s="15">
        <f t="shared" ca="1" si="225"/>
        <v>7</v>
      </c>
      <c r="AB343" s="9" t="str">
        <f t="shared" ca="1" si="226"/>
        <v>—</v>
      </c>
      <c r="AC343" s="15">
        <f t="shared" ca="1" si="227"/>
        <v>7</v>
      </c>
      <c r="AD343" s="76" t="str">
        <f t="shared" ca="1" si="228"/>
        <v>—</v>
      </c>
      <c r="AE343" s="15">
        <f t="shared" ca="1" si="229"/>
        <v>7</v>
      </c>
      <c r="AF343" s="76" t="str">
        <f t="shared" ca="1" si="230"/>
        <v>—</v>
      </c>
      <c r="AG343" s="15">
        <f t="shared" ca="1" si="231"/>
        <v>7</v>
      </c>
      <c r="AH343" s="9" t="str">
        <f t="shared" ca="1" si="232"/>
        <v>—</v>
      </c>
      <c r="AI343" s="15">
        <f t="shared" ca="1" si="233"/>
        <v>7</v>
      </c>
      <c r="AJ343" s="26" t="str">
        <f t="shared" ca="1" si="234"/>
        <v>—</v>
      </c>
      <c r="AK343" s="15">
        <f t="shared" ca="1" si="235"/>
        <v>7</v>
      </c>
      <c r="AL343" s="9" t="str">
        <f t="shared" ca="1" si="236"/>
        <v>—</v>
      </c>
      <c r="AM343" s="15">
        <f t="shared" ca="1" si="237"/>
        <v>7</v>
      </c>
      <c r="AN343" s="9" t="str">
        <f t="shared" ca="1" si="238"/>
        <v>—</v>
      </c>
      <c r="AO343" s="15">
        <f t="shared" ca="1" si="239"/>
        <v>7</v>
      </c>
    </row>
    <row r="344" spans="1:41" x14ac:dyDescent="0.25">
      <c r="A344" s="4">
        <f t="shared" si="200"/>
        <v>78989</v>
      </c>
      <c r="B344" t="str">
        <f ca="1">TEXT(DATE(YEAR(Invoer!$A$5),1,1)+ROWS(B$2:B344)-1,"jjjjmmdd")</f>
        <v>19131209</v>
      </c>
      <c r="C344" s="72">
        <f t="shared" si="201"/>
        <v>800</v>
      </c>
      <c r="D344" s="16" t="str">
        <f t="shared" ca="1" si="202"/>
        <v>—</v>
      </c>
      <c r="E344" s="15">
        <f t="shared" ca="1" si="203"/>
        <v>7</v>
      </c>
      <c r="F344" s="73" t="str">
        <f t="shared" ca="1" si="204"/>
        <v>—</v>
      </c>
      <c r="G344" s="15">
        <f t="shared" ca="1" si="205"/>
        <v>7</v>
      </c>
      <c r="H344" s="73" t="str">
        <f t="shared" ca="1" si="206"/>
        <v>—</v>
      </c>
      <c r="I344" s="15">
        <f t="shared" ca="1" si="207"/>
        <v>7</v>
      </c>
      <c r="J344" s="73" t="str">
        <f t="shared" ca="1" si="208"/>
        <v>—</v>
      </c>
      <c r="K344" s="15">
        <f t="shared" ca="1" si="209"/>
        <v>7</v>
      </c>
      <c r="L344" s="16" t="str">
        <f t="shared" ca="1" si="210"/>
        <v>—</v>
      </c>
      <c r="M344" s="15">
        <f t="shared" ca="1" si="211"/>
        <v>7</v>
      </c>
      <c r="N344" s="16" t="str">
        <f t="shared" ca="1" si="212"/>
        <v>—</v>
      </c>
      <c r="O344" s="15">
        <f t="shared" ca="1" si="213"/>
        <v>7</v>
      </c>
      <c r="P344" s="16" t="str">
        <f t="shared" ca="1" si="214"/>
        <v>—</v>
      </c>
      <c r="Q344" s="15">
        <f t="shared" ca="1" si="215"/>
        <v>7</v>
      </c>
      <c r="R344" s="16" t="str">
        <f t="shared" ca="1" si="216"/>
        <v>—</v>
      </c>
      <c r="S344" s="15">
        <f t="shared" ca="1" si="217"/>
        <v>7</v>
      </c>
      <c r="T344" s="9" t="str">
        <f t="shared" ca="1" si="218"/>
        <v>—</v>
      </c>
      <c r="U344" s="15">
        <f t="shared" ca="1" si="219"/>
        <v>7</v>
      </c>
      <c r="V344" s="16" t="str">
        <f t="shared" ca="1" si="220"/>
        <v>—</v>
      </c>
      <c r="W344" s="15">
        <f t="shared" ca="1" si="221"/>
        <v>7</v>
      </c>
      <c r="X344" s="16" t="str">
        <f t="shared" ca="1" si="222"/>
        <v>—</v>
      </c>
      <c r="Y344" s="15">
        <f t="shared" ca="1" si="223"/>
        <v>7</v>
      </c>
      <c r="Z344" s="16" t="str">
        <f t="shared" ca="1" si="224"/>
        <v>—</v>
      </c>
      <c r="AA344" s="15">
        <f t="shared" ca="1" si="225"/>
        <v>7</v>
      </c>
      <c r="AB344" s="9" t="str">
        <f t="shared" ca="1" si="226"/>
        <v>—</v>
      </c>
      <c r="AC344" s="15">
        <f t="shared" ca="1" si="227"/>
        <v>7</v>
      </c>
      <c r="AD344" s="76" t="str">
        <f t="shared" ca="1" si="228"/>
        <v>—</v>
      </c>
      <c r="AE344" s="15">
        <f t="shared" ca="1" si="229"/>
        <v>7</v>
      </c>
      <c r="AF344" s="76" t="str">
        <f t="shared" ca="1" si="230"/>
        <v>—</v>
      </c>
      <c r="AG344" s="15">
        <f t="shared" ca="1" si="231"/>
        <v>7</v>
      </c>
      <c r="AH344" s="9" t="str">
        <f t="shared" ca="1" si="232"/>
        <v>—</v>
      </c>
      <c r="AI344" s="15">
        <f t="shared" ca="1" si="233"/>
        <v>7</v>
      </c>
      <c r="AJ344" s="26" t="str">
        <f t="shared" ca="1" si="234"/>
        <v>—</v>
      </c>
      <c r="AK344" s="15">
        <f t="shared" ca="1" si="235"/>
        <v>7</v>
      </c>
      <c r="AL344" s="9" t="str">
        <f t="shared" ca="1" si="236"/>
        <v>—</v>
      </c>
      <c r="AM344" s="15">
        <f t="shared" ca="1" si="237"/>
        <v>7</v>
      </c>
      <c r="AN344" s="9" t="str">
        <f t="shared" ca="1" si="238"/>
        <v>—</v>
      </c>
      <c r="AO344" s="15">
        <f t="shared" ca="1" si="239"/>
        <v>7</v>
      </c>
    </row>
    <row r="345" spans="1:41" x14ac:dyDescent="0.25">
      <c r="A345" s="4">
        <f t="shared" si="200"/>
        <v>78989</v>
      </c>
      <c r="B345" t="str">
        <f ca="1">TEXT(DATE(YEAR(Invoer!$A$5),1,1)+ROWS(B$2:B345)-1,"jjjjmmdd")</f>
        <v>19131210</v>
      </c>
      <c r="C345" s="72">
        <f t="shared" si="201"/>
        <v>800</v>
      </c>
      <c r="D345" s="16" t="str">
        <f t="shared" ca="1" si="202"/>
        <v>—</v>
      </c>
      <c r="E345" s="15">
        <f t="shared" ca="1" si="203"/>
        <v>7</v>
      </c>
      <c r="F345" s="73" t="str">
        <f t="shared" ca="1" si="204"/>
        <v>—</v>
      </c>
      <c r="G345" s="15">
        <f t="shared" ca="1" si="205"/>
        <v>7</v>
      </c>
      <c r="H345" s="73" t="str">
        <f t="shared" ca="1" si="206"/>
        <v>—</v>
      </c>
      <c r="I345" s="15">
        <f t="shared" ca="1" si="207"/>
        <v>7</v>
      </c>
      <c r="J345" s="73" t="str">
        <f t="shared" ca="1" si="208"/>
        <v>—</v>
      </c>
      <c r="K345" s="15">
        <f t="shared" ca="1" si="209"/>
        <v>7</v>
      </c>
      <c r="L345" s="16" t="str">
        <f t="shared" ca="1" si="210"/>
        <v>—</v>
      </c>
      <c r="M345" s="15">
        <f t="shared" ca="1" si="211"/>
        <v>7</v>
      </c>
      <c r="N345" s="16" t="str">
        <f t="shared" ca="1" si="212"/>
        <v>—</v>
      </c>
      <c r="O345" s="15">
        <f t="shared" ca="1" si="213"/>
        <v>7</v>
      </c>
      <c r="P345" s="16" t="str">
        <f t="shared" ca="1" si="214"/>
        <v>—</v>
      </c>
      <c r="Q345" s="15">
        <f t="shared" ca="1" si="215"/>
        <v>7</v>
      </c>
      <c r="R345" s="16" t="str">
        <f t="shared" ca="1" si="216"/>
        <v>—</v>
      </c>
      <c r="S345" s="15">
        <f t="shared" ca="1" si="217"/>
        <v>7</v>
      </c>
      <c r="T345" s="9" t="str">
        <f t="shared" ca="1" si="218"/>
        <v>—</v>
      </c>
      <c r="U345" s="15">
        <f t="shared" ca="1" si="219"/>
        <v>7</v>
      </c>
      <c r="V345" s="16" t="str">
        <f t="shared" ca="1" si="220"/>
        <v>—</v>
      </c>
      <c r="W345" s="15">
        <f t="shared" ca="1" si="221"/>
        <v>7</v>
      </c>
      <c r="X345" s="16" t="str">
        <f t="shared" ca="1" si="222"/>
        <v>—</v>
      </c>
      <c r="Y345" s="15">
        <f t="shared" ca="1" si="223"/>
        <v>7</v>
      </c>
      <c r="Z345" s="16" t="str">
        <f t="shared" ca="1" si="224"/>
        <v>—</v>
      </c>
      <c r="AA345" s="15">
        <f t="shared" ca="1" si="225"/>
        <v>7</v>
      </c>
      <c r="AB345" s="9" t="str">
        <f t="shared" ca="1" si="226"/>
        <v>—</v>
      </c>
      <c r="AC345" s="15">
        <f t="shared" ca="1" si="227"/>
        <v>7</v>
      </c>
      <c r="AD345" s="76" t="str">
        <f t="shared" ca="1" si="228"/>
        <v>—</v>
      </c>
      <c r="AE345" s="15">
        <f t="shared" ca="1" si="229"/>
        <v>7</v>
      </c>
      <c r="AF345" s="76" t="str">
        <f t="shared" ca="1" si="230"/>
        <v>—</v>
      </c>
      <c r="AG345" s="15">
        <f t="shared" ca="1" si="231"/>
        <v>7</v>
      </c>
      <c r="AH345" s="9" t="str">
        <f t="shared" ca="1" si="232"/>
        <v>—</v>
      </c>
      <c r="AI345" s="15">
        <f t="shared" ca="1" si="233"/>
        <v>7</v>
      </c>
      <c r="AJ345" s="26" t="str">
        <f t="shared" ca="1" si="234"/>
        <v>—</v>
      </c>
      <c r="AK345" s="15">
        <f t="shared" ca="1" si="235"/>
        <v>7</v>
      </c>
      <c r="AL345" s="9" t="str">
        <f t="shared" ca="1" si="236"/>
        <v>—</v>
      </c>
      <c r="AM345" s="15">
        <f t="shared" ca="1" si="237"/>
        <v>7</v>
      </c>
      <c r="AN345" s="9" t="str">
        <f t="shared" ca="1" si="238"/>
        <v>—</v>
      </c>
      <c r="AO345" s="15">
        <f t="shared" ca="1" si="239"/>
        <v>7</v>
      </c>
    </row>
    <row r="346" spans="1:41" x14ac:dyDescent="0.25">
      <c r="A346" s="4">
        <f t="shared" si="200"/>
        <v>78989</v>
      </c>
      <c r="B346" t="str">
        <f ca="1">TEXT(DATE(YEAR(Invoer!$A$5),1,1)+ROWS(B$2:B346)-1,"jjjjmmdd")</f>
        <v>19131211</v>
      </c>
      <c r="C346" s="72">
        <f t="shared" si="201"/>
        <v>800</v>
      </c>
      <c r="D346" s="16" t="str">
        <f t="shared" ca="1" si="202"/>
        <v>—</v>
      </c>
      <c r="E346" s="15">
        <f t="shared" ca="1" si="203"/>
        <v>7</v>
      </c>
      <c r="F346" s="73" t="str">
        <f t="shared" ca="1" si="204"/>
        <v>—</v>
      </c>
      <c r="G346" s="15">
        <f t="shared" ca="1" si="205"/>
        <v>7</v>
      </c>
      <c r="H346" s="73" t="str">
        <f t="shared" ca="1" si="206"/>
        <v>—</v>
      </c>
      <c r="I346" s="15">
        <f t="shared" ca="1" si="207"/>
        <v>7</v>
      </c>
      <c r="J346" s="73" t="str">
        <f t="shared" ca="1" si="208"/>
        <v>—</v>
      </c>
      <c r="K346" s="15">
        <f t="shared" ca="1" si="209"/>
        <v>7</v>
      </c>
      <c r="L346" s="16" t="str">
        <f t="shared" ca="1" si="210"/>
        <v>—</v>
      </c>
      <c r="M346" s="15">
        <f t="shared" ca="1" si="211"/>
        <v>7</v>
      </c>
      <c r="N346" s="16" t="str">
        <f t="shared" ca="1" si="212"/>
        <v>—</v>
      </c>
      <c r="O346" s="15">
        <f t="shared" ca="1" si="213"/>
        <v>7</v>
      </c>
      <c r="P346" s="16" t="str">
        <f t="shared" ca="1" si="214"/>
        <v>—</v>
      </c>
      <c r="Q346" s="15">
        <f t="shared" ca="1" si="215"/>
        <v>7</v>
      </c>
      <c r="R346" s="16" t="str">
        <f t="shared" ca="1" si="216"/>
        <v>—</v>
      </c>
      <c r="S346" s="15">
        <f t="shared" ca="1" si="217"/>
        <v>7</v>
      </c>
      <c r="T346" s="9" t="str">
        <f t="shared" ca="1" si="218"/>
        <v>—</v>
      </c>
      <c r="U346" s="15">
        <f t="shared" ca="1" si="219"/>
        <v>7</v>
      </c>
      <c r="V346" s="16" t="str">
        <f t="shared" ca="1" si="220"/>
        <v>—</v>
      </c>
      <c r="W346" s="15">
        <f t="shared" ca="1" si="221"/>
        <v>7</v>
      </c>
      <c r="X346" s="16" t="str">
        <f t="shared" ca="1" si="222"/>
        <v>—</v>
      </c>
      <c r="Y346" s="15">
        <f t="shared" ca="1" si="223"/>
        <v>7</v>
      </c>
      <c r="Z346" s="16" t="str">
        <f t="shared" ca="1" si="224"/>
        <v>—</v>
      </c>
      <c r="AA346" s="15">
        <f t="shared" ca="1" si="225"/>
        <v>7</v>
      </c>
      <c r="AB346" s="9" t="str">
        <f t="shared" ca="1" si="226"/>
        <v>—</v>
      </c>
      <c r="AC346" s="15">
        <f t="shared" ca="1" si="227"/>
        <v>7</v>
      </c>
      <c r="AD346" s="76" t="str">
        <f t="shared" ca="1" si="228"/>
        <v>—</v>
      </c>
      <c r="AE346" s="15">
        <f t="shared" ca="1" si="229"/>
        <v>7</v>
      </c>
      <c r="AF346" s="76" t="str">
        <f t="shared" ca="1" si="230"/>
        <v>—</v>
      </c>
      <c r="AG346" s="15">
        <f t="shared" ca="1" si="231"/>
        <v>7</v>
      </c>
      <c r="AH346" s="9" t="str">
        <f t="shared" ca="1" si="232"/>
        <v>—</v>
      </c>
      <c r="AI346" s="15">
        <f t="shared" ca="1" si="233"/>
        <v>7</v>
      </c>
      <c r="AJ346" s="26" t="str">
        <f t="shared" ca="1" si="234"/>
        <v>—</v>
      </c>
      <c r="AK346" s="15">
        <f t="shared" ca="1" si="235"/>
        <v>7</v>
      </c>
      <c r="AL346" s="9" t="str">
        <f t="shared" ca="1" si="236"/>
        <v>—</v>
      </c>
      <c r="AM346" s="15">
        <f t="shared" ca="1" si="237"/>
        <v>7</v>
      </c>
      <c r="AN346" s="9" t="str">
        <f t="shared" ca="1" si="238"/>
        <v>—</v>
      </c>
      <c r="AO346" s="15">
        <f t="shared" ca="1" si="239"/>
        <v>7</v>
      </c>
    </row>
    <row r="347" spans="1:41" x14ac:dyDescent="0.25">
      <c r="A347" s="4">
        <f t="shared" si="200"/>
        <v>78989</v>
      </c>
      <c r="B347" t="str">
        <f ca="1">TEXT(DATE(YEAR(Invoer!$A$5),1,1)+ROWS(B$2:B347)-1,"jjjjmmdd")</f>
        <v>19131212</v>
      </c>
      <c r="C347" s="72">
        <f t="shared" si="201"/>
        <v>800</v>
      </c>
      <c r="D347" s="16" t="str">
        <f t="shared" ca="1" si="202"/>
        <v>—</v>
      </c>
      <c r="E347" s="15">
        <f t="shared" ca="1" si="203"/>
        <v>7</v>
      </c>
      <c r="F347" s="73" t="str">
        <f t="shared" ca="1" si="204"/>
        <v>—</v>
      </c>
      <c r="G347" s="15">
        <f t="shared" ca="1" si="205"/>
        <v>7</v>
      </c>
      <c r="H347" s="73" t="str">
        <f t="shared" ca="1" si="206"/>
        <v>—</v>
      </c>
      <c r="I347" s="15">
        <f t="shared" ca="1" si="207"/>
        <v>7</v>
      </c>
      <c r="J347" s="73" t="str">
        <f t="shared" ca="1" si="208"/>
        <v>—</v>
      </c>
      <c r="K347" s="15">
        <f t="shared" ca="1" si="209"/>
        <v>7</v>
      </c>
      <c r="L347" s="16" t="str">
        <f t="shared" ca="1" si="210"/>
        <v>—</v>
      </c>
      <c r="M347" s="15">
        <f t="shared" ca="1" si="211"/>
        <v>7</v>
      </c>
      <c r="N347" s="16" t="str">
        <f t="shared" ca="1" si="212"/>
        <v>—</v>
      </c>
      <c r="O347" s="15">
        <f t="shared" ca="1" si="213"/>
        <v>7</v>
      </c>
      <c r="P347" s="16" t="str">
        <f t="shared" ca="1" si="214"/>
        <v>—</v>
      </c>
      <c r="Q347" s="15">
        <f t="shared" ca="1" si="215"/>
        <v>7</v>
      </c>
      <c r="R347" s="16" t="str">
        <f t="shared" ca="1" si="216"/>
        <v>—</v>
      </c>
      <c r="S347" s="15">
        <f t="shared" ca="1" si="217"/>
        <v>7</v>
      </c>
      <c r="T347" s="9" t="str">
        <f t="shared" ca="1" si="218"/>
        <v>—</v>
      </c>
      <c r="U347" s="15">
        <f t="shared" ca="1" si="219"/>
        <v>7</v>
      </c>
      <c r="V347" s="16" t="str">
        <f t="shared" ca="1" si="220"/>
        <v>—</v>
      </c>
      <c r="W347" s="15">
        <f t="shared" ca="1" si="221"/>
        <v>7</v>
      </c>
      <c r="X347" s="16" t="str">
        <f t="shared" ca="1" si="222"/>
        <v>—</v>
      </c>
      <c r="Y347" s="15">
        <f t="shared" ca="1" si="223"/>
        <v>7</v>
      </c>
      <c r="Z347" s="16" t="str">
        <f t="shared" ca="1" si="224"/>
        <v>—</v>
      </c>
      <c r="AA347" s="15">
        <f t="shared" ca="1" si="225"/>
        <v>7</v>
      </c>
      <c r="AB347" s="9" t="str">
        <f t="shared" ca="1" si="226"/>
        <v>—</v>
      </c>
      <c r="AC347" s="15">
        <f t="shared" ca="1" si="227"/>
        <v>7</v>
      </c>
      <c r="AD347" s="76" t="str">
        <f t="shared" ca="1" si="228"/>
        <v>—</v>
      </c>
      <c r="AE347" s="15">
        <f t="shared" ca="1" si="229"/>
        <v>7</v>
      </c>
      <c r="AF347" s="76" t="str">
        <f t="shared" ca="1" si="230"/>
        <v>—</v>
      </c>
      <c r="AG347" s="15">
        <f t="shared" ca="1" si="231"/>
        <v>7</v>
      </c>
      <c r="AH347" s="9" t="str">
        <f t="shared" ca="1" si="232"/>
        <v>—</v>
      </c>
      <c r="AI347" s="15">
        <f t="shared" ca="1" si="233"/>
        <v>7</v>
      </c>
      <c r="AJ347" s="26" t="str">
        <f t="shared" ca="1" si="234"/>
        <v>—</v>
      </c>
      <c r="AK347" s="15">
        <f t="shared" ca="1" si="235"/>
        <v>7</v>
      </c>
      <c r="AL347" s="9" t="str">
        <f t="shared" ca="1" si="236"/>
        <v>—</v>
      </c>
      <c r="AM347" s="15">
        <f t="shared" ca="1" si="237"/>
        <v>7</v>
      </c>
      <c r="AN347" s="9" t="str">
        <f t="shared" ca="1" si="238"/>
        <v>—</v>
      </c>
      <c r="AO347" s="15">
        <f t="shared" ca="1" si="239"/>
        <v>7</v>
      </c>
    </row>
    <row r="348" spans="1:41" x14ac:dyDescent="0.25">
      <c r="A348" s="4">
        <f t="shared" si="200"/>
        <v>78989</v>
      </c>
      <c r="B348" t="str">
        <f ca="1">TEXT(DATE(YEAR(Invoer!$A$5),1,1)+ROWS(B$2:B348)-1,"jjjjmmdd")</f>
        <v>19131213</v>
      </c>
      <c r="C348" s="72">
        <f t="shared" si="201"/>
        <v>800</v>
      </c>
      <c r="D348" s="16" t="str">
        <f t="shared" ca="1" si="202"/>
        <v>—</v>
      </c>
      <c r="E348" s="15">
        <f t="shared" ca="1" si="203"/>
        <v>7</v>
      </c>
      <c r="F348" s="73" t="str">
        <f t="shared" ca="1" si="204"/>
        <v>—</v>
      </c>
      <c r="G348" s="15">
        <f t="shared" ca="1" si="205"/>
        <v>7</v>
      </c>
      <c r="H348" s="73" t="str">
        <f t="shared" ca="1" si="206"/>
        <v>—</v>
      </c>
      <c r="I348" s="15">
        <f t="shared" ca="1" si="207"/>
        <v>7</v>
      </c>
      <c r="J348" s="73" t="str">
        <f t="shared" ca="1" si="208"/>
        <v>—</v>
      </c>
      <c r="K348" s="15">
        <f t="shared" ca="1" si="209"/>
        <v>7</v>
      </c>
      <c r="L348" s="16" t="str">
        <f t="shared" ca="1" si="210"/>
        <v>—</v>
      </c>
      <c r="M348" s="15">
        <f t="shared" ca="1" si="211"/>
        <v>7</v>
      </c>
      <c r="N348" s="16" t="str">
        <f t="shared" ca="1" si="212"/>
        <v>—</v>
      </c>
      <c r="O348" s="15">
        <f t="shared" ca="1" si="213"/>
        <v>7</v>
      </c>
      <c r="P348" s="16" t="str">
        <f t="shared" ca="1" si="214"/>
        <v>—</v>
      </c>
      <c r="Q348" s="15">
        <f t="shared" ca="1" si="215"/>
        <v>7</v>
      </c>
      <c r="R348" s="16" t="str">
        <f t="shared" ca="1" si="216"/>
        <v>—</v>
      </c>
      <c r="S348" s="15">
        <f t="shared" ca="1" si="217"/>
        <v>7</v>
      </c>
      <c r="T348" s="9" t="str">
        <f t="shared" ca="1" si="218"/>
        <v>—</v>
      </c>
      <c r="U348" s="15">
        <f t="shared" ca="1" si="219"/>
        <v>7</v>
      </c>
      <c r="V348" s="16" t="str">
        <f t="shared" ca="1" si="220"/>
        <v>—</v>
      </c>
      <c r="W348" s="15">
        <f t="shared" ca="1" si="221"/>
        <v>7</v>
      </c>
      <c r="X348" s="16" t="str">
        <f t="shared" ca="1" si="222"/>
        <v>—</v>
      </c>
      <c r="Y348" s="15">
        <f t="shared" ca="1" si="223"/>
        <v>7</v>
      </c>
      <c r="Z348" s="16" t="str">
        <f t="shared" ca="1" si="224"/>
        <v>—</v>
      </c>
      <c r="AA348" s="15">
        <f t="shared" ca="1" si="225"/>
        <v>7</v>
      </c>
      <c r="AB348" s="9" t="str">
        <f t="shared" ca="1" si="226"/>
        <v>—</v>
      </c>
      <c r="AC348" s="15">
        <f t="shared" ca="1" si="227"/>
        <v>7</v>
      </c>
      <c r="AD348" s="76" t="str">
        <f t="shared" ca="1" si="228"/>
        <v>—</v>
      </c>
      <c r="AE348" s="15">
        <f t="shared" ca="1" si="229"/>
        <v>7</v>
      </c>
      <c r="AF348" s="76" t="str">
        <f t="shared" ca="1" si="230"/>
        <v>—</v>
      </c>
      <c r="AG348" s="15">
        <f t="shared" ca="1" si="231"/>
        <v>7</v>
      </c>
      <c r="AH348" s="9" t="str">
        <f t="shared" ca="1" si="232"/>
        <v>—</v>
      </c>
      <c r="AI348" s="15">
        <f t="shared" ca="1" si="233"/>
        <v>7</v>
      </c>
      <c r="AJ348" s="26" t="str">
        <f t="shared" ca="1" si="234"/>
        <v>—</v>
      </c>
      <c r="AK348" s="15">
        <f t="shared" ca="1" si="235"/>
        <v>7</v>
      </c>
      <c r="AL348" s="9" t="str">
        <f t="shared" ca="1" si="236"/>
        <v>—</v>
      </c>
      <c r="AM348" s="15">
        <f t="shared" ca="1" si="237"/>
        <v>7</v>
      </c>
      <c r="AN348" s="9" t="str">
        <f t="shared" ca="1" si="238"/>
        <v>—</v>
      </c>
      <c r="AO348" s="15">
        <f t="shared" ca="1" si="239"/>
        <v>7</v>
      </c>
    </row>
    <row r="349" spans="1:41" x14ac:dyDescent="0.25">
      <c r="A349" s="4">
        <f t="shared" si="200"/>
        <v>78989</v>
      </c>
      <c r="B349" t="str">
        <f ca="1">TEXT(DATE(YEAR(Invoer!$A$5),1,1)+ROWS(B$2:B349)-1,"jjjjmmdd")</f>
        <v>19131214</v>
      </c>
      <c r="C349" s="72">
        <f t="shared" si="201"/>
        <v>800</v>
      </c>
      <c r="D349" s="16" t="str">
        <f t="shared" ca="1" si="202"/>
        <v>—</v>
      </c>
      <c r="E349" s="15">
        <f t="shared" ca="1" si="203"/>
        <v>7</v>
      </c>
      <c r="F349" s="73" t="str">
        <f t="shared" ca="1" si="204"/>
        <v>—</v>
      </c>
      <c r="G349" s="15">
        <f t="shared" ca="1" si="205"/>
        <v>7</v>
      </c>
      <c r="H349" s="73" t="str">
        <f t="shared" ca="1" si="206"/>
        <v>—</v>
      </c>
      <c r="I349" s="15">
        <f t="shared" ca="1" si="207"/>
        <v>7</v>
      </c>
      <c r="J349" s="73" t="str">
        <f t="shared" ca="1" si="208"/>
        <v>—</v>
      </c>
      <c r="K349" s="15">
        <f t="shared" ca="1" si="209"/>
        <v>7</v>
      </c>
      <c r="L349" s="16" t="str">
        <f t="shared" ca="1" si="210"/>
        <v>—</v>
      </c>
      <c r="M349" s="15">
        <f t="shared" ca="1" si="211"/>
        <v>7</v>
      </c>
      <c r="N349" s="16" t="str">
        <f t="shared" ca="1" si="212"/>
        <v>—</v>
      </c>
      <c r="O349" s="15">
        <f t="shared" ca="1" si="213"/>
        <v>7</v>
      </c>
      <c r="P349" s="16" t="str">
        <f t="shared" ca="1" si="214"/>
        <v>—</v>
      </c>
      <c r="Q349" s="15">
        <f t="shared" ca="1" si="215"/>
        <v>7</v>
      </c>
      <c r="R349" s="16" t="str">
        <f t="shared" ca="1" si="216"/>
        <v>—</v>
      </c>
      <c r="S349" s="15">
        <f t="shared" ca="1" si="217"/>
        <v>7</v>
      </c>
      <c r="T349" s="9" t="str">
        <f t="shared" ca="1" si="218"/>
        <v>—</v>
      </c>
      <c r="U349" s="15">
        <f t="shared" ca="1" si="219"/>
        <v>7</v>
      </c>
      <c r="V349" s="16" t="str">
        <f t="shared" ca="1" si="220"/>
        <v>—</v>
      </c>
      <c r="W349" s="15">
        <f t="shared" ca="1" si="221"/>
        <v>7</v>
      </c>
      <c r="X349" s="16" t="str">
        <f t="shared" ca="1" si="222"/>
        <v>—</v>
      </c>
      <c r="Y349" s="15">
        <f t="shared" ca="1" si="223"/>
        <v>7</v>
      </c>
      <c r="Z349" s="16" t="str">
        <f t="shared" ca="1" si="224"/>
        <v>—</v>
      </c>
      <c r="AA349" s="15">
        <f t="shared" ca="1" si="225"/>
        <v>7</v>
      </c>
      <c r="AB349" s="9" t="str">
        <f t="shared" ca="1" si="226"/>
        <v>—</v>
      </c>
      <c r="AC349" s="15">
        <f t="shared" ca="1" si="227"/>
        <v>7</v>
      </c>
      <c r="AD349" s="76" t="str">
        <f t="shared" ca="1" si="228"/>
        <v>—</v>
      </c>
      <c r="AE349" s="15">
        <f t="shared" ca="1" si="229"/>
        <v>7</v>
      </c>
      <c r="AF349" s="76" t="str">
        <f t="shared" ca="1" si="230"/>
        <v>—</v>
      </c>
      <c r="AG349" s="15">
        <f t="shared" ca="1" si="231"/>
        <v>7</v>
      </c>
      <c r="AH349" s="9" t="str">
        <f t="shared" ca="1" si="232"/>
        <v>—</v>
      </c>
      <c r="AI349" s="15">
        <f t="shared" ca="1" si="233"/>
        <v>7</v>
      </c>
      <c r="AJ349" s="26" t="str">
        <f t="shared" ca="1" si="234"/>
        <v>—</v>
      </c>
      <c r="AK349" s="15">
        <f t="shared" ca="1" si="235"/>
        <v>7</v>
      </c>
      <c r="AL349" s="9" t="str">
        <f t="shared" ca="1" si="236"/>
        <v>—</v>
      </c>
      <c r="AM349" s="15">
        <f t="shared" ca="1" si="237"/>
        <v>7</v>
      </c>
      <c r="AN349" s="9" t="str">
        <f t="shared" ca="1" si="238"/>
        <v>—</v>
      </c>
      <c r="AO349" s="15">
        <f t="shared" ca="1" si="239"/>
        <v>7</v>
      </c>
    </row>
    <row r="350" spans="1:41" x14ac:dyDescent="0.25">
      <c r="A350" s="4">
        <f t="shared" si="200"/>
        <v>78989</v>
      </c>
      <c r="B350" t="str">
        <f ca="1">TEXT(DATE(YEAR(Invoer!$A$5),1,1)+ROWS(B$2:B350)-1,"jjjjmmdd")</f>
        <v>19131215</v>
      </c>
      <c r="C350" s="72">
        <f t="shared" si="201"/>
        <v>800</v>
      </c>
      <c r="D350" s="16" t="str">
        <f t="shared" ca="1" si="202"/>
        <v>—</v>
      </c>
      <c r="E350" s="15">
        <f t="shared" ca="1" si="203"/>
        <v>7</v>
      </c>
      <c r="F350" s="73" t="str">
        <f t="shared" ca="1" si="204"/>
        <v>—</v>
      </c>
      <c r="G350" s="15">
        <f t="shared" ca="1" si="205"/>
        <v>7</v>
      </c>
      <c r="H350" s="73" t="str">
        <f t="shared" ca="1" si="206"/>
        <v>—</v>
      </c>
      <c r="I350" s="15">
        <f t="shared" ca="1" si="207"/>
        <v>7</v>
      </c>
      <c r="J350" s="73" t="str">
        <f t="shared" ca="1" si="208"/>
        <v>—</v>
      </c>
      <c r="K350" s="15">
        <f t="shared" ca="1" si="209"/>
        <v>7</v>
      </c>
      <c r="L350" s="16" t="str">
        <f t="shared" ca="1" si="210"/>
        <v>—</v>
      </c>
      <c r="M350" s="15">
        <f t="shared" ca="1" si="211"/>
        <v>7</v>
      </c>
      <c r="N350" s="16" t="str">
        <f t="shared" ca="1" si="212"/>
        <v>—</v>
      </c>
      <c r="O350" s="15">
        <f t="shared" ca="1" si="213"/>
        <v>7</v>
      </c>
      <c r="P350" s="16" t="str">
        <f t="shared" ca="1" si="214"/>
        <v>—</v>
      </c>
      <c r="Q350" s="15">
        <f t="shared" ca="1" si="215"/>
        <v>7</v>
      </c>
      <c r="R350" s="16" t="str">
        <f t="shared" ca="1" si="216"/>
        <v>—</v>
      </c>
      <c r="S350" s="15">
        <f t="shared" ca="1" si="217"/>
        <v>7</v>
      </c>
      <c r="T350" s="9" t="str">
        <f t="shared" ca="1" si="218"/>
        <v>—</v>
      </c>
      <c r="U350" s="15">
        <f t="shared" ca="1" si="219"/>
        <v>7</v>
      </c>
      <c r="V350" s="16" t="str">
        <f t="shared" ca="1" si="220"/>
        <v>—</v>
      </c>
      <c r="W350" s="15">
        <f t="shared" ca="1" si="221"/>
        <v>7</v>
      </c>
      <c r="X350" s="16" t="str">
        <f t="shared" ca="1" si="222"/>
        <v>—</v>
      </c>
      <c r="Y350" s="15">
        <f t="shared" ca="1" si="223"/>
        <v>7</v>
      </c>
      <c r="Z350" s="16" t="str">
        <f t="shared" ca="1" si="224"/>
        <v>—</v>
      </c>
      <c r="AA350" s="15">
        <f t="shared" ca="1" si="225"/>
        <v>7</v>
      </c>
      <c r="AB350" s="9" t="str">
        <f t="shared" ca="1" si="226"/>
        <v>—</v>
      </c>
      <c r="AC350" s="15">
        <f t="shared" ca="1" si="227"/>
        <v>7</v>
      </c>
      <c r="AD350" s="76" t="str">
        <f t="shared" ca="1" si="228"/>
        <v>—</v>
      </c>
      <c r="AE350" s="15">
        <f t="shared" ca="1" si="229"/>
        <v>7</v>
      </c>
      <c r="AF350" s="76" t="str">
        <f t="shared" ca="1" si="230"/>
        <v>—</v>
      </c>
      <c r="AG350" s="15">
        <f t="shared" ca="1" si="231"/>
        <v>7</v>
      </c>
      <c r="AH350" s="9" t="str">
        <f t="shared" ca="1" si="232"/>
        <v>—</v>
      </c>
      <c r="AI350" s="15">
        <f t="shared" ca="1" si="233"/>
        <v>7</v>
      </c>
      <c r="AJ350" s="26" t="str">
        <f t="shared" ca="1" si="234"/>
        <v>—</v>
      </c>
      <c r="AK350" s="15">
        <f t="shared" ca="1" si="235"/>
        <v>7</v>
      </c>
      <c r="AL350" s="9" t="str">
        <f t="shared" ca="1" si="236"/>
        <v>—</v>
      </c>
      <c r="AM350" s="15">
        <f t="shared" ca="1" si="237"/>
        <v>7</v>
      </c>
      <c r="AN350" s="9" t="str">
        <f t="shared" ca="1" si="238"/>
        <v>—</v>
      </c>
      <c r="AO350" s="15">
        <f t="shared" ca="1" si="239"/>
        <v>7</v>
      </c>
    </row>
    <row r="351" spans="1:41" x14ac:dyDescent="0.25">
      <c r="A351" s="4">
        <f t="shared" si="200"/>
        <v>78989</v>
      </c>
      <c r="B351" t="str">
        <f ca="1">TEXT(DATE(YEAR(Invoer!$A$5),1,1)+ROWS(B$2:B351)-1,"jjjjmmdd")</f>
        <v>19131216</v>
      </c>
      <c r="C351" s="72">
        <f t="shared" si="201"/>
        <v>800</v>
      </c>
      <c r="D351" s="16" t="str">
        <f t="shared" ca="1" si="202"/>
        <v>—</v>
      </c>
      <c r="E351" s="15">
        <f t="shared" ca="1" si="203"/>
        <v>7</v>
      </c>
      <c r="F351" s="73" t="str">
        <f t="shared" ca="1" si="204"/>
        <v>—</v>
      </c>
      <c r="G351" s="15">
        <f t="shared" ca="1" si="205"/>
        <v>7</v>
      </c>
      <c r="H351" s="73" t="str">
        <f t="shared" ca="1" si="206"/>
        <v>—</v>
      </c>
      <c r="I351" s="15">
        <f t="shared" ca="1" si="207"/>
        <v>7</v>
      </c>
      <c r="J351" s="73" t="str">
        <f t="shared" ca="1" si="208"/>
        <v>—</v>
      </c>
      <c r="K351" s="15">
        <f t="shared" ca="1" si="209"/>
        <v>7</v>
      </c>
      <c r="L351" s="16" t="str">
        <f t="shared" ca="1" si="210"/>
        <v>—</v>
      </c>
      <c r="M351" s="15">
        <f t="shared" ca="1" si="211"/>
        <v>7</v>
      </c>
      <c r="N351" s="16" t="str">
        <f t="shared" ca="1" si="212"/>
        <v>—</v>
      </c>
      <c r="O351" s="15">
        <f t="shared" ca="1" si="213"/>
        <v>7</v>
      </c>
      <c r="P351" s="16" t="str">
        <f t="shared" ca="1" si="214"/>
        <v>—</v>
      </c>
      <c r="Q351" s="15">
        <f t="shared" ca="1" si="215"/>
        <v>7</v>
      </c>
      <c r="R351" s="16" t="str">
        <f t="shared" ca="1" si="216"/>
        <v>—</v>
      </c>
      <c r="S351" s="15">
        <f t="shared" ca="1" si="217"/>
        <v>7</v>
      </c>
      <c r="T351" s="9" t="str">
        <f t="shared" ca="1" si="218"/>
        <v>—</v>
      </c>
      <c r="U351" s="15">
        <f t="shared" ca="1" si="219"/>
        <v>7</v>
      </c>
      <c r="V351" s="16" t="str">
        <f t="shared" ca="1" si="220"/>
        <v>—</v>
      </c>
      <c r="W351" s="15">
        <f t="shared" ca="1" si="221"/>
        <v>7</v>
      </c>
      <c r="X351" s="16" t="str">
        <f t="shared" ca="1" si="222"/>
        <v>—</v>
      </c>
      <c r="Y351" s="15">
        <f t="shared" ca="1" si="223"/>
        <v>7</v>
      </c>
      <c r="Z351" s="16" t="str">
        <f t="shared" ca="1" si="224"/>
        <v>—</v>
      </c>
      <c r="AA351" s="15">
        <f t="shared" ca="1" si="225"/>
        <v>7</v>
      </c>
      <c r="AB351" s="9" t="str">
        <f t="shared" ca="1" si="226"/>
        <v>—</v>
      </c>
      <c r="AC351" s="15">
        <f t="shared" ca="1" si="227"/>
        <v>7</v>
      </c>
      <c r="AD351" s="76" t="str">
        <f t="shared" ca="1" si="228"/>
        <v>—</v>
      </c>
      <c r="AE351" s="15">
        <f t="shared" ca="1" si="229"/>
        <v>7</v>
      </c>
      <c r="AF351" s="76" t="str">
        <f t="shared" ca="1" si="230"/>
        <v>—</v>
      </c>
      <c r="AG351" s="15">
        <f t="shared" ca="1" si="231"/>
        <v>7</v>
      </c>
      <c r="AH351" s="9" t="str">
        <f t="shared" ca="1" si="232"/>
        <v>—</v>
      </c>
      <c r="AI351" s="15">
        <f t="shared" ca="1" si="233"/>
        <v>7</v>
      </c>
      <c r="AJ351" s="26" t="str">
        <f t="shared" ca="1" si="234"/>
        <v>—</v>
      </c>
      <c r="AK351" s="15">
        <f t="shared" ca="1" si="235"/>
        <v>7</v>
      </c>
      <c r="AL351" s="9" t="str">
        <f t="shared" ca="1" si="236"/>
        <v>—</v>
      </c>
      <c r="AM351" s="15">
        <f t="shared" ca="1" si="237"/>
        <v>7</v>
      </c>
      <c r="AN351" s="9" t="str">
        <f t="shared" ca="1" si="238"/>
        <v>—</v>
      </c>
      <c r="AO351" s="15">
        <f t="shared" ca="1" si="239"/>
        <v>7</v>
      </c>
    </row>
    <row r="352" spans="1:41" x14ac:dyDescent="0.25">
      <c r="A352" s="4">
        <f t="shared" si="200"/>
        <v>78989</v>
      </c>
      <c r="B352" t="str">
        <f ca="1">TEXT(DATE(YEAR(Invoer!$A$5),1,1)+ROWS(B$2:B352)-1,"jjjjmmdd")</f>
        <v>19131217</v>
      </c>
      <c r="C352" s="72">
        <f t="shared" si="201"/>
        <v>800</v>
      </c>
      <c r="D352" s="16" t="str">
        <f t="shared" ca="1" si="202"/>
        <v>—</v>
      </c>
      <c r="E352" s="15">
        <f t="shared" ca="1" si="203"/>
        <v>7</v>
      </c>
      <c r="F352" s="73" t="str">
        <f t="shared" ca="1" si="204"/>
        <v>—</v>
      </c>
      <c r="G352" s="15">
        <f t="shared" ca="1" si="205"/>
        <v>7</v>
      </c>
      <c r="H352" s="73" t="str">
        <f t="shared" ca="1" si="206"/>
        <v>—</v>
      </c>
      <c r="I352" s="15">
        <f t="shared" ca="1" si="207"/>
        <v>7</v>
      </c>
      <c r="J352" s="73" t="str">
        <f t="shared" ca="1" si="208"/>
        <v>—</v>
      </c>
      <c r="K352" s="15">
        <f t="shared" ca="1" si="209"/>
        <v>7</v>
      </c>
      <c r="L352" s="16" t="str">
        <f t="shared" ca="1" si="210"/>
        <v>—</v>
      </c>
      <c r="M352" s="15">
        <f t="shared" ca="1" si="211"/>
        <v>7</v>
      </c>
      <c r="N352" s="16" t="str">
        <f t="shared" ca="1" si="212"/>
        <v>—</v>
      </c>
      <c r="O352" s="15">
        <f t="shared" ca="1" si="213"/>
        <v>7</v>
      </c>
      <c r="P352" s="16" t="str">
        <f t="shared" ca="1" si="214"/>
        <v>—</v>
      </c>
      <c r="Q352" s="15">
        <f t="shared" ca="1" si="215"/>
        <v>7</v>
      </c>
      <c r="R352" s="16" t="str">
        <f t="shared" ca="1" si="216"/>
        <v>—</v>
      </c>
      <c r="S352" s="15">
        <f t="shared" ca="1" si="217"/>
        <v>7</v>
      </c>
      <c r="T352" s="9" t="str">
        <f t="shared" ca="1" si="218"/>
        <v>—</v>
      </c>
      <c r="U352" s="15">
        <f t="shared" ca="1" si="219"/>
        <v>7</v>
      </c>
      <c r="V352" s="16" t="str">
        <f t="shared" ca="1" si="220"/>
        <v>—</v>
      </c>
      <c r="W352" s="15">
        <f t="shared" ca="1" si="221"/>
        <v>7</v>
      </c>
      <c r="X352" s="16" t="str">
        <f t="shared" ca="1" si="222"/>
        <v>—</v>
      </c>
      <c r="Y352" s="15">
        <f t="shared" ca="1" si="223"/>
        <v>7</v>
      </c>
      <c r="Z352" s="16" t="str">
        <f t="shared" ca="1" si="224"/>
        <v>—</v>
      </c>
      <c r="AA352" s="15">
        <f t="shared" ca="1" si="225"/>
        <v>7</v>
      </c>
      <c r="AB352" s="9" t="str">
        <f t="shared" ca="1" si="226"/>
        <v>—</v>
      </c>
      <c r="AC352" s="15">
        <f t="shared" ca="1" si="227"/>
        <v>7</v>
      </c>
      <c r="AD352" s="76" t="str">
        <f t="shared" ca="1" si="228"/>
        <v>—</v>
      </c>
      <c r="AE352" s="15">
        <f t="shared" ca="1" si="229"/>
        <v>7</v>
      </c>
      <c r="AF352" s="76" t="str">
        <f t="shared" ca="1" si="230"/>
        <v>—</v>
      </c>
      <c r="AG352" s="15">
        <f t="shared" ca="1" si="231"/>
        <v>7</v>
      </c>
      <c r="AH352" s="9" t="str">
        <f t="shared" ca="1" si="232"/>
        <v>—</v>
      </c>
      <c r="AI352" s="15">
        <f t="shared" ca="1" si="233"/>
        <v>7</v>
      </c>
      <c r="AJ352" s="26" t="str">
        <f t="shared" ca="1" si="234"/>
        <v>—</v>
      </c>
      <c r="AK352" s="15">
        <f t="shared" ca="1" si="235"/>
        <v>7</v>
      </c>
      <c r="AL352" s="9" t="str">
        <f t="shared" ca="1" si="236"/>
        <v>—</v>
      </c>
      <c r="AM352" s="15">
        <f t="shared" ca="1" si="237"/>
        <v>7</v>
      </c>
      <c r="AN352" s="9" t="str">
        <f t="shared" ca="1" si="238"/>
        <v>—</v>
      </c>
      <c r="AO352" s="15">
        <f t="shared" ca="1" si="239"/>
        <v>7</v>
      </c>
    </row>
    <row r="353" spans="1:41" x14ac:dyDescent="0.25">
      <c r="A353" s="4">
        <f t="shared" si="200"/>
        <v>78989</v>
      </c>
      <c r="B353" t="str">
        <f ca="1">TEXT(DATE(YEAR(Invoer!$A$5),1,1)+ROWS(B$2:B353)-1,"jjjjmmdd")</f>
        <v>19131218</v>
      </c>
      <c r="C353" s="72">
        <f t="shared" si="201"/>
        <v>800</v>
      </c>
      <c r="D353" s="16" t="str">
        <f t="shared" ca="1" si="202"/>
        <v>—</v>
      </c>
      <c r="E353" s="15">
        <f t="shared" ca="1" si="203"/>
        <v>7</v>
      </c>
      <c r="F353" s="73" t="str">
        <f t="shared" ca="1" si="204"/>
        <v>—</v>
      </c>
      <c r="G353" s="15">
        <f t="shared" ca="1" si="205"/>
        <v>7</v>
      </c>
      <c r="H353" s="73" t="str">
        <f t="shared" ca="1" si="206"/>
        <v>—</v>
      </c>
      <c r="I353" s="15">
        <f t="shared" ca="1" si="207"/>
        <v>7</v>
      </c>
      <c r="J353" s="73" t="str">
        <f t="shared" ca="1" si="208"/>
        <v>—</v>
      </c>
      <c r="K353" s="15">
        <f t="shared" ca="1" si="209"/>
        <v>7</v>
      </c>
      <c r="L353" s="16" t="str">
        <f t="shared" ca="1" si="210"/>
        <v>—</v>
      </c>
      <c r="M353" s="15">
        <f t="shared" ca="1" si="211"/>
        <v>7</v>
      </c>
      <c r="N353" s="16" t="str">
        <f t="shared" ca="1" si="212"/>
        <v>—</v>
      </c>
      <c r="O353" s="15">
        <f t="shared" ca="1" si="213"/>
        <v>7</v>
      </c>
      <c r="P353" s="16" t="str">
        <f t="shared" ca="1" si="214"/>
        <v>—</v>
      </c>
      <c r="Q353" s="15">
        <f t="shared" ca="1" si="215"/>
        <v>7</v>
      </c>
      <c r="R353" s="16" t="str">
        <f t="shared" ca="1" si="216"/>
        <v>—</v>
      </c>
      <c r="S353" s="15">
        <f t="shared" ca="1" si="217"/>
        <v>7</v>
      </c>
      <c r="T353" s="9" t="str">
        <f t="shared" ca="1" si="218"/>
        <v>—</v>
      </c>
      <c r="U353" s="15">
        <f t="shared" ca="1" si="219"/>
        <v>7</v>
      </c>
      <c r="V353" s="16" t="str">
        <f t="shared" ca="1" si="220"/>
        <v>—</v>
      </c>
      <c r="W353" s="15">
        <f t="shared" ca="1" si="221"/>
        <v>7</v>
      </c>
      <c r="X353" s="16" t="str">
        <f t="shared" ca="1" si="222"/>
        <v>—</v>
      </c>
      <c r="Y353" s="15">
        <f t="shared" ca="1" si="223"/>
        <v>7</v>
      </c>
      <c r="Z353" s="16" t="str">
        <f t="shared" ca="1" si="224"/>
        <v>—</v>
      </c>
      <c r="AA353" s="15">
        <f t="shared" ca="1" si="225"/>
        <v>7</v>
      </c>
      <c r="AB353" s="9" t="str">
        <f t="shared" ca="1" si="226"/>
        <v>—</v>
      </c>
      <c r="AC353" s="15">
        <f t="shared" ca="1" si="227"/>
        <v>7</v>
      </c>
      <c r="AD353" s="76" t="str">
        <f t="shared" ca="1" si="228"/>
        <v>—</v>
      </c>
      <c r="AE353" s="15">
        <f t="shared" ca="1" si="229"/>
        <v>7</v>
      </c>
      <c r="AF353" s="76" t="str">
        <f t="shared" ca="1" si="230"/>
        <v>—</v>
      </c>
      <c r="AG353" s="15">
        <f t="shared" ca="1" si="231"/>
        <v>7</v>
      </c>
      <c r="AH353" s="9" t="str">
        <f t="shared" ca="1" si="232"/>
        <v>—</v>
      </c>
      <c r="AI353" s="15">
        <f t="shared" ca="1" si="233"/>
        <v>7</v>
      </c>
      <c r="AJ353" s="26" t="str">
        <f t="shared" ca="1" si="234"/>
        <v>—</v>
      </c>
      <c r="AK353" s="15">
        <f t="shared" ca="1" si="235"/>
        <v>7</v>
      </c>
      <c r="AL353" s="9" t="str">
        <f t="shared" ca="1" si="236"/>
        <v>—</v>
      </c>
      <c r="AM353" s="15">
        <f t="shared" ca="1" si="237"/>
        <v>7</v>
      </c>
      <c r="AN353" s="9" t="str">
        <f t="shared" ca="1" si="238"/>
        <v>—</v>
      </c>
      <c r="AO353" s="15">
        <f t="shared" ca="1" si="239"/>
        <v>7</v>
      </c>
    </row>
    <row r="354" spans="1:41" x14ac:dyDescent="0.25">
      <c r="A354" s="4">
        <f t="shared" si="200"/>
        <v>78989</v>
      </c>
      <c r="B354" t="str">
        <f ca="1">TEXT(DATE(YEAR(Invoer!$A$5),1,1)+ROWS(B$2:B354)-1,"jjjjmmdd")</f>
        <v>19131219</v>
      </c>
      <c r="C354" s="72">
        <f t="shared" si="201"/>
        <v>800</v>
      </c>
      <c r="D354" s="16" t="str">
        <f t="shared" ca="1" si="202"/>
        <v>—</v>
      </c>
      <c r="E354" s="15">
        <f t="shared" ca="1" si="203"/>
        <v>7</v>
      </c>
      <c r="F354" s="73" t="str">
        <f t="shared" ca="1" si="204"/>
        <v>—</v>
      </c>
      <c r="G354" s="15">
        <f t="shared" ca="1" si="205"/>
        <v>7</v>
      </c>
      <c r="H354" s="73" t="str">
        <f t="shared" ca="1" si="206"/>
        <v>—</v>
      </c>
      <c r="I354" s="15">
        <f t="shared" ca="1" si="207"/>
        <v>7</v>
      </c>
      <c r="J354" s="73" t="str">
        <f t="shared" ca="1" si="208"/>
        <v>—</v>
      </c>
      <c r="K354" s="15">
        <f t="shared" ca="1" si="209"/>
        <v>7</v>
      </c>
      <c r="L354" s="16" t="str">
        <f t="shared" ca="1" si="210"/>
        <v>—</v>
      </c>
      <c r="M354" s="15">
        <f t="shared" ca="1" si="211"/>
        <v>7</v>
      </c>
      <c r="N354" s="16" t="str">
        <f t="shared" ca="1" si="212"/>
        <v>—</v>
      </c>
      <c r="O354" s="15">
        <f t="shared" ca="1" si="213"/>
        <v>7</v>
      </c>
      <c r="P354" s="16" t="str">
        <f t="shared" ca="1" si="214"/>
        <v>—</v>
      </c>
      <c r="Q354" s="15">
        <f t="shared" ca="1" si="215"/>
        <v>7</v>
      </c>
      <c r="R354" s="16" t="str">
        <f t="shared" ca="1" si="216"/>
        <v>—</v>
      </c>
      <c r="S354" s="15">
        <f t="shared" ca="1" si="217"/>
        <v>7</v>
      </c>
      <c r="T354" s="9" t="str">
        <f t="shared" ca="1" si="218"/>
        <v>—</v>
      </c>
      <c r="U354" s="15">
        <f t="shared" ca="1" si="219"/>
        <v>7</v>
      </c>
      <c r="V354" s="16" t="str">
        <f t="shared" ca="1" si="220"/>
        <v>—</v>
      </c>
      <c r="W354" s="15">
        <f t="shared" ca="1" si="221"/>
        <v>7</v>
      </c>
      <c r="X354" s="16" t="str">
        <f t="shared" ca="1" si="222"/>
        <v>—</v>
      </c>
      <c r="Y354" s="15">
        <f t="shared" ca="1" si="223"/>
        <v>7</v>
      </c>
      <c r="Z354" s="16" t="str">
        <f t="shared" ca="1" si="224"/>
        <v>—</v>
      </c>
      <c r="AA354" s="15">
        <f t="shared" ca="1" si="225"/>
        <v>7</v>
      </c>
      <c r="AB354" s="9" t="str">
        <f t="shared" ca="1" si="226"/>
        <v>—</v>
      </c>
      <c r="AC354" s="15">
        <f t="shared" ca="1" si="227"/>
        <v>7</v>
      </c>
      <c r="AD354" s="76" t="str">
        <f t="shared" ca="1" si="228"/>
        <v>—</v>
      </c>
      <c r="AE354" s="15">
        <f t="shared" ca="1" si="229"/>
        <v>7</v>
      </c>
      <c r="AF354" s="76" t="str">
        <f t="shared" ca="1" si="230"/>
        <v>—</v>
      </c>
      <c r="AG354" s="15">
        <f t="shared" ca="1" si="231"/>
        <v>7</v>
      </c>
      <c r="AH354" s="9" t="str">
        <f t="shared" ca="1" si="232"/>
        <v>—</v>
      </c>
      <c r="AI354" s="15">
        <f t="shared" ca="1" si="233"/>
        <v>7</v>
      </c>
      <c r="AJ354" s="26" t="str">
        <f t="shared" ca="1" si="234"/>
        <v>—</v>
      </c>
      <c r="AK354" s="15">
        <f t="shared" ca="1" si="235"/>
        <v>7</v>
      </c>
      <c r="AL354" s="9" t="str">
        <f t="shared" ca="1" si="236"/>
        <v>—</v>
      </c>
      <c r="AM354" s="15">
        <f t="shared" ca="1" si="237"/>
        <v>7</v>
      </c>
      <c r="AN354" s="9" t="str">
        <f t="shared" ca="1" si="238"/>
        <v>—</v>
      </c>
      <c r="AO354" s="15">
        <f t="shared" ca="1" si="239"/>
        <v>7</v>
      </c>
    </row>
    <row r="355" spans="1:41" x14ac:dyDescent="0.25">
      <c r="A355" s="4">
        <f t="shared" si="200"/>
        <v>78989</v>
      </c>
      <c r="B355" t="str">
        <f ca="1">TEXT(DATE(YEAR(Invoer!$A$5),1,1)+ROWS(B$2:B355)-1,"jjjjmmdd")</f>
        <v>19131220</v>
      </c>
      <c r="C355" s="72">
        <f t="shared" si="201"/>
        <v>800</v>
      </c>
      <c r="D355" s="16" t="str">
        <f t="shared" ca="1" si="202"/>
        <v>—</v>
      </c>
      <c r="E355" s="15">
        <f t="shared" ca="1" si="203"/>
        <v>7</v>
      </c>
      <c r="F355" s="73" t="str">
        <f t="shared" ca="1" si="204"/>
        <v>—</v>
      </c>
      <c r="G355" s="15">
        <f t="shared" ca="1" si="205"/>
        <v>7</v>
      </c>
      <c r="H355" s="73" t="str">
        <f t="shared" ca="1" si="206"/>
        <v>—</v>
      </c>
      <c r="I355" s="15">
        <f t="shared" ca="1" si="207"/>
        <v>7</v>
      </c>
      <c r="J355" s="73" t="str">
        <f t="shared" ca="1" si="208"/>
        <v>—</v>
      </c>
      <c r="K355" s="15">
        <f t="shared" ca="1" si="209"/>
        <v>7</v>
      </c>
      <c r="L355" s="16" t="str">
        <f t="shared" ca="1" si="210"/>
        <v>—</v>
      </c>
      <c r="M355" s="15">
        <f t="shared" ca="1" si="211"/>
        <v>7</v>
      </c>
      <c r="N355" s="16" t="str">
        <f t="shared" ca="1" si="212"/>
        <v>—</v>
      </c>
      <c r="O355" s="15">
        <f t="shared" ca="1" si="213"/>
        <v>7</v>
      </c>
      <c r="P355" s="16" t="str">
        <f t="shared" ca="1" si="214"/>
        <v>—</v>
      </c>
      <c r="Q355" s="15">
        <f t="shared" ca="1" si="215"/>
        <v>7</v>
      </c>
      <c r="R355" s="16" t="str">
        <f t="shared" ca="1" si="216"/>
        <v>—</v>
      </c>
      <c r="S355" s="15">
        <f t="shared" ca="1" si="217"/>
        <v>7</v>
      </c>
      <c r="T355" s="9" t="str">
        <f t="shared" ca="1" si="218"/>
        <v>—</v>
      </c>
      <c r="U355" s="15">
        <f t="shared" ca="1" si="219"/>
        <v>7</v>
      </c>
      <c r="V355" s="16" t="str">
        <f t="shared" ca="1" si="220"/>
        <v>—</v>
      </c>
      <c r="W355" s="15">
        <f t="shared" ca="1" si="221"/>
        <v>7</v>
      </c>
      <c r="X355" s="16" t="str">
        <f t="shared" ca="1" si="222"/>
        <v>—</v>
      </c>
      <c r="Y355" s="15">
        <f t="shared" ca="1" si="223"/>
        <v>7</v>
      </c>
      <c r="Z355" s="16" t="str">
        <f t="shared" ca="1" si="224"/>
        <v>—</v>
      </c>
      <c r="AA355" s="15">
        <f t="shared" ca="1" si="225"/>
        <v>7</v>
      </c>
      <c r="AB355" s="9" t="str">
        <f t="shared" ca="1" si="226"/>
        <v>—</v>
      </c>
      <c r="AC355" s="15">
        <f t="shared" ca="1" si="227"/>
        <v>7</v>
      </c>
      <c r="AD355" s="76" t="str">
        <f t="shared" ca="1" si="228"/>
        <v>—</v>
      </c>
      <c r="AE355" s="15">
        <f t="shared" ca="1" si="229"/>
        <v>7</v>
      </c>
      <c r="AF355" s="76" t="str">
        <f t="shared" ca="1" si="230"/>
        <v>—</v>
      </c>
      <c r="AG355" s="15">
        <f t="shared" ca="1" si="231"/>
        <v>7</v>
      </c>
      <c r="AH355" s="9" t="str">
        <f t="shared" ca="1" si="232"/>
        <v>—</v>
      </c>
      <c r="AI355" s="15">
        <f t="shared" ca="1" si="233"/>
        <v>7</v>
      </c>
      <c r="AJ355" s="26" t="str">
        <f t="shared" ca="1" si="234"/>
        <v>—</v>
      </c>
      <c r="AK355" s="15">
        <f t="shared" ca="1" si="235"/>
        <v>7</v>
      </c>
      <c r="AL355" s="9" t="str">
        <f t="shared" ca="1" si="236"/>
        <v>—</v>
      </c>
      <c r="AM355" s="15">
        <f t="shared" ca="1" si="237"/>
        <v>7</v>
      </c>
      <c r="AN355" s="9" t="str">
        <f t="shared" ca="1" si="238"/>
        <v>—</v>
      </c>
      <c r="AO355" s="15">
        <f t="shared" ca="1" si="239"/>
        <v>7</v>
      </c>
    </row>
    <row r="356" spans="1:41" x14ac:dyDescent="0.25">
      <c r="A356" s="4">
        <f t="shared" si="200"/>
        <v>78989</v>
      </c>
      <c r="B356" t="str">
        <f ca="1">TEXT(DATE(YEAR(Invoer!$A$5),1,1)+ROWS(B$2:B356)-1,"jjjjmmdd")</f>
        <v>19131221</v>
      </c>
      <c r="C356" s="72">
        <f t="shared" si="201"/>
        <v>800</v>
      </c>
      <c r="D356" s="16" t="str">
        <f t="shared" ca="1" si="202"/>
        <v>—</v>
      </c>
      <c r="E356" s="15">
        <f t="shared" ca="1" si="203"/>
        <v>7</v>
      </c>
      <c r="F356" s="73" t="str">
        <f t="shared" ca="1" si="204"/>
        <v>—</v>
      </c>
      <c r="G356" s="15">
        <f t="shared" ca="1" si="205"/>
        <v>7</v>
      </c>
      <c r="H356" s="73" t="str">
        <f t="shared" ca="1" si="206"/>
        <v>—</v>
      </c>
      <c r="I356" s="15">
        <f t="shared" ca="1" si="207"/>
        <v>7</v>
      </c>
      <c r="J356" s="73" t="str">
        <f t="shared" ca="1" si="208"/>
        <v>—</v>
      </c>
      <c r="K356" s="15">
        <f t="shared" ca="1" si="209"/>
        <v>7</v>
      </c>
      <c r="L356" s="16" t="str">
        <f t="shared" ca="1" si="210"/>
        <v>—</v>
      </c>
      <c r="M356" s="15">
        <f t="shared" ca="1" si="211"/>
        <v>7</v>
      </c>
      <c r="N356" s="16" t="str">
        <f t="shared" ca="1" si="212"/>
        <v>—</v>
      </c>
      <c r="O356" s="15">
        <f t="shared" ca="1" si="213"/>
        <v>7</v>
      </c>
      <c r="P356" s="16" t="str">
        <f t="shared" ca="1" si="214"/>
        <v>—</v>
      </c>
      <c r="Q356" s="15">
        <f t="shared" ca="1" si="215"/>
        <v>7</v>
      </c>
      <c r="R356" s="16" t="str">
        <f t="shared" ca="1" si="216"/>
        <v>—</v>
      </c>
      <c r="S356" s="15">
        <f t="shared" ca="1" si="217"/>
        <v>7</v>
      </c>
      <c r="T356" s="9" t="str">
        <f t="shared" ca="1" si="218"/>
        <v>—</v>
      </c>
      <c r="U356" s="15">
        <f t="shared" ca="1" si="219"/>
        <v>7</v>
      </c>
      <c r="V356" s="16" t="str">
        <f t="shared" ca="1" si="220"/>
        <v>—</v>
      </c>
      <c r="W356" s="15">
        <f t="shared" ca="1" si="221"/>
        <v>7</v>
      </c>
      <c r="X356" s="16" t="str">
        <f t="shared" ca="1" si="222"/>
        <v>—</v>
      </c>
      <c r="Y356" s="15">
        <f t="shared" ca="1" si="223"/>
        <v>7</v>
      </c>
      <c r="Z356" s="16" t="str">
        <f t="shared" ca="1" si="224"/>
        <v>—</v>
      </c>
      <c r="AA356" s="15">
        <f t="shared" ca="1" si="225"/>
        <v>7</v>
      </c>
      <c r="AB356" s="9" t="str">
        <f t="shared" ca="1" si="226"/>
        <v>—</v>
      </c>
      <c r="AC356" s="15">
        <f t="shared" ca="1" si="227"/>
        <v>7</v>
      </c>
      <c r="AD356" s="76" t="str">
        <f t="shared" ca="1" si="228"/>
        <v>—</v>
      </c>
      <c r="AE356" s="15">
        <f t="shared" ca="1" si="229"/>
        <v>7</v>
      </c>
      <c r="AF356" s="76" t="str">
        <f t="shared" ca="1" si="230"/>
        <v>—</v>
      </c>
      <c r="AG356" s="15">
        <f t="shared" ca="1" si="231"/>
        <v>7</v>
      </c>
      <c r="AH356" s="9" t="str">
        <f t="shared" ca="1" si="232"/>
        <v>—</v>
      </c>
      <c r="AI356" s="15">
        <f t="shared" ca="1" si="233"/>
        <v>7</v>
      </c>
      <c r="AJ356" s="26" t="str">
        <f t="shared" ca="1" si="234"/>
        <v>—</v>
      </c>
      <c r="AK356" s="15">
        <f t="shared" ca="1" si="235"/>
        <v>7</v>
      </c>
      <c r="AL356" s="9" t="str">
        <f t="shared" ca="1" si="236"/>
        <v>—</v>
      </c>
      <c r="AM356" s="15">
        <f t="shared" ca="1" si="237"/>
        <v>7</v>
      </c>
      <c r="AN356" s="9" t="str">
        <f t="shared" ca="1" si="238"/>
        <v>—</v>
      </c>
      <c r="AO356" s="15">
        <f t="shared" ca="1" si="239"/>
        <v>7</v>
      </c>
    </row>
    <row r="357" spans="1:41" x14ac:dyDescent="0.25">
      <c r="A357" s="4">
        <f t="shared" si="200"/>
        <v>78989</v>
      </c>
      <c r="B357" t="str">
        <f ca="1">TEXT(DATE(YEAR(Invoer!$A$5),1,1)+ROWS(B$2:B357)-1,"jjjjmmdd")</f>
        <v>19131222</v>
      </c>
      <c r="C357" s="72">
        <f t="shared" si="201"/>
        <v>800</v>
      </c>
      <c r="D357" s="16" t="str">
        <f t="shared" ca="1" si="202"/>
        <v>—</v>
      </c>
      <c r="E357" s="15">
        <f t="shared" ca="1" si="203"/>
        <v>7</v>
      </c>
      <c r="F357" s="73" t="str">
        <f t="shared" ca="1" si="204"/>
        <v>—</v>
      </c>
      <c r="G357" s="15">
        <f t="shared" ca="1" si="205"/>
        <v>7</v>
      </c>
      <c r="H357" s="73" t="str">
        <f t="shared" ca="1" si="206"/>
        <v>—</v>
      </c>
      <c r="I357" s="15">
        <f t="shared" ca="1" si="207"/>
        <v>7</v>
      </c>
      <c r="J357" s="73" t="str">
        <f t="shared" ca="1" si="208"/>
        <v>—</v>
      </c>
      <c r="K357" s="15">
        <f t="shared" ca="1" si="209"/>
        <v>7</v>
      </c>
      <c r="L357" s="16" t="str">
        <f t="shared" ca="1" si="210"/>
        <v>—</v>
      </c>
      <c r="M357" s="15">
        <f t="shared" ca="1" si="211"/>
        <v>7</v>
      </c>
      <c r="N357" s="16" t="str">
        <f t="shared" ca="1" si="212"/>
        <v>—</v>
      </c>
      <c r="O357" s="15">
        <f t="shared" ca="1" si="213"/>
        <v>7</v>
      </c>
      <c r="P357" s="16" t="str">
        <f t="shared" ca="1" si="214"/>
        <v>—</v>
      </c>
      <c r="Q357" s="15">
        <f t="shared" ca="1" si="215"/>
        <v>7</v>
      </c>
      <c r="R357" s="16" t="str">
        <f t="shared" ca="1" si="216"/>
        <v>—</v>
      </c>
      <c r="S357" s="15">
        <f t="shared" ca="1" si="217"/>
        <v>7</v>
      </c>
      <c r="T357" s="9" t="str">
        <f t="shared" ca="1" si="218"/>
        <v>—</v>
      </c>
      <c r="U357" s="15">
        <f t="shared" ca="1" si="219"/>
        <v>7</v>
      </c>
      <c r="V357" s="16" t="str">
        <f t="shared" ca="1" si="220"/>
        <v>—</v>
      </c>
      <c r="W357" s="15">
        <f t="shared" ca="1" si="221"/>
        <v>7</v>
      </c>
      <c r="X357" s="16" t="str">
        <f t="shared" ca="1" si="222"/>
        <v>—</v>
      </c>
      <c r="Y357" s="15">
        <f t="shared" ca="1" si="223"/>
        <v>7</v>
      </c>
      <c r="Z357" s="16" t="str">
        <f t="shared" ca="1" si="224"/>
        <v>—</v>
      </c>
      <c r="AA357" s="15">
        <f t="shared" ca="1" si="225"/>
        <v>7</v>
      </c>
      <c r="AB357" s="9" t="str">
        <f t="shared" ca="1" si="226"/>
        <v>—</v>
      </c>
      <c r="AC357" s="15">
        <f t="shared" ca="1" si="227"/>
        <v>7</v>
      </c>
      <c r="AD357" s="76" t="str">
        <f t="shared" ca="1" si="228"/>
        <v>—</v>
      </c>
      <c r="AE357" s="15">
        <f t="shared" ca="1" si="229"/>
        <v>7</v>
      </c>
      <c r="AF357" s="76" t="str">
        <f t="shared" ca="1" si="230"/>
        <v>—</v>
      </c>
      <c r="AG357" s="15">
        <f t="shared" ca="1" si="231"/>
        <v>7</v>
      </c>
      <c r="AH357" s="9" t="str">
        <f t="shared" ca="1" si="232"/>
        <v>—</v>
      </c>
      <c r="AI357" s="15">
        <f t="shared" ca="1" si="233"/>
        <v>7</v>
      </c>
      <c r="AJ357" s="26" t="str">
        <f t="shared" ca="1" si="234"/>
        <v>—</v>
      </c>
      <c r="AK357" s="15">
        <f t="shared" ca="1" si="235"/>
        <v>7</v>
      </c>
      <c r="AL357" s="9" t="str">
        <f t="shared" ca="1" si="236"/>
        <v>—</v>
      </c>
      <c r="AM357" s="15">
        <f t="shared" ca="1" si="237"/>
        <v>7</v>
      </c>
      <c r="AN357" s="9" t="str">
        <f t="shared" ca="1" si="238"/>
        <v>—</v>
      </c>
      <c r="AO357" s="15">
        <f t="shared" ca="1" si="239"/>
        <v>7</v>
      </c>
    </row>
    <row r="358" spans="1:41" x14ac:dyDescent="0.25">
      <c r="A358" s="4">
        <f t="shared" si="200"/>
        <v>78989</v>
      </c>
      <c r="B358" t="str">
        <f ca="1">TEXT(DATE(YEAR(Invoer!$A$5),1,1)+ROWS(B$2:B358)-1,"jjjjmmdd")</f>
        <v>19131223</v>
      </c>
      <c r="C358" s="72">
        <f t="shared" si="201"/>
        <v>800</v>
      </c>
      <c r="D358" s="16" t="str">
        <f t="shared" ca="1" si="202"/>
        <v>—</v>
      </c>
      <c r="E358" s="15">
        <f t="shared" ca="1" si="203"/>
        <v>7</v>
      </c>
      <c r="F358" s="73" t="str">
        <f t="shared" ca="1" si="204"/>
        <v>—</v>
      </c>
      <c r="G358" s="15">
        <f t="shared" ca="1" si="205"/>
        <v>7</v>
      </c>
      <c r="H358" s="73" t="str">
        <f t="shared" ca="1" si="206"/>
        <v>—</v>
      </c>
      <c r="I358" s="15">
        <f t="shared" ca="1" si="207"/>
        <v>7</v>
      </c>
      <c r="J358" s="73" t="str">
        <f t="shared" ca="1" si="208"/>
        <v>—</v>
      </c>
      <c r="K358" s="15">
        <f t="shared" ca="1" si="209"/>
        <v>7</v>
      </c>
      <c r="L358" s="16" t="str">
        <f t="shared" ca="1" si="210"/>
        <v>—</v>
      </c>
      <c r="M358" s="15">
        <f t="shared" ca="1" si="211"/>
        <v>7</v>
      </c>
      <c r="N358" s="16" t="str">
        <f t="shared" ca="1" si="212"/>
        <v>—</v>
      </c>
      <c r="O358" s="15">
        <f t="shared" ca="1" si="213"/>
        <v>7</v>
      </c>
      <c r="P358" s="16" t="str">
        <f t="shared" ca="1" si="214"/>
        <v>—</v>
      </c>
      <c r="Q358" s="15">
        <f t="shared" ca="1" si="215"/>
        <v>7</v>
      </c>
      <c r="R358" s="16" t="str">
        <f t="shared" ca="1" si="216"/>
        <v>—</v>
      </c>
      <c r="S358" s="15">
        <f t="shared" ca="1" si="217"/>
        <v>7</v>
      </c>
      <c r="T358" s="9" t="str">
        <f t="shared" ca="1" si="218"/>
        <v>—</v>
      </c>
      <c r="U358" s="15">
        <f t="shared" ca="1" si="219"/>
        <v>7</v>
      </c>
      <c r="V358" s="16" t="str">
        <f t="shared" ca="1" si="220"/>
        <v>—</v>
      </c>
      <c r="W358" s="15">
        <f t="shared" ca="1" si="221"/>
        <v>7</v>
      </c>
      <c r="X358" s="16" t="str">
        <f t="shared" ca="1" si="222"/>
        <v>—</v>
      </c>
      <c r="Y358" s="15">
        <f t="shared" ca="1" si="223"/>
        <v>7</v>
      </c>
      <c r="Z358" s="16" t="str">
        <f t="shared" ca="1" si="224"/>
        <v>—</v>
      </c>
      <c r="AA358" s="15">
        <f t="shared" ca="1" si="225"/>
        <v>7</v>
      </c>
      <c r="AB358" s="9" t="str">
        <f t="shared" ca="1" si="226"/>
        <v>—</v>
      </c>
      <c r="AC358" s="15">
        <f t="shared" ca="1" si="227"/>
        <v>7</v>
      </c>
      <c r="AD358" s="76" t="str">
        <f t="shared" ca="1" si="228"/>
        <v>—</v>
      </c>
      <c r="AE358" s="15">
        <f t="shared" ca="1" si="229"/>
        <v>7</v>
      </c>
      <c r="AF358" s="76" t="str">
        <f t="shared" ca="1" si="230"/>
        <v>—</v>
      </c>
      <c r="AG358" s="15">
        <f t="shared" ca="1" si="231"/>
        <v>7</v>
      </c>
      <c r="AH358" s="9" t="str">
        <f t="shared" ca="1" si="232"/>
        <v>—</v>
      </c>
      <c r="AI358" s="15">
        <f t="shared" ca="1" si="233"/>
        <v>7</v>
      </c>
      <c r="AJ358" s="26" t="str">
        <f t="shared" ca="1" si="234"/>
        <v>—</v>
      </c>
      <c r="AK358" s="15">
        <f t="shared" ca="1" si="235"/>
        <v>7</v>
      </c>
      <c r="AL358" s="9" t="str">
        <f t="shared" ca="1" si="236"/>
        <v>—</v>
      </c>
      <c r="AM358" s="15">
        <f t="shared" ca="1" si="237"/>
        <v>7</v>
      </c>
      <c r="AN358" s="9" t="str">
        <f t="shared" ca="1" si="238"/>
        <v>—</v>
      </c>
      <c r="AO358" s="15">
        <f t="shared" ca="1" si="239"/>
        <v>7</v>
      </c>
    </row>
    <row r="359" spans="1:41" x14ac:dyDescent="0.25">
      <c r="A359" s="4">
        <f t="shared" si="200"/>
        <v>78989</v>
      </c>
      <c r="B359" t="str">
        <f ca="1">TEXT(DATE(YEAR(Invoer!$A$5),1,1)+ROWS(B$2:B359)-1,"jjjjmmdd")</f>
        <v>19131224</v>
      </c>
      <c r="C359" s="72">
        <f t="shared" si="201"/>
        <v>800</v>
      </c>
      <c r="D359" s="16" t="str">
        <f t="shared" ca="1" si="202"/>
        <v>—</v>
      </c>
      <c r="E359" s="15">
        <f t="shared" ca="1" si="203"/>
        <v>7</v>
      </c>
      <c r="F359" s="73" t="str">
        <f t="shared" ca="1" si="204"/>
        <v>—</v>
      </c>
      <c r="G359" s="15">
        <f t="shared" ca="1" si="205"/>
        <v>7</v>
      </c>
      <c r="H359" s="73" t="str">
        <f t="shared" ca="1" si="206"/>
        <v>—</v>
      </c>
      <c r="I359" s="15">
        <f t="shared" ca="1" si="207"/>
        <v>7</v>
      </c>
      <c r="J359" s="73" t="str">
        <f t="shared" ca="1" si="208"/>
        <v>—</v>
      </c>
      <c r="K359" s="15">
        <f t="shared" ca="1" si="209"/>
        <v>7</v>
      </c>
      <c r="L359" s="16" t="str">
        <f t="shared" ca="1" si="210"/>
        <v>—</v>
      </c>
      <c r="M359" s="15">
        <f t="shared" ca="1" si="211"/>
        <v>7</v>
      </c>
      <c r="N359" s="16" t="str">
        <f t="shared" ca="1" si="212"/>
        <v>—</v>
      </c>
      <c r="O359" s="15">
        <f t="shared" ca="1" si="213"/>
        <v>7</v>
      </c>
      <c r="P359" s="16" t="str">
        <f t="shared" ca="1" si="214"/>
        <v>—</v>
      </c>
      <c r="Q359" s="15">
        <f t="shared" ca="1" si="215"/>
        <v>7</v>
      </c>
      <c r="R359" s="16" t="str">
        <f t="shared" ca="1" si="216"/>
        <v>—</v>
      </c>
      <c r="S359" s="15">
        <f t="shared" ca="1" si="217"/>
        <v>7</v>
      </c>
      <c r="T359" s="9" t="str">
        <f t="shared" ca="1" si="218"/>
        <v>—</v>
      </c>
      <c r="U359" s="15">
        <f t="shared" ca="1" si="219"/>
        <v>7</v>
      </c>
      <c r="V359" s="16" t="str">
        <f t="shared" ca="1" si="220"/>
        <v>—</v>
      </c>
      <c r="W359" s="15">
        <f t="shared" ca="1" si="221"/>
        <v>7</v>
      </c>
      <c r="X359" s="16" t="str">
        <f t="shared" ca="1" si="222"/>
        <v>—</v>
      </c>
      <c r="Y359" s="15">
        <f t="shared" ca="1" si="223"/>
        <v>7</v>
      </c>
      <c r="Z359" s="16" t="str">
        <f t="shared" ca="1" si="224"/>
        <v>—</v>
      </c>
      <c r="AA359" s="15">
        <f t="shared" ca="1" si="225"/>
        <v>7</v>
      </c>
      <c r="AB359" s="9" t="str">
        <f t="shared" ca="1" si="226"/>
        <v>—</v>
      </c>
      <c r="AC359" s="15">
        <f t="shared" ca="1" si="227"/>
        <v>7</v>
      </c>
      <c r="AD359" s="76" t="str">
        <f t="shared" ca="1" si="228"/>
        <v>—</v>
      </c>
      <c r="AE359" s="15">
        <f t="shared" ca="1" si="229"/>
        <v>7</v>
      </c>
      <c r="AF359" s="76" t="str">
        <f t="shared" ca="1" si="230"/>
        <v>—</v>
      </c>
      <c r="AG359" s="15">
        <f t="shared" ca="1" si="231"/>
        <v>7</v>
      </c>
      <c r="AH359" s="9" t="str">
        <f t="shared" ca="1" si="232"/>
        <v>—</v>
      </c>
      <c r="AI359" s="15">
        <f t="shared" ca="1" si="233"/>
        <v>7</v>
      </c>
      <c r="AJ359" s="26" t="str">
        <f t="shared" ca="1" si="234"/>
        <v>—</v>
      </c>
      <c r="AK359" s="15">
        <f t="shared" ca="1" si="235"/>
        <v>7</v>
      </c>
      <c r="AL359" s="9" t="str">
        <f t="shared" ca="1" si="236"/>
        <v>—</v>
      </c>
      <c r="AM359" s="15">
        <f t="shared" ca="1" si="237"/>
        <v>7</v>
      </c>
      <c r="AN359" s="9" t="str">
        <f t="shared" ca="1" si="238"/>
        <v>—</v>
      </c>
      <c r="AO359" s="15">
        <f t="shared" ca="1" si="239"/>
        <v>7</v>
      </c>
    </row>
    <row r="360" spans="1:41" x14ac:dyDescent="0.25">
      <c r="A360" s="4">
        <f t="shared" si="200"/>
        <v>78989</v>
      </c>
      <c r="B360" t="str">
        <f ca="1">TEXT(DATE(YEAR(Invoer!$A$5),1,1)+ROWS(B$2:B360)-1,"jjjjmmdd")</f>
        <v>19131225</v>
      </c>
      <c r="C360" s="72">
        <f t="shared" si="201"/>
        <v>800</v>
      </c>
      <c r="D360" s="16" t="str">
        <f t="shared" ca="1" si="202"/>
        <v>—</v>
      </c>
      <c r="E360" s="15">
        <f t="shared" ca="1" si="203"/>
        <v>7</v>
      </c>
      <c r="F360" s="73" t="str">
        <f t="shared" ca="1" si="204"/>
        <v>—</v>
      </c>
      <c r="G360" s="15">
        <f t="shared" ca="1" si="205"/>
        <v>7</v>
      </c>
      <c r="H360" s="73" t="str">
        <f t="shared" ca="1" si="206"/>
        <v>—</v>
      </c>
      <c r="I360" s="15">
        <f t="shared" ca="1" si="207"/>
        <v>7</v>
      </c>
      <c r="J360" s="73" t="str">
        <f t="shared" ca="1" si="208"/>
        <v>—</v>
      </c>
      <c r="K360" s="15">
        <f t="shared" ca="1" si="209"/>
        <v>7</v>
      </c>
      <c r="L360" s="16" t="str">
        <f t="shared" ca="1" si="210"/>
        <v>—</v>
      </c>
      <c r="M360" s="15">
        <f t="shared" ca="1" si="211"/>
        <v>7</v>
      </c>
      <c r="N360" s="16" t="str">
        <f t="shared" ca="1" si="212"/>
        <v>—</v>
      </c>
      <c r="O360" s="15">
        <f t="shared" ca="1" si="213"/>
        <v>7</v>
      </c>
      <c r="P360" s="16" t="str">
        <f t="shared" ca="1" si="214"/>
        <v>—</v>
      </c>
      <c r="Q360" s="15">
        <f t="shared" ca="1" si="215"/>
        <v>7</v>
      </c>
      <c r="R360" s="16" t="str">
        <f t="shared" ca="1" si="216"/>
        <v>—</v>
      </c>
      <c r="S360" s="15">
        <f t="shared" ca="1" si="217"/>
        <v>7</v>
      </c>
      <c r="T360" s="9" t="str">
        <f t="shared" ca="1" si="218"/>
        <v>—</v>
      </c>
      <c r="U360" s="15">
        <f t="shared" ca="1" si="219"/>
        <v>7</v>
      </c>
      <c r="V360" s="16" t="str">
        <f t="shared" ca="1" si="220"/>
        <v>—</v>
      </c>
      <c r="W360" s="15">
        <f t="shared" ca="1" si="221"/>
        <v>7</v>
      </c>
      <c r="X360" s="16" t="str">
        <f t="shared" ca="1" si="222"/>
        <v>—</v>
      </c>
      <c r="Y360" s="15">
        <f t="shared" ca="1" si="223"/>
        <v>7</v>
      </c>
      <c r="Z360" s="16" t="str">
        <f t="shared" ca="1" si="224"/>
        <v>—</v>
      </c>
      <c r="AA360" s="15">
        <f t="shared" ca="1" si="225"/>
        <v>7</v>
      </c>
      <c r="AB360" s="9" t="str">
        <f t="shared" ca="1" si="226"/>
        <v>—</v>
      </c>
      <c r="AC360" s="15">
        <f t="shared" ca="1" si="227"/>
        <v>7</v>
      </c>
      <c r="AD360" s="76" t="str">
        <f t="shared" ca="1" si="228"/>
        <v>—</v>
      </c>
      <c r="AE360" s="15">
        <f t="shared" ca="1" si="229"/>
        <v>7</v>
      </c>
      <c r="AF360" s="76" t="str">
        <f t="shared" ca="1" si="230"/>
        <v>—</v>
      </c>
      <c r="AG360" s="15">
        <f t="shared" ca="1" si="231"/>
        <v>7</v>
      </c>
      <c r="AH360" s="9" t="str">
        <f t="shared" ca="1" si="232"/>
        <v>—</v>
      </c>
      <c r="AI360" s="15">
        <f t="shared" ca="1" si="233"/>
        <v>7</v>
      </c>
      <c r="AJ360" s="26" t="str">
        <f t="shared" ca="1" si="234"/>
        <v>—</v>
      </c>
      <c r="AK360" s="15">
        <f t="shared" ca="1" si="235"/>
        <v>7</v>
      </c>
      <c r="AL360" s="9" t="str">
        <f t="shared" ca="1" si="236"/>
        <v>—</v>
      </c>
      <c r="AM360" s="15">
        <f t="shared" ca="1" si="237"/>
        <v>7</v>
      </c>
      <c r="AN360" s="9" t="str">
        <f t="shared" ca="1" si="238"/>
        <v>—</v>
      </c>
      <c r="AO360" s="15">
        <f t="shared" ca="1" si="239"/>
        <v>7</v>
      </c>
    </row>
    <row r="361" spans="1:41" x14ac:dyDescent="0.25">
      <c r="A361" s="4">
        <f t="shared" si="200"/>
        <v>78989</v>
      </c>
      <c r="B361" t="str">
        <f ca="1">TEXT(DATE(YEAR(Invoer!$A$5),1,1)+ROWS(B$2:B361)-1,"jjjjmmdd")</f>
        <v>19131226</v>
      </c>
      <c r="C361" s="72">
        <f t="shared" si="201"/>
        <v>800</v>
      </c>
      <c r="D361" s="16" t="str">
        <f t="shared" ca="1" si="202"/>
        <v>—</v>
      </c>
      <c r="E361" s="15">
        <f t="shared" ca="1" si="203"/>
        <v>7</v>
      </c>
      <c r="F361" s="73" t="str">
        <f t="shared" ca="1" si="204"/>
        <v>—</v>
      </c>
      <c r="G361" s="15">
        <f t="shared" ca="1" si="205"/>
        <v>7</v>
      </c>
      <c r="H361" s="73" t="str">
        <f t="shared" ca="1" si="206"/>
        <v>—</v>
      </c>
      <c r="I361" s="15">
        <f t="shared" ca="1" si="207"/>
        <v>7</v>
      </c>
      <c r="J361" s="73" t="str">
        <f t="shared" ca="1" si="208"/>
        <v>—</v>
      </c>
      <c r="K361" s="15">
        <f t="shared" ca="1" si="209"/>
        <v>7</v>
      </c>
      <c r="L361" s="16" t="str">
        <f t="shared" ca="1" si="210"/>
        <v>—</v>
      </c>
      <c r="M361" s="15">
        <f t="shared" ca="1" si="211"/>
        <v>7</v>
      </c>
      <c r="N361" s="16" t="str">
        <f t="shared" ca="1" si="212"/>
        <v>—</v>
      </c>
      <c r="O361" s="15">
        <f t="shared" ca="1" si="213"/>
        <v>7</v>
      </c>
      <c r="P361" s="16" t="str">
        <f t="shared" ca="1" si="214"/>
        <v>—</v>
      </c>
      <c r="Q361" s="15">
        <f t="shared" ca="1" si="215"/>
        <v>7</v>
      </c>
      <c r="R361" s="16" t="str">
        <f t="shared" ca="1" si="216"/>
        <v>—</v>
      </c>
      <c r="S361" s="15">
        <f t="shared" ca="1" si="217"/>
        <v>7</v>
      </c>
      <c r="T361" s="9" t="str">
        <f t="shared" ca="1" si="218"/>
        <v>—</v>
      </c>
      <c r="U361" s="15">
        <f t="shared" ca="1" si="219"/>
        <v>7</v>
      </c>
      <c r="V361" s="16" t="str">
        <f t="shared" ca="1" si="220"/>
        <v>—</v>
      </c>
      <c r="W361" s="15">
        <f t="shared" ca="1" si="221"/>
        <v>7</v>
      </c>
      <c r="X361" s="16" t="str">
        <f t="shared" ca="1" si="222"/>
        <v>—</v>
      </c>
      <c r="Y361" s="15">
        <f t="shared" ca="1" si="223"/>
        <v>7</v>
      </c>
      <c r="Z361" s="16" t="str">
        <f t="shared" ca="1" si="224"/>
        <v>—</v>
      </c>
      <c r="AA361" s="15">
        <f t="shared" ca="1" si="225"/>
        <v>7</v>
      </c>
      <c r="AB361" s="9" t="str">
        <f t="shared" ca="1" si="226"/>
        <v>—</v>
      </c>
      <c r="AC361" s="15">
        <f t="shared" ca="1" si="227"/>
        <v>7</v>
      </c>
      <c r="AD361" s="76" t="str">
        <f t="shared" ca="1" si="228"/>
        <v>—</v>
      </c>
      <c r="AE361" s="15">
        <f t="shared" ca="1" si="229"/>
        <v>7</v>
      </c>
      <c r="AF361" s="76" t="str">
        <f t="shared" ca="1" si="230"/>
        <v>—</v>
      </c>
      <c r="AG361" s="15">
        <f t="shared" ca="1" si="231"/>
        <v>7</v>
      </c>
      <c r="AH361" s="9" t="str">
        <f t="shared" ca="1" si="232"/>
        <v>—</v>
      </c>
      <c r="AI361" s="15">
        <f t="shared" ca="1" si="233"/>
        <v>7</v>
      </c>
      <c r="AJ361" s="26" t="str">
        <f t="shared" ca="1" si="234"/>
        <v>—</v>
      </c>
      <c r="AK361" s="15">
        <f t="shared" ca="1" si="235"/>
        <v>7</v>
      </c>
      <c r="AL361" s="9" t="str">
        <f t="shared" ca="1" si="236"/>
        <v>—</v>
      </c>
      <c r="AM361" s="15">
        <f t="shared" ca="1" si="237"/>
        <v>7</v>
      </c>
      <c r="AN361" s="9" t="str">
        <f t="shared" ca="1" si="238"/>
        <v>—</v>
      </c>
      <c r="AO361" s="15">
        <f t="shared" ca="1" si="239"/>
        <v>7</v>
      </c>
    </row>
    <row r="362" spans="1:41" x14ac:dyDescent="0.25">
      <c r="A362" s="4">
        <f t="shared" si="200"/>
        <v>78989</v>
      </c>
      <c r="B362" t="str">
        <f ca="1">TEXT(DATE(YEAR(Invoer!$A$5),1,1)+ROWS(B$2:B362)-1,"jjjjmmdd")</f>
        <v>19131227</v>
      </c>
      <c r="C362" s="72">
        <f t="shared" si="201"/>
        <v>800</v>
      </c>
      <c r="D362" s="16" t="str">
        <f t="shared" ca="1" si="202"/>
        <v>—</v>
      </c>
      <c r="E362" s="15">
        <f t="shared" ca="1" si="203"/>
        <v>7</v>
      </c>
      <c r="F362" s="73" t="str">
        <f t="shared" ca="1" si="204"/>
        <v>—</v>
      </c>
      <c r="G362" s="15">
        <f t="shared" ca="1" si="205"/>
        <v>7</v>
      </c>
      <c r="H362" s="73" t="str">
        <f t="shared" ca="1" si="206"/>
        <v>—</v>
      </c>
      <c r="I362" s="15">
        <f t="shared" ca="1" si="207"/>
        <v>7</v>
      </c>
      <c r="J362" s="73" t="str">
        <f t="shared" ca="1" si="208"/>
        <v>—</v>
      </c>
      <c r="K362" s="15">
        <f t="shared" ca="1" si="209"/>
        <v>7</v>
      </c>
      <c r="L362" s="16" t="str">
        <f t="shared" ca="1" si="210"/>
        <v>—</v>
      </c>
      <c r="M362" s="15">
        <f t="shared" ca="1" si="211"/>
        <v>7</v>
      </c>
      <c r="N362" s="16" t="str">
        <f t="shared" ca="1" si="212"/>
        <v>—</v>
      </c>
      <c r="O362" s="15">
        <f t="shared" ca="1" si="213"/>
        <v>7</v>
      </c>
      <c r="P362" s="16" t="str">
        <f t="shared" ca="1" si="214"/>
        <v>—</v>
      </c>
      <c r="Q362" s="15">
        <f t="shared" ca="1" si="215"/>
        <v>7</v>
      </c>
      <c r="R362" s="16" t="str">
        <f t="shared" ca="1" si="216"/>
        <v>—</v>
      </c>
      <c r="S362" s="15">
        <f t="shared" ca="1" si="217"/>
        <v>7</v>
      </c>
      <c r="T362" s="9" t="str">
        <f t="shared" ca="1" si="218"/>
        <v>—</v>
      </c>
      <c r="U362" s="15">
        <f t="shared" ca="1" si="219"/>
        <v>7</v>
      </c>
      <c r="V362" s="16" t="str">
        <f t="shared" ca="1" si="220"/>
        <v>—</v>
      </c>
      <c r="W362" s="15">
        <f t="shared" ca="1" si="221"/>
        <v>7</v>
      </c>
      <c r="X362" s="16" t="str">
        <f t="shared" ca="1" si="222"/>
        <v>—</v>
      </c>
      <c r="Y362" s="15">
        <f t="shared" ca="1" si="223"/>
        <v>7</v>
      </c>
      <c r="Z362" s="16" t="str">
        <f t="shared" ca="1" si="224"/>
        <v>—</v>
      </c>
      <c r="AA362" s="15">
        <f t="shared" ca="1" si="225"/>
        <v>7</v>
      </c>
      <c r="AB362" s="9" t="str">
        <f t="shared" ca="1" si="226"/>
        <v>—</v>
      </c>
      <c r="AC362" s="15">
        <f t="shared" ca="1" si="227"/>
        <v>7</v>
      </c>
      <c r="AD362" s="76" t="str">
        <f t="shared" ca="1" si="228"/>
        <v>—</v>
      </c>
      <c r="AE362" s="15">
        <f t="shared" ca="1" si="229"/>
        <v>7</v>
      </c>
      <c r="AF362" s="76" t="str">
        <f t="shared" ca="1" si="230"/>
        <v>—</v>
      </c>
      <c r="AG362" s="15">
        <f t="shared" ca="1" si="231"/>
        <v>7</v>
      </c>
      <c r="AH362" s="9" t="str">
        <f t="shared" ca="1" si="232"/>
        <v>—</v>
      </c>
      <c r="AI362" s="15">
        <f t="shared" ca="1" si="233"/>
        <v>7</v>
      </c>
      <c r="AJ362" s="26" t="str">
        <f t="shared" ca="1" si="234"/>
        <v>—</v>
      </c>
      <c r="AK362" s="15">
        <f t="shared" ca="1" si="235"/>
        <v>7</v>
      </c>
      <c r="AL362" s="9" t="str">
        <f t="shared" ca="1" si="236"/>
        <v>—</v>
      </c>
      <c r="AM362" s="15">
        <f t="shared" ca="1" si="237"/>
        <v>7</v>
      </c>
      <c r="AN362" s="9" t="str">
        <f t="shared" ca="1" si="238"/>
        <v>—</v>
      </c>
      <c r="AO362" s="15">
        <f t="shared" ca="1" si="239"/>
        <v>7</v>
      </c>
    </row>
    <row r="363" spans="1:41" x14ac:dyDescent="0.25">
      <c r="A363" s="4">
        <f t="shared" si="200"/>
        <v>78989</v>
      </c>
      <c r="B363" t="str">
        <f ca="1">TEXT(DATE(YEAR(Invoer!$A$5),1,1)+ROWS(B$2:B363)-1,"jjjjmmdd")</f>
        <v>19131228</v>
      </c>
      <c r="C363" s="72">
        <f t="shared" si="201"/>
        <v>800</v>
      </c>
      <c r="D363" s="16" t="str">
        <f t="shared" ca="1" si="202"/>
        <v>—</v>
      </c>
      <c r="E363" s="15">
        <f t="shared" ca="1" si="203"/>
        <v>7</v>
      </c>
      <c r="F363" s="73" t="str">
        <f t="shared" ca="1" si="204"/>
        <v>—</v>
      </c>
      <c r="G363" s="15">
        <f t="shared" ca="1" si="205"/>
        <v>7</v>
      </c>
      <c r="H363" s="73" t="str">
        <f t="shared" ca="1" si="206"/>
        <v>—</v>
      </c>
      <c r="I363" s="15">
        <f t="shared" ca="1" si="207"/>
        <v>7</v>
      </c>
      <c r="J363" s="73" t="str">
        <f t="shared" ca="1" si="208"/>
        <v>—</v>
      </c>
      <c r="K363" s="15">
        <f t="shared" ca="1" si="209"/>
        <v>7</v>
      </c>
      <c r="L363" s="16" t="str">
        <f t="shared" ca="1" si="210"/>
        <v>—</v>
      </c>
      <c r="M363" s="15">
        <f t="shared" ca="1" si="211"/>
        <v>7</v>
      </c>
      <c r="N363" s="16" t="str">
        <f t="shared" ca="1" si="212"/>
        <v>—</v>
      </c>
      <c r="O363" s="15">
        <f t="shared" ca="1" si="213"/>
        <v>7</v>
      </c>
      <c r="P363" s="16" t="str">
        <f t="shared" ca="1" si="214"/>
        <v>—</v>
      </c>
      <c r="Q363" s="15">
        <f t="shared" ca="1" si="215"/>
        <v>7</v>
      </c>
      <c r="R363" s="16" t="str">
        <f t="shared" ca="1" si="216"/>
        <v>—</v>
      </c>
      <c r="S363" s="15">
        <f t="shared" ca="1" si="217"/>
        <v>7</v>
      </c>
      <c r="T363" s="9" t="str">
        <f t="shared" ca="1" si="218"/>
        <v>—</v>
      </c>
      <c r="U363" s="15">
        <f t="shared" ca="1" si="219"/>
        <v>7</v>
      </c>
      <c r="V363" s="16" t="str">
        <f t="shared" ca="1" si="220"/>
        <v>—</v>
      </c>
      <c r="W363" s="15">
        <f t="shared" ca="1" si="221"/>
        <v>7</v>
      </c>
      <c r="X363" s="16" t="str">
        <f t="shared" ca="1" si="222"/>
        <v>—</v>
      </c>
      <c r="Y363" s="15">
        <f t="shared" ca="1" si="223"/>
        <v>7</v>
      </c>
      <c r="Z363" s="16" t="str">
        <f t="shared" ca="1" si="224"/>
        <v>—</v>
      </c>
      <c r="AA363" s="15">
        <f t="shared" ca="1" si="225"/>
        <v>7</v>
      </c>
      <c r="AB363" s="9" t="str">
        <f t="shared" ca="1" si="226"/>
        <v>—</v>
      </c>
      <c r="AC363" s="15">
        <f t="shared" ca="1" si="227"/>
        <v>7</v>
      </c>
      <c r="AD363" s="76" t="str">
        <f t="shared" ca="1" si="228"/>
        <v>—</v>
      </c>
      <c r="AE363" s="15">
        <f t="shared" ca="1" si="229"/>
        <v>7</v>
      </c>
      <c r="AF363" s="76" t="str">
        <f t="shared" ca="1" si="230"/>
        <v>—</v>
      </c>
      <c r="AG363" s="15">
        <f t="shared" ca="1" si="231"/>
        <v>7</v>
      </c>
      <c r="AH363" s="9" t="str">
        <f t="shared" ca="1" si="232"/>
        <v>—</v>
      </c>
      <c r="AI363" s="15">
        <f t="shared" ca="1" si="233"/>
        <v>7</v>
      </c>
      <c r="AJ363" s="26" t="str">
        <f t="shared" ca="1" si="234"/>
        <v>—</v>
      </c>
      <c r="AK363" s="15">
        <f t="shared" ca="1" si="235"/>
        <v>7</v>
      </c>
      <c r="AL363" s="9" t="str">
        <f t="shared" ca="1" si="236"/>
        <v>—</v>
      </c>
      <c r="AM363" s="15">
        <f t="shared" ca="1" si="237"/>
        <v>7</v>
      </c>
      <c r="AN363" s="9" t="str">
        <f t="shared" ca="1" si="238"/>
        <v>—</v>
      </c>
      <c r="AO363" s="15">
        <f t="shared" ca="1" si="239"/>
        <v>7</v>
      </c>
    </row>
    <row r="364" spans="1:41" x14ac:dyDescent="0.25">
      <c r="A364" s="4">
        <f t="shared" si="200"/>
        <v>78989</v>
      </c>
      <c r="B364" t="str">
        <f ca="1">TEXT(DATE(YEAR(Invoer!$A$5),1,1)+ROWS(B$2:B364)-1,"jjjjmmdd")</f>
        <v>19131229</v>
      </c>
      <c r="C364" s="72">
        <f t="shared" si="201"/>
        <v>800</v>
      </c>
      <c r="D364" s="16" t="str">
        <f t="shared" ca="1" si="202"/>
        <v>—</v>
      </c>
      <c r="E364" s="15">
        <f t="shared" ca="1" si="203"/>
        <v>7</v>
      </c>
      <c r="F364" s="73" t="str">
        <f t="shared" ca="1" si="204"/>
        <v>—</v>
      </c>
      <c r="G364" s="15">
        <f t="shared" ca="1" si="205"/>
        <v>7</v>
      </c>
      <c r="H364" s="73" t="str">
        <f t="shared" ca="1" si="206"/>
        <v>—</v>
      </c>
      <c r="I364" s="15">
        <f t="shared" ca="1" si="207"/>
        <v>7</v>
      </c>
      <c r="J364" s="73" t="str">
        <f t="shared" ca="1" si="208"/>
        <v>—</v>
      </c>
      <c r="K364" s="15">
        <f t="shared" ca="1" si="209"/>
        <v>7</v>
      </c>
      <c r="L364" s="16" t="str">
        <f t="shared" ca="1" si="210"/>
        <v>—</v>
      </c>
      <c r="M364" s="15">
        <f t="shared" ca="1" si="211"/>
        <v>7</v>
      </c>
      <c r="N364" s="16" t="str">
        <f t="shared" ca="1" si="212"/>
        <v>—</v>
      </c>
      <c r="O364" s="15">
        <f t="shared" ca="1" si="213"/>
        <v>7</v>
      </c>
      <c r="P364" s="16" t="str">
        <f t="shared" ca="1" si="214"/>
        <v>—</v>
      </c>
      <c r="Q364" s="15">
        <f t="shared" ca="1" si="215"/>
        <v>7</v>
      </c>
      <c r="R364" s="16" t="str">
        <f t="shared" ca="1" si="216"/>
        <v>—</v>
      </c>
      <c r="S364" s="15">
        <f t="shared" ca="1" si="217"/>
        <v>7</v>
      </c>
      <c r="T364" s="9" t="str">
        <f t="shared" ca="1" si="218"/>
        <v>—</v>
      </c>
      <c r="U364" s="15">
        <f t="shared" ca="1" si="219"/>
        <v>7</v>
      </c>
      <c r="V364" s="16" t="str">
        <f t="shared" ca="1" si="220"/>
        <v>—</v>
      </c>
      <c r="W364" s="15">
        <f t="shared" ca="1" si="221"/>
        <v>7</v>
      </c>
      <c r="X364" s="16" t="str">
        <f t="shared" ca="1" si="222"/>
        <v>—</v>
      </c>
      <c r="Y364" s="15">
        <f t="shared" ca="1" si="223"/>
        <v>7</v>
      </c>
      <c r="Z364" s="16" t="str">
        <f t="shared" ca="1" si="224"/>
        <v>—</v>
      </c>
      <c r="AA364" s="15">
        <f t="shared" ca="1" si="225"/>
        <v>7</v>
      </c>
      <c r="AB364" s="9" t="str">
        <f t="shared" ca="1" si="226"/>
        <v>—</v>
      </c>
      <c r="AC364" s="15">
        <f t="shared" ca="1" si="227"/>
        <v>7</v>
      </c>
      <c r="AD364" s="76" t="str">
        <f t="shared" ca="1" si="228"/>
        <v>—</v>
      </c>
      <c r="AE364" s="15">
        <f t="shared" ca="1" si="229"/>
        <v>7</v>
      </c>
      <c r="AF364" s="76" t="str">
        <f t="shared" ca="1" si="230"/>
        <v>—</v>
      </c>
      <c r="AG364" s="15">
        <f t="shared" ca="1" si="231"/>
        <v>7</v>
      </c>
      <c r="AH364" s="9" t="str">
        <f t="shared" ca="1" si="232"/>
        <v>—</v>
      </c>
      <c r="AI364" s="15">
        <f t="shared" ca="1" si="233"/>
        <v>7</v>
      </c>
      <c r="AJ364" s="26" t="str">
        <f t="shared" ca="1" si="234"/>
        <v>—</v>
      </c>
      <c r="AK364" s="15">
        <f t="shared" ca="1" si="235"/>
        <v>7</v>
      </c>
      <c r="AL364" s="9" t="str">
        <f t="shared" ca="1" si="236"/>
        <v>—</v>
      </c>
      <c r="AM364" s="15">
        <f t="shared" ca="1" si="237"/>
        <v>7</v>
      </c>
      <c r="AN364" s="9" t="str">
        <f t="shared" ca="1" si="238"/>
        <v>—</v>
      </c>
      <c r="AO364" s="15">
        <f t="shared" ca="1" si="239"/>
        <v>7</v>
      </c>
    </row>
    <row r="365" spans="1:41" x14ac:dyDescent="0.25">
      <c r="A365" s="4">
        <f t="shared" si="200"/>
        <v>78989</v>
      </c>
      <c r="B365" t="str">
        <f ca="1">TEXT(DATE(YEAR(Invoer!$A$5),1,1)+ROWS(B$2:B365)-1,"jjjjmmdd")</f>
        <v>19131230</v>
      </c>
      <c r="C365" s="72">
        <f t="shared" si="201"/>
        <v>800</v>
      </c>
      <c r="D365" s="16" t="str">
        <f t="shared" ca="1" si="202"/>
        <v>—</v>
      </c>
      <c r="E365" s="15">
        <f t="shared" ca="1" si="203"/>
        <v>7</v>
      </c>
      <c r="F365" s="73" t="str">
        <f t="shared" ca="1" si="204"/>
        <v>—</v>
      </c>
      <c r="G365" s="15">
        <f t="shared" ca="1" si="205"/>
        <v>7</v>
      </c>
      <c r="H365" s="73" t="str">
        <f t="shared" ca="1" si="206"/>
        <v>—</v>
      </c>
      <c r="I365" s="15">
        <f t="shared" ca="1" si="207"/>
        <v>7</v>
      </c>
      <c r="J365" s="73" t="str">
        <f t="shared" ca="1" si="208"/>
        <v>—</v>
      </c>
      <c r="K365" s="15">
        <f t="shared" ca="1" si="209"/>
        <v>7</v>
      </c>
      <c r="L365" s="16" t="str">
        <f t="shared" ca="1" si="210"/>
        <v>—</v>
      </c>
      <c r="M365" s="15">
        <f t="shared" ca="1" si="211"/>
        <v>7</v>
      </c>
      <c r="N365" s="16" t="str">
        <f t="shared" ca="1" si="212"/>
        <v>—</v>
      </c>
      <c r="O365" s="15">
        <f t="shared" ca="1" si="213"/>
        <v>7</v>
      </c>
      <c r="P365" s="16" t="str">
        <f t="shared" ca="1" si="214"/>
        <v>—</v>
      </c>
      <c r="Q365" s="15">
        <f t="shared" ca="1" si="215"/>
        <v>7</v>
      </c>
      <c r="R365" s="16" t="str">
        <f t="shared" ca="1" si="216"/>
        <v>—</v>
      </c>
      <c r="S365" s="15">
        <f t="shared" ca="1" si="217"/>
        <v>7</v>
      </c>
      <c r="T365" s="9" t="str">
        <f t="shared" ca="1" si="218"/>
        <v>—</v>
      </c>
      <c r="U365" s="15">
        <f t="shared" ca="1" si="219"/>
        <v>7</v>
      </c>
      <c r="V365" s="16" t="str">
        <f t="shared" ca="1" si="220"/>
        <v>—</v>
      </c>
      <c r="W365" s="15">
        <f t="shared" ca="1" si="221"/>
        <v>7</v>
      </c>
      <c r="X365" s="16" t="str">
        <f t="shared" ca="1" si="222"/>
        <v>—</v>
      </c>
      <c r="Y365" s="15">
        <f t="shared" ca="1" si="223"/>
        <v>7</v>
      </c>
      <c r="Z365" s="16" t="str">
        <f t="shared" ca="1" si="224"/>
        <v>—</v>
      </c>
      <c r="AA365" s="15">
        <f t="shared" ca="1" si="225"/>
        <v>7</v>
      </c>
      <c r="AB365" s="9" t="str">
        <f t="shared" ca="1" si="226"/>
        <v>—</v>
      </c>
      <c r="AC365" s="15">
        <f t="shared" ca="1" si="227"/>
        <v>7</v>
      </c>
      <c r="AD365" s="76" t="str">
        <f t="shared" ca="1" si="228"/>
        <v>—</v>
      </c>
      <c r="AE365" s="15">
        <f t="shared" ca="1" si="229"/>
        <v>7</v>
      </c>
      <c r="AF365" s="76" t="str">
        <f t="shared" ca="1" si="230"/>
        <v>—</v>
      </c>
      <c r="AG365" s="15">
        <f t="shared" ca="1" si="231"/>
        <v>7</v>
      </c>
      <c r="AH365" s="9" t="str">
        <f t="shared" ca="1" si="232"/>
        <v>—</v>
      </c>
      <c r="AI365" s="15">
        <f t="shared" ca="1" si="233"/>
        <v>7</v>
      </c>
      <c r="AJ365" s="26" t="str">
        <f t="shared" ca="1" si="234"/>
        <v>—</v>
      </c>
      <c r="AK365" s="15">
        <f t="shared" ca="1" si="235"/>
        <v>7</v>
      </c>
      <c r="AL365" s="9" t="str">
        <f t="shared" ca="1" si="236"/>
        <v>—</v>
      </c>
      <c r="AM365" s="15">
        <f t="shared" ca="1" si="237"/>
        <v>7</v>
      </c>
      <c r="AN365" s="9" t="str">
        <f t="shared" ca="1" si="238"/>
        <v>—</v>
      </c>
      <c r="AO365" s="15">
        <f t="shared" ca="1" si="239"/>
        <v>7</v>
      </c>
    </row>
    <row r="366" spans="1:41" x14ac:dyDescent="0.25">
      <c r="A366" s="4">
        <f t="shared" si="200"/>
        <v>78989</v>
      </c>
      <c r="B366" t="str">
        <f ca="1">TEXT(DATE(YEAR(Invoer!$A$5),1,1)+ROWS(B$2:B366)-1,"jjjjmmdd")</f>
        <v>19131231</v>
      </c>
      <c r="C366" s="72">
        <f t="shared" si="201"/>
        <v>800</v>
      </c>
      <c r="D366" s="16" t="str">
        <f t="shared" ca="1" si="202"/>
        <v>—</v>
      </c>
      <c r="E366" s="15">
        <f t="shared" ca="1" si="203"/>
        <v>7</v>
      </c>
      <c r="F366" s="73" t="str">
        <f t="shared" ca="1" si="204"/>
        <v>—</v>
      </c>
      <c r="G366" s="15">
        <f t="shared" ca="1" si="205"/>
        <v>7</v>
      </c>
      <c r="H366" s="73" t="str">
        <f t="shared" ca="1" si="206"/>
        <v>—</v>
      </c>
      <c r="I366" s="15">
        <f t="shared" ca="1" si="207"/>
        <v>7</v>
      </c>
      <c r="J366" s="73" t="str">
        <f t="shared" ca="1" si="208"/>
        <v>—</v>
      </c>
      <c r="K366" s="15">
        <f t="shared" ca="1" si="209"/>
        <v>7</v>
      </c>
      <c r="L366" s="16" t="str">
        <f t="shared" ca="1" si="210"/>
        <v>—</v>
      </c>
      <c r="M366" s="15">
        <f t="shared" ca="1" si="211"/>
        <v>7</v>
      </c>
      <c r="N366" s="16" t="str">
        <f t="shared" ca="1" si="212"/>
        <v>—</v>
      </c>
      <c r="O366" s="15">
        <f t="shared" ca="1" si="213"/>
        <v>7</v>
      </c>
      <c r="P366" s="16" t="str">
        <f t="shared" ca="1" si="214"/>
        <v>—</v>
      </c>
      <c r="Q366" s="15">
        <f t="shared" ca="1" si="215"/>
        <v>7</v>
      </c>
      <c r="R366" s="16" t="str">
        <f t="shared" ca="1" si="216"/>
        <v>—</v>
      </c>
      <c r="S366" s="15">
        <f t="shared" ca="1" si="217"/>
        <v>7</v>
      </c>
      <c r="T366" s="9" t="str">
        <f t="shared" ca="1" si="218"/>
        <v>—</v>
      </c>
      <c r="U366" s="15">
        <f t="shared" ca="1" si="219"/>
        <v>7</v>
      </c>
      <c r="V366" s="16" t="str">
        <f t="shared" ca="1" si="220"/>
        <v>—</v>
      </c>
      <c r="W366" s="15">
        <f t="shared" ca="1" si="221"/>
        <v>7</v>
      </c>
      <c r="X366" s="16" t="str">
        <f t="shared" ca="1" si="222"/>
        <v>—</v>
      </c>
      <c r="Y366" s="15">
        <f t="shared" ca="1" si="223"/>
        <v>7</v>
      </c>
      <c r="Z366" s="16" t="str">
        <f t="shared" ca="1" si="224"/>
        <v>—</v>
      </c>
      <c r="AA366" s="15">
        <f t="shared" ca="1" si="225"/>
        <v>7</v>
      </c>
      <c r="AB366" s="9" t="str">
        <f t="shared" ca="1" si="226"/>
        <v>—</v>
      </c>
      <c r="AC366" s="15">
        <f t="shared" ca="1" si="227"/>
        <v>7</v>
      </c>
      <c r="AD366" s="76" t="str">
        <f t="shared" ca="1" si="228"/>
        <v>—</v>
      </c>
      <c r="AE366" s="15">
        <f t="shared" ca="1" si="229"/>
        <v>7</v>
      </c>
      <c r="AF366" s="76" t="str">
        <f t="shared" ca="1" si="230"/>
        <v>—</v>
      </c>
      <c r="AG366" s="15">
        <f t="shared" ca="1" si="231"/>
        <v>7</v>
      </c>
      <c r="AH366" s="9" t="str">
        <f t="shared" ca="1" si="232"/>
        <v>—</v>
      </c>
      <c r="AI366" s="15">
        <f t="shared" ca="1" si="233"/>
        <v>7</v>
      </c>
      <c r="AJ366" s="26" t="str">
        <f t="shared" ca="1" si="234"/>
        <v>—</v>
      </c>
      <c r="AK366" s="15">
        <f t="shared" ca="1" si="235"/>
        <v>7</v>
      </c>
      <c r="AL366" s="9" t="str">
        <f t="shared" ca="1" si="236"/>
        <v>—</v>
      </c>
      <c r="AM366" s="15">
        <f t="shared" ca="1" si="237"/>
        <v>7</v>
      </c>
      <c r="AN366" s="9" t="str">
        <f t="shared" ca="1" si="238"/>
        <v>—</v>
      </c>
      <c r="AO366" s="15">
        <f t="shared" ca="1" si="239"/>
        <v>7</v>
      </c>
    </row>
  </sheetData>
  <pageMargins left="0.7" right="0.7" top="0.75" bottom="0.75" header="0.3" footer="0.3"/>
  <pageSetup paperSize="9" orientation="portrait" r:id="rId1"/>
  <ignoredErrors>
    <ignoredError sqref="F2:AO2 F3:AC366 AE3:AE366 AG3:AI366 AF3:AF366 AK3:AO366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A366"/>
  <sheetViews>
    <sheetView workbookViewId="0"/>
  </sheetViews>
  <sheetFormatPr defaultRowHeight="15" x14ac:dyDescent="0.25"/>
  <cols>
    <col min="1" max="1" width="44.42578125" bestFit="1" customWidth="1"/>
  </cols>
  <sheetData>
    <row r="1" spans="1:1" x14ac:dyDescent="0.25">
      <c r="A1" s="11" t="str">
        <f>""""&amp;Regen!A1&amp;""", """&amp;Regen!B1&amp;""", """&amp;Regen!C1&amp;""", """&amp;Regen!D1&amp;""", """&amp;Regen!E1&amp;""""</f>
        <v>"Stn", "Datum", "Niveau", "Rd", "qRd"</v>
      </c>
    </row>
    <row r="2" spans="1:1" x14ac:dyDescent="0.25">
      <c r="A2" s="11" t="str">
        <f ca="1">TEXT(Regen!A2,"000\,")&amp;TEXT(Regen!B2,"?00000000")&amp;TEXT(Regen!C2,""",""?0")&amp;IF(EXACT(Regen!D2,"T"),", ""tr""",SUBSTITUTE(TEXT(IF(ISTEXT(Regen!D2),Regen!D2,10*Regen!D2),""",""????0;"",""???-0;"",""????0;"", ////"""),"'",""""))&amp;SUBSTITUTE(TEXT(Regen!E2,""",""?00;"",""?-00;"",""?00;"", //"""),"'","""")</f>
        <v>78989, 19130101, 1, ////, 07</v>
      </c>
    </row>
    <row r="3" spans="1:1" x14ac:dyDescent="0.25">
      <c r="A3" s="11" t="str">
        <f ca="1">TEXT(Regen!A3,"000\,")&amp;TEXT(Regen!B3,"?00000000")&amp;TEXT(Regen!C3,""",""?0")&amp;IF(EXACT(Regen!D3,"T"),", ""tr""",SUBSTITUTE(TEXT(IF(ISTEXT(Regen!D3),Regen!D3,10*Regen!D3),""",""????0;"",""???-0;"",""????0;"", ////"""),"'",""""))&amp;SUBSTITUTE(TEXT(Regen!E3,""",""?00;"",""?-00;"",""?00;"", //"""),"'","""")</f>
        <v>78989, 19130102, 1, ////, 07</v>
      </c>
    </row>
    <row r="4" spans="1:1" x14ac:dyDescent="0.25">
      <c r="A4" s="11" t="str">
        <f ca="1">TEXT(Regen!A4,"000\,")&amp;TEXT(Regen!B4,"?00000000")&amp;TEXT(Regen!C4,""",""?0")&amp;IF(EXACT(Regen!D4,"T"),", ""tr""",SUBSTITUTE(TEXT(IF(ISTEXT(Regen!D4),Regen!D4,10*Regen!D4),""",""????0;"",""???-0;"",""????0;"", ////"""),"'",""""))&amp;SUBSTITUTE(TEXT(Regen!E4,""",""?00;"",""?-00;"",""?00;"", //"""),"'","""")</f>
        <v>78989, 19130103, 1, ////, 07</v>
      </c>
    </row>
    <row r="5" spans="1:1" x14ac:dyDescent="0.25">
      <c r="A5" s="11" t="str">
        <f ca="1">TEXT(Regen!A5,"000\,")&amp;TEXT(Regen!B5,"?00000000")&amp;TEXT(Regen!C5,""",""?0")&amp;IF(EXACT(Regen!D5,"T"),", ""tr""",SUBSTITUTE(TEXT(IF(ISTEXT(Regen!D5),Regen!D5,10*Regen!D5),""",""????0;"",""???-0;"",""????0;"", ////"""),"'",""""))&amp;SUBSTITUTE(TEXT(Regen!E5,""",""?00;"",""?-00;"",""?00;"", //"""),"'","""")</f>
        <v>78989, 19130104, 1, ////, 07</v>
      </c>
    </row>
    <row r="6" spans="1:1" x14ac:dyDescent="0.25">
      <c r="A6" s="11" t="str">
        <f ca="1">TEXT(Regen!A6,"000\,")&amp;TEXT(Regen!B6,"?00000000")&amp;TEXT(Regen!C6,""",""?0")&amp;IF(EXACT(Regen!D6,"T"),", ""tr""",SUBSTITUTE(TEXT(IF(ISTEXT(Regen!D6),Regen!D6,10*Regen!D6),""",""????0;"",""???-0;"",""????0;"", ////"""),"'",""""))&amp;SUBSTITUTE(TEXT(Regen!E6,""",""?00;"",""?-00;"",""?00;"", //"""),"'","""")</f>
        <v>78989, 19130105, 1, ////, 07</v>
      </c>
    </row>
    <row r="7" spans="1:1" x14ac:dyDescent="0.25">
      <c r="A7" s="11" t="str">
        <f ca="1">TEXT(Regen!A7,"000\,")&amp;TEXT(Regen!B7,"?00000000")&amp;TEXT(Regen!C7,""",""?0")&amp;IF(EXACT(Regen!D7,"T"),", ""tr""",SUBSTITUTE(TEXT(IF(ISTEXT(Regen!D7),Regen!D7,10*Regen!D7),""",""????0;"",""???-0;"",""????0;"", ////"""),"'",""""))&amp;SUBSTITUTE(TEXT(Regen!E7,""",""?00;"",""?-00;"",""?00;"", //"""),"'","""")</f>
        <v>78989, 19130106, 1, ////, 07</v>
      </c>
    </row>
    <row r="8" spans="1:1" x14ac:dyDescent="0.25">
      <c r="A8" s="11" t="str">
        <f ca="1">TEXT(Regen!A8,"000\,")&amp;TEXT(Regen!B8,"?00000000")&amp;TEXT(Regen!C8,""",""?0")&amp;IF(EXACT(Regen!D8,"T"),", ""tr""",SUBSTITUTE(TEXT(IF(ISTEXT(Regen!D8),Regen!D8,10*Regen!D8),""",""????0;"",""???-0;"",""????0;"", ////"""),"'",""""))&amp;SUBSTITUTE(TEXT(Regen!E8,""",""?00;"",""?-00;"",""?00;"", //"""),"'","""")</f>
        <v>78989, 19130107, 1, ////, 07</v>
      </c>
    </row>
    <row r="9" spans="1:1" x14ac:dyDescent="0.25">
      <c r="A9" s="11" t="str">
        <f ca="1">TEXT(Regen!A9,"000\,")&amp;TEXT(Regen!B9,"?00000000")&amp;TEXT(Regen!C9,""",""?0")&amp;IF(EXACT(Regen!D9,"T"),", ""tr""",SUBSTITUTE(TEXT(IF(ISTEXT(Regen!D9),Regen!D9,10*Regen!D9),""",""????0;"",""???-0;"",""????0;"", ////"""),"'",""""))&amp;SUBSTITUTE(TEXT(Regen!E9,""",""?00;"",""?-00;"",""?00;"", //"""),"'","""")</f>
        <v>78989, 19130108, 1, ////, 07</v>
      </c>
    </row>
    <row r="10" spans="1:1" x14ac:dyDescent="0.25">
      <c r="A10" s="11" t="str">
        <f ca="1">TEXT(Regen!A10,"000\,")&amp;TEXT(Regen!B10,"?00000000")&amp;TEXT(Regen!C10,""",""?0")&amp;IF(EXACT(Regen!D10,"T"),", ""tr""",SUBSTITUTE(TEXT(IF(ISTEXT(Regen!D10),Regen!D10,10*Regen!D10),""",""????0;"",""???-0;"",""????0;"", ////"""),"'",""""))&amp;SUBSTITUTE(TEXT(Regen!E10,""",""?00;"",""?-00;"",""?00;"", //"""),"'","""")</f>
        <v>78989, 19130109, 1, ////, 07</v>
      </c>
    </row>
    <row r="11" spans="1:1" x14ac:dyDescent="0.25">
      <c r="A11" s="11" t="str">
        <f ca="1">TEXT(Regen!A11,"000\,")&amp;TEXT(Regen!B11,"?00000000")&amp;TEXT(Regen!C11,""",""?0")&amp;IF(EXACT(Regen!D11,"T"),", ""tr""",SUBSTITUTE(TEXT(IF(ISTEXT(Regen!D11),Regen!D11,10*Regen!D11),""",""????0;"",""???-0;"",""????0;"", ////"""),"'",""""))&amp;SUBSTITUTE(TEXT(Regen!E11,""",""?00;"",""?-00;"",""?00;"", //"""),"'","""")</f>
        <v>78989, 19130110, 1, ////, 07</v>
      </c>
    </row>
    <row r="12" spans="1:1" x14ac:dyDescent="0.25">
      <c r="A12" s="11" t="str">
        <f ca="1">TEXT(Regen!A12,"000\,")&amp;TEXT(Regen!B12,"?00000000")&amp;TEXT(Regen!C12,""",""?0")&amp;IF(EXACT(Regen!D12,"T"),", ""tr""",SUBSTITUTE(TEXT(IF(ISTEXT(Regen!D12),Regen!D12,10*Regen!D12),""",""????0;"",""???-0;"",""????0;"", ////"""),"'",""""))&amp;SUBSTITUTE(TEXT(Regen!E12,""",""?00;"",""?-00;"",""?00;"", //"""),"'","""")</f>
        <v>78989, 19130111, 1, ////, 07</v>
      </c>
    </row>
    <row r="13" spans="1:1" x14ac:dyDescent="0.25">
      <c r="A13" s="11" t="str">
        <f ca="1">TEXT(Regen!A13,"000\,")&amp;TEXT(Regen!B13,"?00000000")&amp;TEXT(Regen!C13,""",""?0")&amp;IF(EXACT(Regen!D13,"T"),", ""tr""",SUBSTITUTE(TEXT(IF(ISTEXT(Regen!D13),Regen!D13,10*Regen!D13),""",""????0;"",""???-0;"",""????0;"", ////"""),"'",""""))&amp;SUBSTITUTE(TEXT(Regen!E13,""",""?00;"",""?-00;"",""?00;"", //"""),"'","""")</f>
        <v>78989, 19130112, 1, ////, 07</v>
      </c>
    </row>
    <row r="14" spans="1:1" x14ac:dyDescent="0.25">
      <c r="A14" s="11" t="str">
        <f ca="1">TEXT(Regen!A14,"000\,")&amp;TEXT(Regen!B14,"?00000000")&amp;TEXT(Regen!C14,""",""?0")&amp;IF(EXACT(Regen!D14,"T"),", ""tr""",SUBSTITUTE(TEXT(IF(ISTEXT(Regen!D14),Regen!D14,10*Regen!D14),""",""????0;"",""???-0;"",""????0;"", ////"""),"'",""""))&amp;SUBSTITUTE(TEXT(Regen!E14,""",""?00;"",""?-00;"",""?00;"", //"""),"'","""")</f>
        <v>78989, 19130113, 1, ////, 07</v>
      </c>
    </row>
    <row r="15" spans="1:1" x14ac:dyDescent="0.25">
      <c r="A15" s="11" t="str">
        <f ca="1">TEXT(Regen!A15,"000\,")&amp;TEXT(Regen!B15,"?00000000")&amp;TEXT(Regen!C15,""",""?0")&amp;IF(EXACT(Regen!D15,"T"),", ""tr""",SUBSTITUTE(TEXT(IF(ISTEXT(Regen!D15),Regen!D15,10*Regen!D15),""",""????0;"",""???-0;"",""????0;"", ////"""),"'",""""))&amp;SUBSTITUTE(TEXT(Regen!E15,""",""?00;"",""?-00;"",""?00;"", //"""),"'","""")</f>
        <v>78989, 19130114, 1, ////, 07</v>
      </c>
    </row>
    <row r="16" spans="1:1" x14ac:dyDescent="0.25">
      <c r="A16" s="11" t="str">
        <f ca="1">TEXT(Regen!A16,"000\,")&amp;TEXT(Regen!B16,"?00000000")&amp;TEXT(Regen!C16,""",""?0")&amp;IF(EXACT(Regen!D16,"T"),", ""tr""",SUBSTITUTE(TEXT(IF(ISTEXT(Regen!D16),Regen!D16,10*Regen!D16),""",""????0;"",""???-0;"",""????0;"", ////"""),"'",""""))&amp;SUBSTITUTE(TEXT(Regen!E16,""",""?00;"",""?-00;"",""?00;"", //"""),"'","""")</f>
        <v>78989, 19130115, 1, ////, 07</v>
      </c>
    </row>
    <row r="17" spans="1:1" x14ac:dyDescent="0.25">
      <c r="A17" s="11" t="str">
        <f ca="1">TEXT(Regen!A17,"000\,")&amp;TEXT(Regen!B17,"?00000000")&amp;TEXT(Regen!C17,""",""?0")&amp;IF(EXACT(Regen!D17,"T"),", ""tr""",SUBSTITUTE(TEXT(IF(ISTEXT(Regen!D17),Regen!D17,10*Regen!D17),""",""????0;"",""???-0;"",""????0;"", ////"""),"'",""""))&amp;SUBSTITUTE(TEXT(Regen!E17,""",""?00;"",""?-00;"",""?00;"", //"""),"'","""")</f>
        <v>78989, 19130116, 1, ////, 07</v>
      </c>
    </row>
    <row r="18" spans="1:1" x14ac:dyDescent="0.25">
      <c r="A18" s="11" t="str">
        <f ca="1">TEXT(Regen!A18,"000\,")&amp;TEXT(Regen!B18,"?00000000")&amp;TEXT(Regen!C18,""",""?0")&amp;IF(EXACT(Regen!D18,"T"),", ""tr""",SUBSTITUTE(TEXT(IF(ISTEXT(Regen!D18),Regen!D18,10*Regen!D18),""",""????0;"",""???-0;"",""????0;"", ////"""),"'",""""))&amp;SUBSTITUTE(TEXT(Regen!E18,""",""?00;"",""?-00;"",""?00;"", //"""),"'","""")</f>
        <v>78989, 19130117, 1, ////, 07</v>
      </c>
    </row>
    <row r="19" spans="1:1" x14ac:dyDescent="0.25">
      <c r="A19" s="11" t="str">
        <f ca="1">TEXT(Regen!A19,"000\,")&amp;TEXT(Regen!B19,"?00000000")&amp;TEXT(Regen!C19,""",""?0")&amp;IF(EXACT(Regen!D19,"T"),", ""tr""",SUBSTITUTE(TEXT(IF(ISTEXT(Regen!D19),Regen!D19,10*Regen!D19),""",""????0;"",""???-0;"",""????0;"", ////"""),"'",""""))&amp;SUBSTITUTE(TEXT(Regen!E19,""",""?00;"",""?-00;"",""?00;"", //"""),"'","""")</f>
        <v>78989, 19130118, 1, ////, 07</v>
      </c>
    </row>
    <row r="20" spans="1:1" x14ac:dyDescent="0.25">
      <c r="A20" s="11" t="str">
        <f ca="1">TEXT(Regen!A20,"000\,")&amp;TEXT(Regen!B20,"?00000000")&amp;TEXT(Regen!C20,""",""?0")&amp;IF(EXACT(Regen!D20,"T"),", ""tr""",SUBSTITUTE(TEXT(IF(ISTEXT(Regen!D20),Regen!D20,10*Regen!D20),""",""????0;"",""???-0;"",""????0;"", ////"""),"'",""""))&amp;SUBSTITUTE(TEXT(Regen!E20,""",""?00;"",""?-00;"",""?00;"", //"""),"'","""")</f>
        <v>78989, 19130119, 1, ////, 07</v>
      </c>
    </row>
    <row r="21" spans="1:1" x14ac:dyDescent="0.25">
      <c r="A21" s="11" t="str">
        <f ca="1">TEXT(Regen!A21,"000\,")&amp;TEXT(Regen!B21,"?00000000")&amp;TEXT(Regen!C21,""",""?0")&amp;IF(EXACT(Regen!D21,"T"),", ""tr""",SUBSTITUTE(TEXT(IF(ISTEXT(Regen!D21),Regen!D21,10*Regen!D21),""",""????0;"",""???-0;"",""????0;"", ////"""),"'",""""))&amp;SUBSTITUTE(TEXT(Regen!E21,""",""?00;"",""?-00;"",""?00;"", //"""),"'","""")</f>
        <v>78989, 19130120, 1, ////, 07</v>
      </c>
    </row>
    <row r="22" spans="1:1" x14ac:dyDescent="0.25">
      <c r="A22" s="11" t="str">
        <f ca="1">TEXT(Regen!A22,"000\,")&amp;TEXT(Regen!B22,"?00000000")&amp;TEXT(Regen!C22,""",""?0")&amp;IF(EXACT(Regen!D22,"T"),", ""tr""",SUBSTITUTE(TEXT(IF(ISTEXT(Regen!D22),Regen!D22,10*Regen!D22),""",""????0;"",""???-0;"",""????0;"", ////"""),"'",""""))&amp;SUBSTITUTE(TEXT(Regen!E22,""",""?00;"",""?-00;"",""?00;"", //"""),"'","""")</f>
        <v>78989, 19130121, 1, ////, 07</v>
      </c>
    </row>
    <row r="23" spans="1:1" x14ac:dyDescent="0.25">
      <c r="A23" s="11" t="str">
        <f ca="1">TEXT(Regen!A23,"000\,")&amp;TEXT(Regen!B23,"?00000000")&amp;TEXT(Regen!C23,""",""?0")&amp;IF(EXACT(Regen!D23,"T"),", ""tr""",SUBSTITUTE(TEXT(IF(ISTEXT(Regen!D23),Regen!D23,10*Regen!D23),""",""????0;"",""???-0;"",""????0;"", ////"""),"'",""""))&amp;SUBSTITUTE(TEXT(Regen!E23,""",""?00;"",""?-00;"",""?00;"", //"""),"'","""")</f>
        <v>78989, 19130122, 1, ////, 07</v>
      </c>
    </row>
    <row r="24" spans="1:1" x14ac:dyDescent="0.25">
      <c r="A24" s="11" t="str">
        <f ca="1">TEXT(Regen!A24,"000\,")&amp;TEXT(Regen!B24,"?00000000")&amp;TEXT(Regen!C24,""",""?0")&amp;IF(EXACT(Regen!D24,"T"),", ""tr""",SUBSTITUTE(TEXT(IF(ISTEXT(Regen!D24),Regen!D24,10*Regen!D24),""",""????0;"",""???-0;"",""????0;"", ////"""),"'",""""))&amp;SUBSTITUTE(TEXT(Regen!E24,""",""?00;"",""?-00;"",""?00;"", //"""),"'","""")</f>
        <v>78989, 19130123, 1, ////, 07</v>
      </c>
    </row>
    <row r="25" spans="1:1" x14ac:dyDescent="0.25">
      <c r="A25" s="11" t="str">
        <f ca="1">TEXT(Regen!A25,"000\,")&amp;TEXT(Regen!B25,"?00000000")&amp;TEXT(Regen!C25,""",""?0")&amp;IF(EXACT(Regen!D25,"T"),", ""tr""",SUBSTITUTE(TEXT(IF(ISTEXT(Regen!D25),Regen!D25,10*Regen!D25),""",""????0;"",""???-0;"",""????0;"", ////"""),"'",""""))&amp;SUBSTITUTE(TEXT(Regen!E25,""",""?00;"",""?-00;"",""?00;"", //"""),"'","""")</f>
        <v>78989, 19130124, 1, ////, 07</v>
      </c>
    </row>
    <row r="26" spans="1:1" x14ac:dyDescent="0.25">
      <c r="A26" s="11" t="str">
        <f ca="1">TEXT(Regen!A26,"000\,")&amp;TEXT(Regen!B26,"?00000000")&amp;TEXT(Regen!C26,""",""?0")&amp;IF(EXACT(Regen!D26,"T"),", ""tr""",SUBSTITUTE(TEXT(IF(ISTEXT(Regen!D26),Regen!D26,10*Regen!D26),""",""????0;"",""???-0;"",""????0;"", ////"""),"'",""""))&amp;SUBSTITUTE(TEXT(Regen!E26,""",""?00;"",""?-00;"",""?00;"", //"""),"'","""")</f>
        <v>78989, 19130125, 1, ////, 07</v>
      </c>
    </row>
    <row r="27" spans="1:1" x14ac:dyDescent="0.25">
      <c r="A27" s="11" t="str">
        <f ca="1">TEXT(Regen!A27,"000\,")&amp;TEXT(Regen!B27,"?00000000")&amp;TEXT(Regen!C27,""",""?0")&amp;IF(EXACT(Regen!D27,"T"),", ""tr""",SUBSTITUTE(TEXT(IF(ISTEXT(Regen!D27),Regen!D27,10*Regen!D27),""",""????0;"",""???-0;"",""????0;"", ////"""),"'",""""))&amp;SUBSTITUTE(TEXT(Regen!E27,""",""?00;"",""?-00;"",""?00;"", //"""),"'","""")</f>
        <v>78989, 19130126, 1, ////, 07</v>
      </c>
    </row>
    <row r="28" spans="1:1" x14ac:dyDescent="0.25">
      <c r="A28" s="11" t="str">
        <f ca="1">TEXT(Regen!A28,"000\,")&amp;TEXT(Regen!B28,"?00000000")&amp;TEXT(Regen!C28,""",""?0")&amp;IF(EXACT(Regen!D28,"T"),", ""tr""",SUBSTITUTE(TEXT(IF(ISTEXT(Regen!D28),Regen!D28,10*Regen!D28),""",""????0;"",""???-0;"",""????0;"", ////"""),"'",""""))&amp;SUBSTITUTE(TEXT(Regen!E28,""",""?00;"",""?-00;"",""?00;"", //"""),"'","""")</f>
        <v>78989, 19130127, 1, ////, 07</v>
      </c>
    </row>
    <row r="29" spans="1:1" x14ac:dyDescent="0.25">
      <c r="A29" s="11" t="str">
        <f ca="1">TEXT(Regen!A29,"000\,")&amp;TEXT(Regen!B29,"?00000000")&amp;TEXT(Regen!C29,""",""?0")&amp;IF(EXACT(Regen!D29,"T"),", ""tr""",SUBSTITUTE(TEXT(IF(ISTEXT(Regen!D29),Regen!D29,10*Regen!D29),""",""????0;"",""???-0;"",""????0;"", ////"""),"'",""""))&amp;SUBSTITUTE(TEXT(Regen!E29,""",""?00;"",""?-00;"",""?00;"", //"""),"'","""")</f>
        <v>78989, 19130128, 1, ////, 07</v>
      </c>
    </row>
    <row r="30" spans="1:1" x14ac:dyDescent="0.25">
      <c r="A30" s="11" t="str">
        <f ca="1">TEXT(Regen!A30,"000\,")&amp;TEXT(Regen!B30,"?00000000")&amp;TEXT(Regen!C30,""",""?0")&amp;IF(EXACT(Regen!D30,"T"),", ""tr""",SUBSTITUTE(TEXT(IF(ISTEXT(Regen!D30),Regen!D30,10*Regen!D30),""",""????0;"",""???-0;"",""????0;"", ////"""),"'",""""))&amp;SUBSTITUTE(TEXT(Regen!E30,""",""?00;"",""?-00;"",""?00;"", //"""),"'","""")</f>
        <v>78989, 19130129, 1, ////, 07</v>
      </c>
    </row>
    <row r="31" spans="1:1" x14ac:dyDescent="0.25">
      <c r="A31" s="11" t="str">
        <f ca="1">TEXT(Regen!A31,"000\,")&amp;TEXT(Regen!B31,"?00000000")&amp;TEXT(Regen!C31,""",""?0")&amp;IF(EXACT(Regen!D31,"T"),", ""tr""",SUBSTITUTE(TEXT(IF(ISTEXT(Regen!D31),Regen!D31,10*Regen!D31),""",""????0;"",""???-0;"",""????0;"", ////"""),"'",""""))&amp;SUBSTITUTE(TEXT(Regen!E31,""",""?00;"",""?-00;"",""?00;"", //"""),"'","""")</f>
        <v>78989, 19130130, 1, ////, 07</v>
      </c>
    </row>
    <row r="32" spans="1:1" x14ac:dyDescent="0.25">
      <c r="A32" s="11" t="str">
        <f ca="1">TEXT(Regen!A32,"000\,")&amp;TEXT(Regen!B32,"?00000000")&amp;TEXT(Regen!C32,""",""?0")&amp;IF(EXACT(Regen!D32,"T"),", ""tr""",SUBSTITUTE(TEXT(IF(ISTEXT(Regen!D32),Regen!D32,10*Regen!D32),""",""????0;"",""???-0;"",""????0;"", ////"""),"'",""""))&amp;SUBSTITUTE(TEXT(Regen!E32,""",""?00;"",""?-00;"",""?00;"", //"""),"'","""")</f>
        <v>78989, 19130131, 1, ////, 07</v>
      </c>
    </row>
    <row r="33" spans="1:1" x14ac:dyDescent="0.25">
      <c r="A33" s="11" t="str">
        <f ca="1">TEXT(Regen!A33,"000\,")&amp;TEXT(Regen!B33,"?00000000")&amp;TEXT(Regen!C33,""",""?0")&amp;IF(EXACT(Regen!D33,"T"),", ""tr""",SUBSTITUTE(TEXT(IF(ISTEXT(Regen!D33),Regen!D33,10*Regen!D33),""",""????0;"",""???-0;"",""????0;"", ////"""),"'",""""))&amp;SUBSTITUTE(TEXT(Regen!E33,""",""?00;"",""?-00;"",""?00;"", //"""),"'","""")</f>
        <v>78989, 19130201, 1, ////, 07</v>
      </c>
    </row>
    <row r="34" spans="1:1" x14ac:dyDescent="0.25">
      <c r="A34" s="11" t="str">
        <f ca="1">TEXT(Regen!A34,"000\,")&amp;TEXT(Regen!B34,"?00000000")&amp;TEXT(Regen!C34,""",""?0")&amp;IF(EXACT(Regen!D34,"T"),", ""tr""",SUBSTITUTE(TEXT(IF(ISTEXT(Regen!D34),Regen!D34,10*Regen!D34),""",""????0;"",""???-0;"",""????0;"", ////"""),"'",""""))&amp;SUBSTITUTE(TEXT(Regen!E34,""",""?00;"",""?-00;"",""?00;"", //"""),"'","""")</f>
        <v>78989, 19130202, 1, ////, 07</v>
      </c>
    </row>
    <row r="35" spans="1:1" x14ac:dyDescent="0.25">
      <c r="A35" s="11" t="str">
        <f ca="1">TEXT(Regen!A35,"000\,")&amp;TEXT(Regen!B35,"?00000000")&amp;TEXT(Regen!C35,""",""?0")&amp;IF(EXACT(Regen!D35,"T"),", ""tr""",SUBSTITUTE(TEXT(IF(ISTEXT(Regen!D35),Regen!D35,10*Regen!D35),""",""????0;"",""???-0;"",""????0;"", ////"""),"'",""""))&amp;SUBSTITUTE(TEXT(Regen!E35,""",""?00;"",""?-00;"",""?00;"", //"""),"'","""")</f>
        <v>78989, 19130203, 1, ////, 07</v>
      </c>
    </row>
    <row r="36" spans="1:1" x14ac:dyDescent="0.25">
      <c r="A36" s="11" t="str">
        <f ca="1">TEXT(Regen!A36,"000\,")&amp;TEXT(Regen!B36,"?00000000")&amp;TEXT(Regen!C36,""",""?0")&amp;IF(EXACT(Regen!D36,"T"),", ""tr""",SUBSTITUTE(TEXT(IF(ISTEXT(Regen!D36),Regen!D36,10*Regen!D36),""",""????0;"",""???-0;"",""????0;"", ////"""),"'",""""))&amp;SUBSTITUTE(TEXT(Regen!E36,""",""?00;"",""?-00;"",""?00;"", //"""),"'","""")</f>
        <v>78989, 19130204, 1, ////, 07</v>
      </c>
    </row>
    <row r="37" spans="1:1" x14ac:dyDescent="0.25">
      <c r="A37" s="11" t="str">
        <f ca="1">TEXT(Regen!A37,"000\,")&amp;TEXT(Regen!B37,"?00000000")&amp;TEXT(Regen!C37,""",""?0")&amp;IF(EXACT(Regen!D37,"T"),", ""tr""",SUBSTITUTE(TEXT(IF(ISTEXT(Regen!D37),Regen!D37,10*Regen!D37),""",""????0;"",""???-0;"",""????0;"", ////"""),"'",""""))&amp;SUBSTITUTE(TEXT(Regen!E37,""",""?00;"",""?-00;"",""?00;"", //"""),"'","""")</f>
        <v>78989, 19130205, 1, ////, 07</v>
      </c>
    </row>
    <row r="38" spans="1:1" x14ac:dyDescent="0.25">
      <c r="A38" s="11" t="str">
        <f ca="1">TEXT(Regen!A38,"000\,")&amp;TEXT(Regen!B38,"?00000000")&amp;TEXT(Regen!C38,""",""?0")&amp;IF(EXACT(Regen!D38,"T"),", ""tr""",SUBSTITUTE(TEXT(IF(ISTEXT(Regen!D38),Regen!D38,10*Regen!D38),""",""????0;"",""???-0;"",""????0;"", ////"""),"'",""""))&amp;SUBSTITUTE(TEXT(Regen!E38,""",""?00;"",""?-00;"",""?00;"", //"""),"'","""")</f>
        <v>78989, 19130206, 1, ////, 07</v>
      </c>
    </row>
    <row r="39" spans="1:1" x14ac:dyDescent="0.25">
      <c r="A39" s="11" t="str">
        <f ca="1">TEXT(Regen!A39,"000\,")&amp;TEXT(Regen!B39,"?00000000")&amp;TEXT(Regen!C39,""",""?0")&amp;IF(EXACT(Regen!D39,"T"),", ""tr""",SUBSTITUTE(TEXT(IF(ISTEXT(Regen!D39),Regen!D39,10*Regen!D39),""",""????0;"",""???-0;"",""????0;"", ////"""),"'",""""))&amp;SUBSTITUTE(TEXT(Regen!E39,""",""?00;"",""?-00;"",""?00;"", //"""),"'","""")</f>
        <v>78989, 19130207, 1, ////, 07</v>
      </c>
    </row>
    <row r="40" spans="1:1" x14ac:dyDescent="0.25">
      <c r="A40" s="11" t="str">
        <f ca="1">TEXT(Regen!A40,"000\,")&amp;TEXT(Regen!B40,"?00000000")&amp;TEXT(Regen!C40,""",""?0")&amp;IF(EXACT(Regen!D40,"T"),", ""tr""",SUBSTITUTE(TEXT(IF(ISTEXT(Regen!D40),Regen!D40,10*Regen!D40),""",""????0;"",""???-0;"",""????0;"", ////"""),"'",""""))&amp;SUBSTITUTE(TEXT(Regen!E40,""",""?00;"",""?-00;"",""?00;"", //"""),"'","""")</f>
        <v>78989, 19130208, 1, ////, 07</v>
      </c>
    </row>
    <row r="41" spans="1:1" x14ac:dyDescent="0.25">
      <c r="A41" s="11" t="str">
        <f ca="1">TEXT(Regen!A41,"000\,")&amp;TEXT(Regen!B41,"?00000000")&amp;TEXT(Regen!C41,""",""?0")&amp;IF(EXACT(Regen!D41,"T"),", ""tr""",SUBSTITUTE(TEXT(IF(ISTEXT(Regen!D41),Regen!D41,10*Regen!D41),""",""????0;"",""???-0;"",""????0;"", ////"""),"'",""""))&amp;SUBSTITUTE(TEXT(Regen!E41,""",""?00;"",""?-00;"",""?00;"", //"""),"'","""")</f>
        <v>78989, 19130209, 1, ////, 07</v>
      </c>
    </row>
    <row r="42" spans="1:1" x14ac:dyDescent="0.25">
      <c r="A42" s="11" t="str">
        <f ca="1">TEXT(Regen!A42,"000\,")&amp;TEXT(Regen!B42,"?00000000")&amp;TEXT(Regen!C42,""",""?0")&amp;IF(EXACT(Regen!D42,"T"),", ""tr""",SUBSTITUTE(TEXT(IF(ISTEXT(Regen!D42),Regen!D42,10*Regen!D42),""",""????0;"",""???-0;"",""????0;"", ////"""),"'",""""))&amp;SUBSTITUTE(TEXT(Regen!E42,""",""?00;"",""?-00;"",""?00;"", //"""),"'","""")</f>
        <v>78989, 19130210, 1, ////, 07</v>
      </c>
    </row>
    <row r="43" spans="1:1" x14ac:dyDescent="0.25">
      <c r="A43" s="11" t="str">
        <f ca="1">TEXT(Regen!A43,"000\,")&amp;TEXT(Regen!B43,"?00000000")&amp;TEXT(Regen!C43,""",""?0")&amp;IF(EXACT(Regen!D43,"T"),", ""tr""",SUBSTITUTE(TEXT(IF(ISTEXT(Regen!D43),Regen!D43,10*Regen!D43),""",""????0;"",""???-0;"",""????0;"", ////"""),"'",""""))&amp;SUBSTITUTE(TEXT(Regen!E43,""",""?00;"",""?-00;"",""?00;"", //"""),"'","""")</f>
        <v>78989, 19130211, 1, ////, 07</v>
      </c>
    </row>
    <row r="44" spans="1:1" x14ac:dyDescent="0.25">
      <c r="A44" s="11" t="str">
        <f ca="1">TEXT(Regen!A44,"000\,")&amp;TEXT(Regen!B44,"?00000000")&amp;TEXT(Regen!C44,""",""?0")&amp;IF(EXACT(Regen!D44,"T"),", ""tr""",SUBSTITUTE(TEXT(IF(ISTEXT(Regen!D44),Regen!D44,10*Regen!D44),""",""????0;"",""???-0;"",""????0;"", ////"""),"'",""""))&amp;SUBSTITUTE(TEXT(Regen!E44,""",""?00;"",""?-00;"",""?00;"", //"""),"'","""")</f>
        <v>78989, 19130212, 1, ////, 07</v>
      </c>
    </row>
    <row r="45" spans="1:1" x14ac:dyDescent="0.25">
      <c r="A45" s="11" t="str">
        <f ca="1">TEXT(Regen!A45,"000\,")&amp;TEXT(Regen!B45,"?00000000")&amp;TEXT(Regen!C45,""",""?0")&amp;IF(EXACT(Regen!D45,"T"),", ""tr""",SUBSTITUTE(TEXT(IF(ISTEXT(Regen!D45),Regen!D45,10*Regen!D45),""",""????0;"",""???-0;"",""????0;"", ////"""),"'",""""))&amp;SUBSTITUTE(TEXT(Regen!E45,""",""?00;"",""?-00;"",""?00;"", //"""),"'","""")</f>
        <v>78989, 19130213, 1, ////, 07</v>
      </c>
    </row>
    <row r="46" spans="1:1" x14ac:dyDescent="0.25">
      <c r="A46" s="11" t="str">
        <f ca="1">TEXT(Regen!A46,"000\,")&amp;TEXT(Regen!B46,"?00000000")&amp;TEXT(Regen!C46,""",""?0")&amp;IF(EXACT(Regen!D46,"T"),", ""tr""",SUBSTITUTE(TEXT(IF(ISTEXT(Regen!D46),Regen!D46,10*Regen!D46),""",""????0;"",""???-0;"",""????0;"", ////"""),"'",""""))&amp;SUBSTITUTE(TEXT(Regen!E46,""",""?00;"",""?-00;"",""?00;"", //"""),"'","""")</f>
        <v>78989, 19130214, 1, ////, 07</v>
      </c>
    </row>
    <row r="47" spans="1:1" x14ac:dyDescent="0.25">
      <c r="A47" s="11" t="str">
        <f ca="1">TEXT(Regen!A47,"000\,")&amp;TEXT(Regen!B47,"?00000000")&amp;TEXT(Regen!C47,""",""?0")&amp;IF(EXACT(Regen!D47,"T"),", ""tr""",SUBSTITUTE(TEXT(IF(ISTEXT(Regen!D47),Regen!D47,10*Regen!D47),""",""????0;"",""???-0;"",""????0;"", ////"""),"'",""""))&amp;SUBSTITUTE(TEXT(Regen!E47,""",""?00;"",""?-00;"",""?00;"", //"""),"'","""")</f>
        <v>78989, 19130215, 1, ////, 07</v>
      </c>
    </row>
    <row r="48" spans="1:1" x14ac:dyDescent="0.25">
      <c r="A48" s="11" t="str">
        <f ca="1">TEXT(Regen!A48,"000\,")&amp;TEXT(Regen!B48,"?00000000")&amp;TEXT(Regen!C48,""",""?0")&amp;IF(EXACT(Regen!D48,"T"),", ""tr""",SUBSTITUTE(TEXT(IF(ISTEXT(Regen!D48),Regen!D48,10*Regen!D48),""",""????0;"",""???-0;"",""????0;"", ////"""),"'",""""))&amp;SUBSTITUTE(TEXT(Regen!E48,""",""?00;"",""?-00;"",""?00;"", //"""),"'","""")</f>
        <v>78989, 19130216, 1, ////, 07</v>
      </c>
    </row>
    <row r="49" spans="1:1" x14ac:dyDescent="0.25">
      <c r="A49" s="11" t="str">
        <f ca="1">TEXT(Regen!A49,"000\,")&amp;TEXT(Regen!B49,"?00000000")&amp;TEXT(Regen!C49,""",""?0")&amp;IF(EXACT(Regen!D49,"T"),", ""tr""",SUBSTITUTE(TEXT(IF(ISTEXT(Regen!D49),Regen!D49,10*Regen!D49),""",""????0;"",""???-0;"",""????0;"", ////"""),"'",""""))&amp;SUBSTITUTE(TEXT(Regen!E49,""",""?00;"",""?-00;"",""?00;"", //"""),"'","""")</f>
        <v>78989, 19130217, 1, ////, 07</v>
      </c>
    </row>
    <row r="50" spans="1:1" x14ac:dyDescent="0.25">
      <c r="A50" s="11" t="str">
        <f ca="1">TEXT(Regen!A50,"000\,")&amp;TEXT(Regen!B50,"?00000000")&amp;TEXT(Regen!C50,""",""?0")&amp;IF(EXACT(Regen!D50,"T"),", ""tr""",SUBSTITUTE(TEXT(IF(ISTEXT(Regen!D50),Regen!D50,10*Regen!D50),""",""????0;"",""???-0;"",""????0;"", ////"""),"'",""""))&amp;SUBSTITUTE(TEXT(Regen!E50,""",""?00;"",""?-00;"",""?00;"", //"""),"'","""")</f>
        <v>78989, 19130218, 1, ////, 07</v>
      </c>
    </row>
    <row r="51" spans="1:1" x14ac:dyDescent="0.25">
      <c r="A51" s="11" t="str">
        <f ca="1">TEXT(Regen!A51,"000\,")&amp;TEXT(Regen!B51,"?00000000")&amp;TEXT(Regen!C51,""",""?0")&amp;IF(EXACT(Regen!D51,"T"),", ""tr""",SUBSTITUTE(TEXT(IF(ISTEXT(Regen!D51),Regen!D51,10*Regen!D51),""",""????0;"",""???-0;"",""????0;"", ////"""),"'",""""))&amp;SUBSTITUTE(TEXT(Regen!E51,""",""?00;"",""?-00;"",""?00;"", //"""),"'","""")</f>
        <v>78989, 19130219, 1, ////, 07</v>
      </c>
    </row>
    <row r="52" spans="1:1" x14ac:dyDescent="0.25">
      <c r="A52" s="11" t="str">
        <f ca="1">TEXT(Regen!A52,"000\,")&amp;TEXT(Regen!B52,"?00000000")&amp;TEXT(Regen!C52,""",""?0")&amp;IF(EXACT(Regen!D52,"T"),", ""tr""",SUBSTITUTE(TEXT(IF(ISTEXT(Regen!D52),Regen!D52,10*Regen!D52),""",""????0;"",""???-0;"",""????0;"", ////"""),"'",""""))&amp;SUBSTITUTE(TEXT(Regen!E52,""",""?00;"",""?-00;"",""?00;"", //"""),"'","""")</f>
        <v>78989, 19130220, 1, ////, 07</v>
      </c>
    </row>
    <row r="53" spans="1:1" x14ac:dyDescent="0.25">
      <c r="A53" s="11" t="str">
        <f ca="1">TEXT(Regen!A53,"000\,")&amp;TEXT(Regen!B53,"?00000000")&amp;TEXT(Regen!C53,""",""?0")&amp;IF(EXACT(Regen!D53,"T"),", ""tr""",SUBSTITUTE(TEXT(IF(ISTEXT(Regen!D53),Regen!D53,10*Regen!D53),""",""????0;"",""???-0;"",""????0;"", ////"""),"'",""""))&amp;SUBSTITUTE(TEXT(Regen!E53,""",""?00;"",""?-00;"",""?00;"", //"""),"'","""")</f>
        <v>78989, 19130221, 1, ////, 07</v>
      </c>
    </row>
    <row r="54" spans="1:1" x14ac:dyDescent="0.25">
      <c r="A54" s="11" t="str">
        <f ca="1">TEXT(Regen!A54,"000\,")&amp;TEXT(Regen!B54,"?00000000")&amp;TEXT(Regen!C54,""",""?0")&amp;IF(EXACT(Regen!D54,"T"),", ""tr""",SUBSTITUTE(TEXT(IF(ISTEXT(Regen!D54),Regen!D54,10*Regen!D54),""",""????0;"",""???-0;"",""????0;"", ////"""),"'",""""))&amp;SUBSTITUTE(TEXT(Regen!E54,""",""?00;"",""?-00;"",""?00;"", //"""),"'","""")</f>
        <v>78989, 19130222, 1, ////, 07</v>
      </c>
    </row>
    <row r="55" spans="1:1" x14ac:dyDescent="0.25">
      <c r="A55" s="11" t="str">
        <f ca="1">TEXT(Regen!A55,"000\,")&amp;TEXT(Regen!B55,"?00000000")&amp;TEXT(Regen!C55,""",""?0")&amp;IF(EXACT(Regen!D55,"T"),", ""tr""",SUBSTITUTE(TEXT(IF(ISTEXT(Regen!D55),Regen!D55,10*Regen!D55),""",""????0;"",""???-0;"",""????0;"", ////"""),"'",""""))&amp;SUBSTITUTE(TEXT(Regen!E55,""",""?00;"",""?-00;"",""?00;"", //"""),"'","""")</f>
        <v>78989, 19130223, 1, ////, 07</v>
      </c>
    </row>
    <row r="56" spans="1:1" x14ac:dyDescent="0.25">
      <c r="A56" s="11" t="str">
        <f ca="1">TEXT(Regen!A56,"000\,")&amp;TEXT(Regen!B56,"?00000000")&amp;TEXT(Regen!C56,""",""?0")&amp;IF(EXACT(Regen!D56,"T"),", ""tr""",SUBSTITUTE(TEXT(IF(ISTEXT(Regen!D56),Regen!D56,10*Regen!D56),""",""????0;"",""???-0;"",""????0;"", ////"""),"'",""""))&amp;SUBSTITUTE(TEXT(Regen!E56,""",""?00;"",""?-00;"",""?00;"", //"""),"'","""")</f>
        <v>78989, 19130224, 1, ////, 07</v>
      </c>
    </row>
    <row r="57" spans="1:1" x14ac:dyDescent="0.25">
      <c r="A57" s="11" t="str">
        <f ca="1">TEXT(Regen!A57,"000\,")&amp;TEXT(Regen!B57,"?00000000")&amp;TEXT(Regen!C57,""",""?0")&amp;IF(EXACT(Regen!D57,"T"),", ""tr""",SUBSTITUTE(TEXT(IF(ISTEXT(Regen!D57),Regen!D57,10*Regen!D57),""",""????0;"",""???-0;"",""????0;"", ////"""),"'",""""))&amp;SUBSTITUTE(TEXT(Regen!E57,""",""?00;"",""?-00;"",""?00;"", //"""),"'","""")</f>
        <v>78989, 19130225, 1, ////, 07</v>
      </c>
    </row>
    <row r="58" spans="1:1" x14ac:dyDescent="0.25">
      <c r="A58" s="11" t="str">
        <f ca="1">TEXT(Regen!A58,"000\,")&amp;TEXT(Regen!B58,"?00000000")&amp;TEXT(Regen!C58,""",""?0")&amp;IF(EXACT(Regen!D58,"T"),", ""tr""",SUBSTITUTE(TEXT(IF(ISTEXT(Regen!D58),Regen!D58,10*Regen!D58),""",""????0;"",""???-0;"",""????0;"", ////"""),"'",""""))&amp;SUBSTITUTE(TEXT(Regen!E58,""",""?00;"",""?-00;"",""?00;"", //"""),"'","""")</f>
        <v>78989, 19130226, 1, ////, 07</v>
      </c>
    </row>
    <row r="59" spans="1:1" x14ac:dyDescent="0.25">
      <c r="A59" s="11" t="str">
        <f ca="1">TEXT(Regen!A59,"000\,")&amp;TEXT(Regen!B59,"?00000000")&amp;TEXT(Regen!C59,""",""?0")&amp;IF(EXACT(Regen!D59,"T"),", ""tr""",SUBSTITUTE(TEXT(IF(ISTEXT(Regen!D59),Regen!D59,10*Regen!D59),""",""????0;"",""???-0;"",""????0;"", ////"""),"'",""""))&amp;SUBSTITUTE(TEXT(Regen!E59,""",""?00;"",""?-00;"",""?00;"", //"""),"'","""")</f>
        <v>78989, 19130227, 1, ////, 07</v>
      </c>
    </row>
    <row r="60" spans="1:1" x14ac:dyDescent="0.25">
      <c r="A60" s="11" t="str">
        <f ca="1">TEXT(Regen!A60,"000\,")&amp;TEXT(Regen!B60,"?00000000")&amp;TEXT(Regen!C60,""",""?0")&amp;IF(EXACT(Regen!D60,"T"),", ""tr""",SUBSTITUTE(TEXT(IF(ISTEXT(Regen!D60),Regen!D60,10*Regen!D60),""",""????0;"",""???-0;"",""????0;"", ////"""),"'",""""))&amp;SUBSTITUTE(TEXT(Regen!E60,""",""?00;"",""?-00;"",""?00;"", //"""),"'","""")</f>
        <v>78989, 19130228, 1, ////, 07</v>
      </c>
    </row>
    <row r="61" spans="1:1" x14ac:dyDescent="0.25">
      <c r="A61" s="11" t="str">
        <f ca="1">TEXT(Regen!A61,"000\,")&amp;TEXT(Regen!B61,"?00000000")&amp;TEXT(Regen!C61,""",""?0")&amp;IF(EXACT(Regen!D61,"T"),", ""tr""",SUBSTITUTE(TEXT(IF(ISTEXT(Regen!D61),Regen!D61,10*Regen!D61),""",""????0;"",""???-0;"",""????0;"", ////"""),"'",""""))&amp;SUBSTITUTE(TEXT(Regen!E61,""",""?00;"",""?-00;"",""?00;"", //"""),"'","""")</f>
        <v>78989, 19130301, 1, ////, 07</v>
      </c>
    </row>
    <row r="62" spans="1:1" x14ac:dyDescent="0.25">
      <c r="A62" s="11" t="str">
        <f ca="1">TEXT(Regen!A62,"000\,")&amp;TEXT(Regen!B62,"?00000000")&amp;TEXT(Regen!C62,""",""?0")&amp;IF(EXACT(Regen!D62,"T"),", ""tr""",SUBSTITUTE(TEXT(IF(ISTEXT(Regen!D62),Regen!D62,10*Regen!D62),""",""????0;"",""???-0;"",""????0;"", ////"""),"'",""""))&amp;SUBSTITUTE(TEXT(Regen!E62,""",""?00;"",""?-00;"",""?00;"", //"""),"'","""")</f>
        <v>78989, 19130302, 1, ////, 07</v>
      </c>
    </row>
    <row r="63" spans="1:1" x14ac:dyDescent="0.25">
      <c r="A63" s="11" t="str">
        <f ca="1">TEXT(Regen!A63,"000\,")&amp;TEXT(Regen!B63,"?00000000")&amp;TEXT(Regen!C63,""",""?0")&amp;IF(EXACT(Regen!D63,"T"),", ""tr""",SUBSTITUTE(TEXT(IF(ISTEXT(Regen!D63),Regen!D63,10*Regen!D63),""",""????0;"",""???-0;"",""????0;"", ////"""),"'",""""))&amp;SUBSTITUTE(TEXT(Regen!E63,""",""?00;"",""?-00;"",""?00;"", //"""),"'","""")</f>
        <v>78989, 19130303, 1, ////, 07</v>
      </c>
    </row>
    <row r="64" spans="1:1" x14ac:dyDescent="0.25">
      <c r="A64" s="11" t="str">
        <f ca="1">TEXT(Regen!A64,"000\,")&amp;TEXT(Regen!B64,"?00000000")&amp;TEXT(Regen!C64,""",""?0")&amp;IF(EXACT(Regen!D64,"T"),", ""tr""",SUBSTITUTE(TEXT(IF(ISTEXT(Regen!D64),Regen!D64,10*Regen!D64),""",""????0;"",""???-0;"",""????0;"", ////"""),"'",""""))&amp;SUBSTITUTE(TEXT(Regen!E64,""",""?00;"",""?-00;"",""?00;"", //"""),"'","""")</f>
        <v>78989, 19130304, 1, ////, 07</v>
      </c>
    </row>
    <row r="65" spans="1:1" x14ac:dyDescent="0.25">
      <c r="A65" s="11" t="str">
        <f ca="1">TEXT(Regen!A65,"000\,")&amp;TEXT(Regen!B65,"?00000000")&amp;TEXT(Regen!C65,""",""?0")&amp;IF(EXACT(Regen!D65,"T"),", ""tr""",SUBSTITUTE(TEXT(IF(ISTEXT(Regen!D65),Regen!D65,10*Regen!D65),""",""????0;"",""???-0;"",""????0;"", ////"""),"'",""""))&amp;SUBSTITUTE(TEXT(Regen!E65,""",""?00;"",""?-00;"",""?00;"", //"""),"'","""")</f>
        <v>78989, 19130305, 1, ////, 07</v>
      </c>
    </row>
    <row r="66" spans="1:1" x14ac:dyDescent="0.25">
      <c r="A66" s="11" t="str">
        <f ca="1">TEXT(Regen!A66,"000\,")&amp;TEXT(Regen!B66,"?00000000")&amp;TEXT(Regen!C66,""",""?0")&amp;IF(EXACT(Regen!D66,"T"),", ""tr""",SUBSTITUTE(TEXT(IF(ISTEXT(Regen!D66),Regen!D66,10*Regen!D66),""",""????0;"",""???-0;"",""????0;"", ////"""),"'",""""))&amp;SUBSTITUTE(TEXT(Regen!E66,""",""?00;"",""?-00;"",""?00;"", //"""),"'","""")</f>
        <v>78989, 19130306, 1, ////, 07</v>
      </c>
    </row>
    <row r="67" spans="1:1" x14ac:dyDescent="0.25">
      <c r="A67" s="11" t="str">
        <f ca="1">TEXT(Regen!A67,"000\,")&amp;TEXT(Regen!B67,"?00000000")&amp;TEXT(Regen!C67,""",""?0")&amp;IF(EXACT(Regen!D67,"T"),", ""tr""",SUBSTITUTE(TEXT(IF(ISTEXT(Regen!D67),Regen!D67,10*Regen!D67),""",""????0;"",""???-0;"",""????0;"", ////"""),"'",""""))&amp;SUBSTITUTE(TEXT(Regen!E67,""",""?00;"",""?-00;"",""?00;"", //"""),"'","""")</f>
        <v>78989, 19130307, 1, ////, 07</v>
      </c>
    </row>
    <row r="68" spans="1:1" x14ac:dyDescent="0.25">
      <c r="A68" s="11" t="str">
        <f ca="1">TEXT(Regen!A68,"000\,")&amp;TEXT(Regen!B68,"?00000000")&amp;TEXT(Regen!C68,""",""?0")&amp;IF(EXACT(Regen!D68,"T"),", ""tr""",SUBSTITUTE(TEXT(IF(ISTEXT(Regen!D68),Regen!D68,10*Regen!D68),""",""????0;"",""???-0;"",""????0;"", ////"""),"'",""""))&amp;SUBSTITUTE(TEXT(Regen!E68,""",""?00;"",""?-00;"",""?00;"", //"""),"'","""")</f>
        <v>78989, 19130308, 1, ////, 07</v>
      </c>
    </row>
    <row r="69" spans="1:1" x14ac:dyDescent="0.25">
      <c r="A69" s="11" t="str">
        <f ca="1">TEXT(Regen!A69,"000\,")&amp;TEXT(Regen!B69,"?00000000")&amp;TEXT(Regen!C69,""",""?0")&amp;IF(EXACT(Regen!D69,"T"),", ""tr""",SUBSTITUTE(TEXT(IF(ISTEXT(Regen!D69),Regen!D69,10*Regen!D69),""",""????0;"",""???-0;"",""????0;"", ////"""),"'",""""))&amp;SUBSTITUTE(TEXT(Regen!E69,""",""?00;"",""?-00;"",""?00;"", //"""),"'","""")</f>
        <v>78989, 19130309, 1, ////, 07</v>
      </c>
    </row>
    <row r="70" spans="1:1" x14ac:dyDescent="0.25">
      <c r="A70" s="11" t="str">
        <f ca="1">TEXT(Regen!A70,"000\,")&amp;TEXT(Regen!B70,"?00000000")&amp;TEXT(Regen!C70,""",""?0")&amp;IF(EXACT(Regen!D70,"T"),", ""tr""",SUBSTITUTE(TEXT(IF(ISTEXT(Regen!D70),Regen!D70,10*Regen!D70),""",""????0;"",""???-0;"",""????0;"", ////"""),"'",""""))&amp;SUBSTITUTE(TEXT(Regen!E70,""",""?00;"",""?-00;"",""?00;"", //"""),"'","""")</f>
        <v>78989, 19130310, 1, ////, 07</v>
      </c>
    </row>
    <row r="71" spans="1:1" x14ac:dyDescent="0.25">
      <c r="A71" s="11" t="str">
        <f ca="1">TEXT(Regen!A71,"000\,")&amp;TEXT(Regen!B71,"?00000000")&amp;TEXT(Regen!C71,""",""?0")&amp;IF(EXACT(Regen!D71,"T"),", ""tr""",SUBSTITUTE(TEXT(IF(ISTEXT(Regen!D71),Regen!D71,10*Regen!D71),""",""????0;"",""???-0;"",""????0;"", ////"""),"'",""""))&amp;SUBSTITUTE(TEXT(Regen!E71,""",""?00;"",""?-00;"",""?00;"", //"""),"'","""")</f>
        <v>78989, 19130311, 1, ////, 07</v>
      </c>
    </row>
    <row r="72" spans="1:1" x14ac:dyDescent="0.25">
      <c r="A72" s="11" t="str">
        <f ca="1">TEXT(Regen!A72,"000\,")&amp;TEXT(Regen!B72,"?00000000")&amp;TEXT(Regen!C72,""",""?0")&amp;IF(EXACT(Regen!D72,"T"),", ""tr""",SUBSTITUTE(TEXT(IF(ISTEXT(Regen!D72),Regen!D72,10*Regen!D72),""",""????0;"",""???-0;"",""????0;"", ////"""),"'",""""))&amp;SUBSTITUTE(TEXT(Regen!E72,""",""?00;"",""?-00;"",""?00;"", //"""),"'","""")</f>
        <v>78989, 19130312, 1, ////, 07</v>
      </c>
    </row>
    <row r="73" spans="1:1" x14ac:dyDescent="0.25">
      <c r="A73" s="11" t="str">
        <f ca="1">TEXT(Regen!A73,"000\,")&amp;TEXT(Regen!B73,"?00000000")&amp;TEXT(Regen!C73,""",""?0")&amp;IF(EXACT(Regen!D73,"T"),", ""tr""",SUBSTITUTE(TEXT(IF(ISTEXT(Regen!D73),Regen!D73,10*Regen!D73),""",""????0;"",""???-0;"",""????0;"", ////"""),"'",""""))&amp;SUBSTITUTE(TEXT(Regen!E73,""",""?00;"",""?-00;"",""?00;"", //"""),"'","""")</f>
        <v>78989, 19130313, 1, ////, 07</v>
      </c>
    </row>
    <row r="74" spans="1:1" x14ac:dyDescent="0.25">
      <c r="A74" s="11" t="str">
        <f ca="1">TEXT(Regen!A74,"000\,")&amp;TEXT(Regen!B74,"?00000000")&amp;TEXT(Regen!C74,""",""?0")&amp;IF(EXACT(Regen!D74,"T"),", ""tr""",SUBSTITUTE(TEXT(IF(ISTEXT(Regen!D74),Regen!D74,10*Regen!D74),""",""????0;"",""???-0;"",""????0;"", ////"""),"'",""""))&amp;SUBSTITUTE(TEXT(Regen!E74,""",""?00;"",""?-00;"",""?00;"", //"""),"'","""")</f>
        <v>78989, 19130314, 1, ////, 07</v>
      </c>
    </row>
    <row r="75" spans="1:1" x14ac:dyDescent="0.25">
      <c r="A75" s="11" t="str">
        <f ca="1">TEXT(Regen!A75,"000\,")&amp;TEXT(Regen!B75,"?00000000")&amp;TEXT(Regen!C75,""",""?0")&amp;IF(EXACT(Regen!D75,"T"),", ""tr""",SUBSTITUTE(TEXT(IF(ISTEXT(Regen!D75),Regen!D75,10*Regen!D75),""",""????0;"",""???-0;"",""????0;"", ////"""),"'",""""))&amp;SUBSTITUTE(TEXT(Regen!E75,""",""?00;"",""?-00;"",""?00;"", //"""),"'","""")</f>
        <v>78989, 19130315, 1, ////, 07</v>
      </c>
    </row>
    <row r="76" spans="1:1" x14ac:dyDescent="0.25">
      <c r="A76" s="11" t="str">
        <f ca="1">TEXT(Regen!A76,"000\,")&amp;TEXT(Regen!B76,"?00000000")&amp;TEXT(Regen!C76,""",""?0")&amp;IF(EXACT(Regen!D76,"T"),", ""tr""",SUBSTITUTE(TEXT(IF(ISTEXT(Regen!D76),Regen!D76,10*Regen!D76),""",""????0;"",""???-0;"",""????0;"", ////"""),"'",""""))&amp;SUBSTITUTE(TEXT(Regen!E76,""",""?00;"",""?-00;"",""?00;"", //"""),"'","""")</f>
        <v>78989, 19130316, 1, ////, 07</v>
      </c>
    </row>
    <row r="77" spans="1:1" x14ac:dyDescent="0.25">
      <c r="A77" s="11" t="str">
        <f ca="1">TEXT(Regen!A77,"000\,")&amp;TEXT(Regen!B77,"?00000000")&amp;TEXT(Regen!C77,""",""?0")&amp;IF(EXACT(Regen!D77,"T"),", ""tr""",SUBSTITUTE(TEXT(IF(ISTEXT(Regen!D77),Regen!D77,10*Regen!D77),""",""????0;"",""???-0;"",""????0;"", ////"""),"'",""""))&amp;SUBSTITUTE(TEXT(Regen!E77,""",""?00;"",""?-00;"",""?00;"", //"""),"'","""")</f>
        <v>78989, 19130317, 1, ////, 07</v>
      </c>
    </row>
    <row r="78" spans="1:1" x14ac:dyDescent="0.25">
      <c r="A78" s="11" t="str">
        <f ca="1">TEXT(Regen!A78,"000\,")&amp;TEXT(Regen!B78,"?00000000")&amp;TEXT(Regen!C78,""",""?0")&amp;IF(EXACT(Regen!D78,"T"),", ""tr""",SUBSTITUTE(TEXT(IF(ISTEXT(Regen!D78),Regen!D78,10*Regen!D78),""",""????0;"",""???-0;"",""????0;"", ////"""),"'",""""))&amp;SUBSTITUTE(TEXT(Regen!E78,""",""?00;"",""?-00;"",""?00;"", //"""),"'","""")</f>
        <v>78989, 19130318, 1, ////, 07</v>
      </c>
    </row>
    <row r="79" spans="1:1" x14ac:dyDescent="0.25">
      <c r="A79" s="11" t="str">
        <f ca="1">TEXT(Regen!A79,"000\,")&amp;TEXT(Regen!B79,"?00000000")&amp;TEXT(Regen!C79,""",""?0")&amp;IF(EXACT(Regen!D79,"T"),", ""tr""",SUBSTITUTE(TEXT(IF(ISTEXT(Regen!D79),Regen!D79,10*Regen!D79),""",""????0;"",""???-0;"",""????0;"", ////"""),"'",""""))&amp;SUBSTITUTE(TEXT(Regen!E79,""",""?00;"",""?-00;"",""?00;"", //"""),"'","""")</f>
        <v>78989, 19130319, 1, ////, 07</v>
      </c>
    </row>
    <row r="80" spans="1:1" x14ac:dyDescent="0.25">
      <c r="A80" s="11" t="str">
        <f ca="1">TEXT(Regen!A80,"000\,")&amp;TEXT(Regen!B80,"?00000000")&amp;TEXT(Regen!C80,""",""?0")&amp;IF(EXACT(Regen!D80,"T"),", ""tr""",SUBSTITUTE(TEXT(IF(ISTEXT(Regen!D80),Regen!D80,10*Regen!D80),""",""????0;"",""???-0;"",""????0;"", ////"""),"'",""""))&amp;SUBSTITUTE(TEXT(Regen!E80,""",""?00;"",""?-00;"",""?00;"", //"""),"'","""")</f>
        <v>78989, 19130320, 1, ////, 07</v>
      </c>
    </row>
    <row r="81" spans="1:1" x14ac:dyDescent="0.25">
      <c r="A81" s="11" t="str">
        <f ca="1">TEXT(Regen!A81,"000\,")&amp;TEXT(Regen!B81,"?00000000")&amp;TEXT(Regen!C81,""",""?0")&amp;IF(EXACT(Regen!D81,"T"),", ""tr""",SUBSTITUTE(TEXT(IF(ISTEXT(Regen!D81),Regen!D81,10*Regen!D81),""",""????0;"",""???-0;"",""????0;"", ////"""),"'",""""))&amp;SUBSTITUTE(TEXT(Regen!E81,""",""?00;"",""?-00;"",""?00;"", //"""),"'","""")</f>
        <v>78989, 19130321, 1, ////, 07</v>
      </c>
    </row>
    <row r="82" spans="1:1" x14ac:dyDescent="0.25">
      <c r="A82" s="11" t="str">
        <f ca="1">TEXT(Regen!A82,"000\,")&amp;TEXT(Regen!B82,"?00000000")&amp;TEXT(Regen!C82,""",""?0")&amp;IF(EXACT(Regen!D82,"T"),", ""tr""",SUBSTITUTE(TEXT(IF(ISTEXT(Regen!D82),Regen!D82,10*Regen!D82),""",""????0;"",""???-0;"",""????0;"", ////"""),"'",""""))&amp;SUBSTITUTE(TEXT(Regen!E82,""",""?00;"",""?-00;"",""?00;"", //"""),"'","""")</f>
        <v>78989, 19130322, 1, ////, 07</v>
      </c>
    </row>
    <row r="83" spans="1:1" x14ac:dyDescent="0.25">
      <c r="A83" s="11" t="str">
        <f ca="1">TEXT(Regen!A83,"000\,")&amp;TEXT(Regen!B83,"?00000000")&amp;TEXT(Regen!C83,""",""?0")&amp;IF(EXACT(Regen!D83,"T"),", ""tr""",SUBSTITUTE(TEXT(IF(ISTEXT(Regen!D83),Regen!D83,10*Regen!D83),""",""????0;"",""???-0;"",""????0;"", ////"""),"'",""""))&amp;SUBSTITUTE(TEXT(Regen!E83,""",""?00;"",""?-00;"",""?00;"", //"""),"'","""")</f>
        <v>78989, 19130323, 1, ////, 07</v>
      </c>
    </row>
    <row r="84" spans="1:1" x14ac:dyDescent="0.25">
      <c r="A84" s="11" t="str">
        <f ca="1">TEXT(Regen!A84,"000\,")&amp;TEXT(Regen!B84,"?00000000")&amp;TEXT(Regen!C84,""",""?0")&amp;IF(EXACT(Regen!D84,"T"),", ""tr""",SUBSTITUTE(TEXT(IF(ISTEXT(Regen!D84),Regen!D84,10*Regen!D84),""",""????0;"",""???-0;"",""????0;"", ////"""),"'",""""))&amp;SUBSTITUTE(TEXT(Regen!E84,""",""?00;"",""?-00;"",""?00;"", //"""),"'","""")</f>
        <v>78989, 19130324, 1, ////, 07</v>
      </c>
    </row>
    <row r="85" spans="1:1" x14ac:dyDescent="0.25">
      <c r="A85" s="11" t="str">
        <f ca="1">TEXT(Regen!A85,"000\,")&amp;TEXT(Regen!B85,"?00000000")&amp;TEXT(Regen!C85,""",""?0")&amp;IF(EXACT(Regen!D85,"T"),", ""tr""",SUBSTITUTE(TEXT(IF(ISTEXT(Regen!D85),Regen!D85,10*Regen!D85),""",""????0;"",""???-0;"",""????0;"", ////"""),"'",""""))&amp;SUBSTITUTE(TEXT(Regen!E85,""",""?00;"",""?-00;"",""?00;"", //"""),"'","""")</f>
        <v>78989, 19130325, 1, ////, 07</v>
      </c>
    </row>
    <row r="86" spans="1:1" x14ac:dyDescent="0.25">
      <c r="A86" s="11" t="str">
        <f ca="1">TEXT(Regen!A86,"000\,")&amp;TEXT(Regen!B86,"?00000000")&amp;TEXT(Regen!C86,""",""?0")&amp;IF(EXACT(Regen!D86,"T"),", ""tr""",SUBSTITUTE(TEXT(IF(ISTEXT(Regen!D86),Regen!D86,10*Regen!D86),""",""????0;"",""???-0;"",""????0;"", ////"""),"'",""""))&amp;SUBSTITUTE(TEXT(Regen!E86,""",""?00;"",""?-00;"",""?00;"", //"""),"'","""")</f>
        <v>78989, 19130326, 1, ////, 07</v>
      </c>
    </row>
    <row r="87" spans="1:1" x14ac:dyDescent="0.25">
      <c r="A87" s="11" t="str">
        <f ca="1">TEXT(Regen!A87,"000\,")&amp;TEXT(Regen!B87,"?00000000")&amp;TEXT(Regen!C87,""",""?0")&amp;IF(EXACT(Regen!D87,"T"),", ""tr""",SUBSTITUTE(TEXT(IF(ISTEXT(Regen!D87),Regen!D87,10*Regen!D87),""",""????0;"",""???-0;"",""????0;"", ////"""),"'",""""))&amp;SUBSTITUTE(TEXT(Regen!E87,""",""?00;"",""?-00;"",""?00;"", //"""),"'","""")</f>
        <v>78989, 19130327, 1, ////, 07</v>
      </c>
    </row>
    <row r="88" spans="1:1" x14ac:dyDescent="0.25">
      <c r="A88" s="11" t="str">
        <f ca="1">TEXT(Regen!A88,"000\,")&amp;TEXT(Regen!B88,"?00000000")&amp;TEXT(Regen!C88,""",""?0")&amp;IF(EXACT(Regen!D88,"T"),", ""tr""",SUBSTITUTE(TEXT(IF(ISTEXT(Regen!D88),Regen!D88,10*Regen!D88),""",""????0;"",""???-0;"",""????0;"", ////"""),"'",""""))&amp;SUBSTITUTE(TEXT(Regen!E88,""",""?00;"",""?-00;"",""?00;"", //"""),"'","""")</f>
        <v>78989, 19130328, 1, ////, 07</v>
      </c>
    </row>
    <row r="89" spans="1:1" x14ac:dyDescent="0.25">
      <c r="A89" s="11" t="str">
        <f ca="1">TEXT(Regen!A89,"000\,")&amp;TEXT(Regen!B89,"?00000000")&amp;TEXT(Regen!C89,""",""?0")&amp;IF(EXACT(Regen!D89,"T"),", ""tr""",SUBSTITUTE(TEXT(IF(ISTEXT(Regen!D89),Regen!D89,10*Regen!D89),""",""????0;"",""???-0;"",""????0;"", ////"""),"'",""""))&amp;SUBSTITUTE(TEXT(Regen!E89,""",""?00;"",""?-00;"",""?00;"", //"""),"'","""")</f>
        <v>78989, 19130329, 1, ////, 07</v>
      </c>
    </row>
    <row r="90" spans="1:1" x14ac:dyDescent="0.25">
      <c r="A90" s="11" t="str">
        <f ca="1">TEXT(Regen!A90,"000\,")&amp;TEXT(Regen!B90,"?00000000")&amp;TEXT(Regen!C90,""",""?0")&amp;IF(EXACT(Regen!D90,"T"),", ""tr""",SUBSTITUTE(TEXT(IF(ISTEXT(Regen!D90),Regen!D90,10*Regen!D90),""",""????0;"",""???-0;"",""????0;"", ////"""),"'",""""))&amp;SUBSTITUTE(TEXT(Regen!E90,""",""?00;"",""?-00;"",""?00;"", //"""),"'","""")</f>
        <v>78989, 19130330, 1, ////, 07</v>
      </c>
    </row>
    <row r="91" spans="1:1" x14ac:dyDescent="0.25">
      <c r="A91" s="11" t="str">
        <f ca="1">TEXT(Regen!A91,"000\,")&amp;TEXT(Regen!B91,"?00000000")&amp;TEXT(Regen!C91,""",""?0")&amp;IF(EXACT(Regen!D91,"T"),", ""tr""",SUBSTITUTE(TEXT(IF(ISTEXT(Regen!D91),Regen!D91,10*Regen!D91),""",""????0;"",""???-0;"",""????0;"", ////"""),"'",""""))&amp;SUBSTITUTE(TEXT(Regen!E91,""",""?00;"",""?-00;"",""?00;"", //"""),"'","""")</f>
        <v>78989, 19130331, 1, ////, 07</v>
      </c>
    </row>
    <row r="92" spans="1:1" x14ac:dyDescent="0.25">
      <c r="A92" s="11" t="str">
        <f ca="1">TEXT(Regen!A92,"000\,")&amp;TEXT(Regen!B92,"?00000000")&amp;TEXT(Regen!C92,""",""?0")&amp;IF(EXACT(Regen!D92,"T"),", ""tr""",SUBSTITUTE(TEXT(IF(ISTEXT(Regen!D92),Regen!D92,10*Regen!D92),""",""????0;"",""???-0;"",""????0;"", ////"""),"'",""""))&amp;SUBSTITUTE(TEXT(Regen!E92,""",""?00;"",""?-00;"",""?00;"", //"""),"'","""")</f>
        <v>78989, 19130401, 1, ////, 07</v>
      </c>
    </row>
    <row r="93" spans="1:1" x14ac:dyDescent="0.25">
      <c r="A93" s="11" t="str">
        <f ca="1">TEXT(Regen!A93,"000\,")&amp;TEXT(Regen!B93,"?00000000")&amp;TEXT(Regen!C93,""",""?0")&amp;IF(EXACT(Regen!D93,"T"),", ""tr""",SUBSTITUTE(TEXT(IF(ISTEXT(Regen!D93),Regen!D93,10*Regen!D93),""",""????0;"",""???-0;"",""????0;"", ////"""),"'",""""))&amp;SUBSTITUTE(TEXT(Regen!E93,""",""?00;"",""?-00;"",""?00;"", //"""),"'","""")</f>
        <v>78989, 19130402, 1, ////, 07</v>
      </c>
    </row>
    <row r="94" spans="1:1" x14ac:dyDescent="0.25">
      <c r="A94" s="11" t="str">
        <f ca="1">TEXT(Regen!A94,"000\,")&amp;TEXT(Regen!B94,"?00000000")&amp;TEXT(Regen!C94,""",""?0")&amp;IF(EXACT(Regen!D94,"T"),", ""tr""",SUBSTITUTE(TEXT(IF(ISTEXT(Regen!D94),Regen!D94,10*Regen!D94),""",""????0;"",""???-0;"",""????0;"", ////"""),"'",""""))&amp;SUBSTITUTE(TEXT(Regen!E94,""",""?00;"",""?-00;"",""?00;"", //"""),"'","""")</f>
        <v>78989, 19130403, 1, ////, 07</v>
      </c>
    </row>
    <row r="95" spans="1:1" x14ac:dyDescent="0.25">
      <c r="A95" s="11" t="str">
        <f ca="1">TEXT(Regen!A95,"000\,")&amp;TEXT(Regen!B95,"?00000000")&amp;TEXT(Regen!C95,""",""?0")&amp;IF(EXACT(Regen!D95,"T"),", ""tr""",SUBSTITUTE(TEXT(IF(ISTEXT(Regen!D95),Regen!D95,10*Regen!D95),""",""????0;"",""???-0;"",""????0;"", ////"""),"'",""""))&amp;SUBSTITUTE(TEXT(Regen!E95,""",""?00;"",""?-00;"",""?00;"", //"""),"'","""")</f>
        <v>78989, 19130404, 1, ////, 07</v>
      </c>
    </row>
    <row r="96" spans="1:1" x14ac:dyDescent="0.25">
      <c r="A96" s="11" t="str">
        <f ca="1">TEXT(Regen!A96,"000\,")&amp;TEXT(Regen!B96,"?00000000")&amp;TEXT(Regen!C96,""",""?0")&amp;IF(EXACT(Regen!D96,"T"),", ""tr""",SUBSTITUTE(TEXT(IF(ISTEXT(Regen!D96),Regen!D96,10*Regen!D96),""",""????0;"",""???-0;"",""????0;"", ////"""),"'",""""))&amp;SUBSTITUTE(TEXT(Regen!E96,""",""?00;"",""?-00;"",""?00;"", //"""),"'","""")</f>
        <v>78989, 19130405, 1, ////, 07</v>
      </c>
    </row>
    <row r="97" spans="1:1" x14ac:dyDescent="0.25">
      <c r="A97" s="11" t="str">
        <f ca="1">TEXT(Regen!A97,"000\,")&amp;TEXT(Regen!B97,"?00000000")&amp;TEXT(Regen!C97,""",""?0")&amp;IF(EXACT(Regen!D97,"T"),", ""tr""",SUBSTITUTE(TEXT(IF(ISTEXT(Regen!D97),Regen!D97,10*Regen!D97),""",""????0;"",""???-0;"",""????0;"", ////"""),"'",""""))&amp;SUBSTITUTE(TEXT(Regen!E97,""",""?00;"",""?-00;"",""?00;"", //"""),"'","""")</f>
        <v>78989, 19130406, 1, ////, 07</v>
      </c>
    </row>
    <row r="98" spans="1:1" x14ac:dyDescent="0.25">
      <c r="A98" s="11" t="str">
        <f ca="1">TEXT(Regen!A98,"000\,")&amp;TEXT(Regen!B98,"?00000000")&amp;TEXT(Regen!C98,""",""?0")&amp;IF(EXACT(Regen!D98,"T"),", ""tr""",SUBSTITUTE(TEXT(IF(ISTEXT(Regen!D98),Regen!D98,10*Regen!D98),""",""????0;"",""???-0;"",""????0;"", ////"""),"'",""""))&amp;SUBSTITUTE(TEXT(Regen!E98,""",""?00;"",""?-00;"",""?00;"", //"""),"'","""")</f>
        <v>78989, 19130407, 1, ////, 07</v>
      </c>
    </row>
    <row r="99" spans="1:1" x14ac:dyDescent="0.25">
      <c r="A99" s="11" t="str">
        <f ca="1">TEXT(Regen!A99,"000\,")&amp;TEXT(Regen!B99,"?00000000")&amp;TEXT(Regen!C99,""",""?0")&amp;IF(EXACT(Regen!D99,"T"),", ""tr""",SUBSTITUTE(TEXT(IF(ISTEXT(Regen!D99),Regen!D99,10*Regen!D99),""",""????0;"",""???-0;"",""????0;"", ////"""),"'",""""))&amp;SUBSTITUTE(TEXT(Regen!E99,""",""?00;"",""?-00;"",""?00;"", //"""),"'","""")</f>
        <v>78989, 19130408, 1, ////, 07</v>
      </c>
    </row>
    <row r="100" spans="1:1" x14ac:dyDescent="0.25">
      <c r="A100" s="11" t="str">
        <f ca="1">TEXT(Regen!A100,"000\,")&amp;TEXT(Regen!B100,"?00000000")&amp;TEXT(Regen!C100,""",""?0")&amp;IF(EXACT(Regen!D100,"T"),", ""tr""",SUBSTITUTE(TEXT(IF(ISTEXT(Regen!D100),Regen!D100,10*Regen!D100),""",""????0;"",""???-0;"",""????0;"", ////"""),"'",""""))&amp;SUBSTITUTE(TEXT(Regen!E100,""",""?00;"",""?-00;"",""?00;"", //"""),"'","""")</f>
        <v>78989, 19130409, 1, ////, 07</v>
      </c>
    </row>
    <row r="101" spans="1:1" x14ac:dyDescent="0.25">
      <c r="A101" s="11" t="str">
        <f ca="1">TEXT(Regen!A101,"000\,")&amp;TEXT(Regen!B101,"?00000000")&amp;TEXT(Regen!C101,""",""?0")&amp;IF(EXACT(Regen!D101,"T"),", ""tr""",SUBSTITUTE(TEXT(IF(ISTEXT(Regen!D101),Regen!D101,10*Regen!D101),""",""????0;"",""???-0;"",""????0;"", ////"""),"'",""""))&amp;SUBSTITUTE(TEXT(Regen!E101,""",""?00;"",""?-00;"",""?00;"", //"""),"'","""")</f>
        <v>78989, 19130410, 1, ////, 07</v>
      </c>
    </row>
    <row r="102" spans="1:1" x14ac:dyDescent="0.25">
      <c r="A102" s="11" t="str">
        <f ca="1">TEXT(Regen!A102,"000\,")&amp;TEXT(Regen!B102,"?00000000")&amp;TEXT(Regen!C102,""",""?0")&amp;IF(EXACT(Regen!D102,"T"),", ""tr""",SUBSTITUTE(TEXT(IF(ISTEXT(Regen!D102),Regen!D102,10*Regen!D102),""",""????0;"",""???-0;"",""????0;"", ////"""),"'",""""))&amp;SUBSTITUTE(TEXT(Regen!E102,""",""?00;"",""?-00;"",""?00;"", //"""),"'","""")</f>
        <v>78989, 19130411, 1, ////, 07</v>
      </c>
    </row>
    <row r="103" spans="1:1" x14ac:dyDescent="0.25">
      <c r="A103" s="11" t="str">
        <f ca="1">TEXT(Regen!A103,"000\,")&amp;TEXT(Regen!B103,"?00000000")&amp;TEXT(Regen!C103,""",""?0")&amp;IF(EXACT(Regen!D103,"T"),", ""tr""",SUBSTITUTE(TEXT(IF(ISTEXT(Regen!D103),Regen!D103,10*Regen!D103),""",""????0;"",""???-0;"",""????0;"", ////"""),"'",""""))&amp;SUBSTITUTE(TEXT(Regen!E103,""",""?00;"",""?-00;"",""?00;"", //"""),"'","""")</f>
        <v>78989, 19130412, 1, ////, 07</v>
      </c>
    </row>
    <row r="104" spans="1:1" x14ac:dyDescent="0.25">
      <c r="A104" s="11" t="str">
        <f ca="1">TEXT(Regen!A104,"000\,")&amp;TEXT(Regen!B104,"?00000000")&amp;TEXT(Regen!C104,""",""?0")&amp;IF(EXACT(Regen!D104,"T"),", ""tr""",SUBSTITUTE(TEXT(IF(ISTEXT(Regen!D104),Regen!D104,10*Regen!D104),""",""????0;"",""???-0;"",""????0;"", ////"""),"'",""""))&amp;SUBSTITUTE(TEXT(Regen!E104,""",""?00;"",""?-00;"",""?00;"", //"""),"'","""")</f>
        <v>78989, 19130413, 1, ////, 07</v>
      </c>
    </row>
    <row r="105" spans="1:1" x14ac:dyDescent="0.25">
      <c r="A105" s="11" t="str">
        <f ca="1">TEXT(Regen!A105,"000\,")&amp;TEXT(Regen!B105,"?00000000")&amp;TEXT(Regen!C105,""",""?0")&amp;IF(EXACT(Regen!D105,"T"),", ""tr""",SUBSTITUTE(TEXT(IF(ISTEXT(Regen!D105),Regen!D105,10*Regen!D105),""",""????0;"",""???-0;"",""????0;"", ////"""),"'",""""))&amp;SUBSTITUTE(TEXT(Regen!E105,""",""?00;"",""?-00;"",""?00;"", //"""),"'","""")</f>
        <v>78989, 19130414, 1, ////, 07</v>
      </c>
    </row>
    <row r="106" spans="1:1" x14ac:dyDescent="0.25">
      <c r="A106" s="11" t="str">
        <f ca="1">TEXT(Regen!A106,"000\,")&amp;TEXT(Regen!B106,"?00000000")&amp;TEXT(Regen!C106,""",""?0")&amp;IF(EXACT(Regen!D106,"T"),", ""tr""",SUBSTITUTE(TEXT(IF(ISTEXT(Regen!D106),Regen!D106,10*Regen!D106),""",""????0;"",""???-0;"",""????0;"", ////"""),"'",""""))&amp;SUBSTITUTE(TEXT(Regen!E106,""",""?00;"",""?-00;"",""?00;"", //"""),"'","""")</f>
        <v>78989, 19130415, 1, ////, 07</v>
      </c>
    </row>
    <row r="107" spans="1:1" x14ac:dyDescent="0.25">
      <c r="A107" s="11" t="str">
        <f ca="1">TEXT(Regen!A107,"000\,")&amp;TEXT(Regen!B107,"?00000000")&amp;TEXT(Regen!C107,""",""?0")&amp;IF(EXACT(Regen!D107,"T"),", ""tr""",SUBSTITUTE(TEXT(IF(ISTEXT(Regen!D107),Regen!D107,10*Regen!D107),""",""????0;"",""???-0;"",""????0;"", ////"""),"'",""""))&amp;SUBSTITUTE(TEXT(Regen!E107,""",""?00;"",""?-00;"",""?00;"", //"""),"'","""")</f>
        <v>78989, 19130416, 1, ////, 07</v>
      </c>
    </row>
    <row r="108" spans="1:1" x14ac:dyDescent="0.25">
      <c r="A108" s="11" t="str">
        <f ca="1">TEXT(Regen!A108,"000\,")&amp;TEXT(Regen!B108,"?00000000")&amp;TEXT(Regen!C108,""",""?0")&amp;IF(EXACT(Regen!D108,"T"),", ""tr""",SUBSTITUTE(TEXT(IF(ISTEXT(Regen!D108),Regen!D108,10*Regen!D108),""",""????0;"",""???-0;"",""????0;"", ////"""),"'",""""))&amp;SUBSTITUTE(TEXT(Regen!E108,""",""?00;"",""?-00;"",""?00;"", //"""),"'","""")</f>
        <v>78989, 19130417, 1, ////, 07</v>
      </c>
    </row>
    <row r="109" spans="1:1" x14ac:dyDescent="0.25">
      <c r="A109" s="11" t="str">
        <f ca="1">TEXT(Regen!A109,"000\,")&amp;TEXT(Regen!B109,"?00000000")&amp;TEXT(Regen!C109,""",""?0")&amp;IF(EXACT(Regen!D109,"T"),", ""tr""",SUBSTITUTE(TEXT(IF(ISTEXT(Regen!D109),Regen!D109,10*Regen!D109),""",""????0;"",""???-0;"",""????0;"", ////"""),"'",""""))&amp;SUBSTITUTE(TEXT(Regen!E109,""",""?00;"",""?-00;"",""?00;"", //"""),"'","""")</f>
        <v>78989, 19130418, 1, ////, 07</v>
      </c>
    </row>
    <row r="110" spans="1:1" x14ac:dyDescent="0.25">
      <c r="A110" s="11" t="str">
        <f ca="1">TEXT(Regen!A110,"000\,")&amp;TEXT(Regen!B110,"?00000000")&amp;TEXT(Regen!C110,""",""?0")&amp;IF(EXACT(Regen!D110,"T"),", ""tr""",SUBSTITUTE(TEXT(IF(ISTEXT(Regen!D110),Regen!D110,10*Regen!D110),""",""????0;"",""???-0;"",""????0;"", ////"""),"'",""""))&amp;SUBSTITUTE(TEXT(Regen!E110,""",""?00;"",""?-00;"",""?00;"", //"""),"'","""")</f>
        <v>78989, 19130419, 1, ////, 07</v>
      </c>
    </row>
    <row r="111" spans="1:1" x14ac:dyDescent="0.25">
      <c r="A111" s="11" t="str">
        <f ca="1">TEXT(Regen!A111,"000\,")&amp;TEXT(Regen!B111,"?00000000")&amp;TEXT(Regen!C111,""",""?0")&amp;IF(EXACT(Regen!D111,"T"),", ""tr""",SUBSTITUTE(TEXT(IF(ISTEXT(Regen!D111),Regen!D111,10*Regen!D111),""",""????0;"",""???-0;"",""????0;"", ////"""),"'",""""))&amp;SUBSTITUTE(TEXT(Regen!E111,""",""?00;"",""?-00;"",""?00;"", //"""),"'","""")</f>
        <v>78989, 19130420, 1, ////, 07</v>
      </c>
    </row>
    <row r="112" spans="1:1" x14ac:dyDescent="0.25">
      <c r="A112" s="11" t="str">
        <f ca="1">TEXT(Regen!A112,"000\,")&amp;TEXT(Regen!B112,"?00000000")&amp;TEXT(Regen!C112,""",""?0")&amp;IF(EXACT(Regen!D112,"T"),", ""tr""",SUBSTITUTE(TEXT(IF(ISTEXT(Regen!D112),Regen!D112,10*Regen!D112),""",""????0;"",""???-0;"",""????0;"", ////"""),"'",""""))&amp;SUBSTITUTE(TEXT(Regen!E112,""",""?00;"",""?-00;"",""?00;"", //"""),"'","""")</f>
        <v>78989, 19130421, 1, ////, 07</v>
      </c>
    </row>
    <row r="113" spans="1:1" x14ac:dyDescent="0.25">
      <c r="A113" s="11" t="str">
        <f ca="1">TEXT(Regen!A113,"000\,")&amp;TEXT(Regen!B113,"?00000000")&amp;TEXT(Regen!C113,""",""?0")&amp;IF(EXACT(Regen!D113,"T"),", ""tr""",SUBSTITUTE(TEXT(IF(ISTEXT(Regen!D113),Regen!D113,10*Regen!D113),""",""????0;"",""???-0;"",""????0;"", ////"""),"'",""""))&amp;SUBSTITUTE(TEXT(Regen!E113,""",""?00;"",""?-00;"",""?00;"", //"""),"'","""")</f>
        <v>78989, 19130422, 1, ////, 07</v>
      </c>
    </row>
    <row r="114" spans="1:1" x14ac:dyDescent="0.25">
      <c r="A114" s="11" t="str">
        <f ca="1">TEXT(Regen!A114,"000\,")&amp;TEXT(Regen!B114,"?00000000")&amp;TEXT(Regen!C114,""",""?0")&amp;IF(EXACT(Regen!D114,"T"),", ""tr""",SUBSTITUTE(TEXT(IF(ISTEXT(Regen!D114),Regen!D114,10*Regen!D114),""",""????0;"",""???-0;"",""????0;"", ////"""),"'",""""))&amp;SUBSTITUTE(TEXT(Regen!E114,""",""?00;"",""?-00;"",""?00;"", //"""),"'","""")</f>
        <v>78989, 19130423, 1, ////, 07</v>
      </c>
    </row>
    <row r="115" spans="1:1" x14ac:dyDescent="0.25">
      <c r="A115" s="11" t="str">
        <f ca="1">TEXT(Regen!A115,"000\,")&amp;TEXT(Regen!B115,"?00000000")&amp;TEXT(Regen!C115,""",""?0")&amp;IF(EXACT(Regen!D115,"T"),", ""tr""",SUBSTITUTE(TEXT(IF(ISTEXT(Regen!D115),Regen!D115,10*Regen!D115),""",""????0;"",""???-0;"",""????0;"", ////"""),"'",""""))&amp;SUBSTITUTE(TEXT(Regen!E115,""",""?00;"",""?-00;"",""?00;"", //"""),"'","""")</f>
        <v>78989, 19130424, 1, ////, 07</v>
      </c>
    </row>
    <row r="116" spans="1:1" x14ac:dyDescent="0.25">
      <c r="A116" s="11" t="str">
        <f ca="1">TEXT(Regen!A116,"000\,")&amp;TEXT(Regen!B116,"?00000000")&amp;TEXT(Regen!C116,""",""?0")&amp;IF(EXACT(Regen!D116,"T"),", ""tr""",SUBSTITUTE(TEXT(IF(ISTEXT(Regen!D116),Regen!D116,10*Regen!D116),""",""????0;"",""???-0;"",""????0;"", ////"""),"'",""""))&amp;SUBSTITUTE(TEXT(Regen!E116,""",""?00;"",""?-00;"",""?00;"", //"""),"'","""")</f>
        <v>78989, 19130425, 1, ////, 07</v>
      </c>
    </row>
    <row r="117" spans="1:1" x14ac:dyDescent="0.25">
      <c r="A117" s="11" t="str">
        <f ca="1">TEXT(Regen!A117,"000\,")&amp;TEXT(Regen!B117,"?00000000")&amp;TEXT(Regen!C117,""",""?0")&amp;IF(EXACT(Regen!D117,"T"),", ""tr""",SUBSTITUTE(TEXT(IF(ISTEXT(Regen!D117),Regen!D117,10*Regen!D117),""",""????0;"",""???-0;"",""????0;"", ////"""),"'",""""))&amp;SUBSTITUTE(TEXT(Regen!E117,""",""?00;"",""?-00;"",""?00;"", //"""),"'","""")</f>
        <v>78989, 19130426, 1, ////, 07</v>
      </c>
    </row>
    <row r="118" spans="1:1" x14ac:dyDescent="0.25">
      <c r="A118" s="11" t="str">
        <f ca="1">TEXT(Regen!A118,"000\,")&amp;TEXT(Regen!B118,"?00000000")&amp;TEXT(Regen!C118,""",""?0")&amp;IF(EXACT(Regen!D118,"T"),", ""tr""",SUBSTITUTE(TEXT(IF(ISTEXT(Regen!D118),Regen!D118,10*Regen!D118),""",""????0;"",""???-0;"",""????0;"", ////"""),"'",""""))&amp;SUBSTITUTE(TEXT(Regen!E118,""",""?00;"",""?-00;"",""?00;"", //"""),"'","""")</f>
        <v>78989, 19130427, 1, ////, 07</v>
      </c>
    </row>
    <row r="119" spans="1:1" x14ac:dyDescent="0.25">
      <c r="A119" s="11" t="str">
        <f ca="1">TEXT(Regen!A119,"000\,")&amp;TEXT(Regen!B119,"?00000000")&amp;TEXT(Regen!C119,""",""?0")&amp;IF(EXACT(Regen!D119,"T"),", ""tr""",SUBSTITUTE(TEXT(IF(ISTEXT(Regen!D119),Regen!D119,10*Regen!D119),""",""????0;"",""???-0;"",""????0;"", ////"""),"'",""""))&amp;SUBSTITUTE(TEXT(Regen!E119,""",""?00;"",""?-00;"",""?00;"", //"""),"'","""")</f>
        <v>78989, 19130428, 1, ////, 07</v>
      </c>
    </row>
    <row r="120" spans="1:1" x14ac:dyDescent="0.25">
      <c r="A120" s="11" t="str">
        <f ca="1">TEXT(Regen!A120,"000\,")&amp;TEXT(Regen!B120,"?00000000")&amp;TEXT(Regen!C120,""",""?0")&amp;IF(EXACT(Regen!D120,"T"),", ""tr""",SUBSTITUTE(TEXT(IF(ISTEXT(Regen!D120),Regen!D120,10*Regen!D120),""",""????0;"",""???-0;"",""????0;"", ////"""),"'",""""))&amp;SUBSTITUTE(TEXT(Regen!E120,""",""?00;"",""?-00;"",""?00;"", //"""),"'","""")</f>
        <v>78989, 19130429, 1, ////, 07</v>
      </c>
    </row>
    <row r="121" spans="1:1" x14ac:dyDescent="0.25">
      <c r="A121" s="11" t="str">
        <f ca="1">TEXT(Regen!A121,"000\,")&amp;TEXT(Regen!B121,"?00000000")&amp;TEXT(Regen!C121,""",""?0")&amp;IF(EXACT(Regen!D121,"T"),", ""tr""",SUBSTITUTE(TEXT(IF(ISTEXT(Regen!D121),Regen!D121,10*Regen!D121),""",""????0;"",""???-0;"",""????0;"", ////"""),"'",""""))&amp;SUBSTITUTE(TEXT(Regen!E121,""",""?00;"",""?-00;"",""?00;"", //"""),"'","""")</f>
        <v>78989, 19130430, 1, ////, 07</v>
      </c>
    </row>
    <row r="122" spans="1:1" x14ac:dyDescent="0.25">
      <c r="A122" s="11" t="str">
        <f ca="1">TEXT(Regen!A122,"000\,")&amp;TEXT(Regen!B122,"?00000000")&amp;TEXT(Regen!C122,""",""?0")&amp;IF(EXACT(Regen!D122,"T"),", ""tr""",SUBSTITUTE(TEXT(IF(ISTEXT(Regen!D122),Regen!D122,10*Regen!D122),""",""????0;"",""???-0;"",""????0;"", ////"""),"'",""""))&amp;SUBSTITUTE(TEXT(Regen!E122,""",""?00;"",""?-00;"",""?00;"", //"""),"'","""")</f>
        <v>78989, 19130501, 1, ////, 07</v>
      </c>
    </row>
    <row r="123" spans="1:1" x14ac:dyDescent="0.25">
      <c r="A123" s="11" t="str">
        <f ca="1">TEXT(Regen!A123,"000\,")&amp;TEXT(Regen!B123,"?00000000")&amp;TEXT(Regen!C123,""",""?0")&amp;IF(EXACT(Regen!D123,"T"),", ""tr""",SUBSTITUTE(TEXT(IF(ISTEXT(Regen!D123),Regen!D123,10*Regen!D123),""",""????0;"",""???-0;"",""????0;"", ////"""),"'",""""))&amp;SUBSTITUTE(TEXT(Regen!E123,""",""?00;"",""?-00;"",""?00;"", //"""),"'","""")</f>
        <v>78989, 19130502, 1, ////, 07</v>
      </c>
    </row>
    <row r="124" spans="1:1" x14ac:dyDescent="0.25">
      <c r="A124" s="11" t="str">
        <f ca="1">TEXT(Regen!A124,"000\,")&amp;TEXT(Regen!B124,"?00000000")&amp;TEXT(Regen!C124,""",""?0")&amp;IF(EXACT(Regen!D124,"T"),", ""tr""",SUBSTITUTE(TEXT(IF(ISTEXT(Regen!D124),Regen!D124,10*Regen!D124),""",""????0;"",""???-0;"",""????0;"", ////"""),"'",""""))&amp;SUBSTITUTE(TEXT(Regen!E124,""",""?00;"",""?-00;"",""?00;"", //"""),"'","""")</f>
        <v>78989, 19130503, 1, ////, 07</v>
      </c>
    </row>
    <row r="125" spans="1:1" x14ac:dyDescent="0.25">
      <c r="A125" s="11" t="str">
        <f ca="1">TEXT(Regen!A125,"000\,")&amp;TEXT(Regen!B125,"?00000000")&amp;TEXT(Regen!C125,""",""?0")&amp;IF(EXACT(Regen!D125,"T"),", ""tr""",SUBSTITUTE(TEXT(IF(ISTEXT(Regen!D125),Regen!D125,10*Regen!D125),""",""????0;"",""???-0;"",""????0;"", ////"""),"'",""""))&amp;SUBSTITUTE(TEXT(Regen!E125,""",""?00;"",""?-00;"",""?00;"", //"""),"'","""")</f>
        <v>78989, 19130504, 1, ////, 07</v>
      </c>
    </row>
    <row r="126" spans="1:1" x14ac:dyDescent="0.25">
      <c r="A126" s="11" t="str">
        <f ca="1">TEXT(Regen!A126,"000\,")&amp;TEXT(Regen!B126,"?00000000")&amp;TEXT(Regen!C126,""",""?0")&amp;IF(EXACT(Regen!D126,"T"),", ""tr""",SUBSTITUTE(TEXT(IF(ISTEXT(Regen!D126),Regen!D126,10*Regen!D126),""",""????0;"",""???-0;"",""????0;"", ////"""),"'",""""))&amp;SUBSTITUTE(TEXT(Regen!E126,""",""?00;"",""?-00;"",""?00;"", //"""),"'","""")</f>
        <v>78989, 19130505, 1, ////, 07</v>
      </c>
    </row>
    <row r="127" spans="1:1" x14ac:dyDescent="0.25">
      <c r="A127" s="11" t="str">
        <f ca="1">TEXT(Regen!A127,"000\,")&amp;TEXT(Regen!B127,"?00000000")&amp;TEXT(Regen!C127,""",""?0")&amp;IF(EXACT(Regen!D127,"T"),", ""tr""",SUBSTITUTE(TEXT(IF(ISTEXT(Regen!D127),Regen!D127,10*Regen!D127),""",""????0;"",""???-0;"",""????0;"", ////"""),"'",""""))&amp;SUBSTITUTE(TEXT(Regen!E127,""",""?00;"",""?-00;"",""?00;"", //"""),"'","""")</f>
        <v>78989, 19130506, 1, ////, 07</v>
      </c>
    </row>
    <row r="128" spans="1:1" x14ac:dyDescent="0.25">
      <c r="A128" s="11" t="str">
        <f ca="1">TEXT(Regen!A128,"000\,")&amp;TEXT(Regen!B128,"?00000000")&amp;TEXT(Regen!C128,""",""?0")&amp;IF(EXACT(Regen!D128,"T"),", ""tr""",SUBSTITUTE(TEXT(IF(ISTEXT(Regen!D128),Regen!D128,10*Regen!D128),""",""????0;"",""???-0;"",""????0;"", ////"""),"'",""""))&amp;SUBSTITUTE(TEXT(Regen!E128,""",""?00;"",""?-00;"",""?00;"", //"""),"'","""")</f>
        <v>78989, 19130507, 1, ////, 07</v>
      </c>
    </row>
    <row r="129" spans="1:1" x14ac:dyDescent="0.25">
      <c r="A129" s="11" t="str">
        <f ca="1">TEXT(Regen!A129,"000\,")&amp;TEXT(Regen!B129,"?00000000")&amp;TEXT(Regen!C129,""",""?0")&amp;IF(EXACT(Regen!D129,"T"),", ""tr""",SUBSTITUTE(TEXT(IF(ISTEXT(Regen!D129),Regen!D129,10*Regen!D129),""",""????0;"",""???-0;"",""????0;"", ////"""),"'",""""))&amp;SUBSTITUTE(TEXT(Regen!E129,""",""?00;"",""?-00;"",""?00;"", //"""),"'","""")</f>
        <v>78989, 19130508, 1, ////, 07</v>
      </c>
    </row>
    <row r="130" spans="1:1" x14ac:dyDescent="0.25">
      <c r="A130" s="11" t="str">
        <f ca="1">TEXT(Regen!A130,"000\,")&amp;TEXT(Regen!B130,"?00000000")&amp;TEXT(Regen!C130,""",""?0")&amp;IF(EXACT(Regen!D130,"T"),", ""tr""",SUBSTITUTE(TEXT(IF(ISTEXT(Regen!D130),Regen!D130,10*Regen!D130),""",""????0;"",""???-0;"",""????0;"", ////"""),"'",""""))&amp;SUBSTITUTE(TEXT(Regen!E130,""",""?00;"",""?-00;"",""?00;"", //"""),"'","""")</f>
        <v>78989, 19130509, 1, ////, 07</v>
      </c>
    </row>
    <row r="131" spans="1:1" x14ac:dyDescent="0.25">
      <c r="A131" s="11" t="str">
        <f ca="1">TEXT(Regen!A131,"000\,")&amp;TEXT(Regen!B131,"?00000000")&amp;TEXT(Regen!C131,""",""?0")&amp;IF(EXACT(Regen!D131,"T"),", ""tr""",SUBSTITUTE(TEXT(IF(ISTEXT(Regen!D131),Regen!D131,10*Regen!D131),""",""????0;"",""???-0;"",""????0;"", ////"""),"'",""""))&amp;SUBSTITUTE(TEXT(Regen!E131,""",""?00;"",""?-00;"",""?00;"", //"""),"'","""")</f>
        <v>78989, 19130510, 1, ////, 07</v>
      </c>
    </row>
    <row r="132" spans="1:1" x14ac:dyDescent="0.25">
      <c r="A132" s="11" t="str">
        <f ca="1">TEXT(Regen!A132,"000\,")&amp;TEXT(Regen!B132,"?00000000")&amp;TEXT(Regen!C132,""",""?0")&amp;IF(EXACT(Regen!D132,"T"),", ""tr""",SUBSTITUTE(TEXT(IF(ISTEXT(Regen!D132),Regen!D132,10*Regen!D132),""",""????0;"",""???-0;"",""????0;"", ////"""),"'",""""))&amp;SUBSTITUTE(TEXT(Regen!E132,""",""?00;"",""?-00;"",""?00;"", //"""),"'","""")</f>
        <v>78989, 19130511, 1, ////, 07</v>
      </c>
    </row>
    <row r="133" spans="1:1" x14ac:dyDescent="0.25">
      <c r="A133" s="11" t="str">
        <f ca="1">TEXT(Regen!A133,"000\,")&amp;TEXT(Regen!B133,"?00000000")&amp;TEXT(Regen!C133,""",""?0")&amp;IF(EXACT(Regen!D133,"T"),", ""tr""",SUBSTITUTE(TEXT(IF(ISTEXT(Regen!D133),Regen!D133,10*Regen!D133),""",""????0;"",""???-0;"",""????0;"", ////"""),"'",""""))&amp;SUBSTITUTE(TEXT(Regen!E133,""",""?00;"",""?-00;"",""?00;"", //"""),"'","""")</f>
        <v>78989, 19130512, 1, ////, 07</v>
      </c>
    </row>
    <row r="134" spans="1:1" x14ac:dyDescent="0.25">
      <c r="A134" s="11" t="str">
        <f ca="1">TEXT(Regen!A134,"000\,")&amp;TEXT(Regen!B134,"?00000000")&amp;TEXT(Regen!C134,""",""?0")&amp;IF(EXACT(Regen!D134,"T"),", ""tr""",SUBSTITUTE(TEXT(IF(ISTEXT(Regen!D134),Regen!D134,10*Regen!D134),""",""????0;"",""???-0;"",""????0;"", ////"""),"'",""""))&amp;SUBSTITUTE(TEXT(Regen!E134,""",""?00;"",""?-00;"",""?00;"", //"""),"'","""")</f>
        <v>78989, 19130513, 1, ////, 07</v>
      </c>
    </row>
    <row r="135" spans="1:1" x14ac:dyDescent="0.25">
      <c r="A135" s="11" t="str">
        <f ca="1">TEXT(Regen!A135,"000\,")&amp;TEXT(Regen!B135,"?00000000")&amp;TEXT(Regen!C135,""",""?0")&amp;IF(EXACT(Regen!D135,"T"),", ""tr""",SUBSTITUTE(TEXT(IF(ISTEXT(Regen!D135),Regen!D135,10*Regen!D135),""",""????0;"",""???-0;"",""????0;"", ////"""),"'",""""))&amp;SUBSTITUTE(TEXT(Regen!E135,""",""?00;"",""?-00;"",""?00;"", //"""),"'","""")</f>
        <v>78989, 19130514, 1, ////, 07</v>
      </c>
    </row>
    <row r="136" spans="1:1" x14ac:dyDescent="0.25">
      <c r="A136" s="11" t="str">
        <f ca="1">TEXT(Regen!A136,"000\,")&amp;TEXT(Regen!B136,"?00000000")&amp;TEXT(Regen!C136,""",""?0")&amp;IF(EXACT(Regen!D136,"T"),", ""tr""",SUBSTITUTE(TEXT(IF(ISTEXT(Regen!D136),Regen!D136,10*Regen!D136),""",""????0;"",""???-0;"",""????0;"", ////"""),"'",""""))&amp;SUBSTITUTE(TEXT(Regen!E136,""",""?00;"",""?-00;"",""?00;"", //"""),"'","""")</f>
        <v>78989, 19130515, 1, ////, 07</v>
      </c>
    </row>
    <row r="137" spans="1:1" x14ac:dyDescent="0.25">
      <c r="A137" s="11" t="str">
        <f ca="1">TEXT(Regen!A137,"000\,")&amp;TEXT(Regen!B137,"?00000000")&amp;TEXT(Regen!C137,""",""?0")&amp;IF(EXACT(Regen!D137,"T"),", ""tr""",SUBSTITUTE(TEXT(IF(ISTEXT(Regen!D137),Regen!D137,10*Regen!D137),""",""????0;"",""???-0;"",""????0;"", ////"""),"'",""""))&amp;SUBSTITUTE(TEXT(Regen!E137,""",""?00;"",""?-00;"",""?00;"", //"""),"'","""")</f>
        <v>78989, 19130516, 1, ////, 07</v>
      </c>
    </row>
    <row r="138" spans="1:1" x14ac:dyDescent="0.25">
      <c r="A138" s="11" t="str">
        <f ca="1">TEXT(Regen!A138,"000\,")&amp;TEXT(Regen!B138,"?00000000")&amp;TEXT(Regen!C138,""",""?0")&amp;IF(EXACT(Regen!D138,"T"),", ""tr""",SUBSTITUTE(TEXT(IF(ISTEXT(Regen!D138),Regen!D138,10*Regen!D138),""",""????0;"",""???-0;"",""????0;"", ////"""),"'",""""))&amp;SUBSTITUTE(TEXT(Regen!E138,""",""?00;"",""?-00;"",""?00;"", //"""),"'","""")</f>
        <v>78989, 19130517, 1, ////, 07</v>
      </c>
    </row>
    <row r="139" spans="1:1" x14ac:dyDescent="0.25">
      <c r="A139" s="11" t="str">
        <f ca="1">TEXT(Regen!A139,"000\,")&amp;TEXT(Regen!B139,"?00000000")&amp;TEXT(Regen!C139,""",""?0")&amp;IF(EXACT(Regen!D139,"T"),", ""tr""",SUBSTITUTE(TEXT(IF(ISTEXT(Regen!D139),Regen!D139,10*Regen!D139),""",""????0;"",""???-0;"",""????0;"", ////"""),"'",""""))&amp;SUBSTITUTE(TEXT(Regen!E139,""",""?00;"",""?-00;"",""?00;"", //"""),"'","""")</f>
        <v>78989, 19130518, 1, ////, 07</v>
      </c>
    </row>
    <row r="140" spans="1:1" x14ac:dyDescent="0.25">
      <c r="A140" s="11" t="str">
        <f ca="1">TEXT(Regen!A140,"000\,")&amp;TEXT(Regen!B140,"?00000000")&amp;TEXT(Regen!C140,""",""?0")&amp;IF(EXACT(Regen!D140,"T"),", ""tr""",SUBSTITUTE(TEXT(IF(ISTEXT(Regen!D140),Regen!D140,10*Regen!D140),""",""????0;"",""???-0;"",""????0;"", ////"""),"'",""""))&amp;SUBSTITUTE(TEXT(Regen!E140,""",""?00;"",""?-00;"",""?00;"", //"""),"'","""")</f>
        <v>78989, 19130519, 1, ////, 07</v>
      </c>
    </row>
    <row r="141" spans="1:1" x14ac:dyDescent="0.25">
      <c r="A141" s="11" t="str">
        <f ca="1">TEXT(Regen!A141,"000\,")&amp;TEXT(Regen!B141,"?00000000")&amp;TEXT(Regen!C141,""",""?0")&amp;IF(EXACT(Regen!D141,"T"),", ""tr""",SUBSTITUTE(TEXT(IF(ISTEXT(Regen!D141),Regen!D141,10*Regen!D141),""",""????0;"",""???-0;"",""????0;"", ////"""),"'",""""))&amp;SUBSTITUTE(TEXT(Regen!E141,""",""?00;"",""?-00;"",""?00;"", //"""),"'","""")</f>
        <v>78989, 19130520, 1, ////, 07</v>
      </c>
    </row>
    <row r="142" spans="1:1" x14ac:dyDescent="0.25">
      <c r="A142" s="11" t="str">
        <f ca="1">TEXT(Regen!A142,"000\,")&amp;TEXT(Regen!B142,"?00000000")&amp;TEXT(Regen!C142,""",""?0")&amp;IF(EXACT(Regen!D142,"T"),", ""tr""",SUBSTITUTE(TEXT(IF(ISTEXT(Regen!D142),Regen!D142,10*Regen!D142),""",""????0;"",""???-0;"",""????0;"", ////"""),"'",""""))&amp;SUBSTITUTE(TEXT(Regen!E142,""",""?00;"",""?-00;"",""?00;"", //"""),"'","""")</f>
        <v>78989, 19130521, 1, ////, 07</v>
      </c>
    </row>
    <row r="143" spans="1:1" x14ac:dyDescent="0.25">
      <c r="A143" s="11" t="str">
        <f ca="1">TEXT(Regen!A143,"000\,")&amp;TEXT(Regen!B143,"?00000000")&amp;TEXT(Regen!C143,""",""?0")&amp;IF(EXACT(Regen!D143,"T"),", ""tr""",SUBSTITUTE(TEXT(IF(ISTEXT(Regen!D143),Regen!D143,10*Regen!D143),""",""????0;"",""???-0;"",""????0;"", ////"""),"'",""""))&amp;SUBSTITUTE(TEXT(Regen!E143,""",""?00;"",""?-00;"",""?00;"", //"""),"'","""")</f>
        <v>78989, 19130522, 1, ////, 07</v>
      </c>
    </row>
    <row r="144" spans="1:1" x14ac:dyDescent="0.25">
      <c r="A144" s="11" t="str">
        <f ca="1">TEXT(Regen!A144,"000\,")&amp;TEXT(Regen!B144,"?00000000")&amp;TEXT(Regen!C144,""",""?0")&amp;IF(EXACT(Regen!D144,"T"),", ""tr""",SUBSTITUTE(TEXT(IF(ISTEXT(Regen!D144),Regen!D144,10*Regen!D144),""",""????0;"",""???-0;"",""????0;"", ////"""),"'",""""))&amp;SUBSTITUTE(TEXT(Regen!E144,""",""?00;"",""?-00;"",""?00;"", //"""),"'","""")</f>
        <v>78989, 19130523, 1, ////, 07</v>
      </c>
    </row>
    <row r="145" spans="1:1" x14ac:dyDescent="0.25">
      <c r="A145" s="11" t="str">
        <f ca="1">TEXT(Regen!A145,"000\,")&amp;TEXT(Regen!B145,"?00000000")&amp;TEXT(Regen!C145,""",""?0")&amp;IF(EXACT(Regen!D145,"T"),", ""tr""",SUBSTITUTE(TEXT(IF(ISTEXT(Regen!D145),Regen!D145,10*Regen!D145),""",""????0;"",""???-0;"",""????0;"", ////"""),"'",""""))&amp;SUBSTITUTE(TEXT(Regen!E145,""",""?00;"",""?-00;"",""?00;"", //"""),"'","""")</f>
        <v>78989, 19130524, 1, ////, 07</v>
      </c>
    </row>
    <row r="146" spans="1:1" x14ac:dyDescent="0.25">
      <c r="A146" s="11" t="str">
        <f ca="1">TEXT(Regen!A146,"000\,")&amp;TEXT(Regen!B146,"?00000000")&amp;TEXT(Regen!C146,""",""?0")&amp;IF(EXACT(Regen!D146,"T"),", ""tr""",SUBSTITUTE(TEXT(IF(ISTEXT(Regen!D146),Regen!D146,10*Regen!D146),""",""????0;"",""???-0;"",""????0;"", ////"""),"'",""""))&amp;SUBSTITUTE(TEXT(Regen!E146,""",""?00;"",""?-00;"",""?00;"", //"""),"'","""")</f>
        <v>78989, 19130525, 1, ////, 07</v>
      </c>
    </row>
    <row r="147" spans="1:1" x14ac:dyDescent="0.25">
      <c r="A147" s="11" t="str">
        <f ca="1">TEXT(Regen!A147,"000\,")&amp;TEXT(Regen!B147,"?00000000")&amp;TEXT(Regen!C147,""",""?0")&amp;IF(EXACT(Regen!D147,"T"),", ""tr""",SUBSTITUTE(TEXT(IF(ISTEXT(Regen!D147),Regen!D147,10*Regen!D147),""",""????0;"",""???-0;"",""????0;"", ////"""),"'",""""))&amp;SUBSTITUTE(TEXT(Regen!E147,""",""?00;"",""?-00;"",""?00;"", //"""),"'","""")</f>
        <v>78989, 19130526, 1, ////, 07</v>
      </c>
    </row>
    <row r="148" spans="1:1" x14ac:dyDescent="0.25">
      <c r="A148" s="11" t="str">
        <f ca="1">TEXT(Regen!A148,"000\,")&amp;TEXT(Regen!B148,"?00000000")&amp;TEXT(Regen!C148,""",""?0")&amp;IF(EXACT(Regen!D148,"T"),", ""tr""",SUBSTITUTE(TEXT(IF(ISTEXT(Regen!D148),Regen!D148,10*Regen!D148),""",""????0;"",""???-0;"",""????0;"", ////"""),"'",""""))&amp;SUBSTITUTE(TEXT(Regen!E148,""",""?00;"",""?-00;"",""?00;"", //"""),"'","""")</f>
        <v>78989, 19130527, 1, ////, 07</v>
      </c>
    </row>
    <row r="149" spans="1:1" x14ac:dyDescent="0.25">
      <c r="A149" s="11" t="str">
        <f ca="1">TEXT(Regen!A149,"000\,")&amp;TEXT(Regen!B149,"?00000000")&amp;TEXT(Regen!C149,""",""?0")&amp;IF(EXACT(Regen!D149,"T"),", ""tr""",SUBSTITUTE(TEXT(IF(ISTEXT(Regen!D149),Regen!D149,10*Regen!D149),""",""????0;"",""???-0;"",""????0;"", ////"""),"'",""""))&amp;SUBSTITUTE(TEXT(Regen!E149,""",""?00;"",""?-00;"",""?00;"", //"""),"'","""")</f>
        <v>78989, 19130528, 1, ////, 07</v>
      </c>
    </row>
    <row r="150" spans="1:1" x14ac:dyDescent="0.25">
      <c r="A150" s="11" t="str">
        <f ca="1">TEXT(Regen!A150,"000\,")&amp;TEXT(Regen!B150,"?00000000")&amp;TEXT(Regen!C150,""",""?0")&amp;IF(EXACT(Regen!D150,"T"),", ""tr""",SUBSTITUTE(TEXT(IF(ISTEXT(Regen!D150),Regen!D150,10*Regen!D150),""",""????0;"",""???-0;"",""????0;"", ////"""),"'",""""))&amp;SUBSTITUTE(TEXT(Regen!E150,""",""?00;"",""?-00;"",""?00;"", //"""),"'","""")</f>
        <v>78989, 19130529, 1, ////, 07</v>
      </c>
    </row>
    <row r="151" spans="1:1" x14ac:dyDescent="0.25">
      <c r="A151" s="11" t="str">
        <f ca="1">TEXT(Regen!A151,"000\,")&amp;TEXT(Regen!B151,"?00000000")&amp;TEXT(Regen!C151,""",""?0")&amp;IF(EXACT(Regen!D151,"T"),", ""tr""",SUBSTITUTE(TEXT(IF(ISTEXT(Regen!D151),Regen!D151,10*Regen!D151),""",""????0;"",""???-0;"",""????0;"", ////"""),"'",""""))&amp;SUBSTITUTE(TEXT(Regen!E151,""",""?00;"",""?-00;"",""?00;"", //"""),"'","""")</f>
        <v>78989, 19130530, 1, ////, 07</v>
      </c>
    </row>
    <row r="152" spans="1:1" x14ac:dyDescent="0.25">
      <c r="A152" s="11" t="str">
        <f ca="1">TEXT(Regen!A152,"000\,")&amp;TEXT(Regen!B152,"?00000000")&amp;TEXT(Regen!C152,""",""?0")&amp;IF(EXACT(Regen!D152,"T"),", ""tr""",SUBSTITUTE(TEXT(IF(ISTEXT(Regen!D152),Regen!D152,10*Regen!D152),""",""????0;"",""???-0;"",""????0;"", ////"""),"'",""""))&amp;SUBSTITUTE(TEXT(Regen!E152,""",""?00;"",""?-00;"",""?00;"", //"""),"'","""")</f>
        <v>78989, 19130531, 1, ////, 07</v>
      </c>
    </row>
    <row r="153" spans="1:1" x14ac:dyDescent="0.25">
      <c r="A153" s="11" t="str">
        <f ca="1">TEXT(Regen!A153,"000\,")&amp;TEXT(Regen!B153,"?00000000")&amp;TEXT(Regen!C153,""",""?0")&amp;IF(EXACT(Regen!D153,"T"),", ""tr""",SUBSTITUTE(TEXT(IF(ISTEXT(Regen!D153),Regen!D153,10*Regen!D153),""",""????0;"",""???-0;"",""????0;"", ////"""),"'",""""))&amp;SUBSTITUTE(TEXT(Regen!E153,""",""?00;"",""?-00;"",""?00;"", //"""),"'","""")</f>
        <v>78989, 19130601, 1, ////, 07</v>
      </c>
    </row>
    <row r="154" spans="1:1" x14ac:dyDescent="0.25">
      <c r="A154" s="11" t="str">
        <f ca="1">TEXT(Regen!A154,"000\,")&amp;TEXT(Regen!B154,"?00000000")&amp;TEXT(Regen!C154,""",""?0")&amp;IF(EXACT(Regen!D154,"T"),", ""tr""",SUBSTITUTE(TEXT(IF(ISTEXT(Regen!D154),Regen!D154,10*Regen!D154),""",""????0;"",""???-0;"",""????0;"", ////"""),"'",""""))&amp;SUBSTITUTE(TEXT(Regen!E154,""",""?00;"",""?-00;"",""?00;"", //"""),"'","""")</f>
        <v>78989, 19130602, 1, ////, 07</v>
      </c>
    </row>
    <row r="155" spans="1:1" x14ac:dyDescent="0.25">
      <c r="A155" s="11" t="str">
        <f ca="1">TEXT(Regen!A155,"000\,")&amp;TEXT(Regen!B155,"?00000000")&amp;TEXT(Regen!C155,""",""?0")&amp;IF(EXACT(Regen!D155,"T"),", ""tr""",SUBSTITUTE(TEXT(IF(ISTEXT(Regen!D155),Regen!D155,10*Regen!D155),""",""????0;"",""???-0;"",""????0;"", ////"""),"'",""""))&amp;SUBSTITUTE(TEXT(Regen!E155,""",""?00;"",""?-00;"",""?00;"", //"""),"'","""")</f>
        <v>78989, 19130603, 1, ////, 07</v>
      </c>
    </row>
    <row r="156" spans="1:1" x14ac:dyDescent="0.25">
      <c r="A156" s="11" t="str">
        <f ca="1">TEXT(Regen!A156,"000\,")&amp;TEXT(Regen!B156,"?00000000")&amp;TEXT(Regen!C156,""",""?0")&amp;IF(EXACT(Regen!D156,"T"),", ""tr""",SUBSTITUTE(TEXT(IF(ISTEXT(Regen!D156),Regen!D156,10*Regen!D156),""",""????0;"",""???-0;"",""????0;"", ////"""),"'",""""))&amp;SUBSTITUTE(TEXT(Regen!E156,""",""?00;"",""?-00;"",""?00;"", //"""),"'","""")</f>
        <v>78989, 19130604, 1, ////, 07</v>
      </c>
    </row>
    <row r="157" spans="1:1" x14ac:dyDescent="0.25">
      <c r="A157" s="11" t="str">
        <f ca="1">TEXT(Regen!A157,"000\,")&amp;TEXT(Regen!B157,"?00000000")&amp;TEXT(Regen!C157,""",""?0")&amp;IF(EXACT(Regen!D157,"T"),", ""tr""",SUBSTITUTE(TEXT(IF(ISTEXT(Regen!D157),Regen!D157,10*Regen!D157),""",""????0;"",""???-0;"",""????0;"", ////"""),"'",""""))&amp;SUBSTITUTE(TEXT(Regen!E157,""",""?00;"",""?-00;"",""?00;"", //"""),"'","""")</f>
        <v>78989, 19130605, 1, ////, 07</v>
      </c>
    </row>
    <row r="158" spans="1:1" x14ac:dyDescent="0.25">
      <c r="A158" s="11" t="str">
        <f ca="1">TEXT(Regen!A158,"000\,")&amp;TEXT(Regen!B158,"?00000000")&amp;TEXT(Regen!C158,""",""?0")&amp;IF(EXACT(Regen!D158,"T"),", ""tr""",SUBSTITUTE(TEXT(IF(ISTEXT(Regen!D158),Regen!D158,10*Regen!D158),""",""????0;"",""???-0;"",""????0;"", ////"""),"'",""""))&amp;SUBSTITUTE(TEXT(Regen!E158,""",""?00;"",""?-00;"",""?00;"", //"""),"'","""")</f>
        <v>78989, 19130606, 1, ////, 07</v>
      </c>
    </row>
    <row r="159" spans="1:1" x14ac:dyDescent="0.25">
      <c r="A159" s="11" t="str">
        <f ca="1">TEXT(Regen!A159,"000\,")&amp;TEXT(Regen!B159,"?00000000")&amp;TEXT(Regen!C159,""",""?0")&amp;IF(EXACT(Regen!D159,"T"),", ""tr""",SUBSTITUTE(TEXT(IF(ISTEXT(Regen!D159),Regen!D159,10*Regen!D159),""",""????0;"",""???-0;"",""????0;"", ////"""),"'",""""))&amp;SUBSTITUTE(TEXT(Regen!E159,""",""?00;"",""?-00;"",""?00;"", //"""),"'","""")</f>
        <v>78989, 19130607, 1, ////, 07</v>
      </c>
    </row>
    <row r="160" spans="1:1" x14ac:dyDescent="0.25">
      <c r="A160" s="11" t="str">
        <f ca="1">TEXT(Regen!A160,"000\,")&amp;TEXT(Regen!B160,"?00000000")&amp;TEXT(Regen!C160,""",""?0")&amp;IF(EXACT(Regen!D160,"T"),", ""tr""",SUBSTITUTE(TEXT(IF(ISTEXT(Regen!D160),Regen!D160,10*Regen!D160),""",""????0;"",""???-0;"",""????0;"", ////"""),"'",""""))&amp;SUBSTITUTE(TEXT(Regen!E160,""",""?00;"",""?-00;"",""?00;"", //"""),"'","""")</f>
        <v>78989, 19130608, 1, ////, 07</v>
      </c>
    </row>
    <row r="161" spans="1:1" x14ac:dyDescent="0.25">
      <c r="A161" s="11" t="str">
        <f ca="1">TEXT(Regen!A161,"000\,")&amp;TEXT(Regen!B161,"?00000000")&amp;TEXT(Regen!C161,""",""?0")&amp;IF(EXACT(Regen!D161,"T"),", ""tr""",SUBSTITUTE(TEXT(IF(ISTEXT(Regen!D161),Regen!D161,10*Regen!D161),""",""????0;"",""???-0;"",""????0;"", ////"""),"'",""""))&amp;SUBSTITUTE(TEXT(Regen!E161,""",""?00;"",""?-00;"",""?00;"", //"""),"'","""")</f>
        <v>78989, 19130609, 1, ////, 07</v>
      </c>
    </row>
    <row r="162" spans="1:1" x14ac:dyDescent="0.25">
      <c r="A162" s="11" t="str">
        <f ca="1">TEXT(Regen!A162,"000\,")&amp;TEXT(Regen!B162,"?00000000")&amp;TEXT(Regen!C162,""",""?0")&amp;IF(EXACT(Regen!D162,"T"),", ""tr""",SUBSTITUTE(TEXT(IF(ISTEXT(Regen!D162),Regen!D162,10*Regen!D162),""",""????0;"",""???-0;"",""????0;"", ////"""),"'",""""))&amp;SUBSTITUTE(TEXT(Regen!E162,""",""?00;"",""?-00;"",""?00;"", //"""),"'","""")</f>
        <v>78989, 19130610, 1, ////, 07</v>
      </c>
    </row>
    <row r="163" spans="1:1" x14ac:dyDescent="0.25">
      <c r="A163" s="11" t="str">
        <f ca="1">TEXT(Regen!A163,"000\,")&amp;TEXT(Regen!B163,"?00000000")&amp;TEXT(Regen!C163,""",""?0")&amp;IF(EXACT(Regen!D163,"T"),", ""tr""",SUBSTITUTE(TEXT(IF(ISTEXT(Regen!D163),Regen!D163,10*Regen!D163),""",""????0;"",""???-0;"",""????0;"", ////"""),"'",""""))&amp;SUBSTITUTE(TEXT(Regen!E163,""",""?00;"",""?-00;"",""?00;"", //"""),"'","""")</f>
        <v>78989, 19130611, 1, ////, 07</v>
      </c>
    </row>
    <row r="164" spans="1:1" x14ac:dyDescent="0.25">
      <c r="A164" s="11" t="str">
        <f ca="1">TEXT(Regen!A164,"000\,")&amp;TEXT(Regen!B164,"?00000000")&amp;TEXT(Regen!C164,""",""?0")&amp;IF(EXACT(Regen!D164,"T"),", ""tr""",SUBSTITUTE(TEXT(IF(ISTEXT(Regen!D164),Regen!D164,10*Regen!D164),""",""????0;"",""???-0;"",""????0;"", ////"""),"'",""""))&amp;SUBSTITUTE(TEXT(Regen!E164,""",""?00;"",""?-00;"",""?00;"", //"""),"'","""")</f>
        <v>78989, 19130612, 1, ////, 07</v>
      </c>
    </row>
    <row r="165" spans="1:1" x14ac:dyDescent="0.25">
      <c r="A165" s="11" t="str">
        <f ca="1">TEXT(Regen!A165,"000\,")&amp;TEXT(Regen!B165,"?00000000")&amp;TEXT(Regen!C165,""",""?0")&amp;IF(EXACT(Regen!D165,"T"),", ""tr""",SUBSTITUTE(TEXT(IF(ISTEXT(Regen!D165),Regen!D165,10*Regen!D165),""",""????0;"",""???-0;"",""????0;"", ////"""),"'",""""))&amp;SUBSTITUTE(TEXT(Regen!E165,""",""?00;"",""?-00;"",""?00;"", //"""),"'","""")</f>
        <v>78989, 19130613, 1, ////, 07</v>
      </c>
    </row>
    <row r="166" spans="1:1" x14ac:dyDescent="0.25">
      <c r="A166" s="11" t="str">
        <f ca="1">TEXT(Regen!A166,"000\,")&amp;TEXT(Regen!B166,"?00000000")&amp;TEXT(Regen!C166,""",""?0")&amp;IF(EXACT(Regen!D166,"T"),", ""tr""",SUBSTITUTE(TEXT(IF(ISTEXT(Regen!D166),Regen!D166,10*Regen!D166),""",""????0;"",""???-0;"",""????0;"", ////"""),"'",""""))&amp;SUBSTITUTE(TEXT(Regen!E166,""",""?00;"",""?-00;"",""?00;"", //"""),"'","""")</f>
        <v>78989, 19130614, 1, ////, 07</v>
      </c>
    </row>
    <row r="167" spans="1:1" x14ac:dyDescent="0.25">
      <c r="A167" s="11" t="str">
        <f ca="1">TEXT(Regen!A167,"000\,")&amp;TEXT(Regen!B167,"?00000000")&amp;TEXT(Regen!C167,""",""?0")&amp;IF(EXACT(Regen!D167,"T"),", ""tr""",SUBSTITUTE(TEXT(IF(ISTEXT(Regen!D167),Regen!D167,10*Regen!D167),""",""????0;"",""???-0;"",""????0;"", ////"""),"'",""""))&amp;SUBSTITUTE(TEXT(Regen!E167,""",""?00;"",""?-00;"",""?00;"", //"""),"'","""")</f>
        <v>78989, 19130615, 1, ////, 07</v>
      </c>
    </row>
    <row r="168" spans="1:1" x14ac:dyDescent="0.25">
      <c r="A168" s="11" t="str">
        <f ca="1">TEXT(Regen!A168,"000\,")&amp;TEXT(Regen!B168,"?00000000")&amp;TEXT(Regen!C168,""",""?0")&amp;IF(EXACT(Regen!D168,"T"),", ""tr""",SUBSTITUTE(TEXT(IF(ISTEXT(Regen!D168),Regen!D168,10*Regen!D168),""",""????0;"",""???-0;"",""????0;"", ////"""),"'",""""))&amp;SUBSTITUTE(TEXT(Regen!E168,""",""?00;"",""?-00;"",""?00;"", //"""),"'","""")</f>
        <v>78989, 19130616, 1, ////, 07</v>
      </c>
    </row>
    <row r="169" spans="1:1" x14ac:dyDescent="0.25">
      <c r="A169" s="11" t="str">
        <f ca="1">TEXT(Regen!A169,"000\,")&amp;TEXT(Regen!B169,"?00000000")&amp;TEXT(Regen!C169,""",""?0")&amp;IF(EXACT(Regen!D169,"T"),", ""tr""",SUBSTITUTE(TEXT(IF(ISTEXT(Regen!D169),Regen!D169,10*Regen!D169),""",""????0;"",""???-0;"",""????0;"", ////"""),"'",""""))&amp;SUBSTITUTE(TEXT(Regen!E169,""",""?00;"",""?-00;"",""?00;"", //"""),"'","""")</f>
        <v>78989, 19130617, 1, ////, 07</v>
      </c>
    </row>
    <row r="170" spans="1:1" x14ac:dyDescent="0.25">
      <c r="A170" s="11" t="str">
        <f ca="1">TEXT(Regen!A170,"000\,")&amp;TEXT(Regen!B170,"?00000000")&amp;TEXT(Regen!C170,""",""?0")&amp;IF(EXACT(Regen!D170,"T"),", ""tr""",SUBSTITUTE(TEXT(IF(ISTEXT(Regen!D170),Regen!D170,10*Regen!D170),""",""????0;"",""???-0;"",""????0;"", ////"""),"'",""""))&amp;SUBSTITUTE(TEXT(Regen!E170,""",""?00;"",""?-00;"",""?00;"", //"""),"'","""")</f>
        <v>78989, 19130618, 1, ////, 07</v>
      </c>
    </row>
    <row r="171" spans="1:1" x14ac:dyDescent="0.25">
      <c r="A171" s="11" t="str">
        <f ca="1">TEXT(Regen!A171,"000\,")&amp;TEXT(Regen!B171,"?00000000")&amp;TEXT(Regen!C171,""",""?0")&amp;IF(EXACT(Regen!D171,"T"),", ""tr""",SUBSTITUTE(TEXT(IF(ISTEXT(Regen!D171),Regen!D171,10*Regen!D171),""",""????0;"",""???-0;"",""????0;"", ////"""),"'",""""))&amp;SUBSTITUTE(TEXT(Regen!E171,""",""?00;"",""?-00;"",""?00;"", //"""),"'","""")</f>
        <v>78989, 19130619, 1, ////, 07</v>
      </c>
    </row>
    <row r="172" spans="1:1" x14ac:dyDescent="0.25">
      <c r="A172" s="11" t="str">
        <f ca="1">TEXT(Regen!A172,"000\,")&amp;TEXT(Regen!B172,"?00000000")&amp;TEXT(Regen!C172,""",""?0")&amp;IF(EXACT(Regen!D172,"T"),", ""tr""",SUBSTITUTE(TEXT(IF(ISTEXT(Regen!D172),Regen!D172,10*Regen!D172),""",""????0;"",""???-0;"",""????0;"", ////"""),"'",""""))&amp;SUBSTITUTE(TEXT(Regen!E172,""",""?00;"",""?-00;"",""?00;"", //"""),"'","""")</f>
        <v>78989, 19130620, 1, ////, 07</v>
      </c>
    </row>
    <row r="173" spans="1:1" x14ac:dyDescent="0.25">
      <c r="A173" s="11" t="str">
        <f ca="1">TEXT(Regen!A173,"000\,")&amp;TEXT(Regen!B173,"?00000000")&amp;TEXT(Regen!C173,""",""?0")&amp;IF(EXACT(Regen!D173,"T"),", ""tr""",SUBSTITUTE(TEXT(IF(ISTEXT(Regen!D173),Regen!D173,10*Regen!D173),""",""????0;"",""???-0;"",""????0;"", ////"""),"'",""""))&amp;SUBSTITUTE(TEXT(Regen!E173,""",""?00;"",""?-00;"",""?00;"", //"""),"'","""")</f>
        <v>78989, 19130621, 1, ////, 07</v>
      </c>
    </row>
    <row r="174" spans="1:1" x14ac:dyDescent="0.25">
      <c r="A174" s="11" t="str">
        <f ca="1">TEXT(Regen!A174,"000\,")&amp;TEXT(Regen!B174,"?00000000")&amp;TEXT(Regen!C174,""",""?0")&amp;IF(EXACT(Regen!D174,"T"),", ""tr""",SUBSTITUTE(TEXT(IF(ISTEXT(Regen!D174),Regen!D174,10*Regen!D174),""",""????0;"",""???-0;"",""????0;"", ////"""),"'",""""))&amp;SUBSTITUTE(TEXT(Regen!E174,""",""?00;"",""?-00;"",""?00;"", //"""),"'","""")</f>
        <v>78989, 19130622, 1, ////, 07</v>
      </c>
    </row>
    <row r="175" spans="1:1" x14ac:dyDescent="0.25">
      <c r="A175" s="11" t="str">
        <f ca="1">TEXT(Regen!A175,"000\,")&amp;TEXT(Regen!B175,"?00000000")&amp;TEXT(Regen!C175,""",""?0")&amp;IF(EXACT(Regen!D175,"T"),", ""tr""",SUBSTITUTE(TEXT(IF(ISTEXT(Regen!D175),Regen!D175,10*Regen!D175),""",""????0;"",""???-0;"",""????0;"", ////"""),"'",""""))&amp;SUBSTITUTE(TEXT(Regen!E175,""",""?00;"",""?-00;"",""?00;"", //"""),"'","""")</f>
        <v>78989, 19130623, 1, ////, 07</v>
      </c>
    </row>
    <row r="176" spans="1:1" x14ac:dyDescent="0.25">
      <c r="A176" s="11" t="str">
        <f ca="1">TEXT(Regen!A176,"000\,")&amp;TEXT(Regen!B176,"?00000000")&amp;TEXT(Regen!C176,""",""?0")&amp;IF(EXACT(Regen!D176,"T"),", ""tr""",SUBSTITUTE(TEXT(IF(ISTEXT(Regen!D176),Regen!D176,10*Regen!D176),""",""????0;"",""???-0;"",""????0;"", ////"""),"'",""""))&amp;SUBSTITUTE(TEXT(Regen!E176,""",""?00;"",""?-00;"",""?00;"", //"""),"'","""")</f>
        <v>78989, 19130624, 1, ////, 07</v>
      </c>
    </row>
    <row r="177" spans="1:1" x14ac:dyDescent="0.25">
      <c r="A177" s="11" t="str">
        <f ca="1">TEXT(Regen!A177,"000\,")&amp;TEXT(Regen!B177,"?00000000")&amp;TEXT(Regen!C177,""",""?0")&amp;IF(EXACT(Regen!D177,"T"),", ""tr""",SUBSTITUTE(TEXT(IF(ISTEXT(Regen!D177),Regen!D177,10*Regen!D177),""",""????0;"",""???-0;"",""????0;"", ////"""),"'",""""))&amp;SUBSTITUTE(TEXT(Regen!E177,""",""?00;"",""?-00;"",""?00;"", //"""),"'","""")</f>
        <v>78989, 19130625, 1, ////, 07</v>
      </c>
    </row>
    <row r="178" spans="1:1" x14ac:dyDescent="0.25">
      <c r="A178" s="11" t="str">
        <f ca="1">TEXT(Regen!A178,"000\,")&amp;TEXT(Regen!B178,"?00000000")&amp;TEXT(Regen!C178,""",""?0")&amp;IF(EXACT(Regen!D178,"T"),", ""tr""",SUBSTITUTE(TEXT(IF(ISTEXT(Regen!D178),Regen!D178,10*Regen!D178),""",""????0;"",""???-0;"",""????0;"", ////"""),"'",""""))&amp;SUBSTITUTE(TEXT(Regen!E178,""",""?00;"",""?-00;"",""?00;"", //"""),"'","""")</f>
        <v>78989, 19130626, 1, ////, 07</v>
      </c>
    </row>
    <row r="179" spans="1:1" x14ac:dyDescent="0.25">
      <c r="A179" s="11" t="str">
        <f ca="1">TEXT(Regen!A179,"000\,")&amp;TEXT(Regen!B179,"?00000000")&amp;TEXT(Regen!C179,""",""?0")&amp;IF(EXACT(Regen!D179,"T"),", ""tr""",SUBSTITUTE(TEXT(IF(ISTEXT(Regen!D179),Regen!D179,10*Regen!D179),""",""????0;"",""???-0;"",""????0;"", ////"""),"'",""""))&amp;SUBSTITUTE(TEXT(Regen!E179,""",""?00;"",""?-00;"",""?00;"", //"""),"'","""")</f>
        <v>78989, 19130627, 1, ////, 07</v>
      </c>
    </row>
    <row r="180" spans="1:1" x14ac:dyDescent="0.25">
      <c r="A180" s="11" t="str">
        <f ca="1">TEXT(Regen!A180,"000\,")&amp;TEXT(Regen!B180,"?00000000")&amp;TEXT(Regen!C180,""",""?0")&amp;IF(EXACT(Regen!D180,"T"),", ""tr""",SUBSTITUTE(TEXT(IF(ISTEXT(Regen!D180),Regen!D180,10*Regen!D180),""",""????0;"",""???-0;"",""????0;"", ////"""),"'",""""))&amp;SUBSTITUTE(TEXT(Regen!E180,""",""?00;"",""?-00;"",""?00;"", //"""),"'","""")</f>
        <v>78989, 19130628, 1, ////, 07</v>
      </c>
    </row>
    <row r="181" spans="1:1" x14ac:dyDescent="0.25">
      <c r="A181" s="11" t="str">
        <f ca="1">TEXT(Regen!A181,"000\,")&amp;TEXT(Regen!B181,"?00000000")&amp;TEXT(Regen!C181,""",""?0")&amp;IF(EXACT(Regen!D181,"T"),", ""tr""",SUBSTITUTE(TEXT(IF(ISTEXT(Regen!D181),Regen!D181,10*Regen!D181),""",""????0;"",""???-0;"",""????0;"", ////"""),"'",""""))&amp;SUBSTITUTE(TEXT(Regen!E181,""",""?00;"",""?-00;"",""?00;"", //"""),"'","""")</f>
        <v>78989, 19130629, 1, ////, 07</v>
      </c>
    </row>
    <row r="182" spans="1:1" x14ac:dyDescent="0.25">
      <c r="A182" s="11" t="str">
        <f ca="1">TEXT(Regen!A182,"000\,")&amp;TEXT(Regen!B182,"?00000000")&amp;TEXT(Regen!C182,""",""?0")&amp;IF(EXACT(Regen!D182,"T"),", ""tr""",SUBSTITUTE(TEXT(IF(ISTEXT(Regen!D182),Regen!D182,10*Regen!D182),""",""????0;"",""???-0;"",""????0;"", ////"""),"'",""""))&amp;SUBSTITUTE(TEXT(Regen!E182,""",""?00;"",""?-00;"",""?00;"", //"""),"'","""")</f>
        <v>78989, 19130630, 1, ////, 07</v>
      </c>
    </row>
    <row r="183" spans="1:1" x14ac:dyDescent="0.25">
      <c r="A183" s="11" t="str">
        <f ca="1">TEXT(Regen!A183,"000\,")&amp;TEXT(Regen!B183,"?00000000")&amp;TEXT(Regen!C183,""",""?0")&amp;IF(EXACT(Regen!D183,"T"),", ""tr""",SUBSTITUTE(TEXT(IF(ISTEXT(Regen!D183),Regen!D183,10*Regen!D183),""",""????0;"",""???-0;"",""????0;"", ////"""),"'",""""))&amp;SUBSTITUTE(TEXT(Regen!E183,""",""?00;"",""?-00;"",""?00;"", //"""),"'","""")</f>
        <v>78989, 19130701, 1, ////, 07</v>
      </c>
    </row>
    <row r="184" spans="1:1" x14ac:dyDescent="0.25">
      <c r="A184" s="11" t="str">
        <f ca="1">TEXT(Regen!A184,"000\,")&amp;TEXT(Regen!B184,"?00000000")&amp;TEXT(Regen!C184,""",""?0")&amp;IF(EXACT(Regen!D184,"T"),", ""tr""",SUBSTITUTE(TEXT(IF(ISTEXT(Regen!D184),Regen!D184,10*Regen!D184),""",""????0;"",""???-0;"",""????0;"", ////"""),"'",""""))&amp;SUBSTITUTE(TEXT(Regen!E184,""",""?00;"",""?-00;"",""?00;"", //"""),"'","""")</f>
        <v>78989, 19130702, 1, ////, 07</v>
      </c>
    </row>
    <row r="185" spans="1:1" x14ac:dyDescent="0.25">
      <c r="A185" s="11" t="str">
        <f ca="1">TEXT(Regen!A185,"000\,")&amp;TEXT(Regen!B185,"?00000000")&amp;TEXT(Regen!C185,""",""?0")&amp;IF(EXACT(Regen!D185,"T"),", ""tr""",SUBSTITUTE(TEXT(IF(ISTEXT(Regen!D185),Regen!D185,10*Regen!D185),""",""????0;"",""???-0;"",""????0;"", ////"""),"'",""""))&amp;SUBSTITUTE(TEXT(Regen!E185,""",""?00;"",""?-00;"",""?00;"", //"""),"'","""")</f>
        <v>78989, 19130703, 1, ////, 07</v>
      </c>
    </row>
    <row r="186" spans="1:1" x14ac:dyDescent="0.25">
      <c r="A186" s="11" t="str">
        <f ca="1">TEXT(Regen!A186,"000\,")&amp;TEXT(Regen!B186,"?00000000")&amp;TEXT(Regen!C186,""",""?0")&amp;IF(EXACT(Regen!D186,"T"),", ""tr""",SUBSTITUTE(TEXT(IF(ISTEXT(Regen!D186),Regen!D186,10*Regen!D186),""",""????0;"",""???-0;"",""????0;"", ////"""),"'",""""))&amp;SUBSTITUTE(TEXT(Regen!E186,""",""?00;"",""?-00;"",""?00;"", //"""),"'","""")</f>
        <v>78989, 19130704, 1, ////, 07</v>
      </c>
    </row>
    <row r="187" spans="1:1" x14ac:dyDescent="0.25">
      <c r="A187" s="11" t="str">
        <f ca="1">TEXT(Regen!A187,"000\,")&amp;TEXT(Regen!B187,"?00000000")&amp;TEXT(Regen!C187,""",""?0")&amp;IF(EXACT(Regen!D187,"T"),", ""tr""",SUBSTITUTE(TEXT(IF(ISTEXT(Regen!D187),Regen!D187,10*Regen!D187),""",""????0;"",""???-0;"",""????0;"", ////"""),"'",""""))&amp;SUBSTITUTE(TEXT(Regen!E187,""",""?00;"",""?-00;"",""?00;"", //"""),"'","""")</f>
        <v>78989, 19130705, 1, ////, 07</v>
      </c>
    </row>
    <row r="188" spans="1:1" x14ac:dyDescent="0.25">
      <c r="A188" s="11" t="str">
        <f ca="1">TEXT(Regen!A188,"000\,")&amp;TEXT(Regen!B188,"?00000000")&amp;TEXT(Regen!C188,""",""?0")&amp;IF(EXACT(Regen!D188,"T"),", ""tr""",SUBSTITUTE(TEXT(IF(ISTEXT(Regen!D188),Regen!D188,10*Regen!D188),""",""????0;"",""???-0;"",""????0;"", ////"""),"'",""""))&amp;SUBSTITUTE(TEXT(Regen!E188,""",""?00;"",""?-00;"",""?00;"", //"""),"'","""")</f>
        <v>78989, 19130706, 1, ////, 07</v>
      </c>
    </row>
    <row r="189" spans="1:1" x14ac:dyDescent="0.25">
      <c r="A189" s="11" t="str">
        <f ca="1">TEXT(Regen!A189,"000\,")&amp;TEXT(Regen!B189,"?00000000")&amp;TEXT(Regen!C189,""",""?0")&amp;IF(EXACT(Regen!D189,"T"),", ""tr""",SUBSTITUTE(TEXT(IF(ISTEXT(Regen!D189),Regen!D189,10*Regen!D189),""",""????0;"",""???-0;"",""????0;"", ////"""),"'",""""))&amp;SUBSTITUTE(TEXT(Regen!E189,""",""?00;"",""?-00;"",""?00;"", //"""),"'","""")</f>
        <v>78989, 19130707, 1, ////, 07</v>
      </c>
    </row>
    <row r="190" spans="1:1" x14ac:dyDescent="0.25">
      <c r="A190" s="11" t="str">
        <f ca="1">TEXT(Regen!A190,"000\,")&amp;TEXT(Regen!B190,"?00000000")&amp;TEXT(Regen!C190,""",""?0")&amp;IF(EXACT(Regen!D190,"T"),", ""tr""",SUBSTITUTE(TEXT(IF(ISTEXT(Regen!D190),Regen!D190,10*Regen!D190),""",""????0;"",""???-0;"",""????0;"", ////"""),"'",""""))&amp;SUBSTITUTE(TEXT(Regen!E190,""",""?00;"",""?-00;"",""?00;"", //"""),"'","""")</f>
        <v>78989, 19130708, 1, ////, 07</v>
      </c>
    </row>
    <row r="191" spans="1:1" x14ac:dyDescent="0.25">
      <c r="A191" s="11" t="str">
        <f ca="1">TEXT(Regen!A191,"000\,")&amp;TEXT(Regen!B191,"?00000000")&amp;TEXT(Regen!C191,""",""?0")&amp;IF(EXACT(Regen!D191,"T"),", ""tr""",SUBSTITUTE(TEXT(IF(ISTEXT(Regen!D191),Regen!D191,10*Regen!D191),""",""????0;"",""???-0;"",""????0;"", ////"""),"'",""""))&amp;SUBSTITUTE(TEXT(Regen!E191,""",""?00;"",""?-00;"",""?00;"", //"""),"'","""")</f>
        <v>78989, 19130709, 1, ////, 07</v>
      </c>
    </row>
    <row r="192" spans="1:1" x14ac:dyDescent="0.25">
      <c r="A192" s="11" t="str">
        <f ca="1">TEXT(Regen!A192,"000\,")&amp;TEXT(Regen!B192,"?00000000")&amp;TEXT(Regen!C192,""",""?0")&amp;IF(EXACT(Regen!D192,"T"),", ""tr""",SUBSTITUTE(TEXT(IF(ISTEXT(Regen!D192),Regen!D192,10*Regen!D192),""",""????0;"",""???-0;"",""????0;"", ////"""),"'",""""))&amp;SUBSTITUTE(TEXT(Regen!E192,""",""?00;"",""?-00;"",""?00;"", //"""),"'","""")</f>
        <v>78989, 19130710, 1, ////, 07</v>
      </c>
    </row>
    <row r="193" spans="1:1" x14ac:dyDescent="0.25">
      <c r="A193" s="11" t="str">
        <f ca="1">TEXT(Regen!A193,"000\,")&amp;TEXT(Regen!B193,"?00000000")&amp;TEXT(Regen!C193,""",""?0")&amp;IF(EXACT(Regen!D193,"T"),", ""tr""",SUBSTITUTE(TEXT(IF(ISTEXT(Regen!D193),Regen!D193,10*Regen!D193),""",""????0;"",""???-0;"",""????0;"", ////"""),"'",""""))&amp;SUBSTITUTE(TEXT(Regen!E193,""",""?00;"",""?-00;"",""?00;"", //"""),"'","""")</f>
        <v>78989, 19130711, 1, ////, 07</v>
      </c>
    </row>
    <row r="194" spans="1:1" x14ac:dyDescent="0.25">
      <c r="A194" s="11" t="str">
        <f ca="1">TEXT(Regen!A194,"000\,")&amp;TEXT(Regen!B194,"?00000000")&amp;TEXT(Regen!C194,""",""?0")&amp;IF(EXACT(Regen!D194,"T"),", ""tr""",SUBSTITUTE(TEXT(IF(ISTEXT(Regen!D194),Regen!D194,10*Regen!D194),""",""????0;"",""???-0;"",""????0;"", ////"""),"'",""""))&amp;SUBSTITUTE(TEXT(Regen!E194,""",""?00;"",""?-00;"",""?00;"", //"""),"'","""")</f>
        <v>78989, 19130712, 1, ////, 07</v>
      </c>
    </row>
    <row r="195" spans="1:1" x14ac:dyDescent="0.25">
      <c r="A195" s="11" t="str">
        <f ca="1">TEXT(Regen!A195,"000\,")&amp;TEXT(Regen!B195,"?00000000")&amp;TEXT(Regen!C195,""",""?0")&amp;IF(EXACT(Regen!D195,"T"),", ""tr""",SUBSTITUTE(TEXT(IF(ISTEXT(Regen!D195),Regen!D195,10*Regen!D195),""",""????0;"",""???-0;"",""????0;"", ////"""),"'",""""))&amp;SUBSTITUTE(TEXT(Regen!E195,""",""?00;"",""?-00;"",""?00;"", //"""),"'","""")</f>
        <v>78989, 19130713, 1, ////, 07</v>
      </c>
    </row>
    <row r="196" spans="1:1" x14ac:dyDescent="0.25">
      <c r="A196" s="11" t="str">
        <f ca="1">TEXT(Regen!A196,"000\,")&amp;TEXT(Regen!B196,"?00000000")&amp;TEXT(Regen!C196,""",""?0")&amp;IF(EXACT(Regen!D196,"T"),", ""tr""",SUBSTITUTE(TEXT(IF(ISTEXT(Regen!D196),Regen!D196,10*Regen!D196),""",""????0;"",""???-0;"",""????0;"", ////"""),"'",""""))&amp;SUBSTITUTE(TEXT(Regen!E196,""",""?00;"",""?-00;"",""?00;"", //"""),"'","""")</f>
        <v>78989, 19130714, 1, ////, 07</v>
      </c>
    </row>
    <row r="197" spans="1:1" x14ac:dyDescent="0.25">
      <c r="A197" s="11" t="str">
        <f ca="1">TEXT(Regen!A197,"000\,")&amp;TEXT(Regen!B197,"?00000000")&amp;TEXT(Regen!C197,""",""?0")&amp;IF(EXACT(Regen!D197,"T"),", ""tr""",SUBSTITUTE(TEXT(IF(ISTEXT(Regen!D197),Regen!D197,10*Regen!D197),""",""????0;"",""???-0;"",""????0;"", ////"""),"'",""""))&amp;SUBSTITUTE(TEXT(Regen!E197,""",""?00;"",""?-00;"",""?00;"", //"""),"'","""")</f>
        <v>78989, 19130715, 1, ////, 07</v>
      </c>
    </row>
    <row r="198" spans="1:1" x14ac:dyDescent="0.25">
      <c r="A198" s="11" t="str">
        <f ca="1">TEXT(Regen!A198,"000\,")&amp;TEXT(Regen!B198,"?00000000")&amp;TEXT(Regen!C198,""",""?0")&amp;IF(EXACT(Regen!D198,"T"),", ""tr""",SUBSTITUTE(TEXT(IF(ISTEXT(Regen!D198),Regen!D198,10*Regen!D198),""",""????0;"",""???-0;"",""????0;"", ////"""),"'",""""))&amp;SUBSTITUTE(TEXT(Regen!E198,""",""?00;"",""?-00;"",""?00;"", //"""),"'","""")</f>
        <v>78989, 19130716, 1, ////, 07</v>
      </c>
    </row>
    <row r="199" spans="1:1" x14ac:dyDescent="0.25">
      <c r="A199" s="11" t="str">
        <f ca="1">TEXT(Regen!A199,"000\,")&amp;TEXT(Regen!B199,"?00000000")&amp;TEXT(Regen!C199,""",""?0")&amp;IF(EXACT(Regen!D199,"T"),", ""tr""",SUBSTITUTE(TEXT(IF(ISTEXT(Regen!D199),Regen!D199,10*Regen!D199),""",""????0;"",""???-0;"",""????0;"", ////"""),"'",""""))&amp;SUBSTITUTE(TEXT(Regen!E199,""",""?00;"",""?-00;"",""?00;"", //"""),"'","""")</f>
        <v>78989, 19130717, 1, ////, 07</v>
      </c>
    </row>
    <row r="200" spans="1:1" x14ac:dyDescent="0.25">
      <c r="A200" s="11" t="str">
        <f ca="1">TEXT(Regen!A200,"000\,")&amp;TEXT(Regen!B200,"?00000000")&amp;TEXT(Regen!C200,""",""?0")&amp;IF(EXACT(Regen!D200,"T"),", ""tr""",SUBSTITUTE(TEXT(IF(ISTEXT(Regen!D200),Regen!D200,10*Regen!D200),""",""????0;"",""???-0;"",""????0;"", ////"""),"'",""""))&amp;SUBSTITUTE(TEXT(Regen!E200,""",""?00;"",""?-00;"",""?00;"", //"""),"'","""")</f>
        <v>78989, 19130718, 1, ////, 07</v>
      </c>
    </row>
    <row r="201" spans="1:1" x14ac:dyDescent="0.25">
      <c r="A201" s="11" t="str">
        <f ca="1">TEXT(Regen!A201,"000\,")&amp;TEXT(Regen!B201,"?00000000")&amp;TEXT(Regen!C201,""",""?0")&amp;IF(EXACT(Regen!D201,"T"),", ""tr""",SUBSTITUTE(TEXT(IF(ISTEXT(Regen!D201),Regen!D201,10*Regen!D201),""",""????0;"",""???-0;"",""????0;"", ////"""),"'",""""))&amp;SUBSTITUTE(TEXT(Regen!E201,""",""?00;"",""?-00;"",""?00;"", //"""),"'","""")</f>
        <v>78989, 19130719, 1, ////, 07</v>
      </c>
    </row>
    <row r="202" spans="1:1" x14ac:dyDescent="0.25">
      <c r="A202" s="11" t="str">
        <f ca="1">TEXT(Regen!A202,"000\,")&amp;TEXT(Regen!B202,"?00000000")&amp;TEXT(Regen!C202,""",""?0")&amp;IF(EXACT(Regen!D202,"T"),", ""tr""",SUBSTITUTE(TEXT(IF(ISTEXT(Regen!D202),Regen!D202,10*Regen!D202),""",""????0;"",""???-0;"",""????0;"", ////"""),"'",""""))&amp;SUBSTITUTE(TEXT(Regen!E202,""",""?00;"",""?-00;"",""?00;"", //"""),"'","""")</f>
        <v>78989, 19130720, 1, ////, 07</v>
      </c>
    </row>
    <row r="203" spans="1:1" x14ac:dyDescent="0.25">
      <c r="A203" s="11" t="str">
        <f ca="1">TEXT(Regen!A203,"000\,")&amp;TEXT(Regen!B203,"?00000000")&amp;TEXT(Regen!C203,""",""?0")&amp;IF(EXACT(Regen!D203,"T"),", ""tr""",SUBSTITUTE(TEXT(IF(ISTEXT(Regen!D203),Regen!D203,10*Regen!D203),""",""????0;"",""???-0;"",""????0;"", ////"""),"'",""""))&amp;SUBSTITUTE(TEXT(Regen!E203,""",""?00;"",""?-00;"",""?00;"", //"""),"'","""")</f>
        <v>78989, 19130721, 1, ////, 07</v>
      </c>
    </row>
    <row r="204" spans="1:1" x14ac:dyDescent="0.25">
      <c r="A204" s="11" t="str">
        <f ca="1">TEXT(Regen!A204,"000\,")&amp;TEXT(Regen!B204,"?00000000")&amp;TEXT(Regen!C204,""",""?0")&amp;IF(EXACT(Regen!D204,"T"),", ""tr""",SUBSTITUTE(TEXT(IF(ISTEXT(Regen!D204),Regen!D204,10*Regen!D204),""",""????0;"",""???-0;"",""????0;"", ////"""),"'",""""))&amp;SUBSTITUTE(TEXT(Regen!E204,""",""?00;"",""?-00;"",""?00;"", //"""),"'","""")</f>
        <v>78989, 19130722, 1, ////, 07</v>
      </c>
    </row>
    <row r="205" spans="1:1" x14ac:dyDescent="0.25">
      <c r="A205" s="11" t="str">
        <f ca="1">TEXT(Regen!A205,"000\,")&amp;TEXT(Regen!B205,"?00000000")&amp;TEXT(Regen!C205,""",""?0")&amp;IF(EXACT(Regen!D205,"T"),", ""tr""",SUBSTITUTE(TEXT(IF(ISTEXT(Regen!D205),Regen!D205,10*Regen!D205),""",""????0;"",""???-0;"",""????0;"", ////"""),"'",""""))&amp;SUBSTITUTE(TEXT(Regen!E205,""",""?00;"",""?-00;"",""?00;"", //"""),"'","""")</f>
        <v>78989, 19130723, 1, ////, 07</v>
      </c>
    </row>
    <row r="206" spans="1:1" x14ac:dyDescent="0.25">
      <c r="A206" s="11" t="str">
        <f ca="1">TEXT(Regen!A206,"000\,")&amp;TEXT(Regen!B206,"?00000000")&amp;TEXT(Regen!C206,""",""?0")&amp;IF(EXACT(Regen!D206,"T"),", ""tr""",SUBSTITUTE(TEXT(IF(ISTEXT(Regen!D206),Regen!D206,10*Regen!D206),""",""????0;"",""???-0;"",""????0;"", ////"""),"'",""""))&amp;SUBSTITUTE(TEXT(Regen!E206,""",""?00;"",""?-00;"",""?00;"", //"""),"'","""")</f>
        <v>78989, 19130724, 1, ////, 07</v>
      </c>
    </row>
    <row r="207" spans="1:1" x14ac:dyDescent="0.25">
      <c r="A207" s="11" t="str">
        <f ca="1">TEXT(Regen!A207,"000\,")&amp;TEXT(Regen!B207,"?00000000")&amp;TEXT(Regen!C207,""",""?0")&amp;IF(EXACT(Regen!D207,"T"),", ""tr""",SUBSTITUTE(TEXT(IF(ISTEXT(Regen!D207),Regen!D207,10*Regen!D207),""",""????0;"",""???-0;"",""????0;"", ////"""),"'",""""))&amp;SUBSTITUTE(TEXT(Regen!E207,""",""?00;"",""?-00;"",""?00;"", //"""),"'","""")</f>
        <v>78989, 19130725, 1, ////, 07</v>
      </c>
    </row>
    <row r="208" spans="1:1" x14ac:dyDescent="0.25">
      <c r="A208" s="11" t="str">
        <f ca="1">TEXT(Regen!A208,"000\,")&amp;TEXT(Regen!B208,"?00000000")&amp;TEXT(Regen!C208,""",""?0")&amp;IF(EXACT(Regen!D208,"T"),", ""tr""",SUBSTITUTE(TEXT(IF(ISTEXT(Regen!D208),Regen!D208,10*Regen!D208),""",""????0;"",""???-0;"",""????0;"", ////"""),"'",""""))&amp;SUBSTITUTE(TEXT(Regen!E208,""",""?00;"",""?-00;"",""?00;"", //"""),"'","""")</f>
        <v>78989, 19130726, 1, ////, 07</v>
      </c>
    </row>
    <row r="209" spans="1:1" x14ac:dyDescent="0.25">
      <c r="A209" s="11" t="str">
        <f ca="1">TEXT(Regen!A209,"000\,")&amp;TEXT(Regen!B209,"?00000000")&amp;TEXT(Regen!C209,""",""?0")&amp;IF(EXACT(Regen!D209,"T"),", ""tr""",SUBSTITUTE(TEXT(IF(ISTEXT(Regen!D209),Regen!D209,10*Regen!D209),""",""????0;"",""???-0;"",""????0;"", ////"""),"'",""""))&amp;SUBSTITUTE(TEXT(Regen!E209,""",""?00;"",""?-00;"",""?00;"", //"""),"'","""")</f>
        <v>78989, 19130727, 1, ////, 07</v>
      </c>
    </row>
    <row r="210" spans="1:1" x14ac:dyDescent="0.25">
      <c r="A210" s="11" t="str">
        <f ca="1">TEXT(Regen!A210,"000\,")&amp;TEXT(Regen!B210,"?00000000")&amp;TEXT(Regen!C210,""",""?0")&amp;IF(EXACT(Regen!D210,"T"),", ""tr""",SUBSTITUTE(TEXT(IF(ISTEXT(Regen!D210),Regen!D210,10*Regen!D210),""",""????0;"",""???-0;"",""????0;"", ////"""),"'",""""))&amp;SUBSTITUTE(TEXT(Regen!E210,""",""?00;"",""?-00;"",""?00;"", //"""),"'","""")</f>
        <v>78989, 19130728, 1, ////, 07</v>
      </c>
    </row>
    <row r="211" spans="1:1" x14ac:dyDescent="0.25">
      <c r="A211" s="11" t="str">
        <f ca="1">TEXT(Regen!A211,"000\,")&amp;TEXT(Regen!B211,"?00000000")&amp;TEXT(Regen!C211,""",""?0")&amp;IF(EXACT(Regen!D211,"T"),", ""tr""",SUBSTITUTE(TEXT(IF(ISTEXT(Regen!D211),Regen!D211,10*Regen!D211),""",""????0;"",""???-0;"",""????0;"", ////"""),"'",""""))&amp;SUBSTITUTE(TEXT(Regen!E211,""",""?00;"",""?-00;"",""?00;"", //"""),"'","""")</f>
        <v>78989, 19130729, 1, ////, 07</v>
      </c>
    </row>
    <row r="212" spans="1:1" x14ac:dyDescent="0.25">
      <c r="A212" s="11" t="str">
        <f ca="1">TEXT(Regen!A212,"000\,")&amp;TEXT(Regen!B212,"?00000000")&amp;TEXT(Regen!C212,""",""?0")&amp;IF(EXACT(Regen!D212,"T"),", ""tr""",SUBSTITUTE(TEXT(IF(ISTEXT(Regen!D212),Regen!D212,10*Regen!D212),""",""????0;"",""???-0;"",""????0;"", ////"""),"'",""""))&amp;SUBSTITUTE(TEXT(Regen!E212,""",""?00;"",""?-00;"",""?00;"", //"""),"'","""")</f>
        <v>78989, 19130730, 1, ////, 07</v>
      </c>
    </row>
    <row r="213" spans="1:1" x14ac:dyDescent="0.25">
      <c r="A213" s="11" t="str">
        <f ca="1">TEXT(Regen!A213,"000\,")&amp;TEXT(Regen!B213,"?00000000")&amp;TEXT(Regen!C213,""",""?0")&amp;IF(EXACT(Regen!D213,"T"),", ""tr""",SUBSTITUTE(TEXT(IF(ISTEXT(Regen!D213),Regen!D213,10*Regen!D213),""",""????0;"",""???-0;"",""????0;"", ////"""),"'",""""))&amp;SUBSTITUTE(TEXT(Regen!E213,""",""?00;"",""?-00;"",""?00;"", //"""),"'","""")</f>
        <v>78989, 19130731, 1, ////, 07</v>
      </c>
    </row>
    <row r="214" spans="1:1" x14ac:dyDescent="0.25">
      <c r="A214" s="11" t="str">
        <f ca="1">TEXT(Regen!A214,"000\,")&amp;TEXT(Regen!B214,"?00000000")&amp;TEXT(Regen!C214,""",""?0")&amp;IF(EXACT(Regen!D214,"T"),", ""tr""",SUBSTITUTE(TEXT(IF(ISTEXT(Regen!D214),Regen!D214,10*Regen!D214),""",""????0;"",""???-0;"",""????0;"", ////"""),"'",""""))&amp;SUBSTITUTE(TEXT(Regen!E214,""",""?00;"",""?-00;"",""?00;"", //"""),"'","""")</f>
        <v>78989, 19130801, 1, ////, 07</v>
      </c>
    </row>
    <row r="215" spans="1:1" x14ac:dyDescent="0.25">
      <c r="A215" s="11" t="str">
        <f ca="1">TEXT(Regen!A215,"000\,")&amp;TEXT(Regen!B215,"?00000000")&amp;TEXT(Regen!C215,""",""?0")&amp;IF(EXACT(Regen!D215,"T"),", ""tr""",SUBSTITUTE(TEXT(IF(ISTEXT(Regen!D215),Regen!D215,10*Regen!D215),""",""????0;"",""???-0;"",""????0;"", ////"""),"'",""""))&amp;SUBSTITUTE(TEXT(Regen!E215,""",""?00;"",""?-00;"",""?00;"", //"""),"'","""")</f>
        <v>78989, 19130802, 1, ////, 07</v>
      </c>
    </row>
    <row r="216" spans="1:1" x14ac:dyDescent="0.25">
      <c r="A216" s="11" t="str">
        <f ca="1">TEXT(Regen!A216,"000\,")&amp;TEXT(Regen!B216,"?00000000")&amp;TEXT(Regen!C216,""",""?0")&amp;IF(EXACT(Regen!D216,"T"),", ""tr""",SUBSTITUTE(TEXT(IF(ISTEXT(Regen!D216),Regen!D216,10*Regen!D216),""",""????0;"",""???-0;"",""????0;"", ////"""),"'",""""))&amp;SUBSTITUTE(TEXT(Regen!E216,""",""?00;"",""?-00;"",""?00;"", //"""),"'","""")</f>
        <v>78989, 19130803, 1, ////, 07</v>
      </c>
    </row>
    <row r="217" spans="1:1" x14ac:dyDescent="0.25">
      <c r="A217" s="11" t="str">
        <f ca="1">TEXT(Regen!A217,"000\,")&amp;TEXT(Regen!B217,"?00000000")&amp;TEXT(Regen!C217,""",""?0")&amp;IF(EXACT(Regen!D217,"T"),", ""tr""",SUBSTITUTE(TEXT(IF(ISTEXT(Regen!D217),Regen!D217,10*Regen!D217),""",""????0;"",""???-0;"",""????0;"", ////"""),"'",""""))&amp;SUBSTITUTE(TEXT(Regen!E217,""",""?00;"",""?-00;"",""?00;"", //"""),"'","""")</f>
        <v>78989, 19130804, 1, ////, 07</v>
      </c>
    </row>
    <row r="218" spans="1:1" x14ac:dyDescent="0.25">
      <c r="A218" s="11" t="str">
        <f ca="1">TEXT(Regen!A218,"000\,")&amp;TEXT(Regen!B218,"?00000000")&amp;TEXT(Regen!C218,""",""?0")&amp;IF(EXACT(Regen!D218,"T"),", ""tr""",SUBSTITUTE(TEXT(IF(ISTEXT(Regen!D218),Regen!D218,10*Regen!D218),""",""????0;"",""???-0;"",""????0;"", ////"""),"'",""""))&amp;SUBSTITUTE(TEXT(Regen!E218,""",""?00;"",""?-00;"",""?00;"", //"""),"'","""")</f>
        <v>78989, 19130805, 1, ////, 07</v>
      </c>
    </row>
    <row r="219" spans="1:1" x14ac:dyDescent="0.25">
      <c r="A219" s="11" t="str">
        <f ca="1">TEXT(Regen!A219,"000\,")&amp;TEXT(Regen!B219,"?00000000")&amp;TEXT(Regen!C219,""",""?0")&amp;IF(EXACT(Regen!D219,"T"),", ""tr""",SUBSTITUTE(TEXT(IF(ISTEXT(Regen!D219),Regen!D219,10*Regen!D219),""",""????0;"",""???-0;"",""????0;"", ////"""),"'",""""))&amp;SUBSTITUTE(TEXT(Regen!E219,""",""?00;"",""?-00;"",""?00;"", //"""),"'","""")</f>
        <v>78989, 19130806, 1, ////, 07</v>
      </c>
    </row>
    <row r="220" spans="1:1" x14ac:dyDescent="0.25">
      <c r="A220" s="11" t="str">
        <f ca="1">TEXT(Regen!A220,"000\,")&amp;TEXT(Regen!B220,"?00000000")&amp;TEXT(Regen!C220,""",""?0")&amp;IF(EXACT(Regen!D220,"T"),", ""tr""",SUBSTITUTE(TEXT(IF(ISTEXT(Regen!D220),Regen!D220,10*Regen!D220),""",""????0;"",""???-0;"",""????0;"", ////"""),"'",""""))&amp;SUBSTITUTE(TEXT(Regen!E220,""",""?00;"",""?-00;"",""?00;"", //"""),"'","""")</f>
        <v>78989, 19130807, 1, ////, 07</v>
      </c>
    </row>
    <row r="221" spans="1:1" x14ac:dyDescent="0.25">
      <c r="A221" s="11" t="str">
        <f ca="1">TEXT(Regen!A221,"000\,")&amp;TEXT(Regen!B221,"?00000000")&amp;TEXT(Regen!C221,""",""?0")&amp;IF(EXACT(Regen!D221,"T"),", ""tr""",SUBSTITUTE(TEXT(IF(ISTEXT(Regen!D221),Regen!D221,10*Regen!D221),""",""????0;"",""???-0;"",""????0;"", ////"""),"'",""""))&amp;SUBSTITUTE(TEXT(Regen!E221,""",""?00;"",""?-00;"",""?00;"", //"""),"'","""")</f>
        <v>78989, 19130808, 1, ////, 07</v>
      </c>
    </row>
    <row r="222" spans="1:1" x14ac:dyDescent="0.25">
      <c r="A222" s="11" t="str">
        <f ca="1">TEXT(Regen!A222,"000\,")&amp;TEXT(Regen!B222,"?00000000")&amp;TEXT(Regen!C222,""",""?0")&amp;IF(EXACT(Regen!D222,"T"),", ""tr""",SUBSTITUTE(TEXT(IF(ISTEXT(Regen!D222),Regen!D222,10*Regen!D222),""",""????0;"",""???-0;"",""????0;"", ////"""),"'",""""))&amp;SUBSTITUTE(TEXT(Regen!E222,""",""?00;"",""?-00;"",""?00;"", //"""),"'","""")</f>
        <v>78989, 19130809, 1, ////, 07</v>
      </c>
    </row>
    <row r="223" spans="1:1" x14ac:dyDescent="0.25">
      <c r="A223" s="11" t="str">
        <f ca="1">TEXT(Regen!A223,"000\,")&amp;TEXT(Regen!B223,"?00000000")&amp;TEXT(Regen!C223,""",""?0")&amp;IF(EXACT(Regen!D223,"T"),", ""tr""",SUBSTITUTE(TEXT(IF(ISTEXT(Regen!D223),Regen!D223,10*Regen!D223),""",""????0;"",""???-0;"",""????0;"", ////"""),"'",""""))&amp;SUBSTITUTE(TEXT(Regen!E223,""",""?00;"",""?-00;"",""?00;"", //"""),"'","""")</f>
        <v>78989, 19130810, 1, ////, 07</v>
      </c>
    </row>
    <row r="224" spans="1:1" x14ac:dyDescent="0.25">
      <c r="A224" s="11" t="str">
        <f ca="1">TEXT(Regen!A224,"000\,")&amp;TEXT(Regen!B224,"?00000000")&amp;TEXT(Regen!C224,""",""?0")&amp;IF(EXACT(Regen!D224,"T"),", ""tr""",SUBSTITUTE(TEXT(IF(ISTEXT(Regen!D224),Regen!D224,10*Regen!D224),""",""????0;"",""???-0;"",""????0;"", ////"""),"'",""""))&amp;SUBSTITUTE(TEXT(Regen!E224,""",""?00;"",""?-00;"",""?00;"", //"""),"'","""")</f>
        <v>78989, 19130811, 1, ////, 07</v>
      </c>
    </row>
    <row r="225" spans="1:1" x14ac:dyDescent="0.25">
      <c r="A225" s="11" t="str">
        <f ca="1">TEXT(Regen!A225,"000\,")&amp;TEXT(Regen!B225,"?00000000")&amp;TEXT(Regen!C225,""",""?0")&amp;IF(EXACT(Regen!D225,"T"),", ""tr""",SUBSTITUTE(TEXT(IF(ISTEXT(Regen!D225),Regen!D225,10*Regen!D225),""",""????0;"",""???-0;"",""????0;"", ////"""),"'",""""))&amp;SUBSTITUTE(TEXT(Regen!E225,""",""?00;"",""?-00;"",""?00;"", //"""),"'","""")</f>
        <v>78989, 19130812, 1, ////, 07</v>
      </c>
    </row>
    <row r="226" spans="1:1" x14ac:dyDescent="0.25">
      <c r="A226" s="11" t="str">
        <f ca="1">TEXT(Regen!A226,"000\,")&amp;TEXT(Regen!B226,"?00000000")&amp;TEXT(Regen!C226,""",""?0")&amp;IF(EXACT(Regen!D226,"T"),", ""tr""",SUBSTITUTE(TEXT(IF(ISTEXT(Regen!D226),Regen!D226,10*Regen!D226),""",""????0;"",""???-0;"",""????0;"", ////"""),"'",""""))&amp;SUBSTITUTE(TEXT(Regen!E226,""",""?00;"",""?-00;"",""?00;"", //"""),"'","""")</f>
        <v>78989, 19130813, 1, ////, 07</v>
      </c>
    </row>
    <row r="227" spans="1:1" x14ac:dyDescent="0.25">
      <c r="A227" s="11" t="str">
        <f ca="1">TEXT(Regen!A227,"000\,")&amp;TEXT(Regen!B227,"?00000000")&amp;TEXT(Regen!C227,""",""?0")&amp;IF(EXACT(Regen!D227,"T"),", ""tr""",SUBSTITUTE(TEXT(IF(ISTEXT(Regen!D227),Regen!D227,10*Regen!D227),""",""????0;"",""???-0;"",""????0;"", ////"""),"'",""""))&amp;SUBSTITUTE(TEXT(Regen!E227,""",""?00;"",""?-00;"",""?00;"", //"""),"'","""")</f>
        <v>78989, 19130814, 1, ////, 07</v>
      </c>
    </row>
    <row r="228" spans="1:1" x14ac:dyDescent="0.25">
      <c r="A228" s="11" t="str">
        <f ca="1">TEXT(Regen!A228,"000\,")&amp;TEXT(Regen!B228,"?00000000")&amp;TEXT(Regen!C228,""",""?0")&amp;IF(EXACT(Regen!D228,"T"),", ""tr""",SUBSTITUTE(TEXT(IF(ISTEXT(Regen!D228),Regen!D228,10*Regen!D228),""",""????0;"",""???-0;"",""????0;"", ////"""),"'",""""))&amp;SUBSTITUTE(TEXT(Regen!E228,""",""?00;"",""?-00;"",""?00;"", //"""),"'","""")</f>
        <v>78989, 19130815, 1, ////, 07</v>
      </c>
    </row>
    <row r="229" spans="1:1" x14ac:dyDescent="0.25">
      <c r="A229" s="11" t="str">
        <f ca="1">TEXT(Regen!A229,"000\,")&amp;TEXT(Regen!B229,"?00000000")&amp;TEXT(Regen!C229,""",""?0")&amp;IF(EXACT(Regen!D229,"T"),", ""tr""",SUBSTITUTE(TEXT(IF(ISTEXT(Regen!D229),Regen!D229,10*Regen!D229),""",""????0;"",""???-0;"",""????0;"", ////"""),"'",""""))&amp;SUBSTITUTE(TEXT(Regen!E229,""",""?00;"",""?-00;"",""?00;"", //"""),"'","""")</f>
        <v>78989, 19130816, 1, ////, 07</v>
      </c>
    </row>
    <row r="230" spans="1:1" x14ac:dyDescent="0.25">
      <c r="A230" s="11" t="str">
        <f ca="1">TEXT(Regen!A230,"000\,")&amp;TEXT(Regen!B230,"?00000000")&amp;TEXT(Regen!C230,""",""?0")&amp;IF(EXACT(Regen!D230,"T"),", ""tr""",SUBSTITUTE(TEXT(IF(ISTEXT(Regen!D230),Regen!D230,10*Regen!D230),""",""????0;"",""???-0;"",""????0;"", ////"""),"'",""""))&amp;SUBSTITUTE(TEXT(Regen!E230,""",""?00;"",""?-00;"",""?00;"", //"""),"'","""")</f>
        <v>78989, 19130817, 1, ////, 07</v>
      </c>
    </row>
    <row r="231" spans="1:1" x14ac:dyDescent="0.25">
      <c r="A231" s="11" t="str">
        <f ca="1">TEXT(Regen!A231,"000\,")&amp;TEXT(Regen!B231,"?00000000")&amp;TEXT(Regen!C231,""",""?0")&amp;IF(EXACT(Regen!D231,"T"),", ""tr""",SUBSTITUTE(TEXT(IF(ISTEXT(Regen!D231),Regen!D231,10*Regen!D231),""",""????0;"",""???-0;"",""????0;"", ////"""),"'",""""))&amp;SUBSTITUTE(TEXT(Regen!E231,""",""?00;"",""?-00;"",""?00;"", //"""),"'","""")</f>
        <v>78989, 19130818, 1, ////, 07</v>
      </c>
    </row>
    <row r="232" spans="1:1" x14ac:dyDescent="0.25">
      <c r="A232" s="11" t="str">
        <f ca="1">TEXT(Regen!A232,"000\,")&amp;TEXT(Regen!B232,"?00000000")&amp;TEXT(Regen!C232,""",""?0")&amp;IF(EXACT(Regen!D232,"T"),", ""tr""",SUBSTITUTE(TEXT(IF(ISTEXT(Regen!D232),Regen!D232,10*Regen!D232),""",""????0;"",""???-0;"",""????0;"", ////"""),"'",""""))&amp;SUBSTITUTE(TEXT(Regen!E232,""",""?00;"",""?-00;"",""?00;"", //"""),"'","""")</f>
        <v>78989, 19130819, 1, ////, 07</v>
      </c>
    </row>
    <row r="233" spans="1:1" x14ac:dyDescent="0.25">
      <c r="A233" s="11" t="str">
        <f ca="1">TEXT(Regen!A233,"000\,")&amp;TEXT(Regen!B233,"?00000000")&amp;TEXT(Regen!C233,""",""?0")&amp;IF(EXACT(Regen!D233,"T"),", ""tr""",SUBSTITUTE(TEXT(IF(ISTEXT(Regen!D233),Regen!D233,10*Regen!D233),""",""????0;"",""???-0;"",""????0;"", ////"""),"'",""""))&amp;SUBSTITUTE(TEXT(Regen!E233,""",""?00;"",""?-00;"",""?00;"", //"""),"'","""")</f>
        <v>78989, 19130820, 1, ////, 07</v>
      </c>
    </row>
    <row r="234" spans="1:1" x14ac:dyDescent="0.25">
      <c r="A234" s="11" t="str">
        <f ca="1">TEXT(Regen!A234,"000\,")&amp;TEXT(Regen!B234,"?00000000")&amp;TEXT(Regen!C234,""",""?0")&amp;IF(EXACT(Regen!D234,"T"),", ""tr""",SUBSTITUTE(TEXT(IF(ISTEXT(Regen!D234),Regen!D234,10*Regen!D234),""",""????0;"",""???-0;"",""????0;"", ////"""),"'",""""))&amp;SUBSTITUTE(TEXT(Regen!E234,""",""?00;"",""?-00;"",""?00;"", //"""),"'","""")</f>
        <v>78989, 19130821, 1, ////, 07</v>
      </c>
    </row>
    <row r="235" spans="1:1" x14ac:dyDescent="0.25">
      <c r="A235" s="11" t="str">
        <f ca="1">TEXT(Regen!A235,"000\,")&amp;TEXT(Regen!B235,"?00000000")&amp;TEXT(Regen!C235,""",""?0")&amp;IF(EXACT(Regen!D235,"T"),", ""tr""",SUBSTITUTE(TEXT(IF(ISTEXT(Regen!D235),Regen!D235,10*Regen!D235),""",""????0;"",""???-0;"",""????0;"", ////"""),"'",""""))&amp;SUBSTITUTE(TEXT(Regen!E235,""",""?00;"",""?-00;"",""?00;"", //"""),"'","""")</f>
        <v>78989, 19130822, 1, ////, 07</v>
      </c>
    </row>
    <row r="236" spans="1:1" x14ac:dyDescent="0.25">
      <c r="A236" s="11" t="str">
        <f ca="1">TEXT(Regen!A236,"000\,")&amp;TEXT(Regen!B236,"?00000000")&amp;TEXT(Regen!C236,""",""?0")&amp;IF(EXACT(Regen!D236,"T"),", ""tr""",SUBSTITUTE(TEXT(IF(ISTEXT(Regen!D236),Regen!D236,10*Regen!D236),""",""????0;"",""???-0;"",""????0;"", ////"""),"'",""""))&amp;SUBSTITUTE(TEXT(Regen!E236,""",""?00;"",""?-00;"",""?00;"", //"""),"'","""")</f>
        <v>78989, 19130823, 1, ////, 07</v>
      </c>
    </row>
    <row r="237" spans="1:1" x14ac:dyDescent="0.25">
      <c r="A237" s="11" t="str">
        <f ca="1">TEXT(Regen!A237,"000\,")&amp;TEXT(Regen!B237,"?00000000")&amp;TEXT(Regen!C237,""",""?0")&amp;IF(EXACT(Regen!D237,"T"),", ""tr""",SUBSTITUTE(TEXT(IF(ISTEXT(Regen!D237),Regen!D237,10*Regen!D237),""",""????0;"",""???-0;"",""????0;"", ////"""),"'",""""))&amp;SUBSTITUTE(TEXT(Regen!E237,""",""?00;"",""?-00;"",""?00;"", //"""),"'","""")</f>
        <v>78989, 19130824, 1, ////, 07</v>
      </c>
    </row>
    <row r="238" spans="1:1" x14ac:dyDescent="0.25">
      <c r="A238" s="11" t="str">
        <f ca="1">TEXT(Regen!A238,"000\,")&amp;TEXT(Regen!B238,"?00000000")&amp;TEXT(Regen!C238,""",""?0")&amp;IF(EXACT(Regen!D238,"T"),", ""tr""",SUBSTITUTE(TEXT(IF(ISTEXT(Regen!D238),Regen!D238,10*Regen!D238),""",""????0;"",""???-0;"",""????0;"", ////"""),"'",""""))&amp;SUBSTITUTE(TEXT(Regen!E238,""",""?00;"",""?-00;"",""?00;"", //"""),"'","""")</f>
        <v>78989, 19130825, 1, ////, 07</v>
      </c>
    </row>
    <row r="239" spans="1:1" x14ac:dyDescent="0.25">
      <c r="A239" s="11" t="str">
        <f ca="1">TEXT(Regen!A239,"000\,")&amp;TEXT(Regen!B239,"?00000000")&amp;TEXT(Regen!C239,""",""?0")&amp;IF(EXACT(Regen!D239,"T"),", ""tr""",SUBSTITUTE(TEXT(IF(ISTEXT(Regen!D239),Regen!D239,10*Regen!D239),""",""????0;"",""???-0;"",""????0;"", ////"""),"'",""""))&amp;SUBSTITUTE(TEXT(Regen!E239,""",""?00;"",""?-00;"",""?00;"", //"""),"'","""")</f>
        <v>78989, 19130826, 1, ////, 07</v>
      </c>
    </row>
    <row r="240" spans="1:1" x14ac:dyDescent="0.25">
      <c r="A240" s="11" t="str">
        <f ca="1">TEXT(Regen!A240,"000\,")&amp;TEXT(Regen!B240,"?00000000")&amp;TEXT(Regen!C240,""",""?0")&amp;IF(EXACT(Regen!D240,"T"),", ""tr""",SUBSTITUTE(TEXT(IF(ISTEXT(Regen!D240),Regen!D240,10*Regen!D240),""",""????0;"",""???-0;"",""????0;"", ////"""),"'",""""))&amp;SUBSTITUTE(TEXT(Regen!E240,""",""?00;"",""?-00;"",""?00;"", //"""),"'","""")</f>
        <v>78989, 19130827, 1, ////, 07</v>
      </c>
    </row>
    <row r="241" spans="1:1" x14ac:dyDescent="0.25">
      <c r="A241" s="11" t="str">
        <f ca="1">TEXT(Regen!A241,"000\,")&amp;TEXT(Regen!B241,"?00000000")&amp;TEXT(Regen!C241,""",""?0")&amp;IF(EXACT(Regen!D241,"T"),", ""tr""",SUBSTITUTE(TEXT(IF(ISTEXT(Regen!D241),Regen!D241,10*Regen!D241),""",""????0;"",""???-0;"",""????0;"", ////"""),"'",""""))&amp;SUBSTITUTE(TEXT(Regen!E241,""",""?00;"",""?-00;"",""?00;"", //"""),"'","""")</f>
        <v>78989, 19130828, 1, ////, 07</v>
      </c>
    </row>
    <row r="242" spans="1:1" x14ac:dyDescent="0.25">
      <c r="A242" s="11" t="str">
        <f ca="1">TEXT(Regen!A242,"000\,")&amp;TEXT(Regen!B242,"?00000000")&amp;TEXT(Regen!C242,""",""?0")&amp;IF(EXACT(Regen!D242,"T"),", ""tr""",SUBSTITUTE(TEXT(IF(ISTEXT(Regen!D242),Regen!D242,10*Regen!D242),""",""????0;"",""???-0;"",""????0;"", ////"""),"'",""""))&amp;SUBSTITUTE(TEXT(Regen!E242,""",""?00;"",""?-00;"",""?00;"", //"""),"'","""")</f>
        <v>78989, 19130829, 1, ////, 07</v>
      </c>
    </row>
    <row r="243" spans="1:1" x14ac:dyDescent="0.25">
      <c r="A243" s="11" t="str">
        <f ca="1">TEXT(Regen!A243,"000\,")&amp;TEXT(Regen!B243,"?00000000")&amp;TEXT(Regen!C243,""",""?0")&amp;IF(EXACT(Regen!D243,"T"),", ""tr""",SUBSTITUTE(TEXT(IF(ISTEXT(Regen!D243),Regen!D243,10*Regen!D243),""",""????0;"",""???-0;"",""????0;"", ////"""),"'",""""))&amp;SUBSTITUTE(TEXT(Regen!E243,""",""?00;"",""?-00;"",""?00;"", //"""),"'","""")</f>
        <v>78989, 19130830, 1, ////, 07</v>
      </c>
    </row>
    <row r="244" spans="1:1" x14ac:dyDescent="0.25">
      <c r="A244" s="11" t="str">
        <f ca="1">TEXT(Regen!A244,"000\,")&amp;TEXT(Regen!B244,"?00000000")&amp;TEXT(Regen!C244,""",""?0")&amp;IF(EXACT(Regen!D244,"T"),", ""tr""",SUBSTITUTE(TEXT(IF(ISTEXT(Regen!D244),Regen!D244,10*Regen!D244),""",""????0;"",""???-0;"",""????0;"", ////"""),"'",""""))&amp;SUBSTITUTE(TEXT(Regen!E244,""",""?00;"",""?-00;"",""?00;"", //"""),"'","""")</f>
        <v>78989, 19130831, 1, ////, 07</v>
      </c>
    </row>
    <row r="245" spans="1:1" x14ac:dyDescent="0.25">
      <c r="A245" s="11" t="str">
        <f ca="1">TEXT(Regen!A245,"000\,")&amp;TEXT(Regen!B245,"?00000000")&amp;TEXT(Regen!C245,""",""?0")&amp;IF(EXACT(Regen!D245,"T"),", ""tr""",SUBSTITUTE(TEXT(IF(ISTEXT(Regen!D245),Regen!D245,10*Regen!D245),""",""????0;"",""???-0;"",""????0;"", ////"""),"'",""""))&amp;SUBSTITUTE(TEXT(Regen!E245,""",""?00;"",""?-00;"",""?00;"", //"""),"'","""")</f>
        <v>78989, 19130901, 1, ////, 07</v>
      </c>
    </row>
    <row r="246" spans="1:1" x14ac:dyDescent="0.25">
      <c r="A246" s="11" t="str">
        <f ca="1">TEXT(Regen!A246,"000\,")&amp;TEXT(Regen!B246,"?00000000")&amp;TEXT(Regen!C246,""",""?0")&amp;IF(EXACT(Regen!D246,"T"),", ""tr""",SUBSTITUTE(TEXT(IF(ISTEXT(Regen!D246),Regen!D246,10*Regen!D246),""",""????0;"",""???-0;"",""????0;"", ////"""),"'",""""))&amp;SUBSTITUTE(TEXT(Regen!E246,""",""?00;"",""?-00;"",""?00;"", //"""),"'","""")</f>
        <v>78989, 19130902, 1, ////, 07</v>
      </c>
    </row>
    <row r="247" spans="1:1" x14ac:dyDescent="0.25">
      <c r="A247" s="11" t="str">
        <f ca="1">TEXT(Regen!A247,"000\,")&amp;TEXT(Regen!B247,"?00000000")&amp;TEXT(Regen!C247,""",""?0")&amp;IF(EXACT(Regen!D247,"T"),", ""tr""",SUBSTITUTE(TEXT(IF(ISTEXT(Regen!D247),Regen!D247,10*Regen!D247),""",""????0;"",""???-0;"",""????0;"", ////"""),"'",""""))&amp;SUBSTITUTE(TEXT(Regen!E247,""",""?00;"",""?-00;"",""?00;"", //"""),"'","""")</f>
        <v>78989, 19130903, 1, ////, 07</v>
      </c>
    </row>
    <row r="248" spans="1:1" x14ac:dyDescent="0.25">
      <c r="A248" s="11" t="str">
        <f ca="1">TEXT(Regen!A248,"000\,")&amp;TEXT(Regen!B248,"?00000000")&amp;TEXT(Regen!C248,""",""?0")&amp;IF(EXACT(Regen!D248,"T"),", ""tr""",SUBSTITUTE(TEXT(IF(ISTEXT(Regen!D248),Regen!D248,10*Regen!D248),""",""????0;"",""???-0;"",""????0;"", ////"""),"'",""""))&amp;SUBSTITUTE(TEXT(Regen!E248,""",""?00;"",""?-00;"",""?00;"", //"""),"'","""")</f>
        <v>78989, 19130904, 1, ////, 07</v>
      </c>
    </row>
    <row r="249" spans="1:1" x14ac:dyDescent="0.25">
      <c r="A249" s="11" t="str">
        <f ca="1">TEXT(Regen!A249,"000\,")&amp;TEXT(Regen!B249,"?00000000")&amp;TEXT(Regen!C249,""",""?0")&amp;IF(EXACT(Regen!D249,"T"),", ""tr""",SUBSTITUTE(TEXT(IF(ISTEXT(Regen!D249),Regen!D249,10*Regen!D249),""",""????0;"",""???-0;"",""????0;"", ////"""),"'",""""))&amp;SUBSTITUTE(TEXT(Regen!E249,""",""?00;"",""?-00;"",""?00;"", //"""),"'","""")</f>
        <v>78989, 19130905, 1, ////, 07</v>
      </c>
    </row>
    <row r="250" spans="1:1" x14ac:dyDescent="0.25">
      <c r="A250" s="11" t="str">
        <f ca="1">TEXT(Regen!A250,"000\,")&amp;TEXT(Regen!B250,"?00000000")&amp;TEXT(Regen!C250,""",""?0")&amp;IF(EXACT(Regen!D250,"T"),", ""tr""",SUBSTITUTE(TEXT(IF(ISTEXT(Regen!D250),Regen!D250,10*Regen!D250),""",""????0;"",""???-0;"",""????0;"", ////"""),"'",""""))&amp;SUBSTITUTE(TEXT(Regen!E250,""",""?00;"",""?-00;"",""?00;"", //"""),"'","""")</f>
        <v>78989, 19130906, 1, ////, 07</v>
      </c>
    </row>
    <row r="251" spans="1:1" x14ac:dyDescent="0.25">
      <c r="A251" s="11" t="str">
        <f ca="1">TEXT(Regen!A251,"000\,")&amp;TEXT(Regen!B251,"?00000000")&amp;TEXT(Regen!C251,""",""?0")&amp;IF(EXACT(Regen!D251,"T"),", ""tr""",SUBSTITUTE(TEXT(IF(ISTEXT(Regen!D251),Regen!D251,10*Regen!D251),""",""????0;"",""???-0;"",""????0;"", ////"""),"'",""""))&amp;SUBSTITUTE(TEXT(Regen!E251,""",""?00;"",""?-00;"",""?00;"", //"""),"'","""")</f>
        <v>78989, 19130907, 1, ////, 07</v>
      </c>
    </row>
    <row r="252" spans="1:1" x14ac:dyDescent="0.25">
      <c r="A252" s="11" t="str">
        <f ca="1">TEXT(Regen!A252,"000\,")&amp;TEXT(Regen!B252,"?00000000")&amp;TEXT(Regen!C252,""",""?0")&amp;IF(EXACT(Regen!D252,"T"),", ""tr""",SUBSTITUTE(TEXT(IF(ISTEXT(Regen!D252),Regen!D252,10*Regen!D252),""",""????0;"",""???-0;"",""????0;"", ////"""),"'",""""))&amp;SUBSTITUTE(TEXT(Regen!E252,""",""?00;"",""?-00;"",""?00;"", //"""),"'","""")</f>
        <v>78989, 19130908, 1, ////, 07</v>
      </c>
    </row>
    <row r="253" spans="1:1" x14ac:dyDescent="0.25">
      <c r="A253" s="11" t="str">
        <f ca="1">TEXT(Regen!A253,"000\,")&amp;TEXT(Regen!B253,"?00000000")&amp;TEXT(Regen!C253,""",""?0")&amp;IF(EXACT(Regen!D253,"T"),", ""tr""",SUBSTITUTE(TEXT(IF(ISTEXT(Regen!D253),Regen!D253,10*Regen!D253),""",""????0;"",""???-0;"",""????0;"", ////"""),"'",""""))&amp;SUBSTITUTE(TEXT(Regen!E253,""",""?00;"",""?-00;"",""?00;"", //"""),"'","""")</f>
        <v>78989, 19130909, 1, ////, 07</v>
      </c>
    </row>
    <row r="254" spans="1:1" x14ac:dyDescent="0.25">
      <c r="A254" s="11" t="str">
        <f ca="1">TEXT(Regen!A254,"000\,")&amp;TEXT(Regen!B254,"?00000000")&amp;TEXT(Regen!C254,""",""?0")&amp;IF(EXACT(Regen!D254,"T"),", ""tr""",SUBSTITUTE(TEXT(IF(ISTEXT(Regen!D254),Regen!D254,10*Regen!D254),""",""????0;"",""???-0;"",""????0;"", ////"""),"'",""""))&amp;SUBSTITUTE(TEXT(Regen!E254,""",""?00;"",""?-00;"",""?00;"", //"""),"'","""")</f>
        <v>78989, 19130910, 1, ////, 07</v>
      </c>
    </row>
    <row r="255" spans="1:1" x14ac:dyDescent="0.25">
      <c r="A255" s="11" t="str">
        <f ca="1">TEXT(Regen!A255,"000\,")&amp;TEXT(Regen!B255,"?00000000")&amp;TEXT(Regen!C255,""",""?0")&amp;IF(EXACT(Regen!D255,"T"),", ""tr""",SUBSTITUTE(TEXT(IF(ISTEXT(Regen!D255),Regen!D255,10*Regen!D255),""",""????0;"",""???-0;"",""????0;"", ////"""),"'",""""))&amp;SUBSTITUTE(TEXT(Regen!E255,""",""?00;"",""?-00;"",""?00;"", //"""),"'","""")</f>
        <v>78989, 19130911, 1, ////, 07</v>
      </c>
    </row>
    <row r="256" spans="1:1" x14ac:dyDescent="0.25">
      <c r="A256" s="11" t="str">
        <f ca="1">TEXT(Regen!A256,"000\,")&amp;TEXT(Regen!B256,"?00000000")&amp;TEXT(Regen!C256,""",""?0")&amp;IF(EXACT(Regen!D256,"T"),", ""tr""",SUBSTITUTE(TEXT(IF(ISTEXT(Regen!D256),Regen!D256,10*Regen!D256),""",""????0;"",""???-0;"",""????0;"", ////"""),"'",""""))&amp;SUBSTITUTE(TEXT(Regen!E256,""",""?00;"",""?-00;"",""?00;"", //"""),"'","""")</f>
        <v>78989, 19130912, 1, ////, 07</v>
      </c>
    </row>
    <row r="257" spans="1:1" x14ac:dyDescent="0.25">
      <c r="A257" s="11" t="str">
        <f ca="1">TEXT(Regen!A257,"000\,")&amp;TEXT(Regen!B257,"?00000000")&amp;TEXT(Regen!C257,""",""?0")&amp;IF(EXACT(Regen!D257,"T"),", ""tr""",SUBSTITUTE(TEXT(IF(ISTEXT(Regen!D257),Regen!D257,10*Regen!D257),""",""????0;"",""???-0;"",""????0;"", ////"""),"'",""""))&amp;SUBSTITUTE(TEXT(Regen!E257,""",""?00;"",""?-00;"",""?00;"", //"""),"'","""")</f>
        <v>78989, 19130913, 1, ////, 07</v>
      </c>
    </row>
    <row r="258" spans="1:1" x14ac:dyDescent="0.25">
      <c r="A258" s="11" t="str">
        <f ca="1">TEXT(Regen!A258,"000\,")&amp;TEXT(Regen!B258,"?00000000")&amp;TEXT(Regen!C258,""",""?0")&amp;IF(EXACT(Regen!D258,"T"),", ""tr""",SUBSTITUTE(TEXT(IF(ISTEXT(Regen!D258),Regen!D258,10*Regen!D258),""",""????0;"",""???-0;"",""????0;"", ////"""),"'",""""))&amp;SUBSTITUTE(TEXT(Regen!E258,""",""?00;"",""?-00;"",""?00;"", //"""),"'","""")</f>
        <v>78989, 19130914, 1, ////, 07</v>
      </c>
    </row>
    <row r="259" spans="1:1" x14ac:dyDescent="0.25">
      <c r="A259" s="11" t="str">
        <f ca="1">TEXT(Regen!A259,"000\,")&amp;TEXT(Regen!B259,"?00000000")&amp;TEXT(Regen!C259,""",""?0")&amp;IF(EXACT(Regen!D259,"T"),", ""tr""",SUBSTITUTE(TEXT(IF(ISTEXT(Regen!D259),Regen!D259,10*Regen!D259),""",""????0;"",""???-0;"",""????0;"", ////"""),"'",""""))&amp;SUBSTITUTE(TEXT(Regen!E259,""",""?00;"",""?-00;"",""?00;"", //"""),"'","""")</f>
        <v>78989, 19130915, 1, ////, 07</v>
      </c>
    </row>
    <row r="260" spans="1:1" x14ac:dyDescent="0.25">
      <c r="A260" s="11" t="str">
        <f ca="1">TEXT(Regen!A260,"000\,")&amp;TEXT(Regen!B260,"?00000000")&amp;TEXT(Regen!C260,""",""?0")&amp;IF(EXACT(Regen!D260,"T"),", ""tr""",SUBSTITUTE(TEXT(IF(ISTEXT(Regen!D260),Regen!D260,10*Regen!D260),""",""????0;"",""???-0;"",""????0;"", ////"""),"'",""""))&amp;SUBSTITUTE(TEXT(Regen!E260,""",""?00;"",""?-00;"",""?00;"", //"""),"'","""")</f>
        <v>78989, 19130916, 1, ////, 07</v>
      </c>
    </row>
    <row r="261" spans="1:1" x14ac:dyDescent="0.25">
      <c r="A261" s="11" t="str">
        <f ca="1">TEXT(Regen!A261,"000\,")&amp;TEXT(Regen!B261,"?00000000")&amp;TEXT(Regen!C261,""",""?0")&amp;IF(EXACT(Regen!D261,"T"),", ""tr""",SUBSTITUTE(TEXT(IF(ISTEXT(Regen!D261),Regen!D261,10*Regen!D261),""",""????0;"",""???-0;"",""????0;"", ////"""),"'",""""))&amp;SUBSTITUTE(TEXT(Regen!E261,""",""?00;"",""?-00;"",""?00;"", //"""),"'","""")</f>
        <v>78989, 19130917, 1, ////, 07</v>
      </c>
    </row>
    <row r="262" spans="1:1" x14ac:dyDescent="0.25">
      <c r="A262" s="11" t="str">
        <f ca="1">TEXT(Regen!A262,"000\,")&amp;TEXT(Regen!B262,"?00000000")&amp;TEXT(Regen!C262,""",""?0")&amp;IF(EXACT(Regen!D262,"T"),", ""tr""",SUBSTITUTE(TEXT(IF(ISTEXT(Regen!D262),Regen!D262,10*Regen!D262),""",""????0;"",""???-0;"",""????0;"", ////"""),"'",""""))&amp;SUBSTITUTE(TEXT(Regen!E262,""",""?00;"",""?-00;"",""?00;"", //"""),"'","""")</f>
        <v>78989, 19130918, 1, ////, 07</v>
      </c>
    </row>
    <row r="263" spans="1:1" x14ac:dyDescent="0.25">
      <c r="A263" s="11" t="str">
        <f ca="1">TEXT(Regen!A263,"000\,")&amp;TEXT(Regen!B263,"?00000000")&amp;TEXT(Regen!C263,""",""?0")&amp;IF(EXACT(Regen!D263,"T"),", ""tr""",SUBSTITUTE(TEXT(IF(ISTEXT(Regen!D263),Regen!D263,10*Regen!D263),""",""????0;"",""???-0;"",""????0;"", ////"""),"'",""""))&amp;SUBSTITUTE(TEXT(Regen!E263,""",""?00;"",""?-00;"",""?00;"", //"""),"'","""")</f>
        <v>78989, 19130919, 1, ////, 07</v>
      </c>
    </row>
    <row r="264" spans="1:1" x14ac:dyDescent="0.25">
      <c r="A264" s="11" t="str">
        <f ca="1">TEXT(Regen!A264,"000\,")&amp;TEXT(Regen!B264,"?00000000")&amp;TEXT(Regen!C264,""",""?0")&amp;IF(EXACT(Regen!D264,"T"),", ""tr""",SUBSTITUTE(TEXT(IF(ISTEXT(Regen!D264),Regen!D264,10*Regen!D264),""",""????0;"",""???-0;"",""????0;"", ////"""),"'",""""))&amp;SUBSTITUTE(TEXT(Regen!E264,""",""?00;"",""?-00;"",""?00;"", //"""),"'","""")</f>
        <v>78989, 19130920, 1, ////, 07</v>
      </c>
    </row>
    <row r="265" spans="1:1" x14ac:dyDescent="0.25">
      <c r="A265" s="11" t="str">
        <f ca="1">TEXT(Regen!A265,"000\,")&amp;TEXT(Regen!B265,"?00000000")&amp;TEXT(Regen!C265,""",""?0")&amp;IF(EXACT(Regen!D265,"T"),", ""tr""",SUBSTITUTE(TEXT(IF(ISTEXT(Regen!D265),Regen!D265,10*Regen!D265),""",""????0;"",""???-0;"",""????0;"", ////"""),"'",""""))&amp;SUBSTITUTE(TEXT(Regen!E265,""",""?00;"",""?-00;"",""?00;"", //"""),"'","""")</f>
        <v>78989, 19130921, 1, ////, 07</v>
      </c>
    </row>
    <row r="266" spans="1:1" x14ac:dyDescent="0.25">
      <c r="A266" s="11" t="str">
        <f ca="1">TEXT(Regen!A266,"000\,")&amp;TEXT(Regen!B266,"?00000000")&amp;TEXT(Regen!C266,""",""?0")&amp;IF(EXACT(Regen!D266,"T"),", ""tr""",SUBSTITUTE(TEXT(IF(ISTEXT(Regen!D266),Regen!D266,10*Regen!D266),""",""????0;"",""???-0;"",""????0;"", ////"""),"'",""""))&amp;SUBSTITUTE(TEXT(Regen!E266,""",""?00;"",""?-00;"",""?00;"", //"""),"'","""")</f>
        <v>78989, 19130922, 1, ////, 07</v>
      </c>
    </row>
    <row r="267" spans="1:1" x14ac:dyDescent="0.25">
      <c r="A267" s="11" t="str">
        <f ca="1">TEXT(Regen!A267,"000\,")&amp;TEXT(Regen!B267,"?00000000")&amp;TEXT(Regen!C267,""",""?0")&amp;IF(EXACT(Regen!D267,"T"),", ""tr""",SUBSTITUTE(TEXT(IF(ISTEXT(Regen!D267),Regen!D267,10*Regen!D267),""",""????0;"",""???-0;"",""????0;"", ////"""),"'",""""))&amp;SUBSTITUTE(TEXT(Regen!E267,""",""?00;"",""?-00;"",""?00;"", //"""),"'","""")</f>
        <v>78989, 19130923, 1, ////, 07</v>
      </c>
    </row>
    <row r="268" spans="1:1" x14ac:dyDescent="0.25">
      <c r="A268" s="11" t="str">
        <f ca="1">TEXT(Regen!A268,"000\,")&amp;TEXT(Regen!B268,"?00000000")&amp;TEXT(Regen!C268,""",""?0")&amp;IF(EXACT(Regen!D268,"T"),", ""tr""",SUBSTITUTE(TEXT(IF(ISTEXT(Regen!D268),Regen!D268,10*Regen!D268),""",""????0;"",""???-0;"",""????0;"", ////"""),"'",""""))&amp;SUBSTITUTE(TEXT(Regen!E268,""",""?00;"",""?-00;"",""?00;"", //"""),"'","""")</f>
        <v>78989, 19130924, 1, ////, 07</v>
      </c>
    </row>
    <row r="269" spans="1:1" x14ac:dyDescent="0.25">
      <c r="A269" s="11" t="str">
        <f ca="1">TEXT(Regen!A269,"000\,")&amp;TEXT(Regen!B269,"?00000000")&amp;TEXT(Regen!C269,""",""?0")&amp;IF(EXACT(Regen!D269,"T"),", ""tr""",SUBSTITUTE(TEXT(IF(ISTEXT(Regen!D269),Regen!D269,10*Regen!D269),""",""????0;"",""???-0;"",""????0;"", ////"""),"'",""""))&amp;SUBSTITUTE(TEXT(Regen!E269,""",""?00;"",""?-00;"",""?00;"", //"""),"'","""")</f>
        <v>78989, 19130925, 1, ////, 07</v>
      </c>
    </row>
    <row r="270" spans="1:1" x14ac:dyDescent="0.25">
      <c r="A270" s="11" t="str">
        <f ca="1">TEXT(Regen!A270,"000\,")&amp;TEXT(Regen!B270,"?00000000")&amp;TEXT(Regen!C270,""",""?0")&amp;IF(EXACT(Regen!D270,"T"),", ""tr""",SUBSTITUTE(TEXT(IF(ISTEXT(Regen!D270),Regen!D270,10*Regen!D270),""",""????0;"",""???-0;"",""????0;"", ////"""),"'",""""))&amp;SUBSTITUTE(TEXT(Regen!E270,""",""?00;"",""?-00;"",""?00;"", //"""),"'","""")</f>
        <v>78989, 19130926, 1, ////, 07</v>
      </c>
    </row>
    <row r="271" spans="1:1" x14ac:dyDescent="0.25">
      <c r="A271" s="11" t="str">
        <f ca="1">TEXT(Regen!A271,"000\,")&amp;TEXT(Regen!B271,"?00000000")&amp;TEXT(Regen!C271,""",""?0")&amp;IF(EXACT(Regen!D271,"T"),", ""tr""",SUBSTITUTE(TEXT(IF(ISTEXT(Regen!D271),Regen!D271,10*Regen!D271),""",""????0;"",""???-0;"",""????0;"", ////"""),"'",""""))&amp;SUBSTITUTE(TEXT(Regen!E271,""",""?00;"",""?-00;"",""?00;"", //"""),"'","""")</f>
        <v>78989, 19130927, 1, ////, 07</v>
      </c>
    </row>
    <row r="272" spans="1:1" x14ac:dyDescent="0.25">
      <c r="A272" s="11" t="str">
        <f ca="1">TEXT(Regen!A272,"000\,")&amp;TEXT(Regen!B272,"?00000000")&amp;TEXT(Regen!C272,""",""?0")&amp;IF(EXACT(Regen!D272,"T"),", ""tr""",SUBSTITUTE(TEXT(IF(ISTEXT(Regen!D272),Regen!D272,10*Regen!D272),""",""????0;"",""???-0;"",""????0;"", ////"""),"'",""""))&amp;SUBSTITUTE(TEXT(Regen!E272,""",""?00;"",""?-00;"",""?00;"", //"""),"'","""")</f>
        <v>78989, 19130928, 1, ////, 07</v>
      </c>
    </row>
    <row r="273" spans="1:1" x14ac:dyDescent="0.25">
      <c r="A273" s="11" t="str">
        <f ca="1">TEXT(Regen!A273,"000\,")&amp;TEXT(Regen!B273,"?00000000")&amp;TEXT(Regen!C273,""",""?0")&amp;IF(EXACT(Regen!D273,"T"),", ""tr""",SUBSTITUTE(TEXT(IF(ISTEXT(Regen!D273),Regen!D273,10*Regen!D273),""",""????0;"",""???-0;"",""????0;"", ////"""),"'",""""))&amp;SUBSTITUTE(TEXT(Regen!E273,""",""?00;"",""?-00;"",""?00;"", //"""),"'","""")</f>
        <v>78989, 19130929, 1, ////, 07</v>
      </c>
    </row>
    <row r="274" spans="1:1" x14ac:dyDescent="0.25">
      <c r="A274" s="11" t="str">
        <f ca="1">TEXT(Regen!A274,"000\,")&amp;TEXT(Regen!B274,"?00000000")&amp;TEXT(Regen!C274,""",""?0")&amp;IF(EXACT(Regen!D274,"T"),", ""tr""",SUBSTITUTE(TEXT(IF(ISTEXT(Regen!D274),Regen!D274,10*Regen!D274),""",""????0;"",""???-0;"",""????0;"", ////"""),"'",""""))&amp;SUBSTITUTE(TEXT(Regen!E274,""",""?00;"",""?-00;"",""?00;"", //"""),"'","""")</f>
        <v>78989, 19130930, 1, ////, 07</v>
      </c>
    </row>
    <row r="275" spans="1:1" x14ac:dyDescent="0.25">
      <c r="A275" s="11" t="str">
        <f ca="1">TEXT(Regen!A275,"000\,")&amp;TEXT(Regen!B275,"?00000000")&amp;TEXT(Regen!C275,""",""?0")&amp;IF(EXACT(Regen!D275,"T"),", ""tr""",SUBSTITUTE(TEXT(IF(ISTEXT(Regen!D275),Regen!D275,10*Regen!D275),""",""????0;"",""???-0;"",""????0;"", ////"""),"'",""""))&amp;SUBSTITUTE(TEXT(Regen!E275,""",""?00;"",""?-00;"",""?00;"", //"""),"'","""")</f>
        <v>78989, 19131001, 1, ////, 07</v>
      </c>
    </row>
    <row r="276" spans="1:1" x14ac:dyDescent="0.25">
      <c r="A276" s="11" t="str">
        <f ca="1">TEXT(Regen!A276,"000\,")&amp;TEXT(Regen!B276,"?00000000")&amp;TEXT(Regen!C276,""",""?0")&amp;IF(EXACT(Regen!D276,"T"),", ""tr""",SUBSTITUTE(TEXT(IF(ISTEXT(Regen!D276),Regen!D276,10*Regen!D276),""",""????0;"",""???-0;"",""????0;"", ////"""),"'",""""))&amp;SUBSTITUTE(TEXT(Regen!E276,""",""?00;"",""?-00;"",""?00;"", //"""),"'","""")</f>
        <v>78989, 19131002, 1, ////, 07</v>
      </c>
    </row>
    <row r="277" spans="1:1" x14ac:dyDescent="0.25">
      <c r="A277" s="11" t="str">
        <f ca="1">TEXT(Regen!A277,"000\,")&amp;TEXT(Regen!B277,"?00000000")&amp;TEXT(Regen!C277,""",""?0")&amp;IF(EXACT(Regen!D277,"T"),", ""tr""",SUBSTITUTE(TEXT(IF(ISTEXT(Regen!D277),Regen!D277,10*Regen!D277),""",""????0;"",""???-0;"",""????0;"", ////"""),"'",""""))&amp;SUBSTITUTE(TEXT(Regen!E277,""",""?00;"",""?-00;"",""?00;"", //"""),"'","""")</f>
        <v>78989, 19131003, 1, ////, 07</v>
      </c>
    </row>
    <row r="278" spans="1:1" x14ac:dyDescent="0.25">
      <c r="A278" s="11" t="str">
        <f ca="1">TEXT(Regen!A278,"000\,")&amp;TEXT(Regen!B278,"?00000000")&amp;TEXT(Regen!C278,""",""?0")&amp;IF(EXACT(Regen!D278,"T"),", ""tr""",SUBSTITUTE(TEXT(IF(ISTEXT(Regen!D278),Regen!D278,10*Regen!D278),""",""????0;"",""???-0;"",""????0;"", ////"""),"'",""""))&amp;SUBSTITUTE(TEXT(Regen!E278,""",""?00;"",""?-00;"",""?00;"", //"""),"'","""")</f>
        <v>78989, 19131004, 1, ////, 07</v>
      </c>
    </row>
    <row r="279" spans="1:1" x14ac:dyDescent="0.25">
      <c r="A279" s="11" t="str">
        <f ca="1">TEXT(Regen!A279,"000\,")&amp;TEXT(Regen!B279,"?00000000")&amp;TEXT(Regen!C279,""",""?0")&amp;IF(EXACT(Regen!D279,"T"),", ""tr""",SUBSTITUTE(TEXT(IF(ISTEXT(Regen!D279),Regen!D279,10*Regen!D279),""",""????0;"",""???-0;"",""????0;"", ////"""),"'",""""))&amp;SUBSTITUTE(TEXT(Regen!E279,""",""?00;"",""?-00;"",""?00;"", //"""),"'","""")</f>
        <v>78989, 19131005, 1, ////, 07</v>
      </c>
    </row>
    <row r="280" spans="1:1" x14ac:dyDescent="0.25">
      <c r="A280" s="11" t="str">
        <f ca="1">TEXT(Regen!A280,"000\,")&amp;TEXT(Regen!B280,"?00000000")&amp;TEXT(Regen!C280,""",""?0")&amp;IF(EXACT(Regen!D280,"T"),", ""tr""",SUBSTITUTE(TEXT(IF(ISTEXT(Regen!D280),Regen!D280,10*Regen!D280),""",""????0;"",""???-0;"",""????0;"", ////"""),"'",""""))&amp;SUBSTITUTE(TEXT(Regen!E280,""",""?00;"",""?-00;"",""?00;"", //"""),"'","""")</f>
        <v>78989, 19131006, 1, ////, 07</v>
      </c>
    </row>
    <row r="281" spans="1:1" x14ac:dyDescent="0.25">
      <c r="A281" s="11" t="str">
        <f ca="1">TEXT(Regen!A281,"000\,")&amp;TEXT(Regen!B281,"?00000000")&amp;TEXT(Regen!C281,""",""?0")&amp;IF(EXACT(Regen!D281,"T"),", ""tr""",SUBSTITUTE(TEXT(IF(ISTEXT(Regen!D281),Regen!D281,10*Regen!D281),""",""????0;"",""???-0;"",""????0;"", ////"""),"'",""""))&amp;SUBSTITUTE(TEXT(Regen!E281,""",""?00;"",""?-00;"",""?00;"", //"""),"'","""")</f>
        <v>78989, 19131007, 1, ////, 07</v>
      </c>
    </row>
    <row r="282" spans="1:1" x14ac:dyDescent="0.25">
      <c r="A282" s="11" t="str">
        <f ca="1">TEXT(Regen!A282,"000\,")&amp;TEXT(Regen!B282,"?00000000")&amp;TEXT(Regen!C282,""",""?0")&amp;IF(EXACT(Regen!D282,"T"),", ""tr""",SUBSTITUTE(TEXT(IF(ISTEXT(Regen!D282),Regen!D282,10*Regen!D282),""",""????0;"",""???-0;"",""????0;"", ////"""),"'",""""))&amp;SUBSTITUTE(TEXT(Regen!E282,""",""?00;"",""?-00;"",""?00;"", //"""),"'","""")</f>
        <v>78989, 19131008, 1, ////, 07</v>
      </c>
    </row>
    <row r="283" spans="1:1" x14ac:dyDescent="0.25">
      <c r="A283" s="11" t="str">
        <f ca="1">TEXT(Regen!A283,"000\,")&amp;TEXT(Regen!B283,"?00000000")&amp;TEXT(Regen!C283,""",""?0")&amp;IF(EXACT(Regen!D283,"T"),", ""tr""",SUBSTITUTE(TEXT(IF(ISTEXT(Regen!D283),Regen!D283,10*Regen!D283),""",""????0;"",""???-0;"",""????0;"", ////"""),"'",""""))&amp;SUBSTITUTE(TEXT(Regen!E283,""",""?00;"",""?-00;"",""?00;"", //"""),"'","""")</f>
        <v>78989, 19131009, 1, ////, 07</v>
      </c>
    </row>
    <row r="284" spans="1:1" x14ac:dyDescent="0.25">
      <c r="A284" s="11" t="str">
        <f ca="1">TEXT(Regen!A284,"000\,")&amp;TEXT(Regen!B284,"?00000000")&amp;TEXT(Regen!C284,""",""?0")&amp;IF(EXACT(Regen!D284,"T"),", ""tr""",SUBSTITUTE(TEXT(IF(ISTEXT(Regen!D284),Regen!D284,10*Regen!D284),""",""????0;"",""???-0;"",""????0;"", ////"""),"'",""""))&amp;SUBSTITUTE(TEXT(Regen!E284,""",""?00;"",""?-00;"",""?00;"", //"""),"'","""")</f>
        <v>78989, 19131010, 1, ////, 07</v>
      </c>
    </row>
    <row r="285" spans="1:1" x14ac:dyDescent="0.25">
      <c r="A285" s="11" t="str">
        <f ca="1">TEXT(Regen!A285,"000\,")&amp;TEXT(Regen!B285,"?00000000")&amp;TEXT(Regen!C285,""",""?0")&amp;IF(EXACT(Regen!D285,"T"),", ""tr""",SUBSTITUTE(TEXT(IF(ISTEXT(Regen!D285),Regen!D285,10*Regen!D285),""",""????0;"",""???-0;"",""????0;"", ////"""),"'",""""))&amp;SUBSTITUTE(TEXT(Regen!E285,""",""?00;"",""?-00;"",""?00;"", //"""),"'","""")</f>
        <v>78989, 19131011, 1, ////, 07</v>
      </c>
    </row>
    <row r="286" spans="1:1" x14ac:dyDescent="0.25">
      <c r="A286" s="11" t="str">
        <f ca="1">TEXT(Regen!A286,"000\,")&amp;TEXT(Regen!B286,"?00000000")&amp;TEXT(Regen!C286,""",""?0")&amp;IF(EXACT(Regen!D286,"T"),", ""tr""",SUBSTITUTE(TEXT(IF(ISTEXT(Regen!D286),Regen!D286,10*Regen!D286),""",""????0;"",""???-0;"",""????0;"", ////"""),"'",""""))&amp;SUBSTITUTE(TEXT(Regen!E286,""",""?00;"",""?-00;"",""?00;"", //"""),"'","""")</f>
        <v>78989, 19131012, 1, ////, 07</v>
      </c>
    </row>
    <row r="287" spans="1:1" x14ac:dyDescent="0.25">
      <c r="A287" s="11" t="str">
        <f ca="1">TEXT(Regen!A287,"000\,")&amp;TEXT(Regen!B287,"?00000000")&amp;TEXT(Regen!C287,""",""?0")&amp;IF(EXACT(Regen!D287,"T"),", ""tr""",SUBSTITUTE(TEXT(IF(ISTEXT(Regen!D287),Regen!D287,10*Regen!D287),""",""????0;"",""???-0;"",""????0;"", ////"""),"'",""""))&amp;SUBSTITUTE(TEXT(Regen!E287,""",""?00;"",""?-00;"",""?00;"", //"""),"'","""")</f>
        <v>78989, 19131013, 1, ////, 07</v>
      </c>
    </row>
    <row r="288" spans="1:1" x14ac:dyDescent="0.25">
      <c r="A288" s="11" t="str">
        <f ca="1">TEXT(Regen!A288,"000\,")&amp;TEXT(Regen!B288,"?00000000")&amp;TEXT(Regen!C288,""",""?0")&amp;IF(EXACT(Regen!D288,"T"),", ""tr""",SUBSTITUTE(TEXT(IF(ISTEXT(Regen!D288),Regen!D288,10*Regen!D288),""",""????0;"",""???-0;"",""????0;"", ////"""),"'",""""))&amp;SUBSTITUTE(TEXT(Regen!E288,""",""?00;"",""?-00;"",""?00;"", //"""),"'","""")</f>
        <v>78989, 19131014, 1, ////, 07</v>
      </c>
    </row>
    <row r="289" spans="1:1" x14ac:dyDescent="0.25">
      <c r="A289" s="11" t="str">
        <f ca="1">TEXT(Regen!A289,"000\,")&amp;TEXT(Regen!B289,"?00000000")&amp;TEXT(Regen!C289,""",""?0")&amp;IF(EXACT(Regen!D289,"T"),", ""tr""",SUBSTITUTE(TEXT(IF(ISTEXT(Regen!D289),Regen!D289,10*Regen!D289),""",""????0;"",""???-0;"",""????0;"", ////"""),"'",""""))&amp;SUBSTITUTE(TEXT(Regen!E289,""",""?00;"",""?-00;"",""?00;"", //"""),"'","""")</f>
        <v>78989, 19131015, 1, ////, 07</v>
      </c>
    </row>
    <row r="290" spans="1:1" x14ac:dyDescent="0.25">
      <c r="A290" s="11" t="str">
        <f ca="1">TEXT(Regen!A290,"000\,")&amp;TEXT(Regen!B290,"?00000000")&amp;TEXT(Regen!C290,""",""?0")&amp;IF(EXACT(Regen!D290,"T"),", ""tr""",SUBSTITUTE(TEXT(IF(ISTEXT(Regen!D290),Regen!D290,10*Regen!D290),""",""????0;"",""???-0;"",""????0;"", ////"""),"'",""""))&amp;SUBSTITUTE(TEXT(Regen!E290,""",""?00;"",""?-00;"",""?00;"", //"""),"'","""")</f>
        <v>78989, 19131016, 1, ////, 07</v>
      </c>
    </row>
    <row r="291" spans="1:1" x14ac:dyDescent="0.25">
      <c r="A291" s="11" t="str">
        <f ca="1">TEXT(Regen!A291,"000\,")&amp;TEXT(Regen!B291,"?00000000")&amp;TEXT(Regen!C291,""",""?0")&amp;IF(EXACT(Regen!D291,"T"),", ""tr""",SUBSTITUTE(TEXT(IF(ISTEXT(Regen!D291),Regen!D291,10*Regen!D291),""",""????0;"",""???-0;"",""????0;"", ////"""),"'",""""))&amp;SUBSTITUTE(TEXT(Regen!E291,""",""?00;"",""?-00;"",""?00;"", //"""),"'","""")</f>
        <v>78989, 19131017, 1, ////, 07</v>
      </c>
    </row>
    <row r="292" spans="1:1" x14ac:dyDescent="0.25">
      <c r="A292" s="11" t="str">
        <f ca="1">TEXT(Regen!A292,"000\,")&amp;TEXT(Regen!B292,"?00000000")&amp;TEXT(Regen!C292,""",""?0")&amp;IF(EXACT(Regen!D292,"T"),", ""tr""",SUBSTITUTE(TEXT(IF(ISTEXT(Regen!D292),Regen!D292,10*Regen!D292),""",""????0;"",""???-0;"",""????0;"", ////"""),"'",""""))&amp;SUBSTITUTE(TEXT(Regen!E292,""",""?00;"",""?-00;"",""?00;"", //"""),"'","""")</f>
        <v>78989, 19131018, 1, ////, 07</v>
      </c>
    </row>
    <row r="293" spans="1:1" x14ac:dyDescent="0.25">
      <c r="A293" s="11" t="str">
        <f ca="1">TEXT(Regen!A293,"000\,")&amp;TEXT(Regen!B293,"?00000000")&amp;TEXT(Regen!C293,""",""?0")&amp;IF(EXACT(Regen!D293,"T"),", ""tr""",SUBSTITUTE(TEXT(IF(ISTEXT(Regen!D293),Regen!D293,10*Regen!D293),""",""????0;"",""???-0;"",""????0;"", ////"""),"'",""""))&amp;SUBSTITUTE(TEXT(Regen!E293,""",""?00;"",""?-00;"",""?00;"", //"""),"'","""")</f>
        <v>78989, 19131019, 1, ////, 07</v>
      </c>
    </row>
    <row r="294" spans="1:1" x14ac:dyDescent="0.25">
      <c r="A294" s="11" t="str">
        <f ca="1">TEXT(Regen!A294,"000\,")&amp;TEXT(Regen!B294,"?00000000")&amp;TEXT(Regen!C294,""",""?0")&amp;IF(EXACT(Regen!D294,"T"),", ""tr""",SUBSTITUTE(TEXT(IF(ISTEXT(Regen!D294),Regen!D294,10*Regen!D294),""",""????0;"",""???-0;"",""????0;"", ////"""),"'",""""))&amp;SUBSTITUTE(TEXT(Regen!E294,""",""?00;"",""?-00;"",""?00;"", //"""),"'","""")</f>
        <v>78989, 19131020, 1, ////, 07</v>
      </c>
    </row>
    <row r="295" spans="1:1" x14ac:dyDescent="0.25">
      <c r="A295" s="11" t="str">
        <f ca="1">TEXT(Regen!A295,"000\,")&amp;TEXT(Regen!B295,"?00000000")&amp;TEXT(Regen!C295,""",""?0")&amp;IF(EXACT(Regen!D295,"T"),", ""tr""",SUBSTITUTE(TEXT(IF(ISTEXT(Regen!D295),Regen!D295,10*Regen!D295),""",""????0;"",""???-0;"",""????0;"", ////"""),"'",""""))&amp;SUBSTITUTE(TEXT(Regen!E295,""",""?00;"",""?-00;"",""?00;"", //"""),"'","""")</f>
        <v>78989, 19131021, 1, ////, 07</v>
      </c>
    </row>
    <row r="296" spans="1:1" x14ac:dyDescent="0.25">
      <c r="A296" s="11" t="str">
        <f ca="1">TEXT(Regen!A296,"000\,")&amp;TEXT(Regen!B296,"?00000000")&amp;TEXT(Regen!C296,""",""?0")&amp;IF(EXACT(Regen!D296,"T"),", ""tr""",SUBSTITUTE(TEXT(IF(ISTEXT(Regen!D296),Regen!D296,10*Regen!D296),""",""????0;"",""???-0;"",""????0;"", ////"""),"'",""""))&amp;SUBSTITUTE(TEXT(Regen!E296,""",""?00;"",""?-00;"",""?00;"", //"""),"'","""")</f>
        <v>78989, 19131022, 1, ////, 07</v>
      </c>
    </row>
    <row r="297" spans="1:1" x14ac:dyDescent="0.25">
      <c r="A297" s="11" t="str">
        <f ca="1">TEXT(Regen!A297,"000\,")&amp;TEXT(Regen!B297,"?00000000")&amp;TEXT(Regen!C297,""",""?0")&amp;IF(EXACT(Regen!D297,"T"),", ""tr""",SUBSTITUTE(TEXT(IF(ISTEXT(Regen!D297),Regen!D297,10*Regen!D297),""",""????0;"",""???-0;"",""????0;"", ////"""),"'",""""))&amp;SUBSTITUTE(TEXT(Regen!E297,""",""?00;"",""?-00;"",""?00;"", //"""),"'","""")</f>
        <v>78989, 19131023, 1, ////, 07</v>
      </c>
    </row>
    <row r="298" spans="1:1" x14ac:dyDescent="0.25">
      <c r="A298" s="11" t="str">
        <f ca="1">TEXT(Regen!A298,"000\,")&amp;TEXT(Regen!B298,"?00000000")&amp;TEXT(Regen!C298,""",""?0")&amp;IF(EXACT(Regen!D298,"T"),", ""tr""",SUBSTITUTE(TEXT(IF(ISTEXT(Regen!D298),Regen!D298,10*Regen!D298),""",""????0;"",""???-0;"",""????0;"", ////"""),"'",""""))&amp;SUBSTITUTE(TEXT(Regen!E298,""",""?00;"",""?-00;"",""?00;"", //"""),"'","""")</f>
        <v>78989, 19131024, 1, ////, 07</v>
      </c>
    </row>
    <row r="299" spans="1:1" x14ac:dyDescent="0.25">
      <c r="A299" s="11" t="str">
        <f ca="1">TEXT(Regen!A299,"000\,")&amp;TEXT(Regen!B299,"?00000000")&amp;TEXT(Regen!C299,""",""?0")&amp;IF(EXACT(Regen!D299,"T"),", ""tr""",SUBSTITUTE(TEXT(IF(ISTEXT(Regen!D299),Regen!D299,10*Regen!D299),""",""????0;"",""???-0;"",""????0;"", ////"""),"'",""""))&amp;SUBSTITUTE(TEXT(Regen!E299,""",""?00;"",""?-00;"",""?00;"", //"""),"'","""")</f>
        <v>78989, 19131025, 1, ////, 07</v>
      </c>
    </row>
    <row r="300" spans="1:1" x14ac:dyDescent="0.25">
      <c r="A300" s="11" t="str">
        <f ca="1">TEXT(Regen!A300,"000\,")&amp;TEXT(Regen!B300,"?00000000")&amp;TEXT(Regen!C300,""",""?0")&amp;IF(EXACT(Regen!D300,"T"),", ""tr""",SUBSTITUTE(TEXT(IF(ISTEXT(Regen!D300),Regen!D300,10*Regen!D300),""",""????0;"",""???-0;"",""????0;"", ////"""),"'",""""))&amp;SUBSTITUTE(TEXT(Regen!E300,""",""?00;"",""?-00;"",""?00;"", //"""),"'","""")</f>
        <v>78989, 19131026, 1, ////, 07</v>
      </c>
    </row>
    <row r="301" spans="1:1" x14ac:dyDescent="0.25">
      <c r="A301" s="11" t="str">
        <f ca="1">TEXT(Regen!A301,"000\,")&amp;TEXT(Regen!B301,"?00000000")&amp;TEXT(Regen!C301,""",""?0")&amp;IF(EXACT(Regen!D301,"T"),", ""tr""",SUBSTITUTE(TEXT(IF(ISTEXT(Regen!D301),Regen!D301,10*Regen!D301),""",""????0;"",""???-0;"",""????0;"", ////"""),"'",""""))&amp;SUBSTITUTE(TEXT(Regen!E301,""",""?00;"",""?-00;"",""?00;"", //"""),"'","""")</f>
        <v>78989, 19131027, 1, ////, 07</v>
      </c>
    </row>
    <row r="302" spans="1:1" x14ac:dyDescent="0.25">
      <c r="A302" s="11" t="str">
        <f ca="1">TEXT(Regen!A302,"000\,")&amp;TEXT(Regen!B302,"?00000000")&amp;TEXT(Regen!C302,""",""?0")&amp;IF(EXACT(Regen!D302,"T"),", ""tr""",SUBSTITUTE(TEXT(IF(ISTEXT(Regen!D302),Regen!D302,10*Regen!D302),""",""????0;"",""???-0;"",""????0;"", ////"""),"'",""""))&amp;SUBSTITUTE(TEXT(Regen!E302,""",""?00;"",""?-00;"",""?00;"", //"""),"'","""")</f>
        <v>78989, 19131028, 1, ////, 07</v>
      </c>
    </row>
    <row r="303" spans="1:1" x14ac:dyDescent="0.25">
      <c r="A303" s="11" t="str">
        <f ca="1">TEXT(Regen!A303,"000\,")&amp;TEXT(Regen!B303,"?00000000")&amp;TEXT(Regen!C303,""",""?0")&amp;IF(EXACT(Regen!D303,"T"),", ""tr""",SUBSTITUTE(TEXT(IF(ISTEXT(Regen!D303),Regen!D303,10*Regen!D303),""",""????0;"",""???-0;"",""????0;"", ////"""),"'",""""))&amp;SUBSTITUTE(TEXT(Regen!E303,""",""?00;"",""?-00;"",""?00;"", //"""),"'","""")</f>
        <v>78989, 19131029, 1, ////, 07</v>
      </c>
    </row>
    <row r="304" spans="1:1" x14ac:dyDescent="0.25">
      <c r="A304" s="11" t="str">
        <f ca="1">TEXT(Regen!A304,"000\,")&amp;TEXT(Regen!B304,"?00000000")&amp;TEXT(Regen!C304,""",""?0")&amp;IF(EXACT(Regen!D304,"T"),", ""tr""",SUBSTITUTE(TEXT(IF(ISTEXT(Regen!D304),Regen!D304,10*Regen!D304),""",""????0;"",""???-0;"",""????0;"", ////"""),"'",""""))&amp;SUBSTITUTE(TEXT(Regen!E304,""",""?00;"",""?-00;"",""?00;"", //"""),"'","""")</f>
        <v>78989, 19131030, 1, ////, 07</v>
      </c>
    </row>
    <row r="305" spans="1:1" x14ac:dyDescent="0.25">
      <c r="A305" s="11" t="str">
        <f ca="1">TEXT(Regen!A305,"000\,")&amp;TEXT(Regen!B305,"?00000000")&amp;TEXT(Regen!C305,""",""?0")&amp;IF(EXACT(Regen!D305,"T"),", ""tr""",SUBSTITUTE(TEXT(IF(ISTEXT(Regen!D305),Regen!D305,10*Regen!D305),""",""????0;"",""???-0;"",""????0;"", ////"""),"'",""""))&amp;SUBSTITUTE(TEXT(Regen!E305,""",""?00;"",""?-00;"",""?00;"", //"""),"'","""")</f>
        <v>78989, 19131031, 1, ////, 07</v>
      </c>
    </row>
    <row r="306" spans="1:1" x14ac:dyDescent="0.25">
      <c r="A306" s="11" t="str">
        <f ca="1">TEXT(Regen!A306,"000\,")&amp;TEXT(Regen!B306,"?00000000")&amp;TEXT(Regen!C306,""",""?0")&amp;IF(EXACT(Regen!D306,"T"),", ""tr""",SUBSTITUTE(TEXT(IF(ISTEXT(Regen!D306),Regen!D306,10*Regen!D306),""",""????0;"",""???-0;"",""????0;"", ////"""),"'",""""))&amp;SUBSTITUTE(TEXT(Regen!E306,""",""?00;"",""?-00;"",""?00;"", //"""),"'","""")</f>
        <v>78989, 19131101, 1, ////, 07</v>
      </c>
    </row>
    <row r="307" spans="1:1" x14ac:dyDescent="0.25">
      <c r="A307" s="11" t="str">
        <f ca="1">TEXT(Regen!A307,"000\,")&amp;TEXT(Regen!B307,"?00000000")&amp;TEXT(Regen!C307,""",""?0")&amp;IF(EXACT(Regen!D307,"T"),", ""tr""",SUBSTITUTE(TEXT(IF(ISTEXT(Regen!D307),Regen!D307,10*Regen!D307),""",""????0;"",""???-0;"",""????0;"", ////"""),"'",""""))&amp;SUBSTITUTE(TEXT(Regen!E307,""",""?00;"",""?-00;"",""?00;"", //"""),"'","""")</f>
        <v>78989, 19131102, 1, ////, 07</v>
      </c>
    </row>
    <row r="308" spans="1:1" x14ac:dyDescent="0.25">
      <c r="A308" s="11" t="str">
        <f ca="1">TEXT(Regen!A308,"000\,")&amp;TEXT(Regen!B308,"?00000000")&amp;TEXT(Regen!C308,""",""?0")&amp;IF(EXACT(Regen!D308,"T"),", ""tr""",SUBSTITUTE(TEXT(IF(ISTEXT(Regen!D308),Regen!D308,10*Regen!D308),""",""????0;"",""???-0;"",""????0;"", ////"""),"'",""""))&amp;SUBSTITUTE(TEXT(Regen!E308,""",""?00;"",""?-00;"",""?00;"", //"""),"'","""")</f>
        <v>78989, 19131103, 1, ////, 07</v>
      </c>
    </row>
    <row r="309" spans="1:1" x14ac:dyDescent="0.25">
      <c r="A309" s="11" t="str">
        <f ca="1">TEXT(Regen!A309,"000\,")&amp;TEXT(Regen!B309,"?00000000")&amp;TEXT(Regen!C309,""",""?0")&amp;IF(EXACT(Regen!D309,"T"),", ""tr""",SUBSTITUTE(TEXT(IF(ISTEXT(Regen!D309),Regen!D309,10*Regen!D309),""",""????0;"",""???-0;"",""????0;"", ////"""),"'",""""))&amp;SUBSTITUTE(TEXT(Regen!E309,""",""?00;"",""?-00;"",""?00;"", //"""),"'","""")</f>
        <v>78989, 19131104, 1, ////, 07</v>
      </c>
    </row>
    <row r="310" spans="1:1" x14ac:dyDescent="0.25">
      <c r="A310" s="11" t="str">
        <f ca="1">TEXT(Regen!A310,"000\,")&amp;TEXT(Regen!B310,"?00000000")&amp;TEXT(Regen!C310,""",""?0")&amp;IF(EXACT(Regen!D310,"T"),", ""tr""",SUBSTITUTE(TEXT(IF(ISTEXT(Regen!D310),Regen!D310,10*Regen!D310),""",""????0;"",""???-0;"",""????0;"", ////"""),"'",""""))&amp;SUBSTITUTE(TEXT(Regen!E310,""",""?00;"",""?-00;"",""?00;"", //"""),"'","""")</f>
        <v>78989, 19131105, 1, ////, 07</v>
      </c>
    </row>
    <row r="311" spans="1:1" x14ac:dyDescent="0.25">
      <c r="A311" s="11" t="str">
        <f ca="1">TEXT(Regen!A311,"000\,")&amp;TEXT(Regen!B311,"?00000000")&amp;TEXT(Regen!C311,""",""?0")&amp;IF(EXACT(Regen!D311,"T"),", ""tr""",SUBSTITUTE(TEXT(IF(ISTEXT(Regen!D311),Regen!D311,10*Regen!D311),""",""????0;"",""???-0;"",""????0;"", ////"""),"'",""""))&amp;SUBSTITUTE(TEXT(Regen!E311,""",""?00;"",""?-00;"",""?00;"", //"""),"'","""")</f>
        <v>78989, 19131106, 1, ////, 07</v>
      </c>
    </row>
    <row r="312" spans="1:1" x14ac:dyDescent="0.25">
      <c r="A312" s="11" t="str">
        <f ca="1">TEXT(Regen!A312,"000\,")&amp;TEXT(Regen!B312,"?00000000")&amp;TEXT(Regen!C312,""",""?0")&amp;IF(EXACT(Regen!D312,"T"),", ""tr""",SUBSTITUTE(TEXT(IF(ISTEXT(Regen!D312),Regen!D312,10*Regen!D312),""",""????0;"",""???-0;"",""????0;"", ////"""),"'",""""))&amp;SUBSTITUTE(TEXT(Regen!E312,""",""?00;"",""?-00;"",""?00;"", //"""),"'","""")</f>
        <v>78989, 19131107, 1, ////, 07</v>
      </c>
    </row>
    <row r="313" spans="1:1" x14ac:dyDescent="0.25">
      <c r="A313" s="11" t="str">
        <f ca="1">TEXT(Regen!A313,"000\,")&amp;TEXT(Regen!B313,"?00000000")&amp;TEXT(Regen!C313,""",""?0")&amp;IF(EXACT(Regen!D313,"T"),", ""tr""",SUBSTITUTE(TEXT(IF(ISTEXT(Regen!D313),Regen!D313,10*Regen!D313),""",""????0;"",""???-0;"",""????0;"", ////"""),"'",""""))&amp;SUBSTITUTE(TEXT(Regen!E313,""",""?00;"",""?-00;"",""?00;"", //"""),"'","""")</f>
        <v>78989, 19131108, 1, ////, 07</v>
      </c>
    </row>
    <row r="314" spans="1:1" x14ac:dyDescent="0.25">
      <c r="A314" s="11" t="str">
        <f ca="1">TEXT(Regen!A314,"000\,")&amp;TEXT(Regen!B314,"?00000000")&amp;TEXT(Regen!C314,""",""?0")&amp;IF(EXACT(Regen!D314,"T"),", ""tr""",SUBSTITUTE(TEXT(IF(ISTEXT(Regen!D314),Regen!D314,10*Regen!D314),""",""????0;"",""???-0;"",""????0;"", ////"""),"'",""""))&amp;SUBSTITUTE(TEXT(Regen!E314,""",""?00;"",""?-00;"",""?00;"", //"""),"'","""")</f>
        <v>78989, 19131109, 1, ////, 07</v>
      </c>
    </row>
    <row r="315" spans="1:1" x14ac:dyDescent="0.25">
      <c r="A315" s="11" t="str">
        <f ca="1">TEXT(Regen!A315,"000\,")&amp;TEXT(Regen!B315,"?00000000")&amp;TEXT(Regen!C315,""",""?0")&amp;IF(EXACT(Regen!D315,"T"),", ""tr""",SUBSTITUTE(TEXT(IF(ISTEXT(Regen!D315),Regen!D315,10*Regen!D315),""",""????0;"",""???-0;"",""????0;"", ////"""),"'",""""))&amp;SUBSTITUTE(TEXT(Regen!E315,""",""?00;"",""?-00;"",""?00;"", //"""),"'","""")</f>
        <v>78989, 19131110, 1, ////, 07</v>
      </c>
    </row>
    <row r="316" spans="1:1" x14ac:dyDescent="0.25">
      <c r="A316" s="11" t="str">
        <f ca="1">TEXT(Regen!A316,"000\,")&amp;TEXT(Regen!B316,"?00000000")&amp;TEXT(Regen!C316,""",""?0")&amp;IF(EXACT(Regen!D316,"T"),", ""tr""",SUBSTITUTE(TEXT(IF(ISTEXT(Regen!D316),Regen!D316,10*Regen!D316),""",""????0;"",""???-0;"",""????0;"", ////"""),"'",""""))&amp;SUBSTITUTE(TEXT(Regen!E316,""",""?00;"",""?-00;"",""?00;"", //"""),"'","""")</f>
        <v>78989, 19131111, 1, ////, 07</v>
      </c>
    </row>
    <row r="317" spans="1:1" x14ac:dyDescent="0.25">
      <c r="A317" s="11" t="str">
        <f ca="1">TEXT(Regen!A317,"000\,")&amp;TEXT(Regen!B317,"?00000000")&amp;TEXT(Regen!C317,""",""?0")&amp;IF(EXACT(Regen!D317,"T"),", ""tr""",SUBSTITUTE(TEXT(IF(ISTEXT(Regen!D317),Regen!D317,10*Regen!D317),""",""????0;"",""???-0;"",""????0;"", ////"""),"'",""""))&amp;SUBSTITUTE(TEXT(Regen!E317,""",""?00;"",""?-00;"",""?00;"", //"""),"'","""")</f>
        <v>78989, 19131112, 1, ////, 07</v>
      </c>
    </row>
    <row r="318" spans="1:1" x14ac:dyDescent="0.25">
      <c r="A318" s="11" t="str">
        <f ca="1">TEXT(Regen!A318,"000\,")&amp;TEXT(Regen!B318,"?00000000")&amp;TEXT(Regen!C318,""",""?0")&amp;IF(EXACT(Regen!D318,"T"),", ""tr""",SUBSTITUTE(TEXT(IF(ISTEXT(Regen!D318),Regen!D318,10*Regen!D318),""",""????0;"",""???-0;"",""????0;"", ////"""),"'",""""))&amp;SUBSTITUTE(TEXT(Regen!E318,""",""?00;"",""?-00;"",""?00;"", //"""),"'","""")</f>
        <v>78989, 19131113, 1, ////, 07</v>
      </c>
    </row>
    <row r="319" spans="1:1" x14ac:dyDescent="0.25">
      <c r="A319" s="11" t="str">
        <f ca="1">TEXT(Regen!A319,"000\,")&amp;TEXT(Regen!B319,"?00000000")&amp;TEXT(Regen!C319,""",""?0")&amp;IF(EXACT(Regen!D319,"T"),", ""tr""",SUBSTITUTE(TEXT(IF(ISTEXT(Regen!D319),Regen!D319,10*Regen!D319),""",""????0;"",""???-0;"",""????0;"", ////"""),"'",""""))&amp;SUBSTITUTE(TEXT(Regen!E319,""",""?00;"",""?-00;"",""?00;"", //"""),"'","""")</f>
        <v>78989, 19131114, 1, ////, 07</v>
      </c>
    </row>
    <row r="320" spans="1:1" x14ac:dyDescent="0.25">
      <c r="A320" s="11" t="str">
        <f ca="1">TEXT(Regen!A320,"000\,")&amp;TEXT(Regen!B320,"?00000000")&amp;TEXT(Regen!C320,""",""?0")&amp;IF(EXACT(Regen!D320,"T"),", ""tr""",SUBSTITUTE(TEXT(IF(ISTEXT(Regen!D320),Regen!D320,10*Regen!D320),""",""????0;"",""???-0;"",""????0;"", ////"""),"'",""""))&amp;SUBSTITUTE(TEXT(Regen!E320,""",""?00;"",""?-00;"",""?00;"", //"""),"'","""")</f>
        <v>78989, 19131115, 1, ////, 07</v>
      </c>
    </row>
    <row r="321" spans="1:1" x14ac:dyDescent="0.25">
      <c r="A321" s="11" t="str">
        <f ca="1">TEXT(Regen!A321,"000\,")&amp;TEXT(Regen!B321,"?00000000")&amp;TEXT(Regen!C321,""",""?0")&amp;IF(EXACT(Regen!D321,"T"),", ""tr""",SUBSTITUTE(TEXT(IF(ISTEXT(Regen!D321),Regen!D321,10*Regen!D321),""",""????0;"",""???-0;"",""????0;"", ////"""),"'",""""))&amp;SUBSTITUTE(TEXT(Regen!E321,""",""?00;"",""?-00;"",""?00;"", //"""),"'","""")</f>
        <v>78989, 19131116, 1, ////, 07</v>
      </c>
    </row>
    <row r="322" spans="1:1" x14ac:dyDescent="0.25">
      <c r="A322" s="11" t="str">
        <f ca="1">TEXT(Regen!A322,"000\,")&amp;TEXT(Regen!B322,"?00000000")&amp;TEXT(Regen!C322,""",""?0")&amp;IF(EXACT(Regen!D322,"T"),", ""tr""",SUBSTITUTE(TEXT(IF(ISTEXT(Regen!D322),Regen!D322,10*Regen!D322),""",""????0;"",""???-0;"",""????0;"", ////"""),"'",""""))&amp;SUBSTITUTE(TEXT(Regen!E322,""",""?00;"",""?-00;"",""?00;"", //"""),"'","""")</f>
        <v>78989, 19131117, 1, ////, 07</v>
      </c>
    </row>
    <row r="323" spans="1:1" x14ac:dyDescent="0.25">
      <c r="A323" s="11" t="str">
        <f ca="1">TEXT(Regen!A323,"000\,")&amp;TEXT(Regen!B323,"?00000000")&amp;TEXT(Regen!C323,""",""?0")&amp;IF(EXACT(Regen!D323,"T"),", ""tr""",SUBSTITUTE(TEXT(IF(ISTEXT(Regen!D323),Regen!D323,10*Regen!D323),""",""????0;"",""???-0;"",""????0;"", ////"""),"'",""""))&amp;SUBSTITUTE(TEXT(Regen!E323,""",""?00;"",""?-00;"",""?00;"", //"""),"'","""")</f>
        <v>78989, 19131118, 1, ////, 07</v>
      </c>
    </row>
    <row r="324" spans="1:1" x14ac:dyDescent="0.25">
      <c r="A324" s="11" t="str">
        <f ca="1">TEXT(Regen!A324,"000\,")&amp;TEXT(Regen!B324,"?00000000")&amp;TEXT(Regen!C324,""",""?0")&amp;IF(EXACT(Regen!D324,"T"),", ""tr""",SUBSTITUTE(TEXT(IF(ISTEXT(Regen!D324),Regen!D324,10*Regen!D324),""",""????0;"",""???-0;"",""????0;"", ////"""),"'",""""))&amp;SUBSTITUTE(TEXT(Regen!E324,""",""?00;"",""?-00;"",""?00;"", //"""),"'","""")</f>
        <v>78989, 19131119, 1, ////, 07</v>
      </c>
    </row>
    <row r="325" spans="1:1" x14ac:dyDescent="0.25">
      <c r="A325" s="11" t="str">
        <f ca="1">TEXT(Regen!A325,"000\,")&amp;TEXT(Regen!B325,"?00000000")&amp;TEXT(Regen!C325,""",""?0")&amp;IF(EXACT(Regen!D325,"T"),", ""tr""",SUBSTITUTE(TEXT(IF(ISTEXT(Regen!D325),Regen!D325,10*Regen!D325),""",""????0;"",""???-0;"",""????0;"", ////"""),"'",""""))&amp;SUBSTITUTE(TEXT(Regen!E325,""",""?00;"",""?-00;"",""?00;"", //"""),"'","""")</f>
        <v>78989, 19131120, 1, ////, 07</v>
      </c>
    </row>
    <row r="326" spans="1:1" x14ac:dyDescent="0.25">
      <c r="A326" s="11" t="str">
        <f ca="1">TEXT(Regen!A326,"000\,")&amp;TEXT(Regen!B326,"?00000000")&amp;TEXT(Regen!C326,""",""?0")&amp;IF(EXACT(Regen!D326,"T"),", ""tr""",SUBSTITUTE(TEXT(IF(ISTEXT(Regen!D326),Regen!D326,10*Regen!D326),""",""????0;"",""???-0;"",""????0;"", ////"""),"'",""""))&amp;SUBSTITUTE(TEXT(Regen!E326,""",""?00;"",""?-00;"",""?00;"", //"""),"'","""")</f>
        <v>78989, 19131121, 1, ////, 07</v>
      </c>
    </row>
    <row r="327" spans="1:1" x14ac:dyDescent="0.25">
      <c r="A327" s="11" t="str">
        <f ca="1">TEXT(Regen!A327,"000\,")&amp;TEXT(Regen!B327,"?00000000")&amp;TEXT(Regen!C327,""",""?0")&amp;IF(EXACT(Regen!D327,"T"),", ""tr""",SUBSTITUTE(TEXT(IF(ISTEXT(Regen!D327),Regen!D327,10*Regen!D327),""",""????0;"",""???-0;"",""????0;"", ////"""),"'",""""))&amp;SUBSTITUTE(TEXT(Regen!E327,""",""?00;"",""?-00;"",""?00;"", //"""),"'","""")</f>
        <v>78989, 19131122, 1, ////, 07</v>
      </c>
    </row>
    <row r="328" spans="1:1" x14ac:dyDescent="0.25">
      <c r="A328" s="11" t="str">
        <f ca="1">TEXT(Regen!A328,"000\,")&amp;TEXT(Regen!B328,"?00000000")&amp;TEXT(Regen!C328,""",""?0")&amp;IF(EXACT(Regen!D328,"T"),", ""tr""",SUBSTITUTE(TEXT(IF(ISTEXT(Regen!D328),Regen!D328,10*Regen!D328),""",""????0;"",""???-0;"",""????0;"", ////"""),"'",""""))&amp;SUBSTITUTE(TEXT(Regen!E328,""",""?00;"",""?-00;"",""?00;"", //"""),"'","""")</f>
        <v>78989, 19131123, 1, ////, 07</v>
      </c>
    </row>
    <row r="329" spans="1:1" x14ac:dyDescent="0.25">
      <c r="A329" s="11" t="str">
        <f ca="1">TEXT(Regen!A329,"000\,")&amp;TEXT(Regen!B329,"?00000000")&amp;TEXT(Regen!C329,""",""?0")&amp;IF(EXACT(Regen!D329,"T"),", ""tr""",SUBSTITUTE(TEXT(IF(ISTEXT(Regen!D329),Regen!D329,10*Regen!D329),""",""????0;"",""???-0;"",""????0;"", ////"""),"'",""""))&amp;SUBSTITUTE(TEXT(Regen!E329,""",""?00;"",""?-00;"",""?00;"", //"""),"'","""")</f>
        <v>78989, 19131124, 1, ////, 07</v>
      </c>
    </row>
    <row r="330" spans="1:1" x14ac:dyDescent="0.25">
      <c r="A330" s="11" t="str">
        <f ca="1">TEXT(Regen!A330,"000\,")&amp;TEXT(Regen!B330,"?00000000")&amp;TEXT(Regen!C330,""",""?0")&amp;IF(EXACT(Regen!D330,"T"),", ""tr""",SUBSTITUTE(TEXT(IF(ISTEXT(Regen!D330),Regen!D330,10*Regen!D330),""",""????0;"",""???-0;"",""????0;"", ////"""),"'",""""))&amp;SUBSTITUTE(TEXT(Regen!E330,""",""?00;"",""?-00;"",""?00;"", //"""),"'","""")</f>
        <v>78989, 19131125, 1, ////, 07</v>
      </c>
    </row>
    <row r="331" spans="1:1" x14ac:dyDescent="0.25">
      <c r="A331" s="11" t="str">
        <f ca="1">TEXT(Regen!A331,"000\,")&amp;TEXT(Regen!B331,"?00000000")&amp;TEXT(Regen!C331,""",""?0")&amp;IF(EXACT(Regen!D331,"T"),", ""tr""",SUBSTITUTE(TEXT(IF(ISTEXT(Regen!D331),Regen!D331,10*Regen!D331),""",""????0;"",""???-0;"",""????0;"", ////"""),"'",""""))&amp;SUBSTITUTE(TEXT(Regen!E331,""",""?00;"",""?-00;"",""?00;"", //"""),"'","""")</f>
        <v>78989, 19131126, 1, ////, 07</v>
      </c>
    </row>
    <row r="332" spans="1:1" x14ac:dyDescent="0.25">
      <c r="A332" s="11" t="str">
        <f ca="1">TEXT(Regen!A332,"000\,")&amp;TEXT(Regen!B332,"?00000000")&amp;TEXT(Regen!C332,""",""?0")&amp;IF(EXACT(Regen!D332,"T"),", ""tr""",SUBSTITUTE(TEXT(IF(ISTEXT(Regen!D332),Regen!D332,10*Regen!D332),""",""????0;"",""???-0;"",""????0;"", ////"""),"'",""""))&amp;SUBSTITUTE(TEXT(Regen!E332,""",""?00;"",""?-00;"",""?00;"", //"""),"'","""")</f>
        <v>78989, 19131127, 1, ////, 07</v>
      </c>
    </row>
    <row r="333" spans="1:1" x14ac:dyDescent="0.25">
      <c r="A333" s="11" t="str">
        <f ca="1">TEXT(Regen!A333,"000\,")&amp;TEXT(Regen!B333,"?00000000")&amp;TEXT(Regen!C333,""",""?0")&amp;IF(EXACT(Regen!D333,"T"),", ""tr""",SUBSTITUTE(TEXT(IF(ISTEXT(Regen!D333),Regen!D333,10*Regen!D333),""",""????0;"",""???-0;"",""????0;"", ////"""),"'",""""))&amp;SUBSTITUTE(TEXT(Regen!E333,""",""?00;"",""?-00;"",""?00;"", //"""),"'","""")</f>
        <v>78989, 19131128, 1, ////, 07</v>
      </c>
    </row>
    <row r="334" spans="1:1" x14ac:dyDescent="0.25">
      <c r="A334" s="11" t="str">
        <f ca="1">TEXT(Regen!A334,"000\,")&amp;TEXT(Regen!B334,"?00000000")&amp;TEXT(Regen!C334,""",""?0")&amp;IF(EXACT(Regen!D334,"T"),", ""tr""",SUBSTITUTE(TEXT(IF(ISTEXT(Regen!D334),Regen!D334,10*Regen!D334),""",""????0;"",""???-0;"",""????0;"", ////"""),"'",""""))&amp;SUBSTITUTE(TEXT(Regen!E334,""",""?00;"",""?-00;"",""?00;"", //"""),"'","""")</f>
        <v>78989, 19131129, 1, ////, 07</v>
      </c>
    </row>
    <row r="335" spans="1:1" x14ac:dyDescent="0.25">
      <c r="A335" s="11" t="str">
        <f ca="1">TEXT(Regen!A335,"000\,")&amp;TEXT(Regen!B335,"?00000000")&amp;TEXT(Regen!C335,""",""?0")&amp;IF(EXACT(Regen!D335,"T"),", ""tr""",SUBSTITUTE(TEXT(IF(ISTEXT(Regen!D335),Regen!D335,10*Regen!D335),""",""????0;"",""???-0;"",""????0;"", ////"""),"'",""""))&amp;SUBSTITUTE(TEXT(Regen!E335,""",""?00;"",""?-00;"",""?00;"", //"""),"'","""")</f>
        <v>78989, 19131130, 1, ////, 07</v>
      </c>
    </row>
    <row r="336" spans="1:1" x14ac:dyDescent="0.25">
      <c r="A336" s="11" t="str">
        <f ca="1">TEXT(Regen!A336,"000\,")&amp;TEXT(Regen!B336,"?00000000")&amp;TEXT(Regen!C336,""",""?0")&amp;IF(EXACT(Regen!D336,"T"),", ""tr""",SUBSTITUTE(TEXT(IF(ISTEXT(Regen!D336),Regen!D336,10*Regen!D336),""",""????0;"",""???-0;"",""????0;"", ////"""),"'",""""))&amp;SUBSTITUTE(TEXT(Regen!E336,""",""?00;"",""?-00;"",""?00;"", //"""),"'","""")</f>
        <v>78989, 19131201, 1, ////, 07</v>
      </c>
    </row>
    <row r="337" spans="1:1" x14ac:dyDescent="0.25">
      <c r="A337" s="11" t="str">
        <f ca="1">TEXT(Regen!A337,"000\,")&amp;TEXT(Regen!B337,"?00000000")&amp;TEXT(Regen!C337,""",""?0")&amp;IF(EXACT(Regen!D337,"T"),", ""tr""",SUBSTITUTE(TEXT(IF(ISTEXT(Regen!D337),Regen!D337,10*Regen!D337),""",""????0;"",""???-0;"",""????0;"", ////"""),"'",""""))&amp;SUBSTITUTE(TEXT(Regen!E337,""",""?00;"",""?-00;"",""?00;"", //"""),"'","""")</f>
        <v>78989, 19131202, 1, ////, 07</v>
      </c>
    </row>
    <row r="338" spans="1:1" x14ac:dyDescent="0.25">
      <c r="A338" s="11" t="str">
        <f ca="1">TEXT(Regen!A338,"000\,")&amp;TEXT(Regen!B338,"?00000000")&amp;TEXT(Regen!C338,""",""?0")&amp;IF(EXACT(Regen!D338,"T"),", ""tr""",SUBSTITUTE(TEXT(IF(ISTEXT(Regen!D338),Regen!D338,10*Regen!D338),""",""????0;"",""???-0;"",""????0;"", ////"""),"'",""""))&amp;SUBSTITUTE(TEXT(Regen!E338,""",""?00;"",""?-00;"",""?00;"", //"""),"'","""")</f>
        <v>78989, 19131203, 1, ////, 07</v>
      </c>
    </row>
    <row r="339" spans="1:1" x14ac:dyDescent="0.25">
      <c r="A339" s="11" t="str">
        <f ca="1">TEXT(Regen!A339,"000\,")&amp;TEXT(Regen!B339,"?00000000")&amp;TEXT(Regen!C339,""",""?0")&amp;IF(EXACT(Regen!D339,"T"),", ""tr""",SUBSTITUTE(TEXT(IF(ISTEXT(Regen!D339),Regen!D339,10*Regen!D339),""",""????0;"",""???-0;"",""????0;"", ////"""),"'",""""))&amp;SUBSTITUTE(TEXT(Regen!E339,""",""?00;"",""?-00;"",""?00;"", //"""),"'","""")</f>
        <v>78989, 19131204, 1, ////, 07</v>
      </c>
    </row>
    <row r="340" spans="1:1" x14ac:dyDescent="0.25">
      <c r="A340" s="11" t="str">
        <f ca="1">TEXT(Regen!A340,"000\,")&amp;TEXT(Regen!B340,"?00000000")&amp;TEXT(Regen!C340,""",""?0")&amp;IF(EXACT(Regen!D340,"T"),", ""tr""",SUBSTITUTE(TEXT(IF(ISTEXT(Regen!D340),Regen!D340,10*Regen!D340),""",""????0;"",""???-0;"",""????0;"", ////"""),"'",""""))&amp;SUBSTITUTE(TEXT(Regen!E340,""",""?00;"",""?-00;"",""?00;"", //"""),"'","""")</f>
        <v>78989, 19131205, 1, ////, 07</v>
      </c>
    </row>
    <row r="341" spans="1:1" x14ac:dyDescent="0.25">
      <c r="A341" s="11" t="str">
        <f ca="1">TEXT(Regen!A341,"000\,")&amp;TEXT(Regen!B341,"?00000000")&amp;TEXT(Regen!C341,""",""?0")&amp;IF(EXACT(Regen!D341,"T"),", ""tr""",SUBSTITUTE(TEXT(IF(ISTEXT(Regen!D341),Regen!D341,10*Regen!D341),""",""????0;"",""???-0;"",""????0;"", ////"""),"'",""""))&amp;SUBSTITUTE(TEXT(Regen!E341,""",""?00;"",""?-00;"",""?00;"", //"""),"'","""")</f>
        <v>78989, 19131206, 1, ////, 07</v>
      </c>
    </row>
    <row r="342" spans="1:1" x14ac:dyDescent="0.25">
      <c r="A342" s="11" t="str">
        <f ca="1">TEXT(Regen!A342,"000\,")&amp;TEXT(Regen!B342,"?00000000")&amp;TEXT(Regen!C342,""",""?0")&amp;IF(EXACT(Regen!D342,"T"),", ""tr""",SUBSTITUTE(TEXT(IF(ISTEXT(Regen!D342),Regen!D342,10*Regen!D342),""",""????0;"",""???-0;"",""????0;"", ////"""),"'",""""))&amp;SUBSTITUTE(TEXT(Regen!E342,""",""?00;"",""?-00;"",""?00;"", //"""),"'","""")</f>
        <v>78989, 19131207, 1, ////, 07</v>
      </c>
    </row>
    <row r="343" spans="1:1" x14ac:dyDescent="0.25">
      <c r="A343" s="11" t="str">
        <f ca="1">TEXT(Regen!A343,"000\,")&amp;TEXT(Regen!B343,"?00000000")&amp;TEXT(Regen!C343,""",""?0")&amp;IF(EXACT(Regen!D343,"T"),", ""tr""",SUBSTITUTE(TEXT(IF(ISTEXT(Regen!D343),Regen!D343,10*Regen!D343),""",""????0;"",""???-0;"",""????0;"", ////"""),"'",""""))&amp;SUBSTITUTE(TEXT(Regen!E343,""",""?00;"",""?-00;"",""?00;"", //"""),"'","""")</f>
        <v>78989, 19131208, 1, ////, 07</v>
      </c>
    </row>
    <row r="344" spans="1:1" x14ac:dyDescent="0.25">
      <c r="A344" s="11" t="str">
        <f ca="1">TEXT(Regen!A344,"000\,")&amp;TEXT(Regen!B344,"?00000000")&amp;TEXT(Regen!C344,""",""?0")&amp;IF(EXACT(Regen!D344,"T"),", ""tr""",SUBSTITUTE(TEXT(IF(ISTEXT(Regen!D344),Regen!D344,10*Regen!D344),""",""????0;"",""???-0;"",""????0;"", ////"""),"'",""""))&amp;SUBSTITUTE(TEXT(Regen!E344,""",""?00;"",""?-00;"",""?00;"", //"""),"'","""")</f>
        <v>78989, 19131209, 1, ////, 07</v>
      </c>
    </row>
    <row r="345" spans="1:1" x14ac:dyDescent="0.25">
      <c r="A345" s="11" t="str">
        <f ca="1">TEXT(Regen!A345,"000\,")&amp;TEXT(Regen!B345,"?00000000")&amp;TEXT(Regen!C345,""",""?0")&amp;IF(EXACT(Regen!D345,"T"),", ""tr""",SUBSTITUTE(TEXT(IF(ISTEXT(Regen!D345),Regen!D345,10*Regen!D345),""",""????0;"",""???-0;"",""????0;"", ////"""),"'",""""))&amp;SUBSTITUTE(TEXT(Regen!E345,""",""?00;"",""?-00;"",""?00;"", //"""),"'","""")</f>
        <v>78989, 19131210, 1, ////, 07</v>
      </c>
    </row>
    <row r="346" spans="1:1" x14ac:dyDescent="0.25">
      <c r="A346" s="11" t="str">
        <f ca="1">TEXT(Regen!A346,"000\,")&amp;TEXT(Regen!B346,"?00000000")&amp;TEXT(Regen!C346,""",""?0")&amp;IF(EXACT(Regen!D346,"T"),", ""tr""",SUBSTITUTE(TEXT(IF(ISTEXT(Regen!D346),Regen!D346,10*Regen!D346),""",""????0;"",""???-0;"",""????0;"", ////"""),"'",""""))&amp;SUBSTITUTE(TEXT(Regen!E346,""",""?00;"",""?-00;"",""?00;"", //"""),"'","""")</f>
        <v>78989, 19131211, 1, ////, 07</v>
      </c>
    </row>
    <row r="347" spans="1:1" x14ac:dyDescent="0.25">
      <c r="A347" s="11" t="str">
        <f ca="1">TEXT(Regen!A347,"000\,")&amp;TEXT(Regen!B347,"?00000000")&amp;TEXT(Regen!C347,""",""?0")&amp;IF(EXACT(Regen!D347,"T"),", ""tr""",SUBSTITUTE(TEXT(IF(ISTEXT(Regen!D347),Regen!D347,10*Regen!D347),""",""????0;"",""???-0;"",""????0;"", ////"""),"'",""""))&amp;SUBSTITUTE(TEXT(Regen!E347,""",""?00;"",""?-00;"",""?00;"", //"""),"'","""")</f>
        <v>78989, 19131212, 1, ////, 07</v>
      </c>
    </row>
    <row r="348" spans="1:1" x14ac:dyDescent="0.25">
      <c r="A348" s="11" t="str">
        <f ca="1">TEXT(Regen!A348,"000\,")&amp;TEXT(Regen!B348,"?00000000")&amp;TEXT(Regen!C348,""",""?0")&amp;IF(EXACT(Regen!D348,"T"),", ""tr""",SUBSTITUTE(TEXT(IF(ISTEXT(Regen!D348),Regen!D348,10*Regen!D348),""",""????0;"",""???-0;"",""????0;"", ////"""),"'",""""))&amp;SUBSTITUTE(TEXT(Regen!E348,""",""?00;"",""?-00;"",""?00;"", //"""),"'","""")</f>
        <v>78989, 19131213, 1, ////, 07</v>
      </c>
    </row>
    <row r="349" spans="1:1" x14ac:dyDescent="0.25">
      <c r="A349" s="11" t="str">
        <f ca="1">TEXT(Regen!A349,"000\,")&amp;TEXT(Regen!B349,"?00000000")&amp;TEXT(Regen!C349,""",""?0")&amp;IF(EXACT(Regen!D349,"T"),", ""tr""",SUBSTITUTE(TEXT(IF(ISTEXT(Regen!D349),Regen!D349,10*Regen!D349),""",""????0;"",""???-0;"",""????0;"", ////"""),"'",""""))&amp;SUBSTITUTE(TEXT(Regen!E349,""",""?00;"",""?-00;"",""?00;"", //"""),"'","""")</f>
        <v>78989, 19131214, 1, ////, 07</v>
      </c>
    </row>
    <row r="350" spans="1:1" x14ac:dyDescent="0.25">
      <c r="A350" s="11" t="str">
        <f ca="1">TEXT(Regen!A350,"000\,")&amp;TEXT(Regen!B350,"?00000000")&amp;TEXT(Regen!C350,""",""?0")&amp;IF(EXACT(Regen!D350,"T"),", ""tr""",SUBSTITUTE(TEXT(IF(ISTEXT(Regen!D350),Regen!D350,10*Regen!D350),""",""????0;"",""???-0;"",""????0;"", ////"""),"'",""""))&amp;SUBSTITUTE(TEXT(Regen!E350,""",""?00;"",""?-00;"",""?00;"", //"""),"'","""")</f>
        <v>78989, 19131215, 1, ////, 07</v>
      </c>
    </row>
    <row r="351" spans="1:1" x14ac:dyDescent="0.25">
      <c r="A351" s="11" t="str">
        <f ca="1">TEXT(Regen!A351,"000\,")&amp;TEXT(Regen!B351,"?00000000")&amp;TEXT(Regen!C351,""",""?0")&amp;IF(EXACT(Regen!D351,"T"),", ""tr""",SUBSTITUTE(TEXT(IF(ISTEXT(Regen!D351),Regen!D351,10*Regen!D351),""",""????0;"",""???-0;"",""????0;"", ////"""),"'",""""))&amp;SUBSTITUTE(TEXT(Regen!E351,""",""?00;"",""?-00;"",""?00;"", //"""),"'","""")</f>
        <v>78989, 19131216, 1, ////, 07</v>
      </c>
    </row>
    <row r="352" spans="1:1" x14ac:dyDescent="0.25">
      <c r="A352" s="11" t="str">
        <f ca="1">TEXT(Regen!A352,"000\,")&amp;TEXT(Regen!B352,"?00000000")&amp;TEXT(Regen!C352,""",""?0")&amp;IF(EXACT(Regen!D352,"T"),", ""tr""",SUBSTITUTE(TEXT(IF(ISTEXT(Regen!D352),Regen!D352,10*Regen!D352),""",""????0;"",""???-0;"",""????0;"", ////"""),"'",""""))&amp;SUBSTITUTE(TEXT(Regen!E352,""",""?00;"",""?-00;"",""?00;"", //"""),"'","""")</f>
        <v>78989, 19131217, 1, ////, 07</v>
      </c>
    </row>
    <row r="353" spans="1:1" x14ac:dyDescent="0.25">
      <c r="A353" s="11" t="str">
        <f ca="1">TEXT(Regen!A353,"000\,")&amp;TEXT(Regen!B353,"?00000000")&amp;TEXT(Regen!C353,""",""?0")&amp;IF(EXACT(Regen!D353,"T"),", ""tr""",SUBSTITUTE(TEXT(IF(ISTEXT(Regen!D353),Regen!D353,10*Regen!D353),""",""????0;"",""???-0;"",""????0;"", ////"""),"'",""""))&amp;SUBSTITUTE(TEXT(Regen!E353,""",""?00;"",""?-00;"",""?00;"", //"""),"'","""")</f>
        <v>78989, 19131218, 1, ////, 07</v>
      </c>
    </row>
    <row r="354" spans="1:1" x14ac:dyDescent="0.25">
      <c r="A354" s="11" t="str">
        <f ca="1">TEXT(Regen!A354,"000\,")&amp;TEXT(Regen!B354,"?00000000")&amp;TEXT(Regen!C354,""",""?0")&amp;IF(EXACT(Regen!D354,"T"),", ""tr""",SUBSTITUTE(TEXT(IF(ISTEXT(Regen!D354),Regen!D354,10*Regen!D354),""",""????0;"",""???-0;"",""????0;"", ////"""),"'",""""))&amp;SUBSTITUTE(TEXT(Regen!E354,""",""?00;"",""?-00;"",""?00;"", //"""),"'","""")</f>
        <v>78989, 19131219, 1, ////, 07</v>
      </c>
    </row>
    <row r="355" spans="1:1" x14ac:dyDescent="0.25">
      <c r="A355" s="11" t="str">
        <f ca="1">TEXT(Regen!A355,"000\,")&amp;TEXT(Regen!B355,"?00000000")&amp;TEXT(Regen!C355,""",""?0")&amp;IF(EXACT(Regen!D355,"T"),", ""tr""",SUBSTITUTE(TEXT(IF(ISTEXT(Regen!D355),Regen!D355,10*Regen!D355),""",""????0;"",""???-0;"",""????0;"", ////"""),"'",""""))&amp;SUBSTITUTE(TEXT(Regen!E355,""",""?00;"",""?-00;"",""?00;"", //"""),"'","""")</f>
        <v>78989, 19131220, 1, ////, 07</v>
      </c>
    </row>
    <row r="356" spans="1:1" x14ac:dyDescent="0.25">
      <c r="A356" s="11" t="str">
        <f ca="1">TEXT(Regen!A356,"000\,")&amp;TEXT(Regen!B356,"?00000000")&amp;TEXT(Regen!C356,""",""?0")&amp;IF(EXACT(Regen!D356,"T"),", ""tr""",SUBSTITUTE(TEXT(IF(ISTEXT(Regen!D356),Regen!D356,10*Regen!D356),""",""????0;"",""???-0;"",""????0;"", ////"""),"'",""""))&amp;SUBSTITUTE(TEXT(Regen!E356,""",""?00;"",""?-00;"",""?00;"", //"""),"'","""")</f>
        <v>78989, 19131221, 1, ////, 07</v>
      </c>
    </row>
    <row r="357" spans="1:1" x14ac:dyDescent="0.25">
      <c r="A357" s="11" t="str">
        <f ca="1">TEXT(Regen!A357,"000\,")&amp;TEXT(Regen!B357,"?00000000")&amp;TEXT(Regen!C357,""",""?0")&amp;IF(EXACT(Regen!D357,"T"),", ""tr""",SUBSTITUTE(TEXT(IF(ISTEXT(Regen!D357),Regen!D357,10*Regen!D357),""",""????0;"",""???-0;"",""????0;"", ////"""),"'",""""))&amp;SUBSTITUTE(TEXT(Regen!E357,""",""?00;"",""?-00;"",""?00;"", //"""),"'","""")</f>
        <v>78989, 19131222, 1, ////, 07</v>
      </c>
    </row>
    <row r="358" spans="1:1" x14ac:dyDescent="0.25">
      <c r="A358" s="11" t="str">
        <f ca="1">TEXT(Regen!A358,"000\,")&amp;TEXT(Regen!B358,"?00000000")&amp;TEXT(Regen!C358,""",""?0")&amp;IF(EXACT(Regen!D358,"T"),", ""tr""",SUBSTITUTE(TEXT(IF(ISTEXT(Regen!D358),Regen!D358,10*Regen!D358),""",""????0;"",""???-0;"",""????0;"", ////"""),"'",""""))&amp;SUBSTITUTE(TEXT(Regen!E358,""",""?00;"",""?-00;"",""?00;"", //"""),"'","""")</f>
        <v>78989, 19131223, 1, ////, 07</v>
      </c>
    </row>
    <row r="359" spans="1:1" x14ac:dyDescent="0.25">
      <c r="A359" s="11" t="str">
        <f ca="1">TEXT(Regen!A359,"000\,")&amp;TEXT(Regen!B359,"?00000000")&amp;TEXT(Regen!C359,""",""?0")&amp;IF(EXACT(Regen!D359,"T"),", ""tr""",SUBSTITUTE(TEXT(IF(ISTEXT(Regen!D359),Regen!D359,10*Regen!D359),""",""????0;"",""???-0;"",""????0;"", ////"""),"'",""""))&amp;SUBSTITUTE(TEXT(Regen!E359,""",""?00;"",""?-00;"",""?00;"", //"""),"'","""")</f>
        <v>78989, 19131224, 1, ////, 07</v>
      </c>
    </row>
    <row r="360" spans="1:1" x14ac:dyDescent="0.25">
      <c r="A360" s="11" t="str">
        <f ca="1">TEXT(Regen!A360,"000\,")&amp;TEXT(Regen!B360,"?00000000")&amp;TEXT(Regen!C360,""",""?0")&amp;IF(EXACT(Regen!D360,"T"),", ""tr""",SUBSTITUTE(TEXT(IF(ISTEXT(Regen!D360),Regen!D360,10*Regen!D360),""",""????0;"",""???-0;"",""????0;"", ////"""),"'",""""))&amp;SUBSTITUTE(TEXT(Regen!E360,""",""?00;"",""?-00;"",""?00;"", //"""),"'","""")</f>
        <v>78989, 19131225, 1, ////, 07</v>
      </c>
    </row>
    <row r="361" spans="1:1" x14ac:dyDescent="0.25">
      <c r="A361" s="11" t="str">
        <f ca="1">TEXT(Regen!A361,"000\,")&amp;TEXT(Regen!B361,"?00000000")&amp;TEXT(Regen!C361,""",""?0")&amp;IF(EXACT(Regen!D361,"T"),", ""tr""",SUBSTITUTE(TEXT(IF(ISTEXT(Regen!D361),Regen!D361,10*Regen!D361),""",""????0;"",""???-0;"",""????0;"", ////"""),"'",""""))&amp;SUBSTITUTE(TEXT(Regen!E361,""",""?00;"",""?-00;"",""?00;"", //"""),"'","""")</f>
        <v>78989, 19131226, 1, ////, 07</v>
      </c>
    </row>
    <row r="362" spans="1:1" x14ac:dyDescent="0.25">
      <c r="A362" s="11" t="str">
        <f ca="1">TEXT(Regen!A362,"000\,")&amp;TEXT(Regen!B362,"?00000000")&amp;TEXT(Regen!C362,""",""?0")&amp;IF(EXACT(Regen!D362,"T"),", ""tr""",SUBSTITUTE(TEXT(IF(ISTEXT(Regen!D362),Regen!D362,10*Regen!D362),""",""????0;"",""???-0;"",""????0;"", ////"""),"'",""""))&amp;SUBSTITUTE(TEXT(Regen!E362,""",""?00;"",""?-00;"",""?00;"", //"""),"'","""")</f>
        <v>78989, 19131227, 1, ////, 07</v>
      </c>
    </row>
    <row r="363" spans="1:1" x14ac:dyDescent="0.25">
      <c r="A363" s="11" t="str">
        <f ca="1">TEXT(Regen!A363,"000\,")&amp;TEXT(Regen!B363,"?00000000")&amp;TEXT(Regen!C363,""",""?0")&amp;IF(EXACT(Regen!D363,"T"),", ""tr""",SUBSTITUTE(TEXT(IF(ISTEXT(Regen!D363),Regen!D363,10*Regen!D363),""",""????0;"",""???-0;"",""????0;"", ////"""),"'",""""))&amp;SUBSTITUTE(TEXT(Regen!E363,""",""?00;"",""?-00;"",""?00;"", //"""),"'","""")</f>
        <v>78989, 19131228, 1, ////, 07</v>
      </c>
    </row>
    <row r="364" spans="1:1" x14ac:dyDescent="0.25">
      <c r="A364" s="11" t="str">
        <f ca="1">TEXT(Regen!A364,"000\,")&amp;TEXT(Regen!B364,"?00000000")&amp;TEXT(Regen!C364,""",""?0")&amp;IF(EXACT(Regen!D364,"T"),", ""tr""",SUBSTITUTE(TEXT(IF(ISTEXT(Regen!D364),Regen!D364,10*Regen!D364),""",""????0;"",""???-0;"",""????0;"", ////"""),"'",""""))&amp;SUBSTITUTE(TEXT(Regen!E364,""",""?00;"",""?-00;"",""?00;"", //"""),"'","""")</f>
        <v>78989, 19131229, 1, ////, 07</v>
      </c>
    </row>
    <row r="365" spans="1:1" x14ac:dyDescent="0.25">
      <c r="A365" s="11" t="str">
        <f ca="1">TEXT(Regen!A365,"000\,")&amp;TEXT(Regen!B365,"?00000000")&amp;TEXT(Regen!C365,""",""?0")&amp;IF(EXACT(Regen!D365,"T"),", ""tr""",SUBSTITUTE(TEXT(IF(ISTEXT(Regen!D365),Regen!D365,10*Regen!D365),""",""????0;"",""???-0;"",""????0;"", ////"""),"'",""""))&amp;SUBSTITUTE(TEXT(Regen!E365,""",""?00;"",""?-00;"",""?00;"", //"""),"'","""")</f>
        <v>78989, 19131230, 1, ////, 07</v>
      </c>
    </row>
    <row r="366" spans="1:1" x14ac:dyDescent="0.25">
      <c r="A366" s="11" t="str">
        <f ca="1">TEXT(Regen!A366,"000\,")&amp;TEXT(Regen!B366,"?00000000")&amp;TEXT(Regen!C366,""",""?0")&amp;IF(EXACT(Regen!D366,"T"),", ""tr""",SUBSTITUTE(TEXT(IF(ISTEXT(Regen!D366),Regen!D366,10*Regen!D366),""",""????0;"",""???-0;"",""????0;"", ////"""),"'",""""))&amp;SUBSTITUTE(TEXT(Regen!E366,""",""?00;"",""?-00;"",""?00;"", //"""),"'","""")</f>
        <v>78989, 19131231, 1, ////, 07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A366"/>
  <sheetViews>
    <sheetView workbookViewId="0"/>
  </sheetViews>
  <sheetFormatPr defaultRowHeight="15" x14ac:dyDescent="0.25"/>
  <cols>
    <col min="1" max="2" width="133.7109375" customWidth="1"/>
  </cols>
  <sheetData>
    <row r="1" spans="1:1" x14ac:dyDescent="0.25">
      <c r="A1" s="75" t="str">
        <f>""""&amp;Overig!A1&amp;""", """&amp;Overig!B1&amp;""", """&amp;Overig!C1&amp;""", """&amp;Overig!D1&amp;""", """&amp;Overig!E1&amp;""", """&amp;Overig!F1&amp;""", """&amp;Overig!G1&amp;""", """&amp;Overig!H1&amp;""", """&amp;Overig!I1&amp;""", """&amp;Overig!J1&amp;""", """&amp;Overig!K1&amp;""", """&amp;Overig!L1&amp;""", """&amp;Overig!M1&amp;""", """&amp;Overig!N1&amp;""", """&amp;Overig!O1&amp;""", """&amp;Overig!P1&amp;""", """&amp;Overig!Q1&amp;""", """&amp;Overig!R1&amp;""", """&amp;Overig!S1&amp;""", """&amp;Overig!T1&amp;""", """&amp;Overig!U1&amp;""", """&amp;Overig!V1&amp;""", """&amp;Overig!W1&amp;""", """&amp;Overig!X1&amp;""", """&amp;Overig!Y1&amp;""", """&amp;Overig!Z1&amp;""", """&amp;Overig!AA1&amp;""", """&amp;Overig!AB1&amp;""", """&amp;Overig!AC1&amp;""", """&amp;Overig!AD1&amp;""", """&amp;Overig!AE1&amp;""", """&amp;Overig!AF1&amp;""", """&amp;Overig!AG1&amp;""", """&amp;Overig!AH1&amp;""", """&amp;Overig!AI1&amp;""", """&amp;Overig!AJ1&amp;""", """&amp;Overig!AK1&amp;""", """&amp;Overig!AL1&amp;""", """&amp;Overig!AM1&amp;""", """&amp;Overig!AN1&amp;""", """&amp;Overig!AO1&amp;""""</f>
        <v>"Stn", "Datum", "Tijd", "Tp", "qTp", "Pt", "qPt", "Pc", "qPc", "P0", "qP0", "P", "qP", "T", "qT", "Tw", "qTw", "Td", "qTd", "U", "qU", "Ed", "qEd", "Tx", "qTx", "Tn", "qTn", "D", "qD", "F", "qF", "Fx", "qFx", "DFx", "qDFx", "N", "qN", "C", "qC", "Dn", "qDn"</v>
      </c>
    </row>
    <row r="2" spans="1:1" x14ac:dyDescent="0.25">
      <c r="A2" s="75" t="str">
        <f ca="1">TEXT(Overig!A2,"000\,")&amp;TEXT(Overig!B2,"?00000000")&amp;TEXT(Overig!C2,""", ""0000")&amp;SUBSTITUTE(TEXT(IF(ISTEXT(Overig!D2),Overig!D2,10*Overig!D2),""",""????0;"",""???-0;"",""????0;"", ////"""),"'","""")&amp;SUBSTITUTE(TEXT(Overig!E2,""",""?00;"",""?-00;"",""?00;"", //"""),"'","""")&amp;SUBSTITUTE(TEXT(IF(ISTEXT(Overig!F2),Overig!F2,100*Overig!F2),""",""?????0;"",""????-0;"",""?????0;"", /////"""),"'","""")&amp;SUBSTITUTE(TEXT(Overig!G2,""",""?00;"",""?-00;"",""?00;"", //"""),"'","""")&amp;SUBSTITUTE(TEXT(IF(ISTEXT(Overig!H2),Overig!H2,100*Overig!H2),""",""????0;"",""???-0;"",""????0;"", ////"""),"'","""")&amp;SUBSTITUTE(TEXT(Overig!I2,""",""?00;"",""?-00;"",""?00;"", //"""),"'","""")&amp;SUBSTITUTE(TEXT(IF(ISTEXT(Overig!J2),Overig!J2,100*Overig!J2),""",""?????0;"",""????-0;"",""?????0;"", /////"""),"'","""")&amp;SUBSTITUTE(TEXT(Overig!K2,""",""?00;"",""?-00;"",""?00;"", //"""),"'","""")&amp;SUBSTITUTE(TEXT(IF(ISTEXT(Overig!L2),Overig!L2,10*Overig!L2),""",""????0;"",""???-0;"",""????0;"", ////"""),"'","""")&amp;SUBSTITUTE(TEXT(Overig!M2,""",""?00;"",""?-00;"",""?00;"", //"""),"'","""")&amp;SUBSTITUTE(TEXT(IF(ISTEXT(Overig!N2),Overig!N2,10*Overig!N2),""",""????0;"",""???-0;"",""????0;"", ////"""),"'","""")&amp;SUBSTITUTE(TEXT(Overig!O2,""",""?00;"",""?-00;"",""?00;"", //"""),"'","""")&amp;SUBSTITUTE(TEXT(IF(ISTEXT(Overig!P2),Overig!P2,10*Overig!P2),""",""????0;"",""???-0;"",""????0;"", ////"""),"'","""")&amp;SUBSTITUTE(TEXT(Overig!Q2,""",""?00;"",""?-00;"",""?00;"", //"""),"'","""")&amp;SUBSTITUTE(TEXT(IF(ISTEXT(Overig!R2),Overig!R2,10*Overig!R2),""",""????0;"",""???-0;"",""????0;"", ////"""),"'","""")&amp;SUBSTITUTE(TEXT(Overig!S2,""",""?00;"",""?-00;"",""?00;"", //"""),"'","""")&amp;SUBSTITUTE(TEXT(Overig!T2,""",""???0;"",""??-0;"",""???0;"", ///"""),"'","""")&amp;SUBSTITUTE(TEXT(Overig!U2,""",""?00;"",""?-00;"",""?00;"", //"""),"'","""")&amp;SUBSTITUTE(TEXT(IF(ISTEXT(Overig!V2),Overig!V2,10*Overig!V2),""",""???0;"",""??-0;"",""???0;"", ///"""),"'","""")&amp;SUBSTITUTE(TEXT(Overig!W2,""",""?00;"",""?-00;"",""?00;"", //"""),"'","""")&amp;SUBSTITUTE(TEXT(IF(ISTEXT(Overig!X2),Overig!X2,10*Overig!X2),""",""????0;"",""???-0;"",""????0;"", ////"""),"'","""")&amp;SUBSTITUTE(TEXT(Overig!Y2,""",""?00;"",""?-00;"",""?00;"", //"""),"'","""")&amp;SUBSTITUTE(TEXT(IF(ISTEXT(Overig!Z2),Overig!Z2,10*Overig!Z2),""",""????0;"",""???-0;"",""????0;"", ////"""),"'","""")&amp;SUBSTITUTE(TEXT(Overig!AA2,""",""?00;"",""?-00;"",""?00;"", //"""),"'","""")&amp;SUBSTITUTE(TEXT(Overig!AB2,""",""???0;"",""??-0;"",""???0;"", ///"""),"'","""")&amp;SUBSTITUTE(TEXT(Overig!AC2,""",""?00;"",""?-00;"",""?00;"", //"""),"'","""")&amp;SUBSTITUTE(TEXT(IF(ISTEXT(Overig!AD2),Overig!AD2,10*Overig!AD2),""",""????0;"",""???-0;"",""????0;"", ////"""),"'","""")&amp;SUBSTITUTE(TEXT(Overig!AE2,""",""?00;"",""?-00;"",""?00;"", //"""),"'","""")&amp;SUBSTITUTE(TEXT(IF(ISTEXT(Overig!AF2),Overig!AF2,10*Overig!AF2),""",""????0;"",""???-0;"",""????0;"", ////"""),"'","""")&amp;SUBSTITUTE(TEXT(Overig!AG2,""",""?00;"",""?-00;"",""?00;"", //"""),"'","""")&amp;SUBSTITUTE(TEXT(Overig!AH2,""",""???0;"",""??-0;"",""???0;"", ///"""),"'","""")&amp;SUBSTITUTE(TEXT(Overig!AI2,""",""?00;"",""?-00;"",""?00;"", //"""),"'","""")&amp;SUBSTITUTE(TEXT(Overig!AJ2,""",""??0;"",""?-0;"",""??0;"", //"""),"'","""")&amp;SUBSTITUTE(TEXT(Overig!AK2,""",""?00;"",""?-00;"",""?00;"", //"""),"'","""")&amp;SUBSTITUTE(IF(EXACT(Overig!AL2,"—"),TEXT(Overig!AL2,""",""????0;"",""???-0;"",""????0;"", ////////////,"""),TEXT(Overig!AL2,"\, \'@""',""")&amp;REPT(" ",10-LEN(Overig!AL2))),"'","""")&amp;SUBSTITUTE(TEXT(Overig!AM2,"?00;?-00;?00;"" //"""),"'","""")&amp;SUBSTITUTE(TEXT(Overig!AN2,""",""???0;"",""??-0;"",""???0;"", ///"""),"'","""")&amp;SUBSTITUTE(TEXT(Overig!AO2,""",""?00;"",""?-00;"",""?00;"", //"""),"'","""")</f>
        <v>78989, 19130101, 0800, ////, 07, /////, 07, ////, 07, /////, 07, ////, 07, ////, 07, ////, 07, ////, 07, ///, 07, ///, 07, ////, 07, ////, 07, ///, 07, ////, 07, ////, 07, ///, 07, //, 07, ////////////, 07, ///, 07</v>
      </c>
    </row>
    <row r="3" spans="1:1" x14ac:dyDescent="0.25">
      <c r="A3" s="75" t="str">
        <f ca="1">TEXT(Overig!A3,"000\,")&amp;TEXT(Overig!B3,"?00000000")&amp;TEXT(Overig!C3,""", ""0000")&amp;SUBSTITUTE(TEXT(IF(ISTEXT(Overig!D3),Overig!D3,10*Overig!D3),""",""????0;"",""???-0;"",""????0;"", ////"""),"'","""")&amp;SUBSTITUTE(TEXT(Overig!E3,""",""?00;"",""?-00;"",""?00;"", //"""),"'","""")&amp;SUBSTITUTE(TEXT(IF(ISTEXT(Overig!F3),Overig!F3,100*Overig!F3),""",""?????0;"",""????-0;"",""?????0;"", /////"""),"'","""")&amp;SUBSTITUTE(TEXT(Overig!G3,""",""?00;"",""?-00;"",""?00;"", //"""),"'","""")&amp;SUBSTITUTE(TEXT(IF(ISTEXT(Overig!H3),Overig!H3,100*Overig!H3),""",""????0;"",""???-0;"",""????0;"", ////"""),"'","""")&amp;SUBSTITUTE(TEXT(Overig!I3,""",""?00;"",""?-00;"",""?00;"", //"""),"'","""")&amp;SUBSTITUTE(TEXT(IF(ISTEXT(Overig!J3),Overig!J3,100*Overig!J3),""",""?????0;"",""????-0;"",""?????0;"", /////"""),"'","""")&amp;SUBSTITUTE(TEXT(Overig!K3,""",""?00;"",""?-00;"",""?00;"", //"""),"'","""")&amp;SUBSTITUTE(TEXT(IF(ISTEXT(Overig!L3),Overig!L3,10*Overig!L3),""",""????0;"",""???-0;"",""????0;"", ////"""),"'","""")&amp;SUBSTITUTE(TEXT(Overig!M3,""",""?00;"",""?-00;"",""?00;"", //"""),"'","""")&amp;SUBSTITUTE(TEXT(IF(ISTEXT(Overig!N3),Overig!N3,10*Overig!N3),""",""????0;"",""???-0;"",""????0;"", ////"""),"'","""")&amp;SUBSTITUTE(TEXT(Overig!O3,""",""?00;"",""?-00;"",""?00;"", //"""),"'","""")&amp;SUBSTITUTE(TEXT(IF(ISTEXT(Overig!P3),Overig!P3,10*Overig!P3),""",""????0;"",""???-0;"",""????0;"", ////"""),"'","""")&amp;SUBSTITUTE(TEXT(Overig!Q3,""",""?00;"",""?-00;"",""?00;"", //"""),"'","""")&amp;SUBSTITUTE(TEXT(IF(ISTEXT(Overig!R3),Overig!R3,10*Overig!R3),""",""????0;"",""???-0;"",""????0;"", ////"""),"'","""")&amp;SUBSTITUTE(TEXT(Overig!S3,""",""?00;"",""?-00;"",""?00;"", //"""),"'","""")&amp;SUBSTITUTE(TEXT(Overig!T3,""",""???0;"",""??-0;"",""???0;"", ///"""),"'","""")&amp;SUBSTITUTE(TEXT(Overig!U3,""",""?00;"",""?-00;"",""?00;"", //"""),"'","""")&amp;SUBSTITUTE(TEXT(IF(ISTEXT(Overig!V3),Overig!V3,10*Overig!V3),""",""???0;"",""??-0;"",""???0;"", ///"""),"'","""")&amp;SUBSTITUTE(TEXT(Overig!W3,""",""?00;"",""?-00;"",""?00;"", //"""),"'","""")&amp;SUBSTITUTE(TEXT(IF(ISTEXT(Overig!X3),Overig!X3,10*Overig!X3),""",""????0;"",""???-0;"",""????0;"", ////"""),"'","""")&amp;SUBSTITUTE(TEXT(Overig!Y3,""",""?00;"",""?-00;"",""?00;"", //"""),"'","""")&amp;SUBSTITUTE(TEXT(IF(ISTEXT(Overig!Z3),Overig!Z3,10*Overig!Z3),""",""????0;"",""???-0;"",""????0;"", ////"""),"'","""")&amp;SUBSTITUTE(TEXT(Overig!AA3,""",""?00;"",""?-00;"",""?00;"", //"""),"'","""")&amp;SUBSTITUTE(TEXT(Overig!AB3,""",""???0;"",""??-0;"",""???0;"", ///"""),"'","""")&amp;SUBSTITUTE(TEXT(Overig!AC3,""",""?00;"",""?-00;"",""?00;"", //"""),"'","""")&amp;SUBSTITUTE(TEXT(IF(ISTEXT(Overig!AD3),Overig!AD3,10*Overig!AD3),""",""????0;"",""???-0;"",""????0;"", ////"""),"'","""")&amp;SUBSTITUTE(TEXT(Overig!AE3,""",""?00;"",""?-00;"",""?00;"", //"""),"'","""")&amp;SUBSTITUTE(TEXT(IF(ISTEXT(Overig!AF3),Overig!AF3,10*Overig!AF3),""",""????0;"",""???-0;"",""????0;"", ////"""),"'","""")&amp;SUBSTITUTE(TEXT(Overig!AG3,""",""?00;"",""?-00;"",""?00;"", //"""),"'","""")&amp;SUBSTITUTE(TEXT(Overig!AH3,""",""???0;"",""??-0;"",""???0;"", ///"""),"'","""")&amp;SUBSTITUTE(TEXT(Overig!AI3,""",""?00;"",""?-00;"",""?00;"", //"""),"'","""")&amp;SUBSTITUTE(TEXT(Overig!AJ3,""",""??0;"",""?-0;"",""??0;"", //"""),"'","""")&amp;SUBSTITUTE(TEXT(Overig!AK3,""",""?00;"",""?-00;"",""?00;"", //"""),"'","""")&amp;SUBSTITUTE(IF(EXACT(Overig!AL3,"—"),TEXT(Overig!AL3,""",""????0;"",""???-0;"",""????0;"", ////////////,"""),TEXT(Overig!AL3,"\, \'@""',""")&amp;REPT(" ",10-LEN(Overig!AL3))),"'","""")&amp;SUBSTITUTE(TEXT(Overig!AM3,"?00;?-00;?00;"" //"""),"'","""")&amp;SUBSTITUTE(TEXT(Overig!AN3,""",""???0;"",""??-0;"",""???0;"", ///"""),"'","""")&amp;SUBSTITUTE(TEXT(Overig!AO3,""",""?00;"",""?-00;"",""?00;"", //"""),"'","""")</f>
        <v>78989, 19130102, 0800, ////, 07, /////, 07, ////, 07, /////, 07, ////, 07, ////, 07, ////, 07, ////, 07, ///, 07, ///, 07, ////, 07, ////, 07, ///, 07, ////, 07, ////, 07, ///, 07, //, 07, ////////////, 07, ///, 07</v>
      </c>
    </row>
    <row r="4" spans="1:1" x14ac:dyDescent="0.25">
      <c r="A4" s="75" t="str">
        <f ca="1">TEXT(Overig!A4,"000\,")&amp;TEXT(Overig!B4,"?00000000")&amp;TEXT(Overig!C4,""", ""0000")&amp;SUBSTITUTE(TEXT(IF(ISTEXT(Overig!D4),Overig!D4,10*Overig!D4),""",""????0;"",""???-0;"",""????0;"", ////"""),"'","""")&amp;SUBSTITUTE(TEXT(Overig!E4,""",""?00;"",""?-00;"",""?00;"", //"""),"'","""")&amp;SUBSTITUTE(TEXT(IF(ISTEXT(Overig!F4),Overig!F4,100*Overig!F4),""",""?????0;"",""????-0;"",""?????0;"", /////"""),"'","""")&amp;SUBSTITUTE(TEXT(Overig!G4,""",""?00;"",""?-00;"",""?00;"", //"""),"'","""")&amp;SUBSTITUTE(TEXT(IF(ISTEXT(Overig!H4),Overig!H4,100*Overig!H4),""",""????0;"",""???-0;"",""????0;"", ////"""),"'","""")&amp;SUBSTITUTE(TEXT(Overig!I4,""",""?00;"",""?-00;"",""?00;"", //"""),"'","""")&amp;SUBSTITUTE(TEXT(IF(ISTEXT(Overig!J4),Overig!J4,100*Overig!J4),""",""?????0;"",""????-0;"",""?????0;"", /////"""),"'","""")&amp;SUBSTITUTE(TEXT(Overig!K4,""",""?00;"",""?-00;"",""?00;"", //"""),"'","""")&amp;SUBSTITUTE(TEXT(IF(ISTEXT(Overig!L4),Overig!L4,10*Overig!L4),""",""????0;"",""???-0;"",""????0;"", ////"""),"'","""")&amp;SUBSTITUTE(TEXT(Overig!M4,""",""?00;"",""?-00;"",""?00;"", //"""),"'","""")&amp;SUBSTITUTE(TEXT(IF(ISTEXT(Overig!N4),Overig!N4,10*Overig!N4),""",""????0;"",""???-0;"",""????0;"", ////"""),"'","""")&amp;SUBSTITUTE(TEXT(Overig!O4,""",""?00;"",""?-00;"",""?00;"", //"""),"'","""")&amp;SUBSTITUTE(TEXT(IF(ISTEXT(Overig!P4),Overig!P4,10*Overig!P4),""",""????0;"",""???-0;"",""????0;"", ////"""),"'","""")&amp;SUBSTITUTE(TEXT(Overig!Q4,""",""?00;"",""?-00;"",""?00;"", //"""),"'","""")&amp;SUBSTITUTE(TEXT(IF(ISTEXT(Overig!R4),Overig!R4,10*Overig!R4),""",""????0;"",""???-0;"",""????0;"", ////"""),"'","""")&amp;SUBSTITUTE(TEXT(Overig!S4,""",""?00;"",""?-00;"",""?00;"", //"""),"'","""")&amp;SUBSTITUTE(TEXT(Overig!T4,""",""???0;"",""??-0;"",""???0;"", ///"""),"'","""")&amp;SUBSTITUTE(TEXT(Overig!U4,""",""?00;"",""?-00;"",""?00;"", //"""),"'","""")&amp;SUBSTITUTE(TEXT(IF(ISTEXT(Overig!V4),Overig!V4,10*Overig!V4),""",""???0;"",""??-0;"",""???0;"", ///"""),"'","""")&amp;SUBSTITUTE(TEXT(Overig!W4,""",""?00;"",""?-00;"",""?00;"", //"""),"'","""")&amp;SUBSTITUTE(TEXT(IF(ISTEXT(Overig!X4),Overig!X4,10*Overig!X4),""",""????0;"",""???-0;"",""????0;"", ////"""),"'","""")&amp;SUBSTITUTE(TEXT(Overig!Y4,""",""?00;"",""?-00;"",""?00;"", //"""),"'","""")&amp;SUBSTITUTE(TEXT(IF(ISTEXT(Overig!Z4),Overig!Z4,10*Overig!Z4),""",""????0;"",""???-0;"",""????0;"", ////"""),"'","""")&amp;SUBSTITUTE(TEXT(Overig!AA4,""",""?00;"",""?-00;"",""?00;"", //"""),"'","""")&amp;SUBSTITUTE(TEXT(Overig!AB4,""",""???0;"",""??-0;"",""???0;"", ///"""),"'","""")&amp;SUBSTITUTE(TEXT(Overig!AC4,""",""?00;"",""?-00;"",""?00;"", //"""),"'","""")&amp;SUBSTITUTE(TEXT(IF(ISTEXT(Overig!AD4),Overig!AD4,10*Overig!AD4),""",""????0;"",""???-0;"",""????0;"", ////"""),"'","""")&amp;SUBSTITUTE(TEXT(Overig!AE4,""",""?00;"",""?-00;"",""?00;"", //"""),"'","""")&amp;SUBSTITUTE(TEXT(IF(ISTEXT(Overig!AF4),Overig!AF4,10*Overig!AF4),""",""????0;"",""???-0;"",""????0;"", ////"""),"'","""")&amp;SUBSTITUTE(TEXT(Overig!AG4,""",""?00;"",""?-00;"",""?00;"", //"""),"'","""")&amp;SUBSTITUTE(TEXT(Overig!AH4,""",""???0;"",""??-0;"",""???0;"", ///"""),"'","""")&amp;SUBSTITUTE(TEXT(Overig!AI4,""",""?00;"",""?-00;"",""?00;"", //"""),"'","""")&amp;SUBSTITUTE(TEXT(Overig!AJ4,""",""??0;"",""?-0;"",""??0;"", //"""),"'","""")&amp;SUBSTITUTE(TEXT(Overig!AK4,""",""?00;"",""?-00;"",""?00;"", //"""),"'","""")&amp;SUBSTITUTE(IF(EXACT(Overig!AL4,"—"),TEXT(Overig!AL4,""",""????0;"",""???-0;"",""????0;"", ////////////,"""),TEXT(Overig!AL4,"\, \'@""',""")&amp;REPT(" ",10-LEN(Overig!AL4))),"'","""")&amp;SUBSTITUTE(TEXT(Overig!AM4,"?00;?-00;?00;"" //"""),"'","""")&amp;SUBSTITUTE(TEXT(Overig!AN4,""",""???0;"",""??-0;"",""???0;"", ///"""),"'","""")&amp;SUBSTITUTE(TEXT(Overig!AO4,""",""?00;"",""?-00;"",""?00;"", //"""),"'","""")</f>
        <v>78989, 19130103, 0800, ////, 07, /////, 07, ////, 07, /////, 07, ////, 07, ////, 07, ////, 07, ////, 07, ///, 07, ///, 07, ////, 07, ////, 07, ///, 07, ////, 07, ////, 07, ///, 07, //, 07, ////////////, 07, ///, 07</v>
      </c>
    </row>
    <row r="5" spans="1:1" x14ac:dyDescent="0.25">
      <c r="A5" s="75" t="str">
        <f ca="1">TEXT(Overig!A5,"000\,")&amp;TEXT(Overig!B5,"?00000000")&amp;TEXT(Overig!C5,""", ""0000")&amp;SUBSTITUTE(TEXT(IF(ISTEXT(Overig!D5),Overig!D5,10*Overig!D5),""",""????0;"",""???-0;"",""????0;"", ////"""),"'","""")&amp;SUBSTITUTE(TEXT(Overig!E5,""",""?00;"",""?-00;"",""?00;"", //"""),"'","""")&amp;SUBSTITUTE(TEXT(IF(ISTEXT(Overig!F5),Overig!F5,100*Overig!F5),""",""?????0;"",""????-0;"",""?????0;"", /////"""),"'","""")&amp;SUBSTITUTE(TEXT(Overig!G5,""",""?00;"",""?-00;"",""?00;"", //"""),"'","""")&amp;SUBSTITUTE(TEXT(IF(ISTEXT(Overig!H5),Overig!H5,100*Overig!H5),""",""????0;"",""???-0;"",""????0;"", ////"""),"'","""")&amp;SUBSTITUTE(TEXT(Overig!I5,""",""?00;"",""?-00;"",""?00;"", //"""),"'","""")&amp;SUBSTITUTE(TEXT(IF(ISTEXT(Overig!J5),Overig!J5,100*Overig!J5),""",""?????0;"",""????-0;"",""?????0;"", /////"""),"'","""")&amp;SUBSTITUTE(TEXT(Overig!K5,""",""?00;"",""?-00;"",""?00;"", //"""),"'","""")&amp;SUBSTITUTE(TEXT(IF(ISTEXT(Overig!L5),Overig!L5,10*Overig!L5),""",""????0;"",""???-0;"",""????0;"", ////"""),"'","""")&amp;SUBSTITUTE(TEXT(Overig!M5,""",""?00;"",""?-00;"",""?00;"", //"""),"'","""")&amp;SUBSTITUTE(TEXT(IF(ISTEXT(Overig!N5),Overig!N5,10*Overig!N5),""",""????0;"",""???-0;"",""????0;"", ////"""),"'","""")&amp;SUBSTITUTE(TEXT(Overig!O5,""",""?00;"",""?-00;"",""?00;"", //"""),"'","""")&amp;SUBSTITUTE(TEXT(IF(ISTEXT(Overig!P5),Overig!P5,10*Overig!P5),""",""????0;"",""???-0;"",""????0;"", ////"""),"'","""")&amp;SUBSTITUTE(TEXT(Overig!Q5,""",""?00;"",""?-00;"",""?00;"", //"""),"'","""")&amp;SUBSTITUTE(TEXT(IF(ISTEXT(Overig!R5),Overig!R5,10*Overig!R5),""",""????0;"",""???-0;"",""????0;"", ////"""),"'","""")&amp;SUBSTITUTE(TEXT(Overig!S5,""",""?00;"",""?-00;"",""?00;"", //"""),"'","""")&amp;SUBSTITUTE(TEXT(Overig!T5,""",""???0;"",""??-0;"",""???0;"", ///"""),"'","""")&amp;SUBSTITUTE(TEXT(Overig!U5,""",""?00;"",""?-00;"",""?00;"", //"""),"'","""")&amp;SUBSTITUTE(TEXT(IF(ISTEXT(Overig!V5),Overig!V5,10*Overig!V5),""",""???0;"",""??-0;"",""???0;"", ///"""),"'","""")&amp;SUBSTITUTE(TEXT(Overig!W5,""",""?00;"",""?-00;"",""?00;"", //"""),"'","""")&amp;SUBSTITUTE(TEXT(IF(ISTEXT(Overig!X5),Overig!X5,10*Overig!X5),""",""????0;"",""???-0;"",""????0;"", ////"""),"'","""")&amp;SUBSTITUTE(TEXT(Overig!Y5,""",""?00;"",""?-00;"",""?00;"", //"""),"'","""")&amp;SUBSTITUTE(TEXT(IF(ISTEXT(Overig!Z5),Overig!Z5,10*Overig!Z5),""",""????0;"",""???-0;"",""????0;"", ////"""),"'","""")&amp;SUBSTITUTE(TEXT(Overig!AA5,""",""?00;"",""?-00;"",""?00;"", //"""),"'","""")&amp;SUBSTITUTE(TEXT(Overig!AB5,""",""???0;"",""??-0;"",""???0;"", ///"""),"'","""")&amp;SUBSTITUTE(TEXT(Overig!AC5,""",""?00;"",""?-00;"",""?00;"", //"""),"'","""")&amp;SUBSTITUTE(TEXT(IF(ISTEXT(Overig!AD5),Overig!AD5,10*Overig!AD5),""",""????0;"",""???-0;"",""????0;"", ////"""),"'","""")&amp;SUBSTITUTE(TEXT(Overig!AE5,""",""?00;"",""?-00;"",""?00;"", //"""),"'","""")&amp;SUBSTITUTE(TEXT(IF(ISTEXT(Overig!AF5),Overig!AF5,10*Overig!AF5),""",""????0;"",""???-0;"",""????0;"", ////"""),"'","""")&amp;SUBSTITUTE(TEXT(Overig!AG5,""",""?00;"",""?-00;"",""?00;"", //"""),"'","""")&amp;SUBSTITUTE(TEXT(Overig!AH5,""",""???0;"",""??-0;"",""???0;"", ///"""),"'","""")&amp;SUBSTITUTE(TEXT(Overig!AI5,""",""?00;"",""?-00;"",""?00;"", //"""),"'","""")&amp;SUBSTITUTE(TEXT(Overig!AJ5,""",""??0;"",""?-0;"",""??0;"", //"""),"'","""")&amp;SUBSTITUTE(TEXT(Overig!AK5,""",""?00;"",""?-00;"",""?00;"", //"""),"'","""")&amp;SUBSTITUTE(IF(EXACT(Overig!AL5,"—"),TEXT(Overig!AL5,""",""????0;"",""???-0;"",""????0;"", ////////////,"""),TEXT(Overig!AL5,"\, \'@""',""")&amp;REPT(" ",10-LEN(Overig!AL5))),"'","""")&amp;SUBSTITUTE(TEXT(Overig!AM5,"?00;?-00;?00;"" //"""),"'","""")&amp;SUBSTITUTE(TEXT(Overig!AN5,""",""???0;"",""??-0;"",""???0;"", ///"""),"'","""")&amp;SUBSTITUTE(TEXT(Overig!AO5,""",""?00;"",""?-00;"",""?00;"", //"""),"'","""")</f>
        <v>78989, 19130104, 0800, ////, 07, /////, 07, ////, 07, /////, 07, ////, 07, ////, 07, ////, 07, ////, 07, ///, 07, ///, 07, ////, 07, ////, 07, ///, 07, ////, 07, ////, 07, ///, 07, //, 07, ////////////, 07, ///, 07</v>
      </c>
    </row>
    <row r="6" spans="1:1" x14ac:dyDescent="0.25">
      <c r="A6" s="75" t="str">
        <f ca="1">TEXT(Overig!A6,"000\,")&amp;TEXT(Overig!B6,"?00000000")&amp;TEXT(Overig!C6,""", ""0000")&amp;SUBSTITUTE(TEXT(IF(ISTEXT(Overig!D6),Overig!D6,10*Overig!D6),""",""????0;"",""???-0;"",""????0;"", ////"""),"'","""")&amp;SUBSTITUTE(TEXT(Overig!E6,""",""?00;"",""?-00;"",""?00;"", //"""),"'","""")&amp;SUBSTITUTE(TEXT(IF(ISTEXT(Overig!F6),Overig!F6,100*Overig!F6),""",""?????0;"",""????-0;"",""?????0;"", /////"""),"'","""")&amp;SUBSTITUTE(TEXT(Overig!G6,""",""?00;"",""?-00;"",""?00;"", //"""),"'","""")&amp;SUBSTITUTE(TEXT(IF(ISTEXT(Overig!H6),Overig!H6,100*Overig!H6),""",""????0;"",""???-0;"",""????0;"", ////"""),"'","""")&amp;SUBSTITUTE(TEXT(Overig!I6,""",""?00;"",""?-00;"",""?00;"", //"""),"'","""")&amp;SUBSTITUTE(TEXT(IF(ISTEXT(Overig!J6),Overig!J6,100*Overig!J6),""",""?????0;"",""????-0;"",""?????0;"", /////"""),"'","""")&amp;SUBSTITUTE(TEXT(Overig!K6,""",""?00;"",""?-00;"",""?00;"", //"""),"'","""")&amp;SUBSTITUTE(TEXT(IF(ISTEXT(Overig!L6),Overig!L6,10*Overig!L6),""",""????0;"",""???-0;"",""????0;"", ////"""),"'","""")&amp;SUBSTITUTE(TEXT(Overig!M6,""",""?00;"",""?-00;"",""?00;"", //"""),"'","""")&amp;SUBSTITUTE(TEXT(IF(ISTEXT(Overig!N6),Overig!N6,10*Overig!N6),""",""????0;"",""???-0;"",""????0;"", ////"""),"'","""")&amp;SUBSTITUTE(TEXT(Overig!O6,""",""?00;"",""?-00;"",""?00;"", //"""),"'","""")&amp;SUBSTITUTE(TEXT(IF(ISTEXT(Overig!P6),Overig!P6,10*Overig!P6),""",""????0;"",""???-0;"",""????0;"", ////"""),"'","""")&amp;SUBSTITUTE(TEXT(Overig!Q6,""",""?00;"",""?-00;"",""?00;"", //"""),"'","""")&amp;SUBSTITUTE(TEXT(IF(ISTEXT(Overig!R6),Overig!R6,10*Overig!R6),""",""????0;"",""???-0;"",""????0;"", ////"""),"'","""")&amp;SUBSTITUTE(TEXT(Overig!S6,""",""?00;"",""?-00;"",""?00;"", //"""),"'","""")&amp;SUBSTITUTE(TEXT(Overig!T6,""",""???0;"",""??-0;"",""???0;"", ///"""),"'","""")&amp;SUBSTITUTE(TEXT(Overig!U6,""",""?00;"",""?-00;"",""?00;"", //"""),"'","""")&amp;SUBSTITUTE(TEXT(IF(ISTEXT(Overig!V6),Overig!V6,10*Overig!V6),""",""???0;"",""??-0;"",""???0;"", ///"""),"'","""")&amp;SUBSTITUTE(TEXT(Overig!W6,""",""?00;"",""?-00;"",""?00;"", //"""),"'","""")&amp;SUBSTITUTE(TEXT(IF(ISTEXT(Overig!X6),Overig!X6,10*Overig!X6),""",""????0;"",""???-0;"",""????0;"", ////"""),"'","""")&amp;SUBSTITUTE(TEXT(Overig!Y6,""",""?00;"",""?-00;"",""?00;"", //"""),"'","""")&amp;SUBSTITUTE(TEXT(IF(ISTEXT(Overig!Z6),Overig!Z6,10*Overig!Z6),""",""????0;"",""???-0;"",""????0;"", ////"""),"'","""")&amp;SUBSTITUTE(TEXT(Overig!AA6,""",""?00;"",""?-00;"",""?00;"", //"""),"'","""")&amp;SUBSTITUTE(TEXT(Overig!AB6,""",""???0;"",""??-0;"",""???0;"", ///"""),"'","""")&amp;SUBSTITUTE(TEXT(Overig!AC6,""",""?00;"",""?-00;"",""?00;"", //"""),"'","""")&amp;SUBSTITUTE(TEXT(IF(ISTEXT(Overig!AD6),Overig!AD6,10*Overig!AD6),""",""????0;"",""???-0;"",""????0;"", ////"""),"'","""")&amp;SUBSTITUTE(TEXT(Overig!AE6,""",""?00;"",""?-00;"",""?00;"", //"""),"'","""")&amp;SUBSTITUTE(TEXT(IF(ISTEXT(Overig!AF6),Overig!AF6,10*Overig!AF6),""",""????0;"",""???-0;"",""????0;"", ////"""),"'","""")&amp;SUBSTITUTE(TEXT(Overig!AG6,""",""?00;"",""?-00;"",""?00;"", //"""),"'","""")&amp;SUBSTITUTE(TEXT(Overig!AH6,""",""???0;"",""??-0;"",""???0;"", ///"""),"'","""")&amp;SUBSTITUTE(TEXT(Overig!AI6,""",""?00;"",""?-00;"",""?00;"", //"""),"'","""")&amp;SUBSTITUTE(TEXT(Overig!AJ6,""",""??0;"",""?-0;"",""??0;"", //"""),"'","""")&amp;SUBSTITUTE(TEXT(Overig!AK6,""",""?00;"",""?-00;"",""?00;"", //"""),"'","""")&amp;SUBSTITUTE(IF(EXACT(Overig!AL6,"—"),TEXT(Overig!AL6,""",""????0;"",""???-0;"",""????0;"", ////////////,"""),TEXT(Overig!AL6,"\, \'@""',""")&amp;REPT(" ",10-LEN(Overig!AL6))),"'","""")&amp;SUBSTITUTE(TEXT(Overig!AM6,"?00;?-00;?00;"" //"""),"'","""")&amp;SUBSTITUTE(TEXT(Overig!AN6,""",""???0;"",""??-0;"",""???0;"", ///"""),"'","""")&amp;SUBSTITUTE(TEXT(Overig!AO6,""",""?00;"",""?-00;"",""?00;"", //"""),"'","""")</f>
        <v>78989, 19130105, 0800, ////, 07, /////, 07, ////, 07, /////, 07, ////, 07, ////, 07, ////, 07, ////, 07, ///, 07, ///, 07, ////, 07, ////, 07, ///, 07, ////, 07, ////, 07, ///, 07, //, 07, ////////////, 07, ///, 07</v>
      </c>
    </row>
    <row r="7" spans="1:1" x14ac:dyDescent="0.25">
      <c r="A7" s="75" t="str">
        <f ca="1">TEXT(Overig!A7,"000\,")&amp;TEXT(Overig!B7,"?00000000")&amp;TEXT(Overig!C7,""", ""0000")&amp;SUBSTITUTE(TEXT(IF(ISTEXT(Overig!D7),Overig!D7,10*Overig!D7),""",""????0;"",""???-0;"",""????0;"", ////"""),"'","""")&amp;SUBSTITUTE(TEXT(Overig!E7,""",""?00;"",""?-00;"",""?00;"", //"""),"'","""")&amp;SUBSTITUTE(TEXT(IF(ISTEXT(Overig!F7),Overig!F7,100*Overig!F7),""",""?????0;"",""????-0;"",""?????0;"", /////"""),"'","""")&amp;SUBSTITUTE(TEXT(Overig!G7,""",""?00;"",""?-00;"",""?00;"", //"""),"'","""")&amp;SUBSTITUTE(TEXT(IF(ISTEXT(Overig!H7),Overig!H7,100*Overig!H7),""",""????0;"",""???-0;"",""????0;"", ////"""),"'","""")&amp;SUBSTITUTE(TEXT(Overig!I7,""",""?00;"",""?-00;"",""?00;"", //"""),"'","""")&amp;SUBSTITUTE(TEXT(IF(ISTEXT(Overig!J7),Overig!J7,100*Overig!J7),""",""?????0;"",""????-0;"",""?????0;"", /////"""),"'","""")&amp;SUBSTITUTE(TEXT(Overig!K7,""",""?00;"",""?-00;"",""?00;"", //"""),"'","""")&amp;SUBSTITUTE(TEXT(IF(ISTEXT(Overig!L7),Overig!L7,10*Overig!L7),""",""????0;"",""???-0;"",""????0;"", ////"""),"'","""")&amp;SUBSTITUTE(TEXT(Overig!M7,""",""?00;"",""?-00;"",""?00;"", //"""),"'","""")&amp;SUBSTITUTE(TEXT(IF(ISTEXT(Overig!N7),Overig!N7,10*Overig!N7),""",""????0;"",""???-0;"",""????0;"", ////"""),"'","""")&amp;SUBSTITUTE(TEXT(Overig!O7,""",""?00;"",""?-00;"",""?00;"", //"""),"'","""")&amp;SUBSTITUTE(TEXT(IF(ISTEXT(Overig!P7),Overig!P7,10*Overig!P7),""",""????0;"",""???-0;"",""????0;"", ////"""),"'","""")&amp;SUBSTITUTE(TEXT(Overig!Q7,""",""?00;"",""?-00;"",""?00;"", //"""),"'","""")&amp;SUBSTITUTE(TEXT(IF(ISTEXT(Overig!R7),Overig!R7,10*Overig!R7),""",""????0;"",""???-0;"",""????0;"", ////"""),"'","""")&amp;SUBSTITUTE(TEXT(Overig!S7,""",""?00;"",""?-00;"",""?00;"", //"""),"'","""")&amp;SUBSTITUTE(TEXT(Overig!T7,""",""???0;"",""??-0;"",""???0;"", ///"""),"'","""")&amp;SUBSTITUTE(TEXT(Overig!U7,""",""?00;"",""?-00;"",""?00;"", //"""),"'","""")&amp;SUBSTITUTE(TEXT(IF(ISTEXT(Overig!V7),Overig!V7,10*Overig!V7),""",""???0;"",""??-0;"",""???0;"", ///"""),"'","""")&amp;SUBSTITUTE(TEXT(Overig!W7,""",""?00;"",""?-00;"",""?00;"", //"""),"'","""")&amp;SUBSTITUTE(TEXT(IF(ISTEXT(Overig!X7),Overig!X7,10*Overig!X7),""",""????0;"",""???-0;"",""????0;"", ////"""),"'","""")&amp;SUBSTITUTE(TEXT(Overig!Y7,""",""?00;"",""?-00;"",""?00;"", //"""),"'","""")&amp;SUBSTITUTE(TEXT(IF(ISTEXT(Overig!Z7),Overig!Z7,10*Overig!Z7),""",""????0;"",""???-0;"",""????0;"", ////"""),"'","""")&amp;SUBSTITUTE(TEXT(Overig!AA7,""",""?00;"",""?-00;"",""?00;"", //"""),"'","""")&amp;SUBSTITUTE(TEXT(Overig!AB7,""",""???0;"",""??-0;"",""???0;"", ///"""),"'","""")&amp;SUBSTITUTE(TEXT(Overig!AC7,""",""?00;"",""?-00;"",""?00;"", //"""),"'","""")&amp;SUBSTITUTE(TEXT(IF(ISTEXT(Overig!AD7),Overig!AD7,10*Overig!AD7),""",""????0;"",""???-0;"",""????0;"", ////"""),"'","""")&amp;SUBSTITUTE(TEXT(Overig!AE7,""",""?00;"",""?-00;"",""?00;"", //"""),"'","""")&amp;SUBSTITUTE(TEXT(IF(ISTEXT(Overig!AF7),Overig!AF7,10*Overig!AF7),""",""????0;"",""???-0;"",""????0;"", ////"""),"'","""")&amp;SUBSTITUTE(TEXT(Overig!AG7,""",""?00;"",""?-00;"",""?00;"", //"""),"'","""")&amp;SUBSTITUTE(TEXT(Overig!AH7,""",""???0;"",""??-0;"",""???0;"", ///"""),"'","""")&amp;SUBSTITUTE(TEXT(Overig!AI7,""",""?00;"",""?-00;"",""?00;"", //"""),"'","""")&amp;SUBSTITUTE(TEXT(Overig!AJ7,""",""??0;"",""?-0;"",""??0;"", //"""),"'","""")&amp;SUBSTITUTE(TEXT(Overig!AK7,""",""?00;"",""?-00;"",""?00;"", //"""),"'","""")&amp;SUBSTITUTE(IF(EXACT(Overig!AL7,"—"),TEXT(Overig!AL7,""",""????0;"",""???-0;"",""????0;"", ////////////,"""),TEXT(Overig!AL7,"\, \'@""',""")&amp;REPT(" ",10-LEN(Overig!AL7))),"'","""")&amp;SUBSTITUTE(TEXT(Overig!AM7,"?00;?-00;?00;"" //"""),"'","""")&amp;SUBSTITUTE(TEXT(Overig!AN7,""",""???0;"",""??-0;"",""???0;"", ///"""),"'","""")&amp;SUBSTITUTE(TEXT(Overig!AO7,""",""?00;"",""?-00;"",""?00;"", //"""),"'","""")</f>
        <v>78989, 19130106, 0800, ////, 07, /////, 07, ////, 07, /////, 07, ////, 07, ////, 07, ////, 07, ////, 07, ///, 07, ///, 07, ////, 07, ////, 07, ///, 07, ////, 07, ////, 07, ///, 07, //, 07, ////////////, 07, ///, 07</v>
      </c>
    </row>
    <row r="8" spans="1:1" x14ac:dyDescent="0.25">
      <c r="A8" s="75" t="str">
        <f ca="1">TEXT(Overig!A8,"000\,")&amp;TEXT(Overig!B8,"?00000000")&amp;TEXT(Overig!C8,""", ""0000")&amp;SUBSTITUTE(TEXT(IF(ISTEXT(Overig!D8),Overig!D8,10*Overig!D8),""",""????0;"",""???-0;"",""????0;"", ////"""),"'","""")&amp;SUBSTITUTE(TEXT(Overig!E8,""",""?00;"",""?-00;"",""?00;"", //"""),"'","""")&amp;SUBSTITUTE(TEXT(IF(ISTEXT(Overig!F8),Overig!F8,100*Overig!F8),""",""?????0;"",""????-0;"",""?????0;"", /////"""),"'","""")&amp;SUBSTITUTE(TEXT(Overig!G8,""",""?00;"",""?-00;"",""?00;"", //"""),"'","""")&amp;SUBSTITUTE(TEXT(IF(ISTEXT(Overig!H8),Overig!H8,100*Overig!H8),""",""????0;"",""???-0;"",""????0;"", ////"""),"'","""")&amp;SUBSTITUTE(TEXT(Overig!I8,""",""?00;"",""?-00;"",""?00;"", //"""),"'","""")&amp;SUBSTITUTE(TEXT(IF(ISTEXT(Overig!J8),Overig!J8,100*Overig!J8),""",""?????0;"",""????-0;"",""?????0;"", /////"""),"'","""")&amp;SUBSTITUTE(TEXT(Overig!K8,""",""?00;"",""?-00;"",""?00;"", //"""),"'","""")&amp;SUBSTITUTE(TEXT(IF(ISTEXT(Overig!L8),Overig!L8,10*Overig!L8),""",""????0;"",""???-0;"",""????0;"", ////"""),"'","""")&amp;SUBSTITUTE(TEXT(Overig!M8,""",""?00;"",""?-00;"",""?00;"", //"""),"'","""")&amp;SUBSTITUTE(TEXT(IF(ISTEXT(Overig!N8),Overig!N8,10*Overig!N8),""",""????0;"",""???-0;"",""????0;"", ////"""),"'","""")&amp;SUBSTITUTE(TEXT(Overig!O8,""",""?00;"",""?-00;"",""?00;"", //"""),"'","""")&amp;SUBSTITUTE(TEXT(IF(ISTEXT(Overig!P8),Overig!P8,10*Overig!P8),""",""????0;"",""???-0;"",""????0;"", ////"""),"'","""")&amp;SUBSTITUTE(TEXT(Overig!Q8,""",""?00;"",""?-00;"",""?00;"", //"""),"'","""")&amp;SUBSTITUTE(TEXT(IF(ISTEXT(Overig!R8),Overig!R8,10*Overig!R8),""",""????0;"",""???-0;"",""????0;"", ////"""),"'","""")&amp;SUBSTITUTE(TEXT(Overig!S8,""",""?00;"",""?-00;"",""?00;"", //"""),"'","""")&amp;SUBSTITUTE(TEXT(Overig!T8,""",""???0;"",""??-0;"",""???0;"", ///"""),"'","""")&amp;SUBSTITUTE(TEXT(Overig!U8,""",""?00;"",""?-00;"",""?00;"", //"""),"'","""")&amp;SUBSTITUTE(TEXT(IF(ISTEXT(Overig!V8),Overig!V8,10*Overig!V8),""",""???0;"",""??-0;"",""???0;"", ///"""),"'","""")&amp;SUBSTITUTE(TEXT(Overig!W8,""",""?00;"",""?-00;"",""?00;"", //"""),"'","""")&amp;SUBSTITUTE(TEXT(IF(ISTEXT(Overig!X8),Overig!X8,10*Overig!X8),""",""????0;"",""???-0;"",""????0;"", ////"""),"'","""")&amp;SUBSTITUTE(TEXT(Overig!Y8,""",""?00;"",""?-00;"",""?00;"", //"""),"'","""")&amp;SUBSTITUTE(TEXT(IF(ISTEXT(Overig!Z8),Overig!Z8,10*Overig!Z8),""",""????0;"",""???-0;"",""????0;"", ////"""),"'","""")&amp;SUBSTITUTE(TEXT(Overig!AA8,""",""?00;"",""?-00;"",""?00;"", //"""),"'","""")&amp;SUBSTITUTE(TEXT(Overig!AB8,""",""???0;"",""??-0;"",""???0;"", ///"""),"'","""")&amp;SUBSTITUTE(TEXT(Overig!AC8,""",""?00;"",""?-00;"",""?00;"", //"""),"'","""")&amp;SUBSTITUTE(TEXT(IF(ISTEXT(Overig!AD8),Overig!AD8,10*Overig!AD8),""",""????0;"",""???-0;"",""????0;"", ////"""),"'","""")&amp;SUBSTITUTE(TEXT(Overig!AE8,""",""?00;"",""?-00;"",""?00;"", //"""),"'","""")&amp;SUBSTITUTE(TEXT(IF(ISTEXT(Overig!AF8),Overig!AF8,10*Overig!AF8),""",""????0;"",""???-0;"",""????0;"", ////"""),"'","""")&amp;SUBSTITUTE(TEXT(Overig!AG8,""",""?00;"",""?-00;"",""?00;"", //"""),"'","""")&amp;SUBSTITUTE(TEXT(Overig!AH8,""",""???0;"",""??-0;"",""???0;"", ///"""),"'","""")&amp;SUBSTITUTE(TEXT(Overig!AI8,""",""?00;"",""?-00;"",""?00;"", //"""),"'","""")&amp;SUBSTITUTE(TEXT(Overig!AJ8,""",""??0;"",""?-0;"",""??0;"", //"""),"'","""")&amp;SUBSTITUTE(TEXT(Overig!AK8,""",""?00;"",""?-00;"",""?00;"", //"""),"'","""")&amp;SUBSTITUTE(IF(EXACT(Overig!AL8,"—"),TEXT(Overig!AL8,""",""????0;"",""???-0;"",""????0;"", ////////////,"""),TEXT(Overig!AL8,"\, \'@""',""")&amp;REPT(" ",10-LEN(Overig!AL8))),"'","""")&amp;SUBSTITUTE(TEXT(Overig!AM8,"?00;?-00;?00;"" //"""),"'","""")&amp;SUBSTITUTE(TEXT(Overig!AN8,""",""???0;"",""??-0;"",""???0;"", ///"""),"'","""")&amp;SUBSTITUTE(TEXT(Overig!AO8,""",""?00;"",""?-00;"",""?00;"", //"""),"'","""")</f>
        <v>78989, 19130107, 0800, ////, 07, /////, 07, ////, 07, /////, 07, ////, 07, ////, 07, ////, 07, ////, 07, ///, 07, ///, 07, ////, 07, ////, 07, ///, 07, ////, 07, ////, 07, ///, 07, //, 07, ////////////, 07, ///, 07</v>
      </c>
    </row>
    <row r="9" spans="1:1" x14ac:dyDescent="0.25">
      <c r="A9" s="75" t="str">
        <f ca="1">TEXT(Overig!A9,"000\,")&amp;TEXT(Overig!B9,"?00000000")&amp;TEXT(Overig!C9,""", ""0000")&amp;SUBSTITUTE(TEXT(IF(ISTEXT(Overig!D9),Overig!D9,10*Overig!D9),""",""????0;"",""???-0;"",""????0;"", ////"""),"'","""")&amp;SUBSTITUTE(TEXT(Overig!E9,""",""?00;"",""?-00;"",""?00;"", //"""),"'","""")&amp;SUBSTITUTE(TEXT(IF(ISTEXT(Overig!F9),Overig!F9,100*Overig!F9),""",""?????0;"",""????-0;"",""?????0;"", /////"""),"'","""")&amp;SUBSTITUTE(TEXT(Overig!G9,""",""?00;"",""?-00;"",""?00;"", //"""),"'","""")&amp;SUBSTITUTE(TEXT(IF(ISTEXT(Overig!H9),Overig!H9,100*Overig!H9),""",""????0;"",""???-0;"",""????0;"", ////"""),"'","""")&amp;SUBSTITUTE(TEXT(Overig!I9,""",""?00;"",""?-00;"",""?00;"", //"""),"'","""")&amp;SUBSTITUTE(TEXT(IF(ISTEXT(Overig!J9),Overig!J9,100*Overig!J9),""",""?????0;"",""????-0;"",""?????0;"", /////"""),"'","""")&amp;SUBSTITUTE(TEXT(Overig!K9,""",""?00;"",""?-00;"",""?00;"", //"""),"'","""")&amp;SUBSTITUTE(TEXT(IF(ISTEXT(Overig!L9),Overig!L9,10*Overig!L9),""",""????0;"",""???-0;"",""????0;"", ////"""),"'","""")&amp;SUBSTITUTE(TEXT(Overig!M9,""",""?00;"",""?-00;"",""?00;"", //"""),"'","""")&amp;SUBSTITUTE(TEXT(IF(ISTEXT(Overig!N9),Overig!N9,10*Overig!N9),""",""????0;"",""???-0;"",""????0;"", ////"""),"'","""")&amp;SUBSTITUTE(TEXT(Overig!O9,""",""?00;"",""?-00;"",""?00;"", //"""),"'","""")&amp;SUBSTITUTE(TEXT(IF(ISTEXT(Overig!P9),Overig!P9,10*Overig!P9),""",""????0;"",""???-0;"",""????0;"", ////"""),"'","""")&amp;SUBSTITUTE(TEXT(Overig!Q9,""",""?00;"",""?-00;"",""?00;"", //"""),"'","""")&amp;SUBSTITUTE(TEXT(IF(ISTEXT(Overig!R9),Overig!R9,10*Overig!R9),""",""????0;"",""???-0;"",""????0;"", ////"""),"'","""")&amp;SUBSTITUTE(TEXT(Overig!S9,""",""?00;"",""?-00;"",""?00;"", //"""),"'","""")&amp;SUBSTITUTE(TEXT(Overig!T9,""",""???0;"",""??-0;"",""???0;"", ///"""),"'","""")&amp;SUBSTITUTE(TEXT(Overig!U9,""",""?00;"",""?-00;"",""?00;"", //"""),"'","""")&amp;SUBSTITUTE(TEXT(IF(ISTEXT(Overig!V9),Overig!V9,10*Overig!V9),""",""???0;"",""??-0;"",""???0;"", ///"""),"'","""")&amp;SUBSTITUTE(TEXT(Overig!W9,""",""?00;"",""?-00;"",""?00;"", //"""),"'","""")&amp;SUBSTITUTE(TEXT(IF(ISTEXT(Overig!X9),Overig!X9,10*Overig!X9),""",""????0;"",""???-0;"",""????0;"", ////"""),"'","""")&amp;SUBSTITUTE(TEXT(Overig!Y9,""",""?00;"",""?-00;"",""?00;"", //"""),"'","""")&amp;SUBSTITUTE(TEXT(IF(ISTEXT(Overig!Z9),Overig!Z9,10*Overig!Z9),""",""????0;"",""???-0;"",""????0;"", ////"""),"'","""")&amp;SUBSTITUTE(TEXT(Overig!AA9,""",""?00;"",""?-00;"",""?00;"", //"""),"'","""")&amp;SUBSTITUTE(TEXT(Overig!AB9,""",""???0;"",""??-0;"",""???0;"", ///"""),"'","""")&amp;SUBSTITUTE(TEXT(Overig!AC9,""",""?00;"",""?-00;"",""?00;"", //"""),"'","""")&amp;SUBSTITUTE(TEXT(IF(ISTEXT(Overig!AD9),Overig!AD9,10*Overig!AD9),""",""????0;"",""???-0;"",""????0;"", ////"""),"'","""")&amp;SUBSTITUTE(TEXT(Overig!AE9,""",""?00;"",""?-00;"",""?00;"", //"""),"'","""")&amp;SUBSTITUTE(TEXT(IF(ISTEXT(Overig!AF9),Overig!AF9,10*Overig!AF9),""",""????0;"",""???-0;"",""????0;"", ////"""),"'","""")&amp;SUBSTITUTE(TEXT(Overig!AG9,""",""?00;"",""?-00;"",""?00;"", //"""),"'","""")&amp;SUBSTITUTE(TEXT(Overig!AH9,""",""???0;"",""??-0;"",""???0;"", ///"""),"'","""")&amp;SUBSTITUTE(TEXT(Overig!AI9,""",""?00;"",""?-00;"",""?00;"", //"""),"'","""")&amp;SUBSTITUTE(TEXT(Overig!AJ9,""",""??0;"",""?-0;"",""??0;"", //"""),"'","""")&amp;SUBSTITUTE(TEXT(Overig!AK9,""",""?00;"",""?-00;"",""?00;"", //"""),"'","""")&amp;SUBSTITUTE(IF(EXACT(Overig!AL9,"—"),TEXT(Overig!AL9,""",""????0;"",""???-0;"",""????0;"", ////////////,"""),TEXT(Overig!AL9,"\, \'@""',""")&amp;REPT(" ",10-LEN(Overig!AL9))),"'","""")&amp;SUBSTITUTE(TEXT(Overig!AM9,"?00;?-00;?00;"" //"""),"'","""")&amp;SUBSTITUTE(TEXT(Overig!AN9,""",""???0;"",""??-0;"",""???0;"", ///"""),"'","""")&amp;SUBSTITUTE(TEXT(Overig!AO9,""",""?00;"",""?-00;"",""?00;"", //"""),"'","""")</f>
        <v>78989, 19130108, 0800, ////, 07, /////, 07, ////, 07, /////, 07, ////, 07, ////, 07, ////, 07, ////, 07, ///, 07, ///, 07, ////, 07, ////, 07, ///, 07, ////, 07, ////, 07, ///, 07, //, 07, ////////////, 07, ///, 07</v>
      </c>
    </row>
    <row r="10" spans="1:1" x14ac:dyDescent="0.25">
      <c r="A10" s="75" t="str">
        <f ca="1">TEXT(Overig!A10,"000\,")&amp;TEXT(Overig!B10,"?00000000")&amp;TEXT(Overig!C10,""", ""0000")&amp;SUBSTITUTE(TEXT(IF(ISTEXT(Overig!D10),Overig!D10,10*Overig!D10),""",""????0;"",""???-0;"",""????0;"", ////"""),"'","""")&amp;SUBSTITUTE(TEXT(Overig!E10,""",""?00;"",""?-00;"",""?00;"", //"""),"'","""")&amp;SUBSTITUTE(TEXT(IF(ISTEXT(Overig!F10),Overig!F10,100*Overig!F10),""",""?????0;"",""????-0;"",""?????0;"", /////"""),"'","""")&amp;SUBSTITUTE(TEXT(Overig!G10,""",""?00;"",""?-00;"",""?00;"", //"""),"'","""")&amp;SUBSTITUTE(TEXT(IF(ISTEXT(Overig!H10),Overig!H10,100*Overig!H10),""",""????0;"",""???-0;"",""????0;"", ////"""),"'","""")&amp;SUBSTITUTE(TEXT(Overig!I10,""",""?00;"",""?-00;"",""?00;"", //"""),"'","""")&amp;SUBSTITUTE(TEXT(IF(ISTEXT(Overig!J10),Overig!J10,100*Overig!J10),""",""?????0;"",""????-0;"",""?????0;"", /////"""),"'","""")&amp;SUBSTITUTE(TEXT(Overig!K10,""",""?00;"",""?-00;"",""?00;"", //"""),"'","""")&amp;SUBSTITUTE(TEXT(IF(ISTEXT(Overig!L10),Overig!L10,10*Overig!L10),""",""????0;"",""???-0;"",""????0;"", ////"""),"'","""")&amp;SUBSTITUTE(TEXT(Overig!M10,""",""?00;"",""?-00;"",""?00;"", //"""),"'","""")&amp;SUBSTITUTE(TEXT(IF(ISTEXT(Overig!N10),Overig!N10,10*Overig!N10),""",""????0;"",""???-0;"",""????0;"", ////"""),"'","""")&amp;SUBSTITUTE(TEXT(Overig!O10,""",""?00;"",""?-00;"",""?00;"", //"""),"'","""")&amp;SUBSTITUTE(TEXT(IF(ISTEXT(Overig!P10),Overig!P10,10*Overig!P10),""",""????0;"",""???-0;"",""????0;"", ////"""),"'","""")&amp;SUBSTITUTE(TEXT(Overig!Q10,""",""?00;"",""?-00;"",""?00;"", //"""),"'","""")&amp;SUBSTITUTE(TEXT(IF(ISTEXT(Overig!R10),Overig!R10,10*Overig!R10),""",""????0;"",""???-0;"",""????0;"", ////"""),"'","""")&amp;SUBSTITUTE(TEXT(Overig!S10,""",""?00;"",""?-00;"",""?00;"", //"""),"'","""")&amp;SUBSTITUTE(TEXT(Overig!T10,""",""???0;"",""??-0;"",""???0;"", ///"""),"'","""")&amp;SUBSTITUTE(TEXT(Overig!U10,""",""?00;"",""?-00;"",""?00;"", //"""),"'","""")&amp;SUBSTITUTE(TEXT(IF(ISTEXT(Overig!V10),Overig!V10,10*Overig!V10),""",""???0;"",""??-0;"",""???0;"", ///"""),"'","""")&amp;SUBSTITUTE(TEXT(Overig!W10,""",""?00;"",""?-00;"",""?00;"", //"""),"'","""")&amp;SUBSTITUTE(TEXT(IF(ISTEXT(Overig!X10),Overig!X10,10*Overig!X10),""",""????0;"",""???-0;"",""????0;"", ////"""),"'","""")&amp;SUBSTITUTE(TEXT(Overig!Y10,""",""?00;"",""?-00;"",""?00;"", //"""),"'","""")&amp;SUBSTITUTE(TEXT(IF(ISTEXT(Overig!Z10),Overig!Z10,10*Overig!Z10),""",""????0;"",""???-0;"",""????0;"", ////"""),"'","""")&amp;SUBSTITUTE(TEXT(Overig!AA10,""",""?00;"",""?-00;"",""?00;"", //"""),"'","""")&amp;SUBSTITUTE(TEXT(Overig!AB10,""",""???0;"",""??-0;"",""???0;"", ///"""),"'","""")&amp;SUBSTITUTE(TEXT(Overig!AC10,""",""?00;"",""?-00;"",""?00;"", //"""),"'","""")&amp;SUBSTITUTE(TEXT(IF(ISTEXT(Overig!AD10),Overig!AD10,10*Overig!AD10),""",""????0;"",""???-0;"",""????0;"", ////"""),"'","""")&amp;SUBSTITUTE(TEXT(Overig!AE10,""",""?00;"",""?-00;"",""?00;"", //"""),"'","""")&amp;SUBSTITUTE(TEXT(IF(ISTEXT(Overig!AF10),Overig!AF10,10*Overig!AF10),""",""????0;"",""???-0;"",""????0;"", ////"""),"'","""")&amp;SUBSTITUTE(TEXT(Overig!AG10,""",""?00;"",""?-00;"",""?00;"", //"""),"'","""")&amp;SUBSTITUTE(TEXT(Overig!AH10,""",""???0;"",""??-0;"",""???0;"", ///"""),"'","""")&amp;SUBSTITUTE(TEXT(Overig!AI10,""",""?00;"",""?-00;"",""?00;"", //"""),"'","""")&amp;SUBSTITUTE(TEXT(Overig!AJ10,""",""??0;"",""?-0;"",""??0;"", //"""),"'","""")&amp;SUBSTITUTE(TEXT(Overig!AK10,""",""?00;"",""?-00;"",""?00;"", //"""),"'","""")&amp;SUBSTITUTE(IF(EXACT(Overig!AL10,"—"),TEXT(Overig!AL10,""",""????0;"",""???-0;"",""????0;"", ////////////,"""),TEXT(Overig!AL10,"\, \'@""',""")&amp;REPT(" ",10-LEN(Overig!AL10))),"'","""")&amp;SUBSTITUTE(TEXT(Overig!AM10,"?00;?-00;?00;"" //"""),"'","""")&amp;SUBSTITUTE(TEXT(Overig!AN10,""",""???0;"",""??-0;"",""???0;"", ///"""),"'","""")&amp;SUBSTITUTE(TEXT(Overig!AO10,""",""?00;"",""?-00;"",""?00;"", //"""),"'","""")</f>
        <v>78989, 19130109, 0800, ////, 07, /////, 07, ////, 07, /////, 07, ////, 07, ////, 07, ////, 07, ////, 07, ///, 07, ///, 07, ////, 07, ////, 07, ///, 07, ////, 07, ////, 07, ///, 07, //, 07, ////////////, 07, ///, 07</v>
      </c>
    </row>
    <row r="11" spans="1:1" x14ac:dyDescent="0.25">
      <c r="A11" s="75" t="str">
        <f ca="1">TEXT(Overig!A11,"000\,")&amp;TEXT(Overig!B11,"?00000000")&amp;TEXT(Overig!C11,""", ""0000")&amp;SUBSTITUTE(TEXT(IF(ISTEXT(Overig!D11),Overig!D11,10*Overig!D11),""",""????0;"",""???-0;"",""????0;"", ////"""),"'","""")&amp;SUBSTITUTE(TEXT(Overig!E11,""",""?00;"",""?-00;"",""?00;"", //"""),"'","""")&amp;SUBSTITUTE(TEXT(IF(ISTEXT(Overig!F11),Overig!F11,100*Overig!F11),""",""?????0;"",""????-0;"",""?????0;"", /////"""),"'","""")&amp;SUBSTITUTE(TEXT(Overig!G11,""",""?00;"",""?-00;"",""?00;"", //"""),"'","""")&amp;SUBSTITUTE(TEXT(IF(ISTEXT(Overig!H11),Overig!H11,100*Overig!H11),""",""????0;"",""???-0;"",""????0;"", ////"""),"'","""")&amp;SUBSTITUTE(TEXT(Overig!I11,""",""?00;"",""?-00;"",""?00;"", //"""),"'","""")&amp;SUBSTITUTE(TEXT(IF(ISTEXT(Overig!J11),Overig!J11,100*Overig!J11),""",""?????0;"",""????-0;"",""?????0;"", /////"""),"'","""")&amp;SUBSTITUTE(TEXT(Overig!K11,""",""?00;"",""?-00;"",""?00;"", //"""),"'","""")&amp;SUBSTITUTE(TEXT(IF(ISTEXT(Overig!L11),Overig!L11,10*Overig!L11),""",""????0;"",""???-0;"",""????0;"", ////"""),"'","""")&amp;SUBSTITUTE(TEXT(Overig!M11,""",""?00;"",""?-00;"",""?00;"", //"""),"'","""")&amp;SUBSTITUTE(TEXT(IF(ISTEXT(Overig!N11),Overig!N11,10*Overig!N11),""",""????0;"",""???-0;"",""????0;"", ////"""),"'","""")&amp;SUBSTITUTE(TEXT(Overig!O11,""",""?00;"",""?-00;"",""?00;"", //"""),"'","""")&amp;SUBSTITUTE(TEXT(IF(ISTEXT(Overig!P11),Overig!P11,10*Overig!P11),""",""????0;"",""???-0;"",""????0;"", ////"""),"'","""")&amp;SUBSTITUTE(TEXT(Overig!Q11,""",""?00;"",""?-00;"",""?00;"", //"""),"'","""")&amp;SUBSTITUTE(TEXT(IF(ISTEXT(Overig!R11),Overig!R11,10*Overig!R11),""",""????0;"",""???-0;"",""????0;"", ////"""),"'","""")&amp;SUBSTITUTE(TEXT(Overig!S11,""",""?00;"",""?-00;"",""?00;"", //"""),"'","""")&amp;SUBSTITUTE(TEXT(Overig!T11,""",""???0;"",""??-0;"",""???0;"", ///"""),"'","""")&amp;SUBSTITUTE(TEXT(Overig!U11,""",""?00;"",""?-00;"",""?00;"", //"""),"'","""")&amp;SUBSTITUTE(TEXT(IF(ISTEXT(Overig!V11),Overig!V11,10*Overig!V11),""",""???0;"",""??-0;"",""???0;"", ///"""),"'","""")&amp;SUBSTITUTE(TEXT(Overig!W11,""",""?00;"",""?-00;"",""?00;"", //"""),"'","""")&amp;SUBSTITUTE(TEXT(IF(ISTEXT(Overig!X11),Overig!X11,10*Overig!X11),""",""????0;"",""???-0;"",""????0;"", ////"""),"'","""")&amp;SUBSTITUTE(TEXT(Overig!Y11,""",""?00;"",""?-00;"",""?00;"", //"""),"'","""")&amp;SUBSTITUTE(TEXT(IF(ISTEXT(Overig!Z11),Overig!Z11,10*Overig!Z11),""",""????0;"",""???-0;"",""????0;"", ////"""),"'","""")&amp;SUBSTITUTE(TEXT(Overig!AA11,""",""?00;"",""?-00;"",""?00;"", //"""),"'","""")&amp;SUBSTITUTE(TEXT(Overig!AB11,""",""???0;"",""??-0;"",""???0;"", ///"""),"'","""")&amp;SUBSTITUTE(TEXT(Overig!AC11,""",""?00;"",""?-00;"",""?00;"", //"""),"'","""")&amp;SUBSTITUTE(TEXT(IF(ISTEXT(Overig!AD11),Overig!AD11,10*Overig!AD11),""",""????0;"",""???-0;"",""????0;"", ////"""),"'","""")&amp;SUBSTITUTE(TEXT(Overig!AE11,""",""?00;"",""?-00;"",""?00;"", //"""),"'","""")&amp;SUBSTITUTE(TEXT(IF(ISTEXT(Overig!AF11),Overig!AF11,10*Overig!AF11),""",""????0;"",""???-0;"",""????0;"", ////"""),"'","""")&amp;SUBSTITUTE(TEXT(Overig!AG11,""",""?00;"",""?-00;"",""?00;"", //"""),"'","""")&amp;SUBSTITUTE(TEXT(Overig!AH11,""",""???0;"",""??-0;"",""???0;"", ///"""),"'","""")&amp;SUBSTITUTE(TEXT(Overig!AI11,""",""?00;"",""?-00;"",""?00;"", //"""),"'","""")&amp;SUBSTITUTE(TEXT(Overig!AJ11,""",""??0;"",""?-0;"",""??0;"", //"""),"'","""")&amp;SUBSTITUTE(TEXT(Overig!AK11,""",""?00;"",""?-00;"",""?00;"", //"""),"'","""")&amp;SUBSTITUTE(IF(EXACT(Overig!AL11,"—"),TEXT(Overig!AL11,""",""????0;"",""???-0;"",""????0;"", ////////////,"""),TEXT(Overig!AL11,"\, \'@""',""")&amp;REPT(" ",10-LEN(Overig!AL11))),"'","""")&amp;SUBSTITUTE(TEXT(Overig!AM11,"?00;?-00;?00;"" //"""),"'","""")&amp;SUBSTITUTE(TEXT(Overig!AN11,""",""???0;"",""??-0;"",""???0;"", ///"""),"'","""")&amp;SUBSTITUTE(TEXT(Overig!AO11,""",""?00;"",""?-00;"",""?00;"", //"""),"'","""")</f>
        <v>78989, 19130110, 0800, ////, 07, /////, 07, ////, 07, /////, 07, ////, 07, ////, 07, ////, 07, ////, 07, ///, 07, ///, 07, ////, 07, ////, 07, ///, 07, ////, 07, ////, 07, ///, 07, //, 07, ////////////, 07, ///, 07</v>
      </c>
    </row>
    <row r="12" spans="1:1" x14ac:dyDescent="0.25">
      <c r="A12" s="75" t="str">
        <f ca="1">TEXT(Overig!A12,"000\,")&amp;TEXT(Overig!B12,"?00000000")&amp;TEXT(Overig!C12,""", ""0000")&amp;SUBSTITUTE(TEXT(IF(ISTEXT(Overig!D12),Overig!D12,10*Overig!D12),""",""????0;"",""???-0;"",""????0;"", ////"""),"'","""")&amp;SUBSTITUTE(TEXT(Overig!E12,""",""?00;"",""?-00;"",""?00;"", //"""),"'","""")&amp;SUBSTITUTE(TEXT(IF(ISTEXT(Overig!F12),Overig!F12,100*Overig!F12),""",""?????0;"",""????-0;"",""?????0;"", /////"""),"'","""")&amp;SUBSTITUTE(TEXT(Overig!G12,""",""?00;"",""?-00;"",""?00;"", //"""),"'","""")&amp;SUBSTITUTE(TEXT(IF(ISTEXT(Overig!H12),Overig!H12,100*Overig!H12),""",""????0;"",""???-0;"",""????0;"", ////"""),"'","""")&amp;SUBSTITUTE(TEXT(Overig!I12,""",""?00;"",""?-00;"",""?00;"", //"""),"'","""")&amp;SUBSTITUTE(TEXT(IF(ISTEXT(Overig!J12),Overig!J12,100*Overig!J12),""",""?????0;"",""????-0;"",""?????0;"", /////"""),"'","""")&amp;SUBSTITUTE(TEXT(Overig!K12,""",""?00;"",""?-00;"",""?00;"", //"""),"'","""")&amp;SUBSTITUTE(TEXT(IF(ISTEXT(Overig!L12),Overig!L12,10*Overig!L12),""",""????0;"",""???-0;"",""????0;"", ////"""),"'","""")&amp;SUBSTITUTE(TEXT(Overig!M12,""",""?00;"",""?-00;"",""?00;"", //"""),"'","""")&amp;SUBSTITUTE(TEXT(IF(ISTEXT(Overig!N12),Overig!N12,10*Overig!N12),""",""????0;"",""???-0;"",""????0;"", ////"""),"'","""")&amp;SUBSTITUTE(TEXT(Overig!O12,""",""?00;"",""?-00;"",""?00;"", //"""),"'","""")&amp;SUBSTITUTE(TEXT(IF(ISTEXT(Overig!P12),Overig!P12,10*Overig!P12),""",""????0;"",""???-0;"",""????0;"", ////"""),"'","""")&amp;SUBSTITUTE(TEXT(Overig!Q12,""",""?00;"",""?-00;"",""?00;"", //"""),"'","""")&amp;SUBSTITUTE(TEXT(IF(ISTEXT(Overig!R12),Overig!R12,10*Overig!R12),""",""????0;"",""???-0;"",""????0;"", ////"""),"'","""")&amp;SUBSTITUTE(TEXT(Overig!S12,""",""?00;"",""?-00;"",""?00;"", //"""),"'","""")&amp;SUBSTITUTE(TEXT(Overig!T12,""",""???0;"",""??-0;"",""???0;"", ///"""),"'","""")&amp;SUBSTITUTE(TEXT(Overig!U12,""",""?00;"",""?-00;"",""?00;"", //"""),"'","""")&amp;SUBSTITUTE(TEXT(IF(ISTEXT(Overig!V12),Overig!V12,10*Overig!V12),""",""???0;"",""??-0;"",""???0;"", ///"""),"'","""")&amp;SUBSTITUTE(TEXT(Overig!W12,""",""?00;"",""?-00;"",""?00;"", //"""),"'","""")&amp;SUBSTITUTE(TEXT(IF(ISTEXT(Overig!X12),Overig!X12,10*Overig!X12),""",""????0;"",""???-0;"",""????0;"", ////"""),"'","""")&amp;SUBSTITUTE(TEXT(Overig!Y12,""",""?00;"",""?-00;"",""?00;"", //"""),"'","""")&amp;SUBSTITUTE(TEXT(IF(ISTEXT(Overig!Z12),Overig!Z12,10*Overig!Z12),""",""????0;"",""???-0;"",""????0;"", ////"""),"'","""")&amp;SUBSTITUTE(TEXT(Overig!AA12,""",""?00;"",""?-00;"",""?00;"", //"""),"'","""")&amp;SUBSTITUTE(TEXT(Overig!AB12,""",""???0;"",""??-0;"",""???0;"", ///"""),"'","""")&amp;SUBSTITUTE(TEXT(Overig!AC12,""",""?00;"",""?-00;"",""?00;"", //"""),"'","""")&amp;SUBSTITUTE(TEXT(IF(ISTEXT(Overig!AD12),Overig!AD12,10*Overig!AD12),""",""????0;"",""???-0;"",""????0;"", ////"""),"'","""")&amp;SUBSTITUTE(TEXT(Overig!AE12,""",""?00;"",""?-00;"",""?00;"", //"""),"'","""")&amp;SUBSTITUTE(TEXT(IF(ISTEXT(Overig!AF12),Overig!AF12,10*Overig!AF12),""",""????0;"",""???-0;"",""????0;"", ////"""),"'","""")&amp;SUBSTITUTE(TEXT(Overig!AG12,""",""?00;"",""?-00;"",""?00;"", //"""),"'","""")&amp;SUBSTITUTE(TEXT(Overig!AH12,""",""???0;"",""??-0;"",""???0;"", ///"""),"'","""")&amp;SUBSTITUTE(TEXT(Overig!AI12,""",""?00;"",""?-00;"",""?00;"", //"""),"'","""")&amp;SUBSTITUTE(TEXT(Overig!AJ12,""",""??0;"",""?-0;"",""??0;"", //"""),"'","""")&amp;SUBSTITUTE(TEXT(Overig!AK12,""",""?00;"",""?-00;"",""?00;"", //"""),"'","""")&amp;SUBSTITUTE(IF(EXACT(Overig!AL12,"—"),TEXT(Overig!AL12,""",""????0;"",""???-0;"",""????0;"", ////////////,"""),TEXT(Overig!AL12,"\, \'@""',""")&amp;REPT(" ",10-LEN(Overig!AL12))),"'","""")&amp;SUBSTITUTE(TEXT(Overig!AM12,"?00;?-00;?00;"" //"""),"'","""")&amp;SUBSTITUTE(TEXT(Overig!AN12,""",""???0;"",""??-0;"",""???0;"", ///"""),"'","""")&amp;SUBSTITUTE(TEXT(Overig!AO12,""",""?00;"",""?-00;"",""?00;"", //"""),"'","""")</f>
        <v>78989, 19130111, 0800, ////, 07, /////, 07, ////, 07, /////, 07, ////, 07, ////, 07, ////, 07, ////, 07, ///, 07, ///, 07, ////, 07, ////, 07, ///, 07, ////, 07, ////, 07, ///, 07, //, 07, ////////////, 07, ///, 07</v>
      </c>
    </row>
    <row r="13" spans="1:1" x14ac:dyDescent="0.25">
      <c r="A13" s="75" t="str">
        <f ca="1">TEXT(Overig!A13,"000\,")&amp;TEXT(Overig!B13,"?00000000")&amp;TEXT(Overig!C13,""", ""0000")&amp;SUBSTITUTE(TEXT(IF(ISTEXT(Overig!D13),Overig!D13,10*Overig!D13),""",""????0;"",""???-0;"",""????0;"", ////"""),"'","""")&amp;SUBSTITUTE(TEXT(Overig!E13,""",""?00;"",""?-00;"",""?00;"", //"""),"'","""")&amp;SUBSTITUTE(TEXT(IF(ISTEXT(Overig!F13),Overig!F13,100*Overig!F13),""",""?????0;"",""????-0;"",""?????0;"", /////"""),"'","""")&amp;SUBSTITUTE(TEXT(Overig!G13,""",""?00;"",""?-00;"",""?00;"", //"""),"'","""")&amp;SUBSTITUTE(TEXT(IF(ISTEXT(Overig!H13),Overig!H13,100*Overig!H13),""",""????0;"",""???-0;"",""????0;"", ////"""),"'","""")&amp;SUBSTITUTE(TEXT(Overig!I13,""",""?00;"",""?-00;"",""?00;"", //"""),"'","""")&amp;SUBSTITUTE(TEXT(IF(ISTEXT(Overig!J13),Overig!J13,100*Overig!J13),""",""?????0;"",""????-0;"",""?????0;"", /////"""),"'","""")&amp;SUBSTITUTE(TEXT(Overig!K13,""",""?00;"",""?-00;"",""?00;"", //"""),"'","""")&amp;SUBSTITUTE(TEXT(IF(ISTEXT(Overig!L13),Overig!L13,10*Overig!L13),""",""????0;"",""???-0;"",""????0;"", ////"""),"'","""")&amp;SUBSTITUTE(TEXT(Overig!M13,""",""?00;"",""?-00;"",""?00;"", //"""),"'","""")&amp;SUBSTITUTE(TEXT(IF(ISTEXT(Overig!N13),Overig!N13,10*Overig!N13),""",""????0;"",""???-0;"",""????0;"", ////"""),"'","""")&amp;SUBSTITUTE(TEXT(Overig!O13,""",""?00;"",""?-00;"",""?00;"", //"""),"'","""")&amp;SUBSTITUTE(TEXT(IF(ISTEXT(Overig!P13),Overig!P13,10*Overig!P13),""",""????0;"",""???-0;"",""????0;"", ////"""),"'","""")&amp;SUBSTITUTE(TEXT(Overig!Q13,""",""?00;"",""?-00;"",""?00;"", //"""),"'","""")&amp;SUBSTITUTE(TEXT(IF(ISTEXT(Overig!R13),Overig!R13,10*Overig!R13),""",""????0;"",""???-0;"",""????0;"", ////"""),"'","""")&amp;SUBSTITUTE(TEXT(Overig!S13,""",""?00;"",""?-00;"",""?00;"", //"""),"'","""")&amp;SUBSTITUTE(TEXT(Overig!T13,""",""???0;"",""??-0;"",""???0;"", ///"""),"'","""")&amp;SUBSTITUTE(TEXT(Overig!U13,""",""?00;"",""?-00;"",""?00;"", //"""),"'","""")&amp;SUBSTITUTE(TEXT(IF(ISTEXT(Overig!V13),Overig!V13,10*Overig!V13),""",""???0;"",""??-0;"",""???0;"", ///"""),"'","""")&amp;SUBSTITUTE(TEXT(Overig!W13,""",""?00;"",""?-00;"",""?00;"", //"""),"'","""")&amp;SUBSTITUTE(TEXT(IF(ISTEXT(Overig!X13),Overig!X13,10*Overig!X13),""",""????0;"",""???-0;"",""????0;"", ////"""),"'","""")&amp;SUBSTITUTE(TEXT(Overig!Y13,""",""?00;"",""?-00;"",""?00;"", //"""),"'","""")&amp;SUBSTITUTE(TEXT(IF(ISTEXT(Overig!Z13),Overig!Z13,10*Overig!Z13),""",""????0;"",""???-0;"",""????0;"", ////"""),"'","""")&amp;SUBSTITUTE(TEXT(Overig!AA13,""",""?00;"",""?-00;"",""?00;"", //"""),"'","""")&amp;SUBSTITUTE(TEXT(Overig!AB13,""",""???0;"",""??-0;"",""???0;"", ///"""),"'","""")&amp;SUBSTITUTE(TEXT(Overig!AC13,""",""?00;"",""?-00;"",""?00;"", //"""),"'","""")&amp;SUBSTITUTE(TEXT(IF(ISTEXT(Overig!AD13),Overig!AD13,10*Overig!AD13),""",""????0;"",""???-0;"",""????0;"", ////"""),"'","""")&amp;SUBSTITUTE(TEXT(Overig!AE13,""",""?00;"",""?-00;"",""?00;"", //"""),"'","""")&amp;SUBSTITUTE(TEXT(IF(ISTEXT(Overig!AF13),Overig!AF13,10*Overig!AF13),""",""????0;"",""???-0;"",""????0;"", ////"""),"'","""")&amp;SUBSTITUTE(TEXT(Overig!AG13,""",""?00;"",""?-00;"",""?00;"", //"""),"'","""")&amp;SUBSTITUTE(TEXT(Overig!AH13,""",""???0;"",""??-0;"",""???0;"", ///"""),"'","""")&amp;SUBSTITUTE(TEXT(Overig!AI13,""",""?00;"",""?-00;"",""?00;"", //"""),"'","""")&amp;SUBSTITUTE(TEXT(Overig!AJ13,""",""??0;"",""?-0;"",""??0;"", //"""),"'","""")&amp;SUBSTITUTE(TEXT(Overig!AK13,""",""?00;"",""?-00;"",""?00;"", //"""),"'","""")&amp;SUBSTITUTE(IF(EXACT(Overig!AL13,"—"),TEXT(Overig!AL13,""",""????0;"",""???-0;"",""????0;"", ////////////,"""),TEXT(Overig!AL13,"\, \'@""',""")&amp;REPT(" ",10-LEN(Overig!AL13))),"'","""")&amp;SUBSTITUTE(TEXT(Overig!AM13,"?00;?-00;?00;"" //"""),"'","""")&amp;SUBSTITUTE(TEXT(Overig!AN13,""",""???0;"",""??-0;"",""???0;"", ///"""),"'","""")&amp;SUBSTITUTE(TEXT(Overig!AO13,""",""?00;"",""?-00;"",""?00;"", //"""),"'","""")</f>
        <v>78989, 19130112, 0800, ////, 07, /////, 07, ////, 07, /////, 07, ////, 07, ////, 07, ////, 07, ////, 07, ///, 07, ///, 07, ////, 07, ////, 07, ///, 07, ////, 07, ////, 07, ///, 07, //, 07, ////////////, 07, ///, 07</v>
      </c>
    </row>
    <row r="14" spans="1:1" x14ac:dyDescent="0.25">
      <c r="A14" s="75" t="str">
        <f ca="1">TEXT(Overig!A14,"000\,")&amp;TEXT(Overig!B14,"?00000000")&amp;TEXT(Overig!C14,""", ""0000")&amp;SUBSTITUTE(TEXT(IF(ISTEXT(Overig!D14),Overig!D14,10*Overig!D14),""",""????0;"",""???-0;"",""????0;"", ////"""),"'","""")&amp;SUBSTITUTE(TEXT(Overig!E14,""",""?00;"",""?-00;"",""?00;"", //"""),"'","""")&amp;SUBSTITUTE(TEXT(IF(ISTEXT(Overig!F14),Overig!F14,100*Overig!F14),""",""?????0;"",""????-0;"",""?????0;"", /////"""),"'","""")&amp;SUBSTITUTE(TEXT(Overig!G14,""",""?00;"",""?-00;"",""?00;"", //"""),"'","""")&amp;SUBSTITUTE(TEXT(IF(ISTEXT(Overig!H14),Overig!H14,100*Overig!H14),""",""????0;"",""???-0;"",""????0;"", ////"""),"'","""")&amp;SUBSTITUTE(TEXT(Overig!I14,""",""?00;"",""?-00;"",""?00;"", //"""),"'","""")&amp;SUBSTITUTE(TEXT(IF(ISTEXT(Overig!J14),Overig!J14,100*Overig!J14),""",""?????0;"",""????-0;"",""?????0;"", /////"""),"'","""")&amp;SUBSTITUTE(TEXT(Overig!K14,""",""?00;"",""?-00;"",""?00;"", //"""),"'","""")&amp;SUBSTITUTE(TEXT(IF(ISTEXT(Overig!L14),Overig!L14,10*Overig!L14),""",""????0;"",""???-0;"",""????0;"", ////"""),"'","""")&amp;SUBSTITUTE(TEXT(Overig!M14,""",""?00;"",""?-00;"",""?00;"", //"""),"'","""")&amp;SUBSTITUTE(TEXT(IF(ISTEXT(Overig!N14),Overig!N14,10*Overig!N14),""",""????0;"",""???-0;"",""????0;"", ////"""),"'","""")&amp;SUBSTITUTE(TEXT(Overig!O14,""",""?00;"",""?-00;"",""?00;"", //"""),"'","""")&amp;SUBSTITUTE(TEXT(IF(ISTEXT(Overig!P14),Overig!P14,10*Overig!P14),""",""????0;"",""???-0;"",""????0;"", ////"""),"'","""")&amp;SUBSTITUTE(TEXT(Overig!Q14,""",""?00;"",""?-00;"",""?00;"", //"""),"'","""")&amp;SUBSTITUTE(TEXT(IF(ISTEXT(Overig!R14),Overig!R14,10*Overig!R14),""",""????0;"",""???-0;"",""????0;"", ////"""),"'","""")&amp;SUBSTITUTE(TEXT(Overig!S14,""",""?00;"",""?-00;"",""?00;"", //"""),"'","""")&amp;SUBSTITUTE(TEXT(Overig!T14,""",""???0;"",""??-0;"",""???0;"", ///"""),"'","""")&amp;SUBSTITUTE(TEXT(Overig!U14,""",""?00;"",""?-00;"",""?00;"", //"""),"'","""")&amp;SUBSTITUTE(TEXT(IF(ISTEXT(Overig!V14),Overig!V14,10*Overig!V14),""",""???0;"",""??-0;"",""???0;"", ///"""),"'","""")&amp;SUBSTITUTE(TEXT(Overig!W14,""",""?00;"",""?-00;"",""?00;"", //"""),"'","""")&amp;SUBSTITUTE(TEXT(IF(ISTEXT(Overig!X14),Overig!X14,10*Overig!X14),""",""????0;"",""???-0;"",""????0;"", ////"""),"'","""")&amp;SUBSTITUTE(TEXT(Overig!Y14,""",""?00;"",""?-00;"",""?00;"", //"""),"'","""")&amp;SUBSTITUTE(TEXT(IF(ISTEXT(Overig!Z14),Overig!Z14,10*Overig!Z14),""",""????0;"",""???-0;"",""????0;"", ////"""),"'","""")&amp;SUBSTITUTE(TEXT(Overig!AA14,""",""?00;"",""?-00;"",""?00;"", //"""),"'","""")&amp;SUBSTITUTE(TEXT(Overig!AB14,""",""???0;"",""??-0;"",""???0;"", ///"""),"'","""")&amp;SUBSTITUTE(TEXT(Overig!AC14,""",""?00;"",""?-00;"",""?00;"", //"""),"'","""")&amp;SUBSTITUTE(TEXT(IF(ISTEXT(Overig!AD14),Overig!AD14,10*Overig!AD14),""",""????0;"",""???-0;"",""????0;"", ////"""),"'","""")&amp;SUBSTITUTE(TEXT(Overig!AE14,""",""?00;"",""?-00;"",""?00;"", //"""),"'","""")&amp;SUBSTITUTE(TEXT(IF(ISTEXT(Overig!AF14),Overig!AF14,10*Overig!AF14),""",""????0;"",""???-0;"",""????0;"", ////"""),"'","""")&amp;SUBSTITUTE(TEXT(Overig!AG14,""",""?00;"",""?-00;"",""?00;"", //"""),"'","""")&amp;SUBSTITUTE(TEXT(Overig!AH14,""",""???0;"",""??-0;"",""???0;"", ///"""),"'","""")&amp;SUBSTITUTE(TEXT(Overig!AI14,""",""?00;"",""?-00;"",""?00;"", //"""),"'","""")&amp;SUBSTITUTE(TEXT(Overig!AJ14,""",""??0;"",""?-0;"",""??0;"", //"""),"'","""")&amp;SUBSTITUTE(TEXT(Overig!AK14,""",""?00;"",""?-00;"",""?00;"", //"""),"'","""")&amp;SUBSTITUTE(IF(EXACT(Overig!AL14,"—"),TEXT(Overig!AL14,""",""????0;"",""???-0;"",""????0;"", ////////////,"""),TEXT(Overig!AL14,"\, \'@""',""")&amp;REPT(" ",10-LEN(Overig!AL14))),"'","""")&amp;SUBSTITUTE(TEXT(Overig!AM14,"?00;?-00;?00;"" //"""),"'","""")&amp;SUBSTITUTE(TEXT(Overig!AN14,""",""???0;"",""??-0;"",""???0;"", ///"""),"'","""")&amp;SUBSTITUTE(TEXT(Overig!AO14,""",""?00;"",""?-00;"",""?00;"", //"""),"'","""")</f>
        <v>78989, 19130113, 0800, ////, 07, /////, 07, ////, 07, /////, 07, ////, 07, ////, 07, ////, 07, ////, 07, ///, 07, ///, 07, ////, 07, ////, 07, ///, 07, ////, 07, ////, 07, ///, 07, //, 07, ////////////, 07, ///, 07</v>
      </c>
    </row>
    <row r="15" spans="1:1" x14ac:dyDescent="0.25">
      <c r="A15" s="75" t="str">
        <f ca="1">TEXT(Overig!A15,"000\,")&amp;TEXT(Overig!B15,"?00000000")&amp;TEXT(Overig!C15,""", ""0000")&amp;SUBSTITUTE(TEXT(IF(ISTEXT(Overig!D15),Overig!D15,10*Overig!D15),""",""????0;"",""???-0;"",""????0;"", ////"""),"'","""")&amp;SUBSTITUTE(TEXT(Overig!E15,""",""?00;"",""?-00;"",""?00;"", //"""),"'","""")&amp;SUBSTITUTE(TEXT(IF(ISTEXT(Overig!F15),Overig!F15,100*Overig!F15),""",""?????0;"",""????-0;"",""?????0;"", /////"""),"'","""")&amp;SUBSTITUTE(TEXT(Overig!G15,""",""?00;"",""?-00;"",""?00;"", //"""),"'","""")&amp;SUBSTITUTE(TEXT(IF(ISTEXT(Overig!H15),Overig!H15,100*Overig!H15),""",""????0;"",""???-0;"",""????0;"", ////"""),"'","""")&amp;SUBSTITUTE(TEXT(Overig!I15,""",""?00;"",""?-00;"",""?00;"", //"""),"'","""")&amp;SUBSTITUTE(TEXT(IF(ISTEXT(Overig!J15),Overig!J15,100*Overig!J15),""",""?????0;"",""????-0;"",""?????0;"", /////"""),"'","""")&amp;SUBSTITUTE(TEXT(Overig!K15,""",""?00;"",""?-00;"",""?00;"", //"""),"'","""")&amp;SUBSTITUTE(TEXT(IF(ISTEXT(Overig!L15),Overig!L15,10*Overig!L15),""",""????0;"",""???-0;"",""????0;"", ////"""),"'","""")&amp;SUBSTITUTE(TEXT(Overig!M15,""",""?00;"",""?-00;"",""?00;"", //"""),"'","""")&amp;SUBSTITUTE(TEXT(IF(ISTEXT(Overig!N15),Overig!N15,10*Overig!N15),""",""????0;"",""???-0;"",""????0;"", ////"""),"'","""")&amp;SUBSTITUTE(TEXT(Overig!O15,""",""?00;"",""?-00;"",""?00;"", //"""),"'","""")&amp;SUBSTITUTE(TEXT(IF(ISTEXT(Overig!P15),Overig!P15,10*Overig!P15),""",""????0;"",""???-0;"",""????0;"", ////"""),"'","""")&amp;SUBSTITUTE(TEXT(Overig!Q15,""",""?00;"",""?-00;"",""?00;"", //"""),"'","""")&amp;SUBSTITUTE(TEXT(IF(ISTEXT(Overig!R15),Overig!R15,10*Overig!R15),""",""????0;"",""???-0;"",""????0;"", ////"""),"'","""")&amp;SUBSTITUTE(TEXT(Overig!S15,""",""?00;"",""?-00;"",""?00;"", //"""),"'","""")&amp;SUBSTITUTE(TEXT(Overig!T15,""",""???0;"",""??-0;"",""???0;"", ///"""),"'","""")&amp;SUBSTITUTE(TEXT(Overig!U15,""",""?00;"",""?-00;"",""?00;"", //"""),"'","""")&amp;SUBSTITUTE(TEXT(IF(ISTEXT(Overig!V15),Overig!V15,10*Overig!V15),""",""???0;"",""??-0;"",""???0;"", ///"""),"'","""")&amp;SUBSTITUTE(TEXT(Overig!W15,""",""?00;"",""?-00;"",""?00;"", //"""),"'","""")&amp;SUBSTITUTE(TEXT(IF(ISTEXT(Overig!X15),Overig!X15,10*Overig!X15),""",""????0;"",""???-0;"",""????0;"", ////"""),"'","""")&amp;SUBSTITUTE(TEXT(Overig!Y15,""",""?00;"",""?-00;"",""?00;"", //"""),"'","""")&amp;SUBSTITUTE(TEXT(IF(ISTEXT(Overig!Z15),Overig!Z15,10*Overig!Z15),""",""????0;"",""???-0;"",""????0;"", ////"""),"'","""")&amp;SUBSTITUTE(TEXT(Overig!AA15,""",""?00;"",""?-00;"",""?00;"", //"""),"'","""")&amp;SUBSTITUTE(TEXT(Overig!AB15,""",""???0;"",""??-0;"",""???0;"", ///"""),"'","""")&amp;SUBSTITUTE(TEXT(Overig!AC15,""",""?00;"",""?-00;"",""?00;"", //"""),"'","""")&amp;SUBSTITUTE(TEXT(IF(ISTEXT(Overig!AD15),Overig!AD15,10*Overig!AD15),""",""????0;"",""???-0;"",""????0;"", ////"""),"'","""")&amp;SUBSTITUTE(TEXT(Overig!AE15,""",""?00;"",""?-00;"",""?00;"", //"""),"'","""")&amp;SUBSTITUTE(TEXT(IF(ISTEXT(Overig!AF15),Overig!AF15,10*Overig!AF15),""",""????0;"",""???-0;"",""????0;"", ////"""),"'","""")&amp;SUBSTITUTE(TEXT(Overig!AG15,""",""?00;"",""?-00;"",""?00;"", //"""),"'","""")&amp;SUBSTITUTE(TEXT(Overig!AH15,""",""???0;"",""??-0;"",""???0;"", ///"""),"'","""")&amp;SUBSTITUTE(TEXT(Overig!AI15,""",""?00;"",""?-00;"",""?00;"", //"""),"'","""")&amp;SUBSTITUTE(TEXT(Overig!AJ15,""",""??0;"",""?-0;"",""??0;"", //"""),"'","""")&amp;SUBSTITUTE(TEXT(Overig!AK15,""",""?00;"",""?-00;"",""?00;"", //"""),"'","""")&amp;SUBSTITUTE(IF(EXACT(Overig!AL15,"—"),TEXT(Overig!AL15,""",""????0;"",""???-0;"",""????0;"", ////////////,"""),TEXT(Overig!AL15,"\, \'@""',""")&amp;REPT(" ",10-LEN(Overig!AL15))),"'","""")&amp;SUBSTITUTE(TEXT(Overig!AM15,"?00;?-00;?00;"" //"""),"'","""")&amp;SUBSTITUTE(TEXT(Overig!AN15,""",""???0;"",""??-0;"",""???0;"", ///"""),"'","""")&amp;SUBSTITUTE(TEXT(Overig!AO15,""",""?00;"",""?-00;"",""?00;"", //"""),"'","""")</f>
        <v>78989, 19130114, 0800, ////, 07, /////, 07, ////, 07, /////, 07, ////, 07, ////, 07, ////, 07, ////, 07, ///, 07, ///, 07, ////, 07, ////, 07, ///, 07, ////, 07, ////, 07, ///, 07, //, 07, ////////////, 07, ///, 07</v>
      </c>
    </row>
    <row r="16" spans="1:1" x14ac:dyDescent="0.25">
      <c r="A16" s="75" t="str">
        <f ca="1">TEXT(Overig!A16,"000\,")&amp;TEXT(Overig!B16,"?00000000")&amp;TEXT(Overig!C16,""", ""0000")&amp;SUBSTITUTE(TEXT(IF(ISTEXT(Overig!D16),Overig!D16,10*Overig!D16),""",""????0;"",""???-0;"",""????0;"", ////"""),"'","""")&amp;SUBSTITUTE(TEXT(Overig!E16,""",""?00;"",""?-00;"",""?00;"", //"""),"'","""")&amp;SUBSTITUTE(TEXT(IF(ISTEXT(Overig!F16),Overig!F16,100*Overig!F16),""",""?????0;"",""????-0;"",""?????0;"", /////"""),"'","""")&amp;SUBSTITUTE(TEXT(Overig!G16,""",""?00;"",""?-00;"",""?00;"", //"""),"'","""")&amp;SUBSTITUTE(TEXT(IF(ISTEXT(Overig!H16),Overig!H16,100*Overig!H16),""",""????0;"",""???-0;"",""????0;"", ////"""),"'","""")&amp;SUBSTITUTE(TEXT(Overig!I16,""",""?00;"",""?-00;"",""?00;"", //"""),"'","""")&amp;SUBSTITUTE(TEXT(IF(ISTEXT(Overig!J16),Overig!J16,100*Overig!J16),""",""?????0;"",""????-0;"",""?????0;"", /////"""),"'","""")&amp;SUBSTITUTE(TEXT(Overig!K16,""",""?00;"",""?-00;"",""?00;"", //"""),"'","""")&amp;SUBSTITUTE(TEXT(IF(ISTEXT(Overig!L16),Overig!L16,10*Overig!L16),""",""????0;"",""???-0;"",""????0;"", ////"""),"'","""")&amp;SUBSTITUTE(TEXT(Overig!M16,""",""?00;"",""?-00;"",""?00;"", //"""),"'","""")&amp;SUBSTITUTE(TEXT(IF(ISTEXT(Overig!N16),Overig!N16,10*Overig!N16),""",""????0;"",""???-0;"",""????0;"", ////"""),"'","""")&amp;SUBSTITUTE(TEXT(Overig!O16,""",""?00;"",""?-00;"",""?00;"", //"""),"'","""")&amp;SUBSTITUTE(TEXT(IF(ISTEXT(Overig!P16),Overig!P16,10*Overig!P16),""",""????0;"",""???-0;"",""????0;"", ////"""),"'","""")&amp;SUBSTITUTE(TEXT(Overig!Q16,""",""?00;"",""?-00;"",""?00;"", //"""),"'","""")&amp;SUBSTITUTE(TEXT(IF(ISTEXT(Overig!R16),Overig!R16,10*Overig!R16),""",""????0;"",""???-0;"",""????0;"", ////"""),"'","""")&amp;SUBSTITUTE(TEXT(Overig!S16,""",""?00;"",""?-00;"",""?00;"", //"""),"'","""")&amp;SUBSTITUTE(TEXT(Overig!T16,""",""???0;"",""??-0;"",""???0;"", ///"""),"'","""")&amp;SUBSTITUTE(TEXT(Overig!U16,""",""?00;"",""?-00;"",""?00;"", //"""),"'","""")&amp;SUBSTITUTE(TEXT(IF(ISTEXT(Overig!V16),Overig!V16,10*Overig!V16),""",""???0;"",""??-0;"",""???0;"", ///"""),"'","""")&amp;SUBSTITUTE(TEXT(Overig!W16,""",""?00;"",""?-00;"",""?00;"", //"""),"'","""")&amp;SUBSTITUTE(TEXT(IF(ISTEXT(Overig!X16),Overig!X16,10*Overig!X16),""",""????0;"",""???-0;"",""????0;"", ////"""),"'","""")&amp;SUBSTITUTE(TEXT(Overig!Y16,""",""?00;"",""?-00;"",""?00;"", //"""),"'","""")&amp;SUBSTITUTE(TEXT(IF(ISTEXT(Overig!Z16),Overig!Z16,10*Overig!Z16),""",""????0;"",""???-0;"",""????0;"", ////"""),"'","""")&amp;SUBSTITUTE(TEXT(Overig!AA16,""",""?00;"",""?-00;"",""?00;"", //"""),"'","""")&amp;SUBSTITUTE(TEXT(Overig!AB16,""",""???0;"",""??-0;"",""???0;"", ///"""),"'","""")&amp;SUBSTITUTE(TEXT(Overig!AC16,""",""?00;"",""?-00;"",""?00;"", //"""),"'","""")&amp;SUBSTITUTE(TEXT(IF(ISTEXT(Overig!AD16),Overig!AD16,10*Overig!AD16),""",""????0;"",""???-0;"",""????0;"", ////"""),"'","""")&amp;SUBSTITUTE(TEXT(Overig!AE16,""",""?00;"",""?-00;"",""?00;"", //"""),"'","""")&amp;SUBSTITUTE(TEXT(IF(ISTEXT(Overig!AF16),Overig!AF16,10*Overig!AF16),""",""????0;"",""???-0;"",""????0;"", ////"""),"'","""")&amp;SUBSTITUTE(TEXT(Overig!AG16,""",""?00;"",""?-00;"",""?00;"", //"""),"'","""")&amp;SUBSTITUTE(TEXT(Overig!AH16,""",""???0;"",""??-0;"",""???0;"", ///"""),"'","""")&amp;SUBSTITUTE(TEXT(Overig!AI16,""",""?00;"",""?-00;"",""?00;"", //"""),"'","""")&amp;SUBSTITUTE(TEXT(Overig!AJ16,""",""??0;"",""?-0;"",""??0;"", //"""),"'","""")&amp;SUBSTITUTE(TEXT(Overig!AK16,""",""?00;"",""?-00;"",""?00;"", //"""),"'","""")&amp;SUBSTITUTE(IF(EXACT(Overig!AL16,"—"),TEXT(Overig!AL16,""",""????0;"",""???-0;"",""????0;"", ////////////,"""),TEXT(Overig!AL16,"\, \'@""',""")&amp;REPT(" ",10-LEN(Overig!AL16))),"'","""")&amp;SUBSTITUTE(TEXT(Overig!AM16,"?00;?-00;?00;"" //"""),"'","""")&amp;SUBSTITUTE(TEXT(Overig!AN16,""",""???0;"",""??-0;"",""???0;"", ///"""),"'","""")&amp;SUBSTITUTE(TEXT(Overig!AO16,""",""?00;"",""?-00;"",""?00;"", //"""),"'","""")</f>
        <v>78989, 19130115, 0800, ////, 07, /////, 07, ////, 07, /////, 07, ////, 07, ////, 07, ////, 07, ////, 07, ///, 07, ///, 07, ////, 07, ////, 07, ///, 07, ////, 07, ////, 07, ///, 07, //, 07, ////////////, 07, ///, 07</v>
      </c>
    </row>
    <row r="17" spans="1:1" x14ac:dyDescent="0.25">
      <c r="A17" s="75" t="str">
        <f ca="1">TEXT(Overig!A17,"000\,")&amp;TEXT(Overig!B17,"?00000000")&amp;TEXT(Overig!C17,""", ""0000")&amp;SUBSTITUTE(TEXT(IF(ISTEXT(Overig!D17),Overig!D17,10*Overig!D17),""",""????0;"",""???-0;"",""????0;"", ////"""),"'","""")&amp;SUBSTITUTE(TEXT(Overig!E17,""",""?00;"",""?-00;"",""?00;"", //"""),"'","""")&amp;SUBSTITUTE(TEXT(IF(ISTEXT(Overig!F17),Overig!F17,100*Overig!F17),""",""?????0;"",""????-0;"",""?????0;"", /////"""),"'","""")&amp;SUBSTITUTE(TEXT(Overig!G17,""",""?00;"",""?-00;"",""?00;"", //"""),"'","""")&amp;SUBSTITUTE(TEXT(IF(ISTEXT(Overig!H17),Overig!H17,100*Overig!H17),""",""????0;"",""???-0;"",""????0;"", ////"""),"'","""")&amp;SUBSTITUTE(TEXT(Overig!I17,""",""?00;"",""?-00;"",""?00;"", //"""),"'","""")&amp;SUBSTITUTE(TEXT(IF(ISTEXT(Overig!J17),Overig!J17,100*Overig!J17),""",""?????0;"",""????-0;"",""?????0;"", /////"""),"'","""")&amp;SUBSTITUTE(TEXT(Overig!K17,""",""?00;"",""?-00;"",""?00;"", //"""),"'","""")&amp;SUBSTITUTE(TEXT(IF(ISTEXT(Overig!L17),Overig!L17,10*Overig!L17),""",""????0;"",""???-0;"",""????0;"", ////"""),"'","""")&amp;SUBSTITUTE(TEXT(Overig!M17,""",""?00;"",""?-00;"",""?00;"", //"""),"'","""")&amp;SUBSTITUTE(TEXT(IF(ISTEXT(Overig!N17),Overig!N17,10*Overig!N17),""",""????0;"",""???-0;"",""????0;"", ////"""),"'","""")&amp;SUBSTITUTE(TEXT(Overig!O17,""",""?00;"",""?-00;"",""?00;"", //"""),"'","""")&amp;SUBSTITUTE(TEXT(IF(ISTEXT(Overig!P17),Overig!P17,10*Overig!P17),""",""????0;"",""???-0;"",""????0;"", ////"""),"'","""")&amp;SUBSTITUTE(TEXT(Overig!Q17,""",""?00;"",""?-00;"",""?00;"", //"""),"'","""")&amp;SUBSTITUTE(TEXT(IF(ISTEXT(Overig!R17),Overig!R17,10*Overig!R17),""",""????0;"",""???-0;"",""????0;"", ////"""),"'","""")&amp;SUBSTITUTE(TEXT(Overig!S17,""",""?00;"",""?-00;"",""?00;"", //"""),"'","""")&amp;SUBSTITUTE(TEXT(Overig!T17,""",""???0;"",""??-0;"",""???0;"", ///"""),"'","""")&amp;SUBSTITUTE(TEXT(Overig!U17,""",""?00;"",""?-00;"",""?00;"", //"""),"'","""")&amp;SUBSTITUTE(TEXT(IF(ISTEXT(Overig!V17),Overig!V17,10*Overig!V17),""",""???0;"",""??-0;"",""???0;"", ///"""),"'","""")&amp;SUBSTITUTE(TEXT(Overig!W17,""",""?00;"",""?-00;"",""?00;"", //"""),"'","""")&amp;SUBSTITUTE(TEXT(IF(ISTEXT(Overig!X17),Overig!X17,10*Overig!X17),""",""????0;"",""???-0;"",""????0;"", ////"""),"'","""")&amp;SUBSTITUTE(TEXT(Overig!Y17,""",""?00;"",""?-00;"",""?00;"", //"""),"'","""")&amp;SUBSTITUTE(TEXT(IF(ISTEXT(Overig!Z17),Overig!Z17,10*Overig!Z17),""",""????0;"",""???-0;"",""????0;"", ////"""),"'","""")&amp;SUBSTITUTE(TEXT(Overig!AA17,""",""?00;"",""?-00;"",""?00;"", //"""),"'","""")&amp;SUBSTITUTE(TEXT(Overig!AB17,""",""???0;"",""??-0;"",""???0;"", ///"""),"'","""")&amp;SUBSTITUTE(TEXT(Overig!AC17,""",""?00;"",""?-00;"",""?00;"", //"""),"'","""")&amp;SUBSTITUTE(TEXT(IF(ISTEXT(Overig!AD17),Overig!AD17,10*Overig!AD17),""",""????0;"",""???-0;"",""????0;"", ////"""),"'","""")&amp;SUBSTITUTE(TEXT(Overig!AE17,""",""?00;"",""?-00;"",""?00;"", //"""),"'","""")&amp;SUBSTITUTE(TEXT(IF(ISTEXT(Overig!AF17),Overig!AF17,10*Overig!AF17),""",""????0;"",""???-0;"",""????0;"", ////"""),"'","""")&amp;SUBSTITUTE(TEXT(Overig!AG17,""",""?00;"",""?-00;"",""?00;"", //"""),"'","""")&amp;SUBSTITUTE(TEXT(Overig!AH17,""",""???0;"",""??-0;"",""???0;"", ///"""),"'","""")&amp;SUBSTITUTE(TEXT(Overig!AI17,""",""?00;"",""?-00;"",""?00;"", //"""),"'","""")&amp;SUBSTITUTE(TEXT(Overig!AJ17,""",""??0;"",""?-0;"",""??0;"", //"""),"'","""")&amp;SUBSTITUTE(TEXT(Overig!AK17,""",""?00;"",""?-00;"",""?00;"", //"""),"'","""")&amp;SUBSTITUTE(IF(EXACT(Overig!AL17,"—"),TEXT(Overig!AL17,""",""????0;"",""???-0;"",""????0;"", ////////////,"""),TEXT(Overig!AL17,"\, \'@""',""")&amp;REPT(" ",10-LEN(Overig!AL17))),"'","""")&amp;SUBSTITUTE(TEXT(Overig!AM17,"?00;?-00;?00;"" //"""),"'","""")&amp;SUBSTITUTE(TEXT(Overig!AN17,""",""???0;"",""??-0;"",""???0;"", ///"""),"'","""")&amp;SUBSTITUTE(TEXT(Overig!AO17,""",""?00;"",""?-00;"",""?00;"", //"""),"'","""")</f>
        <v>78989, 19130116, 0800, ////, 07, /////, 07, ////, 07, /////, 07, ////, 07, ////, 07, ////, 07, ////, 07, ///, 07, ///, 07, ////, 07, ////, 07, ///, 07, ////, 07, ////, 07, ///, 07, //, 07, ////////////, 07, ///, 07</v>
      </c>
    </row>
    <row r="18" spans="1:1" x14ac:dyDescent="0.25">
      <c r="A18" s="75" t="str">
        <f ca="1">TEXT(Overig!A18,"000\,")&amp;TEXT(Overig!B18,"?00000000")&amp;TEXT(Overig!C18,""", ""0000")&amp;SUBSTITUTE(TEXT(IF(ISTEXT(Overig!D18),Overig!D18,10*Overig!D18),""",""????0;"",""???-0;"",""????0;"", ////"""),"'","""")&amp;SUBSTITUTE(TEXT(Overig!E18,""",""?00;"",""?-00;"",""?00;"", //"""),"'","""")&amp;SUBSTITUTE(TEXT(IF(ISTEXT(Overig!F18),Overig!F18,100*Overig!F18),""",""?????0;"",""????-0;"",""?????0;"", /////"""),"'","""")&amp;SUBSTITUTE(TEXT(Overig!G18,""",""?00;"",""?-00;"",""?00;"", //"""),"'","""")&amp;SUBSTITUTE(TEXT(IF(ISTEXT(Overig!H18),Overig!H18,100*Overig!H18),""",""????0;"",""???-0;"",""????0;"", ////"""),"'","""")&amp;SUBSTITUTE(TEXT(Overig!I18,""",""?00;"",""?-00;"",""?00;"", //"""),"'","""")&amp;SUBSTITUTE(TEXT(IF(ISTEXT(Overig!J18),Overig!J18,100*Overig!J18),""",""?????0;"",""????-0;"",""?????0;"", /////"""),"'","""")&amp;SUBSTITUTE(TEXT(Overig!K18,""",""?00;"",""?-00;"",""?00;"", //"""),"'","""")&amp;SUBSTITUTE(TEXT(IF(ISTEXT(Overig!L18),Overig!L18,10*Overig!L18),""",""????0;"",""???-0;"",""????0;"", ////"""),"'","""")&amp;SUBSTITUTE(TEXT(Overig!M18,""",""?00;"",""?-00;"",""?00;"", //"""),"'","""")&amp;SUBSTITUTE(TEXT(IF(ISTEXT(Overig!N18),Overig!N18,10*Overig!N18),""",""????0;"",""???-0;"",""????0;"", ////"""),"'","""")&amp;SUBSTITUTE(TEXT(Overig!O18,""",""?00;"",""?-00;"",""?00;"", //"""),"'","""")&amp;SUBSTITUTE(TEXT(IF(ISTEXT(Overig!P18),Overig!P18,10*Overig!P18),""",""????0;"",""???-0;"",""????0;"", ////"""),"'","""")&amp;SUBSTITUTE(TEXT(Overig!Q18,""",""?00;"",""?-00;"",""?00;"", //"""),"'","""")&amp;SUBSTITUTE(TEXT(IF(ISTEXT(Overig!R18),Overig!R18,10*Overig!R18),""",""????0;"",""???-0;"",""????0;"", ////"""),"'","""")&amp;SUBSTITUTE(TEXT(Overig!S18,""",""?00;"",""?-00;"",""?00;"", //"""),"'","""")&amp;SUBSTITUTE(TEXT(Overig!T18,""",""???0;"",""??-0;"",""???0;"", ///"""),"'","""")&amp;SUBSTITUTE(TEXT(Overig!U18,""",""?00;"",""?-00;"",""?00;"", //"""),"'","""")&amp;SUBSTITUTE(TEXT(IF(ISTEXT(Overig!V18),Overig!V18,10*Overig!V18),""",""???0;"",""??-0;"",""???0;"", ///"""),"'","""")&amp;SUBSTITUTE(TEXT(Overig!W18,""",""?00;"",""?-00;"",""?00;"", //"""),"'","""")&amp;SUBSTITUTE(TEXT(IF(ISTEXT(Overig!X18),Overig!X18,10*Overig!X18),""",""????0;"",""???-0;"",""????0;"", ////"""),"'","""")&amp;SUBSTITUTE(TEXT(Overig!Y18,""",""?00;"",""?-00;"",""?00;"", //"""),"'","""")&amp;SUBSTITUTE(TEXT(IF(ISTEXT(Overig!Z18),Overig!Z18,10*Overig!Z18),""",""????0;"",""???-0;"",""????0;"", ////"""),"'","""")&amp;SUBSTITUTE(TEXT(Overig!AA18,""",""?00;"",""?-00;"",""?00;"", //"""),"'","""")&amp;SUBSTITUTE(TEXT(Overig!AB18,""",""???0;"",""??-0;"",""???0;"", ///"""),"'","""")&amp;SUBSTITUTE(TEXT(Overig!AC18,""",""?00;"",""?-00;"",""?00;"", //"""),"'","""")&amp;SUBSTITUTE(TEXT(IF(ISTEXT(Overig!AD18),Overig!AD18,10*Overig!AD18),""",""????0;"",""???-0;"",""????0;"", ////"""),"'","""")&amp;SUBSTITUTE(TEXT(Overig!AE18,""",""?00;"",""?-00;"",""?00;"", //"""),"'","""")&amp;SUBSTITUTE(TEXT(IF(ISTEXT(Overig!AF18),Overig!AF18,10*Overig!AF18),""",""????0;"",""???-0;"",""????0;"", ////"""),"'","""")&amp;SUBSTITUTE(TEXT(Overig!AG18,""",""?00;"",""?-00;"",""?00;"", //"""),"'","""")&amp;SUBSTITUTE(TEXT(Overig!AH18,""",""???0;"",""??-0;"",""???0;"", ///"""),"'","""")&amp;SUBSTITUTE(TEXT(Overig!AI18,""",""?00;"",""?-00;"",""?00;"", //"""),"'","""")&amp;SUBSTITUTE(TEXT(Overig!AJ18,""",""??0;"",""?-0;"",""??0;"", //"""),"'","""")&amp;SUBSTITUTE(TEXT(Overig!AK18,""",""?00;"",""?-00;"",""?00;"", //"""),"'","""")&amp;SUBSTITUTE(IF(EXACT(Overig!AL18,"—"),TEXT(Overig!AL18,""",""????0;"",""???-0;"",""????0;"", ////////////,"""),TEXT(Overig!AL18,"\, \'@""',""")&amp;REPT(" ",10-LEN(Overig!AL18))),"'","""")&amp;SUBSTITUTE(TEXT(Overig!AM18,"?00;?-00;?00;"" //"""),"'","""")&amp;SUBSTITUTE(TEXT(Overig!AN18,""",""???0;"",""??-0;"",""???0;"", ///"""),"'","""")&amp;SUBSTITUTE(TEXT(Overig!AO18,""",""?00;"",""?-00;"",""?00;"", //"""),"'","""")</f>
        <v>78989, 19130117, 0800, ////, 07, /////, 07, ////, 07, /////, 07, ////, 07, ////, 07, ////, 07, ////, 07, ///, 07, ///, 07, ////, 07, ////, 07, ///, 07, ////, 07, ////, 07, ///, 07, //, 07, ////////////, 07, ///, 07</v>
      </c>
    </row>
    <row r="19" spans="1:1" x14ac:dyDescent="0.25">
      <c r="A19" s="75" t="str">
        <f ca="1">TEXT(Overig!A19,"000\,")&amp;TEXT(Overig!B19,"?00000000")&amp;TEXT(Overig!C19,""", ""0000")&amp;SUBSTITUTE(TEXT(IF(ISTEXT(Overig!D19),Overig!D19,10*Overig!D19),""",""????0;"",""???-0;"",""????0;"", ////"""),"'","""")&amp;SUBSTITUTE(TEXT(Overig!E19,""",""?00;"",""?-00;"",""?00;"", //"""),"'","""")&amp;SUBSTITUTE(TEXT(IF(ISTEXT(Overig!F19),Overig!F19,100*Overig!F19),""",""?????0;"",""????-0;"",""?????0;"", /////"""),"'","""")&amp;SUBSTITUTE(TEXT(Overig!G19,""",""?00;"",""?-00;"",""?00;"", //"""),"'","""")&amp;SUBSTITUTE(TEXT(IF(ISTEXT(Overig!H19),Overig!H19,100*Overig!H19),""",""????0;"",""???-0;"",""????0;"", ////"""),"'","""")&amp;SUBSTITUTE(TEXT(Overig!I19,""",""?00;"",""?-00;"",""?00;"", //"""),"'","""")&amp;SUBSTITUTE(TEXT(IF(ISTEXT(Overig!J19),Overig!J19,100*Overig!J19),""",""?????0;"",""????-0;"",""?????0;"", /////"""),"'","""")&amp;SUBSTITUTE(TEXT(Overig!K19,""",""?00;"",""?-00;"",""?00;"", //"""),"'","""")&amp;SUBSTITUTE(TEXT(IF(ISTEXT(Overig!L19),Overig!L19,10*Overig!L19),""",""????0;"",""???-0;"",""????0;"", ////"""),"'","""")&amp;SUBSTITUTE(TEXT(Overig!M19,""",""?00;"",""?-00;"",""?00;"", //"""),"'","""")&amp;SUBSTITUTE(TEXT(IF(ISTEXT(Overig!N19),Overig!N19,10*Overig!N19),""",""????0;"",""???-0;"",""????0;"", ////"""),"'","""")&amp;SUBSTITUTE(TEXT(Overig!O19,""",""?00;"",""?-00;"",""?00;"", //"""),"'","""")&amp;SUBSTITUTE(TEXT(IF(ISTEXT(Overig!P19),Overig!P19,10*Overig!P19),""",""????0;"",""???-0;"",""????0;"", ////"""),"'","""")&amp;SUBSTITUTE(TEXT(Overig!Q19,""",""?00;"",""?-00;"",""?00;"", //"""),"'","""")&amp;SUBSTITUTE(TEXT(IF(ISTEXT(Overig!R19),Overig!R19,10*Overig!R19),""",""????0;"",""???-0;"",""????0;"", ////"""),"'","""")&amp;SUBSTITUTE(TEXT(Overig!S19,""",""?00;"",""?-00;"",""?00;"", //"""),"'","""")&amp;SUBSTITUTE(TEXT(Overig!T19,""",""???0;"",""??-0;"",""???0;"", ///"""),"'","""")&amp;SUBSTITUTE(TEXT(Overig!U19,""",""?00;"",""?-00;"",""?00;"", //"""),"'","""")&amp;SUBSTITUTE(TEXT(IF(ISTEXT(Overig!V19),Overig!V19,10*Overig!V19),""",""???0;"",""??-0;"",""???0;"", ///"""),"'","""")&amp;SUBSTITUTE(TEXT(Overig!W19,""",""?00;"",""?-00;"",""?00;"", //"""),"'","""")&amp;SUBSTITUTE(TEXT(IF(ISTEXT(Overig!X19),Overig!X19,10*Overig!X19),""",""????0;"",""???-0;"",""????0;"", ////"""),"'","""")&amp;SUBSTITUTE(TEXT(Overig!Y19,""",""?00;"",""?-00;"",""?00;"", //"""),"'","""")&amp;SUBSTITUTE(TEXT(IF(ISTEXT(Overig!Z19),Overig!Z19,10*Overig!Z19),""",""????0;"",""???-0;"",""????0;"", ////"""),"'","""")&amp;SUBSTITUTE(TEXT(Overig!AA19,""",""?00;"",""?-00;"",""?00;"", //"""),"'","""")&amp;SUBSTITUTE(TEXT(Overig!AB19,""",""???0;"",""??-0;"",""???0;"", ///"""),"'","""")&amp;SUBSTITUTE(TEXT(Overig!AC19,""",""?00;"",""?-00;"",""?00;"", //"""),"'","""")&amp;SUBSTITUTE(TEXT(IF(ISTEXT(Overig!AD19),Overig!AD19,10*Overig!AD19),""",""????0;"",""???-0;"",""????0;"", ////"""),"'","""")&amp;SUBSTITUTE(TEXT(Overig!AE19,""",""?00;"",""?-00;"",""?00;"", //"""),"'","""")&amp;SUBSTITUTE(TEXT(IF(ISTEXT(Overig!AF19),Overig!AF19,10*Overig!AF19),""",""????0;"",""???-0;"",""????0;"", ////"""),"'","""")&amp;SUBSTITUTE(TEXT(Overig!AG19,""",""?00;"",""?-00;"",""?00;"", //"""),"'","""")&amp;SUBSTITUTE(TEXT(Overig!AH19,""",""???0;"",""??-0;"",""???0;"", ///"""),"'","""")&amp;SUBSTITUTE(TEXT(Overig!AI19,""",""?00;"",""?-00;"",""?00;"", //"""),"'","""")&amp;SUBSTITUTE(TEXT(Overig!AJ19,""",""??0;"",""?-0;"",""??0;"", //"""),"'","""")&amp;SUBSTITUTE(TEXT(Overig!AK19,""",""?00;"",""?-00;"",""?00;"", //"""),"'","""")&amp;SUBSTITUTE(IF(EXACT(Overig!AL19,"—"),TEXT(Overig!AL19,""",""????0;"",""???-0;"",""????0;"", ////////////,"""),TEXT(Overig!AL19,"\, \'@""',""")&amp;REPT(" ",10-LEN(Overig!AL19))),"'","""")&amp;SUBSTITUTE(TEXT(Overig!AM19,"?00;?-00;?00;"" //"""),"'","""")&amp;SUBSTITUTE(TEXT(Overig!AN19,""",""???0;"",""??-0;"",""???0;"", ///"""),"'","""")&amp;SUBSTITUTE(TEXT(Overig!AO19,""",""?00;"",""?-00;"",""?00;"", //"""),"'","""")</f>
        <v>78989, 19130118, 0800, ////, 07, /////, 07, ////, 07, /////, 07, ////, 07, ////, 07, ////, 07, ////, 07, ///, 07, ///, 07, ////, 07, ////, 07, ///, 07, ////, 07, ////, 07, ///, 07, //, 07, ////////////, 07, ///, 07</v>
      </c>
    </row>
    <row r="20" spans="1:1" x14ac:dyDescent="0.25">
      <c r="A20" s="75" t="str">
        <f ca="1">TEXT(Overig!A20,"000\,")&amp;TEXT(Overig!B20,"?00000000")&amp;TEXT(Overig!C20,""", ""0000")&amp;SUBSTITUTE(TEXT(IF(ISTEXT(Overig!D20),Overig!D20,10*Overig!D20),""",""????0;"",""???-0;"",""????0;"", ////"""),"'","""")&amp;SUBSTITUTE(TEXT(Overig!E20,""",""?00;"",""?-00;"",""?00;"", //"""),"'","""")&amp;SUBSTITUTE(TEXT(IF(ISTEXT(Overig!F20),Overig!F20,100*Overig!F20),""",""?????0;"",""????-0;"",""?????0;"", /////"""),"'","""")&amp;SUBSTITUTE(TEXT(Overig!G20,""",""?00;"",""?-00;"",""?00;"", //"""),"'","""")&amp;SUBSTITUTE(TEXT(IF(ISTEXT(Overig!H20),Overig!H20,100*Overig!H20),""",""????0;"",""???-0;"",""????0;"", ////"""),"'","""")&amp;SUBSTITUTE(TEXT(Overig!I20,""",""?00;"",""?-00;"",""?00;"", //"""),"'","""")&amp;SUBSTITUTE(TEXT(IF(ISTEXT(Overig!J20),Overig!J20,100*Overig!J20),""",""?????0;"",""????-0;"",""?????0;"", /////"""),"'","""")&amp;SUBSTITUTE(TEXT(Overig!K20,""",""?00;"",""?-00;"",""?00;"", //"""),"'","""")&amp;SUBSTITUTE(TEXT(IF(ISTEXT(Overig!L20),Overig!L20,10*Overig!L20),""",""????0;"",""???-0;"",""????0;"", ////"""),"'","""")&amp;SUBSTITUTE(TEXT(Overig!M20,""",""?00;"",""?-00;"",""?00;"", //"""),"'","""")&amp;SUBSTITUTE(TEXT(IF(ISTEXT(Overig!N20),Overig!N20,10*Overig!N20),""",""????0;"",""???-0;"",""????0;"", ////"""),"'","""")&amp;SUBSTITUTE(TEXT(Overig!O20,""",""?00;"",""?-00;"",""?00;"", //"""),"'","""")&amp;SUBSTITUTE(TEXT(IF(ISTEXT(Overig!P20),Overig!P20,10*Overig!P20),""",""????0;"",""???-0;"",""????0;"", ////"""),"'","""")&amp;SUBSTITUTE(TEXT(Overig!Q20,""",""?00;"",""?-00;"",""?00;"", //"""),"'","""")&amp;SUBSTITUTE(TEXT(IF(ISTEXT(Overig!R20),Overig!R20,10*Overig!R20),""",""????0;"",""???-0;"",""????0;"", ////"""),"'","""")&amp;SUBSTITUTE(TEXT(Overig!S20,""",""?00;"",""?-00;"",""?00;"", //"""),"'","""")&amp;SUBSTITUTE(TEXT(Overig!T20,""",""???0;"",""??-0;"",""???0;"", ///"""),"'","""")&amp;SUBSTITUTE(TEXT(Overig!U20,""",""?00;"",""?-00;"",""?00;"", //"""),"'","""")&amp;SUBSTITUTE(TEXT(IF(ISTEXT(Overig!V20),Overig!V20,10*Overig!V20),""",""???0;"",""??-0;"",""???0;"", ///"""),"'","""")&amp;SUBSTITUTE(TEXT(Overig!W20,""",""?00;"",""?-00;"",""?00;"", //"""),"'","""")&amp;SUBSTITUTE(TEXT(IF(ISTEXT(Overig!X20),Overig!X20,10*Overig!X20),""",""????0;"",""???-0;"",""????0;"", ////"""),"'","""")&amp;SUBSTITUTE(TEXT(Overig!Y20,""",""?00;"",""?-00;"",""?00;"", //"""),"'","""")&amp;SUBSTITUTE(TEXT(IF(ISTEXT(Overig!Z20),Overig!Z20,10*Overig!Z20),""",""????0;"",""???-0;"",""????0;"", ////"""),"'","""")&amp;SUBSTITUTE(TEXT(Overig!AA20,""",""?00;"",""?-00;"",""?00;"", //"""),"'","""")&amp;SUBSTITUTE(TEXT(Overig!AB20,""",""???0;"",""??-0;"",""???0;"", ///"""),"'","""")&amp;SUBSTITUTE(TEXT(Overig!AC20,""",""?00;"",""?-00;"",""?00;"", //"""),"'","""")&amp;SUBSTITUTE(TEXT(IF(ISTEXT(Overig!AD20),Overig!AD20,10*Overig!AD20),""",""????0;"",""???-0;"",""????0;"", ////"""),"'","""")&amp;SUBSTITUTE(TEXT(Overig!AE20,""",""?00;"",""?-00;"",""?00;"", //"""),"'","""")&amp;SUBSTITUTE(TEXT(IF(ISTEXT(Overig!AF20),Overig!AF20,10*Overig!AF20),""",""????0;"",""???-0;"",""????0;"", ////"""),"'","""")&amp;SUBSTITUTE(TEXT(Overig!AG20,""",""?00;"",""?-00;"",""?00;"", //"""),"'","""")&amp;SUBSTITUTE(TEXT(Overig!AH20,""",""???0;"",""??-0;"",""???0;"", ///"""),"'","""")&amp;SUBSTITUTE(TEXT(Overig!AI20,""",""?00;"",""?-00;"",""?00;"", //"""),"'","""")&amp;SUBSTITUTE(TEXT(Overig!AJ20,""",""??0;"",""?-0;"",""??0;"", //"""),"'","""")&amp;SUBSTITUTE(TEXT(Overig!AK20,""",""?00;"",""?-00;"",""?00;"", //"""),"'","""")&amp;SUBSTITUTE(IF(EXACT(Overig!AL20,"—"),TEXT(Overig!AL20,""",""????0;"",""???-0;"",""????0;"", ////////////,"""),TEXT(Overig!AL20,"\, \'@""',""")&amp;REPT(" ",10-LEN(Overig!AL20))),"'","""")&amp;SUBSTITUTE(TEXT(Overig!AM20,"?00;?-00;?00;"" //"""),"'","""")&amp;SUBSTITUTE(TEXT(Overig!AN20,""",""???0;"",""??-0;"",""???0;"", ///"""),"'","""")&amp;SUBSTITUTE(TEXT(Overig!AO20,""",""?00;"",""?-00;"",""?00;"", //"""),"'","""")</f>
        <v>78989, 19130119, 0800, ////, 07, /////, 07, ////, 07, /////, 07, ////, 07, ////, 07, ////, 07, ////, 07, ///, 07, ///, 07, ////, 07, ////, 07, ///, 07, ////, 07, ////, 07, ///, 07, //, 07, ////////////, 07, ///, 07</v>
      </c>
    </row>
    <row r="21" spans="1:1" x14ac:dyDescent="0.25">
      <c r="A21" s="75" t="str">
        <f ca="1">TEXT(Overig!A21,"000\,")&amp;TEXT(Overig!B21,"?00000000")&amp;TEXT(Overig!C21,""", ""0000")&amp;SUBSTITUTE(TEXT(IF(ISTEXT(Overig!D21),Overig!D21,10*Overig!D21),""",""????0;"",""???-0;"",""????0;"", ////"""),"'","""")&amp;SUBSTITUTE(TEXT(Overig!E21,""",""?00;"",""?-00;"",""?00;"", //"""),"'","""")&amp;SUBSTITUTE(TEXT(IF(ISTEXT(Overig!F21),Overig!F21,100*Overig!F21),""",""?????0;"",""????-0;"",""?????0;"", /////"""),"'","""")&amp;SUBSTITUTE(TEXT(Overig!G21,""",""?00;"",""?-00;"",""?00;"", //"""),"'","""")&amp;SUBSTITUTE(TEXT(IF(ISTEXT(Overig!H21),Overig!H21,100*Overig!H21),""",""????0;"",""???-0;"",""????0;"", ////"""),"'","""")&amp;SUBSTITUTE(TEXT(Overig!I21,""",""?00;"",""?-00;"",""?00;"", //"""),"'","""")&amp;SUBSTITUTE(TEXT(IF(ISTEXT(Overig!J21),Overig!J21,100*Overig!J21),""",""?????0;"",""????-0;"",""?????0;"", /////"""),"'","""")&amp;SUBSTITUTE(TEXT(Overig!K21,""",""?00;"",""?-00;"",""?00;"", //"""),"'","""")&amp;SUBSTITUTE(TEXT(IF(ISTEXT(Overig!L21),Overig!L21,10*Overig!L21),""",""????0;"",""???-0;"",""????0;"", ////"""),"'","""")&amp;SUBSTITUTE(TEXT(Overig!M21,""",""?00;"",""?-00;"",""?00;"", //"""),"'","""")&amp;SUBSTITUTE(TEXT(IF(ISTEXT(Overig!N21),Overig!N21,10*Overig!N21),""",""????0;"",""???-0;"",""????0;"", ////"""),"'","""")&amp;SUBSTITUTE(TEXT(Overig!O21,""",""?00;"",""?-00;"",""?00;"", //"""),"'","""")&amp;SUBSTITUTE(TEXT(IF(ISTEXT(Overig!P21),Overig!P21,10*Overig!P21),""",""????0;"",""???-0;"",""????0;"", ////"""),"'","""")&amp;SUBSTITUTE(TEXT(Overig!Q21,""",""?00;"",""?-00;"",""?00;"", //"""),"'","""")&amp;SUBSTITUTE(TEXT(IF(ISTEXT(Overig!R21),Overig!R21,10*Overig!R21),""",""????0;"",""???-0;"",""????0;"", ////"""),"'","""")&amp;SUBSTITUTE(TEXT(Overig!S21,""",""?00;"",""?-00;"",""?00;"", //"""),"'","""")&amp;SUBSTITUTE(TEXT(Overig!T21,""",""???0;"",""??-0;"",""???0;"", ///"""),"'","""")&amp;SUBSTITUTE(TEXT(Overig!U21,""",""?00;"",""?-00;"",""?00;"", //"""),"'","""")&amp;SUBSTITUTE(TEXT(IF(ISTEXT(Overig!V21),Overig!V21,10*Overig!V21),""",""???0;"",""??-0;"",""???0;"", ///"""),"'","""")&amp;SUBSTITUTE(TEXT(Overig!W21,""",""?00;"",""?-00;"",""?00;"", //"""),"'","""")&amp;SUBSTITUTE(TEXT(IF(ISTEXT(Overig!X21),Overig!X21,10*Overig!X21),""",""????0;"",""???-0;"",""????0;"", ////"""),"'","""")&amp;SUBSTITUTE(TEXT(Overig!Y21,""",""?00;"",""?-00;"",""?00;"", //"""),"'","""")&amp;SUBSTITUTE(TEXT(IF(ISTEXT(Overig!Z21),Overig!Z21,10*Overig!Z21),""",""????0;"",""???-0;"",""????0;"", ////"""),"'","""")&amp;SUBSTITUTE(TEXT(Overig!AA21,""",""?00;"",""?-00;"",""?00;"", //"""),"'","""")&amp;SUBSTITUTE(TEXT(Overig!AB21,""",""???0;"",""??-0;"",""???0;"", ///"""),"'","""")&amp;SUBSTITUTE(TEXT(Overig!AC21,""",""?00;"",""?-00;"",""?00;"", //"""),"'","""")&amp;SUBSTITUTE(TEXT(IF(ISTEXT(Overig!AD21),Overig!AD21,10*Overig!AD21),""",""????0;"",""???-0;"",""????0;"", ////"""),"'","""")&amp;SUBSTITUTE(TEXT(Overig!AE21,""",""?00;"",""?-00;"",""?00;"", //"""),"'","""")&amp;SUBSTITUTE(TEXT(IF(ISTEXT(Overig!AF21),Overig!AF21,10*Overig!AF21),""",""????0;"",""???-0;"",""????0;"", ////"""),"'","""")&amp;SUBSTITUTE(TEXT(Overig!AG21,""",""?00;"",""?-00;"",""?00;"", //"""),"'","""")&amp;SUBSTITUTE(TEXT(Overig!AH21,""",""???0;"",""??-0;"",""???0;"", ///"""),"'","""")&amp;SUBSTITUTE(TEXT(Overig!AI21,""",""?00;"",""?-00;"",""?00;"", //"""),"'","""")&amp;SUBSTITUTE(TEXT(Overig!AJ21,""",""??0;"",""?-0;"",""??0;"", //"""),"'","""")&amp;SUBSTITUTE(TEXT(Overig!AK21,""",""?00;"",""?-00;"",""?00;"", //"""),"'","""")&amp;SUBSTITUTE(IF(EXACT(Overig!AL21,"—"),TEXT(Overig!AL21,""",""????0;"",""???-0;"",""????0;"", ////////////,"""),TEXT(Overig!AL21,"\, \'@""',""")&amp;REPT(" ",10-LEN(Overig!AL21))),"'","""")&amp;SUBSTITUTE(TEXT(Overig!AM21,"?00;?-00;?00;"" //"""),"'","""")&amp;SUBSTITUTE(TEXT(Overig!AN21,""",""???0;"",""??-0;"",""???0;"", ///"""),"'","""")&amp;SUBSTITUTE(TEXT(Overig!AO21,""",""?00;"",""?-00;"",""?00;"", //"""),"'","""")</f>
        <v>78989, 19130120, 0800, ////, 07, /////, 07, ////, 07, /////, 07, ////, 07, ////, 07, ////, 07, ////, 07, ///, 07, ///, 07, ////, 07, ////, 07, ///, 07, ////, 07, ////, 07, ///, 07, //, 07, ////////////, 07, ///, 07</v>
      </c>
    </row>
    <row r="22" spans="1:1" x14ac:dyDescent="0.25">
      <c r="A22" s="75" t="str">
        <f ca="1">TEXT(Overig!A22,"000\,")&amp;TEXT(Overig!B22,"?00000000")&amp;TEXT(Overig!C22,""", ""0000")&amp;SUBSTITUTE(TEXT(IF(ISTEXT(Overig!D22),Overig!D22,10*Overig!D22),""",""????0;"",""???-0;"",""????0;"", ////"""),"'","""")&amp;SUBSTITUTE(TEXT(Overig!E22,""",""?00;"",""?-00;"",""?00;"", //"""),"'","""")&amp;SUBSTITUTE(TEXT(IF(ISTEXT(Overig!F22),Overig!F22,100*Overig!F22),""",""?????0;"",""????-0;"",""?????0;"", /////"""),"'","""")&amp;SUBSTITUTE(TEXT(Overig!G22,""",""?00;"",""?-00;"",""?00;"", //"""),"'","""")&amp;SUBSTITUTE(TEXT(IF(ISTEXT(Overig!H22),Overig!H22,100*Overig!H22),""",""????0;"",""???-0;"",""????0;"", ////"""),"'","""")&amp;SUBSTITUTE(TEXT(Overig!I22,""",""?00;"",""?-00;"",""?00;"", //"""),"'","""")&amp;SUBSTITUTE(TEXT(IF(ISTEXT(Overig!J22),Overig!J22,100*Overig!J22),""",""?????0;"",""????-0;"",""?????0;"", /////"""),"'","""")&amp;SUBSTITUTE(TEXT(Overig!K22,""",""?00;"",""?-00;"",""?00;"", //"""),"'","""")&amp;SUBSTITUTE(TEXT(IF(ISTEXT(Overig!L22),Overig!L22,10*Overig!L22),""",""????0;"",""???-0;"",""????0;"", ////"""),"'","""")&amp;SUBSTITUTE(TEXT(Overig!M22,""",""?00;"",""?-00;"",""?00;"", //"""),"'","""")&amp;SUBSTITUTE(TEXT(IF(ISTEXT(Overig!N22),Overig!N22,10*Overig!N22),""",""????0;"",""???-0;"",""????0;"", ////"""),"'","""")&amp;SUBSTITUTE(TEXT(Overig!O22,""",""?00;"",""?-00;"",""?00;"", //"""),"'","""")&amp;SUBSTITUTE(TEXT(IF(ISTEXT(Overig!P22),Overig!P22,10*Overig!P22),""",""????0;"",""???-0;"",""????0;"", ////"""),"'","""")&amp;SUBSTITUTE(TEXT(Overig!Q22,""",""?00;"",""?-00;"",""?00;"", //"""),"'","""")&amp;SUBSTITUTE(TEXT(IF(ISTEXT(Overig!R22),Overig!R22,10*Overig!R22),""",""????0;"",""???-0;"",""????0;"", ////"""),"'","""")&amp;SUBSTITUTE(TEXT(Overig!S22,""",""?00;"",""?-00;"",""?00;"", //"""),"'","""")&amp;SUBSTITUTE(TEXT(Overig!T22,""",""???0;"",""??-0;"",""???0;"", ///"""),"'","""")&amp;SUBSTITUTE(TEXT(Overig!U22,""",""?00;"",""?-00;"",""?00;"", //"""),"'","""")&amp;SUBSTITUTE(TEXT(IF(ISTEXT(Overig!V22),Overig!V22,10*Overig!V22),""",""???0;"",""??-0;"",""???0;"", ///"""),"'","""")&amp;SUBSTITUTE(TEXT(Overig!W22,""",""?00;"",""?-00;"",""?00;"", //"""),"'","""")&amp;SUBSTITUTE(TEXT(IF(ISTEXT(Overig!X22),Overig!X22,10*Overig!X22),""",""????0;"",""???-0;"",""????0;"", ////"""),"'","""")&amp;SUBSTITUTE(TEXT(Overig!Y22,""",""?00;"",""?-00;"",""?00;"", //"""),"'","""")&amp;SUBSTITUTE(TEXT(IF(ISTEXT(Overig!Z22),Overig!Z22,10*Overig!Z22),""",""????0;"",""???-0;"",""????0;"", ////"""),"'","""")&amp;SUBSTITUTE(TEXT(Overig!AA22,""",""?00;"",""?-00;"",""?00;"", //"""),"'","""")&amp;SUBSTITUTE(TEXT(Overig!AB22,""",""???0;"",""??-0;"",""???0;"", ///"""),"'","""")&amp;SUBSTITUTE(TEXT(Overig!AC22,""",""?00;"",""?-00;"",""?00;"", //"""),"'","""")&amp;SUBSTITUTE(TEXT(IF(ISTEXT(Overig!AD22),Overig!AD22,10*Overig!AD22),""",""????0;"",""???-0;"",""????0;"", ////"""),"'","""")&amp;SUBSTITUTE(TEXT(Overig!AE22,""",""?00;"",""?-00;"",""?00;"", //"""),"'","""")&amp;SUBSTITUTE(TEXT(IF(ISTEXT(Overig!AF22),Overig!AF22,10*Overig!AF22),""",""????0;"",""???-0;"",""????0;"", ////"""),"'","""")&amp;SUBSTITUTE(TEXT(Overig!AG22,""",""?00;"",""?-00;"",""?00;"", //"""),"'","""")&amp;SUBSTITUTE(TEXT(Overig!AH22,""",""???0;"",""??-0;"",""???0;"", ///"""),"'","""")&amp;SUBSTITUTE(TEXT(Overig!AI22,""",""?00;"",""?-00;"",""?00;"", //"""),"'","""")&amp;SUBSTITUTE(TEXT(Overig!AJ22,""",""??0;"",""?-0;"",""??0;"", //"""),"'","""")&amp;SUBSTITUTE(TEXT(Overig!AK22,""",""?00;"",""?-00;"",""?00;"", //"""),"'","""")&amp;SUBSTITUTE(IF(EXACT(Overig!AL22,"—"),TEXT(Overig!AL22,""",""????0;"",""???-0;"",""????0;"", ////////////,"""),TEXT(Overig!AL22,"\, \'@""',""")&amp;REPT(" ",10-LEN(Overig!AL22))),"'","""")&amp;SUBSTITUTE(TEXT(Overig!AM22,"?00;?-00;?00;"" //"""),"'","""")&amp;SUBSTITUTE(TEXT(Overig!AN22,""",""???0;"",""??-0;"",""???0;"", ///"""),"'","""")&amp;SUBSTITUTE(TEXT(Overig!AO22,""",""?00;"",""?-00;"",""?00;"", //"""),"'","""")</f>
        <v>78989, 19130121, 0800, ////, 07, /////, 07, ////, 07, /////, 07, ////, 07, ////, 07, ////, 07, ////, 07, ///, 07, ///, 07, ////, 07, ////, 07, ///, 07, ////, 07, ////, 07, ///, 07, //, 07, ////////////, 07, ///, 07</v>
      </c>
    </row>
    <row r="23" spans="1:1" x14ac:dyDescent="0.25">
      <c r="A23" s="75" t="str">
        <f ca="1">TEXT(Overig!A23,"000\,")&amp;TEXT(Overig!B23,"?00000000")&amp;TEXT(Overig!C23,""", ""0000")&amp;SUBSTITUTE(TEXT(IF(ISTEXT(Overig!D23),Overig!D23,10*Overig!D23),""",""????0;"",""???-0;"",""????0;"", ////"""),"'","""")&amp;SUBSTITUTE(TEXT(Overig!E23,""",""?00;"",""?-00;"",""?00;"", //"""),"'","""")&amp;SUBSTITUTE(TEXT(IF(ISTEXT(Overig!F23),Overig!F23,100*Overig!F23),""",""?????0;"",""????-0;"",""?????0;"", /////"""),"'","""")&amp;SUBSTITUTE(TEXT(Overig!G23,""",""?00;"",""?-00;"",""?00;"", //"""),"'","""")&amp;SUBSTITUTE(TEXT(IF(ISTEXT(Overig!H23),Overig!H23,100*Overig!H23),""",""????0;"",""???-0;"",""????0;"", ////"""),"'","""")&amp;SUBSTITUTE(TEXT(Overig!I23,""",""?00;"",""?-00;"",""?00;"", //"""),"'","""")&amp;SUBSTITUTE(TEXT(IF(ISTEXT(Overig!J23),Overig!J23,100*Overig!J23),""",""?????0;"",""????-0;"",""?????0;"", /////"""),"'","""")&amp;SUBSTITUTE(TEXT(Overig!K23,""",""?00;"",""?-00;"",""?00;"", //"""),"'","""")&amp;SUBSTITUTE(TEXT(IF(ISTEXT(Overig!L23),Overig!L23,10*Overig!L23),""",""????0;"",""???-0;"",""????0;"", ////"""),"'","""")&amp;SUBSTITUTE(TEXT(Overig!M23,""",""?00;"",""?-00;"",""?00;"", //"""),"'","""")&amp;SUBSTITUTE(TEXT(IF(ISTEXT(Overig!N23),Overig!N23,10*Overig!N23),""",""????0;"",""???-0;"",""????0;"", ////"""),"'","""")&amp;SUBSTITUTE(TEXT(Overig!O23,""",""?00;"",""?-00;"",""?00;"", //"""),"'","""")&amp;SUBSTITUTE(TEXT(IF(ISTEXT(Overig!P23),Overig!P23,10*Overig!P23),""",""????0;"",""???-0;"",""????0;"", ////"""),"'","""")&amp;SUBSTITUTE(TEXT(Overig!Q23,""",""?00;"",""?-00;"",""?00;"", //"""),"'","""")&amp;SUBSTITUTE(TEXT(IF(ISTEXT(Overig!R23),Overig!R23,10*Overig!R23),""",""????0;"",""???-0;"",""????0;"", ////"""),"'","""")&amp;SUBSTITUTE(TEXT(Overig!S23,""",""?00;"",""?-00;"",""?00;"", //"""),"'","""")&amp;SUBSTITUTE(TEXT(Overig!T23,""",""???0;"",""??-0;"",""???0;"", ///"""),"'","""")&amp;SUBSTITUTE(TEXT(Overig!U23,""",""?00;"",""?-00;"",""?00;"", //"""),"'","""")&amp;SUBSTITUTE(TEXT(IF(ISTEXT(Overig!V23),Overig!V23,10*Overig!V23),""",""???0;"",""??-0;"",""???0;"", ///"""),"'","""")&amp;SUBSTITUTE(TEXT(Overig!W23,""",""?00;"",""?-00;"",""?00;"", //"""),"'","""")&amp;SUBSTITUTE(TEXT(IF(ISTEXT(Overig!X23),Overig!X23,10*Overig!X23),""",""????0;"",""???-0;"",""????0;"", ////"""),"'","""")&amp;SUBSTITUTE(TEXT(Overig!Y23,""",""?00;"",""?-00;"",""?00;"", //"""),"'","""")&amp;SUBSTITUTE(TEXT(IF(ISTEXT(Overig!Z23),Overig!Z23,10*Overig!Z23),""",""????0;"",""???-0;"",""????0;"", ////"""),"'","""")&amp;SUBSTITUTE(TEXT(Overig!AA23,""",""?00;"",""?-00;"",""?00;"", //"""),"'","""")&amp;SUBSTITUTE(TEXT(Overig!AB23,""",""???0;"",""??-0;"",""???0;"", ///"""),"'","""")&amp;SUBSTITUTE(TEXT(Overig!AC23,""",""?00;"",""?-00;"",""?00;"", //"""),"'","""")&amp;SUBSTITUTE(TEXT(IF(ISTEXT(Overig!AD23),Overig!AD23,10*Overig!AD23),""",""????0;"",""???-0;"",""????0;"", ////"""),"'","""")&amp;SUBSTITUTE(TEXT(Overig!AE23,""",""?00;"",""?-00;"",""?00;"", //"""),"'","""")&amp;SUBSTITUTE(TEXT(IF(ISTEXT(Overig!AF23),Overig!AF23,10*Overig!AF23),""",""????0;"",""???-0;"",""????0;"", ////"""),"'","""")&amp;SUBSTITUTE(TEXT(Overig!AG23,""",""?00;"",""?-00;"",""?00;"", //"""),"'","""")&amp;SUBSTITUTE(TEXT(Overig!AH23,""",""???0;"",""??-0;"",""???0;"", ///"""),"'","""")&amp;SUBSTITUTE(TEXT(Overig!AI23,""",""?00;"",""?-00;"",""?00;"", //"""),"'","""")&amp;SUBSTITUTE(TEXT(Overig!AJ23,""",""??0;"",""?-0;"",""??0;"", //"""),"'","""")&amp;SUBSTITUTE(TEXT(Overig!AK23,""",""?00;"",""?-00;"",""?00;"", //"""),"'","""")&amp;SUBSTITUTE(IF(EXACT(Overig!AL23,"—"),TEXT(Overig!AL23,""",""????0;"",""???-0;"",""????0;"", ////////////,"""),TEXT(Overig!AL23,"\, \'@""',""")&amp;REPT(" ",10-LEN(Overig!AL23))),"'","""")&amp;SUBSTITUTE(TEXT(Overig!AM23,"?00;?-00;?00;"" //"""),"'","""")&amp;SUBSTITUTE(TEXT(Overig!AN23,""",""???0;"",""??-0;"",""???0;"", ///"""),"'","""")&amp;SUBSTITUTE(TEXT(Overig!AO23,""",""?00;"",""?-00;"",""?00;"", //"""),"'","""")</f>
        <v>78989, 19130122, 0800, ////, 07, /////, 07, ////, 07, /////, 07, ////, 07, ////, 07, ////, 07, ////, 07, ///, 07, ///, 07, ////, 07, ////, 07, ///, 07, ////, 07, ////, 07, ///, 07, //, 07, ////////////, 07, ///, 07</v>
      </c>
    </row>
    <row r="24" spans="1:1" x14ac:dyDescent="0.25">
      <c r="A24" s="75" t="str">
        <f ca="1">TEXT(Overig!A24,"000\,")&amp;TEXT(Overig!B24,"?00000000")&amp;TEXT(Overig!C24,""", ""0000")&amp;SUBSTITUTE(TEXT(IF(ISTEXT(Overig!D24),Overig!D24,10*Overig!D24),""",""????0;"",""???-0;"",""????0;"", ////"""),"'","""")&amp;SUBSTITUTE(TEXT(Overig!E24,""",""?00;"",""?-00;"",""?00;"", //"""),"'","""")&amp;SUBSTITUTE(TEXT(IF(ISTEXT(Overig!F24),Overig!F24,100*Overig!F24),""",""?????0;"",""????-0;"",""?????0;"", /////"""),"'","""")&amp;SUBSTITUTE(TEXT(Overig!G24,""",""?00;"",""?-00;"",""?00;"", //"""),"'","""")&amp;SUBSTITUTE(TEXT(IF(ISTEXT(Overig!H24),Overig!H24,100*Overig!H24),""",""????0;"",""???-0;"",""????0;"", ////"""),"'","""")&amp;SUBSTITUTE(TEXT(Overig!I24,""",""?00;"",""?-00;"",""?00;"", //"""),"'","""")&amp;SUBSTITUTE(TEXT(IF(ISTEXT(Overig!J24),Overig!J24,100*Overig!J24),""",""?????0;"",""????-0;"",""?????0;"", /////"""),"'","""")&amp;SUBSTITUTE(TEXT(Overig!K24,""",""?00;"",""?-00;"",""?00;"", //"""),"'","""")&amp;SUBSTITUTE(TEXT(IF(ISTEXT(Overig!L24),Overig!L24,10*Overig!L24),""",""????0;"",""???-0;"",""????0;"", ////"""),"'","""")&amp;SUBSTITUTE(TEXT(Overig!M24,""",""?00;"",""?-00;"",""?00;"", //"""),"'","""")&amp;SUBSTITUTE(TEXT(IF(ISTEXT(Overig!N24),Overig!N24,10*Overig!N24),""",""????0;"",""???-0;"",""????0;"", ////"""),"'","""")&amp;SUBSTITUTE(TEXT(Overig!O24,""",""?00;"",""?-00;"",""?00;"", //"""),"'","""")&amp;SUBSTITUTE(TEXT(IF(ISTEXT(Overig!P24),Overig!P24,10*Overig!P24),""",""????0;"",""???-0;"",""????0;"", ////"""),"'","""")&amp;SUBSTITUTE(TEXT(Overig!Q24,""",""?00;"",""?-00;"",""?00;"", //"""),"'","""")&amp;SUBSTITUTE(TEXT(IF(ISTEXT(Overig!R24),Overig!R24,10*Overig!R24),""",""????0;"",""???-0;"",""????0;"", ////"""),"'","""")&amp;SUBSTITUTE(TEXT(Overig!S24,""",""?00;"",""?-00;"",""?00;"", //"""),"'","""")&amp;SUBSTITUTE(TEXT(Overig!T24,""",""???0;"",""??-0;"",""???0;"", ///"""),"'","""")&amp;SUBSTITUTE(TEXT(Overig!U24,""",""?00;"",""?-00;"",""?00;"", //"""),"'","""")&amp;SUBSTITUTE(TEXT(IF(ISTEXT(Overig!V24),Overig!V24,10*Overig!V24),""",""???0;"",""??-0;"",""???0;"", ///"""),"'","""")&amp;SUBSTITUTE(TEXT(Overig!W24,""",""?00;"",""?-00;"",""?00;"", //"""),"'","""")&amp;SUBSTITUTE(TEXT(IF(ISTEXT(Overig!X24),Overig!X24,10*Overig!X24),""",""????0;"",""???-0;"",""????0;"", ////"""),"'","""")&amp;SUBSTITUTE(TEXT(Overig!Y24,""",""?00;"",""?-00;"",""?00;"", //"""),"'","""")&amp;SUBSTITUTE(TEXT(IF(ISTEXT(Overig!Z24),Overig!Z24,10*Overig!Z24),""",""????0;"",""???-0;"",""????0;"", ////"""),"'","""")&amp;SUBSTITUTE(TEXT(Overig!AA24,""",""?00;"",""?-00;"",""?00;"", //"""),"'","""")&amp;SUBSTITUTE(TEXT(Overig!AB24,""",""???0;"",""??-0;"",""???0;"", ///"""),"'","""")&amp;SUBSTITUTE(TEXT(Overig!AC24,""",""?00;"",""?-00;"",""?00;"", //"""),"'","""")&amp;SUBSTITUTE(TEXT(IF(ISTEXT(Overig!AD24),Overig!AD24,10*Overig!AD24),""",""????0;"",""???-0;"",""????0;"", ////"""),"'","""")&amp;SUBSTITUTE(TEXT(Overig!AE24,""",""?00;"",""?-00;"",""?00;"", //"""),"'","""")&amp;SUBSTITUTE(TEXT(IF(ISTEXT(Overig!AF24),Overig!AF24,10*Overig!AF24),""",""????0;"",""???-0;"",""????0;"", ////"""),"'","""")&amp;SUBSTITUTE(TEXT(Overig!AG24,""",""?00;"",""?-00;"",""?00;"", //"""),"'","""")&amp;SUBSTITUTE(TEXT(Overig!AH24,""",""???0;"",""??-0;"",""???0;"", ///"""),"'","""")&amp;SUBSTITUTE(TEXT(Overig!AI24,""",""?00;"",""?-00;"",""?00;"", //"""),"'","""")&amp;SUBSTITUTE(TEXT(Overig!AJ24,""",""??0;"",""?-0;"",""??0;"", //"""),"'","""")&amp;SUBSTITUTE(TEXT(Overig!AK24,""",""?00;"",""?-00;"",""?00;"", //"""),"'","""")&amp;SUBSTITUTE(IF(EXACT(Overig!AL24,"—"),TEXT(Overig!AL24,""",""????0;"",""???-0;"",""????0;"", ////////////,"""),TEXT(Overig!AL24,"\, \'@""',""")&amp;REPT(" ",10-LEN(Overig!AL24))),"'","""")&amp;SUBSTITUTE(TEXT(Overig!AM24,"?00;?-00;?00;"" //"""),"'","""")&amp;SUBSTITUTE(TEXT(Overig!AN24,""",""???0;"",""??-0;"",""???0;"", ///"""),"'","""")&amp;SUBSTITUTE(TEXT(Overig!AO24,""",""?00;"",""?-00;"",""?00;"", //"""),"'","""")</f>
        <v>78989, 19130123, 0800, ////, 07, /////, 07, ////, 07, /////, 07, ////, 07, ////, 07, ////, 07, ////, 07, ///, 07, ///, 07, ////, 07, ////, 07, ///, 07, ////, 07, ////, 07, ///, 07, //, 07, ////////////, 07, ///, 07</v>
      </c>
    </row>
    <row r="25" spans="1:1" x14ac:dyDescent="0.25">
      <c r="A25" s="75" t="str">
        <f ca="1">TEXT(Overig!A25,"000\,")&amp;TEXT(Overig!B25,"?00000000")&amp;TEXT(Overig!C25,""", ""0000")&amp;SUBSTITUTE(TEXT(IF(ISTEXT(Overig!D25),Overig!D25,10*Overig!D25),""",""????0;"",""???-0;"",""????0;"", ////"""),"'","""")&amp;SUBSTITUTE(TEXT(Overig!E25,""",""?00;"",""?-00;"",""?00;"", //"""),"'","""")&amp;SUBSTITUTE(TEXT(IF(ISTEXT(Overig!F25),Overig!F25,100*Overig!F25),""",""?????0;"",""????-0;"",""?????0;"", /////"""),"'","""")&amp;SUBSTITUTE(TEXT(Overig!G25,""",""?00;"",""?-00;"",""?00;"", //"""),"'","""")&amp;SUBSTITUTE(TEXT(IF(ISTEXT(Overig!H25),Overig!H25,100*Overig!H25),""",""????0;"",""???-0;"",""????0;"", ////"""),"'","""")&amp;SUBSTITUTE(TEXT(Overig!I25,""",""?00;"",""?-00;"",""?00;"", //"""),"'","""")&amp;SUBSTITUTE(TEXT(IF(ISTEXT(Overig!J25),Overig!J25,100*Overig!J25),""",""?????0;"",""????-0;"",""?????0;"", /////"""),"'","""")&amp;SUBSTITUTE(TEXT(Overig!K25,""",""?00;"",""?-00;"",""?00;"", //"""),"'","""")&amp;SUBSTITUTE(TEXT(IF(ISTEXT(Overig!L25),Overig!L25,10*Overig!L25),""",""????0;"",""???-0;"",""????0;"", ////"""),"'","""")&amp;SUBSTITUTE(TEXT(Overig!M25,""",""?00;"",""?-00;"",""?00;"", //"""),"'","""")&amp;SUBSTITUTE(TEXT(IF(ISTEXT(Overig!N25),Overig!N25,10*Overig!N25),""",""????0;"",""???-0;"",""????0;"", ////"""),"'","""")&amp;SUBSTITUTE(TEXT(Overig!O25,""",""?00;"",""?-00;"",""?00;"", //"""),"'","""")&amp;SUBSTITUTE(TEXT(IF(ISTEXT(Overig!P25),Overig!P25,10*Overig!P25),""",""????0;"",""???-0;"",""????0;"", ////"""),"'","""")&amp;SUBSTITUTE(TEXT(Overig!Q25,""",""?00;"",""?-00;"",""?00;"", //"""),"'","""")&amp;SUBSTITUTE(TEXT(IF(ISTEXT(Overig!R25),Overig!R25,10*Overig!R25),""",""????0;"",""???-0;"",""????0;"", ////"""),"'","""")&amp;SUBSTITUTE(TEXT(Overig!S25,""",""?00;"",""?-00;"",""?00;"", //"""),"'","""")&amp;SUBSTITUTE(TEXT(Overig!T25,""",""???0;"",""??-0;"",""???0;"", ///"""),"'","""")&amp;SUBSTITUTE(TEXT(Overig!U25,""",""?00;"",""?-00;"",""?00;"", //"""),"'","""")&amp;SUBSTITUTE(TEXT(IF(ISTEXT(Overig!V25),Overig!V25,10*Overig!V25),""",""???0;"",""??-0;"",""???0;"", ///"""),"'","""")&amp;SUBSTITUTE(TEXT(Overig!W25,""",""?00;"",""?-00;"",""?00;"", //"""),"'","""")&amp;SUBSTITUTE(TEXT(IF(ISTEXT(Overig!X25),Overig!X25,10*Overig!X25),""",""????0;"",""???-0;"",""????0;"", ////"""),"'","""")&amp;SUBSTITUTE(TEXT(Overig!Y25,""",""?00;"",""?-00;"",""?00;"", //"""),"'","""")&amp;SUBSTITUTE(TEXT(IF(ISTEXT(Overig!Z25),Overig!Z25,10*Overig!Z25),""",""????0;"",""???-0;"",""????0;"", ////"""),"'","""")&amp;SUBSTITUTE(TEXT(Overig!AA25,""",""?00;"",""?-00;"",""?00;"", //"""),"'","""")&amp;SUBSTITUTE(TEXT(Overig!AB25,""",""???0;"",""??-0;"",""???0;"", ///"""),"'","""")&amp;SUBSTITUTE(TEXT(Overig!AC25,""",""?00;"",""?-00;"",""?00;"", //"""),"'","""")&amp;SUBSTITUTE(TEXT(IF(ISTEXT(Overig!AD25),Overig!AD25,10*Overig!AD25),""",""????0;"",""???-0;"",""????0;"", ////"""),"'","""")&amp;SUBSTITUTE(TEXT(Overig!AE25,""",""?00;"",""?-00;"",""?00;"", //"""),"'","""")&amp;SUBSTITUTE(TEXT(IF(ISTEXT(Overig!AF25),Overig!AF25,10*Overig!AF25),""",""????0;"",""???-0;"",""????0;"", ////"""),"'","""")&amp;SUBSTITUTE(TEXT(Overig!AG25,""",""?00;"",""?-00;"",""?00;"", //"""),"'","""")&amp;SUBSTITUTE(TEXT(Overig!AH25,""",""???0;"",""??-0;"",""???0;"", ///"""),"'","""")&amp;SUBSTITUTE(TEXT(Overig!AI25,""",""?00;"",""?-00;"",""?00;"", //"""),"'","""")&amp;SUBSTITUTE(TEXT(Overig!AJ25,""",""??0;"",""?-0;"",""??0;"", //"""),"'","""")&amp;SUBSTITUTE(TEXT(Overig!AK25,""",""?00;"",""?-00;"",""?00;"", //"""),"'","""")&amp;SUBSTITUTE(IF(EXACT(Overig!AL25,"—"),TEXT(Overig!AL25,""",""????0;"",""???-0;"",""????0;"", ////////////,"""),TEXT(Overig!AL25,"\, \'@""',""")&amp;REPT(" ",10-LEN(Overig!AL25))),"'","""")&amp;SUBSTITUTE(TEXT(Overig!AM25,"?00;?-00;?00;"" //"""),"'","""")&amp;SUBSTITUTE(TEXT(Overig!AN25,""",""???0;"",""??-0;"",""???0;"", ///"""),"'","""")&amp;SUBSTITUTE(TEXT(Overig!AO25,""",""?00;"",""?-00;"",""?00;"", //"""),"'","""")</f>
        <v>78989, 19130124, 0800, ////, 07, /////, 07, ////, 07, /////, 07, ////, 07, ////, 07, ////, 07, ////, 07, ///, 07, ///, 07, ////, 07, ////, 07, ///, 07, ////, 07, ////, 07, ///, 07, //, 07, ////////////, 07, ///, 07</v>
      </c>
    </row>
    <row r="26" spans="1:1" x14ac:dyDescent="0.25">
      <c r="A26" s="75" t="str">
        <f ca="1">TEXT(Overig!A26,"000\,")&amp;TEXT(Overig!B26,"?00000000")&amp;TEXT(Overig!C26,""", ""0000")&amp;SUBSTITUTE(TEXT(IF(ISTEXT(Overig!D26),Overig!D26,10*Overig!D26),""",""????0;"",""???-0;"",""????0;"", ////"""),"'","""")&amp;SUBSTITUTE(TEXT(Overig!E26,""",""?00;"",""?-00;"",""?00;"", //"""),"'","""")&amp;SUBSTITUTE(TEXT(IF(ISTEXT(Overig!F26),Overig!F26,100*Overig!F26),""",""?????0;"",""????-0;"",""?????0;"", /////"""),"'","""")&amp;SUBSTITUTE(TEXT(Overig!G26,""",""?00;"",""?-00;"",""?00;"", //"""),"'","""")&amp;SUBSTITUTE(TEXT(IF(ISTEXT(Overig!H26),Overig!H26,100*Overig!H26),""",""????0;"",""???-0;"",""????0;"", ////"""),"'","""")&amp;SUBSTITUTE(TEXT(Overig!I26,""",""?00;"",""?-00;"",""?00;"", //"""),"'","""")&amp;SUBSTITUTE(TEXT(IF(ISTEXT(Overig!J26),Overig!J26,100*Overig!J26),""",""?????0;"",""????-0;"",""?????0;"", /////"""),"'","""")&amp;SUBSTITUTE(TEXT(Overig!K26,""",""?00;"",""?-00;"",""?00;"", //"""),"'","""")&amp;SUBSTITUTE(TEXT(IF(ISTEXT(Overig!L26),Overig!L26,10*Overig!L26),""",""????0;"",""???-0;"",""????0;"", ////"""),"'","""")&amp;SUBSTITUTE(TEXT(Overig!M26,""",""?00;"",""?-00;"",""?00;"", //"""),"'","""")&amp;SUBSTITUTE(TEXT(IF(ISTEXT(Overig!N26),Overig!N26,10*Overig!N26),""",""????0;"",""???-0;"",""????0;"", ////"""),"'","""")&amp;SUBSTITUTE(TEXT(Overig!O26,""",""?00;"",""?-00;"",""?00;"", //"""),"'","""")&amp;SUBSTITUTE(TEXT(IF(ISTEXT(Overig!P26),Overig!P26,10*Overig!P26),""",""????0;"",""???-0;"",""????0;"", ////"""),"'","""")&amp;SUBSTITUTE(TEXT(Overig!Q26,""",""?00;"",""?-00;"",""?00;"", //"""),"'","""")&amp;SUBSTITUTE(TEXT(IF(ISTEXT(Overig!R26),Overig!R26,10*Overig!R26),""",""????0;"",""???-0;"",""????0;"", ////"""),"'","""")&amp;SUBSTITUTE(TEXT(Overig!S26,""",""?00;"",""?-00;"",""?00;"", //"""),"'","""")&amp;SUBSTITUTE(TEXT(Overig!T26,""",""???0;"",""??-0;"",""???0;"", ///"""),"'","""")&amp;SUBSTITUTE(TEXT(Overig!U26,""",""?00;"",""?-00;"",""?00;"", //"""),"'","""")&amp;SUBSTITUTE(TEXT(IF(ISTEXT(Overig!V26),Overig!V26,10*Overig!V26),""",""???0;"",""??-0;"",""???0;"", ///"""),"'","""")&amp;SUBSTITUTE(TEXT(Overig!W26,""",""?00;"",""?-00;"",""?00;"", //"""),"'","""")&amp;SUBSTITUTE(TEXT(IF(ISTEXT(Overig!X26),Overig!X26,10*Overig!X26),""",""????0;"",""???-0;"",""????0;"", ////"""),"'","""")&amp;SUBSTITUTE(TEXT(Overig!Y26,""",""?00;"",""?-00;"",""?00;"", //"""),"'","""")&amp;SUBSTITUTE(TEXT(IF(ISTEXT(Overig!Z26),Overig!Z26,10*Overig!Z26),""",""????0;"",""???-0;"",""????0;"", ////"""),"'","""")&amp;SUBSTITUTE(TEXT(Overig!AA26,""",""?00;"",""?-00;"",""?00;"", //"""),"'","""")&amp;SUBSTITUTE(TEXT(Overig!AB26,""",""???0;"",""??-0;"",""???0;"", ///"""),"'","""")&amp;SUBSTITUTE(TEXT(Overig!AC26,""",""?00;"",""?-00;"",""?00;"", //"""),"'","""")&amp;SUBSTITUTE(TEXT(IF(ISTEXT(Overig!AD26),Overig!AD26,10*Overig!AD26),""",""????0;"",""???-0;"",""????0;"", ////"""),"'","""")&amp;SUBSTITUTE(TEXT(Overig!AE26,""",""?00;"",""?-00;"",""?00;"", //"""),"'","""")&amp;SUBSTITUTE(TEXT(IF(ISTEXT(Overig!AF26),Overig!AF26,10*Overig!AF26),""",""????0;"",""???-0;"",""????0;"", ////"""),"'","""")&amp;SUBSTITUTE(TEXT(Overig!AG26,""",""?00;"",""?-00;"",""?00;"", //"""),"'","""")&amp;SUBSTITUTE(TEXT(Overig!AH26,""",""???0;"",""??-0;"",""???0;"", ///"""),"'","""")&amp;SUBSTITUTE(TEXT(Overig!AI26,""",""?00;"",""?-00;"",""?00;"", //"""),"'","""")&amp;SUBSTITUTE(TEXT(Overig!AJ26,""",""??0;"",""?-0;"",""??0;"", //"""),"'","""")&amp;SUBSTITUTE(TEXT(Overig!AK26,""",""?00;"",""?-00;"",""?00;"", //"""),"'","""")&amp;SUBSTITUTE(IF(EXACT(Overig!AL26,"—"),TEXT(Overig!AL26,""",""????0;"",""???-0;"",""????0;"", ////////////,"""),TEXT(Overig!AL26,"\, \'@""',""")&amp;REPT(" ",10-LEN(Overig!AL26))),"'","""")&amp;SUBSTITUTE(TEXT(Overig!AM26,"?00;?-00;?00;"" //"""),"'","""")&amp;SUBSTITUTE(TEXT(Overig!AN26,""",""???0;"",""??-0;"",""???0;"", ///"""),"'","""")&amp;SUBSTITUTE(TEXT(Overig!AO26,""",""?00;"",""?-00;"",""?00;"", //"""),"'","""")</f>
        <v>78989, 19130125, 0800, ////, 07, /////, 07, ////, 07, /////, 07, ////, 07, ////, 07, ////, 07, ////, 07, ///, 07, ///, 07, ////, 07, ////, 07, ///, 07, ////, 07, ////, 07, ///, 07, //, 07, ////////////, 07, ///, 07</v>
      </c>
    </row>
    <row r="27" spans="1:1" x14ac:dyDescent="0.25">
      <c r="A27" s="75" t="str">
        <f ca="1">TEXT(Overig!A27,"000\,")&amp;TEXT(Overig!B27,"?00000000")&amp;TEXT(Overig!C27,""", ""0000")&amp;SUBSTITUTE(TEXT(IF(ISTEXT(Overig!D27),Overig!D27,10*Overig!D27),""",""????0;"",""???-0;"",""????0;"", ////"""),"'","""")&amp;SUBSTITUTE(TEXT(Overig!E27,""",""?00;"",""?-00;"",""?00;"", //"""),"'","""")&amp;SUBSTITUTE(TEXT(IF(ISTEXT(Overig!F27),Overig!F27,100*Overig!F27),""",""?????0;"",""????-0;"",""?????0;"", /////"""),"'","""")&amp;SUBSTITUTE(TEXT(Overig!G27,""",""?00;"",""?-00;"",""?00;"", //"""),"'","""")&amp;SUBSTITUTE(TEXT(IF(ISTEXT(Overig!H27),Overig!H27,100*Overig!H27),""",""????0;"",""???-0;"",""????0;"", ////"""),"'","""")&amp;SUBSTITUTE(TEXT(Overig!I27,""",""?00;"",""?-00;"",""?00;"", //"""),"'","""")&amp;SUBSTITUTE(TEXT(IF(ISTEXT(Overig!J27),Overig!J27,100*Overig!J27),""",""?????0;"",""????-0;"",""?????0;"", /////"""),"'","""")&amp;SUBSTITUTE(TEXT(Overig!K27,""",""?00;"",""?-00;"",""?00;"", //"""),"'","""")&amp;SUBSTITUTE(TEXT(IF(ISTEXT(Overig!L27),Overig!L27,10*Overig!L27),""",""????0;"",""???-0;"",""????0;"", ////"""),"'","""")&amp;SUBSTITUTE(TEXT(Overig!M27,""",""?00;"",""?-00;"",""?00;"", //"""),"'","""")&amp;SUBSTITUTE(TEXT(IF(ISTEXT(Overig!N27),Overig!N27,10*Overig!N27),""",""????0;"",""???-0;"",""????0;"", ////"""),"'","""")&amp;SUBSTITUTE(TEXT(Overig!O27,""",""?00;"",""?-00;"",""?00;"", //"""),"'","""")&amp;SUBSTITUTE(TEXT(IF(ISTEXT(Overig!P27),Overig!P27,10*Overig!P27),""",""????0;"",""???-0;"",""????0;"", ////"""),"'","""")&amp;SUBSTITUTE(TEXT(Overig!Q27,""",""?00;"",""?-00;"",""?00;"", //"""),"'","""")&amp;SUBSTITUTE(TEXT(IF(ISTEXT(Overig!R27),Overig!R27,10*Overig!R27),""",""????0;"",""???-0;"",""????0;"", ////"""),"'","""")&amp;SUBSTITUTE(TEXT(Overig!S27,""",""?00;"",""?-00;"",""?00;"", //"""),"'","""")&amp;SUBSTITUTE(TEXT(Overig!T27,""",""???0;"",""??-0;"",""???0;"", ///"""),"'","""")&amp;SUBSTITUTE(TEXT(Overig!U27,""",""?00;"",""?-00;"",""?00;"", //"""),"'","""")&amp;SUBSTITUTE(TEXT(IF(ISTEXT(Overig!V27),Overig!V27,10*Overig!V27),""",""???0;"",""??-0;"",""???0;"", ///"""),"'","""")&amp;SUBSTITUTE(TEXT(Overig!W27,""",""?00;"",""?-00;"",""?00;"", //"""),"'","""")&amp;SUBSTITUTE(TEXT(IF(ISTEXT(Overig!X27),Overig!X27,10*Overig!X27),""",""????0;"",""???-0;"",""????0;"", ////"""),"'","""")&amp;SUBSTITUTE(TEXT(Overig!Y27,""",""?00;"",""?-00;"",""?00;"", //"""),"'","""")&amp;SUBSTITUTE(TEXT(IF(ISTEXT(Overig!Z27),Overig!Z27,10*Overig!Z27),""",""????0;"",""???-0;"",""????0;"", ////"""),"'","""")&amp;SUBSTITUTE(TEXT(Overig!AA27,""",""?00;"",""?-00;"",""?00;"", //"""),"'","""")&amp;SUBSTITUTE(TEXT(Overig!AB27,""",""???0;"",""??-0;"",""???0;"", ///"""),"'","""")&amp;SUBSTITUTE(TEXT(Overig!AC27,""",""?00;"",""?-00;"",""?00;"", //"""),"'","""")&amp;SUBSTITUTE(TEXT(IF(ISTEXT(Overig!AD27),Overig!AD27,10*Overig!AD27),""",""????0;"",""???-0;"",""????0;"", ////"""),"'","""")&amp;SUBSTITUTE(TEXT(Overig!AE27,""",""?00;"",""?-00;"",""?00;"", //"""),"'","""")&amp;SUBSTITUTE(TEXT(IF(ISTEXT(Overig!AF27),Overig!AF27,10*Overig!AF27),""",""????0;"",""???-0;"",""????0;"", ////"""),"'","""")&amp;SUBSTITUTE(TEXT(Overig!AG27,""",""?00;"",""?-00;"",""?00;"", //"""),"'","""")&amp;SUBSTITUTE(TEXT(Overig!AH27,""",""???0;"",""??-0;"",""???0;"", ///"""),"'","""")&amp;SUBSTITUTE(TEXT(Overig!AI27,""",""?00;"",""?-00;"",""?00;"", //"""),"'","""")&amp;SUBSTITUTE(TEXT(Overig!AJ27,""",""??0;"",""?-0;"",""??0;"", //"""),"'","""")&amp;SUBSTITUTE(TEXT(Overig!AK27,""",""?00;"",""?-00;"",""?00;"", //"""),"'","""")&amp;SUBSTITUTE(IF(EXACT(Overig!AL27,"—"),TEXT(Overig!AL27,""",""????0;"",""???-0;"",""????0;"", ////////////,"""),TEXT(Overig!AL27,"\, \'@""',""")&amp;REPT(" ",10-LEN(Overig!AL27))),"'","""")&amp;SUBSTITUTE(TEXT(Overig!AM27,"?00;?-00;?00;"" //"""),"'","""")&amp;SUBSTITUTE(TEXT(Overig!AN27,""",""???0;"",""??-0;"",""???0;"", ///"""),"'","""")&amp;SUBSTITUTE(TEXT(Overig!AO27,""",""?00;"",""?-00;"",""?00;"", //"""),"'","""")</f>
        <v>78989, 19130126, 0800, ////, 07, /////, 07, ////, 07, /////, 07, ////, 07, ////, 07, ////, 07, ////, 07, ///, 07, ///, 07, ////, 07, ////, 07, ///, 07, ////, 07, ////, 07, ///, 07, //, 07, ////////////, 07, ///, 07</v>
      </c>
    </row>
    <row r="28" spans="1:1" x14ac:dyDescent="0.25">
      <c r="A28" s="75" t="str">
        <f ca="1">TEXT(Overig!A28,"000\,")&amp;TEXT(Overig!B28,"?00000000")&amp;TEXT(Overig!C28,""", ""0000")&amp;SUBSTITUTE(TEXT(IF(ISTEXT(Overig!D28),Overig!D28,10*Overig!D28),""",""????0;"",""???-0;"",""????0;"", ////"""),"'","""")&amp;SUBSTITUTE(TEXT(Overig!E28,""",""?00;"",""?-00;"",""?00;"", //"""),"'","""")&amp;SUBSTITUTE(TEXT(IF(ISTEXT(Overig!F28),Overig!F28,100*Overig!F28),""",""?????0;"",""????-0;"",""?????0;"", /////"""),"'","""")&amp;SUBSTITUTE(TEXT(Overig!G28,""",""?00;"",""?-00;"",""?00;"", //"""),"'","""")&amp;SUBSTITUTE(TEXT(IF(ISTEXT(Overig!H28),Overig!H28,100*Overig!H28),""",""????0;"",""???-0;"",""????0;"", ////"""),"'","""")&amp;SUBSTITUTE(TEXT(Overig!I28,""",""?00;"",""?-00;"",""?00;"", //"""),"'","""")&amp;SUBSTITUTE(TEXT(IF(ISTEXT(Overig!J28),Overig!J28,100*Overig!J28),""",""?????0;"",""????-0;"",""?????0;"", /////"""),"'","""")&amp;SUBSTITUTE(TEXT(Overig!K28,""",""?00;"",""?-00;"",""?00;"", //"""),"'","""")&amp;SUBSTITUTE(TEXT(IF(ISTEXT(Overig!L28),Overig!L28,10*Overig!L28),""",""????0;"",""???-0;"",""????0;"", ////"""),"'","""")&amp;SUBSTITUTE(TEXT(Overig!M28,""",""?00;"",""?-00;"",""?00;"", //"""),"'","""")&amp;SUBSTITUTE(TEXT(IF(ISTEXT(Overig!N28),Overig!N28,10*Overig!N28),""",""????0;"",""???-0;"",""????0;"", ////"""),"'","""")&amp;SUBSTITUTE(TEXT(Overig!O28,""",""?00;"",""?-00;"",""?00;"", //"""),"'","""")&amp;SUBSTITUTE(TEXT(IF(ISTEXT(Overig!P28),Overig!P28,10*Overig!P28),""",""????0;"",""???-0;"",""????0;"", ////"""),"'","""")&amp;SUBSTITUTE(TEXT(Overig!Q28,""",""?00;"",""?-00;"",""?00;"", //"""),"'","""")&amp;SUBSTITUTE(TEXT(IF(ISTEXT(Overig!R28),Overig!R28,10*Overig!R28),""",""????0;"",""???-0;"",""????0;"", ////"""),"'","""")&amp;SUBSTITUTE(TEXT(Overig!S28,""",""?00;"",""?-00;"",""?00;"", //"""),"'","""")&amp;SUBSTITUTE(TEXT(Overig!T28,""",""???0;"",""??-0;"",""???0;"", ///"""),"'","""")&amp;SUBSTITUTE(TEXT(Overig!U28,""",""?00;"",""?-00;"",""?00;"", //"""),"'","""")&amp;SUBSTITUTE(TEXT(IF(ISTEXT(Overig!V28),Overig!V28,10*Overig!V28),""",""???0;"",""??-0;"",""???0;"", ///"""),"'","""")&amp;SUBSTITUTE(TEXT(Overig!W28,""",""?00;"",""?-00;"",""?00;"", //"""),"'","""")&amp;SUBSTITUTE(TEXT(IF(ISTEXT(Overig!X28),Overig!X28,10*Overig!X28),""",""????0;"",""???-0;"",""????0;"", ////"""),"'","""")&amp;SUBSTITUTE(TEXT(Overig!Y28,""",""?00;"",""?-00;"",""?00;"", //"""),"'","""")&amp;SUBSTITUTE(TEXT(IF(ISTEXT(Overig!Z28),Overig!Z28,10*Overig!Z28),""",""????0;"",""???-0;"",""????0;"", ////"""),"'","""")&amp;SUBSTITUTE(TEXT(Overig!AA28,""",""?00;"",""?-00;"",""?00;"", //"""),"'","""")&amp;SUBSTITUTE(TEXT(Overig!AB28,""",""???0;"",""??-0;"",""???0;"", ///"""),"'","""")&amp;SUBSTITUTE(TEXT(Overig!AC28,""",""?00;"",""?-00;"",""?00;"", //"""),"'","""")&amp;SUBSTITUTE(TEXT(IF(ISTEXT(Overig!AD28),Overig!AD28,10*Overig!AD28),""",""????0;"",""???-0;"",""????0;"", ////"""),"'","""")&amp;SUBSTITUTE(TEXT(Overig!AE28,""",""?00;"",""?-00;"",""?00;"", //"""),"'","""")&amp;SUBSTITUTE(TEXT(IF(ISTEXT(Overig!AF28),Overig!AF28,10*Overig!AF28),""",""????0;"",""???-0;"",""????0;"", ////"""),"'","""")&amp;SUBSTITUTE(TEXT(Overig!AG28,""",""?00;"",""?-00;"",""?00;"", //"""),"'","""")&amp;SUBSTITUTE(TEXT(Overig!AH28,""",""???0;"",""??-0;"",""???0;"", ///"""),"'","""")&amp;SUBSTITUTE(TEXT(Overig!AI28,""",""?00;"",""?-00;"",""?00;"", //"""),"'","""")&amp;SUBSTITUTE(TEXT(Overig!AJ28,""",""??0;"",""?-0;"",""??0;"", //"""),"'","""")&amp;SUBSTITUTE(TEXT(Overig!AK28,""",""?00;"",""?-00;"",""?00;"", //"""),"'","""")&amp;SUBSTITUTE(IF(EXACT(Overig!AL28,"—"),TEXT(Overig!AL28,""",""????0;"",""???-0;"",""????0;"", ////////////,"""),TEXT(Overig!AL28,"\, \'@""',""")&amp;REPT(" ",10-LEN(Overig!AL28))),"'","""")&amp;SUBSTITUTE(TEXT(Overig!AM28,"?00;?-00;?00;"" //"""),"'","""")&amp;SUBSTITUTE(TEXT(Overig!AN28,""",""???0;"",""??-0;"",""???0;"", ///"""),"'","""")&amp;SUBSTITUTE(TEXT(Overig!AO28,""",""?00;"",""?-00;"",""?00;"", //"""),"'","""")</f>
        <v>78989, 19130127, 0800, ////, 07, /////, 07, ////, 07, /////, 07, ////, 07, ////, 07, ////, 07, ////, 07, ///, 07, ///, 07, ////, 07, ////, 07, ///, 07, ////, 07, ////, 07, ///, 07, //, 07, ////////////, 07, ///, 07</v>
      </c>
    </row>
    <row r="29" spans="1:1" x14ac:dyDescent="0.25">
      <c r="A29" s="75" t="str">
        <f ca="1">TEXT(Overig!A29,"000\,")&amp;TEXT(Overig!B29,"?00000000")&amp;TEXT(Overig!C29,""", ""0000")&amp;SUBSTITUTE(TEXT(IF(ISTEXT(Overig!D29),Overig!D29,10*Overig!D29),""",""????0;"",""???-0;"",""????0;"", ////"""),"'","""")&amp;SUBSTITUTE(TEXT(Overig!E29,""",""?00;"",""?-00;"",""?00;"", //"""),"'","""")&amp;SUBSTITUTE(TEXT(IF(ISTEXT(Overig!F29),Overig!F29,100*Overig!F29),""",""?????0;"",""????-0;"",""?????0;"", /////"""),"'","""")&amp;SUBSTITUTE(TEXT(Overig!G29,""",""?00;"",""?-00;"",""?00;"", //"""),"'","""")&amp;SUBSTITUTE(TEXT(IF(ISTEXT(Overig!H29),Overig!H29,100*Overig!H29),""",""????0;"",""???-0;"",""????0;"", ////"""),"'","""")&amp;SUBSTITUTE(TEXT(Overig!I29,""",""?00;"",""?-00;"",""?00;"", //"""),"'","""")&amp;SUBSTITUTE(TEXT(IF(ISTEXT(Overig!J29),Overig!J29,100*Overig!J29),""",""?????0;"",""????-0;"",""?????0;"", /////"""),"'","""")&amp;SUBSTITUTE(TEXT(Overig!K29,""",""?00;"",""?-00;"",""?00;"", //"""),"'","""")&amp;SUBSTITUTE(TEXT(IF(ISTEXT(Overig!L29),Overig!L29,10*Overig!L29),""",""????0;"",""???-0;"",""????0;"", ////"""),"'","""")&amp;SUBSTITUTE(TEXT(Overig!M29,""",""?00;"",""?-00;"",""?00;"", //"""),"'","""")&amp;SUBSTITUTE(TEXT(IF(ISTEXT(Overig!N29),Overig!N29,10*Overig!N29),""",""????0;"",""???-0;"",""????0;"", ////"""),"'","""")&amp;SUBSTITUTE(TEXT(Overig!O29,""",""?00;"",""?-00;"",""?00;"", //"""),"'","""")&amp;SUBSTITUTE(TEXT(IF(ISTEXT(Overig!P29),Overig!P29,10*Overig!P29),""",""????0;"",""???-0;"",""????0;"", ////"""),"'","""")&amp;SUBSTITUTE(TEXT(Overig!Q29,""",""?00;"",""?-00;"",""?00;"", //"""),"'","""")&amp;SUBSTITUTE(TEXT(IF(ISTEXT(Overig!R29),Overig!R29,10*Overig!R29),""",""????0;"",""???-0;"",""????0;"", ////"""),"'","""")&amp;SUBSTITUTE(TEXT(Overig!S29,""",""?00;"",""?-00;"",""?00;"", //"""),"'","""")&amp;SUBSTITUTE(TEXT(Overig!T29,""",""???0;"",""??-0;"",""???0;"", ///"""),"'","""")&amp;SUBSTITUTE(TEXT(Overig!U29,""",""?00;"",""?-00;"",""?00;"", //"""),"'","""")&amp;SUBSTITUTE(TEXT(IF(ISTEXT(Overig!V29),Overig!V29,10*Overig!V29),""",""???0;"",""??-0;"",""???0;"", ///"""),"'","""")&amp;SUBSTITUTE(TEXT(Overig!W29,""",""?00;"",""?-00;"",""?00;"", //"""),"'","""")&amp;SUBSTITUTE(TEXT(IF(ISTEXT(Overig!X29),Overig!X29,10*Overig!X29),""",""????0;"",""???-0;"",""????0;"", ////"""),"'","""")&amp;SUBSTITUTE(TEXT(Overig!Y29,""",""?00;"",""?-00;"",""?00;"", //"""),"'","""")&amp;SUBSTITUTE(TEXT(IF(ISTEXT(Overig!Z29),Overig!Z29,10*Overig!Z29),""",""????0;"",""???-0;"",""????0;"", ////"""),"'","""")&amp;SUBSTITUTE(TEXT(Overig!AA29,""",""?00;"",""?-00;"",""?00;"", //"""),"'","""")&amp;SUBSTITUTE(TEXT(Overig!AB29,""",""???0;"",""??-0;"",""???0;"", ///"""),"'","""")&amp;SUBSTITUTE(TEXT(Overig!AC29,""",""?00;"",""?-00;"",""?00;"", //"""),"'","""")&amp;SUBSTITUTE(TEXT(IF(ISTEXT(Overig!AD29),Overig!AD29,10*Overig!AD29),""",""????0;"",""???-0;"",""????0;"", ////"""),"'","""")&amp;SUBSTITUTE(TEXT(Overig!AE29,""",""?00;"",""?-00;"",""?00;"", //"""),"'","""")&amp;SUBSTITUTE(TEXT(IF(ISTEXT(Overig!AF29),Overig!AF29,10*Overig!AF29),""",""????0;"",""???-0;"",""????0;"", ////"""),"'","""")&amp;SUBSTITUTE(TEXT(Overig!AG29,""",""?00;"",""?-00;"",""?00;"", //"""),"'","""")&amp;SUBSTITUTE(TEXT(Overig!AH29,""",""???0;"",""??-0;"",""???0;"", ///"""),"'","""")&amp;SUBSTITUTE(TEXT(Overig!AI29,""",""?00;"",""?-00;"",""?00;"", //"""),"'","""")&amp;SUBSTITUTE(TEXT(Overig!AJ29,""",""??0;"",""?-0;"",""??0;"", //"""),"'","""")&amp;SUBSTITUTE(TEXT(Overig!AK29,""",""?00;"",""?-00;"",""?00;"", //"""),"'","""")&amp;SUBSTITUTE(IF(EXACT(Overig!AL29,"—"),TEXT(Overig!AL29,""",""????0;"",""???-0;"",""????0;"", ////////////,"""),TEXT(Overig!AL29,"\, \'@""',""")&amp;REPT(" ",10-LEN(Overig!AL29))),"'","""")&amp;SUBSTITUTE(TEXT(Overig!AM29,"?00;?-00;?00;"" //"""),"'","""")&amp;SUBSTITUTE(TEXT(Overig!AN29,""",""???0;"",""??-0;"",""???0;"", ///"""),"'","""")&amp;SUBSTITUTE(TEXT(Overig!AO29,""",""?00;"",""?-00;"",""?00;"", //"""),"'","""")</f>
        <v>78989, 19130128, 0800, ////, 07, /////, 07, ////, 07, /////, 07, ////, 07, ////, 07, ////, 07, ////, 07, ///, 07, ///, 07, ////, 07, ////, 07, ///, 07, ////, 07, ////, 07, ///, 07, //, 07, ////////////, 07, ///, 07</v>
      </c>
    </row>
    <row r="30" spans="1:1" x14ac:dyDescent="0.25">
      <c r="A30" s="75" t="str">
        <f ca="1">TEXT(Overig!A30,"000\,")&amp;TEXT(Overig!B30,"?00000000")&amp;TEXT(Overig!C30,""", ""0000")&amp;SUBSTITUTE(TEXT(IF(ISTEXT(Overig!D30),Overig!D30,10*Overig!D30),""",""????0;"",""???-0;"",""????0;"", ////"""),"'","""")&amp;SUBSTITUTE(TEXT(Overig!E30,""",""?00;"",""?-00;"",""?00;"", //"""),"'","""")&amp;SUBSTITUTE(TEXT(IF(ISTEXT(Overig!F30),Overig!F30,100*Overig!F30),""",""?????0;"",""????-0;"",""?????0;"", /////"""),"'","""")&amp;SUBSTITUTE(TEXT(Overig!G30,""",""?00;"",""?-00;"",""?00;"", //"""),"'","""")&amp;SUBSTITUTE(TEXT(IF(ISTEXT(Overig!H30),Overig!H30,100*Overig!H30),""",""????0;"",""???-0;"",""????0;"", ////"""),"'","""")&amp;SUBSTITUTE(TEXT(Overig!I30,""",""?00;"",""?-00;"",""?00;"", //"""),"'","""")&amp;SUBSTITUTE(TEXT(IF(ISTEXT(Overig!J30),Overig!J30,100*Overig!J30),""",""?????0;"",""????-0;"",""?????0;"", /////"""),"'","""")&amp;SUBSTITUTE(TEXT(Overig!K30,""",""?00;"",""?-00;"",""?00;"", //"""),"'","""")&amp;SUBSTITUTE(TEXT(IF(ISTEXT(Overig!L30),Overig!L30,10*Overig!L30),""",""????0;"",""???-0;"",""????0;"", ////"""),"'","""")&amp;SUBSTITUTE(TEXT(Overig!M30,""",""?00;"",""?-00;"",""?00;"", //"""),"'","""")&amp;SUBSTITUTE(TEXT(IF(ISTEXT(Overig!N30),Overig!N30,10*Overig!N30),""",""????0;"",""???-0;"",""????0;"", ////"""),"'","""")&amp;SUBSTITUTE(TEXT(Overig!O30,""",""?00;"",""?-00;"",""?00;"", //"""),"'","""")&amp;SUBSTITUTE(TEXT(IF(ISTEXT(Overig!P30),Overig!P30,10*Overig!P30),""",""????0;"",""???-0;"",""????0;"", ////"""),"'","""")&amp;SUBSTITUTE(TEXT(Overig!Q30,""",""?00;"",""?-00;"",""?00;"", //"""),"'","""")&amp;SUBSTITUTE(TEXT(IF(ISTEXT(Overig!R30),Overig!R30,10*Overig!R30),""",""????0;"",""???-0;"",""????0;"", ////"""),"'","""")&amp;SUBSTITUTE(TEXT(Overig!S30,""",""?00;"",""?-00;"",""?00;"", //"""),"'","""")&amp;SUBSTITUTE(TEXT(Overig!T30,""",""???0;"",""??-0;"",""???0;"", ///"""),"'","""")&amp;SUBSTITUTE(TEXT(Overig!U30,""",""?00;"",""?-00;"",""?00;"", //"""),"'","""")&amp;SUBSTITUTE(TEXT(IF(ISTEXT(Overig!V30),Overig!V30,10*Overig!V30),""",""???0;"",""??-0;"",""???0;"", ///"""),"'","""")&amp;SUBSTITUTE(TEXT(Overig!W30,""",""?00;"",""?-00;"",""?00;"", //"""),"'","""")&amp;SUBSTITUTE(TEXT(IF(ISTEXT(Overig!X30),Overig!X30,10*Overig!X30),""",""????0;"",""???-0;"",""????0;"", ////"""),"'","""")&amp;SUBSTITUTE(TEXT(Overig!Y30,""",""?00;"",""?-00;"",""?00;"", //"""),"'","""")&amp;SUBSTITUTE(TEXT(IF(ISTEXT(Overig!Z30),Overig!Z30,10*Overig!Z30),""",""????0;"",""???-0;"",""????0;"", ////"""),"'","""")&amp;SUBSTITUTE(TEXT(Overig!AA30,""",""?00;"",""?-00;"",""?00;"", //"""),"'","""")&amp;SUBSTITUTE(TEXT(Overig!AB30,""",""???0;"",""??-0;"",""???0;"", ///"""),"'","""")&amp;SUBSTITUTE(TEXT(Overig!AC30,""",""?00;"",""?-00;"",""?00;"", //"""),"'","""")&amp;SUBSTITUTE(TEXT(IF(ISTEXT(Overig!AD30),Overig!AD30,10*Overig!AD30),""",""????0;"",""???-0;"",""????0;"", ////"""),"'","""")&amp;SUBSTITUTE(TEXT(Overig!AE30,""",""?00;"",""?-00;"",""?00;"", //"""),"'","""")&amp;SUBSTITUTE(TEXT(IF(ISTEXT(Overig!AF30),Overig!AF30,10*Overig!AF30),""",""????0;"",""???-0;"",""????0;"", ////"""),"'","""")&amp;SUBSTITUTE(TEXT(Overig!AG30,""",""?00;"",""?-00;"",""?00;"", //"""),"'","""")&amp;SUBSTITUTE(TEXT(Overig!AH30,""",""???0;"",""??-0;"",""???0;"", ///"""),"'","""")&amp;SUBSTITUTE(TEXT(Overig!AI30,""",""?00;"",""?-00;"",""?00;"", //"""),"'","""")&amp;SUBSTITUTE(TEXT(Overig!AJ30,""",""??0;"",""?-0;"",""??0;"", //"""),"'","""")&amp;SUBSTITUTE(TEXT(Overig!AK30,""",""?00;"",""?-00;"",""?00;"", //"""),"'","""")&amp;SUBSTITUTE(IF(EXACT(Overig!AL30,"—"),TEXT(Overig!AL30,""",""????0;"",""???-0;"",""????0;"", ////////////,"""),TEXT(Overig!AL30,"\, \'@""',""")&amp;REPT(" ",10-LEN(Overig!AL30))),"'","""")&amp;SUBSTITUTE(TEXT(Overig!AM30,"?00;?-00;?00;"" //"""),"'","""")&amp;SUBSTITUTE(TEXT(Overig!AN30,""",""???0;"",""??-0;"",""???0;"", ///"""),"'","""")&amp;SUBSTITUTE(TEXT(Overig!AO30,""",""?00;"",""?-00;"",""?00;"", //"""),"'","""")</f>
        <v>78989, 19130129, 0800, ////, 07, /////, 07, ////, 07, /////, 07, ////, 07, ////, 07, ////, 07, ////, 07, ///, 07, ///, 07, ////, 07, ////, 07, ///, 07, ////, 07, ////, 07, ///, 07, //, 07, ////////////, 07, ///, 07</v>
      </c>
    </row>
    <row r="31" spans="1:1" x14ac:dyDescent="0.25">
      <c r="A31" s="75" t="str">
        <f ca="1">TEXT(Overig!A31,"000\,")&amp;TEXT(Overig!B31,"?00000000")&amp;TEXT(Overig!C31,""", ""0000")&amp;SUBSTITUTE(TEXT(IF(ISTEXT(Overig!D31),Overig!D31,10*Overig!D31),""",""????0;"",""???-0;"",""????0;"", ////"""),"'","""")&amp;SUBSTITUTE(TEXT(Overig!E31,""",""?00;"",""?-00;"",""?00;"", //"""),"'","""")&amp;SUBSTITUTE(TEXT(IF(ISTEXT(Overig!F31),Overig!F31,100*Overig!F31),""",""?????0;"",""????-0;"",""?????0;"", /////"""),"'","""")&amp;SUBSTITUTE(TEXT(Overig!G31,""",""?00;"",""?-00;"",""?00;"", //"""),"'","""")&amp;SUBSTITUTE(TEXT(IF(ISTEXT(Overig!H31),Overig!H31,100*Overig!H31),""",""????0;"",""???-0;"",""????0;"", ////"""),"'","""")&amp;SUBSTITUTE(TEXT(Overig!I31,""",""?00;"",""?-00;"",""?00;"", //"""),"'","""")&amp;SUBSTITUTE(TEXT(IF(ISTEXT(Overig!J31),Overig!J31,100*Overig!J31),""",""?????0;"",""????-0;"",""?????0;"", /////"""),"'","""")&amp;SUBSTITUTE(TEXT(Overig!K31,""",""?00;"",""?-00;"",""?00;"", //"""),"'","""")&amp;SUBSTITUTE(TEXT(IF(ISTEXT(Overig!L31),Overig!L31,10*Overig!L31),""",""????0;"",""???-0;"",""????0;"", ////"""),"'","""")&amp;SUBSTITUTE(TEXT(Overig!M31,""",""?00;"",""?-00;"",""?00;"", //"""),"'","""")&amp;SUBSTITUTE(TEXT(IF(ISTEXT(Overig!N31),Overig!N31,10*Overig!N31),""",""????0;"",""???-0;"",""????0;"", ////"""),"'","""")&amp;SUBSTITUTE(TEXT(Overig!O31,""",""?00;"",""?-00;"",""?00;"", //"""),"'","""")&amp;SUBSTITUTE(TEXT(IF(ISTEXT(Overig!P31),Overig!P31,10*Overig!P31),""",""????0;"",""???-0;"",""????0;"", ////"""),"'","""")&amp;SUBSTITUTE(TEXT(Overig!Q31,""",""?00;"",""?-00;"",""?00;"", //"""),"'","""")&amp;SUBSTITUTE(TEXT(IF(ISTEXT(Overig!R31),Overig!R31,10*Overig!R31),""",""????0;"",""???-0;"",""????0;"", ////"""),"'","""")&amp;SUBSTITUTE(TEXT(Overig!S31,""",""?00;"",""?-00;"",""?00;"", //"""),"'","""")&amp;SUBSTITUTE(TEXT(Overig!T31,""",""???0;"",""??-0;"",""???0;"", ///"""),"'","""")&amp;SUBSTITUTE(TEXT(Overig!U31,""",""?00;"",""?-00;"",""?00;"", //"""),"'","""")&amp;SUBSTITUTE(TEXT(IF(ISTEXT(Overig!V31),Overig!V31,10*Overig!V31),""",""???0;"",""??-0;"",""???0;"", ///"""),"'","""")&amp;SUBSTITUTE(TEXT(Overig!W31,""",""?00;"",""?-00;"",""?00;"", //"""),"'","""")&amp;SUBSTITUTE(TEXT(IF(ISTEXT(Overig!X31),Overig!X31,10*Overig!X31),""",""????0;"",""???-0;"",""????0;"", ////"""),"'","""")&amp;SUBSTITUTE(TEXT(Overig!Y31,""",""?00;"",""?-00;"",""?00;"", //"""),"'","""")&amp;SUBSTITUTE(TEXT(IF(ISTEXT(Overig!Z31),Overig!Z31,10*Overig!Z31),""",""????0;"",""???-0;"",""????0;"", ////"""),"'","""")&amp;SUBSTITUTE(TEXT(Overig!AA31,""",""?00;"",""?-00;"",""?00;"", //"""),"'","""")&amp;SUBSTITUTE(TEXT(Overig!AB31,""",""???0;"",""??-0;"",""???0;"", ///"""),"'","""")&amp;SUBSTITUTE(TEXT(Overig!AC31,""",""?00;"",""?-00;"",""?00;"", //"""),"'","""")&amp;SUBSTITUTE(TEXT(IF(ISTEXT(Overig!AD31),Overig!AD31,10*Overig!AD31),""",""????0;"",""???-0;"",""????0;"", ////"""),"'","""")&amp;SUBSTITUTE(TEXT(Overig!AE31,""",""?00;"",""?-00;"",""?00;"", //"""),"'","""")&amp;SUBSTITUTE(TEXT(IF(ISTEXT(Overig!AF31),Overig!AF31,10*Overig!AF31),""",""????0;"",""???-0;"",""????0;"", ////"""),"'","""")&amp;SUBSTITUTE(TEXT(Overig!AG31,""",""?00;"",""?-00;"",""?00;"", //"""),"'","""")&amp;SUBSTITUTE(TEXT(Overig!AH31,""",""???0;"",""??-0;"",""???0;"", ///"""),"'","""")&amp;SUBSTITUTE(TEXT(Overig!AI31,""",""?00;"",""?-00;"",""?00;"", //"""),"'","""")&amp;SUBSTITUTE(TEXT(Overig!AJ31,""",""??0;"",""?-0;"",""??0;"", //"""),"'","""")&amp;SUBSTITUTE(TEXT(Overig!AK31,""",""?00;"",""?-00;"",""?00;"", //"""),"'","""")&amp;SUBSTITUTE(IF(EXACT(Overig!AL31,"—"),TEXT(Overig!AL31,""",""????0;"",""???-0;"",""????0;"", ////////////,"""),TEXT(Overig!AL31,"\, \'@""',""")&amp;REPT(" ",10-LEN(Overig!AL31))),"'","""")&amp;SUBSTITUTE(TEXT(Overig!AM31,"?00;?-00;?00;"" //"""),"'","""")&amp;SUBSTITUTE(TEXT(Overig!AN31,""",""???0;"",""??-0;"",""???0;"", ///"""),"'","""")&amp;SUBSTITUTE(TEXT(Overig!AO31,""",""?00;"",""?-00;"",""?00;"", //"""),"'","""")</f>
        <v>78989, 19130130, 0800, ////, 07, /////, 07, ////, 07, /////, 07, ////, 07, ////, 07, ////, 07, ////, 07, ///, 07, ///, 07, ////, 07, ////, 07, ///, 07, ////, 07, ////, 07, ///, 07, //, 07, ////////////, 07, ///, 07</v>
      </c>
    </row>
    <row r="32" spans="1:1" x14ac:dyDescent="0.25">
      <c r="A32" s="75" t="str">
        <f ca="1">TEXT(Overig!A32,"000\,")&amp;TEXT(Overig!B32,"?00000000")&amp;TEXT(Overig!C32,""", ""0000")&amp;SUBSTITUTE(TEXT(IF(ISTEXT(Overig!D32),Overig!D32,10*Overig!D32),""",""????0;"",""???-0;"",""????0;"", ////"""),"'","""")&amp;SUBSTITUTE(TEXT(Overig!E32,""",""?00;"",""?-00;"",""?00;"", //"""),"'","""")&amp;SUBSTITUTE(TEXT(IF(ISTEXT(Overig!F32),Overig!F32,100*Overig!F32),""",""?????0;"",""????-0;"",""?????0;"", /////"""),"'","""")&amp;SUBSTITUTE(TEXT(Overig!G32,""",""?00;"",""?-00;"",""?00;"", //"""),"'","""")&amp;SUBSTITUTE(TEXT(IF(ISTEXT(Overig!H32),Overig!H32,100*Overig!H32),""",""????0;"",""???-0;"",""????0;"", ////"""),"'","""")&amp;SUBSTITUTE(TEXT(Overig!I32,""",""?00;"",""?-00;"",""?00;"", //"""),"'","""")&amp;SUBSTITUTE(TEXT(IF(ISTEXT(Overig!J32),Overig!J32,100*Overig!J32),""",""?????0;"",""????-0;"",""?????0;"", /////"""),"'","""")&amp;SUBSTITUTE(TEXT(Overig!K32,""",""?00;"",""?-00;"",""?00;"", //"""),"'","""")&amp;SUBSTITUTE(TEXT(IF(ISTEXT(Overig!L32),Overig!L32,10*Overig!L32),""",""????0;"",""???-0;"",""????0;"", ////"""),"'","""")&amp;SUBSTITUTE(TEXT(Overig!M32,""",""?00;"",""?-00;"",""?00;"", //"""),"'","""")&amp;SUBSTITUTE(TEXT(IF(ISTEXT(Overig!N32),Overig!N32,10*Overig!N32),""",""????0;"",""???-0;"",""????0;"", ////"""),"'","""")&amp;SUBSTITUTE(TEXT(Overig!O32,""",""?00;"",""?-00;"",""?00;"", //"""),"'","""")&amp;SUBSTITUTE(TEXT(IF(ISTEXT(Overig!P32),Overig!P32,10*Overig!P32),""",""????0;"",""???-0;"",""????0;"", ////"""),"'","""")&amp;SUBSTITUTE(TEXT(Overig!Q32,""",""?00;"",""?-00;"",""?00;"", //"""),"'","""")&amp;SUBSTITUTE(TEXT(IF(ISTEXT(Overig!R32),Overig!R32,10*Overig!R32),""",""????0;"",""???-0;"",""????0;"", ////"""),"'","""")&amp;SUBSTITUTE(TEXT(Overig!S32,""",""?00;"",""?-00;"",""?00;"", //"""),"'","""")&amp;SUBSTITUTE(TEXT(Overig!T32,""",""???0;"",""??-0;"",""???0;"", ///"""),"'","""")&amp;SUBSTITUTE(TEXT(Overig!U32,""",""?00;"",""?-00;"",""?00;"", //"""),"'","""")&amp;SUBSTITUTE(TEXT(IF(ISTEXT(Overig!V32),Overig!V32,10*Overig!V32),""",""???0;"",""??-0;"",""???0;"", ///"""),"'","""")&amp;SUBSTITUTE(TEXT(Overig!W32,""",""?00;"",""?-00;"",""?00;"", //"""),"'","""")&amp;SUBSTITUTE(TEXT(IF(ISTEXT(Overig!X32),Overig!X32,10*Overig!X32),""",""????0;"",""???-0;"",""????0;"", ////"""),"'","""")&amp;SUBSTITUTE(TEXT(Overig!Y32,""",""?00;"",""?-00;"",""?00;"", //"""),"'","""")&amp;SUBSTITUTE(TEXT(IF(ISTEXT(Overig!Z32),Overig!Z32,10*Overig!Z32),""",""????0;"",""???-0;"",""????0;"", ////"""),"'","""")&amp;SUBSTITUTE(TEXT(Overig!AA32,""",""?00;"",""?-00;"",""?00;"", //"""),"'","""")&amp;SUBSTITUTE(TEXT(Overig!AB32,""",""???0;"",""??-0;"",""???0;"", ///"""),"'","""")&amp;SUBSTITUTE(TEXT(Overig!AC32,""",""?00;"",""?-00;"",""?00;"", //"""),"'","""")&amp;SUBSTITUTE(TEXT(IF(ISTEXT(Overig!AD32),Overig!AD32,10*Overig!AD32),""",""????0;"",""???-0;"",""????0;"", ////"""),"'","""")&amp;SUBSTITUTE(TEXT(Overig!AE32,""",""?00;"",""?-00;"",""?00;"", //"""),"'","""")&amp;SUBSTITUTE(TEXT(IF(ISTEXT(Overig!AF32),Overig!AF32,10*Overig!AF32),""",""????0;"",""???-0;"",""????0;"", ////"""),"'","""")&amp;SUBSTITUTE(TEXT(Overig!AG32,""",""?00;"",""?-00;"",""?00;"", //"""),"'","""")&amp;SUBSTITUTE(TEXT(Overig!AH32,""",""???0;"",""??-0;"",""???0;"", ///"""),"'","""")&amp;SUBSTITUTE(TEXT(Overig!AI32,""",""?00;"",""?-00;"",""?00;"", //"""),"'","""")&amp;SUBSTITUTE(TEXT(Overig!AJ32,""",""??0;"",""?-0;"",""??0;"", //"""),"'","""")&amp;SUBSTITUTE(TEXT(Overig!AK32,""",""?00;"",""?-00;"",""?00;"", //"""),"'","""")&amp;SUBSTITUTE(IF(EXACT(Overig!AL32,"—"),TEXT(Overig!AL32,""",""????0;"",""???-0;"",""????0;"", ////////////,"""),TEXT(Overig!AL32,"\, \'@""',""")&amp;REPT(" ",10-LEN(Overig!AL32))),"'","""")&amp;SUBSTITUTE(TEXT(Overig!AM32,"?00;?-00;?00;"" //"""),"'","""")&amp;SUBSTITUTE(TEXT(Overig!AN32,""",""???0;"",""??-0;"",""???0;"", ///"""),"'","""")&amp;SUBSTITUTE(TEXT(Overig!AO32,""",""?00;"",""?-00;"",""?00;"", //"""),"'","""")</f>
        <v>78989, 19130131, 0800, ////, 07, /////, 07, ////, 07, /////, 07, ////, 07, ////, 07, ////, 07, ////, 07, ///, 07, ///, 07, ////, 07, ////, 07, ///, 07, ////, 07, ////, 07, ///, 07, //, 07, ////////////, 07, ///, 07</v>
      </c>
    </row>
    <row r="33" spans="1:1" x14ac:dyDescent="0.25">
      <c r="A33" s="75" t="str">
        <f ca="1">TEXT(Overig!A33,"000\,")&amp;TEXT(Overig!B33,"?00000000")&amp;TEXT(Overig!C33,""", ""0000")&amp;SUBSTITUTE(TEXT(IF(ISTEXT(Overig!D33),Overig!D33,10*Overig!D33),""",""????0;"",""???-0;"",""????0;"", ////"""),"'","""")&amp;SUBSTITUTE(TEXT(Overig!E33,""",""?00;"",""?-00;"",""?00;"", //"""),"'","""")&amp;SUBSTITUTE(TEXT(IF(ISTEXT(Overig!F33),Overig!F33,100*Overig!F33),""",""?????0;"",""????-0;"",""?????0;"", /////"""),"'","""")&amp;SUBSTITUTE(TEXT(Overig!G33,""",""?00;"",""?-00;"",""?00;"", //"""),"'","""")&amp;SUBSTITUTE(TEXT(IF(ISTEXT(Overig!H33),Overig!H33,100*Overig!H33),""",""????0;"",""???-0;"",""????0;"", ////"""),"'","""")&amp;SUBSTITUTE(TEXT(Overig!I33,""",""?00;"",""?-00;"",""?00;"", //"""),"'","""")&amp;SUBSTITUTE(TEXT(IF(ISTEXT(Overig!J33),Overig!J33,100*Overig!J33),""",""?????0;"",""????-0;"",""?????0;"", /////"""),"'","""")&amp;SUBSTITUTE(TEXT(Overig!K33,""",""?00;"",""?-00;"",""?00;"", //"""),"'","""")&amp;SUBSTITUTE(TEXT(IF(ISTEXT(Overig!L33),Overig!L33,10*Overig!L33),""",""????0;"",""???-0;"",""????0;"", ////"""),"'","""")&amp;SUBSTITUTE(TEXT(Overig!M33,""",""?00;"",""?-00;"",""?00;"", //"""),"'","""")&amp;SUBSTITUTE(TEXT(IF(ISTEXT(Overig!N33),Overig!N33,10*Overig!N33),""",""????0;"",""???-0;"",""????0;"", ////"""),"'","""")&amp;SUBSTITUTE(TEXT(Overig!O33,""",""?00;"",""?-00;"",""?00;"", //"""),"'","""")&amp;SUBSTITUTE(TEXT(IF(ISTEXT(Overig!P33),Overig!P33,10*Overig!P33),""",""????0;"",""???-0;"",""????0;"", ////"""),"'","""")&amp;SUBSTITUTE(TEXT(Overig!Q33,""",""?00;"",""?-00;"",""?00;"", //"""),"'","""")&amp;SUBSTITUTE(TEXT(IF(ISTEXT(Overig!R33),Overig!R33,10*Overig!R33),""",""????0;"",""???-0;"",""????0;"", ////"""),"'","""")&amp;SUBSTITUTE(TEXT(Overig!S33,""",""?00;"",""?-00;"",""?00;"", //"""),"'","""")&amp;SUBSTITUTE(TEXT(Overig!T33,""",""???0;"",""??-0;"",""???0;"", ///"""),"'","""")&amp;SUBSTITUTE(TEXT(Overig!U33,""",""?00;"",""?-00;"",""?00;"", //"""),"'","""")&amp;SUBSTITUTE(TEXT(IF(ISTEXT(Overig!V33),Overig!V33,10*Overig!V33),""",""???0;"",""??-0;"",""???0;"", ///"""),"'","""")&amp;SUBSTITUTE(TEXT(Overig!W33,""",""?00;"",""?-00;"",""?00;"", //"""),"'","""")&amp;SUBSTITUTE(TEXT(IF(ISTEXT(Overig!X33),Overig!X33,10*Overig!X33),""",""????0;"",""???-0;"",""????0;"", ////"""),"'","""")&amp;SUBSTITUTE(TEXT(Overig!Y33,""",""?00;"",""?-00;"",""?00;"", //"""),"'","""")&amp;SUBSTITUTE(TEXT(IF(ISTEXT(Overig!Z33),Overig!Z33,10*Overig!Z33),""",""????0;"",""???-0;"",""????0;"", ////"""),"'","""")&amp;SUBSTITUTE(TEXT(Overig!AA33,""",""?00;"",""?-00;"",""?00;"", //"""),"'","""")&amp;SUBSTITUTE(TEXT(Overig!AB33,""",""???0;"",""??-0;"",""???0;"", ///"""),"'","""")&amp;SUBSTITUTE(TEXT(Overig!AC33,""",""?00;"",""?-00;"",""?00;"", //"""),"'","""")&amp;SUBSTITUTE(TEXT(IF(ISTEXT(Overig!AD33),Overig!AD33,10*Overig!AD33),""",""????0;"",""???-0;"",""????0;"", ////"""),"'","""")&amp;SUBSTITUTE(TEXT(Overig!AE33,""",""?00;"",""?-00;"",""?00;"", //"""),"'","""")&amp;SUBSTITUTE(TEXT(IF(ISTEXT(Overig!AF33),Overig!AF33,10*Overig!AF33),""",""????0;"",""???-0;"",""????0;"", ////"""),"'","""")&amp;SUBSTITUTE(TEXT(Overig!AG33,""",""?00;"",""?-00;"",""?00;"", //"""),"'","""")&amp;SUBSTITUTE(TEXT(Overig!AH33,""",""???0;"",""??-0;"",""???0;"", ///"""),"'","""")&amp;SUBSTITUTE(TEXT(Overig!AI33,""",""?00;"",""?-00;"",""?00;"", //"""),"'","""")&amp;SUBSTITUTE(TEXT(Overig!AJ33,""",""??0;"",""?-0;"",""??0;"", //"""),"'","""")&amp;SUBSTITUTE(TEXT(Overig!AK33,""",""?00;"",""?-00;"",""?00;"", //"""),"'","""")&amp;SUBSTITUTE(IF(EXACT(Overig!AL33,"—"),TEXT(Overig!AL33,""",""????0;"",""???-0;"",""????0;"", ////////////,"""),TEXT(Overig!AL33,"\, \'@""',""")&amp;REPT(" ",10-LEN(Overig!AL33))),"'","""")&amp;SUBSTITUTE(TEXT(Overig!AM33,"?00;?-00;?00;"" //"""),"'","""")&amp;SUBSTITUTE(TEXT(Overig!AN33,""",""???0;"",""??-0;"",""???0;"", ///"""),"'","""")&amp;SUBSTITUTE(TEXT(Overig!AO33,""",""?00;"",""?-00;"",""?00;"", //"""),"'","""")</f>
        <v>78989, 19130201, 0800, ////, 07, /////, 07, ////, 07, /////, 07, ////, 07, ////, 07, ////, 07, ////, 07, ///, 07, ///, 07, ////, 07, ////, 07, ///, 07, ////, 07, ////, 07, ///, 07, //, 07, ////////////, 07, ///, 07</v>
      </c>
    </row>
    <row r="34" spans="1:1" x14ac:dyDescent="0.25">
      <c r="A34" s="75" t="str">
        <f ca="1">TEXT(Overig!A34,"000\,")&amp;TEXT(Overig!B34,"?00000000")&amp;TEXT(Overig!C34,""", ""0000")&amp;SUBSTITUTE(TEXT(IF(ISTEXT(Overig!D34),Overig!D34,10*Overig!D34),""",""????0;"",""???-0;"",""????0;"", ////"""),"'","""")&amp;SUBSTITUTE(TEXT(Overig!E34,""",""?00;"",""?-00;"",""?00;"", //"""),"'","""")&amp;SUBSTITUTE(TEXT(IF(ISTEXT(Overig!F34),Overig!F34,100*Overig!F34),""",""?????0;"",""????-0;"",""?????0;"", /////"""),"'","""")&amp;SUBSTITUTE(TEXT(Overig!G34,""",""?00;"",""?-00;"",""?00;"", //"""),"'","""")&amp;SUBSTITUTE(TEXT(IF(ISTEXT(Overig!H34),Overig!H34,100*Overig!H34),""",""????0;"",""???-0;"",""????0;"", ////"""),"'","""")&amp;SUBSTITUTE(TEXT(Overig!I34,""",""?00;"",""?-00;"",""?00;"", //"""),"'","""")&amp;SUBSTITUTE(TEXT(IF(ISTEXT(Overig!J34),Overig!J34,100*Overig!J34),""",""?????0;"",""????-0;"",""?????0;"", /////"""),"'","""")&amp;SUBSTITUTE(TEXT(Overig!K34,""",""?00;"",""?-00;"",""?00;"", //"""),"'","""")&amp;SUBSTITUTE(TEXT(IF(ISTEXT(Overig!L34),Overig!L34,10*Overig!L34),""",""????0;"",""???-0;"",""????0;"", ////"""),"'","""")&amp;SUBSTITUTE(TEXT(Overig!M34,""",""?00;"",""?-00;"",""?00;"", //"""),"'","""")&amp;SUBSTITUTE(TEXT(IF(ISTEXT(Overig!N34),Overig!N34,10*Overig!N34),""",""????0;"",""???-0;"",""????0;"", ////"""),"'","""")&amp;SUBSTITUTE(TEXT(Overig!O34,""",""?00;"",""?-00;"",""?00;"", //"""),"'","""")&amp;SUBSTITUTE(TEXT(IF(ISTEXT(Overig!P34),Overig!P34,10*Overig!P34),""",""????0;"",""???-0;"",""????0;"", ////"""),"'","""")&amp;SUBSTITUTE(TEXT(Overig!Q34,""",""?00;"",""?-00;"",""?00;"", //"""),"'","""")&amp;SUBSTITUTE(TEXT(IF(ISTEXT(Overig!R34),Overig!R34,10*Overig!R34),""",""????0;"",""???-0;"",""????0;"", ////"""),"'","""")&amp;SUBSTITUTE(TEXT(Overig!S34,""",""?00;"",""?-00;"",""?00;"", //"""),"'","""")&amp;SUBSTITUTE(TEXT(Overig!T34,""",""???0;"",""??-0;"",""???0;"", ///"""),"'","""")&amp;SUBSTITUTE(TEXT(Overig!U34,""",""?00;"",""?-00;"",""?00;"", //"""),"'","""")&amp;SUBSTITUTE(TEXT(IF(ISTEXT(Overig!V34),Overig!V34,10*Overig!V34),""",""???0;"",""??-0;"",""???0;"", ///"""),"'","""")&amp;SUBSTITUTE(TEXT(Overig!W34,""",""?00;"",""?-00;"",""?00;"", //"""),"'","""")&amp;SUBSTITUTE(TEXT(IF(ISTEXT(Overig!X34),Overig!X34,10*Overig!X34),""",""????0;"",""???-0;"",""????0;"", ////"""),"'","""")&amp;SUBSTITUTE(TEXT(Overig!Y34,""",""?00;"",""?-00;"",""?00;"", //"""),"'","""")&amp;SUBSTITUTE(TEXT(IF(ISTEXT(Overig!Z34),Overig!Z34,10*Overig!Z34),""",""????0;"",""???-0;"",""????0;"", ////"""),"'","""")&amp;SUBSTITUTE(TEXT(Overig!AA34,""",""?00;"",""?-00;"",""?00;"", //"""),"'","""")&amp;SUBSTITUTE(TEXT(Overig!AB34,""",""???0;"",""??-0;"",""???0;"", ///"""),"'","""")&amp;SUBSTITUTE(TEXT(Overig!AC34,""",""?00;"",""?-00;"",""?00;"", //"""),"'","""")&amp;SUBSTITUTE(TEXT(IF(ISTEXT(Overig!AD34),Overig!AD34,10*Overig!AD34),""",""????0;"",""???-0;"",""????0;"", ////"""),"'","""")&amp;SUBSTITUTE(TEXT(Overig!AE34,""",""?00;"",""?-00;"",""?00;"", //"""),"'","""")&amp;SUBSTITUTE(TEXT(IF(ISTEXT(Overig!AF34),Overig!AF34,10*Overig!AF34),""",""????0;"",""???-0;"",""????0;"", ////"""),"'","""")&amp;SUBSTITUTE(TEXT(Overig!AG34,""",""?00;"",""?-00;"",""?00;"", //"""),"'","""")&amp;SUBSTITUTE(TEXT(Overig!AH34,""",""???0;"",""??-0;"",""???0;"", ///"""),"'","""")&amp;SUBSTITUTE(TEXT(Overig!AI34,""",""?00;"",""?-00;"",""?00;"", //"""),"'","""")&amp;SUBSTITUTE(TEXT(Overig!AJ34,""",""??0;"",""?-0;"",""??0;"", //"""),"'","""")&amp;SUBSTITUTE(TEXT(Overig!AK34,""",""?00;"",""?-00;"",""?00;"", //"""),"'","""")&amp;SUBSTITUTE(IF(EXACT(Overig!AL34,"—"),TEXT(Overig!AL34,""",""????0;"",""???-0;"",""????0;"", ////////////,"""),TEXT(Overig!AL34,"\, \'@""',""")&amp;REPT(" ",10-LEN(Overig!AL34))),"'","""")&amp;SUBSTITUTE(TEXT(Overig!AM34,"?00;?-00;?00;"" //"""),"'","""")&amp;SUBSTITUTE(TEXT(Overig!AN34,""",""???0;"",""??-0;"",""???0;"", ///"""),"'","""")&amp;SUBSTITUTE(TEXT(Overig!AO34,""",""?00;"",""?-00;"",""?00;"", //"""),"'","""")</f>
        <v>78989, 19130202, 0800, ////, 07, /////, 07, ////, 07, /////, 07, ////, 07, ////, 07, ////, 07, ////, 07, ///, 07, ///, 07, ////, 07, ////, 07, ///, 07, ////, 07, ////, 07, ///, 07, //, 07, ////////////, 07, ///, 07</v>
      </c>
    </row>
    <row r="35" spans="1:1" x14ac:dyDescent="0.25">
      <c r="A35" s="75" t="str">
        <f ca="1">TEXT(Overig!A35,"000\,")&amp;TEXT(Overig!B35,"?00000000")&amp;TEXT(Overig!C35,""", ""0000")&amp;SUBSTITUTE(TEXT(IF(ISTEXT(Overig!D35),Overig!D35,10*Overig!D35),""",""????0;"",""???-0;"",""????0;"", ////"""),"'","""")&amp;SUBSTITUTE(TEXT(Overig!E35,""",""?00;"",""?-00;"",""?00;"", //"""),"'","""")&amp;SUBSTITUTE(TEXT(IF(ISTEXT(Overig!F35),Overig!F35,100*Overig!F35),""",""?????0;"",""????-0;"",""?????0;"", /////"""),"'","""")&amp;SUBSTITUTE(TEXT(Overig!G35,""",""?00;"",""?-00;"",""?00;"", //"""),"'","""")&amp;SUBSTITUTE(TEXT(IF(ISTEXT(Overig!H35),Overig!H35,100*Overig!H35),""",""????0;"",""???-0;"",""????0;"", ////"""),"'","""")&amp;SUBSTITUTE(TEXT(Overig!I35,""",""?00;"",""?-00;"",""?00;"", //"""),"'","""")&amp;SUBSTITUTE(TEXT(IF(ISTEXT(Overig!J35),Overig!J35,100*Overig!J35),""",""?????0;"",""????-0;"",""?????0;"", /////"""),"'","""")&amp;SUBSTITUTE(TEXT(Overig!K35,""",""?00;"",""?-00;"",""?00;"", //"""),"'","""")&amp;SUBSTITUTE(TEXT(IF(ISTEXT(Overig!L35),Overig!L35,10*Overig!L35),""",""????0;"",""???-0;"",""????0;"", ////"""),"'","""")&amp;SUBSTITUTE(TEXT(Overig!M35,""",""?00;"",""?-00;"",""?00;"", //"""),"'","""")&amp;SUBSTITUTE(TEXT(IF(ISTEXT(Overig!N35),Overig!N35,10*Overig!N35),""",""????0;"",""???-0;"",""????0;"", ////"""),"'","""")&amp;SUBSTITUTE(TEXT(Overig!O35,""",""?00;"",""?-00;"",""?00;"", //"""),"'","""")&amp;SUBSTITUTE(TEXT(IF(ISTEXT(Overig!P35),Overig!P35,10*Overig!P35),""",""????0;"",""???-0;"",""????0;"", ////"""),"'","""")&amp;SUBSTITUTE(TEXT(Overig!Q35,""",""?00;"",""?-00;"",""?00;"", //"""),"'","""")&amp;SUBSTITUTE(TEXT(IF(ISTEXT(Overig!R35),Overig!R35,10*Overig!R35),""",""????0;"",""???-0;"",""????0;"", ////"""),"'","""")&amp;SUBSTITUTE(TEXT(Overig!S35,""",""?00;"",""?-00;"",""?00;"", //"""),"'","""")&amp;SUBSTITUTE(TEXT(Overig!T35,""",""???0;"",""??-0;"",""???0;"", ///"""),"'","""")&amp;SUBSTITUTE(TEXT(Overig!U35,""",""?00;"",""?-00;"",""?00;"", //"""),"'","""")&amp;SUBSTITUTE(TEXT(IF(ISTEXT(Overig!V35),Overig!V35,10*Overig!V35),""",""???0;"",""??-0;"",""???0;"", ///"""),"'","""")&amp;SUBSTITUTE(TEXT(Overig!W35,""",""?00;"",""?-00;"",""?00;"", //"""),"'","""")&amp;SUBSTITUTE(TEXT(IF(ISTEXT(Overig!X35),Overig!X35,10*Overig!X35),""",""????0;"",""???-0;"",""????0;"", ////"""),"'","""")&amp;SUBSTITUTE(TEXT(Overig!Y35,""",""?00;"",""?-00;"",""?00;"", //"""),"'","""")&amp;SUBSTITUTE(TEXT(IF(ISTEXT(Overig!Z35),Overig!Z35,10*Overig!Z35),""",""????0;"",""???-0;"",""????0;"", ////"""),"'","""")&amp;SUBSTITUTE(TEXT(Overig!AA35,""",""?00;"",""?-00;"",""?00;"", //"""),"'","""")&amp;SUBSTITUTE(TEXT(Overig!AB35,""",""???0;"",""??-0;"",""???0;"", ///"""),"'","""")&amp;SUBSTITUTE(TEXT(Overig!AC35,""",""?00;"",""?-00;"",""?00;"", //"""),"'","""")&amp;SUBSTITUTE(TEXT(IF(ISTEXT(Overig!AD35),Overig!AD35,10*Overig!AD35),""",""????0;"",""???-0;"",""????0;"", ////"""),"'","""")&amp;SUBSTITUTE(TEXT(Overig!AE35,""",""?00;"",""?-00;"",""?00;"", //"""),"'","""")&amp;SUBSTITUTE(TEXT(IF(ISTEXT(Overig!AF35),Overig!AF35,10*Overig!AF35),""",""????0;"",""???-0;"",""????0;"", ////"""),"'","""")&amp;SUBSTITUTE(TEXT(Overig!AG35,""",""?00;"",""?-00;"",""?00;"", //"""),"'","""")&amp;SUBSTITUTE(TEXT(Overig!AH35,""",""???0;"",""??-0;"",""???0;"", ///"""),"'","""")&amp;SUBSTITUTE(TEXT(Overig!AI35,""",""?00;"",""?-00;"",""?00;"", //"""),"'","""")&amp;SUBSTITUTE(TEXT(Overig!AJ35,""",""??0;"",""?-0;"",""??0;"", //"""),"'","""")&amp;SUBSTITUTE(TEXT(Overig!AK35,""",""?00;"",""?-00;"",""?00;"", //"""),"'","""")&amp;SUBSTITUTE(IF(EXACT(Overig!AL35,"—"),TEXT(Overig!AL35,""",""????0;"",""???-0;"",""????0;"", ////////////,"""),TEXT(Overig!AL35,"\, \'@""',""")&amp;REPT(" ",10-LEN(Overig!AL35))),"'","""")&amp;SUBSTITUTE(TEXT(Overig!AM35,"?00;?-00;?00;"" //"""),"'","""")&amp;SUBSTITUTE(TEXT(Overig!AN35,""",""???0;"",""??-0;"",""???0;"", ///"""),"'","""")&amp;SUBSTITUTE(TEXT(Overig!AO35,""",""?00;"",""?-00;"",""?00;"", //"""),"'","""")</f>
        <v>78989, 19130203, 0800, ////, 07, /////, 07, ////, 07, /////, 07, ////, 07, ////, 07, ////, 07, ////, 07, ///, 07, ///, 07, ////, 07, ////, 07, ///, 07, ////, 07, ////, 07, ///, 07, //, 07, ////////////, 07, ///, 07</v>
      </c>
    </row>
    <row r="36" spans="1:1" x14ac:dyDescent="0.25">
      <c r="A36" s="75" t="str">
        <f ca="1">TEXT(Overig!A36,"000\,")&amp;TEXT(Overig!B36,"?00000000")&amp;TEXT(Overig!C36,""", ""0000")&amp;SUBSTITUTE(TEXT(IF(ISTEXT(Overig!D36),Overig!D36,10*Overig!D36),""",""????0;"",""???-0;"",""????0;"", ////"""),"'","""")&amp;SUBSTITUTE(TEXT(Overig!E36,""",""?00;"",""?-00;"",""?00;"", //"""),"'","""")&amp;SUBSTITUTE(TEXT(IF(ISTEXT(Overig!F36),Overig!F36,100*Overig!F36),""",""?????0;"",""????-0;"",""?????0;"", /////"""),"'","""")&amp;SUBSTITUTE(TEXT(Overig!G36,""",""?00;"",""?-00;"",""?00;"", //"""),"'","""")&amp;SUBSTITUTE(TEXT(IF(ISTEXT(Overig!H36),Overig!H36,100*Overig!H36),""",""????0;"",""???-0;"",""????0;"", ////"""),"'","""")&amp;SUBSTITUTE(TEXT(Overig!I36,""",""?00;"",""?-00;"",""?00;"", //"""),"'","""")&amp;SUBSTITUTE(TEXT(IF(ISTEXT(Overig!J36),Overig!J36,100*Overig!J36),""",""?????0;"",""????-0;"",""?????0;"", /////"""),"'","""")&amp;SUBSTITUTE(TEXT(Overig!K36,""",""?00;"",""?-00;"",""?00;"", //"""),"'","""")&amp;SUBSTITUTE(TEXT(IF(ISTEXT(Overig!L36),Overig!L36,10*Overig!L36),""",""????0;"",""???-0;"",""????0;"", ////"""),"'","""")&amp;SUBSTITUTE(TEXT(Overig!M36,""",""?00;"",""?-00;"",""?00;"", //"""),"'","""")&amp;SUBSTITUTE(TEXT(IF(ISTEXT(Overig!N36),Overig!N36,10*Overig!N36),""",""????0;"",""???-0;"",""????0;"", ////"""),"'","""")&amp;SUBSTITUTE(TEXT(Overig!O36,""",""?00;"",""?-00;"",""?00;"", //"""),"'","""")&amp;SUBSTITUTE(TEXT(IF(ISTEXT(Overig!P36),Overig!P36,10*Overig!P36),""",""????0;"",""???-0;"",""????0;"", ////"""),"'","""")&amp;SUBSTITUTE(TEXT(Overig!Q36,""",""?00;"",""?-00;"",""?00;"", //"""),"'","""")&amp;SUBSTITUTE(TEXT(IF(ISTEXT(Overig!R36),Overig!R36,10*Overig!R36),""",""????0;"",""???-0;"",""????0;"", ////"""),"'","""")&amp;SUBSTITUTE(TEXT(Overig!S36,""",""?00;"",""?-00;"",""?00;"", //"""),"'","""")&amp;SUBSTITUTE(TEXT(Overig!T36,""",""???0;"",""??-0;"",""???0;"", ///"""),"'","""")&amp;SUBSTITUTE(TEXT(Overig!U36,""",""?00;"",""?-00;"",""?00;"", //"""),"'","""")&amp;SUBSTITUTE(TEXT(IF(ISTEXT(Overig!V36),Overig!V36,10*Overig!V36),""",""???0;"",""??-0;"",""???0;"", ///"""),"'","""")&amp;SUBSTITUTE(TEXT(Overig!W36,""",""?00;"",""?-00;"",""?00;"", //"""),"'","""")&amp;SUBSTITUTE(TEXT(IF(ISTEXT(Overig!X36),Overig!X36,10*Overig!X36),""",""????0;"",""???-0;"",""????0;"", ////"""),"'","""")&amp;SUBSTITUTE(TEXT(Overig!Y36,""",""?00;"",""?-00;"",""?00;"", //"""),"'","""")&amp;SUBSTITUTE(TEXT(IF(ISTEXT(Overig!Z36),Overig!Z36,10*Overig!Z36),""",""????0;"",""???-0;"",""????0;"", ////"""),"'","""")&amp;SUBSTITUTE(TEXT(Overig!AA36,""",""?00;"",""?-00;"",""?00;"", //"""),"'","""")&amp;SUBSTITUTE(TEXT(Overig!AB36,""",""???0;"",""??-0;"",""???0;"", ///"""),"'","""")&amp;SUBSTITUTE(TEXT(Overig!AC36,""",""?00;"",""?-00;"",""?00;"", //"""),"'","""")&amp;SUBSTITUTE(TEXT(IF(ISTEXT(Overig!AD36),Overig!AD36,10*Overig!AD36),""",""????0;"",""???-0;"",""????0;"", ////"""),"'","""")&amp;SUBSTITUTE(TEXT(Overig!AE36,""",""?00;"",""?-00;"",""?00;"", //"""),"'","""")&amp;SUBSTITUTE(TEXT(IF(ISTEXT(Overig!AF36),Overig!AF36,10*Overig!AF36),""",""????0;"",""???-0;"",""????0;"", ////"""),"'","""")&amp;SUBSTITUTE(TEXT(Overig!AG36,""",""?00;"",""?-00;"",""?00;"", //"""),"'","""")&amp;SUBSTITUTE(TEXT(Overig!AH36,""",""???0;"",""??-0;"",""???0;"", ///"""),"'","""")&amp;SUBSTITUTE(TEXT(Overig!AI36,""",""?00;"",""?-00;"",""?00;"", //"""),"'","""")&amp;SUBSTITUTE(TEXT(Overig!AJ36,""",""??0;"",""?-0;"",""??0;"", //"""),"'","""")&amp;SUBSTITUTE(TEXT(Overig!AK36,""",""?00;"",""?-00;"",""?00;"", //"""),"'","""")&amp;SUBSTITUTE(IF(EXACT(Overig!AL36,"—"),TEXT(Overig!AL36,""",""????0;"",""???-0;"",""????0;"", ////////////,"""),TEXT(Overig!AL36,"\, \'@""',""")&amp;REPT(" ",10-LEN(Overig!AL36))),"'","""")&amp;SUBSTITUTE(TEXT(Overig!AM36,"?00;?-00;?00;"" //"""),"'","""")&amp;SUBSTITUTE(TEXT(Overig!AN36,""",""???0;"",""??-0;"",""???0;"", ///"""),"'","""")&amp;SUBSTITUTE(TEXT(Overig!AO36,""",""?00;"",""?-00;"",""?00;"", //"""),"'","""")</f>
        <v>78989, 19130204, 0800, ////, 07, /////, 07, ////, 07, /////, 07, ////, 07, ////, 07, ////, 07, ////, 07, ///, 07, ///, 07, ////, 07, ////, 07, ///, 07, ////, 07, ////, 07, ///, 07, //, 07, ////////////, 07, ///, 07</v>
      </c>
    </row>
    <row r="37" spans="1:1" x14ac:dyDescent="0.25">
      <c r="A37" s="75" t="str">
        <f ca="1">TEXT(Overig!A37,"000\,")&amp;TEXT(Overig!B37,"?00000000")&amp;TEXT(Overig!C37,""", ""0000")&amp;SUBSTITUTE(TEXT(IF(ISTEXT(Overig!D37),Overig!D37,10*Overig!D37),""",""????0;"",""???-0;"",""????0;"", ////"""),"'","""")&amp;SUBSTITUTE(TEXT(Overig!E37,""",""?00;"",""?-00;"",""?00;"", //"""),"'","""")&amp;SUBSTITUTE(TEXT(IF(ISTEXT(Overig!F37),Overig!F37,100*Overig!F37),""",""?????0;"",""????-0;"",""?????0;"", /////"""),"'","""")&amp;SUBSTITUTE(TEXT(Overig!G37,""",""?00;"",""?-00;"",""?00;"", //"""),"'","""")&amp;SUBSTITUTE(TEXT(IF(ISTEXT(Overig!H37),Overig!H37,100*Overig!H37),""",""????0;"",""???-0;"",""????0;"", ////"""),"'","""")&amp;SUBSTITUTE(TEXT(Overig!I37,""",""?00;"",""?-00;"",""?00;"", //"""),"'","""")&amp;SUBSTITUTE(TEXT(IF(ISTEXT(Overig!J37),Overig!J37,100*Overig!J37),""",""?????0;"",""????-0;"",""?????0;"", /////"""),"'","""")&amp;SUBSTITUTE(TEXT(Overig!K37,""",""?00;"",""?-00;"",""?00;"", //"""),"'","""")&amp;SUBSTITUTE(TEXT(IF(ISTEXT(Overig!L37),Overig!L37,10*Overig!L37),""",""????0;"",""???-0;"",""????0;"", ////"""),"'","""")&amp;SUBSTITUTE(TEXT(Overig!M37,""",""?00;"",""?-00;"",""?00;"", //"""),"'","""")&amp;SUBSTITUTE(TEXT(IF(ISTEXT(Overig!N37),Overig!N37,10*Overig!N37),""",""????0;"",""???-0;"",""????0;"", ////"""),"'","""")&amp;SUBSTITUTE(TEXT(Overig!O37,""",""?00;"",""?-00;"",""?00;"", //"""),"'","""")&amp;SUBSTITUTE(TEXT(IF(ISTEXT(Overig!P37),Overig!P37,10*Overig!P37),""",""????0;"",""???-0;"",""????0;"", ////"""),"'","""")&amp;SUBSTITUTE(TEXT(Overig!Q37,""",""?00;"",""?-00;"",""?00;"", //"""),"'","""")&amp;SUBSTITUTE(TEXT(IF(ISTEXT(Overig!R37),Overig!R37,10*Overig!R37),""",""????0;"",""???-0;"",""????0;"", ////"""),"'","""")&amp;SUBSTITUTE(TEXT(Overig!S37,""",""?00;"",""?-00;"",""?00;"", //"""),"'","""")&amp;SUBSTITUTE(TEXT(Overig!T37,""",""???0;"",""??-0;"",""???0;"", ///"""),"'","""")&amp;SUBSTITUTE(TEXT(Overig!U37,""",""?00;"",""?-00;"",""?00;"", //"""),"'","""")&amp;SUBSTITUTE(TEXT(IF(ISTEXT(Overig!V37),Overig!V37,10*Overig!V37),""",""???0;"",""??-0;"",""???0;"", ///"""),"'","""")&amp;SUBSTITUTE(TEXT(Overig!W37,""",""?00;"",""?-00;"",""?00;"", //"""),"'","""")&amp;SUBSTITUTE(TEXT(IF(ISTEXT(Overig!X37),Overig!X37,10*Overig!X37),""",""????0;"",""???-0;"",""????0;"", ////"""),"'","""")&amp;SUBSTITUTE(TEXT(Overig!Y37,""",""?00;"",""?-00;"",""?00;"", //"""),"'","""")&amp;SUBSTITUTE(TEXT(IF(ISTEXT(Overig!Z37),Overig!Z37,10*Overig!Z37),""",""????0;"",""???-0;"",""????0;"", ////"""),"'","""")&amp;SUBSTITUTE(TEXT(Overig!AA37,""",""?00;"",""?-00;"",""?00;"", //"""),"'","""")&amp;SUBSTITUTE(TEXT(Overig!AB37,""",""???0;"",""??-0;"",""???0;"", ///"""),"'","""")&amp;SUBSTITUTE(TEXT(Overig!AC37,""",""?00;"",""?-00;"",""?00;"", //"""),"'","""")&amp;SUBSTITUTE(TEXT(IF(ISTEXT(Overig!AD37),Overig!AD37,10*Overig!AD37),""",""????0;"",""???-0;"",""????0;"", ////"""),"'","""")&amp;SUBSTITUTE(TEXT(Overig!AE37,""",""?00;"",""?-00;"",""?00;"", //"""),"'","""")&amp;SUBSTITUTE(TEXT(IF(ISTEXT(Overig!AF37),Overig!AF37,10*Overig!AF37),""",""????0;"",""???-0;"",""????0;"", ////"""),"'","""")&amp;SUBSTITUTE(TEXT(Overig!AG37,""",""?00;"",""?-00;"",""?00;"", //"""),"'","""")&amp;SUBSTITUTE(TEXT(Overig!AH37,""",""???0;"",""??-0;"",""???0;"", ///"""),"'","""")&amp;SUBSTITUTE(TEXT(Overig!AI37,""",""?00;"",""?-00;"",""?00;"", //"""),"'","""")&amp;SUBSTITUTE(TEXT(Overig!AJ37,""",""??0;"",""?-0;"",""??0;"", //"""),"'","""")&amp;SUBSTITUTE(TEXT(Overig!AK37,""",""?00;"",""?-00;"",""?00;"", //"""),"'","""")&amp;SUBSTITUTE(IF(EXACT(Overig!AL37,"—"),TEXT(Overig!AL37,""",""????0;"",""???-0;"",""????0;"", ////////////,"""),TEXT(Overig!AL37,"\, \'@""',""")&amp;REPT(" ",10-LEN(Overig!AL37))),"'","""")&amp;SUBSTITUTE(TEXT(Overig!AM37,"?00;?-00;?00;"" //"""),"'","""")&amp;SUBSTITUTE(TEXT(Overig!AN37,""",""???0;"",""??-0;"",""???0;"", ///"""),"'","""")&amp;SUBSTITUTE(TEXT(Overig!AO37,""",""?00;"",""?-00;"",""?00;"", //"""),"'","""")</f>
        <v>78989, 19130205, 0800, ////, 07, /////, 07, ////, 07, /////, 07, ////, 07, ////, 07, ////, 07, ////, 07, ///, 07, ///, 07, ////, 07, ////, 07, ///, 07, ////, 07, ////, 07, ///, 07, //, 07, ////////////, 07, ///, 07</v>
      </c>
    </row>
    <row r="38" spans="1:1" x14ac:dyDescent="0.25">
      <c r="A38" s="75" t="str">
        <f ca="1">TEXT(Overig!A38,"000\,")&amp;TEXT(Overig!B38,"?00000000")&amp;TEXT(Overig!C38,""", ""0000")&amp;SUBSTITUTE(TEXT(IF(ISTEXT(Overig!D38),Overig!D38,10*Overig!D38),""",""????0;"",""???-0;"",""????0;"", ////"""),"'","""")&amp;SUBSTITUTE(TEXT(Overig!E38,""",""?00;"",""?-00;"",""?00;"", //"""),"'","""")&amp;SUBSTITUTE(TEXT(IF(ISTEXT(Overig!F38),Overig!F38,100*Overig!F38),""",""?????0;"",""????-0;"",""?????0;"", /////"""),"'","""")&amp;SUBSTITUTE(TEXT(Overig!G38,""",""?00;"",""?-00;"",""?00;"", //"""),"'","""")&amp;SUBSTITUTE(TEXT(IF(ISTEXT(Overig!H38),Overig!H38,100*Overig!H38),""",""????0;"",""???-0;"",""????0;"", ////"""),"'","""")&amp;SUBSTITUTE(TEXT(Overig!I38,""",""?00;"",""?-00;"",""?00;"", //"""),"'","""")&amp;SUBSTITUTE(TEXT(IF(ISTEXT(Overig!J38),Overig!J38,100*Overig!J38),""",""?????0;"",""????-0;"",""?????0;"", /////"""),"'","""")&amp;SUBSTITUTE(TEXT(Overig!K38,""",""?00;"",""?-00;"",""?00;"", //"""),"'","""")&amp;SUBSTITUTE(TEXT(IF(ISTEXT(Overig!L38),Overig!L38,10*Overig!L38),""",""????0;"",""???-0;"",""????0;"", ////"""),"'","""")&amp;SUBSTITUTE(TEXT(Overig!M38,""",""?00;"",""?-00;"",""?00;"", //"""),"'","""")&amp;SUBSTITUTE(TEXT(IF(ISTEXT(Overig!N38),Overig!N38,10*Overig!N38),""",""????0;"",""???-0;"",""????0;"", ////"""),"'","""")&amp;SUBSTITUTE(TEXT(Overig!O38,""",""?00;"",""?-00;"",""?00;"", //"""),"'","""")&amp;SUBSTITUTE(TEXT(IF(ISTEXT(Overig!P38),Overig!P38,10*Overig!P38),""",""????0;"",""???-0;"",""????0;"", ////"""),"'","""")&amp;SUBSTITUTE(TEXT(Overig!Q38,""",""?00;"",""?-00;"",""?00;"", //"""),"'","""")&amp;SUBSTITUTE(TEXT(IF(ISTEXT(Overig!R38),Overig!R38,10*Overig!R38),""",""????0;"",""???-0;"",""????0;"", ////"""),"'","""")&amp;SUBSTITUTE(TEXT(Overig!S38,""",""?00;"",""?-00;"",""?00;"", //"""),"'","""")&amp;SUBSTITUTE(TEXT(Overig!T38,""",""???0;"",""??-0;"",""???0;"", ///"""),"'","""")&amp;SUBSTITUTE(TEXT(Overig!U38,""",""?00;"",""?-00;"",""?00;"", //"""),"'","""")&amp;SUBSTITUTE(TEXT(IF(ISTEXT(Overig!V38),Overig!V38,10*Overig!V38),""",""???0;"",""??-0;"",""???0;"", ///"""),"'","""")&amp;SUBSTITUTE(TEXT(Overig!W38,""",""?00;"",""?-00;"",""?00;"", //"""),"'","""")&amp;SUBSTITUTE(TEXT(IF(ISTEXT(Overig!X38),Overig!X38,10*Overig!X38),""",""????0;"",""???-0;"",""????0;"", ////"""),"'","""")&amp;SUBSTITUTE(TEXT(Overig!Y38,""",""?00;"",""?-00;"",""?00;"", //"""),"'","""")&amp;SUBSTITUTE(TEXT(IF(ISTEXT(Overig!Z38),Overig!Z38,10*Overig!Z38),""",""????0;"",""???-0;"",""????0;"", ////"""),"'","""")&amp;SUBSTITUTE(TEXT(Overig!AA38,""",""?00;"",""?-00;"",""?00;"", //"""),"'","""")&amp;SUBSTITUTE(TEXT(Overig!AB38,""",""???0;"",""??-0;"",""???0;"", ///"""),"'","""")&amp;SUBSTITUTE(TEXT(Overig!AC38,""",""?00;"",""?-00;"",""?00;"", //"""),"'","""")&amp;SUBSTITUTE(TEXT(IF(ISTEXT(Overig!AD38),Overig!AD38,10*Overig!AD38),""",""????0;"",""???-0;"",""????0;"", ////"""),"'","""")&amp;SUBSTITUTE(TEXT(Overig!AE38,""",""?00;"",""?-00;"",""?00;"", //"""),"'","""")&amp;SUBSTITUTE(TEXT(IF(ISTEXT(Overig!AF38),Overig!AF38,10*Overig!AF38),""",""????0;"",""???-0;"",""????0;"", ////"""),"'","""")&amp;SUBSTITUTE(TEXT(Overig!AG38,""",""?00;"",""?-00;"",""?00;"", //"""),"'","""")&amp;SUBSTITUTE(TEXT(Overig!AH38,""",""???0;"",""??-0;"",""???0;"", ///"""),"'","""")&amp;SUBSTITUTE(TEXT(Overig!AI38,""",""?00;"",""?-00;"",""?00;"", //"""),"'","""")&amp;SUBSTITUTE(TEXT(Overig!AJ38,""",""??0;"",""?-0;"",""??0;"", //"""),"'","""")&amp;SUBSTITUTE(TEXT(Overig!AK38,""",""?00;"",""?-00;"",""?00;"", //"""),"'","""")&amp;SUBSTITUTE(IF(EXACT(Overig!AL38,"—"),TEXT(Overig!AL38,""",""????0;"",""???-0;"",""????0;"", ////////////,"""),TEXT(Overig!AL38,"\, \'@""',""")&amp;REPT(" ",10-LEN(Overig!AL38))),"'","""")&amp;SUBSTITUTE(TEXT(Overig!AM38,"?00;?-00;?00;"" //"""),"'","""")&amp;SUBSTITUTE(TEXT(Overig!AN38,""",""???0;"",""??-0;"",""???0;"", ///"""),"'","""")&amp;SUBSTITUTE(TEXT(Overig!AO38,""",""?00;"",""?-00;"",""?00;"", //"""),"'","""")</f>
        <v>78989, 19130206, 0800, ////, 07, /////, 07, ////, 07, /////, 07, ////, 07, ////, 07, ////, 07, ////, 07, ///, 07, ///, 07, ////, 07, ////, 07, ///, 07, ////, 07, ////, 07, ///, 07, //, 07, ////////////, 07, ///, 07</v>
      </c>
    </row>
    <row r="39" spans="1:1" x14ac:dyDescent="0.25">
      <c r="A39" s="75" t="str">
        <f ca="1">TEXT(Overig!A39,"000\,")&amp;TEXT(Overig!B39,"?00000000")&amp;TEXT(Overig!C39,""", ""0000")&amp;SUBSTITUTE(TEXT(IF(ISTEXT(Overig!D39),Overig!D39,10*Overig!D39),""",""????0;"",""???-0;"",""????0;"", ////"""),"'","""")&amp;SUBSTITUTE(TEXT(Overig!E39,""",""?00;"",""?-00;"",""?00;"", //"""),"'","""")&amp;SUBSTITUTE(TEXT(IF(ISTEXT(Overig!F39),Overig!F39,100*Overig!F39),""",""?????0;"",""????-0;"",""?????0;"", /////"""),"'","""")&amp;SUBSTITUTE(TEXT(Overig!G39,""",""?00;"",""?-00;"",""?00;"", //"""),"'","""")&amp;SUBSTITUTE(TEXT(IF(ISTEXT(Overig!H39),Overig!H39,100*Overig!H39),""",""????0;"",""???-0;"",""????0;"", ////"""),"'","""")&amp;SUBSTITUTE(TEXT(Overig!I39,""",""?00;"",""?-00;"",""?00;"", //"""),"'","""")&amp;SUBSTITUTE(TEXT(IF(ISTEXT(Overig!J39),Overig!J39,100*Overig!J39),""",""?????0;"",""????-0;"",""?????0;"", /////"""),"'","""")&amp;SUBSTITUTE(TEXT(Overig!K39,""",""?00;"",""?-00;"",""?00;"", //"""),"'","""")&amp;SUBSTITUTE(TEXT(IF(ISTEXT(Overig!L39),Overig!L39,10*Overig!L39),""",""????0;"",""???-0;"",""????0;"", ////"""),"'","""")&amp;SUBSTITUTE(TEXT(Overig!M39,""",""?00;"",""?-00;"",""?00;"", //"""),"'","""")&amp;SUBSTITUTE(TEXT(IF(ISTEXT(Overig!N39),Overig!N39,10*Overig!N39),""",""????0;"",""???-0;"",""????0;"", ////"""),"'","""")&amp;SUBSTITUTE(TEXT(Overig!O39,""",""?00;"",""?-00;"",""?00;"", //"""),"'","""")&amp;SUBSTITUTE(TEXT(IF(ISTEXT(Overig!P39),Overig!P39,10*Overig!P39),""",""????0;"",""???-0;"",""????0;"", ////"""),"'","""")&amp;SUBSTITUTE(TEXT(Overig!Q39,""",""?00;"",""?-00;"",""?00;"", //"""),"'","""")&amp;SUBSTITUTE(TEXT(IF(ISTEXT(Overig!R39),Overig!R39,10*Overig!R39),""",""????0;"",""???-0;"",""????0;"", ////"""),"'","""")&amp;SUBSTITUTE(TEXT(Overig!S39,""",""?00;"",""?-00;"",""?00;"", //"""),"'","""")&amp;SUBSTITUTE(TEXT(Overig!T39,""",""???0;"",""??-0;"",""???0;"", ///"""),"'","""")&amp;SUBSTITUTE(TEXT(Overig!U39,""",""?00;"",""?-00;"",""?00;"", //"""),"'","""")&amp;SUBSTITUTE(TEXT(IF(ISTEXT(Overig!V39),Overig!V39,10*Overig!V39),""",""???0;"",""??-0;"",""???0;"", ///"""),"'","""")&amp;SUBSTITUTE(TEXT(Overig!W39,""",""?00;"",""?-00;"",""?00;"", //"""),"'","""")&amp;SUBSTITUTE(TEXT(IF(ISTEXT(Overig!X39),Overig!X39,10*Overig!X39),""",""????0;"",""???-0;"",""????0;"", ////"""),"'","""")&amp;SUBSTITUTE(TEXT(Overig!Y39,""",""?00;"",""?-00;"",""?00;"", //"""),"'","""")&amp;SUBSTITUTE(TEXT(IF(ISTEXT(Overig!Z39),Overig!Z39,10*Overig!Z39),""",""????0;"",""???-0;"",""????0;"", ////"""),"'","""")&amp;SUBSTITUTE(TEXT(Overig!AA39,""",""?00;"",""?-00;"",""?00;"", //"""),"'","""")&amp;SUBSTITUTE(TEXT(Overig!AB39,""",""???0;"",""??-0;"",""???0;"", ///"""),"'","""")&amp;SUBSTITUTE(TEXT(Overig!AC39,""",""?00;"",""?-00;"",""?00;"", //"""),"'","""")&amp;SUBSTITUTE(TEXT(IF(ISTEXT(Overig!AD39),Overig!AD39,10*Overig!AD39),""",""????0;"",""???-0;"",""????0;"", ////"""),"'","""")&amp;SUBSTITUTE(TEXT(Overig!AE39,""",""?00;"",""?-00;"",""?00;"", //"""),"'","""")&amp;SUBSTITUTE(TEXT(IF(ISTEXT(Overig!AF39),Overig!AF39,10*Overig!AF39),""",""????0;"",""???-0;"",""????0;"", ////"""),"'","""")&amp;SUBSTITUTE(TEXT(Overig!AG39,""",""?00;"",""?-00;"",""?00;"", //"""),"'","""")&amp;SUBSTITUTE(TEXT(Overig!AH39,""",""???0;"",""??-0;"",""???0;"", ///"""),"'","""")&amp;SUBSTITUTE(TEXT(Overig!AI39,""",""?00;"",""?-00;"",""?00;"", //"""),"'","""")&amp;SUBSTITUTE(TEXT(Overig!AJ39,""",""??0;"",""?-0;"",""??0;"", //"""),"'","""")&amp;SUBSTITUTE(TEXT(Overig!AK39,""",""?00;"",""?-00;"",""?00;"", //"""),"'","""")&amp;SUBSTITUTE(IF(EXACT(Overig!AL39,"—"),TEXT(Overig!AL39,""",""????0;"",""???-0;"",""????0;"", ////////////,"""),TEXT(Overig!AL39,"\, \'@""',""")&amp;REPT(" ",10-LEN(Overig!AL39))),"'","""")&amp;SUBSTITUTE(TEXT(Overig!AM39,"?00;?-00;?00;"" //"""),"'","""")&amp;SUBSTITUTE(TEXT(Overig!AN39,""",""???0;"",""??-0;"",""???0;"", ///"""),"'","""")&amp;SUBSTITUTE(TEXT(Overig!AO39,""",""?00;"",""?-00;"",""?00;"", //"""),"'","""")</f>
        <v>78989, 19130207, 0800, ////, 07, /////, 07, ////, 07, /////, 07, ////, 07, ////, 07, ////, 07, ////, 07, ///, 07, ///, 07, ////, 07, ////, 07, ///, 07, ////, 07, ////, 07, ///, 07, //, 07, ////////////, 07, ///, 07</v>
      </c>
    </row>
    <row r="40" spans="1:1" x14ac:dyDescent="0.25">
      <c r="A40" s="75" t="str">
        <f ca="1">TEXT(Overig!A40,"000\,")&amp;TEXT(Overig!B40,"?00000000")&amp;TEXT(Overig!C40,""", ""0000")&amp;SUBSTITUTE(TEXT(IF(ISTEXT(Overig!D40),Overig!D40,10*Overig!D40),""",""????0;"",""???-0;"",""????0;"", ////"""),"'","""")&amp;SUBSTITUTE(TEXT(Overig!E40,""",""?00;"",""?-00;"",""?00;"", //"""),"'","""")&amp;SUBSTITUTE(TEXT(IF(ISTEXT(Overig!F40),Overig!F40,100*Overig!F40),""",""?????0;"",""????-0;"",""?????0;"", /////"""),"'","""")&amp;SUBSTITUTE(TEXT(Overig!G40,""",""?00;"",""?-00;"",""?00;"", //"""),"'","""")&amp;SUBSTITUTE(TEXT(IF(ISTEXT(Overig!H40),Overig!H40,100*Overig!H40),""",""????0;"",""???-0;"",""????0;"", ////"""),"'","""")&amp;SUBSTITUTE(TEXT(Overig!I40,""",""?00;"",""?-00;"",""?00;"", //"""),"'","""")&amp;SUBSTITUTE(TEXT(IF(ISTEXT(Overig!J40),Overig!J40,100*Overig!J40),""",""?????0;"",""????-0;"",""?????0;"", /////"""),"'","""")&amp;SUBSTITUTE(TEXT(Overig!K40,""",""?00;"",""?-00;"",""?00;"", //"""),"'","""")&amp;SUBSTITUTE(TEXT(IF(ISTEXT(Overig!L40),Overig!L40,10*Overig!L40),""",""????0;"",""???-0;"",""????0;"", ////"""),"'","""")&amp;SUBSTITUTE(TEXT(Overig!M40,""",""?00;"",""?-00;"",""?00;"", //"""),"'","""")&amp;SUBSTITUTE(TEXT(IF(ISTEXT(Overig!N40),Overig!N40,10*Overig!N40),""",""????0;"",""???-0;"",""????0;"", ////"""),"'","""")&amp;SUBSTITUTE(TEXT(Overig!O40,""",""?00;"",""?-00;"",""?00;"", //"""),"'","""")&amp;SUBSTITUTE(TEXT(IF(ISTEXT(Overig!P40),Overig!P40,10*Overig!P40),""",""????0;"",""???-0;"",""????0;"", ////"""),"'","""")&amp;SUBSTITUTE(TEXT(Overig!Q40,""",""?00;"",""?-00;"",""?00;"", //"""),"'","""")&amp;SUBSTITUTE(TEXT(IF(ISTEXT(Overig!R40),Overig!R40,10*Overig!R40),""",""????0;"",""???-0;"",""????0;"", ////"""),"'","""")&amp;SUBSTITUTE(TEXT(Overig!S40,""",""?00;"",""?-00;"",""?00;"", //"""),"'","""")&amp;SUBSTITUTE(TEXT(Overig!T40,""",""???0;"",""??-0;"",""???0;"", ///"""),"'","""")&amp;SUBSTITUTE(TEXT(Overig!U40,""",""?00;"",""?-00;"",""?00;"", //"""),"'","""")&amp;SUBSTITUTE(TEXT(IF(ISTEXT(Overig!V40),Overig!V40,10*Overig!V40),""",""???0;"",""??-0;"",""???0;"", ///"""),"'","""")&amp;SUBSTITUTE(TEXT(Overig!W40,""",""?00;"",""?-00;"",""?00;"", //"""),"'","""")&amp;SUBSTITUTE(TEXT(IF(ISTEXT(Overig!X40),Overig!X40,10*Overig!X40),""",""????0;"",""???-0;"",""????0;"", ////"""),"'","""")&amp;SUBSTITUTE(TEXT(Overig!Y40,""",""?00;"",""?-00;"",""?00;"", //"""),"'","""")&amp;SUBSTITUTE(TEXT(IF(ISTEXT(Overig!Z40),Overig!Z40,10*Overig!Z40),""",""????0;"",""???-0;"",""????0;"", ////"""),"'","""")&amp;SUBSTITUTE(TEXT(Overig!AA40,""",""?00;"",""?-00;"",""?00;"", //"""),"'","""")&amp;SUBSTITUTE(TEXT(Overig!AB40,""",""???0;"",""??-0;"",""???0;"", ///"""),"'","""")&amp;SUBSTITUTE(TEXT(Overig!AC40,""",""?00;"",""?-00;"",""?00;"", //"""),"'","""")&amp;SUBSTITUTE(TEXT(IF(ISTEXT(Overig!AD40),Overig!AD40,10*Overig!AD40),""",""????0;"",""???-0;"",""????0;"", ////"""),"'","""")&amp;SUBSTITUTE(TEXT(Overig!AE40,""",""?00;"",""?-00;"",""?00;"", //"""),"'","""")&amp;SUBSTITUTE(TEXT(IF(ISTEXT(Overig!AF40),Overig!AF40,10*Overig!AF40),""",""????0;"",""???-0;"",""????0;"", ////"""),"'","""")&amp;SUBSTITUTE(TEXT(Overig!AG40,""",""?00;"",""?-00;"",""?00;"", //"""),"'","""")&amp;SUBSTITUTE(TEXT(Overig!AH40,""",""???0;"",""??-0;"",""???0;"", ///"""),"'","""")&amp;SUBSTITUTE(TEXT(Overig!AI40,""",""?00;"",""?-00;"",""?00;"", //"""),"'","""")&amp;SUBSTITUTE(TEXT(Overig!AJ40,""",""??0;"",""?-0;"",""??0;"", //"""),"'","""")&amp;SUBSTITUTE(TEXT(Overig!AK40,""",""?00;"",""?-00;"",""?00;"", //"""),"'","""")&amp;SUBSTITUTE(IF(EXACT(Overig!AL40,"—"),TEXT(Overig!AL40,""",""????0;"",""???-0;"",""????0;"", ////////////,"""),TEXT(Overig!AL40,"\, \'@""',""")&amp;REPT(" ",10-LEN(Overig!AL40))),"'","""")&amp;SUBSTITUTE(TEXT(Overig!AM40,"?00;?-00;?00;"" //"""),"'","""")&amp;SUBSTITUTE(TEXT(Overig!AN40,""",""???0;"",""??-0;"",""???0;"", ///"""),"'","""")&amp;SUBSTITUTE(TEXT(Overig!AO40,""",""?00;"",""?-00;"",""?00;"", //"""),"'","""")</f>
        <v>78989, 19130208, 0800, ////, 07, /////, 07, ////, 07, /////, 07, ////, 07, ////, 07, ////, 07, ////, 07, ///, 07, ///, 07, ////, 07, ////, 07, ///, 07, ////, 07, ////, 07, ///, 07, //, 07, ////////////, 07, ///, 07</v>
      </c>
    </row>
    <row r="41" spans="1:1" x14ac:dyDescent="0.25">
      <c r="A41" s="75" t="str">
        <f ca="1">TEXT(Overig!A41,"000\,")&amp;TEXT(Overig!B41,"?00000000")&amp;TEXT(Overig!C41,""", ""0000")&amp;SUBSTITUTE(TEXT(IF(ISTEXT(Overig!D41),Overig!D41,10*Overig!D41),""",""????0;"",""???-0;"",""????0;"", ////"""),"'","""")&amp;SUBSTITUTE(TEXT(Overig!E41,""",""?00;"",""?-00;"",""?00;"", //"""),"'","""")&amp;SUBSTITUTE(TEXT(IF(ISTEXT(Overig!F41),Overig!F41,100*Overig!F41),""",""?????0;"",""????-0;"",""?????0;"", /////"""),"'","""")&amp;SUBSTITUTE(TEXT(Overig!G41,""",""?00;"",""?-00;"",""?00;"", //"""),"'","""")&amp;SUBSTITUTE(TEXT(IF(ISTEXT(Overig!H41),Overig!H41,100*Overig!H41),""",""????0;"",""???-0;"",""????0;"", ////"""),"'","""")&amp;SUBSTITUTE(TEXT(Overig!I41,""",""?00;"",""?-00;"",""?00;"", //"""),"'","""")&amp;SUBSTITUTE(TEXT(IF(ISTEXT(Overig!J41),Overig!J41,100*Overig!J41),""",""?????0;"",""????-0;"",""?????0;"", /////"""),"'","""")&amp;SUBSTITUTE(TEXT(Overig!K41,""",""?00;"",""?-00;"",""?00;"", //"""),"'","""")&amp;SUBSTITUTE(TEXT(IF(ISTEXT(Overig!L41),Overig!L41,10*Overig!L41),""",""????0;"",""???-0;"",""????0;"", ////"""),"'","""")&amp;SUBSTITUTE(TEXT(Overig!M41,""",""?00;"",""?-00;"",""?00;"", //"""),"'","""")&amp;SUBSTITUTE(TEXT(IF(ISTEXT(Overig!N41),Overig!N41,10*Overig!N41),""",""????0;"",""???-0;"",""????0;"", ////"""),"'","""")&amp;SUBSTITUTE(TEXT(Overig!O41,""",""?00;"",""?-00;"",""?00;"", //"""),"'","""")&amp;SUBSTITUTE(TEXT(IF(ISTEXT(Overig!P41),Overig!P41,10*Overig!P41),""",""????0;"",""???-0;"",""????0;"", ////"""),"'","""")&amp;SUBSTITUTE(TEXT(Overig!Q41,""",""?00;"",""?-00;"",""?00;"", //"""),"'","""")&amp;SUBSTITUTE(TEXT(IF(ISTEXT(Overig!R41),Overig!R41,10*Overig!R41),""",""????0;"",""???-0;"",""????0;"", ////"""),"'","""")&amp;SUBSTITUTE(TEXT(Overig!S41,""",""?00;"",""?-00;"",""?00;"", //"""),"'","""")&amp;SUBSTITUTE(TEXT(Overig!T41,""",""???0;"",""??-0;"",""???0;"", ///"""),"'","""")&amp;SUBSTITUTE(TEXT(Overig!U41,""",""?00;"",""?-00;"",""?00;"", //"""),"'","""")&amp;SUBSTITUTE(TEXT(IF(ISTEXT(Overig!V41),Overig!V41,10*Overig!V41),""",""???0;"",""??-0;"",""???0;"", ///"""),"'","""")&amp;SUBSTITUTE(TEXT(Overig!W41,""",""?00;"",""?-00;"",""?00;"", //"""),"'","""")&amp;SUBSTITUTE(TEXT(IF(ISTEXT(Overig!X41),Overig!X41,10*Overig!X41),""",""????0;"",""???-0;"",""????0;"", ////"""),"'","""")&amp;SUBSTITUTE(TEXT(Overig!Y41,""",""?00;"",""?-00;"",""?00;"", //"""),"'","""")&amp;SUBSTITUTE(TEXT(IF(ISTEXT(Overig!Z41),Overig!Z41,10*Overig!Z41),""",""????0;"",""???-0;"",""????0;"", ////"""),"'","""")&amp;SUBSTITUTE(TEXT(Overig!AA41,""",""?00;"",""?-00;"",""?00;"", //"""),"'","""")&amp;SUBSTITUTE(TEXT(Overig!AB41,""",""???0;"",""??-0;"",""???0;"", ///"""),"'","""")&amp;SUBSTITUTE(TEXT(Overig!AC41,""",""?00;"",""?-00;"",""?00;"", //"""),"'","""")&amp;SUBSTITUTE(TEXT(IF(ISTEXT(Overig!AD41),Overig!AD41,10*Overig!AD41),""",""????0;"",""???-0;"",""????0;"", ////"""),"'","""")&amp;SUBSTITUTE(TEXT(Overig!AE41,""",""?00;"",""?-00;"",""?00;"", //"""),"'","""")&amp;SUBSTITUTE(TEXT(IF(ISTEXT(Overig!AF41),Overig!AF41,10*Overig!AF41),""",""????0;"",""???-0;"",""????0;"", ////"""),"'","""")&amp;SUBSTITUTE(TEXT(Overig!AG41,""",""?00;"",""?-00;"",""?00;"", //"""),"'","""")&amp;SUBSTITUTE(TEXT(Overig!AH41,""",""???0;"",""??-0;"",""???0;"", ///"""),"'","""")&amp;SUBSTITUTE(TEXT(Overig!AI41,""",""?00;"",""?-00;"",""?00;"", //"""),"'","""")&amp;SUBSTITUTE(TEXT(Overig!AJ41,""",""??0;"",""?-0;"",""??0;"", //"""),"'","""")&amp;SUBSTITUTE(TEXT(Overig!AK41,""",""?00;"",""?-00;"",""?00;"", //"""),"'","""")&amp;SUBSTITUTE(IF(EXACT(Overig!AL41,"—"),TEXT(Overig!AL41,""",""????0;"",""???-0;"",""????0;"", ////////////,"""),TEXT(Overig!AL41,"\, \'@""',""")&amp;REPT(" ",10-LEN(Overig!AL41))),"'","""")&amp;SUBSTITUTE(TEXT(Overig!AM41,"?00;?-00;?00;"" //"""),"'","""")&amp;SUBSTITUTE(TEXT(Overig!AN41,""",""???0;"",""??-0;"",""???0;"", ///"""),"'","""")&amp;SUBSTITUTE(TEXT(Overig!AO41,""",""?00;"",""?-00;"",""?00;"", //"""),"'","""")</f>
        <v>78989, 19130209, 0800, ////, 07, /////, 07, ////, 07, /////, 07, ////, 07, ////, 07, ////, 07, ////, 07, ///, 07, ///, 07, ////, 07, ////, 07, ///, 07, ////, 07, ////, 07, ///, 07, //, 07, ////////////, 07, ///, 07</v>
      </c>
    </row>
    <row r="42" spans="1:1" x14ac:dyDescent="0.25">
      <c r="A42" s="75" t="str">
        <f ca="1">TEXT(Overig!A42,"000\,")&amp;TEXT(Overig!B42,"?00000000")&amp;TEXT(Overig!C42,""", ""0000")&amp;SUBSTITUTE(TEXT(IF(ISTEXT(Overig!D42),Overig!D42,10*Overig!D42),""",""????0;"",""???-0;"",""????0;"", ////"""),"'","""")&amp;SUBSTITUTE(TEXT(Overig!E42,""",""?00;"",""?-00;"",""?00;"", //"""),"'","""")&amp;SUBSTITUTE(TEXT(IF(ISTEXT(Overig!F42),Overig!F42,100*Overig!F42),""",""?????0;"",""????-0;"",""?????0;"", /////"""),"'","""")&amp;SUBSTITUTE(TEXT(Overig!G42,""",""?00;"",""?-00;"",""?00;"", //"""),"'","""")&amp;SUBSTITUTE(TEXT(IF(ISTEXT(Overig!H42),Overig!H42,100*Overig!H42),""",""????0;"",""???-0;"",""????0;"", ////"""),"'","""")&amp;SUBSTITUTE(TEXT(Overig!I42,""",""?00;"",""?-00;"",""?00;"", //"""),"'","""")&amp;SUBSTITUTE(TEXT(IF(ISTEXT(Overig!J42),Overig!J42,100*Overig!J42),""",""?????0;"",""????-0;"",""?????0;"", /////"""),"'","""")&amp;SUBSTITUTE(TEXT(Overig!K42,""",""?00;"",""?-00;"",""?00;"", //"""),"'","""")&amp;SUBSTITUTE(TEXT(IF(ISTEXT(Overig!L42),Overig!L42,10*Overig!L42),""",""????0;"",""???-0;"",""????0;"", ////"""),"'","""")&amp;SUBSTITUTE(TEXT(Overig!M42,""",""?00;"",""?-00;"",""?00;"", //"""),"'","""")&amp;SUBSTITUTE(TEXT(IF(ISTEXT(Overig!N42),Overig!N42,10*Overig!N42),""",""????0;"",""???-0;"",""????0;"", ////"""),"'","""")&amp;SUBSTITUTE(TEXT(Overig!O42,""",""?00;"",""?-00;"",""?00;"", //"""),"'","""")&amp;SUBSTITUTE(TEXT(IF(ISTEXT(Overig!P42),Overig!P42,10*Overig!P42),""",""????0;"",""???-0;"",""????0;"", ////"""),"'","""")&amp;SUBSTITUTE(TEXT(Overig!Q42,""",""?00;"",""?-00;"",""?00;"", //"""),"'","""")&amp;SUBSTITUTE(TEXT(IF(ISTEXT(Overig!R42),Overig!R42,10*Overig!R42),""",""????0;"",""???-0;"",""????0;"", ////"""),"'","""")&amp;SUBSTITUTE(TEXT(Overig!S42,""",""?00;"",""?-00;"",""?00;"", //"""),"'","""")&amp;SUBSTITUTE(TEXT(Overig!T42,""",""???0;"",""??-0;"",""???0;"", ///"""),"'","""")&amp;SUBSTITUTE(TEXT(Overig!U42,""",""?00;"",""?-00;"",""?00;"", //"""),"'","""")&amp;SUBSTITUTE(TEXT(IF(ISTEXT(Overig!V42),Overig!V42,10*Overig!V42),""",""???0;"",""??-0;"",""???0;"", ///"""),"'","""")&amp;SUBSTITUTE(TEXT(Overig!W42,""",""?00;"",""?-00;"",""?00;"", //"""),"'","""")&amp;SUBSTITUTE(TEXT(IF(ISTEXT(Overig!X42),Overig!X42,10*Overig!X42),""",""????0;"",""???-0;"",""????0;"", ////"""),"'","""")&amp;SUBSTITUTE(TEXT(Overig!Y42,""",""?00;"",""?-00;"",""?00;"", //"""),"'","""")&amp;SUBSTITUTE(TEXT(IF(ISTEXT(Overig!Z42),Overig!Z42,10*Overig!Z42),""",""????0;"",""???-0;"",""????0;"", ////"""),"'","""")&amp;SUBSTITUTE(TEXT(Overig!AA42,""",""?00;"",""?-00;"",""?00;"", //"""),"'","""")&amp;SUBSTITUTE(TEXT(Overig!AB42,""",""???0;"",""??-0;"",""???0;"", ///"""),"'","""")&amp;SUBSTITUTE(TEXT(Overig!AC42,""",""?00;"",""?-00;"",""?00;"", //"""),"'","""")&amp;SUBSTITUTE(TEXT(IF(ISTEXT(Overig!AD42),Overig!AD42,10*Overig!AD42),""",""????0;"",""???-0;"",""????0;"", ////"""),"'","""")&amp;SUBSTITUTE(TEXT(Overig!AE42,""",""?00;"",""?-00;"",""?00;"", //"""),"'","""")&amp;SUBSTITUTE(TEXT(IF(ISTEXT(Overig!AF42),Overig!AF42,10*Overig!AF42),""",""????0;"",""???-0;"",""????0;"", ////"""),"'","""")&amp;SUBSTITUTE(TEXT(Overig!AG42,""",""?00;"",""?-00;"",""?00;"", //"""),"'","""")&amp;SUBSTITUTE(TEXT(Overig!AH42,""",""???0;"",""??-0;"",""???0;"", ///"""),"'","""")&amp;SUBSTITUTE(TEXT(Overig!AI42,""",""?00;"",""?-00;"",""?00;"", //"""),"'","""")&amp;SUBSTITUTE(TEXT(Overig!AJ42,""",""??0;"",""?-0;"",""??0;"", //"""),"'","""")&amp;SUBSTITUTE(TEXT(Overig!AK42,""",""?00;"",""?-00;"",""?00;"", //"""),"'","""")&amp;SUBSTITUTE(IF(EXACT(Overig!AL42,"—"),TEXT(Overig!AL42,""",""????0;"",""???-0;"",""????0;"", ////////////,"""),TEXT(Overig!AL42,"\, \'@""',""")&amp;REPT(" ",10-LEN(Overig!AL42))),"'","""")&amp;SUBSTITUTE(TEXT(Overig!AM42,"?00;?-00;?00;"" //"""),"'","""")&amp;SUBSTITUTE(TEXT(Overig!AN42,""",""???0;"",""??-0;"",""???0;"", ///"""),"'","""")&amp;SUBSTITUTE(TEXT(Overig!AO42,""",""?00;"",""?-00;"",""?00;"", //"""),"'","""")</f>
        <v>78989, 19130210, 0800, ////, 07, /////, 07, ////, 07, /////, 07, ////, 07, ////, 07, ////, 07, ////, 07, ///, 07, ///, 07, ////, 07, ////, 07, ///, 07, ////, 07, ////, 07, ///, 07, //, 07, ////////////, 07, ///, 07</v>
      </c>
    </row>
    <row r="43" spans="1:1" x14ac:dyDescent="0.25">
      <c r="A43" s="75" t="str">
        <f ca="1">TEXT(Overig!A43,"000\,")&amp;TEXT(Overig!B43,"?00000000")&amp;TEXT(Overig!C43,""", ""0000")&amp;SUBSTITUTE(TEXT(IF(ISTEXT(Overig!D43),Overig!D43,10*Overig!D43),""",""????0;"",""???-0;"",""????0;"", ////"""),"'","""")&amp;SUBSTITUTE(TEXT(Overig!E43,""",""?00;"",""?-00;"",""?00;"", //"""),"'","""")&amp;SUBSTITUTE(TEXT(IF(ISTEXT(Overig!F43),Overig!F43,100*Overig!F43),""",""?????0;"",""????-0;"",""?????0;"", /////"""),"'","""")&amp;SUBSTITUTE(TEXT(Overig!G43,""",""?00;"",""?-00;"",""?00;"", //"""),"'","""")&amp;SUBSTITUTE(TEXT(IF(ISTEXT(Overig!H43),Overig!H43,100*Overig!H43),""",""????0;"",""???-0;"",""????0;"", ////"""),"'","""")&amp;SUBSTITUTE(TEXT(Overig!I43,""",""?00;"",""?-00;"",""?00;"", //"""),"'","""")&amp;SUBSTITUTE(TEXT(IF(ISTEXT(Overig!J43),Overig!J43,100*Overig!J43),""",""?????0;"",""????-0;"",""?????0;"", /////"""),"'","""")&amp;SUBSTITUTE(TEXT(Overig!K43,""",""?00;"",""?-00;"",""?00;"", //"""),"'","""")&amp;SUBSTITUTE(TEXT(IF(ISTEXT(Overig!L43),Overig!L43,10*Overig!L43),""",""????0;"",""???-0;"",""????0;"", ////"""),"'","""")&amp;SUBSTITUTE(TEXT(Overig!M43,""",""?00;"",""?-00;"",""?00;"", //"""),"'","""")&amp;SUBSTITUTE(TEXT(IF(ISTEXT(Overig!N43),Overig!N43,10*Overig!N43),""",""????0;"",""???-0;"",""????0;"", ////"""),"'","""")&amp;SUBSTITUTE(TEXT(Overig!O43,""",""?00;"",""?-00;"",""?00;"", //"""),"'","""")&amp;SUBSTITUTE(TEXT(IF(ISTEXT(Overig!P43),Overig!P43,10*Overig!P43),""",""????0;"",""???-0;"",""????0;"", ////"""),"'","""")&amp;SUBSTITUTE(TEXT(Overig!Q43,""",""?00;"",""?-00;"",""?00;"", //"""),"'","""")&amp;SUBSTITUTE(TEXT(IF(ISTEXT(Overig!R43),Overig!R43,10*Overig!R43),""",""????0;"",""???-0;"",""????0;"", ////"""),"'","""")&amp;SUBSTITUTE(TEXT(Overig!S43,""",""?00;"",""?-00;"",""?00;"", //"""),"'","""")&amp;SUBSTITUTE(TEXT(Overig!T43,""",""???0;"",""??-0;"",""???0;"", ///"""),"'","""")&amp;SUBSTITUTE(TEXT(Overig!U43,""",""?00;"",""?-00;"",""?00;"", //"""),"'","""")&amp;SUBSTITUTE(TEXT(IF(ISTEXT(Overig!V43),Overig!V43,10*Overig!V43),""",""???0;"",""??-0;"",""???0;"", ///"""),"'","""")&amp;SUBSTITUTE(TEXT(Overig!W43,""",""?00;"",""?-00;"",""?00;"", //"""),"'","""")&amp;SUBSTITUTE(TEXT(IF(ISTEXT(Overig!X43),Overig!X43,10*Overig!X43),""",""????0;"",""???-0;"",""????0;"", ////"""),"'","""")&amp;SUBSTITUTE(TEXT(Overig!Y43,""",""?00;"",""?-00;"",""?00;"", //"""),"'","""")&amp;SUBSTITUTE(TEXT(IF(ISTEXT(Overig!Z43),Overig!Z43,10*Overig!Z43),""",""????0;"",""???-0;"",""????0;"", ////"""),"'","""")&amp;SUBSTITUTE(TEXT(Overig!AA43,""",""?00;"",""?-00;"",""?00;"", //"""),"'","""")&amp;SUBSTITUTE(TEXT(Overig!AB43,""",""???0;"",""??-0;"",""???0;"", ///"""),"'","""")&amp;SUBSTITUTE(TEXT(Overig!AC43,""",""?00;"",""?-00;"",""?00;"", //"""),"'","""")&amp;SUBSTITUTE(TEXT(IF(ISTEXT(Overig!AD43),Overig!AD43,10*Overig!AD43),""",""????0;"",""???-0;"",""????0;"", ////"""),"'","""")&amp;SUBSTITUTE(TEXT(Overig!AE43,""",""?00;"",""?-00;"",""?00;"", //"""),"'","""")&amp;SUBSTITUTE(TEXT(IF(ISTEXT(Overig!AF43),Overig!AF43,10*Overig!AF43),""",""????0;"",""???-0;"",""????0;"", ////"""),"'","""")&amp;SUBSTITUTE(TEXT(Overig!AG43,""",""?00;"",""?-00;"",""?00;"", //"""),"'","""")&amp;SUBSTITUTE(TEXT(Overig!AH43,""",""???0;"",""??-0;"",""???0;"", ///"""),"'","""")&amp;SUBSTITUTE(TEXT(Overig!AI43,""",""?00;"",""?-00;"",""?00;"", //"""),"'","""")&amp;SUBSTITUTE(TEXT(Overig!AJ43,""",""??0;"",""?-0;"",""??0;"", //"""),"'","""")&amp;SUBSTITUTE(TEXT(Overig!AK43,""",""?00;"",""?-00;"",""?00;"", //"""),"'","""")&amp;SUBSTITUTE(IF(EXACT(Overig!AL43,"—"),TEXT(Overig!AL43,""",""????0;"",""???-0;"",""????0;"", ////////////,"""),TEXT(Overig!AL43,"\, \'@""',""")&amp;REPT(" ",10-LEN(Overig!AL43))),"'","""")&amp;SUBSTITUTE(TEXT(Overig!AM43,"?00;?-00;?00;"" //"""),"'","""")&amp;SUBSTITUTE(TEXT(Overig!AN43,""",""???0;"",""??-0;"",""???0;"", ///"""),"'","""")&amp;SUBSTITUTE(TEXT(Overig!AO43,""",""?00;"",""?-00;"",""?00;"", //"""),"'","""")</f>
        <v>78989, 19130211, 0800, ////, 07, /////, 07, ////, 07, /////, 07, ////, 07, ////, 07, ////, 07, ////, 07, ///, 07, ///, 07, ////, 07, ////, 07, ///, 07, ////, 07, ////, 07, ///, 07, //, 07, ////////////, 07, ///, 07</v>
      </c>
    </row>
    <row r="44" spans="1:1" x14ac:dyDescent="0.25">
      <c r="A44" s="75" t="str">
        <f ca="1">TEXT(Overig!A44,"000\,")&amp;TEXT(Overig!B44,"?00000000")&amp;TEXT(Overig!C44,""", ""0000")&amp;SUBSTITUTE(TEXT(IF(ISTEXT(Overig!D44),Overig!D44,10*Overig!D44),""",""????0;"",""???-0;"",""????0;"", ////"""),"'","""")&amp;SUBSTITUTE(TEXT(Overig!E44,""",""?00;"",""?-00;"",""?00;"", //"""),"'","""")&amp;SUBSTITUTE(TEXT(IF(ISTEXT(Overig!F44),Overig!F44,100*Overig!F44),""",""?????0;"",""????-0;"",""?????0;"", /////"""),"'","""")&amp;SUBSTITUTE(TEXT(Overig!G44,""",""?00;"",""?-00;"",""?00;"", //"""),"'","""")&amp;SUBSTITUTE(TEXT(IF(ISTEXT(Overig!H44),Overig!H44,100*Overig!H44),""",""????0;"",""???-0;"",""????0;"", ////"""),"'","""")&amp;SUBSTITUTE(TEXT(Overig!I44,""",""?00;"",""?-00;"",""?00;"", //"""),"'","""")&amp;SUBSTITUTE(TEXT(IF(ISTEXT(Overig!J44),Overig!J44,100*Overig!J44),""",""?????0;"",""????-0;"",""?????0;"", /////"""),"'","""")&amp;SUBSTITUTE(TEXT(Overig!K44,""",""?00;"",""?-00;"",""?00;"", //"""),"'","""")&amp;SUBSTITUTE(TEXT(IF(ISTEXT(Overig!L44),Overig!L44,10*Overig!L44),""",""????0;"",""???-0;"",""????0;"", ////"""),"'","""")&amp;SUBSTITUTE(TEXT(Overig!M44,""",""?00;"",""?-00;"",""?00;"", //"""),"'","""")&amp;SUBSTITUTE(TEXT(IF(ISTEXT(Overig!N44),Overig!N44,10*Overig!N44),""",""????0;"",""???-0;"",""????0;"", ////"""),"'","""")&amp;SUBSTITUTE(TEXT(Overig!O44,""",""?00;"",""?-00;"",""?00;"", //"""),"'","""")&amp;SUBSTITUTE(TEXT(IF(ISTEXT(Overig!P44),Overig!P44,10*Overig!P44),""",""????0;"",""???-0;"",""????0;"", ////"""),"'","""")&amp;SUBSTITUTE(TEXT(Overig!Q44,""",""?00;"",""?-00;"",""?00;"", //"""),"'","""")&amp;SUBSTITUTE(TEXT(IF(ISTEXT(Overig!R44),Overig!R44,10*Overig!R44),""",""????0;"",""???-0;"",""????0;"", ////"""),"'","""")&amp;SUBSTITUTE(TEXT(Overig!S44,""",""?00;"",""?-00;"",""?00;"", //"""),"'","""")&amp;SUBSTITUTE(TEXT(Overig!T44,""",""???0;"",""??-0;"",""???0;"", ///"""),"'","""")&amp;SUBSTITUTE(TEXT(Overig!U44,""",""?00;"",""?-00;"",""?00;"", //"""),"'","""")&amp;SUBSTITUTE(TEXT(IF(ISTEXT(Overig!V44),Overig!V44,10*Overig!V44),""",""???0;"",""??-0;"",""???0;"", ///"""),"'","""")&amp;SUBSTITUTE(TEXT(Overig!W44,""",""?00;"",""?-00;"",""?00;"", //"""),"'","""")&amp;SUBSTITUTE(TEXT(IF(ISTEXT(Overig!X44),Overig!X44,10*Overig!X44),""",""????0;"",""???-0;"",""????0;"", ////"""),"'","""")&amp;SUBSTITUTE(TEXT(Overig!Y44,""",""?00;"",""?-00;"",""?00;"", //"""),"'","""")&amp;SUBSTITUTE(TEXT(IF(ISTEXT(Overig!Z44),Overig!Z44,10*Overig!Z44),""",""????0;"",""???-0;"",""????0;"", ////"""),"'","""")&amp;SUBSTITUTE(TEXT(Overig!AA44,""",""?00;"",""?-00;"",""?00;"", //"""),"'","""")&amp;SUBSTITUTE(TEXT(Overig!AB44,""",""???0;"",""??-0;"",""???0;"", ///"""),"'","""")&amp;SUBSTITUTE(TEXT(Overig!AC44,""",""?00;"",""?-00;"",""?00;"", //"""),"'","""")&amp;SUBSTITUTE(TEXT(IF(ISTEXT(Overig!AD44),Overig!AD44,10*Overig!AD44),""",""????0;"",""???-0;"",""????0;"", ////"""),"'","""")&amp;SUBSTITUTE(TEXT(Overig!AE44,""",""?00;"",""?-00;"",""?00;"", //"""),"'","""")&amp;SUBSTITUTE(TEXT(IF(ISTEXT(Overig!AF44),Overig!AF44,10*Overig!AF44),""",""????0;"",""???-0;"",""????0;"", ////"""),"'","""")&amp;SUBSTITUTE(TEXT(Overig!AG44,""",""?00;"",""?-00;"",""?00;"", //"""),"'","""")&amp;SUBSTITUTE(TEXT(Overig!AH44,""",""???0;"",""??-0;"",""???0;"", ///"""),"'","""")&amp;SUBSTITUTE(TEXT(Overig!AI44,""",""?00;"",""?-00;"",""?00;"", //"""),"'","""")&amp;SUBSTITUTE(TEXT(Overig!AJ44,""",""??0;"",""?-0;"",""??0;"", //"""),"'","""")&amp;SUBSTITUTE(TEXT(Overig!AK44,""",""?00;"",""?-00;"",""?00;"", //"""),"'","""")&amp;SUBSTITUTE(IF(EXACT(Overig!AL44,"—"),TEXT(Overig!AL44,""",""????0;"",""???-0;"",""????0;"", ////////////,"""),TEXT(Overig!AL44,"\, \'@""',""")&amp;REPT(" ",10-LEN(Overig!AL44))),"'","""")&amp;SUBSTITUTE(TEXT(Overig!AM44,"?00;?-00;?00;"" //"""),"'","""")&amp;SUBSTITUTE(TEXT(Overig!AN44,""",""???0;"",""??-0;"",""???0;"", ///"""),"'","""")&amp;SUBSTITUTE(TEXT(Overig!AO44,""",""?00;"",""?-00;"",""?00;"", //"""),"'","""")</f>
        <v>78989, 19130212, 0800, ////, 07, /////, 07, ////, 07, /////, 07, ////, 07, ////, 07, ////, 07, ////, 07, ///, 07, ///, 07, ////, 07, ////, 07, ///, 07, ////, 07, ////, 07, ///, 07, //, 07, ////////////, 07, ///, 07</v>
      </c>
    </row>
    <row r="45" spans="1:1" x14ac:dyDescent="0.25">
      <c r="A45" s="75" t="str">
        <f ca="1">TEXT(Overig!A45,"000\,")&amp;TEXT(Overig!B45,"?00000000")&amp;TEXT(Overig!C45,""", ""0000")&amp;SUBSTITUTE(TEXT(IF(ISTEXT(Overig!D45),Overig!D45,10*Overig!D45),""",""????0;"",""???-0;"",""????0;"", ////"""),"'","""")&amp;SUBSTITUTE(TEXT(Overig!E45,""",""?00;"",""?-00;"",""?00;"", //"""),"'","""")&amp;SUBSTITUTE(TEXT(IF(ISTEXT(Overig!F45),Overig!F45,100*Overig!F45),""",""?????0;"",""????-0;"",""?????0;"", /////"""),"'","""")&amp;SUBSTITUTE(TEXT(Overig!G45,""",""?00;"",""?-00;"",""?00;"", //"""),"'","""")&amp;SUBSTITUTE(TEXT(IF(ISTEXT(Overig!H45),Overig!H45,100*Overig!H45),""",""????0;"",""???-0;"",""????0;"", ////"""),"'","""")&amp;SUBSTITUTE(TEXT(Overig!I45,""",""?00;"",""?-00;"",""?00;"", //"""),"'","""")&amp;SUBSTITUTE(TEXT(IF(ISTEXT(Overig!J45),Overig!J45,100*Overig!J45),""",""?????0;"",""????-0;"",""?????0;"", /////"""),"'","""")&amp;SUBSTITUTE(TEXT(Overig!K45,""",""?00;"",""?-00;"",""?00;"", //"""),"'","""")&amp;SUBSTITUTE(TEXT(IF(ISTEXT(Overig!L45),Overig!L45,10*Overig!L45),""",""????0;"",""???-0;"",""????0;"", ////"""),"'","""")&amp;SUBSTITUTE(TEXT(Overig!M45,""",""?00;"",""?-00;"",""?00;"", //"""),"'","""")&amp;SUBSTITUTE(TEXT(IF(ISTEXT(Overig!N45),Overig!N45,10*Overig!N45),""",""????0;"",""???-0;"",""????0;"", ////"""),"'","""")&amp;SUBSTITUTE(TEXT(Overig!O45,""",""?00;"",""?-00;"",""?00;"", //"""),"'","""")&amp;SUBSTITUTE(TEXT(IF(ISTEXT(Overig!P45),Overig!P45,10*Overig!P45),""",""????0;"",""???-0;"",""????0;"", ////"""),"'","""")&amp;SUBSTITUTE(TEXT(Overig!Q45,""",""?00;"",""?-00;"",""?00;"", //"""),"'","""")&amp;SUBSTITUTE(TEXT(IF(ISTEXT(Overig!R45),Overig!R45,10*Overig!R45),""",""????0;"",""???-0;"",""????0;"", ////"""),"'","""")&amp;SUBSTITUTE(TEXT(Overig!S45,""",""?00;"",""?-00;"",""?00;"", //"""),"'","""")&amp;SUBSTITUTE(TEXT(Overig!T45,""",""???0;"",""??-0;"",""???0;"", ///"""),"'","""")&amp;SUBSTITUTE(TEXT(Overig!U45,""",""?00;"",""?-00;"",""?00;"", //"""),"'","""")&amp;SUBSTITUTE(TEXT(IF(ISTEXT(Overig!V45),Overig!V45,10*Overig!V45),""",""???0;"",""??-0;"",""???0;"", ///"""),"'","""")&amp;SUBSTITUTE(TEXT(Overig!W45,""",""?00;"",""?-00;"",""?00;"", //"""),"'","""")&amp;SUBSTITUTE(TEXT(IF(ISTEXT(Overig!X45),Overig!X45,10*Overig!X45),""",""????0;"",""???-0;"",""????0;"", ////"""),"'","""")&amp;SUBSTITUTE(TEXT(Overig!Y45,""",""?00;"",""?-00;"",""?00;"", //"""),"'","""")&amp;SUBSTITUTE(TEXT(IF(ISTEXT(Overig!Z45),Overig!Z45,10*Overig!Z45),""",""????0;"",""???-0;"",""????0;"", ////"""),"'","""")&amp;SUBSTITUTE(TEXT(Overig!AA45,""",""?00;"",""?-00;"",""?00;"", //"""),"'","""")&amp;SUBSTITUTE(TEXT(Overig!AB45,""",""???0;"",""??-0;"",""???0;"", ///"""),"'","""")&amp;SUBSTITUTE(TEXT(Overig!AC45,""",""?00;"",""?-00;"",""?00;"", //"""),"'","""")&amp;SUBSTITUTE(TEXT(IF(ISTEXT(Overig!AD45),Overig!AD45,10*Overig!AD45),""",""????0;"",""???-0;"",""????0;"", ////"""),"'","""")&amp;SUBSTITUTE(TEXT(Overig!AE45,""",""?00;"",""?-00;"",""?00;"", //"""),"'","""")&amp;SUBSTITUTE(TEXT(IF(ISTEXT(Overig!AF45),Overig!AF45,10*Overig!AF45),""",""????0;"",""???-0;"",""????0;"", ////"""),"'","""")&amp;SUBSTITUTE(TEXT(Overig!AG45,""",""?00;"",""?-00;"",""?00;"", //"""),"'","""")&amp;SUBSTITUTE(TEXT(Overig!AH45,""",""???0;"",""??-0;"",""???0;"", ///"""),"'","""")&amp;SUBSTITUTE(TEXT(Overig!AI45,""",""?00;"",""?-00;"",""?00;"", //"""),"'","""")&amp;SUBSTITUTE(TEXT(Overig!AJ45,""",""??0;"",""?-0;"",""??0;"", //"""),"'","""")&amp;SUBSTITUTE(TEXT(Overig!AK45,""",""?00;"",""?-00;"",""?00;"", //"""),"'","""")&amp;SUBSTITUTE(IF(EXACT(Overig!AL45,"—"),TEXT(Overig!AL45,""",""????0;"",""???-0;"",""????0;"", ////////////,"""),TEXT(Overig!AL45,"\, \'@""',""")&amp;REPT(" ",10-LEN(Overig!AL45))),"'","""")&amp;SUBSTITUTE(TEXT(Overig!AM45,"?00;?-00;?00;"" //"""),"'","""")&amp;SUBSTITUTE(TEXT(Overig!AN45,""",""???0;"",""??-0;"",""???0;"", ///"""),"'","""")&amp;SUBSTITUTE(TEXT(Overig!AO45,""",""?00;"",""?-00;"",""?00;"", //"""),"'","""")</f>
        <v>78989, 19130213, 0800, ////, 07, /////, 07, ////, 07, /////, 07, ////, 07, ////, 07, ////, 07, ////, 07, ///, 07, ///, 07, ////, 07, ////, 07, ///, 07, ////, 07, ////, 07, ///, 07, //, 07, ////////////, 07, ///, 07</v>
      </c>
    </row>
    <row r="46" spans="1:1" x14ac:dyDescent="0.25">
      <c r="A46" s="75" t="str">
        <f ca="1">TEXT(Overig!A46,"000\,")&amp;TEXT(Overig!B46,"?00000000")&amp;TEXT(Overig!C46,""", ""0000")&amp;SUBSTITUTE(TEXT(IF(ISTEXT(Overig!D46),Overig!D46,10*Overig!D46),""",""????0;"",""???-0;"",""????0;"", ////"""),"'","""")&amp;SUBSTITUTE(TEXT(Overig!E46,""",""?00;"",""?-00;"",""?00;"", //"""),"'","""")&amp;SUBSTITUTE(TEXT(IF(ISTEXT(Overig!F46),Overig!F46,100*Overig!F46),""",""?????0;"",""????-0;"",""?????0;"", /////"""),"'","""")&amp;SUBSTITUTE(TEXT(Overig!G46,""",""?00;"",""?-00;"",""?00;"", //"""),"'","""")&amp;SUBSTITUTE(TEXT(IF(ISTEXT(Overig!H46),Overig!H46,100*Overig!H46),""",""????0;"",""???-0;"",""????0;"", ////"""),"'","""")&amp;SUBSTITUTE(TEXT(Overig!I46,""",""?00;"",""?-00;"",""?00;"", //"""),"'","""")&amp;SUBSTITUTE(TEXT(IF(ISTEXT(Overig!J46),Overig!J46,100*Overig!J46),""",""?????0;"",""????-0;"",""?????0;"", /////"""),"'","""")&amp;SUBSTITUTE(TEXT(Overig!K46,""",""?00;"",""?-00;"",""?00;"", //"""),"'","""")&amp;SUBSTITUTE(TEXT(IF(ISTEXT(Overig!L46),Overig!L46,10*Overig!L46),""",""????0;"",""???-0;"",""????0;"", ////"""),"'","""")&amp;SUBSTITUTE(TEXT(Overig!M46,""",""?00;"",""?-00;"",""?00;"", //"""),"'","""")&amp;SUBSTITUTE(TEXT(IF(ISTEXT(Overig!N46),Overig!N46,10*Overig!N46),""",""????0;"",""???-0;"",""????0;"", ////"""),"'","""")&amp;SUBSTITUTE(TEXT(Overig!O46,""",""?00;"",""?-00;"",""?00;"", //"""),"'","""")&amp;SUBSTITUTE(TEXT(IF(ISTEXT(Overig!P46),Overig!P46,10*Overig!P46),""",""????0;"",""???-0;"",""????0;"", ////"""),"'","""")&amp;SUBSTITUTE(TEXT(Overig!Q46,""",""?00;"",""?-00;"",""?00;"", //"""),"'","""")&amp;SUBSTITUTE(TEXT(IF(ISTEXT(Overig!R46),Overig!R46,10*Overig!R46),""",""????0;"",""???-0;"",""????0;"", ////"""),"'","""")&amp;SUBSTITUTE(TEXT(Overig!S46,""",""?00;"",""?-00;"",""?00;"", //"""),"'","""")&amp;SUBSTITUTE(TEXT(Overig!T46,""",""???0;"",""??-0;"",""???0;"", ///"""),"'","""")&amp;SUBSTITUTE(TEXT(Overig!U46,""",""?00;"",""?-00;"",""?00;"", //"""),"'","""")&amp;SUBSTITUTE(TEXT(IF(ISTEXT(Overig!V46),Overig!V46,10*Overig!V46),""",""???0;"",""??-0;"",""???0;"", ///"""),"'","""")&amp;SUBSTITUTE(TEXT(Overig!W46,""",""?00;"",""?-00;"",""?00;"", //"""),"'","""")&amp;SUBSTITUTE(TEXT(IF(ISTEXT(Overig!X46),Overig!X46,10*Overig!X46),""",""????0;"",""???-0;"",""????0;"", ////"""),"'","""")&amp;SUBSTITUTE(TEXT(Overig!Y46,""",""?00;"",""?-00;"",""?00;"", //"""),"'","""")&amp;SUBSTITUTE(TEXT(IF(ISTEXT(Overig!Z46),Overig!Z46,10*Overig!Z46),""",""????0;"",""???-0;"",""????0;"", ////"""),"'","""")&amp;SUBSTITUTE(TEXT(Overig!AA46,""",""?00;"",""?-00;"",""?00;"", //"""),"'","""")&amp;SUBSTITUTE(TEXT(Overig!AB46,""",""???0;"",""??-0;"",""???0;"", ///"""),"'","""")&amp;SUBSTITUTE(TEXT(Overig!AC46,""",""?00;"",""?-00;"",""?00;"", //"""),"'","""")&amp;SUBSTITUTE(TEXT(IF(ISTEXT(Overig!AD46),Overig!AD46,10*Overig!AD46),""",""????0;"",""???-0;"",""????0;"", ////"""),"'","""")&amp;SUBSTITUTE(TEXT(Overig!AE46,""",""?00;"",""?-00;"",""?00;"", //"""),"'","""")&amp;SUBSTITUTE(TEXT(IF(ISTEXT(Overig!AF46),Overig!AF46,10*Overig!AF46),""",""????0;"",""???-0;"",""????0;"", ////"""),"'","""")&amp;SUBSTITUTE(TEXT(Overig!AG46,""",""?00;"",""?-00;"",""?00;"", //"""),"'","""")&amp;SUBSTITUTE(TEXT(Overig!AH46,""",""???0;"",""??-0;"",""???0;"", ///"""),"'","""")&amp;SUBSTITUTE(TEXT(Overig!AI46,""",""?00;"",""?-00;"",""?00;"", //"""),"'","""")&amp;SUBSTITUTE(TEXT(Overig!AJ46,""",""??0;"",""?-0;"",""??0;"", //"""),"'","""")&amp;SUBSTITUTE(TEXT(Overig!AK46,""",""?00;"",""?-00;"",""?00;"", //"""),"'","""")&amp;SUBSTITUTE(IF(EXACT(Overig!AL46,"—"),TEXT(Overig!AL46,""",""????0;"",""???-0;"",""????0;"", ////////////,"""),TEXT(Overig!AL46,"\, \'@""',""")&amp;REPT(" ",10-LEN(Overig!AL46))),"'","""")&amp;SUBSTITUTE(TEXT(Overig!AM46,"?00;?-00;?00;"" //"""),"'","""")&amp;SUBSTITUTE(TEXT(Overig!AN46,""",""???0;"",""??-0;"",""???0;"", ///"""),"'","""")&amp;SUBSTITUTE(TEXT(Overig!AO46,""",""?00;"",""?-00;"",""?00;"", //"""),"'","""")</f>
        <v>78989, 19130214, 0800, ////, 07, /////, 07, ////, 07, /////, 07, ////, 07, ////, 07, ////, 07, ////, 07, ///, 07, ///, 07, ////, 07, ////, 07, ///, 07, ////, 07, ////, 07, ///, 07, //, 07, ////////////, 07, ///, 07</v>
      </c>
    </row>
    <row r="47" spans="1:1" x14ac:dyDescent="0.25">
      <c r="A47" s="75" t="str">
        <f ca="1">TEXT(Overig!A47,"000\,")&amp;TEXT(Overig!B47,"?00000000")&amp;TEXT(Overig!C47,""", ""0000")&amp;SUBSTITUTE(TEXT(IF(ISTEXT(Overig!D47),Overig!D47,10*Overig!D47),""",""????0;"",""???-0;"",""????0;"", ////"""),"'","""")&amp;SUBSTITUTE(TEXT(Overig!E47,""",""?00;"",""?-00;"",""?00;"", //"""),"'","""")&amp;SUBSTITUTE(TEXT(IF(ISTEXT(Overig!F47),Overig!F47,100*Overig!F47),""",""?????0;"",""????-0;"",""?????0;"", /////"""),"'","""")&amp;SUBSTITUTE(TEXT(Overig!G47,""",""?00;"",""?-00;"",""?00;"", //"""),"'","""")&amp;SUBSTITUTE(TEXT(IF(ISTEXT(Overig!H47),Overig!H47,100*Overig!H47),""",""????0;"",""???-0;"",""????0;"", ////"""),"'","""")&amp;SUBSTITUTE(TEXT(Overig!I47,""",""?00;"",""?-00;"",""?00;"", //"""),"'","""")&amp;SUBSTITUTE(TEXT(IF(ISTEXT(Overig!J47),Overig!J47,100*Overig!J47),""",""?????0;"",""????-0;"",""?????0;"", /////"""),"'","""")&amp;SUBSTITUTE(TEXT(Overig!K47,""",""?00;"",""?-00;"",""?00;"", //"""),"'","""")&amp;SUBSTITUTE(TEXT(IF(ISTEXT(Overig!L47),Overig!L47,10*Overig!L47),""",""????0;"",""???-0;"",""????0;"", ////"""),"'","""")&amp;SUBSTITUTE(TEXT(Overig!M47,""",""?00;"",""?-00;"",""?00;"", //"""),"'","""")&amp;SUBSTITUTE(TEXT(IF(ISTEXT(Overig!N47),Overig!N47,10*Overig!N47),""",""????0;"",""???-0;"",""????0;"", ////"""),"'","""")&amp;SUBSTITUTE(TEXT(Overig!O47,""",""?00;"",""?-00;"",""?00;"", //"""),"'","""")&amp;SUBSTITUTE(TEXT(IF(ISTEXT(Overig!P47),Overig!P47,10*Overig!P47),""",""????0;"",""???-0;"",""????0;"", ////"""),"'","""")&amp;SUBSTITUTE(TEXT(Overig!Q47,""",""?00;"",""?-00;"",""?00;"", //"""),"'","""")&amp;SUBSTITUTE(TEXT(IF(ISTEXT(Overig!R47),Overig!R47,10*Overig!R47),""",""????0;"",""???-0;"",""????0;"", ////"""),"'","""")&amp;SUBSTITUTE(TEXT(Overig!S47,""",""?00;"",""?-00;"",""?00;"", //"""),"'","""")&amp;SUBSTITUTE(TEXT(Overig!T47,""",""???0;"",""??-0;"",""???0;"", ///"""),"'","""")&amp;SUBSTITUTE(TEXT(Overig!U47,""",""?00;"",""?-00;"",""?00;"", //"""),"'","""")&amp;SUBSTITUTE(TEXT(IF(ISTEXT(Overig!V47),Overig!V47,10*Overig!V47),""",""???0;"",""??-0;"",""???0;"", ///"""),"'","""")&amp;SUBSTITUTE(TEXT(Overig!W47,""",""?00;"",""?-00;"",""?00;"", //"""),"'","""")&amp;SUBSTITUTE(TEXT(IF(ISTEXT(Overig!X47),Overig!X47,10*Overig!X47),""",""????0;"",""???-0;"",""????0;"", ////"""),"'","""")&amp;SUBSTITUTE(TEXT(Overig!Y47,""",""?00;"",""?-00;"",""?00;"", //"""),"'","""")&amp;SUBSTITUTE(TEXT(IF(ISTEXT(Overig!Z47),Overig!Z47,10*Overig!Z47),""",""????0;"",""???-0;"",""????0;"", ////"""),"'","""")&amp;SUBSTITUTE(TEXT(Overig!AA47,""",""?00;"",""?-00;"",""?00;"", //"""),"'","""")&amp;SUBSTITUTE(TEXT(Overig!AB47,""",""???0;"",""??-0;"",""???0;"", ///"""),"'","""")&amp;SUBSTITUTE(TEXT(Overig!AC47,""",""?00;"",""?-00;"",""?00;"", //"""),"'","""")&amp;SUBSTITUTE(TEXT(IF(ISTEXT(Overig!AD47),Overig!AD47,10*Overig!AD47),""",""????0;"",""???-0;"",""????0;"", ////"""),"'","""")&amp;SUBSTITUTE(TEXT(Overig!AE47,""",""?00;"",""?-00;"",""?00;"", //"""),"'","""")&amp;SUBSTITUTE(TEXT(IF(ISTEXT(Overig!AF47),Overig!AF47,10*Overig!AF47),""",""????0;"",""???-0;"",""????0;"", ////"""),"'","""")&amp;SUBSTITUTE(TEXT(Overig!AG47,""",""?00;"",""?-00;"",""?00;"", //"""),"'","""")&amp;SUBSTITUTE(TEXT(Overig!AH47,""",""???0;"",""??-0;"",""???0;"", ///"""),"'","""")&amp;SUBSTITUTE(TEXT(Overig!AI47,""",""?00;"",""?-00;"",""?00;"", //"""),"'","""")&amp;SUBSTITUTE(TEXT(Overig!AJ47,""",""??0;"",""?-0;"",""??0;"", //"""),"'","""")&amp;SUBSTITUTE(TEXT(Overig!AK47,""",""?00;"",""?-00;"",""?00;"", //"""),"'","""")&amp;SUBSTITUTE(IF(EXACT(Overig!AL47,"—"),TEXT(Overig!AL47,""",""????0;"",""???-0;"",""????0;"", ////////////,"""),TEXT(Overig!AL47,"\, \'@""',""")&amp;REPT(" ",10-LEN(Overig!AL47))),"'","""")&amp;SUBSTITUTE(TEXT(Overig!AM47,"?00;?-00;?00;"" //"""),"'","""")&amp;SUBSTITUTE(TEXT(Overig!AN47,""",""???0;"",""??-0;"",""???0;"", ///"""),"'","""")&amp;SUBSTITUTE(TEXT(Overig!AO47,""",""?00;"",""?-00;"",""?00;"", //"""),"'","""")</f>
        <v>78989, 19130215, 0800, ////, 07, /////, 07, ////, 07, /////, 07, ////, 07, ////, 07, ////, 07, ////, 07, ///, 07, ///, 07, ////, 07, ////, 07, ///, 07, ////, 07, ////, 07, ///, 07, //, 07, ////////////, 07, ///, 07</v>
      </c>
    </row>
    <row r="48" spans="1:1" x14ac:dyDescent="0.25">
      <c r="A48" s="75" t="str">
        <f ca="1">TEXT(Overig!A48,"000\,")&amp;TEXT(Overig!B48,"?00000000")&amp;TEXT(Overig!C48,""", ""0000")&amp;SUBSTITUTE(TEXT(IF(ISTEXT(Overig!D48),Overig!D48,10*Overig!D48),""",""????0;"",""???-0;"",""????0;"", ////"""),"'","""")&amp;SUBSTITUTE(TEXT(Overig!E48,""",""?00;"",""?-00;"",""?00;"", //"""),"'","""")&amp;SUBSTITUTE(TEXT(IF(ISTEXT(Overig!F48),Overig!F48,100*Overig!F48),""",""?????0;"",""????-0;"",""?????0;"", /////"""),"'","""")&amp;SUBSTITUTE(TEXT(Overig!G48,""",""?00;"",""?-00;"",""?00;"", //"""),"'","""")&amp;SUBSTITUTE(TEXT(IF(ISTEXT(Overig!H48),Overig!H48,100*Overig!H48),""",""????0;"",""???-0;"",""????0;"", ////"""),"'","""")&amp;SUBSTITUTE(TEXT(Overig!I48,""",""?00;"",""?-00;"",""?00;"", //"""),"'","""")&amp;SUBSTITUTE(TEXT(IF(ISTEXT(Overig!J48),Overig!J48,100*Overig!J48),""",""?????0;"",""????-0;"",""?????0;"", /////"""),"'","""")&amp;SUBSTITUTE(TEXT(Overig!K48,""",""?00;"",""?-00;"",""?00;"", //"""),"'","""")&amp;SUBSTITUTE(TEXT(IF(ISTEXT(Overig!L48),Overig!L48,10*Overig!L48),""",""????0;"",""???-0;"",""????0;"", ////"""),"'","""")&amp;SUBSTITUTE(TEXT(Overig!M48,""",""?00;"",""?-00;"",""?00;"", //"""),"'","""")&amp;SUBSTITUTE(TEXT(IF(ISTEXT(Overig!N48),Overig!N48,10*Overig!N48),""",""????0;"",""???-0;"",""????0;"", ////"""),"'","""")&amp;SUBSTITUTE(TEXT(Overig!O48,""",""?00;"",""?-00;"",""?00;"", //"""),"'","""")&amp;SUBSTITUTE(TEXT(IF(ISTEXT(Overig!P48),Overig!P48,10*Overig!P48),""",""????0;"",""???-0;"",""????0;"", ////"""),"'","""")&amp;SUBSTITUTE(TEXT(Overig!Q48,""",""?00;"",""?-00;"",""?00;"", //"""),"'","""")&amp;SUBSTITUTE(TEXT(IF(ISTEXT(Overig!R48),Overig!R48,10*Overig!R48),""",""????0;"",""???-0;"",""????0;"", ////"""),"'","""")&amp;SUBSTITUTE(TEXT(Overig!S48,""",""?00;"",""?-00;"",""?00;"", //"""),"'","""")&amp;SUBSTITUTE(TEXT(Overig!T48,""",""???0;"",""??-0;"",""???0;"", ///"""),"'","""")&amp;SUBSTITUTE(TEXT(Overig!U48,""",""?00;"",""?-00;"",""?00;"", //"""),"'","""")&amp;SUBSTITUTE(TEXT(IF(ISTEXT(Overig!V48),Overig!V48,10*Overig!V48),""",""???0;"",""??-0;"",""???0;"", ///"""),"'","""")&amp;SUBSTITUTE(TEXT(Overig!W48,""",""?00;"",""?-00;"",""?00;"", //"""),"'","""")&amp;SUBSTITUTE(TEXT(IF(ISTEXT(Overig!X48),Overig!X48,10*Overig!X48),""",""????0;"",""???-0;"",""????0;"", ////"""),"'","""")&amp;SUBSTITUTE(TEXT(Overig!Y48,""",""?00;"",""?-00;"",""?00;"", //"""),"'","""")&amp;SUBSTITUTE(TEXT(IF(ISTEXT(Overig!Z48),Overig!Z48,10*Overig!Z48),""",""????0;"",""???-0;"",""????0;"", ////"""),"'","""")&amp;SUBSTITUTE(TEXT(Overig!AA48,""",""?00;"",""?-00;"",""?00;"", //"""),"'","""")&amp;SUBSTITUTE(TEXT(Overig!AB48,""",""???0;"",""??-0;"",""???0;"", ///"""),"'","""")&amp;SUBSTITUTE(TEXT(Overig!AC48,""",""?00;"",""?-00;"",""?00;"", //"""),"'","""")&amp;SUBSTITUTE(TEXT(IF(ISTEXT(Overig!AD48),Overig!AD48,10*Overig!AD48),""",""????0;"",""???-0;"",""????0;"", ////"""),"'","""")&amp;SUBSTITUTE(TEXT(Overig!AE48,""",""?00;"",""?-00;"",""?00;"", //"""),"'","""")&amp;SUBSTITUTE(TEXT(IF(ISTEXT(Overig!AF48),Overig!AF48,10*Overig!AF48),""",""????0;"",""???-0;"",""????0;"", ////"""),"'","""")&amp;SUBSTITUTE(TEXT(Overig!AG48,""",""?00;"",""?-00;"",""?00;"", //"""),"'","""")&amp;SUBSTITUTE(TEXT(Overig!AH48,""",""???0;"",""??-0;"",""???0;"", ///"""),"'","""")&amp;SUBSTITUTE(TEXT(Overig!AI48,""",""?00;"",""?-00;"",""?00;"", //"""),"'","""")&amp;SUBSTITUTE(TEXT(Overig!AJ48,""",""??0;"",""?-0;"",""??0;"", //"""),"'","""")&amp;SUBSTITUTE(TEXT(Overig!AK48,""",""?00;"",""?-00;"",""?00;"", //"""),"'","""")&amp;SUBSTITUTE(IF(EXACT(Overig!AL48,"—"),TEXT(Overig!AL48,""",""????0;"",""???-0;"",""????0;"", ////////////,"""),TEXT(Overig!AL48,"\, \'@""',""")&amp;REPT(" ",10-LEN(Overig!AL48))),"'","""")&amp;SUBSTITUTE(TEXT(Overig!AM48,"?00;?-00;?00;"" //"""),"'","""")&amp;SUBSTITUTE(TEXT(Overig!AN48,""",""???0;"",""??-0;"",""???0;"", ///"""),"'","""")&amp;SUBSTITUTE(TEXT(Overig!AO48,""",""?00;"",""?-00;"",""?00;"", //"""),"'","""")</f>
        <v>78989, 19130216, 0800, ////, 07, /////, 07, ////, 07, /////, 07, ////, 07, ////, 07, ////, 07, ////, 07, ///, 07, ///, 07, ////, 07, ////, 07, ///, 07, ////, 07, ////, 07, ///, 07, //, 07, ////////////, 07, ///, 07</v>
      </c>
    </row>
    <row r="49" spans="1:1" x14ac:dyDescent="0.25">
      <c r="A49" s="75" t="str">
        <f ca="1">TEXT(Overig!A49,"000\,")&amp;TEXT(Overig!B49,"?00000000")&amp;TEXT(Overig!C49,""", ""0000")&amp;SUBSTITUTE(TEXT(IF(ISTEXT(Overig!D49),Overig!D49,10*Overig!D49),""",""????0;"",""???-0;"",""????0;"", ////"""),"'","""")&amp;SUBSTITUTE(TEXT(Overig!E49,""",""?00;"",""?-00;"",""?00;"", //"""),"'","""")&amp;SUBSTITUTE(TEXT(IF(ISTEXT(Overig!F49),Overig!F49,100*Overig!F49),""",""?????0;"",""????-0;"",""?????0;"", /////"""),"'","""")&amp;SUBSTITUTE(TEXT(Overig!G49,""",""?00;"",""?-00;"",""?00;"", //"""),"'","""")&amp;SUBSTITUTE(TEXT(IF(ISTEXT(Overig!H49),Overig!H49,100*Overig!H49),""",""????0;"",""???-0;"",""????0;"", ////"""),"'","""")&amp;SUBSTITUTE(TEXT(Overig!I49,""",""?00;"",""?-00;"",""?00;"", //"""),"'","""")&amp;SUBSTITUTE(TEXT(IF(ISTEXT(Overig!J49),Overig!J49,100*Overig!J49),""",""?????0;"",""????-0;"",""?????0;"", /////"""),"'","""")&amp;SUBSTITUTE(TEXT(Overig!K49,""",""?00;"",""?-00;"",""?00;"", //"""),"'","""")&amp;SUBSTITUTE(TEXT(IF(ISTEXT(Overig!L49),Overig!L49,10*Overig!L49),""",""????0;"",""???-0;"",""????0;"", ////"""),"'","""")&amp;SUBSTITUTE(TEXT(Overig!M49,""",""?00;"",""?-00;"",""?00;"", //"""),"'","""")&amp;SUBSTITUTE(TEXT(IF(ISTEXT(Overig!N49),Overig!N49,10*Overig!N49),""",""????0;"",""???-0;"",""????0;"", ////"""),"'","""")&amp;SUBSTITUTE(TEXT(Overig!O49,""",""?00;"",""?-00;"",""?00;"", //"""),"'","""")&amp;SUBSTITUTE(TEXT(IF(ISTEXT(Overig!P49),Overig!P49,10*Overig!P49),""",""????0;"",""???-0;"",""????0;"", ////"""),"'","""")&amp;SUBSTITUTE(TEXT(Overig!Q49,""",""?00;"",""?-00;"",""?00;"", //"""),"'","""")&amp;SUBSTITUTE(TEXT(IF(ISTEXT(Overig!R49),Overig!R49,10*Overig!R49),""",""????0;"",""???-0;"",""????0;"", ////"""),"'","""")&amp;SUBSTITUTE(TEXT(Overig!S49,""",""?00;"",""?-00;"",""?00;"", //"""),"'","""")&amp;SUBSTITUTE(TEXT(Overig!T49,""",""???0;"",""??-0;"",""???0;"", ///"""),"'","""")&amp;SUBSTITUTE(TEXT(Overig!U49,""",""?00;"",""?-00;"",""?00;"", //"""),"'","""")&amp;SUBSTITUTE(TEXT(IF(ISTEXT(Overig!V49),Overig!V49,10*Overig!V49),""",""???0;"",""??-0;"",""???0;"", ///"""),"'","""")&amp;SUBSTITUTE(TEXT(Overig!W49,""",""?00;"",""?-00;"",""?00;"", //"""),"'","""")&amp;SUBSTITUTE(TEXT(IF(ISTEXT(Overig!X49),Overig!X49,10*Overig!X49),""",""????0;"",""???-0;"",""????0;"", ////"""),"'","""")&amp;SUBSTITUTE(TEXT(Overig!Y49,""",""?00;"",""?-00;"",""?00;"", //"""),"'","""")&amp;SUBSTITUTE(TEXT(IF(ISTEXT(Overig!Z49),Overig!Z49,10*Overig!Z49),""",""????0;"",""???-0;"",""????0;"", ////"""),"'","""")&amp;SUBSTITUTE(TEXT(Overig!AA49,""",""?00;"",""?-00;"",""?00;"", //"""),"'","""")&amp;SUBSTITUTE(TEXT(Overig!AB49,""",""???0;"",""??-0;"",""???0;"", ///"""),"'","""")&amp;SUBSTITUTE(TEXT(Overig!AC49,""",""?00;"",""?-00;"",""?00;"", //"""),"'","""")&amp;SUBSTITUTE(TEXT(IF(ISTEXT(Overig!AD49),Overig!AD49,10*Overig!AD49),""",""????0;"",""???-0;"",""????0;"", ////"""),"'","""")&amp;SUBSTITUTE(TEXT(Overig!AE49,""",""?00;"",""?-00;"",""?00;"", //"""),"'","""")&amp;SUBSTITUTE(TEXT(IF(ISTEXT(Overig!AF49),Overig!AF49,10*Overig!AF49),""",""????0;"",""???-0;"",""????0;"", ////"""),"'","""")&amp;SUBSTITUTE(TEXT(Overig!AG49,""",""?00;"",""?-00;"",""?00;"", //"""),"'","""")&amp;SUBSTITUTE(TEXT(Overig!AH49,""",""???0;"",""??-0;"",""???0;"", ///"""),"'","""")&amp;SUBSTITUTE(TEXT(Overig!AI49,""",""?00;"",""?-00;"",""?00;"", //"""),"'","""")&amp;SUBSTITUTE(TEXT(Overig!AJ49,""",""??0;"",""?-0;"",""??0;"", //"""),"'","""")&amp;SUBSTITUTE(TEXT(Overig!AK49,""",""?00;"",""?-00;"",""?00;"", //"""),"'","""")&amp;SUBSTITUTE(IF(EXACT(Overig!AL49,"—"),TEXT(Overig!AL49,""",""????0;"",""???-0;"",""????0;"", ////////////,"""),TEXT(Overig!AL49,"\, \'@""',""")&amp;REPT(" ",10-LEN(Overig!AL49))),"'","""")&amp;SUBSTITUTE(TEXT(Overig!AM49,"?00;?-00;?00;"" //"""),"'","""")&amp;SUBSTITUTE(TEXT(Overig!AN49,""",""???0;"",""??-0;"",""???0;"", ///"""),"'","""")&amp;SUBSTITUTE(TEXT(Overig!AO49,""",""?00;"",""?-00;"",""?00;"", //"""),"'","""")</f>
        <v>78989, 19130217, 0800, ////, 07, /////, 07, ////, 07, /////, 07, ////, 07, ////, 07, ////, 07, ////, 07, ///, 07, ///, 07, ////, 07, ////, 07, ///, 07, ////, 07, ////, 07, ///, 07, //, 07, ////////////, 07, ///, 07</v>
      </c>
    </row>
    <row r="50" spans="1:1" x14ac:dyDescent="0.25">
      <c r="A50" s="75" t="str">
        <f ca="1">TEXT(Overig!A50,"000\,")&amp;TEXT(Overig!B50,"?00000000")&amp;TEXT(Overig!C50,""", ""0000")&amp;SUBSTITUTE(TEXT(IF(ISTEXT(Overig!D50),Overig!D50,10*Overig!D50),""",""????0;"",""???-0;"",""????0;"", ////"""),"'","""")&amp;SUBSTITUTE(TEXT(Overig!E50,""",""?00;"",""?-00;"",""?00;"", //"""),"'","""")&amp;SUBSTITUTE(TEXT(IF(ISTEXT(Overig!F50),Overig!F50,100*Overig!F50),""",""?????0;"",""????-0;"",""?????0;"", /////"""),"'","""")&amp;SUBSTITUTE(TEXT(Overig!G50,""",""?00;"",""?-00;"",""?00;"", //"""),"'","""")&amp;SUBSTITUTE(TEXT(IF(ISTEXT(Overig!H50),Overig!H50,100*Overig!H50),""",""????0;"",""???-0;"",""????0;"", ////"""),"'","""")&amp;SUBSTITUTE(TEXT(Overig!I50,""",""?00;"",""?-00;"",""?00;"", //"""),"'","""")&amp;SUBSTITUTE(TEXT(IF(ISTEXT(Overig!J50),Overig!J50,100*Overig!J50),""",""?????0;"",""????-0;"",""?????0;"", /////"""),"'","""")&amp;SUBSTITUTE(TEXT(Overig!K50,""",""?00;"",""?-00;"",""?00;"", //"""),"'","""")&amp;SUBSTITUTE(TEXT(IF(ISTEXT(Overig!L50),Overig!L50,10*Overig!L50),""",""????0;"",""???-0;"",""????0;"", ////"""),"'","""")&amp;SUBSTITUTE(TEXT(Overig!M50,""",""?00;"",""?-00;"",""?00;"", //"""),"'","""")&amp;SUBSTITUTE(TEXT(IF(ISTEXT(Overig!N50),Overig!N50,10*Overig!N50),""",""????0;"",""???-0;"",""????0;"", ////"""),"'","""")&amp;SUBSTITUTE(TEXT(Overig!O50,""",""?00;"",""?-00;"",""?00;"", //"""),"'","""")&amp;SUBSTITUTE(TEXT(IF(ISTEXT(Overig!P50),Overig!P50,10*Overig!P50),""",""????0;"",""???-0;"",""????0;"", ////"""),"'","""")&amp;SUBSTITUTE(TEXT(Overig!Q50,""",""?00;"",""?-00;"",""?00;"", //"""),"'","""")&amp;SUBSTITUTE(TEXT(IF(ISTEXT(Overig!R50),Overig!R50,10*Overig!R50),""",""????0;"",""???-0;"",""????0;"", ////"""),"'","""")&amp;SUBSTITUTE(TEXT(Overig!S50,""",""?00;"",""?-00;"",""?00;"", //"""),"'","""")&amp;SUBSTITUTE(TEXT(Overig!T50,""",""???0;"",""??-0;"",""???0;"", ///"""),"'","""")&amp;SUBSTITUTE(TEXT(Overig!U50,""",""?00;"",""?-00;"",""?00;"", //"""),"'","""")&amp;SUBSTITUTE(TEXT(IF(ISTEXT(Overig!V50),Overig!V50,10*Overig!V50),""",""???0;"",""??-0;"",""???0;"", ///"""),"'","""")&amp;SUBSTITUTE(TEXT(Overig!W50,""",""?00;"",""?-00;"",""?00;"", //"""),"'","""")&amp;SUBSTITUTE(TEXT(IF(ISTEXT(Overig!X50),Overig!X50,10*Overig!X50),""",""????0;"",""???-0;"",""????0;"", ////"""),"'","""")&amp;SUBSTITUTE(TEXT(Overig!Y50,""",""?00;"",""?-00;"",""?00;"", //"""),"'","""")&amp;SUBSTITUTE(TEXT(IF(ISTEXT(Overig!Z50),Overig!Z50,10*Overig!Z50),""",""????0;"",""???-0;"",""????0;"", ////"""),"'","""")&amp;SUBSTITUTE(TEXT(Overig!AA50,""",""?00;"",""?-00;"",""?00;"", //"""),"'","""")&amp;SUBSTITUTE(TEXT(Overig!AB50,""",""???0;"",""??-0;"",""???0;"", ///"""),"'","""")&amp;SUBSTITUTE(TEXT(Overig!AC50,""",""?00;"",""?-00;"",""?00;"", //"""),"'","""")&amp;SUBSTITUTE(TEXT(IF(ISTEXT(Overig!AD50),Overig!AD50,10*Overig!AD50),""",""????0;"",""???-0;"",""????0;"", ////"""),"'","""")&amp;SUBSTITUTE(TEXT(Overig!AE50,""",""?00;"",""?-00;"",""?00;"", //"""),"'","""")&amp;SUBSTITUTE(TEXT(IF(ISTEXT(Overig!AF50),Overig!AF50,10*Overig!AF50),""",""????0;"",""???-0;"",""????0;"", ////"""),"'","""")&amp;SUBSTITUTE(TEXT(Overig!AG50,""",""?00;"",""?-00;"",""?00;"", //"""),"'","""")&amp;SUBSTITUTE(TEXT(Overig!AH50,""",""???0;"",""??-0;"",""???0;"", ///"""),"'","""")&amp;SUBSTITUTE(TEXT(Overig!AI50,""",""?00;"",""?-00;"",""?00;"", //"""),"'","""")&amp;SUBSTITUTE(TEXT(Overig!AJ50,""",""??0;"",""?-0;"",""??0;"", //"""),"'","""")&amp;SUBSTITUTE(TEXT(Overig!AK50,""",""?00;"",""?-00;"",""?00;"", //"""),"'","""")&amp;SUBSTITUTE(IF(EXACT(Overig!AL50,"—"),TEXT(Overig!AL50,""",""????0;"",""???-0;"",""????0;"", ////////////,"""),TEXT(Overig!AL50,"\, \'@""',""")&amp;REPT(" ",10-LEN(Overig!AL50))),"'","""")&amp;SUBSTITUTE(TEXT(Overig!AM50,"?00;?-00;?00;"" //"""),"'","""")&amp;SUBSTITUTE(TEXT(Overig!AN50,""",""???0;"",""??-0;"",""???0;"", ///"""),"'","""")&amp;SUBSTITUTE(TEXT(Overig!AO50,""",""?00;"",""?-00;"",""?00;"", //"""),"'","""")</f>
        <v>78989, 19130218, 0800, ////, 07, /////, 07, ////, 07, /////, 07, ////, 07, ////, 07, ////, 07, ////, 07, ///, 07, ///, 07, ////, 07, ////, 07, ///, 07, ////, 07, ////, 07, ///, 07, //, 07, ////////////, 07, ///, 07</v>
      </c>
    </row>
    <row r="51" spans="1:1" x14ac:dyDescent="0.25">
      <c r="A51" s="75" t="str">
        <f ca="1">TEXT(Overig!A51,"000\,")&amp;TEXT(Overig!B51,"?00000000")&amp;TEXT(Overig!C51,""", ""0000")&amp;SUBSTITUTE(TEXT(IF(ISTEXT(Overig!D51),Overig!D51,10*Overig!D51),""",""????0;"",""???-0;"",""????0;"", ////"""),"'","""")&amp;SUBSTITUTE(TEXT(Overig!E51,""",""?00;"",""?-00;"",""?00;"", //"""),"'","""")&amp;SUBSTITUTE(TEXT(IF(ISTEXT(Overig!F51),Overig!F51,100*Overig!F51),""",""?????0;"",""????-0;"",""?????0;"", /////"""),"'","""")&amp;SUBSTITUTE(TEXT(Overig!G51,""",""?00;"",""?-00;"",""?00;"", //"""),"'","""")&amp;SUBSTITUTE(TEXT(IF(ISTEXT(Overig!H51),Overig!H51,100*Overig!H51),""",""????0;"",""???-0;"",""????0;"", ////"""),"'","""")&amp;SUBSTITUTE(TEXT(Overig!I51,""",""?00;"",""?-00;"",""?00;"", //"""),"'","""")&amp;SUBSTITUTE(TEXT(IF(ISTEXT(Overig!J51),Overig!J51,100*Overig!J51),""",""?????0;"",""????-0;"",""?????0;"", /////"""),"'","""")&amp;SUBSTITUTE(TEXT(Overig!K51,""",""?00;"",""?-00;"",""?00;"", //"""),"'","""")&amp;SUBSTITUTE(TEXT(IF(ISTEXT(Overig!L51),Overig!L51,10*Overig!L51),""",""????0;"",""???-0;"",""????0;"", ////"""),"'","""")&amp;SUBSTITUTE(TEXT(Overig!M51,""",""?00;"",""?-00;"",""?00;"", //"""),"'","""")&amp;SUBSTITUTE(TEXT(IF(ISTEXT(Overig!N51),Overig!N51,10*Overig!N51),""",""????0;"",""???-0;"",""????0;"", ////"""),"'","""")&amp;SUBSTITUTE(TEXT(Overig!O51,""",""?00;"",""?-00;"",""?00;"", //"""),"'","""")&amp;SUBSTITUTE(TEXT(IF(ISTEXT(Overig!P51),Overig!P51,10*Overig!P51),""",""????0;"",""???-0;"",""????0;"", ////"""),"'","""")&amp;SUBSTITUTE(TEXT(Overig!Q51,""",""?00;"",""?-00;"",""?00;"", //"""),"'","""")&amp;SUBSTITUTE(TEXT(IF(ISTEXT(Overig!R51),Overig!R51,10*Overig!R51),""",""????0;"",""???-0;"",""????0;"", ////"""),"'","""")&amp;SUBSTITUTE(TEXT(Overig!S51,""",""?00;"",""?-00;"",""?00;"", //"""),"'","""")&amp;SUBSTITUTE(TEXT(Overig!T51,""",""???0;"",""??-0;"",""???0;"", ///"""),"'","""")&amp;SUBSTITUTE(TEXT(Overig!U51,""",""?00;"",""?-00;"",""?00;"", //"""),"'","""")&amp;SUBSTITUTE(TEXT(IF(ISTEXT(Overig!V51),Overig!V51,10*Overig!V51),""",""???0;"",""??-0;"",""???0;"", ///"""),"'","""")&amp;SUBSTITUTE(TEXT(Overig!W51,""",""?00;"",""?-00;"",""?00;"", //"""),"'","""")&amp;SUBSTITUTE(TEXT(IF(ISTEXT(Overig!X51),Overig!X51,10*Overig!X51),""",""????0;"",""???-0;"",""????0;"", ////"""),"'","""")&amp;SUBSTITUTE(TEXT(Overig!Y51,""",""?00;"",""?-00;"",""?00;"", //"""),"'","""")&amp;SUBSTITUTE(TEXT(IF(ISTEXT(Overig!Z51),Overig!Z51,10*Overig!Z51),""",""????0;"",""???-0;"",""????0;"", ////"""),"'","""")&amp;SUBSTITUTE(TEXT(Overig!AA51,""",""?00;"",""?-00;"",""?00;"", //"""),"'","""")&amp;SUBSTITUTE(TEXT(Overig!AB51,""",""???0;"",""??-0;"",""???0;"", ///"""),"'","""")&amp;SUBSTITUTE(TEXT(Overig!AC51,""",""?00;"",""?-00;"",""?00;"", //"""),"'","""")&amp;SUBSTITUTE(TEXT(IF(ISTEXT(Overig!AD51),Overig!AD51,10*Overig!AD51),""",""????0;"",""???-0;"",""????0;"", ////"""),"'","""")&amp;SUBSTITUTE(TEXT(Overig!AE51,""",""?00;"",""?-00;"",""?00;"", //"""),"'","""")&amp;SUBSTITUTE(TEXT(IF(ISTEXT(Overig!AF51),Overig!AF51,10*Overig!AF51),""",""????0;"",""???-0;"",""????0;"", ////"""),"'","""")&amp;SUBSTITUTE(TEXT(Overig!AG51,""",""?00;"",""?-00;"",""?00;"", //"""),"'","""")&amp;SUBSTITUTE(TEXT(Overig!AH51,""",""???0;"",""??-0;"",""???0;"", ///"""),"'","""")&amp;SUBSTITUTE(TEXT(Overig!AI51,""",""?00;"",""?-00;"",""?00;"", //"""),"'","""")&amp;SUBSTITUTE(TEXT(Overig!AJ51,""",""??0;"",""?-0;"",""??0;"", //"""),"'","""")&amp;SUBSTITUTE(TEXT(Overig!AK51,""",""?00;"",""?-00;"",""?00;"", //"""),"'","""")&amp;SUBSTITUTE(IF(EXACT(Overig!AL51,"—"),TEXT(Overig!AL51,""",""????0;"",""???-0;"",""????0;"", ////////////,"""),TEXT(Overig!AL51,"\, \'@""',""")&amp;REPT(" ",10-LEN(Overig!AL51))),"'","""")&amp;SUBSTITUTE(TEXT(Overig!AM51,"?00;?-00;?00;"" //"""),"'","""")&amp;SUBSTITUTE(TEXT(Overig!AN51,""",""???0;"",""??-0;"",""???0;"", ///"""),"'","""")&amp;SUBSTITUTE(TEXT(Overig!AO51,""",""?00;"",""?-00;"",""?00;"", //"""),"'","""")</f>
        <v>78989, 19130219, 0800, ////, 07, /////, 07, ////, 07, /////, 07, ////, 07, ////, 07, ////, 07, ////, 07, ///, 07, ///, 07, ////, 07, ////, 07, ///, 07, ////, 07, ////, 07, ///, 07, //, 07, ////////////, 07, ///, 07</v>
      </c>
    </row>
    <row r="52" spans="1:1" x14ac:dyDescent="0.25">
      <c r="A52" s="75" t="str">
        <f ca="1">TEXT(Overig!A52,"000\,")&amp;TEXT(Overig!B52,"?00000000")&amp;TEXT(Overig!C52,""", ""0000")&amp;SUBSTITUTE(TEXT(IF(ISTEXT(Overig!D52),Overig!D52,10*Overig!D52),""",""????0;"",""???-0;"",""????0;"", ////"""),"'","""")&amp;SUBSTITUTE(TEXT(Overig!E52,""",""?00;"",""?-00;"",""?00;"", //"""),"'","""")&amp;SUBSTITUTE(TEXT(IF(ISTEXT(Overig!F52),Overig!F52,100*Overig!F52),""",""?????0;"",""????-0;"",""?????0;"", /////"""),"'","""")&amp;SUBSTITUTE(TEXT(Overig!G52,""",""?00;"",""?-00;"",""?00;"", //"""),"'","""")&amp;SUBSTITUTE(TEXT(IF(ISTEXT(Overig!H52),Overig!H52,100*Overig!H52),""",""????0;"",""???-0;"",""????0;"", ////"""),"'","""")&amp;SUBSTITUTE(TEXT(Overig!I52,""",""?00;"",""?-00;"",""?00;"", //"""),"'","""")&amp;SUBSTITUTE(TEXT(IF(ISTEXT(Overig!J52),Overig!J52,100*Overig!J52),""",""?????0;"",""????-0;"",""?????0;"", /////"""),"'","""")&amp;SUBSTITUTE(TEXT(Overig!K52,""",""?00;"",""?-00;"",""?00;"", //"""),"'","""")&amp;SUBSTITUTE(TEXT(IF(ISTEXT(Overig!L52),Overig!L52,10*Overig!L52),""",""????0;"",""???-0;"",""????0;"", ////"""),"'","""")&amp;SUBSTITUTE(TEXT(Overig!M52,""",""?00;"",""?-00;"",""?00;"", //"""),"'","""")&amp;SUBSTITUTE(TEXT(IF(ISTEXT(Overig!N52),Overig!N52,10*Overig!N52),""",""????0;"",""???-0;"",""????0;"", ////"""),"'","""")&amp;SUBSTITUTE(TEXT(Overig!O52,""",""?00;"",""?-00;"",""?00;"", //"""),"'","""")&amp;SUBSTITUTE(TEXT(IF(ISTEXT(Overig!P52),Overig!P52,10*Overig!P52),""",""????0;"",""???-0;"",""????0;"", ////"""),"'","""")&amp;SUBSTITUTE(TEXT(Overig!Q52,""",""?00;"",""?-00;"",""?00;"", //"""),"'","""")&amp;SUBSTITUTE(TEXT(IF(ISTEXT(Overig!R52),Overig!R52,10*Overig!R52),""",""????0;"",""???-0;"",""????0;"", ////"""),"'","""")&amp;SUBSTITUTE(TEXT(Overig!S52,""",""?00;"",""?-00;"",""?00;"", //"""),"'","""")&amp;SUBSTITUTE(TEXT(Overig!T52,""",""???0;"",""??-0;"",""???0;"", ///"""),"'","""")&amp;SUBSTITUTE(TEXT(Overig!U52,""",""?00;"",""?-00;"",""?00;"", //"""),"'","""")&amp;SUBSTITUTE(TEXT(IF(ISTEXT(Overig!V52),Overig!V52,10*Overig!V52),""",""???0;"",""??-0;"",""???0;"", ///"""),"'","""")&amp;SUBSTITUTE(TEXT(Overig!W52,""",""?00;"",""?-00;"",""?00;"", //"""),"'","""")&amp;SUBSTITUTE(TEXT(IF(ISTEXT(Overig!X52),Overig!X52,10*Overig!X52),""",""????0;"",""???-0;"",""????0;"", ////"""),"'","""")&amp;SUBSTITUTE(TEXT(Overig!Y52,""",""?00;"",""?-00;"",""?00;"", //"""),"'","""")&amp;SUBSTITUTE(TEXT(IF(ISTEXT(Overig!Z52),Overig!Z52,10*Overig!Z52),""",""????0;"",""???-0;"",""????0;"", ////"""),"'","""")&amp;SUBSTITUTE(TEXT(Overig!AA52,""",""?00;"",""?-00;"",""?00;"", //"""),"'","""")&amp;SUBSTITUTE(TEXT(Overig!AB52,""",""???0;"",""??-0;"",""???0;"", ///"""),"'","""")&amp;SUBSTITUTE(TEXT(Overig!AC52,""",""?00;"",""?-00;"",""?00;"", //"""),"'","""")&amp;SUBSTITUTE(TEXT(IF(ISTEXT(Overig!AD52),Overig!AD52,10*Overig!AD52),""",""????0;"",""???-0;"",""????0;"", ////"""),"'","""")&amp;SUBSTITUTE(TEXT(Overig!AE52,""",""?00;"",""?-00;"",""?00;"", //"""),"'","""")&amp;SUBSTITUTE(TEXT(IF(ISTEXT(Overig!AF52),Overig!AF52,10*Overig!AF52),""",""????0;"",""???-0;"",""????0;"", ////"""),"'","""")&amp;SUBSTITUTE(TEXT(Overig!AG52,""",""?00;"",""?-00;"",""?00;"", //"""),"'","""")&amp;SUBSTITUTE(TEXT(Overig!AH52,""",""???0;"",""??-0;"",""???0;"", ///"""),"'","""")&amp;SUBSTITUTE(TEXT(Overig!AI52,""",""?00;"",""?-00;"",""?00;"", //"""),"'","""")&amp;SUBSTITUTE(TEXT(Overig!AJ52,""",""??0;"",""?-0;"",""??0;"", //"""),"'","""")&amp;SUBSTITUTE(TEXT(Overig!AK52,""",""?00;"",""?-00;"",""?00;"", //"""),"'","""")&amp;SUBSTITUTE(IF(EXACT(Overig!AL52,"—"),TEXT(Overig!AL52,""",""????0;"",""???-0;"",""????0;"", ////////////,"""),TEXT(Overig!AL52,"\, \'@""',""")&amp;REPT(" ",10-LEN(Overig!AL52))),"'","""")&amp;SUBSTITUTE(TEXT(Overig!AM52,"?00;?-00;?00;"" //"""),"'","""")&amp;SUBSTITUTE(TEXT(Overig!AN52,""",""???0;"",""??-0;"",""???0;"", ///"""),"'","""")&amp;SUBSTITUTE(TEXT(Overig!AO52,""",""?00;"",""?-00;"",""?00;"", //"""),"'","""")</f>
        <v>78989, 19130220, 0800, ////, 07, /////, 07, ////, 07, /////, 07, ////, 07, ////, 07, ////, 07, ////, 07, ///, 07, ///, 07, ////, 07, ////, 07, ///, 07, ////, 07, ////, 07, ///, 07, //, 07, ////////////, 07, ///, 07</v>
      </c>
    </row>
    <row r="53" spans="1:1" x14ac:dyDescent="0.25">
      <c r="A53" s="75" t="str">
        <f ca="1">TEXT(Overig!A53,"000\,")&amp;TEXT(Overig!B53,"?00000000")&amp;TEXT(Overig!C53,""", ""0000")&amp;SUBSTITUTE(TEXT(IF(ISTEXT(Overig!D53),Overig!D53,10*Overig!D53),""",""????0;"",""???-0;"",""????0;"", ////"""),"'","""")&amp;SUBSTITUTE(TEXT(Overig!E53,""",""?00;"",""?-00;"",""?00;"", //"""),"'","""")&amp;SUBSTITUTE(TEXT(IF(ISTEXT(Overig!F53),Overig!F53,100*Overig!F53),""",""?????0;"",""????-0;"",""?????0;"", /////"""),"'","""")&amp;SUBSTITUTE(TEXT(Overig!G53,""",""?00;"",""?-00;"",""?00;"", //"""),"'","""")&amp;SUBSTITUTE(TEXT(IF(ISTEXT(Overig!H53),Overig!H53,100*Overig!H53),""",""????0;"",""???-0;"",""????0;"", ////"""),"'","""")&amp;SUBSTITUTE(TEXT(Overig!I53,""",""?00;"",""?-00;"",""?00;"", //"""),"'","""")&amp;SUBSTITUTE(TEXT(IF(ISTEXT(Overig!J53),Overig!J53,100*Overig!J53),""",""?????0;"",""????-0;"",""?????0;"", /////"""),"'","""")&amp;SUBSTITUTE(TEXT(Overig!K53,""",""?00;"",""?-00;"",""?00;"", //"""),"'","""")&amp;SUBSTITUTE(TEXT(IF(ISTEXT(Overig!L53),Overig!L53,10*Overig!L53),""",""????0;"",""???-0;"",""????0;"", ////"""),"'","""")&amp;SUBSTITUTE(TEXT(Overig!M53,""",""?00;"",""?-00;"",""?00;"", //"""),"'","""")&amp;SUBSTITUTE(TEXT(IF(ISTEXT(Overig!N53),Overig!N53,10*Overig!N53),""",""????0;"",""???-0;"",""????0;"", ////"""),"'","""")&amp;SUBSTITUTE(TEXT(Overig!O53,""",""?00;"",""?-00;"",""?00;"", //"""),"'","""")&amp;SUBSTITUTE(TEXT(IF(ISTEXT(Overig!P53),Overig!P53,10*Overig!P53),""",""????0;"",""???-0;"",""????0;"", ////"""),"'","""")&amp;SUBSTITUTE(TEXT(Overig!Q53,""",""?00;"",""?-00;"",""?00;"", //"""),"'","""")&amp;SUBSTITUTE(TEXT(IF(ISTEXT(Overig!R53),Overig!R53,10*Overig!R53),""",""????0;"",""???-0;"",""????0;"", ////"""),"'","""")&amp;SUBSTITUTE(TEXT(Overig!S53,""",""?00;"",""?-00;"",""?00;"", //"""),"'","""")&amp;SUBSTITUTE(TEXT(Overig!T53,""",""???0;"",""??-0;"",""???0;"", ///"""),"'","""")&amp;SUBSTITUTE(TEXT(Overig!U53,""",""?00;"",""?-00;"",""?00;"", //"""),"'","""")&amp;SUBSTITUTE(TEXT(IF(ISTEXT(Overig!V53),Overig!V53,10*Overig!V53),""",""???0;"",""??-0;"",""???0;"", ///"""),"'","""")&amp;SUBSTITUTE(TEXT(Overig!W53,""",""?00;"",""?-00;"",""?00;"", //"""),"'","""")&amp;SUBSTITUTE(TEXT(IF(ISTEXT(Overig!X53),Overig!X53,10*Overig!X53),""",""????0;"",""???-0;"",""????0;"", ////"""),"'","""")&amp;SUBSTITUTE(TEXT(Overig!Y53,""",""?00;"",""?-00;"",""?00;"", //"""),"'","""")&amp;SUBSTITUTE(TEXT(IF(ISTEXT(Overig!Z53),Overig!Z53,10*Overig!Z53),""",""????0;"",""???-0;"",""????0;"", ////"""),"'","""")&amp;SUBSTITUTE(TEXT(Overig!AA53,""",""?00;"",""?-00;"",""?00;"", //"""),"'","""")&amp;SUBSTITUTE(TEXT(Overig!AB53,""",""???0;"",""??-0;"",""???0;"", ///"""),"'","""")&amp;SUBSTITUTE(TEXT(Overig!AC53,""",""?00;"",""?-00;"",""?00;"", //"""),"'","""")&amp;SUBSTITUTE(TEXT(IF(ISTEXT(Overig!AD53),Overig!AD53,10*Overig!AD53),""",""????0;"",""???-0;"",""????0;"", ////"""),"'","""")&amp;SUBSTITUTE(TEXT(Overig!AE53,""",""?00;"",""?-00;"",""?00;"", //"""),"'","""")&amp;SUBSTITUTE(TEXT(IF(ISTEXT(Overig!AF53),Overig!AF53,10*Overig!AF53),""",""????0;"",""???-0;"",""????0;"", ////"""),"'","""")&amp;SUBSTITUTE(TEXT(Overig!AG53,""",""?00;"",""?-00;"",""?00;"", //"""),"'","""")&amp;SUBSTITUTE(TEXT(Overig!AH53,""",""???0;"",""??-0;"",""???0;"", ///"""),"'","""")&amp;SUBSTITUTE(TEXT(Overig!AI53,""",""?00;"",""?-00;"",""?00;"", //"""),"'","""")&amp;SUBSTITUTE(TEXT(Overig!AJ53,""",""??0;"",""?-0;"",""??0;"", //"""),"'","""")&amp;SUBSTITUTE(TEXT(Overig!AK53,""",""?00;"",""?-00;"",""?00;"", //"""),"'","""")&amp;SUBSTITUTE(IF(EXACT(Overig!AL53,"—"),TEXT(Overig!AL53,""",""????0;"",""???-0;"",""????0;"", ////////////,"""),TEXT(Overig!AL53,"\, \'@""',""")&amp;REPT(" ",10-LEN(Overig!AL53))),"'","""")&amp;SUBSTITUTE(TEXT(Overig!AM53,"?00;?-00;?00;"" //"""),"'","""")&amp;SUBSTITUTE(TEXT(Overig!AN53,""",""???0;"",""??-0;"",""???0;"", ///"""),"'","""")&amp;SUBSTITUTE(TEXT(Overig!AO53,""",""?00;"",""?-00;"",""?00;"", //"""),"'","""")</f>
        <v>78989, 19130221, 0800, ////, 07, /////, 07, ////, 07, /////, 07, ////, 07, ////, 07, ////, 07, ////, 07, ///, 07, ///, 07, ////, 07, ////, 07, ///, 07, ////, 07, ////, 07, ///, 07, //, 07, ////////////, 07, ///, 07</v>
      </c>
    </row>
    <row r="54" spans="1:1" x14ac:dyDescent="0.25">
      <c r="A54" s="75" t="str">
        <f ca="1">TEXT(Overig!A54,"000\,")&amp;TEXT(Overig!B54,"?00000000")&amp;TEXT(Overig!C54,""", ""0000")&amp;SUBSTITUTE(TEXT(IF(ISTEXT(Overig!D54),Overig!D54,10*Overig!D54),""",""????0;"",""???-0;"",""????0;"", ////"""),"'","""")&amp;SUBSTITUTE(TEXT(Overig!E54,""",""?00;"",""?-00;"",""?00;"", //"""),"'","""")&amp;SUBSTITUTE(TEXT(IF(ISTEXT(Overig!F54),Overig!F54,100*Overig!F54),""",""?????0;"",""????-0;"",""?????0;"", /////"""),"'","""")&amp;SUBSTITUTE(TEXT(Overig!G54,""",""?00;"",""?-00;"",""?00;"", //"""),"'","""")&amp;SUBSTITUTE(TEXT(IF(ISTEXT(Overig!H54),Overig!H54,100*Overig!H54),""",""????0;"",""???-0;"",""????0;"", ////"""),"'","""")&amp;SUBSTITUTE(TEXT(Overig!I54,""",""?00;"",""?-00;"",""?00;"", //"""),"'","""")&amp;SUBSTITUTE(TEXT(IF(ISTEXT(Overig!J54),Overig!J54,100*Overig!J54),""",""?????0;"",""????-0;"",""?????0;"", /////"""),"'","""")&amp;SUBSTITUTE(TEXT(Overig!K54,""",""?00;"",""?-00;"",""?00;"", //"""),"'","""")&amp;SUBSTITUTE(TEXT(IF(ISTEXT(Overig!L54),Overig!L54,10*Overig!L54),""",""????0;"",""???-0;"",""????0;"", ////"""),"'","""")&amp;SUBSTITUTE(TEXT(Overig!M54,""",""?00;"",""?-00;"",""?00;"", //"""),"'","""")&amp;SUBSTITUTE(TEXT(IF(ISTEXT(Overig!N54),Overig!N54,10*Overig!N54),""",""????0;"",""???-0;"",""????0;"", ////"""),"'","""")&amp;SUBSTITUTE(TEXT(Overig!O54,""",""?00;"",""?-00;"",""?00;"", //"""),"'","""")&amp;SUBSTITUTE(TEXT(IF(ISTEXT(Overig!P54),Overig!P54,10*Overig!P54),""",""????0;"",""???-0;"",""????0;"", ////"""),"'","""")&amp;SUBSTITUTE(TEXT(Overig!Q54,""",""?00;"",""?-00;"",""?00;"", //"""),"'","""")&amp;SUBSTITUTE(TEXT(IF(ISTEXT(Overig!R54),Overig!R54,10*Overig!R54),""",""????0;"",""???-0;"",""????0;"", ////"""),"'","""")&amp;SUBSTITUTE(TEXT(Overig!S54,""",""?00;"",""?-00;"",""?00;"", //"""),"'","""")&amp;SUBSTITUTE(TEXT(Overig!T54,""",""???0;"",""??-0;"",""???0;"", ///"""),"'","""")&amp;SUBSTITUTE(TEXT(Overig!U54,""",""?00;"",""?-00;"",""?00;"", //"""),"'","""")&amp;SUBSTITUTE(TEXT(IF(ISTEXT(Overig!V54),Overig!V54,10*Overig!V54),""",""???0;"",""??-0;"",""???0;"", ///"""),"'","""")&amp;SUBSTITUTE(TEXT(Overig!W54,""",""?00;"",""?-00;"",""?00;"", //"""),"'","""")&amp;SUBSTITUTE(TEXT(IF(ISTEXT(Overig!X54),Overig!X54,10*Overig!X54),""",""????0;"",""???-0;"",""????0;"", ////"""),"'","""")&amp;SUBSTITUTE(TEXT(Overig!Y54,""",""?00;"",""?-00;"",""?00;"", //"""),"'","""")&amp;SUBSTITUTE(TEXT(IF(ISTEXT(Overig!Z54),Overig!Z54,10*Overig!Z54),""",""????0;"",""???-0;"",""????0;"", ////"""),"'","""")&amp;SUBSTITUTE(TEXT(Overig!AA54,""",""?00;"",""?-00;"",""?00;"", //"""),"'","""")&amp;SUBSTITUTE(TEXT(Overig!AB54,""",""???0;"",""??-0;"",""???0;"", ///"""),"'","""")&amp;SUBSTITUTE(TEXT(Overig!AC54,""",""?00;"",""?-00;"",""?00;"", //"""),"'","""")&amp;SUBSTITUTE(TEXT(IF(ISTEXT(Overig!AD54),Overig!AD54,10*Overig!AD54),""",""????0;"",""???-0;"",""????0;"", ////"""),"'","""")&amp;SUBSTITUTE(TEXT(Overig!AE54,""",""?00;"",""?-00;"",""?00;"", //"""),"'","""")&amp;SUBSTITUTE(TEXT(IF(ISTEXT(Overig!AF54),Overig!AF54,10*Overig!AF54),""",""????0;"",""???-0;"",""????0;"", ////"""),"'","""")&amp;SUBSTITUTE(TEXT(Overig!AG54,""",""?00;"",""?-00;"",""?00;"", //"""),"'","""")&amp;SUBSTITUTE(TEXT(Overig!AH54,""",""???0;"",""??-0;"",""???0;"", ///"""),"'","""")&amp;SUBSTITUTE(TEXT(Overig!AI54,""",""?00;"",""?-00;"",""?00;"", //"""),"'","""")&amp;SUBSTITUTE(TEXT(Overig!AJ54,""",""??0;"",""?-0;"",""??0;"", //"""),"'","""")&amp;SUBSTITUTE(TEXT(Overig!AK54,""",""?00;"",""?-00;"",""?00;"", //"""),"'","""")&amp;SUBSTITUTE(IF(EXACT(Overig!AL54,"—"),TEXT(Overig!AL54,""",""????0;"",""???-0;"",""????0;"", ////////////,"""),TEXT(Overig!AL54,"\, \'@""',""")&amp;REPT(" ",10-LEN(Overig!AL54))),"'","""")&amp;SUBSTITUTE(TEXT(Overig!AM54,"?00;?-00;?00;"" //"""),"'","""")&amp;SUBSTITUTE(TEXT(Overig!AN54,""",""???0;"",""??-0;"",""???0;"", ///"""),"'","""")&amp;SUBSTITUTE(TEXT(Overig!AO54,""",""?00;"",""?-00;"",""?00;"", //"""),"'","""")</f>
        <v>78989, 19130222, 0800, ////, 07, /////, 07, ////, 07, /////, 07, ////, 07, ////, 07, ////, 07, ////, 07, ///, 07, ///, 07, ////, 07, ////, 07, ///, 07, ////, 07, ////, 07, ///, 07, //, 07, ////////////, 07, ///, 07</v>
      </c>
    </row>
    <row r="55" spans="1:1" x14ac:dyDescent="0.25">
      <c r="A55" s="75" t="str">
        <f ca="1">TEXT(Overig!A55,"000\,")&amp;TEXT(Overig!B55,"?00000000")&amp;TEXT(Overig!C55,""", ""0000")&amp;SUBSTITUTE(TEXT(IF(ISTEXT(Overig!D55),Overig!D55,10*Overig!D55),""",""????0;"",""???-0;"",""????0;"", ////"""),"'","""")&amp;SUBSTITUTE(TEXT(Overig!E55,""",""?00;"",""?-00;"",""?00;"", //"""),"'","""")&amp;SUBSTITUTE(TEXT(IF(ISTEXT(Overig!F55),Overig!F55,100*Overig!F55),""",""?????0;"",""????-0;"",""?????0;"", /////"""),"'","""")&amp;SUBSTITUTE(TEXT(Overig!G55,""",""?00;"",""?-00;"",""?00;"", //"""),"'","""")&amp;SUBSTITUTE(TEXT(IF(ISTEXT(Overig!H55),Overig!H55,100*Overig!H55),""",""????0;"",""???-0;"",""????0;"", ////"""),"'","""")&amp;SUBSTITUTE(TEXT(Overig!I55,""",""?00;"",""?-00;"",""?00;"", //"""),"'","""")&amp;SUBSTITUTE(TEXT(IF(ISTEXT(Overig!J55),Overig!J55,100*Overig!J55),""",""?????0;"",""????-0;"",""?????0;"", /////"""),"'","""")&amp;SUBSTITUTE(TEXT(Overig!K55,""",""?00;"",""?-00;"",""?00;"", //"""),"'","""")&amp;SUBSTITUTE(TEXT(IF(ISTEXT(Overig!L55),Overig!L55,10*Overig!L55),""",""????0;"",""???-0;"",""????0;"", ////"""),"'","""")&amp;SUBSTITUTE(TEXT(Overig!M55,""",""?00;"",""?-00;"",""?00;"", //"""),"'","""")&amp;SUBSTITUTE(TEXT(IF(ISTEXT(Overig!N55),Overig!N55,10*Overig!N55),""",""????0;"",""???-0;"",""????0;"", ////"""),"'","""")&amp;SUBSTITUTE(TEXT(Overig!O55,""",""?00;"",""?-00;"",""?00;"", //"""),"'","""")&amp;SUBSTITUTE(TEXT(IF(ISTEXT(Overig!P55),Overig!P55,10*Overig!P55),""",""????0;"",""???-0;"",""????0;"", ////"""),"'","""")&amp;SUBSTITUTE(TEXT(Overig!Q55,""",""?00;"",""?-00;"",""?00;"", //"""),"'","""")&amp;SUBSTITUTE(TEXT(IF(ISTEXT(Overig!R55),Overig!R55,10*Overig!R55),""",""????0;"",""???-0;"",""????0;"", ////"""),"'","""")&amp;SUBSTITUTE(TEXT(Overig!S55,""",""?00;"",""?-00;"",""?00;"", //"""),"'","""")&amp;SUBSTITUTE(TEXT(Overig!T55,""",""???0;"",""??-0;"",""???0;"", ///"""),"'","""")&amp;SUBSTITUTE(TEXT(Overig!U55,""",""?00;"",""?-00;"",""?00;"", //"""),"'","""")&amp;SUBSTITUTE(TEXT(IF(ISTEXT(Overig!V55),Overig!V55,10*Overig!V55),""",""???0;"",""??-0;"",""???0;"", ///"""),"'","""")&amp;SUBSTITUTE(TEXT(Overig!W55,""",""?00;"",""?-00;"",""?00;"", //"""),"'","""")&amp;SUBSTITUTE(TEXT(IF(ISTEXT(Overig!X55),Overig!X55,10*Overig!X55),""",""????0;"",""???-0;"",""????0;"", ////"""),"'","""")&amp;SUBSTITUTE(TEXT(Overig!Y55,""",""?00;"",""?-00;"",""?00;"", //"""),"'","""")&amp;SUBSTITUTE(TEXT(IF(ISTEXT(Overig!Z55),Overig!Z55,10*Overig!Z55),""",""????0;"",""???-0;"",""????0;"", ////"""),"'","""")&amp;SUBSTITUTE(TEXT(Overig!AA55,""",""?00;"",""?-00;"",""?00;"", //"""),"'","""")&amp;SUBSTITUTE(TEXT(Overig!AB55,""",""???0;"",""??-0;"",""???0;"", ///"""),"'","""")&amp;SUBSTITUTE(TEXT(Overig!AC55,""",""?00;"",""?-00;"",""?00;"", //"""),"'","""")&amp;SUBSTITUTE(TEXT(IF(ISTEXT(Overig!AD55),Overig!AD55,10*Overig!AD55),""",""????0;"",""???-0;"",""????0;"", ////"""),"'","""")&amp;SUBSTITUTE(TEXT(Overig!AE55,""",""?00;"",""?-00;"",""?00;"", //"""),"'","""")&amp;SUBSTITUTE(TEXT(IF(ISTEXT(Overig!AF55),Overig!AF55,10*Overig!AF55),""",""????0;"",""???-0;"",""????0;"", ////"""),"'","""")&amp;SUBSTITUTE(TEXT(Overig!AG55,""",""?00;"",""?-00;"",""?00;"", //"""),"'","""")&amp;SUBSTITUTE(TEXT(Overig!AH55,""",""???0;"",""??-0;"",""???0;"", ///"""),"'","""")&amp;SUBSTITUTE(TEXT(Overig!AI55,""",""?00;"",""?-00;"",""?00;"", //"""),"'","""")&amp;SUBSTITUTE(TEXT(Overig!AJ55,""",""??0;"",""?-0;"",""??0;"", //"""),"'","""")&amp;SUBSTITUTE(TEXT(Overig!AK55,""",""?00;"",""?-00;"",""?00;"", //"""),"'","""")&amp;SUBSTITUTE(IF(EXACT(Overig!AL55,"—"),TEXT(Overig!AL55,""",""????0;"",""???-0;"",""????0;"", ////////////,"""),TEXT(Overig!AL55,"\, \'@""',""")&amp;REPT(" ",10-LEN(Overig!AL55))),"'","""")&amp;SUBSTITUTE(TEXT(Overig!AM55,"?00;?-00;?00;"" //"""),"'","""")&amp;SUBSTITUTE(TEXT(Overig!AN55,""",""???0;"",""??-0;"",""???0;"", ///"""),"'","""")&amp;SUBSTITUTE(TEXT(Overig!AO55,""",""?00;"",""?-00;"",""?00;"", //"""),"'","""")</f>
        <v>78989, 19130223, 0800, ////, 07, /////, 07, ////, 07, /////, 07, ////, 07, ////, 07, ////, 07, ////, 07, ///, 07, ///, 07, ////, 07, ////, 07, ///, 07, ////, 07, ////, 07, ///, 07, //, 07, ////////////, 07, ///, 07</v>
      </c>
    </row>
    <row r="56" spans="1:1" x14ac:dyDescent="0.25">
      <c r="A56" s="75" t="str">
        <f ca="1">TEXT(Overig!A56,"000\,")&amp;TEXT(Overig!B56,"?00000000")&amp;TEXT(Overig!C56,""", ""0000")&amp;SUBSTITUTE(TEXT(IF(ISTEXT(Overig!D56),Overig!D56,10*Overig!D56),""",""????0;"",""???-0;"",""????0;"", ////"""),"'","""")&amp;SUBSTITUTE(TEXT(Overig!E56,""",""?00;"",""?-00;"",""?00;"", //"""),"'","""")&amp;SUBSTITUTE(TEXT(IF(ISTEXT(Overig!F56),Overig!F56,100*Overig!F56),""",""?????0;"",""????-0;"",""?????0;"", /////"""),"'","""")&amp;SUBSTITUTE(TEXT(Overig!G56,""",""?00;"",""?-00;"",""?00;"", //"""),"'","""")&amp;SUBSTITUTE(TEXT(IF(ISTEXT(Overig!H56),Overig!H56,100*Overig!H56),""",""????0;"",""???-0;"",""????0;"", ////"""),"'","""")&amp;SUBSTITUTE(TEXT(Overig!I56,""",""?00;"",""?-00;"",""?00;"", //"""),"'","""")&amp;SUBSTITUTE(TEXT(IF(ISTEXT(Overig!J56),Overig!J56,100*Overig!J56),""",""?????0;"",""????-0;"",""?????0;"", /////"""),"'","""")&amp;SUBSTITUTE(TEXT(Overig!K56,""",""?00;"",""?-00;"",""?00;"", //"""),"'","""")&amp;SUBSTITUTE(TEXT(IF(ISTEXT(Overig!L56),Overig!L56,10*Overig!L56),""",""????0;"",""???-0;"",""????0;"", ////"""),"'","""")&amp;SUBSTITUTE(TEXT(Overig!M56,""",""?00;"",""?-00;"",""?00;"", //"""),"'","""")&amp;SUBSTITUTE(TEXT(IF(ISTEXT(Overig!N56),Overig!N56,10*Overig!N56),""",""????0;"",""???-0;"",""????0;"", ////"""),"'","""")&amp;SUBSTITUTE(TEXT(Overig!O56,""",""?00;"",""?-00;"",""?00;"", //"""),"'","""")&amp;SUBSTITUTE(TEXT(IF(ISTEXT(Overig!P56),Overig!P56,10*Overig!P56),""",""????0;"",""???-0;"",""????0;"", ////"""),"'","""")&amp;SUBSTITUTE(TEXT(Overig!Q56,""",""?00;"",""?-00;"",""?00;"", //"""),"'","""")&amp;SUBSTITUTE(TEXT(IF(ISTEXT(Overig!R56),Overig!R56,10*Overig!R56),""",""????0;"",""???-0;"",""????0;"", ////"""),"'","""")&amp;SUBSTITUTE(TEXT(Overig!S56,""",""?00;"",""?-00;"",""?00;"", //"""),"'","""")&amp;SUBSTITUTE(TEXT(Overig!T56,""",""???0;"",""??-0;"",""???0;"", ///"""),"'","""")&amp;SUBSTITUTE(TEXT(Overig!U56,""",""?00;"",""?-00;"",""?00;"", //"""),"'","""")&amp;SUBSTITUTE(TEXT(IF(ISTEXT(Overig!V56),Overig!V56,10*Overig!V56),""",""???0;"",""??-0;"",""???0;"", ///"""),"'","""")&amp;SUBSTITUTE(TEXT(Overig!W56,""",""?00;"",""?-00;"",""?00;"", //"""),"'","""")&amp;SUBSTITUTE(TEXT(IF(ISTEXT(Overig!X56),Overig!X56,10*Overig!X56),""",""????0;"",""???-0;"",""????0;"", ////"""),"'","""")&amp;SUBSTITUTE(TEXT(Overig!Y56,""",""?00;"",""?-00;"",""?00;"", //"""),"'","""")&amp;SUBSTITUTE(TEXT(IF(ISTEXT(Overig!Z56),Overig!Z56,10*Overig!Z56),""",""????0;"",""???-0;"",""????0;"", ////"""),"'","""")&amp;SUBSTITUTE(TEXT(Overig!AA56,""",""?00;"",""?-00;"",""?00;"", //"""),"'","""")&amp;SUBSTITUTE(TEXT(Overig!AB56,""",""???0;"",""??-0;"",""???0;"", ///"""),"'","""")&amp;SUBSTITUTE(TEXT(Overig!AC56,""",""?00;"",""?-00;"",""?00;"", //"""),"'","""")&amp;SUBSTITUTE(TEXT(IF(ISTEXT(Overig!AD56),Overig!AD56,10*Overig!AD56),""",""????0;"",""???-0;"",""????0;"", ////"""),"'","""")&amp;SUBSTITUTE(TEXT(Overig!AE56,""",""?00;"",""?-00;"",""?00;"", //"""),"'","""")&amp;SUBSTITUTE(TEXT(IF(ISTEXT(Overig!AF56),Overig!AF56,10*Overig!AF56),""",""????0;"",""???-0;"",""????0;"", ////"""),"'","""")&amp;SUBSTITUTE(TEXT(Overig!AG56,""",""?00;"",""?-00;"",""?00;"", //"""),"'","""")&amp;SUBSTITUTE(TEXT(Overig!AH56,""",""???0;"",""??-0;"",""???0;"", ///"""),"'","""")&amp;SUBSTITUTE(TEXT(Overig!AI56,""",""?00;"",""?-00;"",""?00;"", //"""),"'","""")&amp;SUBSTITUTE(TEXT(Overig!AJ56,""",""??0;"",""?-0;"",""??0;"", //"""),"'","""")&amp;SUBSTITUTE(TEXT(Overig!AK56,""",""?00;"",""?-00;"",""?00;"", //"""),"'","""")&amp;SUBSTITUTE(IF(EXACT(Overig!AL56,"—"),TEXT(Overig!AL56,""",""????0;"",""???-0;"",""????0;"", ////////////,"""),TEXT(Overig!AL56,"\, \'@""',""")&amp;REPT(" ",10-LEN(Overig!AL56))),"'","""")&amp;SUBSTITUTE(TEXT(Overig!AM56,"?00;?-00;?00;"" //"""),"'","""")&amp;SUBSTITUTE(TEXT(Overig!AN56,""",""???0;"",""??-0;"",""???0;"", ///"""),"'","""")&amp;SUBSTITUTE(TEXT(Overig!AO56,""",""?00;"",""?-00;"",""?00;"", //"""),"'","""")</f>
        <v>78989, 19130224, 0800, ////, 07, /////, 07, ////, 07, /////, 07, ////, 07, ////, 07, ////, 07, ////, 07, ///, 07, ///, 07, ////, 07, ////, 07, ///, 07, ////, 07, ////, 07, ///, 07, //, 07, ////////////, 07, ///, 07</v>
      </c>
    </row>
    <row r="57" spans="1:1" x14ac:dyDescent="0.25">
      <c r="A57" s="75" t="str">
        <f ca="1">TEXT(Overig!A57,"000\,")&amp;TEXT(Overig!B57,"?00000000")&amp;TEXT(Overig!C57,""", ""0000")&amp;SUBSTITUTE(TEXT(IF(ISTEXT(Overig!D57),Overig!D57,10*Overig!D57),""",""????0;"",""???-0;"",""????0;"", ////"""),"'","""")&amp;SUBSTITUTE(TEXT(Overig!E57,""",""?00;"",""?-00;"",""?00;"", //"""),"'","""")&amp;SUBSTITUTE(TEXT(IF(ISTEXT(Overig!F57),Overig!F57,100*Overig!F57),""",""?????0;"",""????-0;"",""?????0;"", /////"""),"'","""")&amp;SUBSTITUTE(TEXT(Overig!G57,""",""?00;"",""?-00;"",""?00;"", //"""),"'","""")&amp;SUBSTITUTE(TEXT(IF(ISTEXT(Overig!H57),Overig!H57,100*Overig!H57),""",""????0;"",""???-0;"",""????0;"", ////"""),"'","""")&amp;SUBSTITUTE(TEXT(Overig!I57,""",""?00;"",""?-00;"",""?00;"", //"""),"'","""")&amp;SUBSTITUTE(TEXT(IF(ISTEXT(Overig!J57),Overig!J57,100*Overig!J57),""",""?????0;"",""????-0;"",""?????0;"", /////"""),"'","""")&amp;SUBSTITUTE(TEXT(Overig!K57,""",""?00;"",""?-00;"",""?00;"", //"""),"'","""")&amp;SUBSTITUTE(TEXT(IF(ISTEXT(Overig!L57),Overig!L57,10*Overig!L57),""",""????0;"",""???-0;"",""????0;"", ////"""),"'","""")&amp;SUBSTITUTE(TEXT(Overig!M57,""",""?00;"",""?-00;"",""?00;"", //"""),"'","""")&amp;SUBSTITUTE(TEXT(IF(ISTEXT(Overig!N57),Overig!N57,10*Overig!N57),""",""????0;"",""???-0;"",""????0;"", ////"""),"'","""")&amp;SUBSTITUTE(TEXT(Overig!O57,""",""?00;"",""?-00;"",""?00;"", //"""),"'","""")&amp;SUBSTITUTE(TEXT(IF(ISTEXT(Overig!P57),Overig!P57,10*Overig!P57),""",""????0;"",""???-0;"",""????0;"", ////"""),"'","""")&amp;SUBSTITUTE(TEXT(Overig!Q57,""",""?00;"",""?-00;"",""?00;"", //"""),"'","""")&amp;SUBSTITUTE(TEXT(IF(ISTEXT(Overig!R57),Overig!R57,10*Overig!R57),""",""????0;"",""???-0;"",""????0;"", ////"""),"'","""")&amp;SUBSTITUTE(TEXT(Overig!S57,""",""?00;"",""?-00;"",""?00;"", //"""),"'","""")&amp;SUBSTITUTE(TEXT(Overig!T57,""",""???0;"",""??-0;"",""???0;"", ///"""),"'","""")&amp;SUBSTITUTE(TEXT(Overig!U57,""",""?00;"",""?-00;"",""?00;"", //"""),"'","""")&amp;SUBSTITUTE(TEXT(IF(ISTEXT(Overig!V57),Overig!V57,10*Overig!V57),""",""???0;"",""??-0;"",""???0;"", ///"""),"'","""")&amp;SUBSTITUTE(TEXT(Overig!W57,""",""?00;"",""?-00;"",""?00;"", //"""),"'","""")&amp;SUBSTITUTE(TEXT(IF(ISTEXT(Overig!X57),Overig!X57,10*Overig!X57),""",""????0;"",""???-0;"",""????0;"", ////"""),"'","""")&amp;SUBSTITUTE(TEXT(Overig!Y57,""",""?00;"",""?-00;"",""?00;"", //"""),"'","""")&amp;SUBSTITUTE(TEXT(IF(ISTEXT(Overig!Z57),Overig!Z57,10*Overig!Z57),""",""????0;"",""???-0;"",""????0;"", ////"""),"'","""")&amp;SUBSTITUTE(TEXT(Overig!AA57,""",""?00;"",""?-00;"",""?00;"", //"""),"'","""")&amp;SUBSTITUTE(TEXT(Overig!AB57,""",""???0;"",""??-0;"",""???0;"", ///"""),"'","""")&amp;SUBSTITUTE(TEXT(Overig!AC57,""",""?00;"",""?-00;"",""?00;"", //"""),"'","""")&amp;SUBSTITUTE(TEXT(IF(ISTEXT(Overig!AD57),Overig!AD57,10*Overig!AD57),""",""????0;"",""???-0;"",""????0;"", ////"""),"'","""")&amp;SUBSTITUTE(TEXT(Overig!AE57,""",""?00;"",""?-00;"",""?00;"", //"""),"'","""")&amp;SUBSTITUTE(TEXT(IF(ISTEXT(Overig!AF57),Overig!AF57,10*Overig!AF57),""",""????0;"",""???-0;"",""????0;"", ////"""),"'","""")&amp;SUBSTITUTE(TEXT(Overig!AG57,""",""?00;"",""?-00;"",""?00;"", //"""),"'","""")&amp;SUBSTITUTE(TEXT(Overig!AH57,""",""???0;"",""??-0;"",""???0;"", ///"""),"'","""")&amp;SUBSTITUTE(TEXT(Overig!AI57,""",""?00;"",""?-00;"",""?00;"", //"""),"'","""")&amp;SUBSTITUTE(TEXT(Overig!AJ57,""",""??0;"",""?-0;"",""??0;"", //"""),"'","""")&amp;SUBSTITUTE(TEXT(Overig!AK57,""",""?00;"",""?-00;"",""?00;"", //"""),"'","""")&amp;SUBSTITUTE(IF(EXACT(Overig!AL57,"—"),TEXT(Overig!AL57,""",""????0;"",""???-0;"",""????0;"", ////////////,"""),TEXT(Overig!AL57,"\, \'@""',""")&amp;REPT(" ",10-LEN(Overig!AL57))),"'","""")&amp;SUBSTITUTE(TEXT(Overig!AM57,"?00;?-00;?00;"" //"""),"'","""")&amp;SUBSTITUTE(TEXT(Overig!AN57,""",""???0;"",""??-0;"",""???0;"", ///"""),"'","""")&amp;SUBSTITUTE(TEXT(Overig!AO57,""",""?00;"",""?-00;"",""?00;"", //"""),"'","""")</f>
        <v>78989, 19130225, 0800, ////, 07, /////, 07, ////, 07, /////, 07, ////, 07, ////, 07, ////, 07, ////, 07, ///, 07, ///, 07, ////, 07, ////, 07, ///, 07, ////, 07, ////, 07, ///, 07, //, 07, ////////////, 07, ///, 07</v>
      </c>
    </row>
    <row r="58" spans="1:1" x14ac:dyDescent="0.25">
      <c r="A58" s="75" t="str">
        <f ca="1">TEXT(Overig!A58,"000\,")&amp;TEXT(Overig!B58,"?00000000")&amp;TEXT(Overig!C58,""", ""0000")&amp;SUBSTITUTE(TEXT(IF(ISTEXT(Overig!D58),Overig!D58,10*Overig!D58),""",""????0;"",""???-0;"",""????0;"", ////"""),"'","""")&amp;SUBSTITUTE(TEXT(Overig!E58,""",""?00;"",""?-00;"",""?00;"", //"""),"'","""")&amp;SUBSTITUTE(TEXT(IF(ISTEXT(Overig!F58),Overig!F58,100*Overig!F58),""",""?????0;"",""????-0;"",""?????0;"", /////"""),"'","""")&amp;SUBSTITUTE(TEXT(Overig!G58,""",""?00;"",""?-00;"",""?00;"", //"""),"'","""")&amp;SUBSTITUTE(TEXT(IF(ISTEXT(Overig!H58),Overig!H58,100*Overig!H58),""",""????0;"",""???-0;"",""????0;"", ////"""),"'","""")&amp;SUBSTITUTE(TEXT(Overig!I58,""",""?00;"",""?-00;"",""?00;"", //"""),"'","""")&amp;SUBSTITUTE(TEXT(IF(ISTEXT(Overig!J58),Overig!J58,100*Overig!J58),""",""?????0;"",""????-0;"",""?????0;"", /////"""),"'","""")&amp;SUBSTITUTE(TEXT(Overig!K58,""",""?00;"",""?-00;"",""?00;"", //"""),"'","""")&amp;SUBSTITUTE(TEXT(IF(ISTEXT(Overig!L58),Overig!L58,10*Overig!L58),""",""????0;"",""???-0;"",""????0;"", ////"""),"'","""")&amp;SUBSTITUTE(TEXT(Overig!M58,""",""?00;"",""?-00;"",""?00;"", //"""),"'","""")&amp;SUBSTITUTE(TEXT(IF(ISTEXT(Overig!N58),Overig!N58,10*Overig!N58),""",""????0;"",""???-0;"",""????0;"", ////"""),"'","""")&amp;SUBSTITUTE(TEXT(Overig!O58,""",""?00;"",""?-00;"",""?00;"", //"""),"'","""")&amp;SUBSTITUTE(TEXT(IF(ISTEXT(Overig!P58),Overig!P58,10*Overig!P58),""",""????0;"",""???-0;"",""????0;"", ////"""),"'","""")&amp;SUBSTITUTE(TEXT(Overig!Q58,""",""?00;"",""?-00;"",""?00;"", //"""),"'","""")&amp;SUBSTITUTE(TEXT(IF(ISTEXT(Overig!R58),Overig!R58,10*Overig!R58),""",""????0;"",""???-0;"",""????0;"", ////"""),"'","""")&amp;SUBSTITUTE(TEXT(Overig!S58,""",""?00;"",""?-00;"",""?00;"", //"""),"'","""")&amp;SUBSTITUTE(TEXT(Overig!T58,""",""???0;"",""??-0;"",""???0;"", ///"""),"'","""")&amp;SUBSTITUTE(TEXT(Overig!U58,""",""?00;"",""?-00;"",""?00;"", //"""),"'","""")&amp;SUBSTITUTE(TEXT(IF(ISTEXT(Overig!V58),Overig!V58,10*Overig!V58),""",""???0;"",""??-0;"",""???0;"", ///"""),"'","""")&amp;SUBSTITUTE(TEXT(Overig!W58,""",""?00;"",""?-00;"",""?00;"", //"""),"'","""")&amp;SUBSTITUTE(TEXT(IF(ISTEXT(Overig!X58),Overig!X58,10*Overig!X58),""",""????0;"",""???-0;"",""????0;"", ////"""),"'","""")&amp;SUBSTITUTE(TEXT(Overig!Y58,""",""?00;"",""?-00;"",""?00;"", //"""),"'","""")&amp;SUBSTITUTE(TEXT(IF(ISTEXT(Overig!Z58),Overig!Z58,10*Overig!Z58),""",""????0;"",""???-0;"",""????0;"", ////"""),"'","""")&amp;SUBSTITUTE(TEXT(Overig!AA58,""",""?00;"",""?-00;"",""?00;"", //"""),"'","""")&amp;SUBSTITUTE(TEXT(Overig!AB58,""",""???0;"",""??-0;"",""???0;"", ///"""),"'","""")&amp;SUBSTITUTE(TEXT(Overig!AC58,""",""?00;"",""?-00;"",""?00;"", //"""),"'","""")&amp;SUBSTITUTE(TEXT(IF(ISTEXT(Overig!AD58),Overig!AD58,10*Overig!AD58),""",""????0;"",""???-0;"",""????0;"", ////"""),"'","""")&amp;SUBSTITUTE(TEXT(Overig!AE58,""",""?00;"",""?-00;"",""?00;"", //"""),"'","""")&amp;SUBSTITUTE(TEXT(IF(ISTEXT(Overig!AF58),Overig!AF58,10*Overig!AF58),""",""????0;"",""???-0;"",""????0;"", ////"""),"'","""")&amp;SUBSTITUTE(TEXT(Overig!AG58,""",""?00;"",""?-00;"",""?00;"", //"""),"'","""")&amp;SUBSTITUTE(TEXT(Overig!AH58,""",""???0;"",""??-0;"",""???0;"", ///"""),"'","""")&amp;SUBSTITUTE(TEXT(Overig!AI58,""",""?00;"",""?-00;"",""?00;"", //"""),"'","""")&amp;SUBSTITUTE(TEXT(Overig!AJ58,""",""??0;"",""?-0;"",""??0;"", //"""),"'","""")&amp;SUBSTITUTE(TEXT(Overig!AK58,""",""?00;"",""?-00;"",""?00;"", //"""),"'","""")&amp;SUBSTITUTE(IF(EXACT(Overig!AL58,"—"),TEXT(Overig!AL58,""",""????0;"",""???-0;"",""????0;"", ////////////,"""),TEXT(Overig!AL58,"\, \'@""',""")&amp;REPT(" ",10-LEN(Overig!AL58))),"'","""")&amp;SUBSTITUTE(TEXT(Overig!AM58,"?00;?-00;?00;"" //"""),"'","""")&amp;SUBSTITUTE(TEXT(Overig!AN58,""",""???0;"",""??-0;"",""???0;"", ///"""),"'","""")&amp;SUBSTITUTE(TEXT(Overig!AO58,""",""?00;"",""?-00;"",""?00;"", //"""),"'","""")</f>
        <v>78989, 19130226, 0800, ////, 07, /////, 07, ////, 07, /////, 07, ////, 07, ////, 07, ////, 07, ////, 07, ///, 07, ///, 07, ////, 07, ////, 07, ///, 07, ////, 07, ////, 07, ///, 07, //, 07, ////////////, 07, ///, 07</v>
      </c>
    </row>
    <row r="59" spans="1:1" x14ac:dyDescent="0.25">
      <c r="A59" s="75" t="str">
        <f ca="1">TEXT(Overig!A59,"000\,")&amp;TEXT(Overig!B59,"?00000000")&amp;TEXT(Overig!C59,""", ""0000")&amp;SUBSTITUTE(TEXT(IF(ISTEXT(Overig!D59),Overig!D59,10*Overig!D59),""",""????0;"",""???-0;"",""????0;"", ////"""),"'","""")&amp;SUBSTITUTE(TEXT(Overig!E59,""",""?00;"",""?-00;"",""?00;"", //"""),"'","""")&amp;SUBSTITUTE(TEXT(IF(ISTEXT(Overig!F59),Overig!F59,100*Overig!F59),""",""?????0;"",""????-0;"",""?????0;"", /////"""),"'","""")&amp;SUBSTITUTE(TEXT(Overig!G59,""",""?00;"",""?-00;"",""?00;"", //"""),"'","""")&amp;SUBSTITUTE(TEXT(IF(ISTEXT(Overig!H59),Overig!H59,100*Overig!H59),""",""????0;"",""???-0;"",""????0;"", ////"""),"'","""")&amp;SUBSTITUTE(TEXT(Overig!I59,""",""?00;"",""?-00;"",""?00;"", //"""),"'","""")&amp;SUBSTITUTE(TEXT(IF(ISTEXT(Overig!J59),Overig!J59,100*Overig!J59),""",""?????0;"",""????-0;"",""?????0;"", /////"""),"'","""")&amp;SUBSTITUTE(TEXT(Overig!K59,""",""?00;"",""?-00;"",""?00;"", //"""),"'","""")&amp;SUBSTITUTE(TEXT(IF(ISTEXT(Overig!L59),Overig!L59,10*Overig!L59),""",""????0;"",""???-0;"",""????0;"", ////"""),"'","""")&amp;SUBSTITUTE(TEXT(Overig!M59,""",""?00;"",""?-00;"",""?00;"", //"""),"'","""")&amp;SUBSTITUTE(TEXT(IF(ISTEXT(Overig!N59),Overig!N59,10*Overig!N59),""",""????0;"",""???-0;"",""????0;"", ////"""),"'","""")&amp;SUBSTITUTE(TEXT(Overig!O59,""",""?00;"",""?-00;"",""?00;"", //"""),"'","""")&amp;SUBSTITUTE(TEXT(IF(ISTEXT(Overig!P59),Overig!P59,10*Overig!P59),""",""????0;"",""???-0;"",""????0;"", ////"""),"'","""")&amp;SUBSTITUTE(TEXT(Overig!Q59,""",""?00;"",""?-00;"",""?00;"", //"""),"'","""")&amp;SUBSTITUTE(TEXT(IF(ISTEXT(Overig!R59),Overig!R59,10*Overig!R59),""",""????0;"",""???-0;"",""????0;"", ////"""),"'","""")&amp;SUBSTITUTE(TEXT(Overig!S59,""",""?00;"",""?-00;"",""?00;"", //"""),"'","""")&amp;SUBSTITUTE(TEXT(Overig!T59,""",""???0;"",""??-0;"",""???0;"", ///"""),"'","""")&amp;SUBSTITUTE(TEXT(Overig!U59,""",""?00;"",""?-00;"",""?00;"", //"""),"'","""")&amp;SUBSTITUTE(TEXT(IF(ISTEXT(Overig!V59),Overig!V59,10*Overig!V59),""",""???0;"",""??-0;"",""???0;"", ///"""),"'","""")&amp;SUBSTITUTE(TEXT(Overig!W59,""",""?00;"",""?-00;"",""?00;"", //"""),"'","""")&amp;SUBSTITUTE(TEXT(IF(ISTEXT(Overig!X59),Overig!X59,10*Overig!X59),""",""????0;"",""???-0;"",""????0;"", ////"""),"'","""")&amp;SUBSTITUTE(TEXT(Overig!Y59,""",""?00;"",""?-00;"",""?00;"", //"""),"'","""")&amp;SUBSTITUTE(TEXT(IF(ISTEXT(Overig!Z59),Overig!Z59,10*Overig!Z59),""",""????0;"",""???-0;"",""????0;"", ////"""),"'","""")&amp;SUBSTITUTE(TEXT(Overig!AA59,""",""?00;"",""?-00;"",""?00;"", //"""),"'","""")&amp;SUBSTITUTE(TEXT(Overig!AB59,""",""???0;"",""??-0;"",""???0;"", ///"""),"'","""")&amp;SUBSTITUTE(TEXT(Overig!AC59,""",""?00;"",""?-00;"",""?00;"", //"""),"'","""")&amp;SUBSTITUTE(TEXT(IF(ISTEXT(Overig!AD59),Overig!AD59,10*Overig!AD59),""",""????0;"",""???-0;"",""????0;"", ////"""),"'","""")&amp;SUBSTITUTE(TEXT(Overig!AE59,""",""?00;"",""?-00;"",""?00;"", //"""),"'","""")&amp;SUBSTITUTE(TEXT(IF(ISTEXT(Overig!AF59),Overig!AF59,10*Overig!AF59),""",""????0;"",""???-0;"",""????0;"", ////"""),"'","""")&amp;SUBSTITUTE(TEXT(Overig!AG59,""",""?00;"",""?-00;"",""?00;"", //"""),"'","""")&amp;SUBSTITUTE(TEXT(Overig!AH59,""",""???0;"",""??-0;"",""???0;"", ///"""),"'","""")&amp;SUBSTITUTE(TEXT(Overig!AI59,""",""?00;"",""?-00;"",""?00;"", //"""),"'","""")&amp;SUBSTITUTE(TEXT(Overig!AJ59,""",""??0;"",""?-0;"",""??0;"", //"""),"'","""")&amp;SUBSTITUTE(TEXT(Overig!AK59,""",""?00;"",""?-00;"",""?00;"", //"""),"'","""")&amp;SUBSTITUTE(IF(EXACT(Overig!AL59,"—"),TEXT(Overig!AL59,""",""????0;"",""???-0;"",""????0;"", ////////////,"""),TEXT(Overig!AL59,"\, \'@""',""")&amp;REPT(" ",10-LEN(Overig!AL59))),"'","""")&amp;SUBSTITUTE(TEXT(Overig!AM59,"?00;?-00;?00;"" //"""),"'","""")&amp;SUBSTITUTE(TEXT(Overig!AN59,""",""???0;"",""??-0;"",""???0;"", ///"""),"'","""")&amp;SUBSTITUTE(TEXT(Overig!AO59,""",""?00;"",""?-00;"",""?00;"", //"""),"'","""")</f>
        <v>78989, 19130227, 0800, ////, 07, /////, 07, ////, 07, /////, 07, ////, 07, ////, 07, ////, 07, ////, 07, ///, 07, ///, 07, ////, 07, ////, 07, ///, 07, ////, 07, ////, 07, ///, 07, //, 07, ////////////, 07, ///, 07</v>
      </c>
    </row>
    <row r="60" spans="1:1" x14ac:dyDescent="0.25">
      <c r="A60" s="75" t="str">
        <f ca="1">TEXT(Overig!A60,"000\,")&amp;TEXT(Overig!B60,"?00000000")&amp;TEXT(Overig!C60,""", ""0000")&amp;SUBSTITUTE(TEXT(IF(ISTEXT(Overig!D60),Overig!D60,10*Overig!D60),""",""????0;"",""???-0;"",""????0;"", ////"""),"'","""")&amp;SUBSTITUTE(TEXT(Overig!E60,""",""?00;"",""?-00;"",""?00;"", //"""),"'","""")&amp;SUBSTITUTE(TEXT(IF(ISTEXT(Overig!F60),Overig!F60,100*Overig!F60),""",""?????0;"",""????-0;"",""?????0;"", /////"""),"'","""")&amp;SUBSTITUTE(TEXT(Overig!G60,""",""?00;"",""?-00;"",""?00;"", //"""),"'","""")&amp;SUBSTITUTE(TEXT(IF(ISTEXT(Overig!H60),Overig!H60,100*Overig!H60),""",""????0;"",""???-0;"",""????0;"", ////"""),"'","""")&amp;SUBSTITUTE(TEXT(Overig!I60,""",""?00;"",""?-00;"",""?00;"", //"""),"'","""")&amp;SUBSTITUTE(TEXT(IF(ISTEXT(Overig!J60),Overig!J60,100*Overig!J60),""",""?????0;"",""????-0;"",""?????0;"", /////"""),"'","""")&amp;SUBSTITUTE(TEXT(Overig!K60,""",""?00;"",""?-00;"",""?00;"", //"""),"'","""")&amp;SUBSTITUTE(TEXT(IF(ISTEXT(Overig!L60),Overig!L60,10*Overig!L60),""",""????0;"",""???-0;"",""????0;"", ////"""),"'","""")&amp;SUBSTITUTE(TEXT(Overig!M60,""",""?00;"",""?-00;"",""?00;"", //"""),"'","""")&amp;SUBSTITUTE(TEXT(IF(ISTEXT(Overig!N60),Overig!N60,10*Overig!N60),""",""????0;"",""???-0;"",""????0;"", ////"""),"'","""")&amp;SUBSTITUTE(TEXT(Overig!O60,""",""?00;"",""?-00;"",""?00;"", //"""),"'","""")&amp;SUBSTITUTE(TEXT(IF(ISTEXT(Overig!P60),Overig!P60,10*Overig!P60),""",""????0;"",""???-0;"",""????0;"", ////"""),"'","""")&amp;SUBSTITUTE(TEXT(Overig!Q60,""",""?00;"",""?-00;"",""?00;"", //"""),"'","""")&amp;SUBSTITUTE(TEXT(IF(ISTEXT(Overig!R60),Overig!R60,10*Overig!R60),""",""????0;"",""???-0;"",""????0;"", ////"""),"'","""")&amp;SUBSTITUTE(TEXT(Overig!S60,""",""?00;"",""?-00;"",""?00;"", //"""),"'","""")&amp;SUBSTITUTE(TEXT(Overig!T60,""",""???0;"",""??-0;"",""???0;"", ///"""),"'","""")&amp;SUBSTITUTE(TEXT(Overig!U60,""",""?00;"",""?-00;"",""?00;"", //"""),"'","""")&amp;SUBSTITUTE(TEXT(IF(ISTEXT(Overig!V60),Overig!V60,10*Overig!V60),""",""???0;"",""??-0;"",""???0;"", ///"""),"'","""")&amp;SUBSTITUTE(TEXT(Overig!W60,""",""?00;"",""?-00;"",""?00;"", //"""),"'","""")&amp;SUBSTITUTE(TEXT(IF(ISTEXT(Overig!X60),Overig!X60,10*Overig!X60),""",""????0;"",""???-0;"",""????0;"", ////"""),"'","""")&amp;SUBSTITUTE(TEXT(Overig!Y60,""",""?00;"",""?-00;"",""?00;"", //"""),"'","""")&amp;SUBSTITUTE(TEXT(IF(ISTEXT(Overig!Z60),Overig!Z60,10*Overig!Z60),""",""????0;"",""???-0;"",""????0;"", ////"""),"'","""")&amp;SUBSTITUTE(TEXT(Overig!AA60,""",""?00;"",""?-00;"",""?00;"", //"""),"'","""")&amp;SUBSTITUTE(TEXT(Overig!AB60,""",""???0;"",""??-0;"",""???0;"", ///"""),"'","""")&amp;SUBSTITUTE(TEXT(Overig!AC60,""",""?00;"",""?-00;"",""?00;"", //"""),"'","""")&amp;SUBSTITUTE(TEXT(IF(ISTEXT(Overig!AD60),Overig!AD60,10*Overig!AD60),""",""????0;"",""???-0;"",""????0;"", ////"""),"'","""")&amp;SUBSTITUTE(TEXT(Overig!AE60,""",""?00;"",""?-00;"",""?00;"", //"""),"'","""")&amp;SUBSTITUTE(TEXT(IF(ISTEXT(Overig!AF60),Overig!AF60,10*Overig!AF60),""",""????0;"",""???-0;"",""????0;"", ////"""),"'","""")&amp;SUBSTITUTE(TEXT(Overig!AG60,""",""?00;"",""?-00;"",""?00;"", //"""),"'","""")&amp;SUBSTITUTE(TEXT(Overig!AH60,""",""???0;"",""??-0;"",""???0;"", ///"""),"'","""")&amp;SUBSTITUTE(TEXT(Overig!AI60,""",""?00;"",""?-00;"",""?00;"", //"""),"'","""")&amp;SUBSTITUTE(TEXT(Overig!AJ60,""",""??0;"",""?-0;"",""??0;"", //"""),"'","""")&amp;SUBSTITUTE(TEXT(Overig!AK60,""",""?00;"",""?-00;"",""?00;"", //"""),"'","""")&amp;SUBSTITUTE(IF(EXACT(Overig!AL60,"—"),TEXT(Overig!AL60,""",""????0;"",""???-0;"",""????0;"", ////////////,"""),TEXT(Overig!AL60,"\, \'@""',""")&amp;REPT(" ",10-LEN(Overig!AL60))),"'","""")&amp;SUBSTITUTE(TEXT(Overig!AM60,"?00;?-00;?00;"" //"""),"'","""")&amp;SUBSTITUTE(TEXT(Overig!AN60,""",""???0;"",""??-0;"",""???0;"", ///"""),"'","""")&amp;SUBSTITUTE(TEXT(Overig!AO60,""",""?00;"",""?-00;"",""?00;"", //"""),"'","""")</f>
        <v>78989, 19130228, 0800, ////, 07, /////, 07, ////, 07, /////, 07, ////, 07, ////, 07, ////, 07, ////, 07, ///, 07, ///, 07, ////, 07, ////, 07, ///, 07, ////, 07, ////, 07, ///, 07, //, 07, ////////////, 07, ///, 07</v>
      </c>
    </row>
    <row r="61" spans="1:1" x14ac:dyDescent="0.25">
      <c r="A61" s="75" t="str">
        <f ca="1">TEXT(Overig!A61,"000\,")&amp;TEXT(Overig!B61,"?00000000")&amp;TEXT(Overig!C61,""", ""0000")&amp;SUBSTITUTE(TEXT(IF(ISTEXT(Overig!D61),Overig!D61,10*Overig!D61),""",""????0;"",""???-0;"",""????0;"", ////"""),"'","""")&amp;SUBSTITUTE(TEXT(Overig!E61,""",""?00;"",""?-00;"",""?00;"", //"""),"'","""")&amp;SUBSTITUTE(TEXT(IF(ISTEXT(Overig!F61),Overig!F61,100*Overig!F61),""",""?????0;"",""????-0;"",""?????0;"", /////"""),"'","""")&amp;SUBSTITUTE(TEXT(Overig!G61,""",""?00;"",""?-00;"",""?00;"", //"""),"'","""")&amp;SUBSTITUTE(TEXT(IF(ISTEXT(Overig!H61),Overig!H61,100*Overig!H61),""",""????0;"",""???-0;"",""????0;"", ////"""),"'","""")&amp;SUBSTITUTE(TEXT(Overig!I61,""",""?00;"",""?-00;"",""?00;"", //"""),"'","""")&amp;SUBSTITUTE(TEXT(IF(ISTEXT(Overig!J61),Overig!J61,100*Overig!J61),""",""?????0;"",""????-0;"",""?????0;"", /////"""),"'","""")&amp;SUBSTITUTE(TEXT(Overig!K61,""",""?00;"",""?-00;"",""?00;"", //"""),"'","""")&amp;SUBSTITUTE(TEXT(IF(ISTEXT(Overig!L61),Overig!L61,10*Overig!L61),""",""????0;"",""???-0;"",""????0;"", ////"""),"'","""")&amp;SUBSTITUTE(TEXT(Overig!M61,""",""?00;"",""?-00;"",""?00;"", //"""),"'","""")&amp;SUBSTITUTE(TEXT(IF(ISTEXT(Overig!N61),Overig!N61,10*Overig!N61),""",""????0;"",""???-0;"",""????0;"", ////"""),"'","""")&amp;SUBSTITUTE(TEXT(Overig!O61,""",""?00;"",""?-00;"",""?00;"", //"""),"'","""")&amp;SUBSTITUTE(TEXT(IF(ISTEXT(Overig!P61),Overig!P61,10*Overig!P61),""",""????0;"",""???-0;"",""????0;"", ////"""),"'","""")&amp;SUBSTITUTE(TEXT(Overig!Q61,""",""?00;"",""?-00;"",""?00;"", //"""),"'","""")&amp;SUBSTITUTE(TEXT(IF(ISTEXT(Overig!R61),Overig!R61,10*Overig!R61),""",""????0;"",""???-0;"",""????0;"", ////"""),"'","""")&amp;SUBSTITUTE(TEXT(Overig!S61,""",""?00;"",""?-00;"",""?00;"", //"""),"'","""")&amp;SUBSTITUTE(TEXT(Overig!T61,""",""???0;"",""??-0;"",""???0;"", ///"""),"'","""")&amp;SUBSTITUTE(TEXT(Overig!U61,""",""?00;"",""?-00;"",""?00;"", //"""),"'","""")&amp;SUBSTITUTE(TEXT(IF(ISTEXT(Overig!V61),Overig!V61,10*Overig!V61),""",""???0;"",""??-0;"",""???0;"", ///"""),"'","""")&amp;SUBSTITUTE(TEXT(Overig!W61,""",""?00;"",""?-00;"",""?00;"", //"""),"'","""")&amp;SUBSTITUTE(TEXT(IF(ISTEXT(Overig!X61),Overig!X61,10*Overig!X61),""",""????0;"",""???-0;"",""????0;"", ////"""),"'","""")&amp;SUBSTITUTE(TEXT(Overig!Y61,""",""?00;"",""?-00;"",""?00;"", //"""),"'","""")&amp;SUBSTITUTE(TEXT(IF(ISTEXT(Overig!Z61),Overig!Z61,10*Overig!Z61),""",""????0;"",""???-0;"",""????0;"", ////"""),"'","""")&amp;SUBSTITUTE(TEXT(Overig!AA61,""",""?00;"",""?-00;"",""?00;"", //"""),"'","""")&amp;SUBSTITUTE(TEXT(Overig!AB61,""",""???0;"",""??-0;"",""???0;"", ///"""),"'","""")&amp;SUBSTITUTE(TEXT(Overig!AC61,""",""?00;"",""?-00;"",""?00;"", //"""),"'","""")&amp;SUBSTITUTE(TEXT(IF(ISTEXT(Overig!AD61),Overig!AD61,10*Overig!AD61),""",""????0;"",""???-0;"",""????0;"", ////"""),"'","""")&amp;SUBSTITUTE(TEXT(Overig!AE61,""",""?00;"",""?-00;"",""?00;"", //"""),"'","""")&amp;SUBSTITUTE(TEXT(IF(ISTEXT(Overig!AF61),Overig!AF61,10*Overig!AF61),""",""????0;"",""???-0;"",""????0;"", ////"""),"'","""")&amp;SUBSTITUTE(TEXT(Overig!AG61,""",""?00;"",""?-00;"",""?00;"", //"""),"'","""")&amp;SUBSTITUTE(TEXT(Overig!AH61,""",""???0;"",""??-0;"",""???0;"", ///"""),"'","""")&amp;SUBSTITUTE(TEXT(Overig!AI61,""",""?00;"",""?-00;"",""?00;"", //"""),"'","""")&amp;SUBSTITUTE(TEXT(Overig!AJ61,""",""??0;"",""?-0;"",""??0;"", //"""),"'","""")&amp;SUBSTITUTE(TEXT(Overig!AK61,""",""?00;"",""?-00;"",""?00;"", //"""),"'","""")&amp;SUBSTITUTE(IF(EXACT(Overig!AL61,"—"),TEXT(Overig!AL61,""",""????0;"",""???-0;"",""????0;"", ////////////,"""),TEXT(Overig!AL61,"\, \'@""',""")&amp;REPT(" ",10-LEN(Overig!AL61))),"'","""")&amp;SUBSTITUTE(TEXT(Overig!AM61,"?00;?-00;?00;"" //"""),"'","""")&amp;SUBSTITUTE(TEXT(Overig!AN61,""",""???0;"",""??-0;"",""???0;"", ///"""),"'","""")&amp;SUBSTITUTE(TEXT(Overig!AO61,""",""?00;"",""?-00;"",""?00;"", //"""),"'","""")</f>
        <v>78989, 19130301, 0800, ////, 07, /////, 07, ////, 07, /////, 07, ////, 07, ////, 07, ////, 07, ////, 07, ///, 07, ///, 07, ////, 07, ////, 07, ///, 07, ////, 07, ////, 07, ///, 07, //, 07, ////////////, 07, ///, 07</v>
      </c>
    </row>
    <row r="62" spans="1:1" x14ac:dyDescent="0.25">
      <c r="A62" s="75" t="str">
        <f ca="1">TEXT(Overig!A62,"000\,")&amp;TEXT(Overig!B62,"?00000000")&amp;TEXT(Overig!C62,""", ""0000")&amp;SUBSTITUTE(TEXT(IF(ISTEXT(Overig!D62),Overig!D62,10*Overig!D62),""",""????0;"",""???-0;"",""????0;"", ////"""),"'","""")&amp;SUBSTITUTE(TEXT(Overig!E62,""",""?00;"",""?-00;"",""?00;"", //"""),"'","""")&amp;SUBSTITUTE(TEXT(IF(ISTEXT(Overig!F62),Overig!F62,100*Overig!F62),""",""?????0;"",""????-0;"",""?????0;"", /////"""),"'","""")&amp;SUBSTITUTE(TEXT(Overig!G62,""",""?00;"",""?-00;"",""?00;"", //"""),"'","""")&amp;SUBSTITUTE(TEXT(IF(ISTEXT(Overig!H62),Overig!H62,100*Overig!H62),""",""????0;"",""???-0;"",""????0;"", ////"""),"'","""")&amp;SUBSTITUTE(TEXT(Overig!I62,""",""?00;"",""?-00;"",""?00;"", //"""),"'","""")&amp;SUBSTITUTE(TEXT(IF(ISTEXT(Overig!J62),Overig!J62,100*Overig!J62),""",""?????0;"",""????-0;"",""?????0;"", /////"""),"'","""")&amp;SUBSTITUTE(TEXT(Overig!K62,""",""?00;"",""?-00;"",""?00;"", //"""),"'","""")&amp;SUBSTITUTE(TEXT(IF(ISTEXT(Overig!L62),Overig!L62,10*Overig!L62),""",""????0;"",""???-0;"",""????0;"", ////"""),"'","""")&amp;SUBSTITUTE(TEXT(Overig!M62,""",""?00;"",""?-00;"",""?00;"", //"""),"'","""")&amp;SUBSTITUTE(TEXT(IF(ISTEXT(Overig!N62),Overig!N62,10*Overig!N62),""",""????0;"",""???-0;"",""????0;"", ////"""),"'","""")&amp;SUBSTITUTE(TEXT(Overig!O62,""",""?00;"",""?-00;"",""?00;"", //"""),"'","""")&amp;SUBSTITUTE(TEXT(IF(ISTEXT(Overig!P62),Overig!P62,10*Overig!P62),""",""????0;"",""???-0;"",""????0;"", ////"""),"'","""")&amp;SUBSTITUTE(TEXT(Overig!Q62,""",""?00;"",""?-00;"",""?00;"", //"""),"'","""")&amp;SUBSTITUTE(TEXT(IF(ISTEXT(Overig!R62),Overig!R62,10*Overig!R62),""",""????0;"",""???-0;"",""????0;"", ////"""),"'","""")&amp;SUBSTITUTE(TEXT(Overig!S62,""",""?00;"",""?-00;"",""?00;"", //"""),"'","""")&amp;SUBSTITUTE(TEXT(Overig!T62,""",""???0;"",""??-0;"",""???0;"", ///"""),"'","""")&amp;SUBSTITUTE(TEXT(Overig!U62,""",""?00;"",""?-00;"",""?00;"", //"""),"'","""")&amp;SUBSTITUTE(TEXT(IF(ISTEXT(Overig!V62),Overig!V62,10*Overig!V62),""",""???0;"",""??-0;"",""???0;"", ///"""),"'","""")&amp;SUBSTITUTE(TEXT(Overig!W62,""",""?00;"",""?-00;"",""?00;"", //"""),"'","""")&amp;SUBSTITUTE(TEXT(IF(ISTEXT(Overig!X62),Overig!X62,10*Overig!X62),""",""????0;"",""???-0;"",""????0;"", ////"""),"'","""")&amp;SUBSTITUTE(TEXT(Overig!Y62,""",""?00;"",""?-00;"",""?00;"", //"""),"'","""")&amp;SUBSTITUTE(TEXT(IF(ISTEXT(Overig!Z62),Overig!Z62,10*Overig!Z62),""",""????0;"",""???-0;"",""????0;"", ////"""),"'","""")&amp;SUBSTITUTE(TEXT(Overig!AA62,""",""?00;"",""?-00;"",""?00;"", //"""),"'","""")&amp;SUBSTITUTE(TEXT(Overig!AB62,""",""???0;"",""??-0;"",""???0;"", ///"""),"'","""")&amp;SUBSTITUTE(TEXT(Overig!AC62,""",""?00;"",""?-00;"",""?00;"", //"""),"'","""")&amp;SUBSTITUTE(TEXT(IF(ISTEXT(Overig!AD62),Overig!AD62,10*Overig!AD62),""",""????0;"",""???-0;"",""????0;"", ////"""),"'","""")&amp;SUBSTITUTE(TEXT(Overig!AE62,""",""?00;"",""?-00;"",""?00;"", //"""),"'","""")&amp;SUBSTITUTE(TEXT(IF(ISTEXT(Overig!AF62),Overig!AF62,10*Overig!AF62),""",""????0;"",""???-0;"",""????0;"", ////"""),"'","""")&amp;SUBSTITUTE(TEXT(Overig!AG62,""",""?00;"",""?-00;"",""?00;"", //"""),"'","""")&amp;SUBSTITUTE(TEXT(Overig!AH62,""",""???0;"",""??-0;"",""???0;"", ///"""),"'","""")&amp;SUBSTITUTE(TEXT(Overig!AI62,""",""?00;"",""?-00;"",""?00;"", //"""),"'","""")&amp;SUBSTITUTE(TEXT(Overig!AJ62,""",""??0;"",""?-0;"",""??0;"", //"""),"'","""")&amp;SUBSTITUTE(TEXT(Overig!AK62,""",""?00;"",""?-00;"",""?00;"", //"""),"'","""")&amp;SUBSTITUTE(IF(EXACT(Overig!AL62,"—"),TEXT(Overig!AL62,""",""????0;"",""???-0;"",""????0;"", ////////////,"""),TEXT(Overig!AL62,"\, \'@""',""")&amp;REPT(" ",10-LEN(Overig!AL62))),"'","""")&amp;SUBSTITUTE(TEXT(Overig!AM62,"?00;?-00;?00;"" //"""),"'","""")&amp;SUBSTITUTE(TEXT(Overig!AN62,""",""???0;"",""??-0;"",""???0;"", ///"""),"'","""")&amp;SUBSTITUTE(TEXT(Overig!AO62,""",""?00;"",""?-00;"",""?00;"", //"""),"'","""")</f>
        <v>78989, 19130302, 0800, ////, 07, /////, 07, ////, 07, /////, 07, ////, 07, ////, 07, ////, 07, ////, 07, ///, 07, ///, 07, ////, 07, ////, 07, ///, 07, ////, 07, ////, 07, ///, 07, //, 07, ////////////, 07, ///, 07</v>
      </c>
    </row>
    <row r="63" spans="1:1" x14ac:dyDescent="0.25">
      <c r="A63" s="75" t="str">
        <f ca="1">TEXT(Overig!A63,"000\,")&amp;TEXT(Overig!B63,"?00000000")&amp;TEXT(Overig!C63,""", ""0000")&amp;SUBSTITUTE(TEXT(IF(ISTEXT(Overig!D63),Overig!D63,10*Overig!D63),""",""????0;"",""???-0;"",""????0;"", ////"""),"'","""")&amp;SUBSTITUTE(TEXT(Overig!E63,""",""?00;"",""?-00;"",""?00;"", //"""),"'","""")&amp;SUBSTITUTE(TEXT(IF(ISTEXT(Overig!F63),Overig!F63,100*Overig!F63),""",""?????0;"",""????-0;"",""?????0;"", /////"""),"'","""")&amp;SUBSTITUTE(TEXT(Overig!G63,""",""?00;"",""?-00;"",""?00;"", //"""),"'","""")&amp;SUBSTITUTE(TEXT(IF(ISTEXT(Overig!H63),Overig!H63,100*Overig!H63),""",""????0;"",""???-0;"",""????0;"", ////"""),"'","""")&amp;SUBSTITUTE(TEXT(Overig!I63,""",""?00;"",""?-00;"",""?00;"", //"""),"'","""")&amp;SUBSTITUTE(TEXT(IF(ISTEXT(Overig!J63),Overig!J63,100*Overig!J63),""",""?????0;"",""????-0;"",""?????0;"", /////"""),"'","""")&amp;SUBSTITUTE(TEXT(Overig!K63,""",""?00;"",""?-00;"",""?00;"", //"""),"'","""")&amp;SUBSTITUTE(TEXT(IF(ISTEXT(Overig!L63),Overig!L63,10*Overig!L63),""",""????0;"",""???-0;"",""????0;"", ////"""),"'","""")&amp;SUBSTITUTE(TEXT(Overig!M63,""",""?00;"",""?-00;"",""?00;"", //"""),"'","""")&amp;SUBSTITUTE(TEXT(IF(ISTEXT(Overig!N63),Overig!N63,10*Overig!N63),""",""????0;"",""???-0;"",""????0;"", ////"""),"'","""")&amp;SUBSTITUTE(TEXT(Overig!O63,""",""?00;"",""?-00;"",""?00;"", //"""),"'","""")&amp;SUBSTITUTE(TEXT(IF(ISTEXT(Overig!P63),Overig!P63,10*Overig!P63),""",""????0;"",""???-0;"",""????0;"", ////"""),"'","""")&amp;SUBSTITUTE(TEXT(Overig!Q63,""",""?00;"",""?-00;"",""?00;"", //"""),"'","""")&amp;SUBSTITUTE(TEXT(IF(ISTEXT(Overig!R63),Overig!R63,10*Overig!R63),""",""????0;"",""???-0;"",""????0;"", ////"""),"'","""")&amp;SUBSTITUTE(TEXT(Overig!S63,""",""?00;"",""?-00;"",""?00;"", //"""),"'","""")&amp;SUBSTITUTE(TEXT(Overig!T63,""",""???0;"",""??-0;"",""???0;"", ///"""),"'","""")&amp;SUBSTITUTE(TEXT(Overig!U63,""",""?00;"",""?-00;"",""?00;"", //"""),"'","""")&amp;SUBSTITUTE(TEXT(IF(ISTEXT(Overig!V63),Overig!V63,10*Overig!V63),""",""???0;"",""??-0;"",""???0;"", ///"""),"'","""")&amp;SUBSTITUTE(TEXT(Overig!W63,""",""?00;"",""?-00;"",""?00;"", //"""),"'","""")&amp;SUBSTITUTE(TEXT(IF(ISTEXT(Overig!X63),Overig!X63,10*Overig!X63),""",""????0;"",""???-0;"",""????0;"", ////"""),"'","""")&amp;SUBSTITUTE(TEXT(Overig!Y63,""",""?00;"",""?-00;"",""?00;"", //"""),"'","""")&amp;SUBSTITUTE(TEXT(IF(ISTEXT(Overig!Z63),Overig!Z63,10*Overig!Z63),""",""????0;"",""???-0;"",""????0;"", ////"""),"'","""")&amp;SUBSTITUTE(TEXT(Overig!AA63,""",""?00;"",""?-00;"",""?00;"", //"""),"'","""")&amp;SUBSTITUTE(TEXT(Overig!AB63,""",""???0;"",""??-0;"",""???0;"", ///"""),"'","""")&amp;SUBSTITUTE(TEXT(Overig!AC63,""",""?00;"",""?-00;"",""?00;"", //"""),"'","""")&amp;SUBSTITUTE(TEXT(IF(ISTEXT(Overig!AD63),Overig!AD63,10*Overig!AD63),""",""????0;"",""???-0;"",""????0;"", ////"""),"'","""")&amp;SUBSTITUTE(TEXT(Overig!AE63,""",""?00;"",""?-00;"",""?00;"", //"""),"'","""")&amp;SUBSTITUTE(TEXT(IF(ISTEXT(Overig!AF63),Overig!AF63,10*Overig!AF63),""",""????0;"",""???-0;"",""????0;"", ////"""),"'","""")&amp;SUBSTITUTE(TEXT(Overig!AG63,""",""?00;"",""?-00;"",""?00;"", //"""),"'","""")&amp;SUBSTITUTE(TEXT(Overig!AH63,""",""???0;"",""??-0;"",""???0;"", ///"""),"'","""")&amp;SUBSTITUTE(TEXT(Overig!AI63,""",""?00;"",""?-00;"",""?00;"", //"""),"'","""")&amp;SUBSTITUTE(TEXT(Overig!AJ63,""",""??0;"",""?-0;"",""??0;"", //"""),"'","""")&amp;SUBSTITUTE(TEXT(Overig!AK63,""",""?00;"",""?-00;"",""?00;"", //"""),"'","""")&amp;SUBSTITUTE(IF(EXACT(Overig!AL63,"—"),TEXT(Overig!AL63,""",""????0;"",""???-0;"",""????0;"", ////////////,"""),TEXT(Overig!AL63,"\, \'@""',""")&amp;REPT(" ",10-LEN(Overig!AL63))),"'","""")&amp;SUBSTITUTE(TEXT(Overig!AM63,"?00;?-00;?00;"" //"""),"'","""")&amp;SUBSTITUTE(TEXT(Overig!AN63,""",""???0;"",""??-0;"",""???0;"", ///"""),"'","""")&amp;SUBSTITUTE(TEXT(Overig!AO63,""",""?00;"",""?-00;"",""?00;"", //"""),"'","""")</f>
        <v>78989, 19130303, 0800, ////, 07, /////, 07, ////, 07, /////, 07, ////, 07, ////, 07, ////, 07, ////, 07, ///, 07, ///, 07, ////, 07, ////, 07, ///, 07, ////, 07, ////, 07, ///, 07, //, 07, ////////////, 07, ///, 07</v>
      </c>
    </row>
    <row r="64" spans="1:1" x14ac:dyDescent="0.25">
      <c r="A64" s="75" t="str">
        <f ca="1">TEXT(Overig!A64,"000\,")&amp;TEXT(Overig!B64,"?00000000")&amp;TEXT(Overig!C64,""", ""0000")&amp;SUBSTITUTE(TEXT(IF(ISTEXT(Overig!D64),Overig!D64,10*Overig!D64),""",""????0;"",""???-0;"",""????0;"", ////"""),"'","""")&amp;SUBSTITUTE(TEXT(Overig!E64,""",""?00;"",""?-00;"",""?00;"", //"""),"'","""")&amp;SUBSTITUTE(TEXT(IF(ISTEXT(Overig!F64),Overig!F64,100*Overig!F64),""",""?????0;"",""????-0;"",""?????0;"", /////"""),"'","""")&amp;SUBSTITUTE(TEXT(Overig!G64,""",""?00;"",""?-00;"",""?00;"", //"""),"'","""")&amp;SUBSTITUTE(TEXT(IF(ISTEXT(Overig!H64),Overig!H64,100*Overig!H64),""",""????0;"",""???-0;"",""????0;"", ////"""),"'","""")&amp;SUBSTITUTE(TEXT(Overig!I64,""",""?00;"",""?-00;"",""?00;"", //"""),"'","""")&amp;SUBSTITUTE(TEXT(IF(ISTEXT(Overig!J64),Overig!J64,100*Overig!J64),""",""?????0;"",""????-0;"",""?????0;"", /////"""),"'","""")&amp;SUBSTITUTE(TEXT(Overig!K64,""",""?00;"",""?-00;"",""?00;"", //"""),"'","""")&amp;SUBSTITUTE(TEXT(IF(ISTEXT(Overig!L64),Overig!L64,10*Overig!L64),""",""????0;"",""???-0;"",""????0;"", ////"""),"'","""")&amp;SUBSTITUTE(TEXT(Overig!M64,""",""?00;"",""?-00;"",""?00;"", //"""),"'","""")&amp;SUBSTITUTE(TEXT(IF(ISTEXT(Overig!N64),Overig!N64,10*Overig!N64),""",""????0;"",""???-0;"",""????0;"", ////"""),"'","""")&amp;SUBSTITUTE(TEXT(Overig!O64,""",""?00;"",""?-00;"",""?00;"", //"""),"'","""")&amp;SUBSTITUTE(TEXT(IF(ISTEXT(Overig!P64),Overig!P64,10*Overig!P64),""",""????0;"",""???-0;"",""????0;"", ////"""),"'","""")&amp;SUBSTITUTE(TEXT(Overig!Q64,""",""?00;"",""?-00;"",""?00;"", //"""),"'","""")&amp;SUBSTITUTE(TEXT(IF(ISTEXT(Overig!R64),Overig!R64,10*Overig!R64),""",""????0;"",""???-0;"",""????0;"", ////"""),"'","""")&amp;SUBSTITUTE(TEXT(Overig!S64,""",""?00;"",""?-00;"",""?00;"", //"""),"'","""")&amp;SUBSTITUTE(TEXT(Overig!T64,""",""???0;"",""??-0;"",""???0;"", ///"""),"'","""")&amp;SUBSTITUTE(TEXT(Overig!U64,""",""?00;"",""?-00;"",""?00;"", //"""),"'","""")&amp;SUBSTITUTE(TEXT(IF(ISTEXT(Overig!V64),Overig!V64,10*Overig!V64),""",""???0;"",""??-0;"",""???0;"", ///"""),"'","""")&amp;SUBSTITUTE(TEXT(Overig!W64,""",""?00;"",""?-00;"",""?00;"", //"""),"'","""")&amp;SUBSTITUTE(TEXT(IF(ISTEXT(Overig!X64),Overig!X64,10*Overig!X64),""",""????0;"",""???-0;"",""????0;"", ////"""),"'","""")&amp;SUBSTITUTE(TEXT(Overig!Y64,""",""?00;"",""?-00;"",""?00;"", //"""),"'","""")&amp;SUBSTITUTE(TEXT(IF(ISTEXT(Overig!Z64),Overig!Z64,10*Overig!Z64),""",""????0;"",""???-0;"",""????0;"", ////"""),"'","""")&amp;SUBSTITUTE(TEXT(Overig!AA64,""",""?00;"",""?-00;"",""?00;"", //"""),"'","""")&amp;SUBSTITUTE(TEXT(Overig!AB64,""",""???0;"",""??-0;"",""???0;"", ///"""),"'","""")&amp;SUBSTITUTE(TEXT(Overig!AC64,""",""?00;"",""?-00;"",""?00;"", //"""),"'","""")&amp;SUBSTITUTE(TEXT(IF(ISTEXT(Overig!AD64),Overig!AD64,10*Overig!AD64),""",""????0;"",""???-0;"",""????0;"", ////"""),"'","""")&amp;SUBSTITUTE(TEXT(Overig!AE64,""",""?00;"",""?-00;"",""?00;"", //"""),"'","""")&amp;SUBSTITUTE(TEXT(IF(ISTEXT(Overig!AF64),Overig!AF64,10*Overig!AF64),""",""????0;"",""???-0;"",""????0;"", ////"""),"'","""")&amp;SUBSTITUTE(TEXT(Overig!AG64,""",""?00;"",""?-00;"",""?00;"", //"""),"'","""")&amp;SUBSTITUTE(TEXT(Overig!AH64,""",""???0;"",""??-0;"",""???0;"", ///"""),"'","""")&amp;SUBSTITUTE(TEXT(Overig!AI64,""",""?00;"",""?-00;"",""?00;"", //"""),"'","""")&amp;SUBSTITUTE(TEXT(Overig!AJ64,""",""??0;"",""?-0;"",""??0;"", //"""),"'","""")&amp;SUBSTITUTE(TEXT(Overig!AK64,""",""?00;"",""?-00;"",""?00;"", //"""),"'","""")&amp;SUBSTITUTE(IF(EXACT(Overig!AL64,"—"),TEXT(Overig!AL64,""",""????0;"",""???-0;"",""????0;"", ////////////,"""),TEXT(Overig!AL64,"\, \'@""',""")&amp;REPT(" ",10-LEN(Overig!AL64))),"'","""")&amp;SUBSTITUTE(TEXT(Overig!AM64,"?00;?-00;?00;"" //"""),"'","""")&amp;SUBSTITUTE(TEXT(Overig!AN64,""",""???0;"",""??-0;"",""???0;"", ///"""),"'","""")&amp;SUBSTITUTE(TEXT(Overig!AO64,""",""?00;"",""?-00;"",""?00;"", //"""),"'","""")</f>
        <v>78989, 19130304, 0800, ////, 07, /////, 07, ////, 07, /////, 07, ////, 07, ////, 07, ////, 07, ////, 07, ///, 07, ///, 07, ////, 07, ////, 07, ///, 07, ////, 07, ////, 07, ///, 07, //, 07, ////////////, 07, ///, 07</v>
      </c>
    </row>
    <row r="65" spans="1:1" x14ac:dyDescent="0.25">
      <c r="A65" s="75" t="str">
        <f ca="1">TEXT(Overig!A65,"000\,")&amp;TEXT(Overig!B65,"?00000000")&amp;TEXT(Overig!C65,""", ""0000")&amp;SUBSTITUTE(TEXT(IF(ISTEXT(Overig!D65),Overig!D65,10*Overig!D65),""",""????0;"",""???-0;"",""????0;"", ////"""),"'","""")&amp;SUBSTITUTE(TEXT(Overig!E65,""",""?00;"",""?-00;"",""?00;"", //"""),"'","""")&amp;SUBSTITUTE(TEXT(IF(ISTEXT(Overig!F65),Overig!F65,100*Overig!F65),""",""?????0;"",""????-0;"",""?????0;"", /////"""),"'","""")&amp;SUBSTITUTE(TEXT(Overig!G65,""",""?00;"",""?-00;"",""?00;"", //"""),"'","""")&amp;SUBSTITUTE(TEXT(IF(ISTEXT(Overig!H65),Overig!H65,100*Overig!H65),""",""????0;"",""???-0;"",""????0;"", ////"""),"'","""")&amp;SUBSTITUTE(TEXT(Overig!I65,""",""?00;"",""?-00;"",""?00;"", //"""),"'","""")&amp;SUBSTITUTE(TEXT(IF(ISTEXT(Overig!J65),Overig!J65,100*Overig!J65),""",""?????0;"",""????-0;"",""?????0;"", /////"""),"'","""")&amp;SUBSTITUTE(TEXT(Overig!K65,""",""?00;"",""?-00;"",""?00;"", //"""),"'","""")&amp;SUBSTITUTE(TEXT(IF(ISTEXT(Overig!L65),Overig!L65,10*Overig!L65),""",""????0;"",""???-0;"",""????0;"", ////"""),"'","""")&amp;SUBSTITUTE(TEXT(Overig!M65,""",""?00;"",""?-00;"",""?00;"", //"""),"'","""")&amp;SUBSTITUTE(TEXT(IF(ISTEXT(Overig!N65),Overig!N65,10*Overig!N65),""",""????0;"",""???-0;"",""????0;"", ////"""),"'","""")&amp;SUBSTITUTE(TEXT(Overig!O65,""",""?00;"",""?-00;"",""?00;"", //"""),"'","""")&amp;SUBSTITUTE(TEXT(IF(ISTEXT(Overig!P65),Overig!P65,10*Overig!P65),""",""????0;"",""???-0;"",""????0;"", ////"""),"'","""")&amp;SUBSTITUTE(TEXT(Overig!Q65,""",""?00;"",""?-00;"",""?00;"", //"""),"'","""")&amp;SUBSTITUTE(TEXT(IF(ISTEXT(Overig!R65),Overig!R65,10*Overig!R65),""",""????0;"",""???-0;"",""????0;"", ////"""),"'","""")&amp;SUBSTITUTE(TEXT(Overig!S65,""",""?00;"",""?-00;"",""?00;"", //"""),"'","""")&amp;SUBSTITUTE(TEXT(Overig!T65,""",""???0;"",""??-0;"",""???0;"", ///"""),"'","""")&amp;SUBSTITUTE(TEXT(Overig!U65,""",""?00;"",""?-00;"",""?00;"", //"""),"'","""")&amp;SUBSTITUTE(TEXT(IF(ISTEXT(Overig!V65),Overig!V65,10*Overig!V65),""",""???0;"",""??-0;"",""???0;"", ///"""),"'","""")&amp;SUBSTITUTE(TEXT(Overig!W65,""",""?00;"",""?-00;"",""?00;"", //"""),"'","""")&amp;SUBSTITUTE(TEXT(IF(ISTEXT(Overig!X65),Overig!X65,10*Overig!X65),""",""????0;"",""???-0;"",""????0;"", ////"""),"'","""")&amp;SUBSTITUTE(TEXT(Overig!Y65,""",""?00;"",""?-00;"",""?00;"", //"""),"'","""")&amp;SUBSTITUTE(TEXT(IF(ISTEXT(Overig!Z65),Overig!Z65,10*Overig!Z65),""",""????0;"",""???-0;"",""????0;"", ////"""),"'","""")&amp;SUBSTITUTE(TEXT(Overig!AA65,""",""?00;"",""?-00;"",""?00;"", //"""),"'","""")&amp;SUBSTITUTE(TEXT(Overig!AB65,""",""???0;"",""??-0;"",""???0;"", ///"""),"'","""")&amp;SUBSTITUTE(TEXT(Overig!AC65,""",""?00;"",""?-00;"",""?00;"", //"""),"'","""")&amp;SUBSTITUTE(TEXT(IF(ISTEXT(Overig!AD65),Overig!AD65,10*Overig!AD65),""",""????0;"",""???-0;"",""????0;"", ////"""),"'","""")&amp;SUBSTITUTE(TEXT(Overig!AE65,""",""?00;"",""?-00;"",""?00;"", //"""),"'","""")&amp;SUBSTITUTE(TEXT(IF(ISTEXT(Overig!AF65),Overig!AF65,10*Overig!AF65),""",""????0;"",""???-0;"",""????0;"", ////"""),"'","""")&amp;SUBSTITUTE(TEXT(Overig!AG65,""",""?00;"",""?-00;"",""?00;"", //"""),"'","""")&amp;SUBSTITUTE(TEXT(Overig!AH65,""",""???0;"",""??-0;"",""???0;"", ///"""),"'","""")&amp;SUBSTITUTE(TEXT(Overig!AI65,""",""?00;"",""?-00;"",""?00;"", //"""),"'","""")&amp;SUBSTITUTE(TEXT(Overig!AJ65,""",""??0;"",""?-0;"",""??0;"", //"""),"'","""")&amp;SUBSTITUTE(TEXT(Overig!AK65,""",""?00;"",""?-00;"",""?00;"", //"""),"'","""")&amp;SUBSTITUTE(IF(EXACT(Overig!AL65,"—"),TEXT(Overig!AL65,""",""????0;"",""???-0;"",""????0;"", ////////////,"""),TEXT(Overig!AL65,"\, \'@""',""")&amp;REPT(" ",10-LEN(Overig!AL65))),"'","""")&amp;SUBSTITUTE(TEXT(Overig!AM65,"?00;?-00;?00;"" //"""),"'","""")&amp;SUBSTITUTE(TEXT(Overig!AN65,""",""???0;"",""??-0;"",""???0;"", ///"""),"'","""")&amp;SUBSTITUTE(TEXT(Overig!AO65,""",""?00;"",""?-00;"",""?00;"", //"""),"'","""")</f>
        <v>78989, 19130305, 0800, ////, 07, /////, 07, ////, 07, /////, 07, ////, 07, ////, 07, ////, 07, ////, 07, ///, 07, ///, 07, ////, 07, ////, 07, ///, 07, ////, 07, ////, 07, ///, 07, //, 07, ////////////, 07, ///, 07</v>
      </c>
    </row>
    <row r="66" spans="1:1" x14ac:dyDescent="0.25">
      <c r="A66" s="75" t="str">
        <f ca="1">TEXT(Overig!A66,"000\,")&amp;TEXT(Overig!B66,"?00000000")&amp;TEXT(Overig!C66,""", ""0000")&amp;SUBSTITUTE(TEXT(IF(ISTEXT(Overig!D66),Overig!D66,10*Overig!D66),""",""????0;"",""???-0;"",""????0;"", ////"""),"'","""")&amp;SUBSTITUTE(TEXT(Overig!E66,""",""?00;"",""?-00;"",""?00;"", //"""),"'","""")&amp;SUBSTITUTE(TEXT(IF(ISTEXT(Overig!F66),Overig!F66,100*Overig!F66),""",""?????0;"",""????-0;"",""?????0;"", /////"""),"'","""")&amp;SUBSTITUTE(TEXT(Overig!G66,""",""?00;"",""?-00;"",""?00;"", //"""),"'","""")&amp;SUBSTITUTE(TEXT(IF(ISTEXT(Overig!H66),Overig!H66,100*Overig!H66),""",""????0;"",""???-0;"",""????0;"", ////"""),"'","""")&amp;SUBSTITUTE(TEXT(Overig!I66,""",""?00;"",""?-00;"",""?00;"", //"""),"'","""")&amp;SUBSTITUTE(TEXT(IF(ISTEXT(Overig!J66),Overig!J66,100*Overig!J66),""",""?????0;"",""????-0;"",""?????0;"", /////"""),"'","""")&amp;SUBSTITUTE(TEXT(Overig!K66,""",""?00;"",""?-00;"",""?00;"", //"""),"'","""")&amp;SUBSTITUTE(TEXT(IF(ISTEXT(Overig!L66),Overig!L66,10*Overig!L66),""",""????0;"",""???-0;"",""????0;"", ////"""),"'","""")&amp;SUBSTITUTE(TEXT(Overig!M66,""",""?00;"",""?-00;"",""?00;"", //"""),"'","""")&amp;SUBSTITUTE(TEXT(IF(ISTEXT(Overig!N66),Overig!N66,10*Overig!N66),""",""????0;"",""???-0;"",""????0;"", ////"""),"'","""")&amp;SUBSTITUTE(TEXT(Overig!O66,""",""?00;"",""?-00;"",""?00;"", //"""),"'","""")&amp;SUBSTITUTE(TEXT(IF(ISTEXT(Overig!P66),Overig!P66,10*Overig!P66),""",""????0;"",""???-0;"",""????0;"", ////"""),"'","""")&amp;SUBSTITUTE(TEXT(Overig!Q66,""",""?00;"",""?-00;"",""?00;"", //"""),"'","""")&amp;SUBSTITUTE(TEXT(IF(ISTEXT(Overig!R66),Overig!R66,10*Overig!R66),""",""????0;"",""???-0;"",""????0;"", ////"""),"'","""")&amp;SUBSTITUTE(TEXT(Overig!S66,""",""?00;"",""?-00;"",""?00;"", //"""),"'","""")&amp;SUBSTITUTE(TEXT(Overig!T66,""",""???0;"",""??-0;"",""???0;"", ///"""),"'","""")&amp;SUBSTITUTE(TEXT(Overig!U66,""",""?00;"",""?-00;"",""?00;"", //"""),"'","""")&amp;SUBSTITUTE(TEXT(IF(ISTEXT(Overig!V66),Overig!V66,10*Overig!V66),""",""???0;"",""??-0;"",""???0;"", ///"""),"'","""")&amp;SUBSTITUTE(TEXT(Overig!W66,""",""?00;"",""?-00;"",""?00;"", //"""),"'","""")&amp;SUBSTITUTE(TEXT(IF(ISTEXT(Overig!X66),Overig!X66,10*Overig!X66),""",""????0;"",""???-0;"",""????0;"", ////"""),"'","""")&amp;SUBSTITUTE(TEXT(Overig!Y66,""",""?00;"",""?-00;"",""?00;"", //"""),"'","""")&amp;SUBSTITUTE(TEXT(IF(ISTEXT(Overig!Z66),Overig!Z66,10*Overig!Z66),""",""????0;"",""???-0;"",""????0;"", ////"""),"'","""")&amp;SUBSTITUTE(TEXT(Overig!AA66,""",""?00;"",""?-00;"",""?00;"", //"""),"'","""")&amp;SUBSTITUTE(TEXT(Overig!AB66,""",""???0;"",""??-0;"",""???0;"", ///"""),"'","""")&amp;SUBSTITUTE(TEXT(Overig!AC66,""",""?00;"",""?-00;"",""?00;"", //"""),"'","""")&amp;SUBSTITUTE(TEXT(IF(ISTEXT(Overig!AD66),Overig!AD66,10*Overig!AD66),""",""????0;"",""???-0;"",""????0;"", ////"""),"'","""")&amp;SUBSTITUTE(TEXT(Overig!AE66,""",""?00;"",""?-00;"",""?00;"", //"""),"'","""")&amp;SUBSTITUTE(TEXT(IF(ISTEXT(Overig!AF66),Overig!AF66,10*Overig!AF66),""",""????0;"",""???-0;"",""????0;"", ////"""),"'","""")&amp;SUBSTITUTE(TEXT(Overig!AG66,""",""?00;"",""?-00;"",""?00;"", //"""),"'","""")&amp;SUBSTITUTE(TEXT(Overig!AH66,""",""???0;"",""??-0;"",""???0;"", ///"""),"'","""")&amp;SUBSTITUTE(TEXT(Overig!AI66,""",""?00;"",""?-00;"",""?00;"", //"""),"'","""")&amp;SUBSTITUTE(TEXT(Overig!AJ66,""",""??0;"",""?-0;"",""??0;"", //"""),"'","""")&amp;SUBSTITUTE(TEXT(Overig!AK66,""",""?00;"",""?-00;"",""?00;"", //"""),"'","""")&amp;SUBSTITUTE(IF(EXACT(Overig!AL66,"—"),TEXT(Overig!AL66,""",""????0;"",""???-0;"",""????0;"", ////////////,"""),TEXT(Overig!AL66,"\, \'@""',""")&amp;REPT(" ",10-LEN(Overig!AL66))),"'","""")&amp;SUBSTITUTE(TEXT(Overig!AM66,"?00;?-00;?00;"" //"""),"'","""")&amp;SUBSTITUTE(TEXT(Overig!AN66,""",""???0;"",""??-0;"",""???0;"", ///"""),"'","""")&amp;SUBSTITUTE(TEXT(Overig!AO66,""",""?00;"",""?-00;"",""?00;"", //"""),"'","""")</f>
        <v>78989, 19130306, 0800, ////, 07, /////, 07, ////, 07, /////, 07, ////, 07, ////, 07, ////, 07, ////, 07, ///, 07, ///, 07, ////, 07, ////, 07, ///, 07, ////, 07, ////, 07, ///, 07, //, 07, ////////////, 07, ///, 07</v>
      </c>
    </row>
    <row r="67" spans="1:1" x14ac:dyDescent="0.25">
      <c r="A67" s="75" t="str">
        <f ca="1">TEXT(Overig!A67,"000\,")&amp;TEXT(Overig!B67,"?00000000")&amp;TEXT(Overig!C67,""", ""0000")&amp;SUBSTITUTE(TEXT(IF(ISTEXT(Overig!D67),Overig!D67,10*Overig!D67),""",""????0;"",""???-0;"",""????0;"", ////"""),"'","""")&amp;SUBSTITUTE(TEXT(Overig!E67,""",""?00;"",""?-00;"",""?00;"", //"""),"'","""")&amp;SUBSTITUTE(TEXT(IF(ISTEXT(Overig!F67),Overig!F67,100*Overig!F67),""",""?????0;"",""????-0;"",""?????0;"", /////"""),"'","""")&amp;SUBSTITUTE(TEXT(Overig!G67,""",""?00;"",""?-00;"",""?00;"", //"""),"'","""")&amp;SUBSTITUTE(TEXT(IF(ISTEXT(Overig!H67),Overig!H67,100*Overig!H67),""",""????0;"",""???-0;"",""????0;"", ////"""),"'","""")&amp;SUBSTITUTE(TEXT(Overig!I67,""",""?00;"",""?-00;"",""?00;"", //"""),"'","""")&amp;SUBSTITUTE(TEXT(IF(ISTEXT(Overig!J67),Overig!J67,100*Overig!J67),""",""?????0;"",""????-0;"",""?????0;"", /////"""),"'","""")&amp;SUBSTITUTE(TEXT(Overig!K67,""",""?00;"",""?-00;"",""?00;"", //"""),"'","""")&amp;SUBSTITUTE(TEXT(IF(ISTEXT(Overig!L67),Overig!L67,10*Overig!L67),""",""????0;"",""???-0;"",""????0;"", ////"""),"'","""")&amp;SUBSTITUTE(TEXT(Overig!M67,""",""?00;"",""?-00;"",""?00;"", //"""),"'","""")&amp;SUBSTITUTE(TEXT(IF(ISTEXT(Overig!N67),Overig!N67,10*Overig!N67),""",""????0;"",""???-0;"",""????0;"", ////"""),"'","""")&amp;SUBSTITUTE(TEXT(Overig!O67,""",""?00;"",""?-00;"",""?00;"", //"""),"'","""")&amp;SUBSTITUTE(TEXT(IF(ISTEXT(Overig!P67),Overig!P67,10*Overig!P67),""",""????0;"",""???-0;"",""????0;"", ////"""),"'","""")&amp;SUBSTITUTE(TEXT(Overig!Q67,""",""?00;"",""?-00;"",""?00;"", //"""),"'","""")&amp;SUBSTITUTE(TEXT(IF(ISTEXT(Overig!R67),Overig!R67,10*Overig!R67),""",""????0;"",""???-0;"",""????0;"", ////"""),"'","""")&amp;SUBSTITUTE(TEXT(Overig!S67,""",""?00;"",""?-00;"",""?00;"", //"""),"'","""")&amp;SUBSTITUTE(TEXT(Overig!T67,""",""???0;"",""??-0;"",""???0;"", ///"""),"'","""")&amp;SUBSTITUTE(TEXT(Overig!U67,""",""?00;"",""?-00;"",""?00;"", //"""),"'","""")&amp;SUBSTITUTE(TEXT(IF(ISTEXT(Overig!V67),Overig!V67,10*Overig!V67),""",""???0;"",""??-0;"",""???0;"", ///"""),"'","""")&amp;SUBSTITUTE(TEXT(Overig!W67,""",""?00;"",""?-00;"",""?00;"", //"""),"'","""")&amp;SUBSTITUTE(TEXT(IF(ISTEXT(Overig!X67),Overig!X67,10*Overig!X67),""",""????0;"",""???-0;"",""????0;"", ////"""),"'","""")&amp;SUBSTITUTE(TEXT(Overig!Y67,""",""?00;"",""?-00;"",""?00;"", //"""),"'","""")&amp;SUBSTITUTE(TEXT(IF(ISTEXT(Overig!Z67),Overig!Z67,10*Overig!Z67),""",""????0;"",""???-0;"",""????0;"", ////"""),"'","""")&amp;SUBSTITUTE(TEXT(Overig!AA67,""",""?00;"",""?-00;"",""?00;"", //"""),"'","""")&amp;SUBSTITUTE(TEXT(Overig!AB67,""",""???0;"",""??-0;"",""???0;"", ///"""),"'","""")&amp;SUBSTITUTE(TEXT(Overig!AC67,""",""?00;"",""?-00;"",""?00;"", //"""),"'","""")&amp;SUBSTITUTE(TEXT(IF(ISTEXT(Overig!AD67),Overig!AD67,10*Overig!AD67),""",""????0;"",""???-0;"",""????0;"", ////"""),"'","""")&amp;SUBSTITUTE(TEXT(Overig!AE67,""",""?00;"",""?-00;"",""?00;"", //"""),"'","""")&amp;SUBSTITUTE(TEXT(IF(ISTEXT(Overig!AF67),Overig!AF67,10*Overig!AF67),""",""????0;"",""???-0;"",""????0;"", ////"""),"'","""")&amp;SUBSTITUTE(TEXT(Overig!AG67,""",""?00;"",""?-00;"",""?00;"", //"""),"'","""")&amp;SUBSTITUTE(TEXT(Overig!AH67,""",""???0;"",""??-0;"",""???0;"", ///"""),"'","""")&amp;SUBSTITUTE(TEXT(Overig!AI67,""",""?00;"",""?-00;"",""?00;"", //"""),"'","""")&amp;SUBSTITUTE(TEXT(Overig!AJ67,""",""??0;"",""?-0;"",""??0;"", //"""),"'","""")&amp;SUBSTITUTE(TEXT(Overig!AK67,""",""?00;"",""?-00;"",""?00;"", //"""),"'","""")&amp;SUBSTITUTE(IF(EXACT(Overig!AL67,"—"),TEXT(Overig!AL67,""",""????0;"",""???-0;"",""????0;"", ////////////,"""),TEXT(Overig!AL67,"\, \'@""',""")&amp;REPT(" ",10-LEN(Overig!AL67))),"'","""")&amp;SUBSTITUTE(TEXT(Overig!AM67,"?00;?-00;?00;"" //"""),"'","""")&amp;SUBSTITUTE(TEXT(Overig!AN67,""",""???0;"",""??-0;"",""???0;"", ///"""),"'","""")&amp;SUBSTITUTE(TEXT(Overig!AO67,""",""?00;"",""?-00;"",""?00;"", //"""),"'","""")</f>
        <v>78989, 19130307, 0800, ////, 07, /////, 07, ////, 07, /////, 07, ////, 07, ////, 07, ////, 07, ////, 07, ///, 07, ///, 07, ////, 07, ////, 07, ///, 07, ////, 07, ////, 07, ///, 07, //, 07, ////////////, 07, ///, 07</v>
      </c>
    </row>
    <row r="68" spans="1:1" x14ac:dyDescent="0.25">
      <c r="A68" s="75" t="str">
        <f ca="1">TEXT(Overig!A68,"000\,")&amp;TEXT(Overig!B68,"?00000000")&amp;TEXT(Overig!C68,""", ""0000")&amp;SUBSTITUTE(TEXT(IF(ISTEXT(Overig!D68),Overig!D68,10*Overig!D68),""",""????0;"",""???-0;"",""????0;"", ////"""),"'","""")&amp;SUBSTITUTE(TEXT(Overig!E68,""",""?00;"",""?-00;"",""?00;"", //"""),"'","""")&amp;SUBSTITUTE(TEXT(IF(ISTEXT(Overig!F68),Overig!F68,100*Overig!F68),""",""?????0;"",""????-0;"",""?????0;"", /////"""),"'","""")&amp;SUBSTITUTE(TEXT(Overig!G68,""",""?00;"",""?-00;"",""?00;"", //"""),"'","""")&amp;SUBSTITUTE(TEXT(IF(ISTEXT(Overig!H68),Overig!H68,100*Overig!H68),""",""????0;"",""???-0;"",""????0;"", ////"""),"'","""")&amp;SUBSTITUTE(TEXT(Overig!I68,""",""?00;"",""?-00;"",""?00;"", //"""),"'","""")&amp;SUBSTITUTE(TEXT(IF(ISTEXT(Overig!J68),Overig!J68,100*Overig!J68),""",""?????0;"",""????-0;"",""?????0;"", /////"""),"'","""")&amp;SUBSTITUTE(TEXT(Overig!K68,""",""?00;"",""?-00;"",""?00;"", //"""),"'","""")&amp;SUBSTITUTE(TEXT(IF(ISTEXT(Overig!L68),Overig!L68,10*Overig!L68),""",""????0;"",""???-0;"",""????0;"", ////"""),"'","""")&amp;SUBSTITUTE(TEXT(Overig!M68,""",""?00;"",""?-00;"",""?00;"", //"""),"'","""")&amp;SUBSTITUTE(TEXT(IF(ISTEXT(Overig!N68),Overig!N68,10*Overig!N68),""",""????0;"",""???-0;"",""????0;"", ////"""),"'","""")&amp;SUBSTITUTE(TEXT(Overig!O68,""",""?00;"",""?-00;"",""?00;"", //"""),"'","""")&amp;SUBSTITUTE(TEXT(IF(ISTEXT(Overig!P68),Overig!P68,10*Overig!P68),""",""????0;"",""???-0;"",""????0;"", ////"""),"'","""")&amp;SUBSTITUTE(TEXT(Overig!Q68,""",""?00;"",""?-00;"",""?00;"", //"""),"'","""")&amp;SUBSTITUTE(TEXT(IF(ISTEXT(Overig!R68),Overig!R68,10*Overig!R68),""",""????0;"",""???-0;"",""????0;"", ////"""),"'","""")&amp;SUBSTITUTE(TEXT(Overig!S68,""",""?00;"",""?-00;"",""?00;"", //"""),"'","""")&amp;SUBSTITUTE(TEXT(Overig!T68,""",""???0;"",""??-0;"",""???0;"", ///"""),"'","""")&amp;SUBSTITUTE(TEXT(Overig!U68,""",""?00;"",""?-00;"",""?00;"", //"""),"'","""")&amp;SUBSTITUTE(TEXT(IF(ISTEXT(Overig!V68),Overig!V68,10*Overig!V68),""",""???0;"",""??-0;"",""???0;"", ///"""),"'","""")&amp;SUBSTITUTE(TEXT(Overig!W68,""",""?00;"",""?-00;"",""?00;"", //"""),"'","""")&amp;SUBSTITUTE(TEXT(IF(ISTEXT(Overig!X68),Overig!X68,10*Overig!X68),""",""????0;"",""???-0;"",""????0;"", ////"""),"'","""")&amp;SUBSTITUTE(TEXT(Overig!Y68,""",""?00;"",""?-00;"",""?00;"", //"""),"'","""")&amp;SUBSTITUTE(TEXT(IF(ISTEXT(Overig!Z68),Overig!Z68,10*Overig!Z68),""",""????0;"",""???-0;"",""????0;"", ////"""),"'","""")&amp;SUBSTITUTE(TEXT(Overig!AA68,""",""?00;"",""?-00;"",""?00;"", //"""),"'","""")&amp;SUBSTITUTE(TEXT(Overig!AB68,""",""???0;"",""??-0;"",""???0;"", ///"""),"'","""")&amp;SUBSTITUTE(TEXT(Overig!AC68,""",""?00;"",""?-00;"",""?00;"", //"""),"'","""")&amp;SUBSTITUTE(TEXT(IF(ISTEXT(Overig!AD68),Overig!AD68,10*Overig!AD68),""",""????0;"",""???-0;"",""????0;"", ////"""),"'","""")&amp;SUBSTITUTE(TEXT(Overig!AE68,""",""?00;"",""?-00;"",""?00;"", //"""),"'","""")&amp;SUBSTITUTE(TEXT(IF(ISTEXT(Overig!AF68),Overig!AF68,10*Overig!AF68),""",""????0;"",""???-0;"",""????0;"", ////"""),"'","""")&amp;SUBSTITUTE(TEXT(Overig!AG68,""",""?00;"",""?-00;"",""?00;"", //"""),"'","""")&amp;SUBSTITUTE(TEXT(Overig!AH68,""",""???0;"",""??-0;"",""???0;"", ///"""),"'","""")&amp;SUBSTITUTE(TEXT(Overig!AI68,""",""?00;"",""?-00;"",""?00;"", //"""),"'","""")&amp;SUBSTITUTE(TEXT(Overig!AJ68,""",""??0;"",""?-0;"",""??0;"", //"""),"'","""")&amp;SUBSTITUTE(TEXT(Overig!AK68,""",""?00;"",""?-00;"",""?00;"", //"""),"'","""")&amp;SUBSTITUTE(IF(EXACT(Overig!AL68,"—"),TEXT(Overig!AL68,""",""????0;"",""???-0;"",""????0;"", ////////////,"""),TEXT(Overig!AL68,"\, \'@""',""")&amp;REPT(" ",10-LEN(Overig!AL68))),"'","""")&amp;SUBSTITUTE(TEXT(Overig!AM68,"?00;?-00;?00;"" //"""),"'","""")&amp;SUBSTITUTE(TEXT(Overig!AN68,""",""???0;"",""??-0;"",""???0;"", ///"""),"'","""")&amp;SUBSTITUTE(TEXT(Overig!AO68,""",""?00;"",""?-00;"",""?00;"", //"""),"'","""")</f>
        <v>78989, 19130308, 0800, ////, 07, /////, 07, ////, 07, /////, 07, ////, 07, ////, 07, ////, 07, ////, 07, ///, 07, ///, 07, ////, 07, ////, 07, ///, 07, ////, 07, ////, 07, ///, 07, //, 07, ////////////, 07, ///, 07</v>
      </c>
    </row>
    <row r="69" spans="1:1" x14ac:dyDescent="0.25">
      <c r="A69" s="75" t="str">
        <f ca="1">TEXT(Overig!A69,"000\,")&amp;TEXT(Overig!B69,"?00000000")&amp;TEXT(Overig!C69,""", ""0000")&amp;SUBSTITUTE(TEXT(IF(ISTEXT(Overig!D69),Overig!D69,10*Overig!D69),""",""????0;"",""???-0;"",""????0;"", ////"""),"'","""")&amp;SUBSTITUTE(TEXT(Overig!E69,""",""?00;"",""?-00;"",""?00;"", //"""),"'","""")&amp;SUBSTITUTE(TEXT(IF(ISTEXT(Overig!F69),Overig!F69,100*Overig!F69),""",""?????0;"",""????-0;"",""?????0;"", /////"""),"'","""")&amp;SUBSTITUTE(TEXT(Overig!G69,""",""?00;"",""?-00;"",""?00;"", //"""),"'","""")&amp;SUBSTITUTE(TEXT(IF(ISTEXT(Overig!H69),Overig!H69,100*Overig!H69),""",""????0;"",""???-0;"",""????0;"", ////"""),"'","""")&amp;SUBSTITUTE(TEXT(Overig!I69,""",""?00;"",""?-00;"",""?00;"", //"""),"'","""")&amp;SUBSTITUTE(TEXT(IF(ISTEXT(Overig!J69),Overig!J69,100*Overig!J69),""",""?????0;"",""????-0;"",""?????0;"", /////"""),"'","""")&amp;SUBSTITUTE(TEXT(Overig!K69,""",""?00;"",""?-00;"",""?00;"", //"""),"'","""")&amp;SUBSTITUTE(TEXT(IF(ISTEXT(Overig!L69),Overig!L69,10*Overig!L69),""",""????0;"",""???-0;"",""????0;"", ////"""),"'","""")&amp;SUBSTITUTE(TEXT(Overig!M69,""",""?00;"",""?-00;"",""?00;"", //"""),"'","""")&amp;SUBSTITUTE(TEXT(IF(ISTEXT(Overig!N69),Overig!N69,10*Overig!N69),""",""????0;"",""???-0;"",""????0;"", ////"""),"'","""")&amp;SUBSTITUTE(TEXT(Overig!O69,""",""?00;"",""?-00;"",""?00;"", //"""),"'","""")&amp;SUBSTITUTE(TEXT(IF(ISTEXT(Overig!P69),Overig!P69,10*Overig!P69),""",""????0;"",""???-0;"",""????0;"", ////"""),"'","""")&amp;SUBSTITUTE(TEXT(Overig!Q69,""",""?00;"",""?-00;"",""?00;"", //"""),"'","""")&amp;SUBSTITUTE(TEXT(IF(ISTEXT(Overig!R69),Overig!R69,10*Overig!R69),""",""????0;"",""???-0;"",""????0;"", ////"""),"'","""")&amp;SUBSTITUTE(TEXT(Overig!S69,""",""?00;"",""?-00;"",""?00;"", //"""),"'","""")&amp;SUBSTITUTE(TEXT(Overig!T69,""",""???0;"",""??-0;"",""???0;"", ///"""),"'","""")&amp;SUBSTITUTE(TEXT(Overig!U69,""",""?00;"",""?-00;"",""?00;"", //"""),"'","""")&amp;SUBSTITUTE(TEXT(IF(ISTEXT(Overig!V69),Overig!V69,10*Overig!V69),""",""???0;"",""??-0;"",""???0;"", ///"""),"'","""")&amp;SUBSTITUTE(TEXT(Overig!W69,""",""?00;"",""?-00;"",""?00;"", //"""),"'","""")&amp;SUBSTITUTE(TEXT(IF(ISTEXT(Overig!X69),Overig!X69,10*Overig!X69),""",""????0;"",""???-0;"",""????0;"", ////"""),"'","""")&amp;SUBSTITUTE(TEXT(Overig!Y69,""",""?00;"",""?-00;"",""?00;"", //"""),"'","""")&amp;SUBSTITUTE(TEXT(IF(ISTEXT(Overig!Z69),Overig!Z69,10*Overig!Z69),""",""????0;"",""???-0;"",""????0;"", ////"""),"'","""")&amp;SUBSTITUTE(TEXT(Overig!AA69,""",""?00;"",""?-00;"",""?00;"", //"""),"'","""")&amp;SUBSTITUTE(TEXT(Overig!AB69,""",""???0;"",""??-0;"",""???0;"", ///"""),"'","""")&amp;SUBSTITUTE(TEXT(Overig!AC69,""",""?00;"",""?-00;"",""?00;"", //"""),"'","""")&amp;SUBSTITUTE(TEXT(IF(ISTEXT(Overig!AD69),Overig!AD69,10*Overig!AD69),""",""????0;"",""???-0;"",""????0;"", ////"""),"'","""")&amp;SUBSTITUTE(TEXT(Overig!AE69,""",""?00;"",""?-00;"",""?00;"", //"""),"'","""")&amp;SUBSTITUTE(TEXT(IF(ISTEXT(Overig!AF69),Overig!AF69,10*Overig!AF69),""",""????0;"",""???-0;"",""????0;"", ////"""),"'","""")&amp;SUBSTITUTE(TEXT(Overig!AG69,""",""?00;"",""?-00;"",""?00;"", //"""),"'","""")&amp;SUBSTITUTE(TEXT(Overig!AH69,""",""???0;"",""??-0;"",""???0;"", ///"""),"'","""")&amp;SUBSTITUTE(TEXT(Overig!AI69,""",""?00;"",""?-00;"",""?00;"", //"""),"'","""")&amp;SUBSTITUTE(TEXT(Overig!AJ69,""",""??0;"",""?-0;"",""??0;"", //"""),"'","""")&amp;SUBSTITUTE(TEXT(Overig!AK69,""",""?00;"",""?-00;"",""?00;"", //"""),"'","""")&amp;SUBSTITUTE(IF(EXACT(Overig!AL69,"—"),TEXT(Overig!AL69,""",""????0;"",""???-0;"",""????0;"", ////////////,"""),TEXT(Overig!AL69,"\, \'@""',""")&amp;REPT(" ",10-LEN(Overig!AL69))),"'","""")&amp;SUBSTITUTE(TEXT(Overig!AM69,"?00;?-00;?00;"" //"""),"'","""")&amp;SUBSTITUTE(TEXT(Overig!AN69,""",""???0;"",""??-0;"",""???0;"", ///"""),"'","""")&amp;SUBSTITUTE(TEXT(Overig!AO69,""",""?00;"",""?-00;"",""?00;"", //"""),"'","""")</f>
        <v>78989, 19130309, 0800, ////, 07, /////, 07, ////, 07, /////, 07, ////, 07, ////, 07, ////, 07, ////, 07, ///, 07, ///, 07, ////, 07, ////, 07, ///, 07, ////, 07, ////, 07, ///, 07, //, 07, ////////////, 07, ///, 07</v>
      </c>
    </row>
    <row r="70" spans="1:1" x14ac:dyDescent="0.25">
      <c r="A70" s="75" t="str">
        <f ca="1">TEXT(Overig!A70,"000\,")&amp;TEXT(Overig!B70,"?00000000")&amp;TEXT(Overig!C70,""", ""0000")&amp;SUBSTITUTE(TEXT(IF(ISTEXT(Overig!D70),Overig!D70,10*Overig!D70),""",""????0;"",""???-0;"",""????0;"", ////"""),"'","""")&amp;SUBSTITUTE(TEXT(Overig!E70,""",""?00;"",""?-00;"",""?00;"", //"""),"'","""")&amp;SUBSTITUTE(TEXT(IF(ISTEXT(Overig!F70),Overig!F70,100*Overig!F70),""",""?????0;"",""????-0;"",""?????0;"", /////"""),"'","""")&amp;SUBSTITUTE(TEXT(Overig!G70,""",""?00;"",""?-00;"",""?00;"", //"""),"'","""")&amp;SUBSTITUTE(TEXT(IF(ISTEXT(Overig!H70),Overig!H70,100*Overig!H70),""",""????0;"",""???-0;"",""????0;"", ////"""),"'","""")&amp;SUBSTITUTE(TEXT(Overig!I70,""",""?00;"",""?-00;"",""?00;"", //"""),"'","""")&amp;SUBSTITUTE(TEXT(IF(ISTEXT(Overig!J70),Overig!J70,100*Overig!J70),""",""?????0;"",""????-0;"",""?????0;"", /////"""),"'","""")&amp;SUBSTITUTE(TEXT(Overig!K70,""",""?00;"",""?-00;"",""?00;"", //"""),"'","""")&amp;SUBSTITUTE(TEXT(IF(ISTEXT(Overig!L70),Overig!L70,10*Overig!L70),""",""????0;"",""???-0;"",""????0;"", ////"""),"'","""")&amp;SUBSTITUTE(TEXT(Overig!M70,""",""?00;"",""?-00;"",""?00;"", //"""),"'","""")&amp;SUBSTITUTE(TEXT(IF(ISTEXT(Overig!N70),Overig!N70,10*Overig!N70),""",""????0;"",""???-0;"",""????0;"", ////"""),"'","""")&amp;SUBSTITUTE(TEXT(Overig!O70,""",""?00;"",""?-00;"",""?00;"", //"""),"'","""")&amp;SUBSTITUTE(TEXT(IF(ISTEXT(Overig!P70),Overig!P70,10*Overig!P70),""",""????0;"",""???-0;"",""????0;"", ////"""),"'","""")&amp;SUBSTITUTE(TEXT(Overig!Q70,""",""?00;"",""?-00;"",""?00;"", //"""),"'","""")&amp;SUBSTITUTE(TEXT(IF(ISTEXT(Overig!R70),Overig!R70,10*Overig!R70),""",""????0;"",""???-0;"",""????0;"", ////"""),"'","""")&amp;SUBSTITUTE(TEXT(Overig!S70,""",""?00;"",""?-00;"",""?00;"", //"""),"'","""")&amp;SUBSTITUTE(TEXT(Overig!T70,""",""???0;"",""??-0;"",""???0;"", ///"""),"'","""")&amp;SUBSTITUTE(TEXT(Overig!U70,""",""?00;"",""?-00;"",""?00;"", //"""),"'","""")&amp;SUBSTITUTE(TEXT(IF(ISTEXT(Overig!V70),Overig!V70,10*Overig!V70),""",""???0;"",""??-0;"",""???0;"", ///"""),"'","""")&amp;SUBSTITUTE(TEXT(Overig!W70,""",""?00;"",""?-00;"",""?00;"", //"""),"'","""")&amp;SUBSTITUTE(TEXT(IF(ISTEXT(Overig!X70),Overig!X70,10*Overig!X70),""",""????0;"",""???-0;"",""????0;"", ////"""),"'","""")&amp;SUBSTITUTE(TEXT(Overig!Y70,""",""?00;"",""?-00;"",""?00;"", //"""),"'","""")&amp;SUBSTITUTE(TEXT(IF(ISTEXT(Overig!Z70),Overig!Z70,10*Overig!Z70),""",""????0;"",""???-0;"",""????0;"", ////"""),"'","""")&amp;SUBSTITUTE(TEXT(Overig!AA70,""",""?00;"",""?-00;"",""?00;"", //"""),"'","""")&amp;SUBSTITUTE(TEXT(Overig!AB70,""",""???0;"",""??-0;"",""???0;"", ///"""),"'","""")&amp;SUBSTITUTE(TEXT(Overig!AC70,""",""?00;"",""?-00;"",""?00;"", //"""),"'","""")&amp;SUBSTITUTE(TEXT(IF(ISTEXT(Overig!AD70),Overig!AD70,10*Overig!AD70),""",""????0;"",""???-0;"",""????0;"", ////"""),"'","""")&amp;SUBSTITUTE(TEXT(Overig!AE70,""",""?00;"",""?-00;"",""?00;"", //"""),"'","""")&amp;SUBSTITUTE(TEXT(IF(ISTEXT(Overig!AF70),Overig!AF70,10*Overig!AF70),""",""????0;"",""???-0;"",""????0;"", ////"""),"'","""")&amp;SUBSTITUTE(TEXT(Overig!AG70,""",""?00;"",""?-00;"",""?00;"", //"""),"'","""")&amp;SUBSTITUTE(TEXT(Overig!AH70,""",""???0;"",""??-0;"",""???0;"", ///"""),"'","""")&amp;SUBSTITUTE(TEXT(Overig!AI70,""",""?00;"",""?-00;"",""?00;"", //"""),"'","""")&amp;SUBSTITUTE(TEXT(Overig!AJ70,""",""??0;"",""?-0;"",""??0;"", //"""),"'","""")&amp;SUBSTITUTE(TEXT(Overig!AK70,""",""?00;"",""?-00;"",""?00;"", //"""),"'","""")&amp;SUBSTITUTE(IF(EXACT(Overig!AL70,"—"),TEXT(Overig!AL70,""",""????0;"",""???-0;"",""????0;"", ////////////,"""),TEXT(Overig!AL70,"\, \'@""',""")&amp;REPT(" ",10-LEN(Overig!AL70))),"'","""")&amp;SUBSTITUTE(TEXT(Overig!AM70,"?00;?-00;?00;"" //"""),"'","""")&amp;SUBSTITUTE(TEXT(Overig!AN70,""",""???0;"",""??-0;"",""???0;"", ///"""),"'","""")&amp;SUBSTITUTE(TEXT(Overig!AO70,""",""?00;"",""?-00;"",""?00;"", //"""),"'","""")</f>
        <v>78989, 19130310, 0800, ////, 07, /////, 07, ////, 07, /////, 07, ////, 07, ////, 07, ////, 07, ////, 07, ///, 07, ///, 07, ////, 07, ////, 07, ///, 07, ////, 07, ////, 07, ///, 07, //, 07, ////////////, 07, ///, 07</v>
      </c>
    </row>
    <row r="71" spans="1:1" x14ac:dyDescent="0.25">
      <c r="A71" s="75" t="str">
        <f ca="1">TEXT(Overig!A71,"000\,")&amp;TEXT(Overig!B71,"?00000000")&amp;TEXT(Overig!C71,""", ""0000")&amp;SUBSTITUTE(TEXT(IF(ISTEXT(Overig!D71),Overig!D71,10*Overig!D71),""",""????0;"",""???-0;"",""????0;"", ////"""),"'","""")&amp;SUBSTITUTE(TEXT(Overig!E71,""",""?00;"",""?-00;"",""?00;"", //"""),"'","""")&amp;SUBSTITUTE(TEXT(IF(ISTEXT(Overig!F71),Overig!F71,100*Overig!F71),""",""?????0;"",""????-0;"",""?????0;"", /////"""),"'","""")&amp;SUBSTITUTE(TEXT(Overig!G71,""",""?00;"",""?-00;"",""?00;"", //"""),"'","""")&amp;SUBSTITUTE(TEXT(IF(ISTEXT(Overig!H71),Overig!H71,100*Overig!H71),""",""????0;"",""???-0;"",""????0;"", ////"""),"'","""")&amp;SUBSTITUTE(TEXT(Overig!I71,""",""?00;"",""?-00;"",""?00;"", //"""),"'","""")&amp;SUBSTITUTE(TEXT(IF(ISTEXT(Overig!J71),Overig!J71,100*Overig!J71),""",""?????0;"",""????-0;"",""?????0;"", /////"""),"'","""")&amp;SUBSTITUTE(TEXT(Overig!K71,""",""?00;"",""?-00;"",""?00;"", //"""),"'","""")&amp;SUBSTITUTE(TEXT(IF(ISTEXT(Overig!L71),Overig!L71,10*Overig!L71),""",""????0;"",""???-0;"",""????0;"", ////"""),"'","""")&amp;SUBSTITUTE(TEXT(Overig!M71,""",""?00;"",""?-00;"",""?00;"", //"""),"'","""")&amp;SUBSTITUTE(TEXT(IF(ISTEXT(Overig!N71),Overig!N71,10*Overig!N71),""",""????0;"",""???-0;"",""????0;"", ////"""),"'","""")&amp;SUBSTITUTE(TEXT(Overig!O71,""",""?00;"",""?-00;"",""?00;"", //"""),"'","""")&amp;SUBSTITUTE(TEXT(IF(ISTEXT(Overig!P71),Overig!P71,10*Overig!P71),""",""????0;"",""???-0;"",""????0;"", ////"""),"'","""")&amp;SUBSTITUTE(TEXT(Overig!Q71,""",""?00;"",""?-00;"",""?00;"", //"""),"'","""")&amp;SUBSTITUTE(TEXT(IF(ISTEXT(Overig!R71),Overig!R71,10*Overig!R71),""",""????0;"",""???-0;"",""????0;"", ////"""),"'","""")&amp;SUBSTITUTE(TEXT(Overig!S71,""",""?00;"",""?-00;"",""?00;"", //"""),"'","""")&amp;SUBSTITUTE(TEXT(Overig!T71,""",""???0;"",""??-0;"",""???0;"", ///"""),"'","""")&amp;SUBSTITUTE(TEXT(Overig!U71,""",""?00;"",""?-00;"",""?00;"", //"""),"'","""")&amp;SUBSTITUTE(TEXT(IF(ISTEXT(Overig!V71),Overig!V71,10*Overig!V71),""",""???0;"",""??-0;"",""???0;"", ///"""),"'","""")&amp;SUBSTITUTE(TEXT(Overig!W71,""",""?00;"",""?-00;"",""?00;"", //"""),"'","""")&amp;SUBSTITUTE(TEXT(IF(ISTEXT(Overig!X71),Overig!X71,10*Overig!X71),""",""????0;"",""???-0;"",""????0;"", ////"""),"'","""")&amp;SUBSTITUTE(TEXT(Overig!Y71,""",""?00;"",""?-00;"",""?00;"", //"""),"'","""")&amp;SUBSTITUTE(TEXT(IF(ISTEXT(Overig!Z71),Overig!Z71,10*Overig!Z71),""",""????0;"",""???-0;"",""????0;"", ////"""),"'","""")&amp;SUBSTITUTE(TEXT(Overig!AA71,""",""?00;"",""?-00;"",""?00;"", //"""),"'","""")&amp;SUBSTITUTE(TEXT(Overig!AB71,""",""???0;"",""??-0;"",""???0;"", ///"""),"'","""")&amp;SUBSTITUTE(TEXT(Overig!AC71,""",""?00;"",""?-00;"",""?00;"", //"""),"'","""")&amp;SUBSTITUTE(TEXT(IF(ISTEXT(Overig!AD71),Overig!AD71,10*Overig!AD71),""",""????0;"",""???-0;"",""????0;"", ////"""),"'","""")&amp;SUBSTITUTE(TEXT(Overig!AE71,""",""?00;"",""?-00;"",""?00;"", //"""),"'","""")&amp;SUBSTITUTE(TEXT(IF(ISTEXT(Overig!AF71),Overig!AF71,10*Overig!AF71),""",""????0;"",""???-0;"",""????0;"", ////"""),"'","""")&amp;SUBSTITUTE(TEXT(Overig!AG71,""",""?00;"",""?-00;"",""?00;"", //"""),"'","""")&amp;SUBSTITUTE(TEXT(Overig!AH71,""",""???0;"",""??-0;"",""???0;"", ///"""),"'","""")&amp;SUBSTITUTE(TEXT(Overig!AI71,""",""?00;"",""?-00;"",""?00;"", //"""),"'","""")&amp;SUBSTITUTE(TEXT(Overig!AJ71,""",""??0;"",""?-0;"",""??0;"", //"""),"'","""")&amp;SUBSTITUTE(TEXT(Overig!AK71,""",""?00;"",""?-00;"",""?00;"", //"""),"'","""")&amp;SUBSTITUTE(IF(EXACT(Overig!AL71,"—"),TEXT(Overig!AL71,""",""????0;"",""???-0;"",""????0;"", ////////////,"""),TEXT(Overig!AL71,"\, \'@""',""")&amp;REPT(" ",10-LEN(Overig!AL71))),"'","""")&amp;SUBSTITUTE(TEXT(Overig!AM71,"?00;?-00;?00;"" //"""),"'","""")&amp;SUBSTITUTE(TEXT(Overig!AN71,""",""???0;"",""??-0;"",""???0;"", ///"""),"'","""")&amp;SUBSTITUTE(TEXT(Overig!AO71,""",""?00;"",""?-00;"",""?00;"", //"""),"'","""")</f>
        <v>78989, 19130311, 0800, ////, 07, /////, 07, ////, 07, /////, 07, ////, 07, ////, 07, ////, 07, ////, 07, ///, 07, ///, 07, ////, 07, ////, 07, ///, 07, ////, 07, ////, 07, ///, 07, //, 07, ////////////, 07, ///, 07</v>
      </c>
    </row>
    <row r="72" spans="1:1" x14ac:dyDescent="0.25">
      <c r="A72" s="75" t="str">
        <f ca="1">TEXT(Overig!A72,"000\,")&amp;TEXT(Overig!B72,"?00000000")&amp;TEXT(Overig!C72,""", ""0000")&amp;SUBSTITUTE(TEXT(IF(ISTEXT(Overig!D72),Overig!D72,10*Overig!D72),""",""????0;"",""???-0;"",""????0;"", ////"""),"'","""")&amp;SUBSTITUTE(TEXT(Overig!E72,""",""?00;"",""?-00;"",""?00;"", //"""),"'","""")&amp;SUBSTITUTE(TEXT(IF(ISTEXT(Overig!F72),Overig!F72,100*Overig!F72),""",""?????0;"",""????-0;"",""?????0;"", /////"""),"'","""")&amp;SUBSTITUTE(TEXT(Overig!G72,""",""?00;"",""?-00;"",""?00;"", //"""),"'","""")&amp;SUBSTITUTE(TEXT(IF(ISTEXT(Overig!H72),Overig!H72,100*Overig!H72),""",""????0;"",""???-0;"",""????0;"", ////"""),"'","""")&amp;SUBSTITUTE(TEXT(Overig!I72,""",""?00;"",""?-00;"",""?00;"", //"""),"'","""")&amp;SUBSTITUTE(TEXT(IF(ISTEXT(Overig!J72),Overig!J72,100*Overig!J72),""",""?????0;"",""????-0;"",""?????0;"", /////"""),"'","""")&amp;SUBSTITUTE(TEXT(Overig!K72,""",""?00;"",""?-00;"",""?00;"", //"""),"'","""")&amp;SUBSTITUTE(TEXT(IF(ISTEXT(Overig!L72),Overig!L72,10*Overig!L72),""",""????0;"",""???-0;"",""????0;"", ////"""),"'","""")&amp;SUBSTITUTE(TEXT(Overig!M72,""",""?00;"",""?-00;"",""?00;"", //"""),"'","""")&amp;SUBSTITUTE(TEXT(IF(ISTEXT(Overig!N72),Overig!N72,10*Overig!N72),""",""????0;"",""???-0;"",""????0;"", ////"""),"'","""")&amp;SUBSTITUTE(TEXT(Overig!O72,""",""?00;"",""?-00;"",""?00;"", //"""),"'","""")&amp;SUBSTITUTE(TEXT(IF(ISTEXT(Overig!P72),Overig!P72,10*Overig!P72),""",""????0;"",""???-0;"",""????0;"", ////"""),"'","""")&amp;SUBSTITUTE(TEXT(Overig!Q72,""",""?00;"",""?-00;"",""?00;"", //"""),"'","""")&amp;SUBSTITUTE(TEXT(IF(ISTEXT(Overig!R72),Overig!R72,10*Overig!R72),""",""????0;"",""???-0;"",""????0;"", ////"""),"'","""")&amp;SUBSTITUTE(TEXT(Overig!S72,""",""?00;"",""?-00;"",""?00;"", //"""),"'","""")&amp;SUBSTITUTE(TEXT(Overig!T72,""",""???0;"",""??-0;"",""???0;"", ///"""),"'","""")&amp;SUBSTITUTE(TEXT(Overig!U72,""",""?00;"",""?-00;"",""?00;"", //"""),"'","""")&amp;SUBSTITUTE(TEXT(IF(ISTEXT(Overig!V72),Overig!V72,10*Overig!V72),""",""???0;"",""??-0;"",""???0;"", ///"""),"'","""")&amp;SUBSTITUTE(TEXT(Overig!W72,""",""?00;"",""?-00;"",""?00;"", //"""),"'","""")&amp;SUBSTITUTE(TEXT(IF(ISTEXT(Overig!X72),Overig!X72,10*Overig!X72),""",""????0;"",""???-0;"",""????0;"", ////"""),"'","""")&amp;SUBSTITUTE(TEXT(Overig!Y72,""",""?00;"",""?-00;"",""?00;"", //"""),"'","""")&amp;SUBSTITUTE(TEXT(IF(ISTEXT(Overig!Z72),Overig!Z72,10*Overig!Z72),""",""????0;"",""???-0;"",""????0;"", ////"""),"'","""")&amp;SUBSTITUTE(TEXT(Overig!AA72,""",""?00;"",""?-00;"",""?00;"", //"""),"'","""")&amp;SUBSTITUTE(TEXT(Overig!AB72,""",""???0;"",""??-0;"",""???0;"", ///"""),"'","""")&amp;SUBSTITUTE(TEXT(Overig!AC72,""",""?00;"",""?-00;"",""?00;"", //"""),"'","""")&amp;SUBSTITUTE(TEXT(IF(ISTEXT(Overig!AD72),Overig!AD72,10*Overig!AD72),""",""????0;"",""???-0;"",""????0;"", ////"""),"'","""")&amp;SUBSTITUTE(TEXT(Overig!AE72,""",""?00;"",""?-00;"",""?00;"", //"""),"'","""")&amp;SUBSTITUTE(TEXT(IF(ISTEXT(Overig!AF72),Overig!AF72,10*Overig!AF72),""",""????0;"",""???-0;"",""????0;"", ////"""),"'","""")&amp;SUBSTITUTE(TEXT(Overig!AG72,""",""?00;"",""?-00;"",""?00;"", //"""),"'","""")&amp;SUBSTITUTE(TEXT(Overig!AH72,""",""???0;"",""??-0;"",""???0;"", ///"""),"'","""")&amp;SUBSTITUTE(TEXT(Overig!AI72,""",""?00;"",""?-00;"",""?00;"", //"""),"'","""")&amp;SUBSTITUTE(TEXT(Overig!AJ72,""",""??0;"",""?-0;"",""??0;"", //"""),"'","""")&amp;SUBSTITUTE(TEXT(Overig!AK72,""",""?00;"",""?-00;"",""?00;"", //"""),"'","""")&amp;SUBSTITUTE(IF(EXACT(Overig!AL72,"—"),TEXT(Overig!AL72,""",""????0;"",""???-0;"",""????0;"", ////////////,"""),TEXT(Overig!AL72,"\, \'@""',""")&amp;REPT(" ",10-LEN(Overig!AL72))),"'","""")&amp;SUBSTITUTE(TEXT(Overig!AM72,"?00;?-00;?00;"" //"""),"'","""")&amp;SUBSTITUTE(TEXT(Overig!AN72,""",""???0;"",""??-0;"",""???0;"", ///"""),"'","""")&amp;SUBSTITUTE(TEXT(Overig!AO72,""",""?00;"",""?-00;"",""?00;"", //"""),"'","""")</f>
        <v>78989, 19130312, 0800, ////, 07, /////, 07, ////, 07, /////, 07, ////, 07, ////, 07, ////, 07, ////, 07, ///, 07, ///, 07, ////, 07, ////, 07, ///, 07, ////, 07, ////, 07, ///, 07, //, 07, ////////////, 07, ///, 07</v>
      </c>
    </row>
    <row r="73" spans="1:1" x14ac:dyDescent="0.25">
      <c r="A73" s="75" t="str">
        <f ca="1">TEXT(Overig!A73,"000\,")&amp;TEXT(Overig!B73,"?00000000")&amp;TEXT(Overig!C73,""", ""0000")&amp;SUBSTITUTE(TEXT(IF(ISTEXT(Overig!D73),Overig!D73,10*Overig!D73),""",""????0;"",""???-0;"",""????0;"", ////"""),"'","""")&amp;SUBSTITUTE(TEXT(Overig!E73,""",""?00;"",""?-00;"",""?00;"", //"""),"'","""")&amp;SUBSTITUTE(TEXT(IF(ISTEXT(Overig!F73),Overig!F73,100*Overig!F73),""",""?????0;"",""????-0;"",""?????0;"", /////"""),"'","""")&amp;SUBSTITUTE(TEXT(Overig!G73,""",""?00;"",""?-00;"",""?00;"", //"""),"'","""")&amp;SUBSTITUTE(TEXT(IF(ISTEXT(Overig!H73),Overig!H73,100*Overig!H73),""",""????0;"",""???-0;"",""????0;"", ////"""),"'","""")&amp;SUBSTITUTE(TEXT(Overig!I73,""",""?00;"",""?-00;"",""?00;"", //"""),"'","""")&amp;SUBSTITUTE(TEXT(IF(ISTEXT(Overig!J73),Overig!J73,100*Overig!J73),""",""?????0;"",""????-0;"",""?????0;"", /////"""),"'","""")&amp;SUBSTITUTE(TEXT(Overig!K73,""",""?00;"",""?-00;"",""?00;"", //"""),"'","""")&amp;SUBSTITUTE(TEXT(IF(ISTEXT(Overig!L73),Overig!L73,10*Overig!L73),""",""????0;"",""???-0;"",""????0;"", ////"""),"'","""")&amp;SUBSTITUTE(TEXT(Overig!M73,""",""?00;"",""?-00;"",""?00;"", //"""),"'","""")&amp;SUBSTITUTE(TEXT(IF(ISTEXT(Overig!N73),Overig!N73,10*Overig!N73),""",""????0;"",""???-0;"",""????0;"", ////"""),"'","""")&amp;SUBSTITUTE(TEXT(Overig!O73,""",""?00;"",""?-00;"",""?00;"", //"""),"'","""")&amp;SUBSTITUTE(TEXT(IF(ISTEXT(Overig!P73),Overig!P73,10*Overig!P73),""",""????0;"",""???-0;"",""????0;"", ////"""),"'","""")&amp;SUBSTITUTE(TEXT(Overig!Q73,""",""?00;"",""?-00;"",""?00;"", //"""),"'","""")&amp;SUBSTITUTE(TEXT(IF(ISTEXT(Overig!R73),Overig!R73,10*Overig!R73),""",""????0;"",""???-0;"",""????0;"", ////"""),"'","""")&amp;SUBSTITUTE(TEXT(Overig!S73,""",""?00;"",""?-00;"",""?00;"", //"""),"'","""")&amp;SUBSTITUTE(TEXT(Overig!T73,""",""???0;"",""??-0;"",""???0;"", ///"""),"'","""")&amp;SUBSTITUTE(TEXT(Overig!U73,""",""?00;"",""?-00;"",""?00;"", //"""),"'","""")&amp;SUBSTITUTE(TEXT(IF(ISTEXT(Overig!V73),Overig!V73,10*Overig!V73),""",""???0;"",""??-0;"",""???0;"", ///"""),"'","""")&amp;SUBSTITUTE(TEXT(Overig!W73,""",""?00;"",""?-00;"",""?00;"", //"""),"'","""")&amp;SUBSTITUTE(TEXT(IF(ISTEXT(Overig!X73),Overig!X73,10*Overig!X73),""",""????0;"",""???-0;"",""????0;"", ////"""),"'","""")&amp;SUBSTITUTE(TEXT(Overig!Y73,""",""?00;"",""?-00;"",""?00;"", //"""),"'","""")&amp;SUBSTITUTE(TEXT(IF(ISTEXT(Overig!Z73),Overig!Z73,10*Overig!Z73),""",""????0;"",""???-0;"",""????0;"", ////"""),"'","""")&amp;SUBSTITUTE(TEXT(Overig!AA73,""",""?00;"",""?-00;"",""?00;"", //"""),"'","""")&amp;SUBSTITUTE(TEXT(Overig!AB73,""",""???0;"",""??-0;"",""???0;"", ///"""),"'","""")&amp;SUBSTITUTE(TEXT(Overig!AC73,""",""?00;"",""?-00;"",""?00;"", //"""),"'","""")&amp;SUBSTITUTE(TEXT(IF(ISTEXT(Overig!AD73),Overig!AD73,10*Overig!AD73),""",""????0;"",""???-0;"",""????0;"", ////"""),"'","""")&amp;SUBSTITUTE(TEXT(Overig!AE73,""",""?00;"",""?-00;"",""?00;"", //"""),"'","""")&amp;SUBSTITUTE(TEXT(IF(ISTEXT(Overig!AF73),Overig!AF73,10*Overig!AF73),""",""????0;"",""???-0;"",""????0;"", ////"""),"'","""")&amp;SUBSTITUTE(TEXT(Overig!AG73,""",""?00;"",""?-00;"",""?00;"", //"""),"'","""")&amp;SUBSTITUTE(TEXT(Overig!AH73,""",""???0;"",""??-0;"",""???0;"", ///"""),"'","""")&amp;SUBSTITUTE(TEXT(Overig!AI73,""",""?00;"",""?-00;"",""?00;"", //"""),"'","""")&amp;SUBSTITUTE(TEXT(Overig!AJ73,""",""??0;"",""?-0;"",""??0;"", //"""),"'","""")&amp;SUBSTITUTE(TEXT(Overig!AK73,""",""?00;"",""?-00;"",""?00;"", //"""),"'","""")&amp;SUBSTITUTE(IF(EXACT(Overig!AL73,"—"),TEXT(Overig!AL73,""",""????0;"",""???-0;"",""????0;"", ////////////,"""),TEXT(Overig!AL73,"\, \'@""',""")&amp;REPT(" ",10-LEN(Overig!AL73))),"'","""")&amp;SUBSTITUTE(TEXT(Overig!AM73,"?00;?-00;?00;"" //"""),"'","""")&amp;SUBSTITUTE(TEXT(Overig!AN73,""",""???0;"",""??-0;"",""???0;"", ///"""),"'","""")&amp;SUBSTITUTE(TEXT(Overig!AO73,""",""?00;"",""?-00;"",""?00;"", //"""),"'","""")</f>
        <v>78989, 19130313, 0800, ////, 07, /////, 07, ////, 07, /////, 07, ////, 07, ////, 07, ////, 07, ////, 07, ///, 07, ///, 07, ////, 07, ////, 07, ///, 07, ////, 07, ////, 07, ///, 07, //, 07, ////////////, 07, ///, 07</v>
      </c>
    </row>
    <row r="74" spans="1:1" x14ac:dyDescent="0.25">
      <c r="A74" s="75" t="str">
        <f ca="1">TEXT(Overig!A74,"000\,")&amp;TEXT(Overig!B74,"?00000000")&amp;TEXT(Overig!C74,""", ""0000")&amp;SUBSTITUTE(TEXT(IF(ISTEXT(Overig!D74),Overig!D74,10*Overig!D74),""",""????0;"",""???-0;"",""????0;"", ////"""),"'","""")&amp;SUBSTITUTE(TEXT(Overig!E74,""",""?00;"",""?-00;"",""?00;"", //"""),"'","""")&amp;SUBSTITUTE(TEXT(IF(ISTEXT(Overig!F74),Overig!F74,100*Overig!F74),""",""?????0;"",""????-0;"",""?????0;"", /////"""),"'","""")&amp;SUBSTITUTE(TEXT(Overig!G74,""",""?00;"",""?-00;"",""?00;"", //"""),"'","""")&amp;SUBSTITUTE(TEXT(IF(ISTEXT(Overig!H74),Overig!H74,100*Overig!H74),""",""????0;"",""???-0;"",""????0;"", ////"""),"'","""")&amp;SUBSTITUTE(TEXT(Overig!I74,""",""?00;"",""?-00;"",""?00;"", //"""),"'","""")&amp;SUBSTITUTE(TEXT(IF(ISTEXT(Overig!J74),Overig!J74,100*Overig!J74),""",""?????0;"",""????-0;"",""?????0;"", /////"""),"'","""")&amp;SUBSTITUTE(TEXT(Overig!K74,""",""?00;"",""?-00;"",""?00;"", //"""),"'","""")&amp;SUBSTITUTE(TEXT(IF(ISTEXT(Overig!L74),Overig!L74,10*Overig!L74),""",""????0;"",""???-0;"",""????0;"", ////"""),"'","""")&amp;SUBSTITUTE(TEXT(Overig!M74,""",""?00;"",""?-00;"",""?00;"", //"""),"'","""")&amp;SUBSTITUTE(TEXT(IF(ISTEXT(Overig!N74),Overig!N74,10*Overig!N74),""",""????0;"",""???-0;"",""????0;"", ////"""),"'","""")&amp;SUBSTITUTE(TEXT(Overig!O74,""",""?00;"",""?-00;"",""?00;"", //"""),"'","""")&amp;SUBSTITUTE(TEXT(IF(ISTEXT(Overig!P74),Overig!P74,10*Overig!P74),""",""????0;"",""???-0;"",""????0;"", ////"""),"'","""")&amp;SUBSTITUTE(TEXT(Overig!Q74,""",""?00;"",""?-00;"",""?00;"", //"""),"'","""")&amp;SUBSTITUTE(TEXT(IF(ISTEXT(Overig!R74),Overig!R74,10*Overig!R74),""",""????0;"",""???-0;"",""????0;"", ////"""),"'","""")&amp;SUBSTITUTE(TEXT(Overig!S74,""",""?00;"",""?-00;"",""?00;"", //"""),"'","""")&amp;SUBSTITUTE(TEXT(Overig!T74,""",""???0;"",""??-0;"",""???0;"", ///"""),"'","""")&amp;SUBSTITUTE(TEXT(Overig!U74,""",""?00;"",""?-00;"",""?00;"", //"""),"'","""")&amp;SUBSTITUTE(TEXT(IF(ISTEXT(Overig!V74),Overig!V74,10*Overig!V74),""",""???0;"",""??-0;"",""???0;"", ///"""),"'","""")&amp;SUBSTITUTE(TEXT(Overig!W74,""",""?00;"",""?-00;"",""?00;"", //"""),"'","""")&amp;SUBSTITUTE(TEXT(IF(ISTEXT(Overig!X74),Overig!X74,10*Overig!X74),""",""????0;"",""???-0;"",""????0;"", ////"""),"'","""")&amp;SUBSTITUTE(TEXT(Overig!Y74,""",""?00;"",""?-00;"",""?00;"", //"""),"'","""")&amp;SUBSTITUTE(TEXT(IF(ISTEXT(Overig!Z74),Overig!Z74,10*Overig!Z74),""",""????0;"",""???-0;"",""????0;"", ////"""),"'","""")&amp;SUBSTITUTE(TEXT(Overig!AA74,""",""?00;"",""?-00;"",""?00;"", //"""),"'","""")&amp;SUBSTITUTE(TEXT(Overig!AB74,""",""???0;"",""??-0;"",""???0;"", ///"""),"'","""")&amp;SUBSTITUTE(TEXT(Overig!AC74,""",""?00;"",""?-00;"",""?00;"", //"""),"'","""")&amp;SUBSTITUTE(TEXT(IF(ISTEXT(Overig!AD74),Overig!AD74,10*Overig!AD74),""",""????0;"",""???-0;"",""????0;"", ////"""),"'","""")&amp;SUBSTITUTE(TEXT(Overig!AE74,""",""?00;"",""?-00;"",""?00;"", //"""),"'","""")&amp;SUBSTITUTE(TEXT(IF(ISTEXT(Overig!AF74),Overig!AF74,10*Overig!AF74),""",""????0;"",""???-0;"",""????0;"", ////"""),"'","""")&amp;SUBSTITUTE(TEXT(Overig!AG74,""",""?00;"",""?-00;"",""?00;"", //"""),"'","""")&amp;SUBSTITUTE(TEXT(Overig!AH74,""",""???0;"",""??-0;"",""???0;"", ///"""),"'","""")&amp;SUBSTITUTE(TEXT(Overig!AI74,""",""?00;"",""?-00;"",""?00;"", //"""),"'","""")&amp;SUBSTITUTE(TEXT(Overig!AJ74,""",""??0;"",""?-0;"",""??0;"", //"""),"'","""")&amp;SUBSTITUTE(TEXT(Overig!AK74,""",""?00;"",""?-00;"",""?00;"", //"""),"'","""")&amp;SUBSTITUTE(IF(EXACT(Overig!AL74,"—"),TEXT(Overig!AL74,""",""????0;"",""???-0;"",""????0;"", ////////////,"""),TEXT(Overig!AL74,"\, \'@""',""")&amp;REPT(" ",10-LEN(Overig!AL74))),"'","""")&amp;SUBSTITUTE(TEXT(Overig!AM74,"?00;?-00;?00;"" //"""),"'","""")&amp;SUBSTITUTE(TEXT(Overig!AN74,""",""???0;"",""??-0;"",""???0;"", ///"""),"'","""")&amp;SUBSTITUTE(TEXT(Overig!AO74,""",""?00;"",""?-00;"",""?00;"", //"""),"'","""")</f>
        <v>78989, 19130314, 0800, ////, 07, /////, 07, ////, 07, /////, 07, ////, 07, ////, 07, ////, 07, ////, 07, ///, 07, ///, 07, ////, 07, ////, 07, ///, 07, ////, 07, ////, 07, ///, 07, //, 07, ////////////, 07, ///, 07</v>
      </c>
    </row>
    <row r="75" spans="1:1" x14ac:dyDescent="0.25">
      <c r="A75" s="75" t="str">
        <f ca="1">TEXT(Overig!A75,"000\,")&amp;TEXT(Overig!B75,"?00000000")&amp;TEXT(Overig!C75,""", ""0000")&amp;SUBSTITUTE(TEXT(IF(ISTEXT(Overig!D75),Overig!D75,10*Overig!D75),""",""????0;"",""???-0;"",""????0;"", ////"""),"'","""")&amp;SUBSTITUTE(TEXT(Overig!E75,""",""?00;"",""?-00;"",""?00;"", //"""),"'","""")&amp;SUBSTITUTE(TEXT(IF(ISTEXT(Overig!F75),Overig!F75,100*Overig!F75),""",""?????0;"",""????-0;"",""?????0;"", /////"""),"'","""")&amp;SUBSTITUTE(TEXT(Overig!G75,""",""?00;"",""?-00;"",""?00;"", //"""),"'","""")&amp;SUBSTITUTE(TEXT(IF(ISTEXT(Overig!H75),Overig!H75,100*Overig!H75),""",""????0;"",""???-0;"",""????0;"", ////"""),"'","""")&amp;SUBSTITUTE(TEXT(Overig!I75,""",""?00;"",""?-00;"",""?00;"", //"""),"'","""")&amp;SUBSTITUTE(TEXT(IF(ISTEXT(Overig!J75),Overig!J75,100*Overig!J75),""",""?????0;"",""????-0;"",""?????0;"", /////"""),"'","""")&amp;SUBSTITUTE(TEXT(Overig!K75,""",""?00;"",""?-00;"",""?00;"", //"""),"'","""")&amp;SUBSTITUTE(TEXT(IF(ISTEXT(Overig!L75),Overig!L75,10*Overig!L75),""",""????0;"",""???-0;"",""????0;"", ////"""),"'","""")&amp;SUBSTITUTE(TEXT(Overig!M75,""",""?00;"",""?-00;"",""?00;"", //"""),"'","""")&amp;SUBSTITUTE(TEXT(IF(ISTEXT(Overig!N75),Overig!N75,10*Overig!N75),""",""????0;"",""???-0;"",""????0;"", ////"""),"'","""")&amp;SUBSTITUTE(TEXT(Overig!O75,""",""?00;"",""?-00;"",""?00;"", //"""),"'","""")&amp;SUBSTITUTE(TEXT(IF(ISTEXT(Overig!P75),Overig!P75,10*Overig!P75),""",""????0;"",""???-0;"",""????0;"", ////"""),"'","""")&amp;SUBSTITUTE(TEXT(Overig!Q75,""",""?00;"",""?-00;"",""?00;"", //"""),"'","""")&amp;SUBSTITUTE(TEXT(IF(ISTEXT(Overig!R75),Overig!R75,10*Overig!R75),""",""????0;"",""???-0;"",""????0;"", ////"""),"'","""")&amp;SUBSTITUTE(TEXT(Overig!S75,""",""?00;"",""?-00;"",""?00;"", //"""),"'","""")&amp;SUBSTITUTE(TEXT(Overig!T75,""",""???0;"",""??-0;"",""???0;"", ///"""),"'","""")&amp;SUBSTITUTE(TEXT(Overig!U75,""",""?00;"",""?-00;"",""?00;"", //"""),"'","""")&amp;SUBSTITUTE(TEXT(IF(ISTEXT(Overig!V75),Overig!V75,10*Overig!V75),""",""???0;"",""??-0;"",""???0;"", ///"""),"'","""")&amp;SUBSTITUTE(TEXT(Overig!W75,""",""?00;"",""?-00;"",""?00;"", //"""),"'","""")&amp;SUBSTITUTE(TEXT(IF(ISTEXT(Overig!X75),Overig!X75,10*Overig!X75),""",""????0;"",""???-0;"",""????0;"", ////"""),"'","""")&amp;SUBSTITUTE(TEXT(Overig!Y75,""",""?00;"",""?-00;"",""?00;"", //"""),"'","""")&amp;SUBSTITUTE(TEXT(IF(ISTEXT(Overig!Z75),Overig!Z75,10*Overig!Z75),""",""????0;"",""???-0;"",""????0;"", ////"""),"'","""")&amp;SUBSTITUTE(TEXT(Overig!AA75,""",""?00;"",""?-00;"",""?00;"", //"""),"'","""")&amp;SUBSTITUTE(TEXT(Overig!AB75,""",""???0;"",""??-0;"",""???0;"", ///"""),"'","""")&amp;SUBSTITUTE(TEXT(Overig!AC75,""",""?00;"",""?-00;"",""?00;"", //"""),"'","""")&amp;SUBSTITUTE(TEXT(IF(ISTEXT(Overig!AD75),Overig!AD75,10*Overig!AD75),""",""????0;"",""???-0;"",""????0;"", ////"""),"'","""")&amp;SUBSTITUTE(TEXT(Overig!AE75,""",""?00;"",""?-00;"",""?00;"", //"""),"'","""")&amp;SUBSTITUTE(TEXT(IF(ISTEXT(Overig!AF75),Overig!AF75,10*Overig!AF75),""",""????0;"",""???-0;"",""????0;"", ////"""),"'","""")&amp;SUBSTITUTE(TEXT(Overig!AG75,""",""?00;"",""?-00;"",""?00;"", //"""),"'","""")&amp;SUBSTITUTE(TEXT(Overig!AH75,""",""???0;"",""??-0;"",""???0;"", ///"""),"'","""")&amp;SUBSTITUTE(TEXT(Overig!AI75,""",""?00;"",""?-00;"",""?00;"", //"""),"'","""")&amp;SUBSTITUTE(TEXT(Overig!AJ75,""",""??0;"",""?-0;"",""??0;"", //"""),"'","""")&amp;SUBSTITUTE(TEXT(Overig!AK75,""",""?00;"",""?-00;"",""?00;"", //"""),"'","""")&amp;SUBSTITUTE(IF(EXACT(Overig!AL75,"—"),TEXT(Overig!AL75,""",""????0;"",""???-0;"",""????0;"", ////////////,"""),TEXT(Overig!AL75,"\, \'@""',""")&amp;REPT(" ",10-LEN(Overig!AL75))),"'","""")&amp;SUBSTITUTE(TEXT(Overig!AM75,"?00;?-00;?00;"" //"""),"'","""")&amp;SUBSTITUTE(TEXT(Overig!AN75,""",""???0;"",""??-0;"",""???0;"", ///"""),"'","""")&amp;SUBSTITUTE(TEXT(Overig!AO75,""",""?00;"",""?-00;"",""?00;"", //"""),"'","""")</f>
        <v>78989, 19130315, 0800, ////, 07, /////, 07, ////, 07, /////, 07, ////, 07, ////, 07, ////, 07, ////, 07, ///, 07, ///, 07, ////, 07, ////, 07, ///, 07, ////, 07, ////, 07, ///, 07, //, 07, ////////////, 07, ///, 07</v>
      </c>
    </row>
    <row r="76" spans="1:1" x14ac:dyDescent="0.25">
      <c r="A76" s="75" t="str">
        <f ca="1">TEXT(Overig!A76,"000\,")&amp;TEXT(Overig!B76,"?00000000")&amp;TEXT(Overig!C76,""", ""0000")&amp;SUBSTITUTE(TEXT(IF(ISTEXT(Overig!D76),Overig!D76,10*Overig!D76),""",""????0;"",""???-0;"",""????0;"", ////"""),"'","""")&amp;SUBSTITUTE(TEXT(Overig!E76,""",""?00;"",""?-00;"",""?00;"", //"""),"'","""")&amp;SUBSTITUTE(TEXT(IF(ISTEXT(Overig!F76),Overig!F76,100*Overig!F76),""",""?????0;"",""????-0;"",""?????0;"", /////"""),"'","""")&amp;SUBSTITUTE(TEXT(Overig!G76,""",""?00;"",""?-00;"",""?00;"", //"""),"'","""")&amp;SUBSTITUTE(TEXT(IF(ISTEXT(Overig!H76),Overig!H76,100*Overig!H76),""",""????0;"",""???-0;"",""????0;"", ////"""),"'","""")&amp;SUBSTITUTE(TEXT(Overig!I76,""",""?00;"",""?-00;"",""?00;"", //"""),"'","""")&amp;SUBSTITUTE(TEXT(IF(ISTEXT(Overig!J76),Overig!J76,100*Overig!J76),""",""?????0;"",""????-0;"",""?????0;"", /////"""),"'","""")&amp;SUBSTITUTE(TEXT(Overig!K76,""",""?00;"",""?-00;"",""?00;"", //"""),"'","""")&amp;SUBSTITUTE(TEXT(IF(ISTEXT(Overig!L76),Overig!L76,10*Overig!L76),""",""????0;"",""???-0;"",""????0;"", ////"""),"'","""")&amp;SUBSTITUTE(TEXT(Overig!M76,""",""?00;"",""?-00;"",""?00;"", //"""),"'","""")&amp;SUBSTITUTE(TEXT(IF(ISTEXT(Overig!N76),Overig!N76,10*Overig!N76),""",""????0;"",""???-0;"",""????0;"", ////"""),"'","""")&amp;SUBSTITUTE(TEXT(Overig!O76,""",""?00;"",""?-00;"",""?00;"", //"""),"'","""")&amp;SUBSTITUTE(TEXT(IF(ISTEXT(Overig!P76),Overig!P76,10*Overig!P76),""",""????0;"",""???-0;"",""????0;"", ////"""),"'","""")&amp;SUBSTITUTE(TEXT(Overig!Q76,""",""?00;"",""?-00;"",""?00;"", //"""),"'","""")&amp;SUBSTITUTE(TEXT(IF(ISTEXT(Overig!R76),Overig!R76,10*Overig!R76),""",""????0;"",""???-0;"",""????0;"", ////"""),"'","""")&amp;SUBSTITUTE(TEXT(Overig!S76,""",""?00;"",""?-00;"",""?00;"", //"""),"'","""")&amp;SUBSTITUTE(TEXT(Overig!T76,""",""???0;"",""??-0;"",""???0;"", ///"""),"'","""")&amp;SUBSTITUTE(TEXT(Overig!U76,""",""?00;"",""?-00;"",""?00;"", //"""),"'","""")&amp;SUBSTITUTE(TEXT(IF(ISTEXT(Overig!V76),Overig!V76,10*Overig!V76),""",""???0;"",""??-0;"",""???0;"", ///"""),"'","""")&amp;SUBSTITUTE(TEXT(Overig!W76,""",""?00;"",""?-00;"",""?00;"", //"""),"'","""")&amp;SUBSTITUTE(TEXT(IF(ISTEXT(Overig!X76),Overig!X76,10*Overig!X76),""",""????0;"",""???-0;"",""????0;"", ////"""),"'","""")&amp;SUBSTITUTE(TEXT(Overig!Y76,""",""?00;"",""?-00;"",""?00;"", //"""),"'","""")&amp;SUBSTITUTE(TEXT(IF(ISTEXT(Overig!Z76),Overig!Z76,10*Overig!Z76),""",""????0;"",""???-0;"",""????0;"", ////"""),"'","""")&amp;SUBSTITUTE(TEXT(Overig!AA76,""",""?00;"",""?-00;"",""?00;"", //"""),"'","""")&amp;SUBSTITUTE(TEXT(Overig!AB76,""",""???0;"",""??-0;"",""???0;"", ///"""),"'","""")&amp;SUBSTITUTE(TEXT(Overig!AC76,""",""?00;"",""?-00;"",""?00;"", //"""),"'","""")&amp;SUBSTITUTE(TEXT(IF(ISTEXT(Overig!AD76),Overig!AD76,10*Overig!AD76),""",""????0;"",""???-0;"",""????0;"", ////"""),"'","""")&amp;SUBSTITUTE(TEXT(Overig!AE76,""",""?00;"",""?-00;"",""?00;"", //"""),"'","""")&amp;SUBSTITUTE(TEXT(IF(ISTEXT(Overig!AF76),Overig!AF76,10*Overig!AF76),""",""????0;"",""???-0;"",""????0;"", ////"""),"'","""")&amp;SUBSTITUTE(TEXT(Overig!AG76,""",""?00;"",""?-00;"",""?00;"", //"""),"'","""")&amp;SUBSTITUTE(TEXT(Overig!AH76,""",""???0;"",""??-0;"",""???0;"", ///"""),"'","""")&amp;SUBSTITUTE(TEXT(Overig!AI76,""",""?00;"",""?-00;"",""?00;"", //"""),"'","""")&amp;SUBSTITUTE(TEXT(Overig!AJ76,""",""??0;"",""?-0;"",""??0;"", //"""),"'","""")&amp;SUBSTITUTE(TEXT(Overig!AK76,""",""?00;"",""?-00;"",""?00;"", //"""),"'","""")&amp;SUBSTITUTE(IF(EXACT(Overig!AL76,"—"),TEXT(Overig!AL76,""",""????0;"",""???-0;"",""????0;"", ////////////,"""),TEXT(Overig!AL76,"\, \'@""',""")&amp;REPT(" ",10-LEN(Overig!AL76))),"'","""")&amp;SUBSTITUTE(TEXT(Overig!AM76,"?00;?-00;?00;"" //"""),"'","""")&amp;SUBSTITUTE(TEXT(Overig!AN76,""",""???0;"",""??-0;"",""???0;"", ///"""),"'","""")&amp;SUBSTITUTE(TEXT(Overig!AO76,""",""?00;"",""?-00;"",""?00;"", //"""),"'","""")</f>
        <v>78989, 19130316, 0800, ////, 07, /////, 07, ////, 07, /////, 07, ////, 07, ////, 07, ////, 07, ////, 07, ///, 07, ///, 07, ////, 07, ////, 07, ///, 07, ////, 07, ////, 07, ///, 07, //, 07, ////////////, 07, ///, 07</v>
      </c>
    </row>
    <row r="77" spans="1:1" x14ac:dyDescent="0.25">
      <c r="A77" s="75" t="str">
        <f ca="1">TEXT(Overig!A77,"000\,")&amp;TEXT(Overig!B77,"?00000000")&amp;TEXT(Overig!C77,""", ""0000")&amp;SUBSTITUTE(TEXT(IF(ISTEXT(Overig!D77),Overig!D77,10*Overig!D77),""",""????0;"",""???-0;"",""????0;"", ////"""),"'","""")&amp;SUBSTITUTE(TEXT(Overig!E77,""",""?00;"",""?-00;"",""?00;"", //"""),"'","""")&amp;SUBSTITUTE(TEXT(IF(ISTEXT(Overig!F77),Overig!F77,100*Overig!F77),""",""?????0;"",""????-0;"",""?????0;"", /////"""),"'","""")&amp;SUBSTITUTE(TEXT(Overig!G77,""",""?00;"",""?-00;"",""?00;"", //"""),"'","""")&amp;SUBSTITUTE(TEXT(IF(ISTEXT(Overig!H77),Overig!H77,100*Overig!H77),""",""????0;"",""???-0;"",""????0;"", ////"""),"'","""")&amp;SUBSTITUTE(TEXT(Overig!I77,""",""?00;"",""?-00;"",""?00;"", //"""),"'","""")&amp;SUBSTITUTE(TEXT(IF(ISTEXT(Overig!J77),Overig!J77,100*Overig!J77),""",""?????0;"",""????-0;"",""?????0;"", /////"""),"'","""")&amp;SUBSTITUTE(TEXT(Overig!K77,""",""?00;"",""?-00;"",""?00;"", //"""),"'","""")&amp;SUBSTITUTE(TEXT(IF(ISTEXT(Overig!L77),Overig!L77,10*Overig!L77),""",""????0;"",""???-0;"",""????0;"", ////"""),"'","""")&amp;SUBSTITUTE(TEXT(Overig!M77,""",""?00;"",""?-00;"",""?00;"", //"""),"'","""")&amp;SUBSTITUTE(TEXT(IF(ISTEXT(Overig!N77),Overig!N77,10*Overig!N77),""",""????0;"",""???-0;"",""????0;"", ////"""),"'","""")&amp;SUBSTITUTE(TEXT(Overig!O77,""",""?00;"",""?-00;"",""?00;"", //"""),"'","""")&amp;SUBSTITUTE(TEXT(IF(ISTEXT(Overig!P77),Overig!P77,10*Overig!P77),""",""????0;"",""???-0;"",""????0;"", ////"""),"'","""")&amp;SUBSTITUTE(TEXT(Overig!Q77,""",""?00;"",""?-00;"",""?00;"", //"""),"'","""")&amp;SUBSTITUTE(TEXT(IF(ISTEXT(Overig!R77),Overig!R77,10*Overig!R77),""",""????0;"",""???-0;"",""????0;"", ////"""),"'","""")&amp;SUBSTITUTE(TEXT(Overig!S77,""",""?00;"",""?-00;"",""?00;"", //"""),"'","""")&amp;SUBSTITUTE(TEXT(Overig!T77,""",""???0;"",""??-0;"",""???0;"", ///"""),"'","""")&amp;SUBSTITUTE(TEXT(Overig!U77,""",""?00;"",""?-00;"",""?00;"", //"""),"'","""")&amp;SUBSTITUTE(TEXT(IF(ISTEXT(Overig!V77),Overig!V77,10*Overig!V77),""",""???0;"",""??-0;"",""???0;"", ///"""),"'","""")&amp;SUBSTITUTE(TEXT(Overig!W77,""",""?00;"",""?-00;"",""?00;"", //"""),"'","""")&amp;SUBSTITUTE(TEXT(IF(ISTEXT(Overig!X77),Overig!X77,10*Overig!X77),""",""????0;"",""???-0;"",""????0;"", ////"""),"'","""")&amp;SUBSTITUTE(TEXT(Overig!Y77,""",""?00;"",""?-00;"",""?00;"", //"""),"'","""")&amp;SUBSTITUTE(TEXT(IF(ISTEXT(Overig!Z77),Overig!Z77,10*Overig!Z77),""",""????0;"",""???-0;"",""????0;"", ////"""),"'","""")&amp;SUBSTITUTE(TEXT(Overig!AA77,""",""?00;"",""?-00;"",""?00;"", //"""),"'","""")&amp;SUBSTITUTE(TEXT(Overig!AB77,""",""???0;"",""??-0;"",""???0;"", ///"""),"'","""")&amp;SUBSTITUTE(TEXT(Overig!AC77,""",""?00;"",""?-00;"",""?00;"", //"""),"'","""")&amp;SUBSTITUTE(TEXT(IF(ISTEXT(Overig!AD77),Overig!AD77,10*Overig!AD77),""",""????0;"",""???-0;"",""????0;"", ////"""),"'","""")&amp;SUBSTITUTE(TEXT(Overig!AE77,""",""?00;"",""?-00;"",""?00;"", //"""),"'","""")&amp;SUBSTITUTE(TEXT(IF(ISTEXT(Overig!AF77),Overig!AF77,10*Overig!AF77),""",""????0;"",""???-0;"",""????0;"", ////"""),"'","""")&amp;SUBSTITUTE(TEXT(Overig!AG77,""",""?00;"",""?-00;"",""?00;"", //"""),"'","""")&amp;SUBSTITUTE(TEXT(Overig!AH77,""",""???0;"",""??-0;"",""???0;"", ///"""),"'","""")&amp;SUBSTITUTE(TEXT(Overig!AI77,""",""?00;"",""?-00;"",""?00;"", //"""),"'","""")&amp;SUBSTITUTE(TEXT(Overig!AJ77,""",""??0;"",""?-0;"",""??0;"", //"""),"'","""")&amp;SUBSTITUTE(TEXT(Overig!AK77,""",""?00;"",""?-00;"",""?00;"", //"""),"'","""")&amp;SUBSTITUTE(IF(EXACT(Overig!AL77,"—"),TEXT(Overig!AL77,""",""????0;"",""???-0;"",""????0;"", ////////////,"""),TEXT(Overig!AL77,"\, \'@""',""")&amp;REPT(" ",10-LEN(Overig!AL77))),"'","""")&amp;SUBSTITUTE(TEXT(Overig!AM77,"?00;?-00;?00;"" //"""),"'","""")&amp;SUBSTITUTE(TEXT(Overig!AN77,""",""???0;"",""??-0;"",""???0;"", ///"""),"'","""")&amp;SUBSTITUTE(TEXT(Overig!AO77,""",""?00;"",""?-00;"",""?00;"", //"""),"'","""")</f>
        <v>78989, 19130317, 0800, ////, 07, /////, 07, ////, 07, /////, 07, ////, 07, ////, 07, ////, 07, ////, 07, ///, 07, ///, 07, ////, 07, ////, 07, ///, 07, ////, 07, ////, 07, ///, 07, //, 07, ////////////, 07, ///, 07</v>
      </c>
    </row>
    <row r="78" spans="1:1" x14ac:dyDescent="0.25">
      <c r="A78" s="75" t="str">
        <f ca="1">TEXT(Overig!A78,"000\,")&amp;TEXT(Overig!B78,"?00000000")&amp;TEXT(Overig!C78,""", ""0000")&amp;SUBSTITUTE(TEXT(IF(ISTEXT(Overig!D78),Overig!D78,10*Overig!D78),""",""????0;"",""???-0;"",""????0;"", ////"""),"'","""")&amp;SUBSTITUTE(TEXT(Overig!E78,""",""?00;"",""?-00;"",""?00;"", //"""),"'","""")&amp;SUBSTITUTE(TEXT(IF(ISTEXT(Overig!F78),Overig!F78,100*Overig!F78),""",""?????0;"",""????-0;"",""?????0;"", /////"""),"'","""")&amp;SUBSTITUTE(TEXT(Overig!G78,""",""?00;"",""?-00;"",""?00;"", //"""),"'","""")&amp;SUBSTITUTE(TEXT(IF(ISTEXT(Overig!H78),Overig!H78,100*Overig!H78),""",""????0;"",""???-0;"",""????0;"", ////"""),"'","""")&amp;SUBSTITUTE(TEXT(Overig!I78,""",""?00;"",""?-00;"",""?00;"", //"""),"'","""")&amp;SUBSTITUTE(TEXT(IF(ISTEXT(Overig!J78),Overig!J78,100*Overig!J78),""",""?????0;"",""????-0;"",""?????0;"", /////"""),"'","""")&amp;SUBSTITUTE(TEXT(Overig!K78,""",""?00;"",""?-00;"",""?00;"", //"""),"'","""")&amp;SUBSTITUTE(TEXT(IF(ISTEXT(Overig!L78),Overig!L78,10*Overig!L78),""",""????0;"",""???-0;"",""????0;"", ////"""),"'","""")&amp;SUBSTITUTE(TEXT(Overig!M78,""",""?00;"",""?-00;"",""?00;"", //"""),"'","""")&amp;SUBSTITUTE(TEXT(IF(ISTEXT(Overig!N78),Overig!N78,10*Overig!N78),""",""????0;"",""???-0;"",""????0;"", ////"""),"'","""")&amp;SUBSTITUTE(TEXT(Overig!O78,""",""?00;"",""?-00;"",""?00;"", //"""),"'","""")&amp;SUBSTITUTE(TEXT(IF(ISTEXT(Overig!P78),Overig!P78,10*Overig!P78),""",""????0;"",""???-0;"",""????0;"", ////"""),"'","""")&amp;SUBSTITUTE(TEXT(Overig!Q78,""",""?00;"",""?-00;"",""?00;"", //"""),"'","""")&amp;SUBSTITUTE(TEXT(IF(ISTEXT(Overig!R78),Overig!R78,10*Overig!R78),""",""????0;"",""???-0;"",""????0;"", ////"""),"'","""")&amp;SUBSTITUTE(TEXT(Overig!S78,""",""?00;"",""?-00;"",""?00;"", //"""),"'","""")&amp;SUBSTITUTE(TEXT(Overig!T78,""",""???0;"",""??-0;"",""???0;"", ///"""),"'","""")&amp;SUBSTITUTE(TEXT(Overig!U78,""",""?00;"",""?-00;"",""?00;"", //"""),"'","""")&amp;SUBSTITUTE(TEXT(IF(ISTEXT(Overig!V78),Overig!V78,10*Overig!V78),""",""???0;"",""??-0;"",""???0;"", ///"""),"'","""")&amp;SUBSTITUTE(TEXT(Overig!W78,""",""?00;"",""?-00;"",""?00;"", //"""),"'","""")&amp;SUBSTITUTE(TEXT(IF(ISTEXT(Overig!X78),Overig!X78,10*Overig!X78),""",""????0;"",""???-0;"",""????0;"", ////"""),"'","""")&amp;SUBSTITUTE(TEXT(Overig!Y78,""",""?00;"",""?-00;"",""?00;"", //"""),"'","""")&amp;SUBSTITUTE(TEXT(IF(ISTEXT(Overig!Z78),Overig!Z78,10*Overig!Z78),""",""????0;"",""???-0;"",""????0;"", ////"""),"'","""")&amp;SUBSTITUTE(TEXT(Overig!AA78,""",""?00;"",""?-00;"",""?00;"", //"""),"'","""")&amp;SUBSTITUTE(TEXT(Overig!AB78,""",""???0;"",""??-0;"",""???0;"", ///"""),"'","""")&amp;SUBSTITUTE(TEXT(Overig!AC78,""",""?00;"",""?-00;"",""?00;"", //"""),"'","""")&amp;SUBSTITUTE(TEXT(IF(ISTEXT(Overig!AD78),Overig!AD78,10*Overig!AD78),""",""????0;"",""???-0;"",""????0;"", ////"""),"'","""")&amp;SUBSTITUTE(TEXT(Overig!AE78,""",""?00;"",""?-00;"",""?00;"", //"""),"'","""")&amp;SUBSTITUTE(TEXT(IF(ISTEXT(Overig!AF78),Overig!AF78,10*Overig!AF78),""",""????0;"",""???-0;"",""????0;"", ////"""),"'","""")&amp;SUBSTITUTE(TEXT(Overig!AG78,""",""?00;"",""?-00;"",""?00;"", //"""),"'","""")&amp;SUBSTITUTE(TEXT(Overig!AH78,""",""???0;"",""??-0;"",""???0;"", ///"""),"'","""")&amp;SUBSTITUTE(TEXT(Overig!AI78,""",""?00;"",""?-00;"",""?00;"", //"""),"'","""")&amp;SUBSTITUTE(TEXT(Overig!AJ78,""",""??0;"",""?-0;"",""??0;"", //"""),"'","""")&amp;SUBSTITUTE(TEXT(Overig!AK78,""",""?00;"",""?-00;"",""?00;"", //"""),"'","""")&amp;SUBSTITUTE(IF(EXACT(Overig!AL78,"—"),TEXT(Overig!AL78,""",""????0;"",""???-0;"",""????0;"", ////////////,"""),TEXT(Overig!AL78,"\, \'@""',""")&amp;REPT(" ",10-LEN(Overig!AL78))),"'","""")&amp;SUBSTITUTE(TEXT(Overig!AM78,"?00;?-00;?00;"" //"""),"'","""")&amp;SUBSTITUTE(TEXT(Overig!AN78,""",""???0;"",""??-0;"",""???0;"", ///"""),"'","""")&amp;SUBSTITUTE(TEXT(Overig!AO78,""",""?00;"",""?-00;"",""?00;"", //"""),"'","""")</f>
        <v>78989, 19130318, 0800, ////, 07, /////, 07, ////, 07, /////, 07, ////, 07, ////, 07, ////, 07, ////, 07, ///, 07, ///, 07, ////, 07, ////, 07, ///, 07, ////, 07, ////, 07, ///, 07, //, 07, ////////////, 07, ///, 07</v>
      </c>
    </row>
    <row r="79" spans="1:1" x14ac:dyDescent="0.25">
      <c r="A79" s="75" t="str">
        <f ca="1">TEXT(Overig!A79,"000\,")&amp;TEXT(Overig!B79,"?00000000")&amp;TEXT(Overig!C79,""", ""0000")&amp;SUBSTITUTE(TEXT(IF(ISTEXT(Overig!D79),Overig!D79,10*Overig!D79),""",""????0;"",""???-0;"",""????0;"", ////"""),"'","""")&amp;SUBSTITUTE(TEXT(Overig!E79,""",""?00;"",""?-00;"",""?00;"", //"""),"'","""")&amp;SUBSTITUTE(TEXT(IF(ISTEXT(Overig!F79),Overig!F79,100*Overig!F79),""",""?????0;"",""????-0;"",""?????0;"", /////"""),"'","""")&amp;SUBSTITUTE(TEXT(Overig!G79,""",""?00;"",""?-00;"",""?00;"", //"""),"'","""")&amp;SUBSTITUTE(TEXT(IF(ISTEXT(Overig!H79),Overig!H79,100*Overig!H79),""",""????0;"",""???-0;"",""????0;"", ////"""),"'","""")&amp;SUBSTITUTE(TEXT(Overig!I79,""",""?00;"",""?-00;"",""?00;"", //"""),"'","""")&amp;SUBSTITUTE(TEXT(IF(ISTEXT(Overig!J79),Overig!J79,100*Overig!J79),""",""?????0;"",""????-0;"",""?????0;"", /////"""),"'","""")&amp;SUBSTITUTE(TEXT(Overig!K79,""",""?00;"",""?-00;"",""?00;"", //"""),"'","""")&amp;SUBSTITUTE(TEXT(IF(ISTEXT(Overig!L79),Overig!L79,10*Overig!L79),""",""????0;"",""???-0;"",""????0;"", ////"""),"'","""")&amp;SUBSTITUTE(TEXT(Overig!M79,""",""?00;"",""?-00;"",""?00;"", //"""),"'","""")&amp;SUBSTITUTE(TEXT(IF(ISTEXT(Overig!N79),Overig!N79,10*Overig!N79),""",""????0;"",""???-0;"",""????0;"", ////"""),"'","""")&amp;SUBSTITUTE(TEXT(Overig!O79,""",""?00;"",""?-00;"",""?00;"", //"""),"'","""")&amp;SUBSTITUTE(TEXT(IF(ISTEXT(Overig!P79),Overig!P79,10*Overig!P79),""",""????0;"",""???-0;"",""????0;"", ////"""),"'","""")&amp;SUBSTITUTE(TEXT(Overig!Q79,""",""?00;"",""?-00;"",""?00;"", //"""),"'","""")&amp;SUBSTITUTE(TEXT(IF(ISTEXT(Overig!R79),Overig!R79,10*Overig!R79),""",""????0;"",""???-0;"",""????0;"", ////"""),"'","""")&amp;SUBSTITUTE(TEXT(Overig!S79,""",""?00;"",""?-00;"",""?00;"", //"""),"'","""")&amp;SUBSTITUTE(TEXT(Overig!T79,""",""???0;"",""??-0;"",""???0;"", ///"""),"'","""")&amp;SUBSTITUTE(TEXT(Overig!U79,""",""?00;"",""?-00;"",""?00;"", //"""),"'","""")&amp;SUBSTITUTE(TEXT(IF(ISTEXT(Overig!V79),Overig!V79,10*Overig!V79),""",""???0;"",""??-0;"",""???0;"", ///"""),"'","""")&amp;SUBSTITUTE(TEXT(Overig!W79,""",""?00;"",""?-00;"",""?00;"", //"""),"'","""")&amp;SUBSTITUTE(TEXT(IF(ISTEXT(Overig!X79),Overig!X79,10*Overig!X79),""",""????0;"",""???-0;"",""????0;"", ////"""),"'","""")&amp;SUBSTITUTE(TEXT(Overig!Y79,""",""?00;"",""?-00;"",""?00;"", //"""),"'","""")&amp;SUBSTITUTE(TEXT(IF(ISTEXT(Overig!Z79),Overig!Z79,10*Overig!Z79),""",""????0;"",""???-0;"",""????0;"", ////"""),"'","""")&amp;SUBSTITUTE(TEXT(Overig!AA79,""",""?00;"",""?-00;"",""?00;"", //"""),"'","""")&amp;SUBSTITUTE(TEXT(Overig!AB79,""",""???0;"",""??-0;"",""???0;"", ///"""),"'","""")&amp;SUBSTITUTE(TEXT(Overig!AC79,""",""?00;"",""?-00;"",""?00;"", //"""),"'","""")&amp;SUBSTITUTE(TEXT(IF(ISTEXT(Overig!AD79),Overig!AD79,10*Overig!AD79),""",""????0;"",""???-0;"",""????0;"", ////"""),"'","""")&amp;SUBSTITUTE(TEXT(Overig!AE79,""",""?00;"",""?-00;"",""?00;"", //"""),"'","""")&amp;SUBSTITUTE(TEXT(IF(ISTEXT(Overig!AF79),Overig!AF79,10*Overig!AF79),""",""????0;"",""???-0;"",""????0;"", ////"""),"'","""")&amp;SUBSTITUTE(TEXT(Overig!AG79,""",""?00;"",""?-00;"",""?00;"", //"""),"'","""")&amp;SUBSTITUTE(TEXT(Overig!AH79,""",""???0;"",""??-0;"",""???0;"", ///"""),"'","""")&amp;SUBSTITUTE(TEXT(Overig!AI79,""",""?00;"",""?-00;"",""?00;"", //"""),"'","""")&amp;SUBSTITUTE(TEXT(Overig!AJ79,""",""??0;"",""?-0;"",""??0;"", //"""),"'","""")&amp;SUBSTITUTE(TEXT(Overig!AK79,""",""?00;"",""?-00;"",""?00;"", //"""),"'","""")&amp;SUBSTITUTE(IF(EXACT(Overig!AL79,"—"),TEXT(Overig!AL79,""",""????0;"",""???-0;"",""????0;"", ////////////,"""),TEXT(Overig!AL79,"\, \'@""',""")&amp;REPT(" ",10-LEN(Overig!AL79))),"'","""")&amp;SUBSTITUTE(TEXT(Overig!AM79,"?00;?-00;?00;"" //"""),"'","""")&amp;SUBSTITUTE(TEXT(Overig!AN79,""",""???0;"",""??-0;"",""???0;"", ///"""),"'","""")&amp;SUBSTITUTE(TEXT(Overig!AO79,""",""?00;"",""?-00;"",""?00;"", //"""),"'","""")</f>
        <v>78989, 19130319, 0800, ////, 07, /////, 07, ////, 07, /////, 07, ////, 07, ////, 07, ////, 07, ////, 07, ///, 07, ///, 07, ////, 07, ////, 07, ///, 07, ////, 07, ////, 07, ///, 07, //, 07, ////////////, 07, ///, 07</v>
      </c>
    </row>
    <row r="80" spans="1:1" x14ac:dyDescent="0.25">
      <c r="A80" s="75" t="str">
        <f ca="1">TEXT(Overig!A80,"000\,")&amp;TEXT(Overig!B80,"?00000000")&amp;TEXT(Overig!C80,""", ""0000")&amp;SUBSTITUTE(TEXT(IF(ISTEXT(Overig!D80),Overig!D80,10*Overig!D80),""",""????0;"",""???-0;"",""????0;"", ////"""),"'","""")&amp;SUBSTITUTE(TEXT(Overig!E80,""",""?00;"",""?-00;"",""?00;"", //"""),"'","""")&amp;SUBSTITUTE(TEXT(IF(ISTEXT(Overig!F80),Overig!F80,100*Overig!F80),""",""?????0;"",""????-0;"",""?????0;"", /////"""),"'","""")&amp;SUBSTITUTE(TEXT(Overig!G80,""",""?00;"",""?-00;"",""?00;"", //"""),"'","""")&amp;SUBSTITUTE(TEXT(IF(ISTEXT(Overig!H80),Overig!H80,100*Overig!H80),""",""????0;"",""???-0;"",""????0;"", ////"""),"'","""")&amp;SUBSTITUTE(TEXT(Overig!I80,""",""?00;"",""?-00;"",""?00;"", //"""),"'","""")&amp;SUBSTITUTE(TEXT(IF(ISTEXT(Overig!J80),Overig!J80,100*Overig!J80),""",""?????0;"",""????-0;"",""?????0;"", /////"""),"'","""")&amp;SUBSTITUTE(TEXT(Overig!K80,""",""?00;"",""?-00;"",""?00;"", //"""),"'","""")&amp;SUBSTITUTE(TEXT(IF(ISTEXT(Overig!L80),Overig!L80,10*Overig!L80),""",""????0;"",""???-0;"",""????0;"", ////"""),"'","""")&amp;SUBSTITUTE(TEXT(Overig!M80,""",""?00;"",""?-00;"",""?00;"", //"""),"'","""")&amp;SUBSTITUTE(TEXT(IF(ISTEXT(Overig!N80),Overig!N80,10*Overig!N80),""",""????0;"",""???-0;"",""????0;"", ////"""),"'","""")&amp;SUBSTITUTE(TEXT(Overig!O80,""",""?00;"",""?-00;"",""?00;"", //"""),"'","""")&amp;SUBSTITUTE(TEXT(IF(ISTEXT(Overig!P80),Overig!P80,10*Overig!P80),""",""????0;"",""???-0;"",""????0;"", ////"""),"'","""")&amp;SUBSTITUTE(TEXT(Overig!Q80,""",""?00;"",""?-00;"",""?00;"", //"""),"'","""")&amp;SUBSTITUTE(TEXT(IF(ISTEXT(Overig!R80),Overig!R80,10*Overig!R80),""",""????0;"",""???-0;"",""????0;"", ////"""),"'","""")&amp;SUBSTITUTE(TEXT(Overig!S80,""",""?00;"",""?-00;"",""?00;"", //"""),"'","""")&amp;SUBSTITUTE(TEXT(Overig!T80,""",""???0;"",""??-0;"",""???0;"", ///"""),"'","""")&amp;SUBSTITUTE(TEXT(Overig!U80,""",""?00;"",""?-00;"",""?00;"", //"""),"'","""")&amp;SUBSTITUTE(TEXT(IF(ISTEXT(Overig!V80),Overig!V80,10*Overig!V80),""",""???0;"",""??-0;"",""???0;"", ///"""),"'","""")&amp;SUBSTITUTE(TEXT(Overig!W80,""",""?00;"",""?-00;"",""?00;"", //"""),"'","""")&amp;SUBSTITUTE(TEXT(IF(ISTEXT(Overig!X80),Overig!X80,10*Overig!X80),""",""????0;"",""???-0;"",""????0;"", ////"""),"'","""")&amp;SUBSTITUTE(TEXT(Overig!Y80,""",""?00;"",""?-00;"",""?00;"", //"""),"'","""")&amp;SUBSTITUTE(TEXT(IF(ISTEXT(Overig!Z80),Overig!Z80,10*Overig!Z80),""",""????0;"",""???-0;"",""????0;"", ////"""),"'","""")&amp;SUBSTITUTE(TEXT(Overig!AA80,""",""?00;"",""?-00;"",""?00;"", //"""),"'","""")&amp;SUBSTITUTE(TEXT(Overig!AB80,""",""???0;"",""??-0;"",""???0;"", ///"""),"'","""")&amp;SUBSTITUTE(TEXT(Overig!AC80,""",""?00;"",""?-00;"",""?00;"", //"""),"'","""")&amp;SUBSTITUTE(TEXT(IF(ISTEXT(Overig!AD80),Overig!AD80,10*Overig!AD80),""",""????0;"",""???-0;"",""????0;"", ////"""),"'","""")&amp;SUBSTITUTE(TEXT(Overig!AE80,""",""?00;"",""?-00;"",""?00;"", //"""),"'","""")&amp;SUBSTITUTE(TEXT(IF(ISTEXT(Overig!AF80),Overig!AF80,10*Overig!AF80),""",""????0;"",""???-0;"",""????0;"", ////"""),"'","""")&amp;SUBSTITUTE(TEXT(Overig!AG80,""",""?00;"",""?-00;"",""?00;"", //"""),"'","""")&amp;SUBSTITUTE(TEXT(Overig!AH80,""",""???0;"",""??-0;"",""???0;"", ///"""),"'","""")&amp;SUBSTITUTE(TEXT(Overig!AI80,""",""?00;"",""?-00;"",""?00;"", //"""),"'","""")&amp;SUBSTITUTE(TEXT(Overig!AJ80,""",""??0;"",""?-0;"",""??0;"", //"""),"'","""")&amp;SUBSTITUTE(TEXT(Overig!AK80,""",""?00;"",""?-00;"",""?00;"", //"""),"'","""")&amp;SUBSTITUTE(IF(EXACT(Overig!AL80,"—"),TEXT(Overig!AL80,""",""????0;"",""???-0;"",""????0;"", ////////////,"""),TEXT(Overig!AL80,"\, \'@""',""")&amp;REPT(" ",10-LEN(Overig!AL80))),"'","""")&amp;SUBSTITUTE(TEXT(Overig!AM80,"?00;?-00;?00;"" //"""),"'","""")&amp;SUBSTITUTE(TEXT(Overig!AN80,""",""???0;"",""??-0;"",""???0;"", ///"""),"'","""")&amp;SUBSTITUTE(TEXT(Overig!AO80,""",""?00;"",""?-00;"",""?00;"", //"""),"'","""")</f>
        <v>78989, 19130320, 0800, ////, 07, /////, 07, ////, 07, /////, 07, ////, 07, ////, 07, ////, 07, ////, 07, ///, 07, ///, 07, ////, 07, ////, 07, ///, 07, ////, 07, ////, 07, ///, 07, //, 07, ////////////, 07, ///, 07</v>
      </c>
    </row>
    <row r="81" spans="1:1" x14ac:dyDescent="0.25">
      <c r="A81" s="75" t="str">
        <f ca="1">TEXT(Overig!A81,"000\,")&amp;TEXT(Overig!B81,"?00000000")&amp;TEXT(Overig!C81,""", ""0000")&amp;SUBSTITUTE(TEXT(IF(ISTEXT(Overig!D81),Overig!D81,10*Overig!D81),""",""????0;"",""???-0;"",""????0;"", ////"""),"'","""")&amp;SUBSTITUTE(TEXT(Overig!E81,""",""?00;"",""?-00;"",""?00;"", //"""),"'","""")&amp;SUBSTITUTE(TEXT(IF(ISTEXT(Overig!F81),Overig!F81,100*Overig!F81),""",""?????0;"",""????-0;"",""?????0;"", /////"""),"'","""")&amp;SUBSTITUTE(TEXT(Overig!G81,""",""?00;"",""?-00;"",""?00;"", //"""),"'","""")&amp;SUBSTITUTE(TEXT(IF(ISTEXT(Overig!H81),Overig!H81,100*Overig!H81),""",""????0;"",""???-0;"",""????0;"", ////"""),"'","""")&amp;SUBSTITUTE(TEXT(Overig!I81,""",""?00;"",""?-00;"",""?00;"", //"""),"'","""")&amp;SUBSTITUTE(TEXT(IF(ISTEXT(Overig!J81),Overig!J81,100*Overig!J81),""",""?????0;"",""????-0;"",""?????0;"", /////"""),"'","""")&amp;SUBSTITUTE(TEXT(Overig!K81,""",""?00;"",""?-00;"",""?00;"", //"""),"'","""")&amp;SUBSTITUTE(TEXT(IF(ISTEXT(Overig!L81),Overig!L81,10*Overig!L81),""",""????0;"",""???-0;"",""????0;"", ////"""),"'","""")&amp;SUBSTITUTE(TEXT(Overig!M81,""",""?00;"",""?-00;"",""?00;"", //"""),"'","""")&amp;SUBSTITUTE(TEXT(IF(ISTEXT(Overig!N81),Overig!N81,10*Overig!N81),""",""????0;"",""???-0;"",""????0;"", ////"""),"'","""")&amp;SUBSTITUTE(TEXT(Overig!O81,""",""?00;"",""?-00;"",""?00;"", //"""),"'","""")&amp;SUBSTITUTE(TEXT(IF(ISTEXT(Overig!P81),Overig!P81,10*Overig!P81),""",""????0;"",""???-0;"",""????0;"", ////"""),"'","""")&amp;SUBSTITUTE(TEXT(Overig!Q81,""",""?00;"",""?-00;"",""?00;"", //"""),"'","""")&amp;SUBSTITUTE(TEXT(IF(ISTEXT(Overig!R81),Overig!R81,10*Overig!R81),""",""????0;"",""???-0;"",""????0;"", ////"""),"'","""")&amp;SUBSTITUTE(TEXT(Overig!S81,""",""?00;"",""?-00;"",""?00;"", //"""),"'","""")&amp;SUBSTITUTE(TEXT(Overig!T81,""",""???0;"",""??-0;"",""???0;"", ///"""),"'","""")&amp;SUBSTITUTE(TEXT(Overig!U81,""",""?00;"",""?-00;"",""?00;"", //"""),"'","""")&amp;SUBSTITUTE(TEXT(IF(ISTEXT(Overig!V81),Overig!V81,10*Overig!V81),""",""???0;"",""??-0;"",""???0;"", ///"""),"'","""")&amp;SUBSTITUTE(TEXT(Overig!W81,""",""?00;"",""?-00;"",""?00;"", //"""),"'","""")&amp;SUBSTITUTE(TEXT(IF(ISTEXT(Overig!X81),Overig!X81,10*Overig!X81),""",""????0;"",""???-0;"",""????0;"", ////"""),"'","""")&amp;SUBSTITUTE(TEXT(Overig!Y81,""",""?00;"",""?-00;"",""?00;"", //"""),"'","""")&amp;SUBSTITUTE(TEXT(IF(ISTEXT(Overig!Z81),Overig!Z81,10*Overig!Z81),""",""????0;"",""???-0;"",""????0;"", ////"""),"'","""")&amp;SUBSTITUTE(TEXT(Overig!AA81,""",""?00;"",""?-00;"",""?00;"", //"""),"'","""")&amp;SUBSTITUTE(TEXT(Overig!AB81,""",""???0;"",""??-0;"",""???0;"", ///"""),"'","""")&amp;SUBSTITUTE(TEXT(Overig!AC81,""",""?00;"",""?-00;"",""?00;"", //"""),"'","""")&amp;SUBSTITUTE(TEXT(IF(ISTEXT(Overig!AD81),Overig!AD81,10*Overig!AD81),""",""????0;"",""???-0;"",""????0;"", ////"""),"'","""")&amp;SUBSTITUTE(TEXT(Overig!AE81,""",""?00;"",""?-00;"",""?00;"", //"""),"'","""")&amp;SUBSTITUTE(TEXT(IF(ISTEXT(Overig!AF81),Overig!AF81,10*Overig!AF81),""",""????0;"",""???-0;"",""????0;"", ////"""),"'","""")&amp;SUBSTITUTE(TEXT(Overig!AG81,""",""?00;"",""?-00;"",""?00;"", //"""),"'","""")&amp;SUBSTITUTE(TEXT(Overig!AH81,""",""???0;"",""??-0;"",""???0;"", ///"""),"'","""")&amp;SUBSTITUTE(TEXT(Overig!AI81,""",""?00;"",""?-00;"",""?00;"", //"""),"'","""")&amp;SUBSTITUTE(TEXT(Overig!AJ81,""",""??0;"",""?-0;"",""??0;"", //"""),"'","""")&amp;SUBSTITUTE(TEXT(Overig!AK81,""",""?00;"",""?-00;"",""?00;"", //"""),"'","""")&amp;SUBSTITUTE(IF(EXACT(Overig!AL81,"—"),TEXT(Overig!AL81,""",""????0;"",""???-0;"",""????0;"", ////////////,"""),TEXT(Overig!AL81,"\, \'@""',""")&amp;REPT(" ",10-LEN(Overig!AL81))),"'","""")&amp;SUBSTITUTE(TEXT(Overig!AM81,"?00;?-00;?00;"" //"""),"'","""")&amp;SUBSTITUTE(TEXT(Overig!AN81,""",""???0;"",""??-0;"",""???0;"", ///"""),"'","""")&amp;SUBSTITUTE(TEXT(Overig!AO81,""",""?00;"",""?-00;"",""?00;"", //"""),"'","""")</f>
        <v>78989, 19130321, 0800, ////, 07, /////, 07, ////, 07, /////, 07, ////, 07, ////, 07, ////, 07, ////, 07, ///, 07, ///, 07, ////, 07, ////, 07, ///, 07, ////, 07, ////, 07, ///, 07, //, 07, ////////////, 07, ///, 07</v>
      </c>
    </row>
    <row r="82" spans="1:1" x14ac:dyDescent="0.25">
      <c r="A82" s="75" t="str">
        <f ca="1">TEXT(Overig!A82,"000\,")&amp;TEXT(Overig!B82,"?00000000")&amp;TEXT(Overig!C82,""", ""0000")&amp;SUBSTITUTE(TEXT(IF(ISTEXT(Overig!D82),Overig!D82,10*Overig!D82),""",""????0;"",""???-0;"",""????0;"", ////"""),"'","""")&amp;SUBSTITUTE(TEXT(Overig!E82,""",""?00;"",""?-00;"",""?00;"", //"""),"'","""")&amp;SUBSTITUTE(TEXT(IF(ISTEXT(Overig!F82),Overig!F82,100*Overig!F82),""",""?????0;"",""????-0;"",""?????0;"", /////"""),"'","""")&amp;SUBSTITUTE(TEXT(Overig!G82,""",""?00;"",""?-00;"",""?00;"", //"""),"'","""")&amp;SUBSTITUTE(TEXT(IF(ISTEXT(Overig!H82),Overig!H82,100*Overig!H82),""",""????0;"",""???-0;"",""????0;"", ////"""),"'","""")&amp;SUBSTITUTE(TEXT(Overig!I82,""",""?00;"",""?-00;"",""?00;"", //"""),"'","""")&amp;SUBSTITUTE(TEXT(IF(ISTEXT(Overig!J82),Overig!J82,100*Overig!J82),""",""?????0;"",""????-0;"",""?????0;"", /////"""),"'","""")&amp;SUBSTITUTE(TEXT(Overig!K82,""",""?00;"",""?-00;"",""?00;"", //"""),"'","""")&amp;SUBSTITUTE(TEXT(IF(ISTEXT(Overig!L82),Overig!L82,10*Overig!L82),""",""????0;"",""???-0;"",""????0;"", ////"""),"'","""")&amp;SUBSTITUTE(TEXT(Overig!M82,""",""?00;"",""?-00;"",""?00;"", //"""),"'","""")&amp;SUBSTITUTE(TEXT(IF(ISTEXT(Overig!N82),Overig!N82,10*Overig!N82),""",""????0;"",""???-0;"",""????0;"", ////"""),"'","""")&amp;SUBSTITUTE(TEXT(Overig!O82,""",""?00;"",""?-00;"",""?00;"", //"""),"'","""")&amp;SUBSTITUTE(TEXT(IF(ISTEXT(Overig!P82),Overig!P82,10*Overig!P82),""",""????0;"",""???-0;"",""????0;"", ////"""),"'","""")&amp;SUBSTITUTE(TEXT(Overig!Q82,""",""?00;"",""?-00;"",""?00;"", //"""),"'","""")&amp;SUBSTITUTE(TEXT(IF(ISTEXT(Overig!R82),Overig!R82,10*Overig!R82),""",""????0;"",""???-0;"",""????0;"", ////"""),"'","""")&amp;SUBSTITUTE(TEXT(Overig!S82,""",""?00;"",""?-00;"",""?00;"", //"""),"'","""")&amp;SUBSTITUTE(TEXT(Overig!T82,""",""???0;"",""??-0;"",""???0;"", ///"""),"'","""")&amp;SUBSTITUTE(TEXT(Overig!U82,""",""?00;"",""?-00;"",""?00;"", //"""),"'","""")&amp;SUBSTITUTE(TEXT(IF(ISTEXT(Overig!V82),Overig!V82,10*Overig!V82),""",""???0;"",""??-0;"",""???0;"", ///"""),"'","""")&amp;SUBSTITUTE(TEXT(Overig!W82,""",""?00;"",""?-00;"",""?00;"", //"""),"'","""")&amp;SUBSTITUTE(TEXT(IF(ISTEXT(Overig!X82),Overig!X82,10*Overig!X82),""",""????0;"",""???-0;"",""????0;"", ////"""),"'","""")&amp;SUBSTITUTE(TEXT(Overig!Y82,""",""?00;"",""?-00;"",""?00;"", //"""),"'","""")&amp;SUBSTITUTE(TEXT(IF(ISTEXT(Overig!Z82),Overig!Z82,10*Overig!Z82),""",""????0;"",""???-0;"",""????0;"", ////"""),"'","""")&amp;SUBSTITUTE(TEXT(Overig!AA82,""",""?00;"",""?-00;"",""?00;"", //"""),"'","""")&amp;SUBSTITUTE(TEXT(Overig!AB82,""",""???0;"",""??-0;"",""???0;"", ///"""),"'","""")&amp;SUBSTITUTE(TEXT(Overig!AC82,""",""?00;"",""?-00;"",""?00;"", //"""),"'","""")&amp;SUBSTITUTE(TEXT(IF(ISTEXT(Overig!AD82),Overig!AD82,10*Overig!AD82),""",""????0;"",""???-0;"",""????0;"", ////"""),"'","""")&amp;SUBSTITUTE(TEXT(Overig!AE82,""",""?00;"",""?-00;"",""?00;"", //"""),"'","""")&amp;SUBSTITUTE(TEXT(IF(ISTEXT(Overig!AF82),Overig!AF82,10*Overig!AF82),""",""????0;"",""???-0;"",""????0;"", ////"""),"'","""")&amp;SUBSTITUTE(TEXT(Overig!AG82,""",""?00;"",""?-00;"",""?00;"", //"""),"'","""")&amp;SUBSTITUTE(TEXT(Overig!AH82,""",""???0;"",""??-0;"",""???0;"", ///"""),"'","""")&amp;SUBSTITUTE(TEXT(Overig!AI82,""",""?00;"",""?-00;"",""?00;"", //"""),"'","""")&amp;SUBSTITUTE(TEXT(Overig!AJ82,""",""??0;"",""?-0;"",""??0;"", //"""),"'","""")&amp;SUBSTITUTE(TEXT(Overig!AK82,""",""?00;"",""?-00;"",""?00;"", //"""),"'","""")&amp;SUBSTITUTE(IF(EXACT(Overig!AL82,"—"),TEXT(Overig!AL82,""",""????0;"",""???-0;"",""????0;"", ////////////,"""),TEXT(Overig!AL82,"\, \'@""',""")&amp;REPT(" ",10-LEN(Overig!AL82))),"'","""")&amp;SUBSTITUTE(TEXT(Overig!AM82,"?00;?-00;?00;"" //"""),"'","""")&amp;SUBSTITUTE(TEXT(Overig!AN82,""",""???0;"",""??-0;"",""???0;"", ///"""),"'","""")&amp;SUBSTITUTE(TEXT(Overig!AO82,""",""?00;"",""?-00;"",""?00;"", //"""),"'","""")</f>
        <v>78989, 19130322, 0800, ////, 07, /////, 07, ////, 07, /////, 07, ////, 07, ////, 07, ////, 07, ////, 07, ///, 07, ///, 07, ////, 07, ////, 07, ///, 07, ////, 07, ////, 07, ///, 07, //, 07, ////////////, 07, ///, 07</v>
      </c>
    </row>
    <row r="83" spans="1:1" x14ac:dyDescent="0.25">
      <c r="A83" s="75" t="str">
        <f ca="1">TEXT(Overig!A83,"000\,")&amp;TEXT(Overig!B83,"?00000000")&amp;TEXT(Overig!C83,""", ""0000")&amp;SUBSTITUTE(TEXT(IF(ISTEXT(Overig!D83),Overig!D83,10*Overig!D83),""",""????0;"",""???-0;"",""????0;"", ////"""),"'","""")&amp;SUBSTITUTE(TEXT(Overig!E83,""",""?00;"",""?-00;"",""?00;"", //"""),"'","""")&amp;SUBSTITUTE(TEXT(IF(ISTEXT(Overig!F83),Overig!F83,100*Overig!F83),""",""?????0;"",""????-0;"",""?????0;"", /////"""),"'","""")&amp;SUBSTITUTE(TEXT(Overig!G83,""",""?00;"",""?-00;"",""?00;"", //"""),"'","""")&amp;SUBSTITUTE(TEXT(IF(ISTEXT(Overig!H83),Overig!H83,100*Overig!H83),""",""????0;"",""???-0;"",""????0;"", ////"""),"'","""")&amp;SUBSTITUTE(TEXT(Overig!I83,""",""?00;"",""?-00;"",""?00;"", //"""),"'","""")&amp;SUBSTITUTE(TEXT(IF(ISTEXT(Overig!J83),Overig!J83,100*Overig!J83),""",""?????0;"",""????-0;"",""?????0;"", /////"""),"'","""")&amp;SUBSTITUTE(TEXT(Overig!K83,""",""?00;"",""?-00;"",""?00;"", //"""),"'","""")&amp;SUBSTITUTE(TEXT(IF(ISTEXT(Overig!L83),Overig!L83,10*Overig!L83),""",""????0;"",""???-0;"",""????0;"", ////"""),"'","""")&amp;SUBSTITUTE(TEXT(Overig!M83,""",""?00;"",""?-00;"",""?00;"", //"""),"'","""")&amp;SUBSTITUTE(TEXT(IF(ISTEXT(Overig!N83),Overig!N83,10*Overig!N83),""",""????0;"",""???-0;"",""????0;"", ////"""),"'","""")&amp;SUBSTITUTE(TEXT(Overig!O83,""",""?00;"",""?-00;"",""?00;"", //"""),"'","""")&amp;SUBSTITUTE(TEXT(IF(ISTEXT(Overig!P83),Overig!P83,10*Overig!P83),""",""????0;"",""???-0;"",""????0;"", ////"""),"'","""")&amp;SUBSTITUTE(TEXT(Overig!Q83,""",""?00;"",""?-00;"",""?00;"", //"""),"'","""")&amp;SUBSTITUTE(TEXT(IF(ISTEXT(Overig!R83),Overig!R83,10*Overig!R83),""",""????0;"",""???-0;"",""????0;"", ////"""),"'","""")&amp;SUBSTITUTE(TEXT(Overig!S83,""",""?00;"",""?-00;"",""?00;"", //"""),"'","""")&amp;SUBSTITUTE(TEXT(Overig!T83,""",""???0;"",""??-0;"",""???0;"", ///"""),"'","""")&amp;SUBSTITUTE(TEXT(Overig!U83,""",""?00;"",""?-00;"",""?00;"", //"""),"'","""")&amp;SUBSTITUTE(TEXT(IF(ISTEXT(Overig!V83),Overig!V83,10*Overig!V83),""",""???0;"",""??-0;"",""???0;"", ///"""),"'","""")&amp;SUBSTITUTE(TEXT(Overig!W83,""",""?00;"",""?-00;"",""?00;"", //"""),"'","""")&amp;SUBSTITUTE(TEXT(IF(ISTEXT(Overig!X83),Overig!X83,10*Overig!X83),""",""????0;"",""???-0;"",""????0;"", ////"""),"'","""")&amp;SUBSTITUTE(TEXT(Overig!Y83,""",""?00;"",""?-00;"",""?00;"", //"""),"'","""")&amp;SUBSTITUTE(TEXT(IF(ISTEXT(Overig!Z83),Overig!Z83,10*Overig!Z83),""",""????0;"",""???-0;"",""????0;"", ////"""),"'","""")&amp;SUBSTITUTE(TEXT(Overig!AA83,""",""?00;"",""?-00;"",""?00;"", //"""),"'","""")&amp;SUBSTITUTE(TEXT(Overig!AB83,""",""???0;"",""??-0;"",""???0;"", ///"""),"'","""")&amp;SUBSTITUTE(TEXT(Overig!AC83,""",""?00;"",""?-00;"",""?00;"", //"""),"'","""")&amp;SUBSTITUTE(TEXT(IF(ISTEXT(Overig!AD83),Overig!AD83,10*Overig!AD83),""",""????0;"",""???-0;"",""????0;"", ////"""),"'","""")&amp;SUBSTITUTE(TEXT(Overig!AE83,""",""?00;"",""?-00;"",""?00;"", //"""),"'","""")&amp;SUBSTITUTE(TEXT(IF(ISTEXT(Overig!AF83),Overig!AF83,10*Overig!AF83),""",""????0;"",""???-0;"",""????0;"", ////"""),"'","""")&amp;SUBSTITUTE(TEXT(Overig!AG83,""",""?00;"",""?-00;"",""?00;"", //"""),"'","""")&amp;SUBSTITUTE(TEXT(Overig!AH83,""",""???0;"",""??-0;"",""???0;"", ///"""),"'","""")&amp;SUBSTITUTE(TEXT(Overig!AI83,""",""?00;"",""?-00;"",""?00;"", //"""),"'","""")&amp;SUBSTITUTE(TEXT(Overig!AJ83,""",""??0;"",""?-0;"",""??0;"", //"""),"'","""")&amp;SUBSTITUTE(TEXT(Overig!AK83,""",""?00;"",""?-00;"",""?00;"", //"""),"'","""")&amp;SUBSTITUTE(IF(EXACT(Overig!AL83,"—"),TEXT(Overig!AL83,""",""????0;"",""???-0;"",""????0;"", ////////////,"""),TEXT(Overig!AL83,"\, \'@""',""")&amp;REPT(" ",10-LEN(Overig!AL83))),"'","""")&amp;SUBSTITUTE(TEXT(Overig!AM83,"?00;?-00;?00;"" //"""),"'","""")&amp;SUBSTITUTE(TEXT(Overig!AN83,""",""???0;"",""??-0;"",""???0;"", ///"""),"'","""")&amp;SUBSTITUTE(TEXT(Overig!AO83,""",""?00;"",""?-00;"",""?00;"", //"""),"'","""")</f>
        <v>78989, 19130323, 0800, ////, 07, /////, 07, ////, 07, /////, 07, ////, 07, ////, 07, ////, 07, ////, 07, ///, 07, ///, 07, ////, 07, ////, 07, ///, 07, ////, 07, ////, 07, ///, 07, //, 07, ////////////, 07, ///, 07</v>
      </c>
    </row>
    <row r="84" spans="1:1" x14ac:dyDescent="0.25">
      <c r="A84" s="75" t="str">
        <f ca="1">TEXT(Overig!A84,"000\,")&amp;TEXT(Overig!B84,"?00000000")&amp;TEXT(Overig!C84,""", ""0000")&amp;SUBSTITUTE(TEXT(IF(ISTEXT(Overig!D84),Overig!D84,10*Overig!D84),""",""????0;"",""???-0;"",""????0;"", ////"""),"'","""")&amp;SUBSTITUTE(TEXT(Overig!E84,""",""?00;"",""?-00;"",""?00;"", //"""),"'","""")&amp;SUBSTITUTE(TEXT(IF(ISTEXT(Overig!F84),Overig!F84,100*Overig!F84),""",""?????0;"",""????-0;"",""?????0;"", /////"""),"'","""")&amp;SUBSTITUTE(TEXT(Overig!G84,""",""?00;"",""?-00;"",""?00;"", //"""),"'","""")&amp;SUBSTITUTE(TEXT(IF(ISTEXT(Overig!H84),Overig!H84,100*Overig!H84),""",""????0;"",""???-0;"",""????0;"", ////"""),"'","""")&amp;SUBSTITUTE(TEXT(Overig!I84,""",""?00;"",""?-00;"",""?00;"", //"""),"'","""")&amp;SUBSTITUTE(TEXT(IF(ISTEXT(Overig!J84),Overig!J84,100*Overig!J84),""",""?????0;"",""????-0;"",""?????0;"", /////"""),"'","""")&amp;SUBSTITUTE(TEXT(Overig!K84,""",""?00;"",""?-00;"",""?00;"", //"""),"'","""")&amp;SUBSTITUTE(TEXT(IF(ISTEXT(Overig!L84),Overig!L84,10*Overig!L84),""",""????0;"",""???-0;"",""????0;"", ////"""),"'","""")&amp;SUBSTITUTE(TEXT(Overig!M84,""",""?00;"",""?-00;"",""?00;"", //"""),"'","""")&amp;SUBSTITUTE(TEXT(IF(ISTEXT(Overig!N84),Overig!N84,10*Overig!N84),""",""????0;"",""???-0;"",""????0;"", ////"""),"'","""")&amp;SUBSTITUTE(TEXT(Overig!O84,""",""?00;"",""?-00;"",""?00;"", //"""),"'","""")&amp;SUBSTITUTE(TEXT(IF(ISTEXT(Overig!P84),Overig!P84,10*Overig!P84),""",""????0;"",""???-0;"",""????0;"", ////"""),"'","""")&amp;SUBSTITUTE(TEXT(Overig!Q84,""",""?00;"",""?-00;"",""?00;"", //"""),"'","""")&amp;SUBSTITUTE(TEXT(IF(ISTEXT(Overig!R84),Overig!R84,10*Overig!R84),""",""????0;"",""???-0;"",""????0;"", ////"""),"'","""")&amp;SUBSTITUTE(TEXT(Overig!S84,""",""?00;"",""?-00;"",""?00;"", //"""),"'","""")&amp;SUBSTITUTE(TEXT(Overig!T84,""",""???0;"",""??-0;"",""???0;"", ///"""),"'","""")&amp;SUBSTITUTE(TEXT(Overig!U84,""",""?00;"",""?-00;"",""?00;"", //"""),"'","""")&amp;SUBSTITUTE(TEXT(IF(ISTEXT(Overig!V84),Overig!V84,10*Overig!V84),""",""???0;"",""??-0;"",""???0;"", ///"""),"'","""")&amp;SUBSTITUTE(TEXT(Overig!W84,""",""?00;"",""?-00;"",""?00;"", //"""),"'","""")&amp;SUBSTITUTE(TEXT(IF(ISTEXT(Overig!X84),Overig!X84,10*Overig!X84),""",""????0;"",""???-0;"",""????0;"", ////"""),"'","""")&amp;SUBSTITUTE(TEXT(Overig!Y84,""",""?00;"",""?-00;"",""?00;"", //"""),"'","""")&amp;SUBSTITUTE(TEXT(IF(ISTEXT(Overig!Z84),Overig!Z84,10*Overig!Z84),""",""????0;"",""???-0;"",""????0;"", ////"""),"'","""")&amp;SUBSTITUTE(TEXT(Overig!AA84,""",""?00;"",""?-00;"",""?00;"", //"""),"'","""")&amp;SUBSTITUTE(TEXT(Overig!AB84,""",""???0;"",""??-0;"",""???0;"", ///"""),"'","""")&amp;SUBSTITUTE(TEXT(Overig!AC84,""",""?00;"",""?-00;"",""?00;"", //"""),"'","""")&amp;SUBSTITUTE(TEXT(IF(ISTEXT(Overig!AD84),Overig!AD84,10*Overig!AD84),""",""????0;"",""???-0;"",""????0;"", ////"""),"'","""")&amp;SUBSTITUTE(TEXT(Overig!AE84,""",""?00;"",""?-00;"",""?00;"", //"""),"'","""")&amp;SUBSTITUTE(TEXT(IF(ISTEXT(Overig!AF84),Overig!AF84,10*Overig!AF84),""",""????0;"",""???-0;"",""????0;"", ////"""),"'","""")&amp;SUBSTITUTE(TEXT(Overig!AG84,""",""?00;"",""?-00;"",""?00;"", //"""),"'","""")&amp;SUBSTITUTE(TEXT(Overig!AH84,""",""???0;"",""??-0;"",""???0;"", ///"""),"'","""")&amp;SUBSTITUTE(TEXT(Overig!AI84,""",""?00;"",""?-00;"",""?00;"", //"""),"'","""")&amp;SUBSTITUTE(TEXT(Overig!AJ84,""",""??0;"",""?-0;"",""??0;"", //"""),"'","""")&amp;SUBSTITUTE(TEXT(Overig!AK84,""",""?00;"",""?-00;"",""?00;"", //"""),"'","""")&amp;SUBSTITUTE(IF(EXACT(Overig!AL84,"—"),TEXT(Overig!AL84,""",""????0;"",""???-0;"",""????0;"", ////////////,"""),TEXT(Overig!AL84,"\, \'@""',""")&amp;REPT(" ",10-LEN(Overig!AL84))),"'","""")&amp;SUBSTITUTE(TEXT(Overig!AM84,"?00;?-00;?00;"" //"""),"'","""")&amp;SUBSTITUTE(TEXT(Overig!AN84,""",""???0;"",""??-0;"",""???0;"", ///"""),"'","""")&amp;SUBSTITUTE(TEXT(Overig!AO84,""",""?00;"",""?-00;"",""?00;"", //"""),"'","""")</f>
        <v>78989, 19130324, 0800, ////, 07, /////, 07, ////, 07, /////, 07, ////, 07, ////, 07, ////, 07, ////, 07, ///, 07, ///, 07, ////, 07, ////, 07, ///, 07, ////, 07, ////, 07, ///, 07, //, 07, ////////////, 07, ///, 07</v>
      </c>
    </row>
    <row r="85" spans="1:1" x14ac:dyDescent="0.25">
      <c r="A85" s="75" t="str">
        <f ca="1">TEXT(Overig!A85,"000\,")&amp;TEXT(Overig!B85,"?00000000")&amp;TEXT(Overig!C85,""", ""0000")&amp;SUBSTITUTE(TEXT(IF(ISTEXT(Overig!D85),Overig!D85,10*Overig!D85),""",""????0;"",""???-0;"",""????0;"", ////"""),"'","""")&amp;SUBSTITUTE(TEXT(Overig!E85,""",""?00;"",""?-00;"",""?00;"", //"""),"'","""")&amp;SUBSTITUTE(TEXT(IF(ISTEXT(Overig!F85),Overig!F85,100*Overig!F85),""",""?????0;"",""????-0;"",""?????0;"", /////"""),"'","""")&amp;SUBSTITUTE(TEXT(Overig!G85,""",""?00;"",""?-00;"",""?00;"", //"""),"'","""")&amp;SUBSTITUTE(TEXT(IF(ISTEXT(Overig!H85),Overig!H85,100*Overig!H85),""",""????0;"",""???-0;"",""????0;"", ////"""),"'","""")&amp;SUBSTITUTE(TEXT(Overig!I85,""",""?00;"",""?-00;"",""?00;"", //"""),"'","""")&amp;SUBSTITUTE(TEXT(IF(ISTEXT(Overig!J85),Overig!J85,100*Overig!J85),""",""?????0;"",""????-0;"",""?????0;"", /////"""),"'","""")&amp;SUBSTITUTE(TEXT(Overig!K85,""",""?00;"",""?-00;"",""?00;"", //"""),"'","""")&amp;SUBSTITUTE(TEXT(IF(ISTEXT(Overig!L85),Overig!L85,10*Overig!L85),""",""????0;"",""???-0;"",""????0;"", ////"""),"'","""")&amp;SUBSTITUTE(TEXT(Overig!M85,""",""?00;"",""?-00;"",""?00;"", //"""),"'","""")&amp;SUBSTITUTE(TEXT(IF(ISTEXT(Overig!N85),Overig!N85,10*Overig!N85),""",""????0;"",""???-0;"",""????0;"", ////"""),"'","""")&amp;SUBSTITUTE(TEXT(Overig!O85,""",""?00;"",""?-00;"",""?00;"", //"""),"'","""")&amp;SUBSTITUTE(TEXT(IF(ISTEXT(Overig!P85),Overig!P85,10*Overig!P85),""",""????0;"",""???-0;"",""????0;"", ////"""),"'","""")&amp;SUBSTITUTE(TEXT(Overig!Q85,""",""?00;"",""?-00;"",""?00;"", //"""),"'","""")&amp;SUBSTITUTE(TEXT(IF(ISTEXT(Overig!R85),Overig!R85,10*Overig!R85),""",""????0;"",""???-0;"",""????0;"", ////"""),"'","""")&amp;SUBSTITUTE(TEXT(Overig!S85,""",""?00;"",""?-00;"",""?00;"", //"""),"'","""")&amp;SUBSTITUTE(TEXT(Overig!T85,""",""???0;"",""??-0;"",""???0;"", ///"""),"'","""")&amp;SUBSTITUTE(TEXT(Overig!U85,""",""?00;"",""?-00;"",""?00;"", //"""),"'","""")&amp;SUBSTITUTE(TEXT(IF(ISTEXT(Overig!V85),Overig!V85,10*Overig!V85),""",""???0;"",""??-0;"",""???0;"", ///"""),"'","""")&amp;SUBSTITUTE(TEXT(Overig!W85,""",""?00;"",""?-00;"",""?00;"", //"""),"'","""")&amp;SUBSTITUTE(TEXT(IF(ISTEXT(Overig!X85),Overig!X85,10*Overig!X85),""",""????0;"",""???-0;"",""????0;"", ////"""),"'","""")&amp;SUBSTITUTE(TEXT(Overig!Y85,""",""?00;"",""?-00;"",""?00;"", //"""),"'","""")&amp;SUBSTITUTE(TEXT(IF(ISTEXT(Overig!Z85),Overig!Z85,10*Overig!Z85),""",""????0;"",""???-0;"",""????0;"", ////"""),"'","""")&amp;SUBSTITUTE(TEXT(Overig!AA85,""",""?00;"",""?-00;"",""?00;"", //"""),"'","""")&amp;SUBSTITUTE(TEXT(Overig!AB85,""",""???0;"",""??-0;"",""???0;"", ///"""),"'","""")&amp;SUBSTITUTE(TEXT(Overig!AC85,""",""?00;"",""?-00;"",""?00;"", //"""),"'","""")&amp;SUBSTITUTE(TEXT(IF(ISTEXT(Overig!AD85),Overig!AD85,10*Overig!AD85),""",""????0;"",""???-0;"",""????0;"", ////"""),"'","""")&amp;SUBSTITUTE(TEXT(Overig!AE85,""",""?00;"",""?-00;"",""?00;"", //"""),"'","""")&amp;SUBSTITUTE(TEXT(IF(ISTEXT(Overig!AF85),Overig!AF85,10*Overig!AF85),""",""????0;"",""???-0;"",""????0;"", ////"""),"'","""")&amp;SUBSTITUTE(TEXT(Overig!AG85,""",""?00;"",""?-00;"",""?00;"", //"""),"'","""")&amp;SUBSTITUTE(TEXT(Overig!AH85,""",""???0;"",""??-0;"",""???0;"", ///"""),"'","""")&amp;SUBSTITUTE(TEXT(Overig!AI85,""",""?00;"",""?-00;"",""?00;"", //"""),"'","""")&amp;SUBSTITUTE(TEXT(Overig!AJ85,""",""??0;"",""?-0;"",""??0;"", //"""),"'","""")&amp;SUBSTITUTE(TEXT(Overig!AK85,""",""?00;"",""?-00;"",""?00;"", //"""),"'","""")&amp;SUBSTITUTE(IF(EXACT(Overig!AL85,"—"),TEXT(Overig!AL85,""",""????0;"",""???-0;"",""????0;"", ////////////,"""),TEXT(Overig!AL85,"\, \'@""',""")&amp;REPT(" ",10-LEN(Overig!AL85))),"'","""")&amp;SUBSTITUTE(TEXT(Overig!AM85,"?00;?-00;?00;"" //"""),"'","""")&amp;SUBSTITUTE(TEXT(Overig!AN85,""",""???0;"",""??-0;"",""???0;"", ///"""),"'","""")&amp;SUBSTITUTE(TEXT(Overig!AO85,""",""?00;"",""?-00;"",""?00;"", //"""),"'","""")</f>
        <v>78989, 19130325, 0800, ////, 07, /////, 07, ////, 07, /////, 07, ////, 07, ////, 07, ////, 07, ////, 07, ///, 07, ///, 07, ////, 07, ////, 07, ///, 07, ////, 07, ////, 07, ///, 07, //, 07, ////////////, 07, ///, 07</v>
      </c>
    </row>
    <row r="86" spans="1:1" x14ac:dyDescent="0.25">
      <c r="A86" s="75" t="str">
        <f ca="1">TEXT(Overig!A86,"000\,")&amp;TEXT(Overig!B86,"?00000000")&amp;TEXT(Overig!C86,""", ""0000")&amp;SUBSTITUTE(TEXT(IF(ISTEXT(Overig!D86),Overig!D86,10*Overig!D86),""",""????0;"",""???-0;"",""????0;"", ////"""),"'","""")&amp;SUBSTITUTE(TEXT(Overig!E86,""",""?00;"",""?-00;"",""?00;"", //"""),"'","""")&amp;SUBSTITUTE(TEXT(IF(ISTEXT(Overig!F86),Overig!F86,100*Overig!F86),""",""?????0;"",""????-0;"",""?????0;"", /////"""),"'","""")&amp;SUBSTITUTE(TEXT(Overig!G86,""",""?00;"",""?-00;"",""?00;"", //"""),"'","""")&amp;SUBSTITUTE(TEXT(IF(ISTEXT(Overig!H86),Overig!H86,100*Overig!H86),""",""????0;"",""???-0;"",""????0;"", ////"""),"'","""")&amp;SUBSTITUTE(TEXT(Overig!I86,""",""?00;"",""?-00;"",""?00;"", //"""),"'","""")&amp;SUBSTITUTE(TEXT(IF(ISTEXT(Overig!J86),Overig!J86,100*Overig!J86),""",""?????0;"",""????-0;"",""?????0;"", /////"""),"'","""")&amp;SUBSTITUTE(TEXT(Overig!K86,""",""?00;"",""?-00;"",""?00;"", //"""),"'","""")&amp;SUBSTITUTE(TEXT(IF(ISTEXT(Overig!L86),Overig!L86,10*Overig!L86),""",""????0;"",""???-0;"",""????0;"", ////"""),"'","""")&amp;SUBSTITUTE(TEXT(Overig!M86,""",""?00;"",""?-00;"",""?00;"", //"""),"'","""")&amp;SUBSTITUTE(TEXT(IF(ISTEXT(Overig!N86),Overig!N86,10*Overig!N86),""",""????0;"",""???-0;"",""????0;"", ////"""),"'","""")&amp;SUBSTITUTE(TEXT(Overig!O86,""",""?00;"",""?-00;"",""?00;"", //"""),"'","""")&amp;SUBSTITUTE(TEXT(IF(ISTEXT(Overig!P86),Overig!P86,10*Overig!P86),""",""????0;"",""???-0;"",""????0;"", ////"""),"'","""")&amp;SUBSTITUTE(TEXT(Overig!Q86,""",""?00;"",""?-00;"",""?00;"", //"""),"'","""")&amp;SUBSTITUTE(TEXT(IF(ISTEXT(Overig!R86),Overig!R86,10*Overig!R86),""",""????0;"",""???-0;"",""????0;"", ////"""),"'","""")&amp;SUBSTITUTE(TEXT(Overig!S86,""",""?00;"",""?-00;"",""?00;"", //"""),"'","""")&amp;SUBSTITUTE(TEXT(Overig!T86,""",""???0;"",""??-0;"",""???0;"", ///"""),"'","""")&amp;SUBSTITUTE(TEXT(Overig!U86,""",""?00;"",""?-00;"",""?00;"", //"""),"'","""")&amp;SUBSTITUTE(TEXT(IF(ISTEXT(Overig!V86),Overig!V86,10*Overig!V86),""",""???0;"",""??-0;"",""???0;"", ///"""),"'","""")&amp;SUBSTITUTE(TEXT(Overig!W86,""",""?00;"",""?-00;"",""?00;"", //"""),"'","""")&amp;SUBSTITUTE(TEXT(IF(ISTEXT(Overig!X86),Overig!X86,10*Overig!X86),""",""????0;"",""???-0;"",""????0;"", ////"""),"'","""")&amp;SUBSTITUTE(TEXT(Overig!Y86,""",""?00;"",""?-00;"",""?00;"", //"""),"'","""")&amp;SUBSTITUTE(TEXT(IF(ISTEXT(Overig!Z86),Overig!Z86,10*Overig!Z86),""",""????0;"",""???-0;"",""????0;"", ////"""),"'","""")&amp;SUBSTITUTE(TEXT(Overig!AA86,""",""?00;"",""?-00;"",""?00;"", //"""),"'","""")&amp;SUBSTITUTE(TEXT(Overig!AB86,""",""???0;"",""??-0;"",""???0;"", ///"""),"'","""")&amp;SUBSTITUTE(TEXT(Overig!AC86,""",""?00;"",""?-00;"",""?00;"", //"""),"'","""")&amp;SUBSTITUTE(TEXT(IF(ISTEXT(Overig!AD86),Overig!AD86,10*Overig!AD86),""",""????0;"",""???-0;"",""????0;"", ////"""),"'","""")&amp;SUBSTITUTE(TEXT(Overig!AE86,""",""?00;"",""?-00;"",""?00;"", //"""),"'","""")&amp;SUBSTITUTE(TEXT(IF(ISTEXT(Overig!AF86),Overig!AF86,10*Overig!AF86),""",""????0;"",""???-0;"",""????0;"", ////"""),"'","""")&amp;SUBSTITUTE(TEXT(Overig!AG86,""",""?00;"",""?-00;"",""?00;"", //"""),"'","""")&amp;SUBSTITUTE(TEXT(Overig!AH86,""",""???0;"",""??-0;"",""???0;"", ///"""),"'","""")&amp;SUBSTITUTE(TEXT(Overig!AI86,""",""?00;"",""?-00;"",""?00;"", //"""),"'","""")&amp;SUBSTITUTE(TEXT(Overig!AJ86,""",""??0;"",""?-0;"",""??0;"", //"""),"'","""")&amp;SUBSTITUTE(TEXT(Overig!AK86,""",""?00;"",""?-00;"",""?00;"", //"""),"'","""")&amp;SUBSTITUTE(IF(EXACT(Overig!AL86,"—"),TEXT(Overig!AL86,""",""????0;"",""???-0;"",""????0;"", ////////////,"""),TEXT(Overig!AL86,"\, \'@""',""")&amp;REPT(" ",10-LEN(Overig!AL86))),"'","""")&amp;SUBSTITUTE(TEXT(Overig!AM86,"?00;?-00;?00;"" //"""),"'","""")&amp;SUBSTITUTE(TEXT(Overig!AN86,""",""???0;"",""??-0;"",""???0;"", ///"""),"'","""")&amp;SUBSTITUTE(TEXT(Overig!AO86,""",""?00;"",""?-00;"",""?00;"", //"""),"'","""")</f>
        <v>78989, 19130326, 0800, ////, 07, /////, 07, ////, 07, /////, 07, ////, 07, ////, 07, ////, 07, ////, 07, ///, 07, ///, 07, ////, 07, ////, 07, ///, 07, ////, 07, ////, 07, ///, 07, //, 07, ////////////, 07, ///, 07</v>
      </c>
    </row>
    <row r="87" spans="1:1" x14ac:dyDescent="0.25">
      <c r="A87" s="75" t="str">
        <f ca="1">TEXT(Overig!A87,"000\,")&amp;TEXT(Overig!B87,"?00000000")&amp;TEXT(Overig!C87,""", ""0000")&amp;SUBSTITUTE(TEXT(IF(ISTEXT(Overig!D87),Overig!D87,10*Overig!D87),""",""????0;"",""???-0;"",""????0;"", ////"""),"'","""")&amp;SUBSTITUTE(TEXT(Overig!E87,""",""?00;"",""?-00;"",""?00;"", //"""),"'","""")&amp;SUBSTITUTE(TEXT(IF(ISTEXT(Overig!F87),Overig!F87,100*Overig!F87),""",""?????0;"",""????-0;"",""?????0;"", /////"""),"'","""")&amp;SUBSTITUTE(TEXT(Overig!G87,""",""?00;"",""?-00;"",""?00;"", //"""),"'","""")&amp;SUBSTITUTE(TEXT(IF(ISTEXT(Overig!H87),Overig!H87,100*Overig!H87),""",""????0;"",""???-0;"",""????0;"", ////"""),"'","""")&amp;SUBSTITUTE(TEXT(Overig!I87,""",""?00;"",""?-00;"",""?00;"", //"""),"'","""")&amp;SUBSTITUTE(TEXT(IF(ISTEXT(Overig!J87),Overig!J87,100*Overig!J87),""",""?????0;"",""????-0;"",""?????0;"", /////"""),"'","""")&amp;SUBSTITUTE(TEXT(Overig!K87,""",""?00;"",""?-00;"",""?00;"", //"""),"'","""")&amp;SUBSTITUTE(TEXT(IF(ISTEXT(Overig!L87),Overig!L87,10*Overig!L87),""",""????0;"",""???-0;"",""????0;"", ////"""),"'","""")&amp;SUBSTITUTE(TEXT(Overig!M87,""",""?00;"",""?-00;"",""?00;"", //"""),"'","""")&amp;SUBSTITUTE(TEXT(IF(ISTEXT(Overig!N87),Overig!N87,10*Overig!N87),""",""????0;"",""???-0;"",""????0;"", ////"""),"'","""")&amp;SUBSTITUTE(TEXT(Overig!O87,""",""?00;"",""?-00;"",""?00;"", //"""),"'","""")&amp;SUBSTITUTE(TEXT(IF(ISTEXT(Overig!P87),Overig!P87,10*Overig!P87),""",""????0;"",""???-0;"",""????0;"", ////"""),"'","""")&amp;SUBSTITUTE(TEXT(Overig!Q87,""",""?00;"",""?-00;"",""?00;"", //"""),"'","""")&amp;SUBSTITUTE(TEXT(IF(ISTEXT(Overig!R87),Overig!R87,10*Overig!R87),""",""????0;"",""???-0;"",""????0;"", ////"""),"'","""")&amp;SUBSTITUTE(TEXT(Overig!S87,""",""?00;"",""?-00;"",""?00;"", //"""),"'","""")&amp;SUBSTITUTE(TEXT(Overig!T87,""",""???0;"",""??-0;"",""???0;"", ///"""),"'","""")&amp;SUBSTITUTE(TEXT(Overig!U87,""",""?00;"",""?-00;"",""?00;"", //"""),"'","""")&amp;SUBSTITUTE(TEXT(IF(ISTEXT(Overig!V87),Overig!V87,10*Overig!V87),""",""???0;"",""??-0;"",""???0;"", ///"""),"'","""")&amp;SUBSTITUTE(TEXT(Overig!W87,""",""?00;"",""?-00;"",""?00;"", //"""),"'","""")&amp;SUBSTITUTE(TEXT(IF(ISTEXT(Overig!X87),Overig!X87,10*Overig!X87),""",""????0;"",""???-0;"",""????0;"", ////"""),"'","""")&amp;SUBSTITUTE(TEXT(Overig!Y87,""",""?00;"",""?-00;"",""?00;"", //"""),"'","""")&amp;SUBSTITUTE(TEXT(IF(ISTEXT(Overig!Z87),Overig!Z87,10*Overig!Z87),""",""????0;"",""???-0;"",""????0;"", ////"""),"'","""")&amp;SUBSTITUTE(TEXT(Overig!AA87,""",""?00;"",""?-00;"",""?00;"", //"""),"'","""")&amp;SUBSTITUTE(TEXT(Overig!AB87,""",""???0;"",""??-0;"",""???0;"", ///"""),"'","""")&amp;SUBSTITUTE(TEXT(Overig!AC87,""",""?00;"",""?-00;"",""?00;"", //"""),"'","""")&amp;SUBSTITUTE(TEXT(IF(ISTEXT(Overig!AD87),Overig!AD87,10*Overig!AD87),""",""????0;"",""???-0;"",""????0;"", ////"""),"'","""")&amp;SUBSTITUTE(TEXT(Overig!AE87,""",""?00;"",""?-00;"",""?00;"", //"""),"'","""")&amp;SUBSTITUTE(TEXT(IF(ISTEXT(Overig!AF87),Overig!AF87,10*Overig!AF87),""",""????0;"",""???-0;"",""????0;"", ////"""),"'","""")&amp;SUBSTITUTE(TEXT(Overig!AG87,""",""?00;"",""?-00;"",""?00;"", //"""),"'","""")&amp;SUBSTITUTE(TEXT(Overig!AH87,""",""???0;"",""??-0;"",""???0;"", ///"""),"'","""")&amp;SUBSTITUTE(TEXT(Overig!AI87,""",""?00;"",""?-00;"",""?00;"", //"""),"'","""")&amp;SUBSTITUTE(TEXT(Overig!AJ87,""",""??0;"",""?-0;"",""??0;"", //"""),"'","""")&amp;SUBSTITUTE(TEXT(Overig!AK87,""",""?00;"",""?-00;"",""?00;"", //"""),"'","""")&amp;SUBSTITUTE(IF(EXACT(Overig!AL87,"—"),TEXT(Overig!AL87,""",""????0;"",""???-0;"",""????0;"", ////////////,"""),TEXT(Overig!AL87,"\, \'@""',""")&amp;REPT(" ",10-LEN(Overig!AL87))),"'","""")&amp;SUBSTITUTE(TEXT(Overig!AM87,"?00;?-00;?00;"" //"""),"'","""")&amp;SUBSTITUTE(TEXT(Overig!AN87,""",""???0;"",""??-0;"",""???0;"", ///"""),"'","""")&amp;SUBSTITUTE(TEXT(Overig!AO87,""",""?00;"",""?-00;"",""?00;"", //"""),"'","""")</f>
        <v>78989, 19130327, 0800, ////, 07, /////, 07, ////, 07, /////, 07, ////, 07, ////, 07, ////, 07, ////, 07, ///, 07, ///, 07, ////, 07, ////, 07, ///, 07, ////, 07, ////, 07, ///, 07, //, 07, ////////////, 07, ///, 07</v>
      </c>
    </row>
    <row r="88" spans="1:1" x14ac:dyDescent="0.25">
      <c r="A88" s="75" t="str">
        <f ca="1">TEXT(Overig!A88,"000\,")&amp;TEXT(Overig!B88,"?00000000")&amp;TEXT(Overig!C88,""", ""0000")&amp;SUBSTITUTE(TEXT(IF(ISTEXT(Overig!D88),Overig!D88,10*Overig!D88),""",""????0;"",""???-0;"",""????0;"", ////"""),"'","""")&amp;SUBSTITUTE(TEXT(Overig!E88,""",""?00;"",""?-00;"",""?00;"", //"""),"'","""")&amp;SUBSTITUTE(TEXT(IF(ISTEXT(Overig!F88),Overig!F88,100*Overig!F88),""",""?????0;"",""????-0;"",""?????0;"", /////"""),"'","""")&amp;SUBSTITUTE(TEXT(Overig!G88,""",""?00;"",""?-00;"",""?00;"", //"""),"'","""")&amp;SUBSTITUTE(TEXT(IF(ISTEXT(Overig!H88),Overig!H88,100*Overig!H88),""",""????0;"",""???-0;"",""????0;"", ////"""),"'","""")&amp;SUBSTITUTE(TEXT(Overig!I88,""",""?00;"",""?-00;"",""?00;"", //"""),"'","""")&amp;SUBSTITUTE(TEXT(IF(ISTEXT(Overig!J88),Overig!J88,100*Overig!J88),""",""?????0;"",""????-0;"",""?????0;"", /////"""),"'","""")&amp;SUBSTITUTE(TEXT(Overig!K88,""",""?00;"",""?-00;"",""?00;"", //"""),"'","""")&amp;SUBSTITUTE(TEXT(IF(ISTEXT(Overig!L88),Overig!L88,10*Overig!L88),""",""????0;"",""???-0;"",""????0;"", ////"""),"'","""")&amp;SUBSTITUTE(TEXT(Overig!M88,""",""?00;"",""?-00;"",""?00;"", //"""),"'","""")&amp;SUBSTITUTE(TEXT(IF(ISTEXT(Overig!N88),Overig!N88,10*Overig!N88),""",""????0;"",""???-0;"",""????0;"", ////"""),"'","""")&amp;SUBSTITUTE(TEXT(Overig!O88,""",""?00;"",""?-00;"",""?00;"", //"""),"'","""")&amp;SUBSTITUTE(TEXT(IF(ISTEXT(Overig!P88),Overig!P88,10*Overig!P88),""",""????0;"",""???-0;"",""????0;"", ////"""),"'","""")&amp;SUBSTITUTE(TEXT(Overig!Q88,""",""?00;"",""?-00;"",""?00;"", //"""),"'","""")&amp;SUBSTITUTE(TEXT(IF(ISTEXT(Overig!R88),Overig!R88,10*Overig!R88),""",""????0;"",""???-0;"",""????0;"", ////"""),"'","""")&amp;SUBSTITUTE(TEXT(Overig!S88,""",""?00;"",""?-00;"",""?00;"", //"""),"'","""")&amp;SUBSTITUTE(TEXT(Overig!T88,""",""???0;"",""??-0;"",""???0;"", ///"""),"'","""")&amp;SUBSTITUTE(TEXT(Overig!U88,""",""?00;"",""?-00;"",""?00;"", //"""),"'","""")&amp;SUBSTITUTE(TEXT(IF(ISTEXT(Overig!V88),Overig!V88,10*Overig!V88),""",""???0;"",""??-0;"",""???0;"", ///"""),"'","""")&amp;SUBSTITUTE(TEXT(Overig!W88,""",""?00;"",""?-00;"",""?00;"", //"""),"'","""")&amp;SUBSTITUTE(TEXT(IF(ISTEXT(Overig!X88),Overig!X88,10*Overig!X88),""",""????0;"",""???-0;"",""????0;"", ////"""),"'","""")&amp;SUBSTITUTE(TEXT(Overig!Y88,""",""?00;"",""?-00;"",""?00;"", //"""),"'","""")&amp;SUBSTITUTE(TEXT(IF(ISTEXT(Overig!Z88),Overig!Z88,10*Overig!Z88),""",""????0;"",""???-0;"",""????0;"", ////"""),"'","""")&amp;SUBSTITUTE(TEXT(Overig!AA88,""",""?00;"",""?-00;"",""?00;"", //"""),"'","""")&amp;SUBSTITUTE(TEXT(Overig!AB88,""",""???0;"",""??-0;"",""???0;"", ///"""),"'","""")&amp;SUBSTITUTE(TEXT(Overig!AC88,""",""?00;"",""?-00;"",""?00;"", //"""),"'","""")&amp;SUBSTITUTE(TEXT(IF(ISTEXT(Overig!AD88),Overig!AD88,10*Overig!AD88),""",""????0;"",""???-0;"",""????0;"", ////"""),"'","""")&amp;SUBSTITUTE(TEXT(Overig!AE88,""",""?00;"",""?-00;"",""?00;"", //"""),"'","""")&amp;SUBSTITUTE(TEXT(IF(ISTEXT(Overig!AF88),Overig!AF88,10*Overig!AF88),""",""????0;"",""???-0;"",""????0;"", ////"""),"'","""")&amp;SUBSTITUTE(TEXT(Overig!AG88,""",""?00;"",""?-00;"",""?00;"", //"""),"'","""")&amp;SUBSTITUTE(TEXT(Overig!AH88,""",""???0;"",""??-0;"",""???0;"", ///"""),"'","""")&amp;SUBSTITUTE(TEXT(Overig!AI88,""",""?00;"",""?-00;"",""?00;"", //"""),"'","""")&amp;SUBSTITUTE(TEXT(Overig!AJ88,""",""??0;"",""?-0;"",""??0;"", //"""),"'","""")&amp;SUBSTITUTE(TEXT(Overig!AK88,""",""?00;"",""?-00;"",""?00;"", //"""),"'","""")&amp;SUBSTITUTE(IF(EXACT(Overig!AL88,"—"),TEXT(Overig!AL88,""",""????0;"",""???-0;"",""????0;"", ////////////,"""),TEXT(Overig!AL88,"\, \'@""',""")&amp;REPT(" ",10-LEN(Overig!AL88))),"'","""")&amp;SUBSTITUTE(TEXT(Overig!AM88,"?00;?-00;?00;"" //"""),"'","""")&amp;SUBSTITUTE(TEXT(Overig!AN88,""",""???0;"",""??-0;"",""???0;"", ///"""),"'","""")&amp;SUBSTITUTE(TEXT(Overig!AO88,""",""?00;"",""?-00;"",""?00;"", //"""),"'","""")</f>
        <v>78989, 19130328, 0800, ////, 07, /////, 07, ////, 07, /////, 07, ////, 07, ////, 07, ////, 07, ////, 07, ///, 07, ///, 07, ////, 07, ////, 07, ///, 07, ////, 07, ////, 07, ///, 07, //, 07, ////////////, 07, ///, 07</v>
      </c>
    </row>
    <row r="89" spans="1:1" x14ac:dyDescent="0.25">
      <c r="A89" s="75" t="str">
        <f ca="1">TEXT(Overig!A89,"000\,")&amp;TEXT(Overig!B89,"?00000000")&amp;TEXT(Overig!C89,""", ""0000")&amp;SUBSTITUTE(TEXT(IF(ISTEXT(Overig!D89),Overig!D89,10*Overig!D89),""",""????0;"",""???-0;"",""????0;"", ////"""),"'","""")&amp;SUBSTITUTE(TEXT(Overig!E89,""",""?00;"",""?-00;"",""?00;"", //"""),"'","""")&amp;SUBSTITUTE(TEXT(IF(ISTEXT(Overig!F89),Overig!F89,100*Overig!F89),""",""?????0;"",""????-0;"",""?????0;"", /////"""),"'","""")&amp;SUBSTITUTE(TEXT(Overig!G89,""",""?00;"",""?-00;"",""?00;"", //"""),"'","""")&amp;SUBSTITUTE(TEXT(IF(ISTEXT(Overig!H89),Overig!H89,100*Overig!H89),""",""????0;"",""???-0;"",""????0;"", ////"""),"'","""")&amp;SUBSTITUTE(TEXT(Overig!I89,""",""?00;"",""?-00;"",""?00;"", //"""),"'","""")&amp;SUBSTITUTE(TEXT(IF(ISTEXT(Overig!J89),Overig!J89,100*Overig!J89),""",""?????0;"",""????-0;"",""?????0;"", /////"""),"'","""")&amp;SUBSTITUTE(TEXT(Overig!K89,""",""?00;"",""?-00;"",""?00;"", //"""),"'","""")&amp;SUBSTITUTE(TEXT(IF(ISTEXT(Overig!L89),Overig!L89,10*Overig!L89),""",""????0;"",""???-0;"",""????0;"", ////"""),"'","""")&amp;SUBSTITUTE(TEXT(Overig!M89,""",""?00;"",""?-00;"",""?00;"", //"""),"'","""")&amp;SUBSTITUTE(TEXT(IF(ISTEXT(Overig!N89),Overig!N89,10*Overig!N89),""",""????0;"",""???-0;"",""????0;"", ////"""),"'","""")&amp;SUBSTITUTE(TEXT(Overig!O89,""",""?00;"",""?-00;"",""?00;"", //"""),"'","""")&amp;SUBSTITUTE(TEXT(IF(ISTEXT(Overig!P89),Overig!P89,10*Overig!P89),""",""????0;"",""???-0;"",""????0;"", ////"""),"'","""")&amp;SUBSTITUTE(TEXT(Overig!Q89,""",""?00;"",""?-00;"",""?00;"", //"""),"'","""")&amp;SUBSTITUTE(TEXT(IF(ISTEXT(Overig!R89),Overig!R89,10*Overig!R89),""",""????0;"",""???-0;"",""????0;"", ////"""),"'","""")&amp;SUBSTITUTE(TEXT(Overig!S89,""",""?00;"",""?-00;"",""?00;"", //"""),"'","""")&amp;SUBSTITUTE(TEXT(Overig!T89,""",""???0;"",""??-0;"",""???0;"", ///"""),"'","""")&amp;SUBSTITUTE(TEXT(Overig!U89,""",""?00;"",""?-00;"",""?00;"", //"""),"'","""")&amp;SUBSTITUTE(TEXT(IF(ISTEXT(Overig!V89),Overig!V89,10*Overig!V89),""",""???0;"",""??-0;"",""???0;"", ///"""),"'","""")&amp;SUBSTITUTE(TEXT(Overig!W89,""",""?00;"",""?-00;"",""?00;"", //"""),"'","""")&amp;SUBSTITUTE(TEXT(IF(ISTEXT(Overig!X89),Overig!X89,10*Overig!X89),""",""????0;"",""???-0;"",""????0;"", ////"""),"'","""")&amp;SUBSTITUTE(TEXT(Overig!Y89,""",""?00;"",""?-00;"",""?00;"", //"""),"'","""")&amp;SUBSTITUTE(TEXT(IF(ISTEXT(Overig!Z89),Overig!Z89,10*Overig!Z89),""",""????0;"",""???-0;"",""????0;"", ////"""),"'","""")&amp;SUBSTITUTE(TEXT(Overig!AA89,""",""?00;"",""?-00;"",""?00;"", //"""),"'","""")&amp;SUBSTITUTE(TEXT(Overig!AB89,""",""???0;"",""??-0;"",""???0;"", ///"""),"'","""")&amp;SUBSTITUTE(TEXT(Overig!AC89,""",""?00;"",""?-00;"",""?00;"", //"""),"'","""")&amp;SUBSTITUTE(TEXT(IF(ISTEXT(Overig!AD89),Overig!AD89,10*Overig!AD89),""",""????0;"",""???-0;"",""????0;"", ////"""),"'","""")&amp;SUBSTITUTE(TEXT(Overig!AE89,""",""?00;"",""?-00;"",""?00;"", //"""),"'","""")&amp;SUBSTITUTE(TEXT(IF(ISTEXT(Overig!AF89),Overig!AF89,10*Overig!AF89),""",""????0;"",""???-0;"",""????0;"", ////"""),"'","""")&amp;SUBSTITUTE(TEXT(Overig!AG89,""",""?00;"",""?-00;"",""?00;"", //"""),"'","""")&amp;SUBSTITUTE(TEXT(Overig!AH89,""",""???0;"",""??-0;"",""???0;"", ///"""),"'","""")&amp;SUBSTITUTE(TEXT(Overig!AI89,""",""?00;"",""?-00;"",""?00;"", //"""),"'","""")&amp;SUBSTITUTE(TEXT(Overig!AJ89,""",""??0;"",""?-0;"",""??0;"", //"""),"'","""")&amp;SUBSTITUTE(TEXT(Overig!AK89,""",""?00;"",""?-00;"",""?00;"", //"""),"'","""")&amp;SUBSTITUTE(IF(EXACT(Overig!AL89,"—"),TEXT(Overig!AL89,""",""????0;"",""???-0;"",""????0;"", ////////////,"""),TEXT(Overig!AL89,"\, \'@""',""")&amp;REPT(" ",10-LEN(Overig!AL89))),"'","""")&amp;SUBSTITUTE(TEXT(Overig!AM89,"?00;?-00;?00;"" //"""),"'","""")&amp;SUBSTITUTE(TEXT(Overig!AN89,""",""???0;"",""??-0;"",""???0;"", ///"""),"'","""")&amp;SUBSTITUTE(TEXT(Overig!AO89,""",""?00;"",""?-00;"",""?00;"", //"""),"'","""")</f>
        <v>78989, 19130329, 0800, ////, 07, /////, 07, ////, 07, /////, 07, ////, 07, ////, 07, ////, 07, ////, 07, ///, 07, ///, 07, ////, 07, ////, 07, ///, 07, ////, 07, ////, 07, ///, 07, //, 07, ////////////, 07, ///, 07</v>
      </c>
    </row>
    <row r="90" spans="1:1" x14ac:dyDescent="0.25">
      <c r="A90" s="75" t="str">
        <f ca="1">TEXT(Overig!A90,"000\,")&amp;TEXT(Overig!B90,"?00000000")&amp;TEXT(Overig!C90,""", ""0000")&amp;SUBSTITUTE(TEXT(IF(ISTEXT(Overig!D90),Overig!D90,10*Overig!D90),""",""????0;"",""???-0;"",""????0;"", ////"""),"'","""")&amp;SUBSTITUTE(TEXT(Overig!E90,""",""?00;"",""?-00;"",""?00;"", //"""),"'","""")&amp;SUBSTITUTE(TEXT(IF(ISTEXT(Overig!F90),Overig!F90,100*Overig!F90),""",""?????0;"",""????-0;"",""?????0;"", /////"""),"'","""")&amp;SUBSTITUTE(TEXT(Overig!G90,""",""?00;"",""?-00;"",""?00;"", //"""),"'","""")&amp;SUBSTITUTE(TEXT(IF(ISTEXT(Overig!H90),Overig!H90,100*Overig!H90),""",""????0;"",""???-0;"",""????0;"", ////"""),"'","""")&amp;SUBSTITUTE(TEXT(Overig!I90,""",""?00;"",""?-00;"",""?00;"", //"""),"'","""")&amp;SUBSTITUTE(TEXT(IF(ISTEXT(Overig!J90),Overig!J90,100*Overig!J90),""",""?????0;"",""????-0;"",""?????0;"", /////"""),"'","""")&amp;SUBSTITUTE(TEXT(Overig!K90,""",""?00;"",""?-00;"",""?00;"", //"""),"'","""")&amp;SUBSTITUTE(TEXT(IF(ISTEXT(Overig!L90),Overig!L90,10*Overig!L90),""",""????0;"",""???-0;"",""????0;"", ////"""),"'","""")&amp;SUBSTITUTE(TEXT(Overig!M90,""",""?00;"",""?-00;"",""?00;"", //"""),"'","""")&amp;SUBSTITUTE(TEXT(IF(ISTEXT(Overig!N90),Overig!N90,10*Overig!N90),""",""????0;"",""???-0;"",""????0;"", ////"""),"'","""")&amp;SUBSTITUTE(TEXT(Overig!O90,""",""?00;"",""?-00;"",""?00;"", //"""),"'","""")&amp;SUBSTITUTE(TEXT(IF(ISTEXT(Overig!P90),Overig!P90,10*Overig!P90),""",""????0;"",""???-0;"",""????0;"", ////"""),"'","""")&amp;SUBSTITUTE(TEXT(Overig!Q90,""",""?00;"",""?-00;"",""?00;"", //"""),"'","""")&amp;SUBSTITUTE(TEXT(IF(ISTEXT(Overig!R90),Overig!R90,10*Overig!R90),""",""????0;"",""???-0;"",""????0;"", ////"""),"'","""")&amp;SUBSTITUTE(TEXT(Overig!S90,""",""?00;"",""?-00;"",""?00;"", //"""),"'","""")&amp;SUBSTITUTE(TEXT(Overig!T90,""",""???0;"",""??-0;"",""???0;"", ///"""),"'","""")&amp;SUBSTITUTE(TEXT(Overig!U90,""",""?00;"",""?-00;"",""?00;"", //"""),"'","""")&amp;SUBSTITUTE(TEXT(IF(ISTEXT(Overig!V90),Overig!V90,10*Overig!V90),""",""???0;"",""??-0;"",""???0;"", ///"""),"'","""")&amp;SUBSTITUTE(TEXT(Overig!W90,""",""?00;"",""?-00;"",""?00;"", //"""),"'","""")&amp;SUBSTITUTE(TEXT(IF(ISTEXT(Overig!X90),Overig!X90,10*Overig!X90),""",""????0;"",""???-0;"",""????0;"", ////"""),"'","""")&amp;SUBSTITUTE(TEXT(Overig!Y90,""",""?00;"",""?-00;"",""?00;"", //"""),"'","""")&amp;SUBSTITUTE(TEXT(IF(ISTEXT(Overig!Z90),Overig!Z90,10*Overig!Z90),""",""????0;"",""???-0;"",""????0;"", ////"""),"'","""")&amp;SUBSTITUTE(TEXT(Overig!AA90,""",""?00;"",""?-00;"",""?00;"", //"""),"'","""")&amp;SUBSTITUTE(TEXT(Overig!AB90,""",""???0;"",""??-0;"",""???0;"", ///"""),"'","""")&amp;SUBSTITUTE(TEXT(Overig!AC90,""",""?00;"",""?-00;"",""?00;"", //"""),"'","""")&amp;SUBSTITUTE(TEXT(IF(ISTEXT(Overig!AD90),Overig!AD90,10*Overig!AD90),""",""????0;"",""???-0;"",""????0;"", ////"""),"'","""")&amp;SUBSTITUTE(TEXT(Overig!AE90,""",""?00;"",""?-00;"",""?00;"", //"""),"'","""")&amp;SUBSTITUTE(TEXT(IF(ISTEXT(Overig!AF90),Overig!AF90,10*Overig!AF90),""",""????0;"",""???-0;"",""????0;"", ////"""),"'","""")&amp;SUBSTITUTE(TEXT(Overig!AG90,""",""?00;"",""?-00;"",""?00;"", //"""),"'","""")&amp;SUBSTITUTE(TEXT(Overig!AH90,""",""???0;"",""??-0;"",""???0;"", ///"""),"'","""")&amp;SUBSTITUTE(TEXT(Overig!AI90,""",""?00;"",""?-00;"",""?00;"", //"""),"'","""")&amp;SUBSTITUTE(TEXT(Overig!AJ90,""",""??0;"",""?-0;"",""??0;"", //"""),"'","""")&amp;SUBSTITUTE(TEXT(Overig!AK90,""",""?00;"",""?-00;"",""?00;"", //"""),"'","""")&amp;SUBSTITUTE(IF(EXACT(Overig!AL90,"—"),TEXT(Overig!AL90,""",""????0;"",""???-0;"",""????0;"", ////////////,"""),TEXT(Overig!AL90,"\, \'@""',""")&amp;REPT(" ",10-LEN(Overig!AL90))),"'","""")&amp;SUBSTITUTE(TEXT(Overig!AM90,"?00;?-00;?00;"" //"""),"'","""")&amp;SUBSTITUTE(TEXT(Overig!AN90,""",""???0;"",""??-0;"",""???0;"", ///"""),"'","""")&amp;SUBSTITUTE(TEXT(Overig!AO90,""",""?00;"",""?-00;"",""?00;"", //"""),"'","""")</f>
        <v>78989, 19130330, 0800, ////, 07, /////, 07, ////, 07, /////, 07, ////, 07, ////, 07, ////, 07, ////, 07, ///, 07, ///, 07, ////, 07, ////, 07, ///, 07, ////, 07, ////, 07, ///, 07, //, 07, ////////////, 07, ///, 07</v>
      </c>
    </row>
    <row r="91" spans="1:1" x14ac:dyDescent="0.25">
      <c r="A91" s="75" t="str">
        <f ca="1">TEXT(Overig!A91,"000\,")&amp;TEXT(Overig!B91,"?00000000")&amp;TEXT(Overig!C91,""", ""0000")&amp;SUBSTITUTE(TEXT(IF(ISTEXT(Overig!D91),Overig!D91,10*Overig!D91),""",""????0;"",""???-0;"",""????0;"", ////"""),"'","""")&amp;SUBSTITUTE(TEXT(Overig!E91,""",""?00;"",""?-00;"",""?00;"", //"""),"'","""")&amp;SUBSTITUTE(TEXT(IF(ISTEXT(Overig!F91),Overig!F91,100*Overig!F91),""",""?????0;"",""????-0;"",""?????0;"", /////"""),"'","""")&amp;SUBSTITUTE(TEXT(Overig!G91,""",""?00;"",""?-00;"",""?00;"", //"""),"'","""")&amp;SUBSTITUTE(TEXT(IF(ISTEXT(Overig!H91),Overig!H91,100*Overig!H91),""",""????0;"",""???-0;"",""????0;"", ////"""),"'","""")&amp;SUBSTITUTE(TEXT(Overig!I91,""",""?00;"",""?-00;"",""?00;"", //"""),"'","""")&amp;SUBSTITUTE(TEXT(IF(ISTEXT(Overig!J91),Overig!J91,100*Overig!J91),""",""?????0;"",""????-0;"",""?????0;"", /////"""),"'","""")&amp;SUBSTITUTE(TEXT(Overig!K91,""",""?00;"",""?-00;"",""?00;"", //"""),"'","""")&amp;SUBSTITUTE(TEXT(IF(ISTEXT(Overig!L91),Overig!L91,10*Overig!L91),""",""????0;"",""???-0;"",""????0;"", ////"""),"'","""")&amp;SUBSTITUTE(TEXT(Overig!M91,""",""?00;"",""?-00;"",""?00;"", //"""),"'","""")&amp;SUBSTITUTE(TEXT(IF(ISTEXT(Overig!N91),Overig!N91,10*Overig!N91),""",""????0;"",""???-0;"",""????0;"", ////"""),"'","""")&amp;SUBSTITUTE(TEXT(Overig!O91,""",""?00;"",""?-00;"",""?00;"", //"""),"'","""")&amp;SUBSTITUTE(TEXT(IF(ISTEXT(Overig!P91),Overig!P91,10*Overig!P91),""",""????0;"",""???-0;"",""????0;"", ////"""),"'","""")&amp;SUBSTITUTE(TEXT(Overig!Q91,""",""?00;"",""?-00;"",""?00;"", //"""),"'","""")&amp;SUBSTITUTE(TEXT(IF(ISTEXT(Overig!R91),Overig!R91,10*Overig!R91),""",""????0;"",""???-0;"",""????0;"", ////"""),"'","""")&amp;SUBSTITUTE(TEXT(Overig!S91,""",""?00;"",""?-00;"",""?00;"", //"""),"'","""")&amp;SUBSTITUTE(TEXT(Overig!T91,""",""???0;"",""??-0;"",""???0;"", ///"""),"'","""")&amp;SUBSTITUTE(TEXT(Overig!U91,""",""?00;"",""?-00;"",""?00;"", //"""),"'","""")&amp;SUBSTITUTE(TEXT(IF(ISTEXT(Overig!V91),Overig!V91,10*Overig!V91),""",""???0;"",""??-0;"",""???0;"", ///"""),"'","""")&amp;SUBSTITUTE(TEXT(Overig!W91,""",""?00;"",""?-00;"",""?00;"", //"""),"'","""")&amp;SUBSTITUTE(TEXT(IF(ISTEXT(Overig!X91),Overig!X91,10*Overig!X91),""",""????0;"",""???-0;"",""????0;"", ////"""),"'","""")&amp;SUBSTITUTE(TEXT(Overig!Y91,""",""?00;"",""?-00;"",""?00;"", //"""),"'","""")&amp;SUBSTITUTE(TEXT(IF(ISTEXT(Overig!Z91),Overig!Z91,10*Overig!Z91),""",""????0;"",""???-0;"",""????0;"", ////"""),"'","""")&amp;SUBSTITUTE(TEXT(Overig!AA91,""",""?00;"",""?-00;"",""?00;"", //"""),"'","""")&amp;SUBSTITUTE(TEXT(Overig!AB91,""",""???0;"",""??-0;"",""???0;"", ///"""),"'","""")&amp;SUBSTITUTE(TEXT(Overig!AC91,""",""?00;"",""?-00;"",""?00;"", //"""),"'","""")&amp;SUBSTITUTE(TEXT(IF(ISTEXT(Overig!AD91),Overig!AD91,10*Overig!AD91),""",""????0;"",""???-0;"",""????0;"", ////"""),"'","""")&amp;SUBSTITUTE(TEXT(Overig!AE91,""",""?00;"",""?-00;"",""?00;"", //"""),"'","""")&amp;SUBSTITUTE(TEXT(IF(ISTEXT(Overig!AF91),Overig!AF91,10*Overig!AF91),""",""????0;"",""???-0;"",""????0;"", ////"""),"'","""")&amp;SUBSTITUTE(TEXT(Overig!AG91,""",""?00;"",""?-00;"",""?00;"", //"""),"'","""")&amp;SUBSTITUTE(TEXT(Overig!AH91,""",""???0;"",""??-0;"",""???0;"", ///"""),"'","""")&amp;SUBSTITUTE(TEXT(Overig!AI91,""",""?00;"",""?-00;"",""?00;"", //"""),"'","""")&amp;SUBSTITUTE(TEXT(Overig!AJ91,""",""??0;"",""?-0;"",""??0;"", //"""),"'","""")&amp;SUBSTITUTE(TEXT(Overig!AK91,""",""?00;"",""?-00;"",""?00;"", //"""),"'","""")&amp;SUBSTITUTE(IF(EXACT(Overig!AL91,"—"),TEXT(Overig!AL91,""",""????0;"",""???-0;"",""????0;"", ////////////,"""),TEXT(Overig!AL91,"\, \'@""',""")&amp;REPT(" ",10-LEN(Overig!AL91))),"'","""")&amp;SUBSTITUTE(TEXT(Overig!AM91,"?00;?-00;?00;"" //"""),"'","""")&amp;SUBSTITUTE(TEXT(Overig!AN91,""",""???0;"",""??-0;"",""???0;"", ///"""),"'","""")&amp;SUBSTITUTE(TEXT(Overig!AO91,""",""?00;"",""?-00;"",""?00;"", //"""),"'","""")</f>
        <v>78989, 19130331, 0800, ////, 07, /////, 07, ////, 07, /////, 07, ////, 07, ////, 07, ////, 07, ////, 07, ///, 07, ///, 07, ////, 07, ////, 07, ///, 07, ////, 07, ////, 07, ///, 07, //, 07, ////////////, 07, ///, 07</v>
      </c>
    </row>
    <row r="92" spans="1:1" x14ac:dyDescent="0.25">
      <c r="A92" s="75" t="str">
        <f ca="1">TEXT(Overig!A92,"000\,")&amp;TEXT(Overig!B92,"?00000000")&amp;TEXT(Overig!C92,""", ""0000")&amp;SUBSTITUTE(TEXT(IF(ISTEXT(Overig!D92),Overig!D92,10*Overig!D92),""",""????0;"",""???-0;"",""????0;"", ////"""),"'","""")&amp;SUBSTITUTE(TEXT(Overig!E92,""",""?00;"",""?-00;"",""?00;"", //"""),"'","""")&amp;SUBSTITUTE(TEXT(IF(ISTEXT(Overig!F92),Overig!F92,100*Overig!F92),""",""?????0;"",""????-0;"",""?????0;"", /////"""),"'","""")&amp;SUBSTITUTE(TEXT(Overig!G92,""",""?00;"",""?-00;"",""?00;"", //"""),"'","""")&amp;SUBSTITUTE(TEXT(IF(ISTEXT(Overig!H92),Overig!H92,100*Overig!H92),""",""????0;"",""???-0;"",""????0;"", ////"""),"'","""")&amp;SUBSTITUTE(TEXT(Overig!I92,""",""?00;"",""?-00;"",""?00;"", //"""),"'","""")&amp;SUBSTITUTE(TEXT(IF(ISTEXT(Overig!J92),Overig!J92,100*Overig!J92),""",""?????0;"",""????-0;"",""?????0;"", /////"""),"'","""")&amp;SUBSTITUTE(TEXT(Overig!K92,""",""?00;"",""?-00;"",""?00;"", //"""),"'","""")&amp;SUBSTITUTE(TEXT(IF(ISTEXT(Overig!L92),Overig!L92,10*Overig!L92),""",""????0;"",""???-0;"",""????0;"", ////"""),"'","""")&amp;SUBSTITUTE(TEXT(Overig!M92,""",""?00;"",""?-00;"",""?00;"", //"""),"'","""")&amp;SUBSTITUTE(TEXT(IF(ISTEXT(Overig!N92),Overig!N92,10*Overig!N92),""",""????0;"",""???-0;"",""????0;"", ////"""),"'","""")&amp;SUBSTITUTE(TEXT(Overig!O92,""",""?00;"",""?-00;"",""?00;"", //"""),"'","""")&amp;SUBSTITUTE(TEXT(IF(ISTEXT(Overig!P92),Overig!P92,10*Overig!P92),""",""????0;"",""???-0;"",""????0;"", ////"""),"'","""")&amp;SUBSTITUTE(TEXT(Overig!Q92,""",""?00;"",""?-00;"",""?00;"", //"""),"'","""")&amp;SUBSTITUTE(TEXT(IF(ISTEXT(Overig!R92),Overig!R92,10*Overig!R92),""",""????0;"",""???-0;"",""????0;"", ////"""),"'","""")&amp;SUBSTITUTE(TEXT(Overig!S92,""",""?00;"",""?-00;"",""?00;"", //"""),"'","""")&amp;SUBSTITUTE(TEXT(Overig!T92,""",""???0;"",""??-0;"",""???0;"", ///"""),"'","""")&amp;SUBSTITUTE(TEXT(Overig!U92,""",""?00;"",""?-00;"",""?00;"", //"""),"'","""")&amp;SUBSTITUTE(TEXT(IF(ISTEXT(Overig!V92),Overig!V92,10*Overig!V92),""",""???0;"",""??-0;"",""???0;"", ///"""),"'","""")&amp;SUBSTITUTE(TEXT(Overig!W92,""",""?00;"",""?-00;"",""?00;"", //"""),"'","""")&amp;SUBSTITUTE(TEXT(IF(ISTEXT(Overig!X92),Overig!X92,10*Overig!X92),""",""????0;"",""???-0;"",""????0;"", ////"""),"'","""")&amp;SUBSTITUTE(TEXT(Overig!Y92,""",""?00;"",""?-00;"",""?00;"", //"""),"'","""")&amp;SUBSTITUTE(TEXT(IF(ISTEXT(Overig!Z92),Overig!Z92,10*Overig!Z92),""",""????0;"",""???-0;"",""????0;"", ////"""),"'","""")&amp;SUBSTITUTE(TEXT(Overig!AA92,""",""?00;"",""?-00;"",""?00;"", //"""),"'","""")&amp;SUBSTITUTE(TEXT(Overig!AB92,""",""???0;"",""??-0;"",""???0;"", ///"""),"'","""")&amp;SUBSTITUTE(TEXT(Overig!AC92,""",""?00;"",""?-00;"",""?00;"", //"""),"'","""")&amp;SUBSTITUTE(TEXT(IF(ISTEXT(Overig!AD92),Overig!AD92,10*Overig!AD92),""",""????0;"",""???-0;"",""????0;"", ////"""),"'","""")&amp;SUBSTITUTE(TEXT(Overig!AE92,""",""?00;"",""?-00;"",""?00;"", //"""),"'","""")&amp;SUBSTITUTE(TEXT(IF(ISTEXT(Overig!AF92),Overig!AF92,10*Overig!AF92),""",""????0;"",""???-0;"",""????0;"", ////"""),"'","""")&amp;SUBSTITUTE(TEXT(Overig!AG92,""",""?00;"",""?-00;"",""?00;"", //"""),"'","""")&amp;SUBSTITUTE(TEXT(Overig!AH92,""",""???0;"",""??-0;"",""???0;"", ///"""),"'","""")&amp;SUBSTITUTE(TEXT(Overig!AI92,""",""?00;"",""?-00;"",""?00;"", //"""),"'","""")&amp;SUBSTITUTE(TEXT(Overig!AJ92,""",""??0;"",""?-0;"",""??0;"", //"""),"'","""")&amp;SUBSTITUTE(TEXT(Overig!AK92,""",""?00;"",""?-00;"",""?00;"", //"""),"'","""")&amp;SUBSTITUTE(IF(EXACT(Overig!AL92,"—"),TEXT(Overig!AL92,""",""????0;"",""???-0;"",""????0;"", ////////////,"""),TEXT(Overig!AL92,"\, \'@""',""")&amp;REPT(" ",10-LEN(Overig!AL92))),"'","""")&amp;SUBSTITUTE(TEXT(Overig!AM92,"?00;?-00;?00;"" //"""),"'","""")&amp;SUBSTITUTE(TEXT(Overig!AN92,""",""???0;"",""??-0;"",""???0;"", ///"""),"'","""")&amp;SUBSTITUTE(TEXT(Overig!AO92,""",""?00;"",""?-00;"",""?00;"", //"""),"'","""")</f>
        <v>78989, 19130401, 0800, ////, 07, /////, 07, ////, 07, /////, 07, ////, 07, ////, 07, ////, 07, ////, 07, ///, 07, ///, 07, ////, 07, ////, 07, ///, 07, ////, 07, ////, 07, ///, 07, //, 07, ////////////, 07, ///, 07</v>
      </c>
    </row>
    <row r="93" spans="1:1" x14ac:dyDescent="0.25">
      <c r="A93" s="75" t="str">
        <f ca="1">TEXT(Overig!A93,"000\,")&amp;TEXT(Overig!B93,"?00000000")&amp;TEXT(Overig!C93,""", ""0000")&amp;SUBSTITUTE(TEXT(IF(ISTEXT(Overig!D93),Overig!D93,10*Overig!D93),""",""????0;"",""???-0;"",""????0;"", ////"""),"'","""")&amp;SUBSTITUTE(TEXT(Overig!E93,""",""?00;"",""?-00;"",""?00;"", //"""),"'","""")&amp;SUBSTITUTE(TEXT(IF(ISTEXT(Overig!F93),Overig!F93,100*Overig!F93),""",""?????0;"",""????-0;"",""?????0;"", /////"""),"'","""")&amp;SUBSTITUTE(TEXT(Overig!G93,""",""?00;"",""?-00;"",""?00;"", //"""),"'","""")&amp;SUBSTITUTE(TEXT(IF(ISTEXT(Overig!H93),Overig!H93,100*Overig!H93),""",""????0;"",""???-0;"",""????0;"", ////"""),"'","""")&amp;SUBSTITUTE(TEXT(Overig!I93,""",""?00;"",""?-00;"",""?00;"", //"""),"'","""")&amp;SUBSTITUTE(TEXT(IF(ISTEXT(Overig!J93),Overig!J93,100*Overig!J93),""",""?????0;"",""????-0;"",""?????0;"", /////"""),"'","""")&amp;SUBSTITUTE(TEXT(Overig!K93,""",""?00;"",""?-00;"",""?00;"", //"""),"'","""")&amp;SUBSTITUTE(TEXT(IF(ISTEXT(Overig!L93),Overig!L93,10*Overig!L93),""",""????0;"",""???-0;"",""????0;"", ////"""),"'","""")&amp;SUBSTITUTE(TEXT(Overig!M93,""",""?00;"",""?-00;"",""?00;"", //"""),"'","""")&amp;SUBSTITUTE(TEXT(IF(ISTEXT(Overig!N93),Overig!N93,10*Overig!N93),""",""????0;"",""???-0;"",""????0;"", ////"""),"'","""")&amp;SUBSTITUTE(TEXT(Overig!O93,""",""?00;"",""?-00;"",""?00;"", //"""),"'","""")&amp;SUBSTITUTE(TEXT(IF(ISTEXT(Overig!P93),Overig!P93,10*Overig!P93),""",""????0;"",""???-0;"",""????0;"", ////"""),"'","""")&amp;SUBSTITUTE(TEXT(Overig!Q93,""",""?00;"",""?-00;"",""?00;"", //"""),"'","""")&amp;SUBSTITUTE(TEXT(IF(ISTEXT(Overig!R93),Overig!R93,10*Overig!R93),""",""????0;"",""???-0;"",""????0;"", ////"""),"'","""")&amp;SUBSTITUTE(TEXT(Overig!S93,""",""?00;"",""?-00;"",""?00;"", //"""),"'","""")&amp;SUBSTITUTE(TEXT(Overig!T93,""",""???0;"",""??-0;"",""???0;"", ///"""),"'","""")&amp;SUBSTITUTE(TEXT(Overig!U93,""",""?00;"",""?-00;"",""?00;"", //"""),"'","""")&amp;SUBSTITUTE(TEXT(IF(ISTEXT(Overig!V93),Overig!V93,10*Overig!V93),""",""???0;"",""??-0;"",""???0;"", ///"""),"'","""")&amp;SUBSTITUTE(TEXT(Overig!W93,""",""?00;"",""?-00;"",""?00;"", //"""),"'","""")&amp;SUBSTITUTE(TEXT(IF(ISTEXT(Overig!X93),Overig!X93,10*Overig!X93),""",""????0;"",""???-0;"",""????0;"", ////"""),"'","""")&amp;SUBSTITUTE(TEXT(Overig!Y93,""",""?00;"",""?-00;"",""?00;"", //"""),"'","""")&amp;SUBSTITUTE(TEXT(IF(ISTEXT(Overig!Z93),Overig!Z93,10*Overig!Z93),""",""????0;"",""???-0;"",""????0;"", ////"""),"'","""")&amp;SUBSTITUTE(TEXT(Overig!AA93,""",""?00;"",""?-00;"",""?00;"", //"""),"'","""")&amp;SUBSTITUTE(TEXT(Overig!AB93,""",""???0;"",""??-0;"",""???0;"", ///"""),"'","""")&amp;SUBSTITUTE(TEXT(Overig!AC93,""",""?00;"",""?-00;"",""?00;"", //"""),"'","""")&amp;SUBSTITUTE(TEXT(IF(ISTEXT(Overig!AD93),Overig!AD93,10*Overig!AD93),""",""????0;"",""???-0;"",""????0;"", ////"""),"'","""")&amp;SUBSTITUTE(TEXT(Overig!AE93,""",""?00;"",""?-00;"",""?00;"", //"""),"'","""")&amp;SUBSTITUTE(TEXT(IF(ISTEXT(Overig!AF93),Overig!AF93,10*Overig!AF93),""",""????0;"",""???-0;"",""????0;"", ////"""),"'","""")&amp;SUBSTITUTE(TEXT(Overig!AG93,""",""?00;"",""?-00;"",""?00;"", //"""),"'","""")&amp;SUBSTITUTE(TEXT(Overig!AH93,""",""???0;"",""??-0;"",""???0;"", ///"""),"'","""")&amp;SUBSTITUTE(TEXT(Overig!AI93,""",""?00;"",""?-00;"",""?00;"", //"""),"'","""")&amp;SUBSTITUTE(TEXT(Overig!AJ93,""",""??0;"",""?-0;"",""??0;"", //"""),"'","""")&amp;SUBSTITUTE(TEXT(Overig!AK93,""",""?00;"",""?-00;"",""?00;"", //"""),"'","""")&amp;SUBSTITUTE(IF(EXACT(Overig!AL93,"—"),TEXT(Overig!AL93,""",""????0;"",""???-0;"",""????0;"", ////////////,"""),TEXT(Overig!AL93,"\, \'@""',""")&amp;REPT(" ",10-LEN(Overig!AL93))),"'","""")&amp;SUBSTITUTE(TEXT(Overig!AM93,"?00;?-00;?00;"" //"""),"'","""")&amp;SUBSTITUTE(TEXT(Overig!AN93,""",""???0;"",""??-0;"",""???0;"", ///"""),"'","""")&amp;SUBSTITUTE(TEXT(Overig!AO93,""",""?00;"",""?-00;"",""?00;"", //"""),"'","""")</f>
        <v>78989, 19130402, 0800, ////, 07, /////, 07, ////, 07, /////, 07, ////, 07, ////, 07, ////, 07, ////, 07, ///, 07, ///, 07, ////, 07, ////, 07, ///, 07, ////, 07, ////, 07, ///, 07, //, 07, ////////////, 07, ///, 07</v>
      </c>
    </row>
    <row r="94" spans="1:1" x14ac:dyDescent="0.25">
      <c r="A94" s="75" t="str">
        <f ca="1">TEXT(Overig!A94,"000\,")&amp;TEXT(Overig!B94,"?00000000")&amp;TEXT(Overig!C94,""", ""0000")&amp;SUBSTITUTE(TEXT(IF(ISTEXT(Overig!D94),Overig!D94,10*Overig!D94),""",""????0;"",""???-0;"",""????0;"", ////"""),"'","""")&amp;SUBSTITUTE(TEXT(Overig!E94,""",""?00;"",""?-00;"",""?00;"", //"""),"'","""")&amp;SUBSTITUTE(TEXT(IF(ISTEXT(Overig!F94),Overig!F94,100*Overig!F94),""",""?????0;"",""????-0;"",""?????0;"", /////"""),"'","""")&amp;SUBSTITUTE(TEXT(Overig!G94,""",""?00;"",""?-00;"",""?00;"", //"""),"'","""")&amp;SUBSTITUTE(TEXT(IF(ISTEXT(Overig!H94),Overig!H94,100*Overig!H94),""",""????0;"",""???-0;"",""????0;"", ////"""),"'","""")&amp;SUBSTITUTE(TEXT(Overig!I94,""",""?00;"",""?-00;"",""?00;"", //"""),"'","""")&amp;SUBSTITUTE(TEXT(IF(ISTEXT(Overig!J94),Overig!J94,100*Overig!J94),""",""?????0;"",""????-0;"",""?????0;"", /////"""),"'","""")&amp;SUBSTITUTE(TEXT(Overig!K94,""",""?00;"",""?-00;"",""?00;"", //"""),"'","""")&amp;SUBSTITUTE(TEXT(IF(ISTEXT(Overig!L94),Overig!L94,10*Overig!L94),""",""????0;"",""???-0;"",""????0;"", ////"""),"'","""")&amp;SUBSTITUTE(TEXT(Overig!M94,""",""?00;"",""?-00;"",""?00;"", //"""),"'","""")&amp;SUBSTITUTE(TEXT(IF(ISTEXT(Overig!N94),Overig!N94,10*Overig!N94),""",""????0;"",""???-0;"",""????0;"", ////"""),"'","""")&amp;SUBSTITUTE(TEXT(Overig!O94,""",""?00;"",""?-00;"",""?00;"", //"""),"'","""")&amp;SUBSTITUTE(TEXT(IF(ISTEXT(Overig!P94),Overig!P94,10*Overig!P94),""",""????0;"",""???-0;"",""????0;"", ////"""),"'","""")&amp;SUBSTITUTE(TEXT(Overig!Q94,""",""?00;"",""?-00;"",""?00;"", //"""),"'","""")&amp;SUBSTITUTE(TEXT(IF(ISTEXT(Overig!R94),Overig!R94,10*Overig!R94),""",""????0;"",""???-0;"",""????0;"", ////"""),"'","""")&amp;SUBSTITUTE(TEXT(Overig!S94,""",""?00;"",""?-00;"",""?00;"", //"""),"'","""")&amp;SUBSTITUTE(TEXT(Overig!T94,""",""???0;"",""??-0;"",""???0;"", ///"""),"'","""")&amp;SUBSTITUTE(TEXT(Overig!U94,""",""?00;"",""?-00;"",""?00;"", //"""),"'","""")&amp;SUBSTITUTE(TEXT(IF(ISTEXT(Overig!V94),Overig!V94,10*Overig!V94),""",""???0;"",""??-0;"",""???0;"", ///"""),"'","""")&amp;SUBSTITUTE(TEXT(Overig!W94,""",""?00;"",""?-00;"",""?00;"", //"""),"'","""")&amp;SUBSTITUTE(TEXT(IF(ISTEXT(Overig!X94),Overig!X94,10*Overig!X94),""",""????0;"",""???-0;"",""????0;"", ////"""),"'","""")&amp;SUBSTITUTE(TEXT(Overig!Y94,""",""?00;"",""?-00;"",""?00;"", //"""),"'","""")&amp;SUBSTITUTE(TEXT(IF(ISTEXT(Overig!Z94),Overig!Z94,10*Overig!Z94),""",""????0;"",""???-0;"",""????0;"", ////"""),"'","""")&amp;SUBSTITUTE(TEXT(Overig!AA94,""",""?00;"",""?-00;"",""?00;"", //"""),"'","""")&amp;SUBSTITUTE(TEXT(Overig!AB94,""",""???0;"",""??-0;"",""???0;"", ///"""),"'","""")&amp;SUBSTITUTE(TEXT(Overig!AC94,""",""?00;"",""?-00;"",""?00;"", //"""),"'","""")&amp;SUBSTITUTE(TEXT(IF(ISTEXT(Overig!AD94),Overig!AD94,10*Overig!AD94),""",""????0;"",""???-0;"",""????0;"", ////"""),"'","""")&amp;SUBSTITUTE(TEXT(Overig!AE94,""",""?00;"",""?-00;"",""?00;"", //"""),"'","""")&amp;SUBSTITUTE(TEXT(IF(ISTEXT(Overig!AF94),Overig!AF94,10*Overig!AF94),""",""????0;"",""???-0;"",""????0;"", ////"""),"'","""")&amp;SUBSTITUTE(TEXT(Overig!AG94,""",""?00;"",""?-00;"",""?00;"", //"""),"'","""")&amp;SUBSTITUTE(TEXT(Overig!AH94,""",""???0;"",""??-0;"",""???0;"", ///"""),"'","""")&amp;SUBSTITUTE(TEXT(Overig!AI94,""",""?00;"",""?-00;"",""?00;"", //"""),"'","""")&amp;SUBSTITUTE(TEXT(Overig!AJ94,""",""??0;"",""?-0;"",""??0;"", //"""),"'","""")&amp;SUBSTITUTE(TEXT(Overig!AK94,""",""?00;"",""?-00;"",""?00;"", //"""),"'","""")&amp;SUBSTITUTE(IF(EXACT(Overig!AL94,"—"),TEXT(Overig!AL94,""",""????0;"",""???-0;"",""????0;"", ////////////,"""),TEXT(Overig!AL94,"\, \'@""',""")&amp;REPT(" ",10-LEN(Overig!AL94))),"'","""")&amp;SUBSTITUTE(TEXT(Overig!AM94,"?00;?-00;?00;"" //"""),"'","""")&amp;SUBSTITUTE(TEXT(Overig!AN94,""",""???0;"",""??-0;"",""???0;"", ///"""),"'","""")&amp;SUBSTITUTE(TEXT(Overig!AO94,""",""?00;"",""?-00;"",""?00;"", //"""),"'","""")</f>
        <v>78989, 19130403, 0800, ////, 07, /////, 07, ////, 07, /////, 07, ////, 07, ////, 07, ////, 07, ////, 07, ///, 07, ///, 07, ////, 07, ////, 07, ///, 07, ////, 07, ////, 07, ///, 07, //, 07, ////////////, 07, ///, 07</v>
      </c>
    </row>
    <row r="95" spans="1:1" x14ac:dyDescent="0.25">
      <c r="A95" s="75" t="str">
        <f ca="1">TEXT(Overig!A95,"000\,")&amp;TEXT(Overig!B95,"?00000000")&amp;TEXT(Overig!C95,""", ""0000")&amp;SUBSTITUTE(TEXT(IF(ISTEXT(Overig!D95),Overig!D95,10*Overig!D95),""",""????0;"",""???-0;"",""????0;"", ////"""),"'","""")&amp;SUBSTITUTE(TEXT(Overig!E95,""",""?00;"",""?-00;"",""?00;"", //"""),"'","""")&amp;SUBSTITUTE(TEXT(IF(ISTEXT(Overig!F95),Overig!F95,100*Overig!F95),""",""?????0;"",""????-0;"",""?????0;"", /////"""),"'","""")&amp;SUBSTITUTE(TEXT(Overig!G95,""",""?00;"",""?-00;"",""?00;"", //"""),"'","""")&amp;SUBSTITUTE(TEXT(IF(ISTEXT(Overig!H95),Overig!H95,100*Overig!H95),""",""????0;"",""???-0;"",""????0;"", ////"""),"'","""")&amp;SUBSTITUTE(TEXT(Overig!I95,""",""?00;"",""?-00;"",""?00;"", //"""),"'","""")&amp;SUBSTITUTE(TEXT(IF(ISTEXT(Overig!J95),Overig!J95,100*Overig!J95),""",""?????0;"",""????-0;"",""?????0;"", /////"""),"'","""")&amp;SUBSTITUTE(TEXT(Overig!K95,""",""?00;"",""?-00;"",""?00;"", //"""),"'","""")&amp;SUBSTITUTE(TEXT(IF(ISTEXT(Overig!L95),Overig!L95,10*Overig!L95),""",""????0;"",""???-0;"",""????0;"", ////"""),"'","""")&amp;SUBSTITUTE(TEXT(Overig!M95,""",""?00;"",""?-00;"",""?00;"", //"""),"'","""")&amp;SUBSTITUTE(TEXT(IF(ISTEXT(Overig!N95),Overig!N95,10*Overig!N95),""",""????0;"",""???-0;"",""????0;"", ////"""),"'","""")&amp;SUBSTITUTE(TEXT(Overig!O95,""",""?00;"",""?-00;"",""?00;"", //"""),"'","""")&amp;SUBSTITUTE(TEXT(IF(ISTEXT(Overig!P95),Overig!P95,10*Overig!P95),""",""????0;"",""???-0;"",""????0;"", ////"""),"'","""")&amp;SUBSTITUTE(TEXT(Overig!Q95,""",""?00;"",""?-00;"",""?00;"", //"""),"'","""")&amp;SUBSTITUTE(TEXT(IF(ISTEXT(Overig!R95),Overig!R95,10*Overig!R95),""",""????0;"",""???-0;"",""????0;"", ////"""),"'","""")&amp;SUBSTITUTE(TEXT(Overig!S95,""",""?00;"",""?-00;"",""?00;"", //"""),"'","""")&amp;SUBSTITUTE(TEXT(Overig!T95,""",""???0;"",""??-0;"",""???0;"", ///"""),"'","""")&amp;SUBSTITUTE(TEXT(Overig!U95,""",""?00;"",""?-00;"",""?00;"", //"""),"'","""")&amp;SUBSTITUTE(TEXT(IF(ISTEXT(Overig!V95),Overig!V95,10*Overig!V95),""",""???0;"",""??-0;"",""???0;"", ///"""),"'","""")&amp;SUBSTITUTE(TEXT(Overig!W95,""",""?00;"",""?-00;"",""?00;"", //"""),"'","""")&amp;SUBSTITUTE(TEXT(IF(ISTEXT(Overig!X95),Overig!X95,10*Overig!X95),""",""????0;"",""???-0;"",""????0;"", ////"""),"'","""")&amp;SUBSTITUTE(TEXT(Overig!Y95,""",""?00;"",""?-00;"",""?00;"", //"""),"'","""")&amp;SUBSTITUTE(TEXT(IF(ISTEXT(Overig!Z95),Overig!Z95,10*Overig!Z95),""",""????0;"",""???-0;"",""????0;"", ////"""),"'","""")&amp;SUBSTITUTE(TEXT(Overig!AA95,""",""?00;"",""?-00;"",""?00;"", //"""),"'","""")&amp;SUBSTITUTE(TEXT(Overig!AB95,""",""???0;"",""??-0;"",""???0;"", ///"""),"'","""")&amp;SUBSTITUTE(TEXT(Overig!AC95,""",""?00;"",""?-00;"",""?00;"", //"""),"'","""")&amp;SUBSTITUTE(TEXT(IF(ISTEXT(Overig!AD95),Overig!AD95,10*Overig!AD95),""",""????0;"",""???-0;"",""????0;"", ////"""),"'","""")&amp;SUBSTITUTE(TEXT(Overig!AE95,""",""?00;"",""?-00;"",""?00;"", //"""),"'","""")&amp;SUBSTITUTE(TEXT(IF(ISTEXT(Overig!AF95),Overig!AF95,10*Overig!AF95),""",""????0;"",""???-0;"",""????0;"", ////"""),"'","""")&amp;SUBSTITUTE(TEXT(Overig!AG95,""",""?00;"",""?-00;"",""?00;"", //"""),"'","""")&amp;SUBSTITUTE(TEXT(Overig!AH95,""",""???0;"",""??-0;"",""???0;"", ///"""),"'","""")&amp;SUBSTITUTE(TEXT(Overig!AI95,""",""?00;"",""?-00;"",""?00;"", //"""),"'","""")&amp;SUBSTITUTE(TEXT(Overig!AJ95,""",""??0;"",""?-0;"",""??0;"", //"""),"'","""")&amp;SUBSTITUTE(TEXT(Overig!AK95,""",""?00;"",""?-00;"",""?00;"", //"""),"'","""")&amp;SUBSTITUTE(IF(EXACT(Overig!AL95,"—"),TEXT(Overig!AL95,""",""????0;"",""???-0;"",""????0;"", ////////////,"""),TEXT(Overig!AL95,"\, \'@""',""")&amp;REPT(" ",10-LEN(Overig!AL95))),"'","""")&amp;SUBSTITUTE(TEXT(Overig!AM95,"?00;?-00;?00;"" //"""),"'","""")&amp;SUBSTITUTE(TEXT(Overig!AN95,""",""???0;"",""??-0;"",""???0;"", ///"""),"'","""")&amp;SUBSTITUTE(TEXT(Overig!AO95,""",""?00;"",""?-00;"",""?00;"", //"""),"'","""")</f>
        <v>78989, 19130404, 0800, ////, 07, /////, 07, ////, 07, /////, 07, ////, 07, ////, 07, ////, 07, ////, 07, ///, 07, ///, 07, ////, 07, ////, 07, ///, 07, ////, 07, ////, 07, ///, 07, //, 07, ////////////, 07, ///, 07</v>
      </c>
    </row>
    <row r="96" spans="1:1" x14ac:dyDescent="0.25">
      <c r="A96" s="75" t="str">
        <f ca="1">TEXT(Overig!A96,"000\,")&amp;TEXT(Overig!B96,"?00000000")&amp;TEXT(Overig!C96,""", ""0000")&amp;SUBSTITUTE(TEXT(IF(ISTEXT(Overig!D96),Overig!D96,10*Overig!D96),""",""????0;"",""???-0;"",""????0;"", ////"""),"'","""")&amp;SUBSTITUTE(TEXT(Overig!E96,""",""?00;"",""?-00;"",""?00;"", //"""),"'","""")&amp;SUBSTITUTE(TEXT(IF(ISTEXT(Overig!F96),Overig!F96,100*Overig!F96),""",""?????0;"",""????-0;"",""?????0;"", /////"""),"'","""")&amp;SUBSTITUTE(TEXT(Overig!G96,""",""?00;"",""?-00;"",""?00;"", //"""),"'","""")&amp;SUBSTITUTE(TEXT(IF(ISTEXT(Overig!H96),Overig!H96,100*Overig!H96),""",""????0;"",""???-0;"",""????0;"", ////"""),"'","""")&amp;SUBSTITUTE(TEXT(Overig!I96,""",""?00;"",""?-00;"",""?00;"", //"""),"'","""")&amp;SUBSTITUTE(TEXT(IF(ISTEXT(Overig!J96),Overig!J96,100*Overig!J96),""",""?????0;"",""????-0;"",""?????0;"", /////"""),"'","""")&amp;SUBSTITUTE(TEXT(Overig!K96,""",""?00;"",""?-00;"",""?00;"", //"""),"'","""")&amp;SUBSTITUTE(TEXT(IF(ISTEXT(Overig!L96),Overig!L96,10*Overig!L96),""",""????0;"",""???-0;"",""????0;"", ////"""),"'","""")&amp;SUBSTITUTE(TEXT(Overig!M96,""",""?00;"",""?-00;"",""?00;"", //"""),"'","""")&amp;SUBSTITUTE(TEXT(IF(ISTEXT(Overig!N96),Overig!N96,10*Overig!N96),""",""????0;"",""???-0;"",""????0;"", ////"""),"'","""")&amp;SUBSTITUTE(TEXT(Overig!O96,""",""?00;"",""?-00;"",""?00;"", //"""),"'","""")&amp;SUBSTITUTE(TEXT(IF(ISTEXT(Overig!P96),Overig!P96,10*Overig!P96),""",""????0;"",""???-0;"",""????0;"", ////"""),"'","""")&amp;SUBSTITUTE(TEXT(Overig!Q96,""",""?00;"",""?-00;"",""?00;"", //"""),"'","""")&amp;SUBSTITUTE(TEXT(IF(ISTEXT(Overig!R96),Overig!R96,10*Overig!R96),""",""????0;"",""???-0;"",""????0;"", ////"""),"'","""")&amp;SUBSTITUTE(TEXT(Overig!S96,""",""?00;"",""?-00;"",""?00;"", //"""),"'","""")&amp;SUBSTITUTE(TEXT(Overig!T96,""",""???0;"",""??-0;"",""???0;"", ///"""),"'","""")&amp;SUBSTITUTE(TEXT(Overig!U96,""",""?00;"",""?-00;"",""?00;"", //"""),"'","""")&amp;SUBSTITUTE(TEXT(IF(ISTEXT(Overig!V96),Overig!V96,10*Overig!V96),""",""???0;"",""??-0;"",""???0;"", ///"""),"'","""")&amp;SUBSTITUTE(TEXT(Overig!W96,""",""?00;"",""?-00;"",""?00;"", //"""),"'","""")&amp;SUBSTITUTE(TEXT(IF(ISTEXT(Overig!X96),Overig!X96,10*Overig!X96),""",""????0;"",""???-0;"",""????0;"", ////"""),"'","""")&amp;SUBSTITUTE(TEXT(Overig!Y96,""",""?00;"",""?-00;"",""?00;"", //"""),"'","""")&amp;SUBSTITUTE(TEXT(IF(ISTEXT(Overig!Z96),Overig!Z96,10*Overig!Z96),""",""????0;"",""???-0;"",""????0;"", ////"""),"'","""")&amp;SUBSTITUTE(TEXT(Overig!AA96,""",""?00;"",""?-00;"",""?00;"", //"""),"'","""")&amp;SUBSTITUTE(TEXT(Overig!AB96,""",""???0;"",""??-0;"",""???0;"", ///"""),"'","""")&amp;SUBSTITUTE(TEXT(Overig!AC96,""",""?00;"",""?-00;"",""?00;"", //"""),"'","""")&amp;SUBSTITUTE(TEXT(IF(ISTEXT(Overig!AD96),Overig!AD96,10*Overig!AD96),""",""????0;"",""???-0;"",""????0;"", ////"""),"'","""")&amp;SUBSTITUTE(TEXT(Overig!AE96,""",""?00;"",""?-00;"",""?00;"", //"""),"'","""")&amp;SUBSTITUTE(TEXT(IF(ISTEXT(Overig!AF96),Overig!AF96,10*Overig!AF96),""",""????0;"",""???-0;"",""????0;"", ////"""),"'","""")&amp;SUBSTITUTE(TEXT(Overig!AG96,""",""?00;"",""?-00;"",""?00;"", //"""),"'","""")&amp;SUBSTITUTE(TEXT(Overig!AH96,""",""???0;"",""??-0;"",""???0;"", ///"""),"'","""")&amp;SUBSTITUTE(TEXT(Overig!AI96,""",""?00;"",""?-00;"",""?00;"", //"""),"'","""")&amp;SUBSTITUTE(TEXT(Overig!AJ96,""",""??0;"",""?-0;"",""??0;"", //"""),"'","""")&amp;SUBSTITUTE(TEXT(Overig!AK96,""",""?00;"",""?-00;"",""?00;"", //"""),"'","""")&amp;SUBSTITUTE(IF(EXACT(Overig!AL96,"—"),TEXT(Overig!AL96,""",""????0;"",""???-0;"",""????0;"", ////////////,"""),TEXT(Overig!AL96,"\, \'@""',""")&amp;REPT(" ",10-LEN(Overig!AL96))),"'","""")&amp;SUBSTITUTE(TEXT(Overig!AM96,"?00;?-00;?00;"" //"""),"'","""")&amp;SUBSTITUTE(TEXT(Overig!AN96,""",""???0;"",""??-0;"",""???0;"", ///"""),"'","""")&amp;SUBSTITUTE(TEXT(Overig!AO96,""",""?00;"",""?-00;"",""?00;"", //"""),"'","""")</f>
        <v>78989, 19130405, 0800, ////, 07, /////, 07, ////, 07, /////, 07, ////, 07, ////, 07, ////, 07, ////, 07, ///, 07, ///, 07, ////, 07, ////, 07, ///, 07, ////, 07, ////, 07, ///, 07, //, 07, ////////////, 07, ///, 07</v>
      </c>
    </row>
    <row r="97" spans="1:1" x14ac:dyDescent="0.25">
      <c r="A97" s="75" t="str">
        <f ca="1">TEXT(Overig!A97,"000\,")&amp;TEXT(Overig!B97,"?00000000")&amp;TEXT(Overig!C97,""", ""0000")&amp;SUBSTITUTE(TEXT(IF(ISTEXT(Overig!D97),Overig!D97,10*Overig!D97),""",""????0;"",""???-0;"",""????0;"", ////"""),"'","""")&amp;SUBSTITUTE(TEXT(Overig!E97,""",""?00;"",""?-00;"",""?00;"", //"""),"'","""")&amp;SUBSTITUTE(TEXT(IF(ISTEXT(Overig!F97),Overig!F97,100*Overig!F97),""",""?????0;"",""????-0;"",""?????0;"", /////"""),"'","""")&amp;SUBSTITUTE(TEXT(Overig!G97,""",""?00;"",""?-00;"",""?00;"", //"""),"'","""")&amp;SUBSTITUTE(TEXT(IF(ISTEXT(Overig!H97),Overig!H97,100*Overig!H97),""",""????0;"",""???-0;"",""????0;"", ////"""),"'","""")&amp;SUBSTITUTE(TEXT(Overig!I97,""",""?00;"",""?-00;"",""?00;"", //"""),"'","""")&amp;SUBSTITUTE(TEXT(IF(ISTEXT(Overig!J97),Overig!J97,100*Overig!J97),""",""?????0;"",""????-0;"",""?????0;"", /////"""),"'","""")&amp;SUBSTITUTE(TEXT(Overig!K97,""",""?00;"",""?-00;"",""?00;"", //"""),"'","""")&amp;SUBSTITUTE(TEXT(IF(ISTEXT(Overig!L97),Overig!L97,10*Overig!L97),""",""????0;"",""???-0;"",""????0;"", ////"""),"'","""")&amp;SUBSTITUTE(TEXT(Overig!M97,""",""?00;"",""?-00;"",""?00;"", //"""),"'","""")&amp;SUBSTITUTE(TEXT(IF(ISTEXT(Overig!N97),Overig!N97,10*Overig!N97),""",""????0;"",""???-0;"",""????0;"", ////"""),"'","""")&amp;SUBSTITUTE(TEXT(Overig!O97,""",""?00;"",""?-00;"",""?00;"", //"""),"'","""")&amp;SUBSTITUTE(TEXT(IF(ISTEXT(Overig!P97),Overig!P97,10*Overig!P97),""",""????0;"",""???-0;"",""????0;"", ////"""),"'","""")&amp;SUBSTITUTE(TEXT(Overig!Q97,""",""?00;"",""?-00;"",""?00;"", //"""),"'","""")&amp;SUBSTITUTE(TEXT(IF(ISTEXT(Overig!R97),Overig!R97,10*Overig!R97),""",""????0;"",""???-0;"",""????0;"", ////"""),"'","""")&amp;SUBSTITUTE(TEXT(Overig!S97,""",""?00;"",""?-00;"",""?00;"", //"""),"'","""")&amp;SUBSTITUTE(TEXT(Overig!T97,""",""???0;"",""??-0;"",""???0;"", ///"""),"'","""")&amp;SUBSTITUTE(TEXT(Overig!U97,""",""?00;"",""?-00;"",""?00;"", //"""),"'","""")&amp;SUBSTITUTE(TEXT(IF(ISTEXT(Overig!V97),Overig!V97,10*Overig!V97),""",""???0;"",""??-0;"",""???0;"", ///"""),"'","""")&amp;SUBSTITUTE(TEXT(Overig!W97,""",""?00;"",""?-00;"",""?00;"", //"""),"'","""")&amp;SUBSTITUTE(TEXT(IF(ISTEXT(Overig!X97),Overig!X97,10*Overig!X97),""",""????0;"",""???-0;"",""????0;"", ////"""),"'","""")&amp;SUBSTITUTE(TEXT(Overig!Y97,""",""?00;"",""?-00;"",""?00;"", //"""),"'","""")&amp;SUBSTITUTE(TEXT(IF(ISTEXT(Overig!Z97),Overig!Z97,10*Overig!Z97),""",""????0;"",""???-0;"",""????0;"", ////"""),"'","""")&amp;SUBSTITUTE(TEXT(Overig!AA97,""",""?00;"",""?-00;"",""?00;"", //"""),"'","""")&amp;SUBSTITUTE(TEXT(Overig!AB97,""",""???0;"",""??-0;"",""???0;"", ///"""),"'","""")&amp;SUBSTITUTE(TEXT(Overig!AC97,""",""?00;"",""?-00;"",""?00;"", //"""),"'","""")&amp;SUBSTITUTE(TEXT(IF(ISTEXT(Overig!AD97),Overig!AD97,10*Overig!AD97),""",""????0;"",""???-0;"",""????0;"", ////"""),"'","""")&amp;SUBSTITUTE(TEXT(Overig!AE97,""",""?00;"",""?-00;"",""?00;"", //"""),"'","""")&amp;SUBSTITUTE(TEXT(IF(ISTEXT(Overig!AF97),Overig!AF97,10*Overig!AF97),""",""????0;"",""???-0;"",""????0;"", ////"""),"'","""")&amp;SUBSTITUTE(TEXT(Overig!AG97,""",""?00;"",""?-00;"",""?00;"", //"""),"'","""")&amp;SUBSTITUTE(TEXT(Overig!AH97,""",""???0;"",""??-0;"",""???0;"", ///"""),"'","""")&amp;SUBSTITUTE(TEXT(Overig!AI97,""",""?00;"",""?-00;"",""?00;"", //"""),"'","""")&amp;SUBSTITUTE(TEXT(Overig!AJ97,""",""??0;"",""?-0;"",""??0;"", //"""),"'","""")&amp;SUBSTITUTE(TEXT(Overig!AK97,""",""?00;"",""?-00;"",""?00;"", //"""),"'","""")&amp;SUBSTITUTE(IF(EXACT(Overig!AL97,"—"),TEXT(Overig!AL97,""",""????0;"",""???-0;"",""????0;"", ////////////,"""),TEXT(Overig!AL97,"\, \'@""',""")&amp;REPT(" ",10-LEN(Overig!AL97))),"'","""")&amp;SUBSTITUTE(TEXT(Overig!AM97,"?00;?-00;?00;"" //"""),"'","""")&amp;SUBSTITUTE(TEXT(Overig!AN97,""",""???0;"",""??-0;"",""???0;"", ///"""),"'","""")&amp;SUBSTITUTE(TEXT(Overig!AO97,""",""?00;"",""?-00;"",""?00;"", //"""),"'","""")</f>
        <v>78989, 19130406, 0800, ////, 07, /////, 07, ////, 07, /////, 07, ////, 07, ////, 07, ////, 07, ////, 07, ///, 07, ///, 07, ////, 07, ////, 07, ///, 07, ////, 07, ////, 07, ///, 07, //, 07, ////////////, 07, ///, 07</v>
      </c>
    </row>
    <row r="98" spans="1:1" x14ac:dyDescent="0.25">
      <c r="A98" s="75" t="str">
        <f ca="1">TEXT(Overig!A98,"000\,")&amp;TEXT(Overig!B98,"?00000000")&amp;TEXT(Overig!C98,""", ""0000")&amp;SUBSTITUTE(TEXT(IF(ISTEXT(Overig!D98),Overig!D98,10*Overig!D98),""",""????0;"",""???-0;"",""????0;"", ////"""),"'","""")&amp;SUBSTITUTE(TEXT(Overig!E98,""",""?00;"",""?-00;"",""?00;"", //"""),"'","""")&amp;SUBSTITUTE(TEXT(IF(ISTEXT(Overig!F98),Overig!F98,100*Overig!F98),""",""?????0;"",""????-0;"",""?????0;"", /////"""),"'","""")&amp;SUBSTITUTE(TEXT(Overig!G98,""",""?00;"",""?-00;"",""?00;"", //"""),"'","""")&amp;SUBSTITUTE(TEXT(IF(ISTEXT(Overig!H98),Overig!H98,100*Overig!H98),""",""????0;"",""???-0;"",""????0;"", ////"""),"'","""")&amp;SUBSTITUTE(TEXT(Overig!I98,""",""?00;"",""?-00;"",""?00;"", //"""),"'","""")&amp;SUBSTITUTE(TEXT(IF(ISTEXT(Overig!J98),Overig!J98,100*Overig!J98),""",""?????0;"",""????-0;"",""?????0;"", /////"""),"'","""")&amp;SUBSTITUTE(TEXT(Overig!K98,""",""?00;"",""?-00;"",""?00;"", //"""),"'","""")&amp;SUBSTITUTE(TEXT(IF(ISTEXT(Overig!L98),Overig!L98,10*Overig!L98),""",""????0;"",""???-0;"",""????0;"", ////"""),"'","""")&amp;SUBSTITUTE(TEXT(Overig!M98,""",""?00;"",""?-00;"",""?00;"", //"""),"'","""")&amp;SUBSTITUTE(TEXT(IF(ISTEXT(Overig!N98),Overig!N98,10*Overig!N98),""",""????0;"",""???-0;"",""????0;"", ////"""),"'","""")&amp;SUBSTITUTE(TEXT(Overig!O98,""",""?00;"",""?-00;"",""?00;"", //"""),"'","""")&amp;SUBSTITUTE(TEXT(IF(ISTEXT(Overig!P98),Overig!P98,10*Overig!P98),""",""????0;"",""???-0;"",""????0;"", ////"""),"'","""")&amp;SUBSTITUTE(TEXT(Overig!Q98,""",""?00;"",""?-00;"",""?00;"", //"""),"'","""")&amp;SUBSTITUTE(TEXT(IF(ISTEXT(Overig!R98),Overig!R98,10*Overig!R98),""",""????0;"",""???-0;"",""????0;"", ////"""),"'","""")&amp;SUBSTITUTE(TEXT(Overig!S98,""",""?00;"",""?-00;"",""?00;"", //"""),"'","""")&amp;SUBSTITUTE(TEXT(Overig!T98,""",""???0;"",""??-0;"",""???0;"", ///"""),"'","""")&amp;SUBSTITUTE(TEXT(Overig!U98,""",""?00;"",""?-00;"",""?00;"", //"""),"'","""")&amp;SUBSTITUTE(TEXT(IF(ISTEXT(Overig!V98),Overig!V98,10*Overig!V98),""",""???0;"",""??-0;"",""???0;"", ///"""),"'","""")&amp;SUBSTITUTE(TEXT(Overig!W98,""",""?00;"",""?-00;"",""?00;"", //"""),"'","""")&amp;SUBSTITUTE(TEXT(IF(ISTEXT(Overig!X98),Overig!X98,10*Overig!X98),""",""????0;"",""???-0;"",""????0;"", ////"""),"'","""")&amp;SUBSTITUTE(TEXT(Overig!Y98,""",""?00;"",""?-00;"",""?00;"", //"""),"'","""")&amp;SUBSTITUTE(TEXT(IF(ISTEXT(Overig!Z98),Overig!Z98,10*Overig!Z98),""",""????0;"",""???-0;"",""????0;"", ////"""),"'","""")&amp;SUBSTITUTE(TEXT(Overig!AA98,""",""?00;"",""?-00;"",""?00;"", //"""),"'","""")&amp;SUBSTITUTE(TEXT(Overig!AB98,""",""???0;"",""??-0;"",""???0;"", ///"""),"'","""")&amp;SUBSTITUTE(TEXT(Overig!AC98,""",""?00;"",""?-00;"",""?00;"", //"""),"'","""")&amp;SUBSTITUTE(TEXT(IF(ISTEXT(Overig!AD98),Overig!AD98,10*Overig!AD98),""",""????0;"",""???-0;"",""????0;"", ////"""),"'","""")&amp;SUBSTITUTE(TEXT(Overig!AE98,""",""?00;"",""?-00;"",""?00;"", //"""),"'","""")&amp;SUBSTITUTE(TEXT(IF(ISTEXT(Overig!AF98),Overig!AF98,10*Overig!AF98),""",""????0;"",""???-0;"",""????0;"", ////"""),"'","""")&amp;SUBSTITUTE(TEXT(Overig!AG98,""",""?00;"",""?-00;"",""?00;"", //"""),"'","""")&amp;SUBSTITUTE(TEXT(Overig!AH98,""",""???0;"",""??-0;"",""???0;"", ///"""),"'","""")&amp;SUBSTITUTE(TEXT(Overig!AI98,""",""?00;"",""?-00;"",""?00;"", //"""),"'","""")&amp;SUBSTITUTE(TEXT(Overig!AJ98,""",""??0;"",""?-0;"",""??0;"", //"""),"'","""")&amp;SUBSTITUTE(TEXT(Overig!AK98,""",""?00;"",""?-00;"",""?00;"", //"""),"'","""")&amp;SUBSTITUTE(IF(EXACT(Overig!AL98,"—"),TEXT(Overig!AL98,""",""????0;"",""???-0;"",""????0;"", ////////////,"""),TEXT(Overig!AL98,"\, \'@""',""")&amp;REPT(" ",10-LEN(Overig!AL98))),"'","""")&amp;SUBSTITUTE(TEXT(Overig!AM98,"?00;?-00;?00;"" //"""),"'","""")&amp;SUBSTITUTE(TEXT(Overig!AN98,""",""???0;"",""??-0;"",""???0;"", ///"""),"'","""")&amp;SUBSTITUTE(TEXT(Overig!AO98,""",""?00;"",""?-00;"",""?00;"", //"""),"'","""")</f>
        <v>78989, 19130407, 0800, ////, 07, /////, 07, ////, 07, /////, 07, ////, 07, ////, 07, ////, 07, ////, 07, ///, 07, ///, 07, ////, 07, ////, 07, ///, 07, ////, 07, ////, 07, ///, 07, //, 07, ////////////, 07, ///, 07</v>
      </c>
    </row>
    <row r="99" spans="1:1" x14ac:dyDescent="0.25">
      <c r="A99" s="75" t="str">
        <f ca="1">TEXT(Overig!A99,"000\,")&amp;TEXT(Overig!B99,"?00000000")&amp;TEXT(Overig!C99,""", ""0000")&amp;SUBSTITUTE(TEXT(IF(ISTEXT(Overig!D99),Overig!D99,10*Overig!D99),""",""????0;"",""???-0;"",""????0;"", ////"""),"'","""")&amp;SUBSTITUTE(TEXT(Overig!E99,""",""?00;"",""?-00;"",""?00;"", //"""),"'","""")&amp;SUBSTITUTE(TEXT(IF(ISTEXT(Overig!F99),Overig!F99,100*Overig!F99),""",""?????0;"",""????-0;"",""?????0;"", /////"""),"'","""")&amp;SUBSTITUTE(TEXT(Overig!G99,""",""?00;"",""?-00;"",""?00;"", //"""),"'","""")&amp;SUBSTITUTE(TEXT(IF(ISTEXT(Overig!H99),Overig!H99,100*Overig!H99),""",""????0;"",""???-0;"",""????0;"", ////"""),"'","""")&amp;SUBSTITUTE(TEXT(Overig!I99,""",""?00;"",""?-00;"",""?00;"", //"""),"'","""")&amp;SUBSTITUTE(TEXT(IF(ISTEXT(Overig!J99),Overig!J99,100*Overig!J99),""",""?????0;"",""????-0;"",""?????0;"", /////"""),"'","""")&amp;SUBSTITUTE(TEXT(Overig!K99,""",""?00;"",""?-00;"",""?00;"", //"""),"'","""")&amp;SUBSTITUTE(TEXT(IF(ISTEXT(Overig!L99),Overig!L99,10*Overig!L99),""",""????0;"",""???-0;"",""????0;"", ////"""),"'","""")&amp;SUBSTITUTE(TEXT(Overig!M99,""",""?00;"",""?-00;"",""?00;"", //"""),"'","""")&amp;SUBSTITUTE(TEXT(IF(ISTEXT(Overig!N99),Overig!N99,10*Overig!N99),""",""????0;"",""???-0;"",""????0;"", ////"""),"'","""")&amp;SUBSTITUTE(TEXT(Overig!O99,""",""?00;"",""?-00;"",""?00;"", //"""),"'","""")&amp;SUBSTITUTE(TEXT(IF(ISTEXT(Overig!P99),Overig!P99,10*Overig!P99),""",""????0;"",""???-0;"",""????0;"", ////"""),"'","""")&amp;SUBSTITUTE(TEXT(Overig!Q99,""",""?00;"",""?-00;"",""?00;"", //"""),"'","""")&amp;SUBSTITUTE(TEXT(IF(ISTEXT(Overig!R99),Overig!R99,10*Overig!R99),""",""????0;"",""???-0;"",""????0;"", ////"""),"'","""")&amp;SUBSTITUTE(TEXT(Overig!S99,""",""?00;"",""?-00;"",""?00;"", //"""),"'","""")&amp;SUBSTITUTE(TEXT(Overig!T99,""",""???0;"",""??-0;"",""???0;"", ///"""),"'","""")&amp;SUBSTITUTE(TEXT(Overig!U99,""",""?00;"",""?-00;"",""?00;"", //"""),"'","""")&amp;SUBSTITUTE(TEXT(IF(ISTEXT(Overig!V99),Overig!V99,10*Overig!V99),""",""???0;"",""??-0;"",""???0;"", ///"""),"'","""")&amp;SUBSTITUTE(TEXT(Overig!W99,""",""?00;"",""?-00;"",""?00;"", //"""),"'","""")&amp;SUBSTITUTE(TEXT(IF(ISTEXT(Overig!X99),Overig!X99,10*Overig!X99),""",""????0;"",""???-0;"",""????0;"", ////"""),"'","""")&amp;SUBSTITUTE(TEXT(Overig!Y99,""",""?00;"",""?-00;"",""?00;"", //"""),"'","""")&amp;SUBSTITUTE(TEXT(IF(ISTEXT(Overig!Z99),Overig!Z99,10*Overig!Z99),""",""????0;"",""???-0;"",""????0;"", ////"""),"'","""")&amp;SUBSTITUTE(TEXT(Overig!AA99,""",""?00;"",""?-00;"",""?00;"", //"""),"'","""")&amp;SUBSTITUTE(TEXT(Overig!AB99,""",""???0;"",""??-0;"",""???0;"", ///"""),"'","""")&amp;SUBSTITUTE(TEXT(Overig!AC99,""",""?00;"",""?-00;"",""?00;"", //"""),"'","""")&amp;SUBSTITUTE(TEXT(IF(ISTEXT(Overig!AD99),Overig!AD99,10*Overig!AD99),""",""????0;"",""???-0;"",""????0;"", ////"""),"'","""")&amp;SUBSTITUTE(TEXT(Overig!AE99,""",""?00;"",""?-00;"",""?00;"", //"""),"'","""")&amp;SUBSTITUTE(TEXT(IF(ISTEXT(Overig!AF99),Overig!AF99,10*Overig!AF99),""",""????0;"",""???-0;"",""????0;"", ////"""),"'","""")&amp;SUBSTITUTE(TEXT(Overig!AG99,""",""?00;"",""?-00;"",""?00;"", //"""),"'","""")&amp;SUBSTITUTE(TEXT(Overig!AH99,""",""???0;"",""??-0;"",""???0;"", ///"""),"'","""")&amp;SUBSTITUTE(TEXT(Overig!AI99,""",""?00;"",""?-00;"",""?00;"", //"""),"'","""")&amp;SUBSTITUTE(TEXT(Overig!AJ99,""",""??0;"",""?-0;"",""??0;"", //"""),"'","""")&amp;SUBSTITUTE(TEXT(Overig!AK99,""",""?00;"",""?-00;"",""?00;"", //"""),"'","""")&amp;SUBSTITUTE(IF(EXACT(Overig!AL99,"—"),TEXT(Overig!AL99,""",""????0;"",""???-0;"",""????0;"", ////////////,"""),TEXT(Overig!AL99,"\, \'@""',""")&amp;REPT(" ",10-LEN(Overig!AL99))),"'","""")&amp;SUBSTITUTE(TEXT(Overig!AM99,"?00;?-00;?00;"" //"""),"'","""")&amp;SUBSTITUTE(TEXT(Overig!AN99,""",""???0;"",""??-0;"",""???0;"", ///"""),"'","""")&amp;SUBSTITUTE(TEXT(Overig!AO99,""",""?00;"",""?-00;"",""?00;"", //"""),"'","""")</f>
        <v>78989, 19130408, 0800, ////, 07, /////, 07, ////, 07, /////, 07, ////, 07, ////, 07, ////, 07, ////, 07, ///, 07, ///, 07, ////, 07, ////, 07, ///, 07, ////, 07, ////, 07, ///, 07, //, 07, ////////////, 07, ///, 07</v>
      </c>
    </row>
    <row r="100" spans="1:1" x14ac:dyDescent="0.25">
      <c r="A100" s="75" t="str">
        <f ca="1">TEXT(Overig!A100,"000\,")&amp;TEXT(Overig!B100,"?00000000")&amp;TEXT(Overig!C100,""", ""0000")&amp;SUBSTITUTE(TEXT(IF(ISTEXT(Overig!D100),Overig!D100,10*Overig!D100),""",""????0;"",""???-0;"",""????0;"", ////"""),"'","""")&amp;SUBSTITUTE(TEXT(Overig!E100,""",""?00;"",""?-00;"",""?00;"", //"""),"'","""")&amp;SUBSTITUTE(TEXT(IF(ISTEXT(Overig!F100),Overig!F100,100*Overig!F100),""",""?????0;"",""????-0;"",""?????0;"", /////"""),"'","""")&amp;SUBSTITUTE(TEXT(Overig!G100,""",""?00;"",""?-00;"",""?00;"", //"""),"'","""")&amp;SUBSTITUTE(TEXT(IF(ISTEXT(Overig!H100),Overig!H100,100*Overig!H100),""",""????0;"",""???-0;"",""????0;"", ////"""),"'","""")&amp;SUBSTITUTE(TEXT(Overig!I100,""",""?00;"",""?-00;"",""?00;"", //"""),"'","""")&amp;SUBSTITUTE(TEXT(IF(ISTEXT(Overig!J100),Overig!J100,100*Overig!J100),""",""?????0;"",""????-0;"",""?????0;"", /////"""),"'","""")&amp;SUBSTITUTE(TEXT(Overig!K100,""",""?00;"",""?-00;"",""?00;"", //"""),"'","""")&amp;SUBSTITUTE(TEXT(IF(ISTEXT(Overig!L100),Overig!L100,10*Overig!L100),""",""????0;"",""???-0;"",""????0;"", ////"""),"'","""")&amp;SUBSTITUTE(TEXT(Overig!M100,""",""?00;"",""?-00;"",""?00;"", //"""),"'","""")&amp;SUBSTITUTE(TEXT(IF(ISTEXT(Overig!N100),Overig!N100,10*Overig!N100),""",""????0;"",""???-0;"",""????0;"", ////"""),"'","""")&amp;SUBSTITUTE(TEXT(Overig!O100,""",""?00;"",""?-00;"",""?00;"", //"""),"'","""")&amp;SUBSTITUTE(TEXT(IF(ISTEXT(Overig!P100),Overig!P100,10*Overig!P100),""",""????0;"",""???-0;"",""????0;"", ////"""),"'","""")&amp;SUBSTITUTE(TEXT(Overig!Q100,""",""?00;"",""?-00;"",""?00;"", //"""),"'","""")&amp;SUBSTITUTE(TEXT(IF(ISTEXT(Overig!R100),Overig!R100,10*Overig!R100),""",""????0;"",""???-0;"",""????0;"", ////"""),"'","""")&amp;SUBSTITUTE(TEXT(Overig!S100,""",""?00;"",""?-00;"",""?00;"", //"""),"'","""")&amp;SUBSTITUTE(TEXT(Overig!T100,""",""???0;"",""??-0;"",""???0;"", ///"""),"'","""")&amp;SUBSTITUTE(TEXT(Overig!U100,""",""?00;"",""?-00;"",""?00;"", //"""),"'","""")&amp;SUBSTITUTE(TEXT(IF(ISTEXT(Overig!V100),Overig!V100,10*Overig!V100),""",""???0;"",""??-0;"",""???0;"", ///"""),"'","""")&amp;SUBSTITUTE(TEXT(Overig!W100,""",""?00;"",""?-00;"",""?00;"", //"""),"'","""")&amp;SUBSTITUTE(TEXT(IF(ISTEXT(Overig!X100),Overig!X100,10*Overig!X100),""",""????0;"",""???-0;"",""????0;"", ////"""),"'","""")&amp;SUBSTITUTE(TEXT(Overig!Y100,""",""?00;"",""?-00;"",""?00;"", //"""),"'","""")&amp;SUBSTITUTE(TEXT(IF(ISTEXT(Overig!Z100),Overig!Z100,10*Overig!Z100),""",""????0;"",""???-0;"",""????0;"", ////"""),"'","""")&amp;SUBSTITUTE(TEXT(Overig!AA100,""",""?00;"",""?-00;"",""?00;"", //"""),"'","""")&amp;SUBSTITUTE(TEXT(Overig!AB100,""",""???0;"",""??-0;"",""???0;"", ///"""),"'","""")&amp;SUBSTITUTE(TEXT(Overig!AC100,""",""?00;"",""?-00;"",""?00;"", //"""),"'","""")&amp;SUBSTITUTE(TEXT(IF(ISTEXT(Overig!AD100),Overig!AD100,10*Overig!AD100),""",""????0;"",""???-0;"",""????0;"", ////"""),"'","""")&amp;SUBSTITUTE(TEXT(Overig!AE100,""",""?00;"",""?-00;"",""?00;"", //"""),"'","""")&amp;SUBSTITUTE(TEXT(IF(ISTEXT(Overig!AF100),Overig!AF100,10*Overig!AF100),""",""????0;"",""???-0;"",""????0;"", ////"""),"'","""")&amp;SUBSTITUTE(TEXT(Overig!AG100,""",""?00;"",""?-00;"",""?00;"", //"""),"'","""")&amp;SUBSTITUTE(TEXT(Overig!AH100,""",""???0;"",""??-0;"",""???0;"", ///"""),"'","""")&amp;SUBSTITUTE(TEXT(Overig!AI100,""",""?00;"",""?-00;"",""?00;"", //"""),"'","""")&amp;SUBSTITUTE(TEXT(Overig!AJ100,""",""??0;"",""?-0;"",""??0;"", //"""),"'","""")&amp;SUBSTITUTE(TEXT(Overig!AK100,""",""?00;"",""?-00;"",""?00;"", //"""),"'","""")&amp;SUBSTITUTE(IF(EXACT(Overig!AL100,"—"),TEXT(Overig!AL100,""",""????0;"",""???-0;"",""????0;"", ////////////,"""),TEXT(Overig!AL100,"\, \'@""',""")&amp;REPT(" ",10-LEN(Overig!AL100))),"'","""")&amp;SUBSTITUTE(TEXT(Overig!AM100,"?00;?-00;?00;"" //"""),"'","""")&amp;SUBSTITUTE(TEXT(Overig!AN100,""",""???0;"",""??-0;"",""???0;"", ///"""),"'","""")&amp;SUBSTITUTE(TEXT(Overig!AO100,""",""?00;"",""?-00;"",""?00;"", //"""),"'","""")</f>
        <v>78989, 19130409, 0800, ////, 07, /////, 07, ////, 07, /////, 07, ////, 07, ////, 07, ////, 07, ////, 07, ///, 07, ///, 07, ////, 07, ////, 07, ///, 07, ////, 07, ////, 07, ///, 07, //, 07, ////////////, 07, ///, 07</v>
      </c>
    </row>
    <row r="101" spans="1:1" x14ac:dyDescent="0.25">
      <c r="A101" s="75" t="str">
        <f ca="1">TEXT(Overig!A101,"000\,")&amp;TEXT(Overig!B101,"?00000000")&amp;TEXT(Overig!C101,""", ""0000")&amp;SUBSTITUTE(TEXT(IF(ISTEXT(Overig!D101),Overig!D101,10*Overig!D101),""",""????0;"",""???-0;"",""????0;"", ////"""),"'","""")&amp;SUBSTITUTE(TEXT(Overig!E101,""",""?00;"",""?-00;"",""?00;"", //"""),"'","""")&amp;SUBSTITUTE(TEXT(IF(ISTEXT(Overig!F101),Overig!F101,100*Overig!F101),""",""?????0;"",""????-0;"",""?????0;"", /////"""),"'","""")&amp;SUBSTITUTE(TEXT(Overig!G101,""",""?00;"",""?-00;"",""?00;"", //"""),"'","""")&amp;SUBSTITUTE(TEXT(IF(ISTEXT(Overig!H101),Overig!H101,100*Overig!H101),""",""????0;"",""???-0;"",""????0;"", ////"""),"'","""")&amp;SUBSTITUTE(TEXT(Overig!I101,""",""?00;"",""?-00;"",""?00;"", //"""),"'","""")&amp;SUBSTITUTE(TEXT(IF(ISTEXT(Overig!J101),Overig!J101,100*Overig!J101),""",""?????0;"",""????-0;"",""?????0;"", /////"""),"'","""")&amp;SUBSTITUTE(TEXT(Overig!K101,""",""?00;"",""?-00;"",""?00;"", //"""),"'","""")&amp;SUBSTITUTE(TEXT(IF(ISTEXT(Overig!L101),Overig!L101,10*Overig!L101),""",""????0;"",""???-0;"",""????0;"", ////"""),"'","""")&amp;SUBSTITUTE(TEXT(Overig!M101,""",""?00;"",""?-00;"",""?00;"", //"""),"'","""")&amp;SUBSTITUTE(TEXT(IF(ISTEXT(Overig!N101),Overig!N101,10*Overig!N101),""",""????0;"",""???-0;"",""????0;"", ////"""),"'","""")&amp;SUBSTITUTE(TEXT(Overig!O101,""",""?00;"",""?-00;"",""?00;"", //"""),"'","""")&amp;SUBSTITUTE(TEXT(IF(ISTEXT(Overig!P101),Overig!P101,10*Overig!P101),""",""????0;"",""???-0;"",""????0;"", ////"""),"'","""")&amp;SUBSTITUTE(TEXT(Overig!Q101,""",""?00;"",""?-00;"",""?00;"", //"""),"'","""")&amp;SUBSTITUTE(TEXT(IF(ISTEXT(Overig!R101),Overig!R101,10*Overig!R101),""",""????0;"",""???-0;"",""????0;"", ////"""),"'","""")&amp;SUBSTITUTE(TEXT(Overig!S101,""",""?00;"",""?-00;"",""?00;"", //"""),"'","""")&amp;SUBSTITUTE(TEXT(Overig!T101,""",""???0;"",""??-0;"",""???0;"", ///"""),"'","""")&amp;SUBSTITUTE(TEXT(Overig!U101,""",""?00;"",""?-00;"",""?00;"", //"""),"'","""")&amp;SUBSTITUTE(TEXT(IF(ISTEXT(Overig!V101),Overig!V101,10*Overig!V101),""",""???0;"",""??-0;"",""???0;"", ///"""),"'","""")&amp;SUBSTITUTE(TEXT(Overig!W101,""",""?00;"",""?-00;"",""?00;"", //"""),"'","""")&amp;SUBSTITUTE(TEXT(IF(ISTEXT(Overig!X101),Overig!X101,10*Overig!X101),""",""????0;"",""???-0;"",""????0;"", ////"""),"'","""")&amp;SUBSTITUTE(TEXT(Overig!Y101,""",""?00;"",""?-00;"",""?00;"", //"""),"'","""")&amp;SUBSTITUTE(TEXT(IF(ISTEXT(Overig!Z101),Overig!Z101,10*Overig!Z101),""",""????0;"",""???-0;"",""????0;"", ////"""),"'","""")&amp;SUBSTITUTE(TEXT(Overig!AA101,""",""?00;"",""?-00;"",""?00;"", //"""),"'","""")&amp;SUBSTITUTE(TEXT(Overig!AB101,""",""???0;"",""??-0;"",""???0;"", ///"""),"'","""")&amp;SUBSTITUTE(TEXT(Overig!AC101,""",""?00;"",""?-00;"",""?00;"", //"""),"'","""")&amp;SUBSTITUTE(TEXT(IF(ISTEXT(Overig!AD101),Overig!AD101,10*Overig!AD101),""",""????0;"",""???-0;"",""????0;"", ////"""),"'","""")&amp;SUBSTITUTE(TEXT(Overig!AE101,""",""?00;"",""?-00;"",""?00;"", //"""),"'","""")&amp;SUBSTITUTE(TEXT(IF(ISTEXT(Overig!AF101),Overig!AF101,10*Overig!AF101),""",""????0;"",""???-0;"",""????0;"", ////"""),"'","""")&amp;SUBSTITUTE(TEXT(Overig!AG101,""",""?00;"",""?-00;"",""?00;"", //"""),"'","""")&amp;SUBSTITUTE(TEXT(Overig!AH101,""",""???0;"",""??-0;"",""???0;"", ///"""),"'","""")&amp;SUBSTITUTE(TEXT(Overig!AI101,""",""?00;"",""?-00;"",""?00;"", //"""),"'","""")&amp;SUBSTITUTE(TEXT(Overig!AJ101,""",""??0;"",""?-0;"",""??0;"", //"""),"'","""")&amp;SUBSTITUTE(TEXT(Overig!AK101,""",""?00;"",""?-00;"",""?00;"", //"""),"'","""")&amp;SUBSTITUTE(IF(EXACT(Overig!AL101,"—"),TEXT(Overig!AL101,""",""????0;"",""???-0;"",""????0;"", ////////////,"""),TEXT(Overig!AL101,"\, \'@""',""")&amp;REPT(" ",10-LEN(Overig!AL101))),"'","""")&amp;SUBSTITUTE(TEXT(Overig!AM101,"?00;?-00;?00;"" //"""),"'","""")&amp;SUBSTITUTE(TEXT(Overig!AN101,""",""???0;"",""??-0;"",""???0;"", ///"""),"'","""")&amp;SUBSTITUTE(TEXT(Overig!AO101,""",""?00;"",""?-00;"",""?00;"", //"""),"'","""")</f>
        <v>78989, 19130410, 0800, ////, 07, /////, 07, ////, 07, /////, 07, ////, 07, ////, 07, ////, 07, ////, 07, ///, 07, ///, 07, ////, 07, ////, 07, ///, 07, ////, 07, ////, 07, ///, 07, //, 07, ////////////, 07, ///, 07</v>
      </c>
    </row>
    <row r="102" spans="1:1" x14ac:dyDescent="0.25">
      <c r="A102" s="75" t="str">
        <f ca="1">TEXT(Overig!A102,"000\,")&amp;TEXT(Overig!B102,"?00000000")&amp;TEXT(Overig!C102,""", ""0000")&amp;SUBSTITUTE(TEXT(IF(ISTEXT(Overig!D102),Overig!D102,10*Overig!D102),""",""????0;"",""???-0;"",""????0;"", ////"""),"'","""")&amp;SUBSTITUTE(TEXT(Overig!E102,""",""?00;"",""?-00;"",""?00;"", //"""),"'","""")&amp;SUBSTITUTE(TEXT(IF(ISTEXT(Overig!F102),Overig!F102,100*Overig!F102),""",""?????0;"",""????-0;"",""?????0;"", /////"""),"'","""")&amp;SUBSTITUTE(TEXT(Overig!G102,""",""?00;"",""?-00;"",""?00;"", //"""),"'","""")&amp;SUBSTITUTE(TEXT(IF(ISTEXT(Overig!H102),Overig!H102,100*Overig!H102),""",""????0;"",""???-0;"",""????0;"", ////"""),"'","""")&amp;SUBSTITUTE(TEXT(Overig!I102,""",""?00;"",""?-00;"",""?00;"", //"""),"'","""")&amp;SUBSTITUTE(TEXT(IF(ISTEXT(Overig!J102),Overig!J102,100*Overig!J102),""",""?????0;"",""????-0;"",""?????0;"", /////"""),"'","""")&amp;SUBSTITUTE(TEXT(Overig!K102,""",""?00;"",""?-00;"",""?00;"", //"""),"'","""")&amp;SUBSTITUTE(TEXT(IF(ISTEXT(Overig!L102),Overig!L102,10*Overig!L102),""",""????0;"",""???-0;"",""????0;"", ////"""),"'","""")&amp;SUBSTITUTE(TEXT(Overig!M102,""",""?00;"",""?-00;"",""?00;"", //"""),"'","""")&amp;SUBSTITUTE(TEXT(IF(ISTEXT(Overig!N102),Overig!N102,10*Overig!N102),""",""????0;"",""???-0;"",""????0;"", ////"""),"'","""")&amp;SUBSTITUTE(TEXT(Overig!O102,""",""?00;"",""?-00;"",""?00;"", //"""),"'","""")&amp;SUBSTITUTE(TEXT(IF(ISTEXT(Overig!P102),Overig!P102,10*Overig!P102),""",""????0;"",""???-0;"",""????0;"", ////"""),"'","""")&amp;SUBSTITUTE(TEXT(Overig!Q102,""",""?00;"",""?-00;"",""?00;"", //"""),"'","""")&amp;SUBSTITUTE(TEXT(IF(ISTEXT(Overig!R102),Overig!R102,10*Overig!R102),""",""????0;"",""???-0;"",""????0;"", ////"""),"'","""")&amp;SUBSTITUTE(TEXT(Overig!S102,""",""?00;"",""?-00;"",""?00;"", //"""),"'","""")&amp;SUBSTITUTE(TEXT(Overig!T102,""",""???0;"",""??-0;"",""???0;"", ///"""),"'","""")&amp;SUBSTITUTE(TEXT(Overig!U102,""",""?00;"",""?-00;"",""?00;"", //"""),"'","""")&amp;SUBSTITUTE(TEXT(IF(ISTEXT(Overig!V102),Overig!V102,10*Overig!V102),""",""???0;"",""??-0;"",""???0;"", ///"""),"'","""")&amp;SUBSTITUTE(TEXT(Overig!W102,""",""?00;"",""?-00;"",""?00;"", //"""),"'","""")&amp;SUBSTITUTE(TEXT(IF(ISTEXT(Overig!X102),Overig!X102,10*Overig!X102),""",""????0;"",""???-0;"",""????0;"", ////"""),"'","""")&amp;SUBSTITUTE(TEXT(Overig!Y102,""",""?00;"",""?-00;"",""?00;"", //"""),"'","""")&amp;SUBSTITUTE(TEXT(IF(ISTEXT(Overig!Z102),Overig!Z102,10*Overig!Z102),""",""????0;"",""???-0;"",""????0;"", ////"""),"'","""")&amp;SUBSTITUTE(TEXT(Overig!AA102,""",""?00;"",""?-00;"",""?00;"", //"""),"'","""")&amp;SUBSTITUTE(TEXT(Overig!AB102,""",""???0;"",""??-0;"",""???0;"", ///"""),"'","""")&amp;SUBSTITUTE(TEXT(Overig!AC102,""",""?00;"",""?-00;"",""?00;"", //"""),"'","""")&amp;SUBSTITUTE(TEXT(IF(ISTEXT(Overig!AD102),Overig!AD102,10*Overig!AD102),""",""????0;"",""???-0;"",""????0;"", ////"""),"'","""")&amp;SUBSTITUTE(TEXT(Overig!AE102,""",""?00;"",""?-00;"",""?00;"", //"""),"'","""")&amp;SUBSTITUTE(TEXT(IF(ISTEXT(Overig!AF102),Overig!AF102,10*Overig!AF102),""",""????0;"",""???-0;"",""????0;"", ////"""),"'","""")&amp;SUBSTITUTE(TEXT(Overig!AG102,""",""?00;"",""?-00;"",""?00;"", //"""),"'","""")&amp;SUBSTITUTE(TEXT(Overig!AH102,""",""???0;"",""??-0;"",""???0;"", ///"""),"'","""")&amp;SUBSTITUTE(TEXT(Overig!AI102,""",""?00;"",""?-00;"",""?00;"", //"""),"'","""")&amp;SUBSTITUTE(TEXT(Overig!AJ102,""",""??0;"",""?-0;"",""??0;"", //"""),"'","""")&amp;SUBSTITUTE(TEXT(Overig!AK102,""",""?00;"",""?-00;"",""?00;"", //"""),"'","""")&amp;SUBSTITUTE(IF(EXACT(Overig!AL102,"—"),TEXT(Overig!AL102,""",""????0;"",""???-0;"",""????0;"", ////////////,"""),TEXT(Overig!AL102,"\, \'@""',""")&amp;REPT(" ",10-LEN(Overig!AL102))),"'","""")&amp;SUBSTITUTE(TEXT(Overig!AM102,"?00;?-00;?00;"" //"""),"'","""")&amp;SUBSTITUTE(TEXT(Overig!AN102,""",""???0;"",""??-0;"",""???0;"", ///"""),"'","""")&amp;SUBSTITUTE(TEXT(Overig!AO102,""",""?00;"",""?-00;"",""?00;"", //"""),"'","""")</f>
        <v>78989, 19130411, 0800, ////, 07, /////, 07, ////, 07, /////, 07, ////, 07, ////, 07, ////, 07, ////, 07, ///, 07, ///, 07, ////, 07, ////, 07, ///, 07, ////, 07, ////, 07, ///, 07, //, 07, ////////////, 07, ///, 07</v>
      </c>
    </row>
    <row r="103" spans="1:1" x14ac:dyDescent="0.25">
      <c r="A103" s="75" t="str">
        <f ca="1">TEXT(Overig!A103,"000\,")&amp;TEXT(Overig!B103,"?00000000")&amp;TEXT(Overig!C103,""", ""0000")&amp;SUBSTITUTE(TEXT(IF(ISTEXT(Overig!D103),Overig!D103,10*Overig!D103),""",""????0;"",""???-0;"",""????0;"", ////"""),"'","""")&amp;SUBSTITUTE(TEXT(Overig!E103,""",""?00;"",""?-00;"",""?00;"", //"""),"'","""")&amp;SUBSTITUTE(TEXT(IF(ISTEXT(Overig!F103),Overig!F103,100*Overig!F103),""",""?????0;"",""????-0;"",""?????0;"", /////"""),"'","""")&amp;SUBSTITUTE(TEXT(Overig!G103,""",""?00;"",""?-00;"",""?00;"", //"""),"'","""")&amp;SUBSTITUTE(TEXT(IF(ISTEXT(Overig!H103),Overig!H103,100*Overig!H103),""",""????0;"",""???-0;"",""????0;"", ////"""),"'","""")&amp;SUBSTITUTE(TEXT(Overig!I103,""",""?00;"",""?-00;"",""?00;"", //"""),"'","""")&amp;SUBSTITUTE(TEXT(IF(ISTEXT(Overig!J103),Overig!J103,100*Overig!J103),""",""?????0;"",""????-0;"",""?????0;"", /////"""),"'","""")&amp;SUBSTITUTE(TEXT(Overig!K103,""",""?00;"",""?-00;"",""?00;"", //"""),"'","""")&amp;SUBSTITUTE(TEXT(IF(ISTEXT(Overig!L103),Overig!L103,10*Overig!L103),""",""????0;"",""???-0;"",""????0;"", ////"""),"'","""")&amp;SUBSTITUTE(TEXT(Overig!M103,""",""?00;"",""?-00;"",""?00;"", //"""),"'","""")&amp;SUBSTITUTE(TEXT(IF(ISTEXT(Overig!N103),Overig!N103,10*Overig!N103),""",""????0;"",""???-0;"",""????0;"", ////"""),"'","""")&amp;SUBSTITUTE(TEXT(Overig!O103,""",""?00;"",""?-00;"",""?00;"", //"""),"'","""")&amp;SUBSTITUTE(TEXT(IF(ISTEXT(Overig!P103),Overig!P103,10*Overig!P103),""",""????0;"",""???-0;"",""????0;"", ////"""),"'","""")&amp;SUBSTITUTE(TEXT(Overig!Q103,""",""?00;"",""?-00;"",""?00;"", //"""),"'","""")&amp;SUBSTITUTE(TEXT(IF(ISTEXT(Overig!R103),Overig!R103,10*Overig!R103),""",""????0;"",""???-0;"",""????0;"", ////"""),"'","""")&amp;SUBSTITUTE(TEXT(Overig!S103,""",""?00;"",""?-00;"",""?00;"", //"""),"'","""")&amp;SUBSTITUTE(TEXT(Overig!T103,""",""???0;"",""??-0;"",""???0;"", ///"""),"'","""")&amp;SUBSTITUTE(TEXT(Overig!U103,""",""?00;"",""?-00;"",""?00;"", //"""),"'","""")&amp;SUBSTITUTE(TEXT(IF(ISTEXT(Overig!V103),Overig!V103,10*Overig!V103),""",""???0;"",""??-0;"",""???0;"", ///"""),"'","""")&amp;SUBSTITUTE(TEXT(Overig!W103,""",""?00;"",""?-00;"",""?00;"", //"""),"'","""")&amp;SUBSTITUTE(TEXT(IF(ISTEXT(Overig!X103),Overig!X103,10*Overig!X103),""",""????0;"",""???-0;"",""????0;"", ////"""),"'","""")&amp;SUBSTITUTE(TEXT(Overig!Y103,""",""?00;"",""?-00;"",""?00;"", //"""),"'","""")&amp;SUBSTITUTE(TEXT(IF(ISTEXT(Overig!Z103),Overig!Z103,10*Overig!Z103),""",""????0;"",""???-0;"",""????0;"", ////"""),"'","""")&amp;SUBSTITUTE(TEXT(Overig!AA103,""",""?00;"",""?-00;"",""?00;"", //"""),"'","""")&amp;SUBSTITUTE(TEXT(Overig!AB103,""",""???0;"",""??-0;"",""???0;"", ///"""),"'","""")&amp;SUBSTITUTE(TEXT(Overig!AC103,""",""?00;"",""?-00;"",""?00;"", //"""),"'","""")&amp;SUBSTITUTE(TEXT(IF(ISTEXT(Overig!AD103),Overig!AD103,10*Overig!AD103),""",""????0;"",""???-0;"",""????0;"", ////"""),"'","""")&amp;SUBSTITUTE(TEXT(Overig!AE103,""",""?00;"",""?-00;"",""?00;"", //"""),"'","""")&amp;SUBSTITUTE(TEXT(IF(ISTEXT(Overig!AF103),Overig!AF103,10*Overig!AF103),""",""????0;"",""???-0;"",""????0;"", ////"""),"'","""")&amp;SUBSTITUTE(TEXT(Overig!AG103,""",""?00;"",""?-00;"",""?00;"", //"""),"'","""")&amp;SUBSTITUTE(TEXT(Overig!AH103,""",""???0;"",""??-0;"",""???0;"", ///"""),"'","""")&amp;SUBSTITUTE(TEXT(Overig!AI103,""",""?00;"",""?-00;"",""?00;"", //"""),"'","""")&amp;SUBSTITUTE(TEXT(Overig!AJ103,""",""??0;"",""?-0;"",""??0;"", //"""),"'","""")&amp;SUBSTITUTE(TEXT(Overig!AK103,""",""?00;"",""?-00;"",""?00;"", //"""),"'","""")&amp;SUBSTITUTE(IF(EXACT(Overig!AL103,"—"),TEXT(Overig!AL103,""",""????0;"",""???-0;"",""????0;"", ////////////,"""),TEXT(Overig!AL103,"\, \'@""',""")&amp;REPT(" ",10-LEN(Overig!AL103))),"'","""")&amp;SUBSTITUTE(TEXT(Overig!AM103,"?00;?-00;?00;"" //"""),"'","""")&amp;SUBSTITUTE(TEXT(Overig!AN103,""",""???0;"",""??-0;"",""???0;"", ///"""),"'","""")&amp;SUBSTITUTE(TEXT(Overig!AO103,""",""?00;"",""?-00;"",""?00;"", //"""),"'","""")</f>
        <v>78989, 19130412, 0800, ////, 07, /////, 07, ////, 07, /////, 07, ////, 07, ////, 07, ////, 07, ////, 07, ///, 07, ///, 07, ////, 07, ////, 07, ///, 07, ////, 07, ////, 07, ///, 07, //, 07, ////////////, 07, ///, 07</v>
      </c>
    </row>
    <row r="104" spans="1:1" x14ac:dyDescent="0.25">
      <c r="A104" s="75" t="str">
        <f ca="1">TEXT(Overig!A104,"000\,")&amp;TEXT(Overig!B104,"?00000000")&amp;TEXT(Overig!C104,""", ""0000")&amp;SUBSTITUTE(TEXT(IF(ISTEXT(Overig!D104),Overig!D104,10*Overig!D104),""",""????0;"",""???-0;"",""????0;"", ////"""),"'","""")&amp;SUBSTITUTE(TEXT(Overig!E104,""",""?00;"",""?-00;"",""?00;"", //"""),"'","""")&amp;SUBSTITUTE(TEXT(IF(ISTEXT(Overig!F104),Overig!F104,100*Overig!F104),""",""?????0;"",""????-0;"",""?????0;"", /////"""),"'","""")&amp;SUBSTITUTE(TEXT(Overig!G104,""",""?00;"",""?-00;"",""?00;"", //"""),"'","""")&amp;SUBSTITUTE(TEXT(IF(ISTEXT(Overig!H104),Overig!H104,100*Overig!H104),""",""????0;"",""???-0;"",""????0;"", ////"""),"'","""")&amp;SUBSTITUTE(TEXT(Overig!I104,""",""?00;"",""?-00;"",""?00;"", //"""),"'","""")&amp;SUBSTITUTE(TEXT(IF(ISTEXT(Overig!J104),Overig!J104,100*Overig!J104),""",""?????0;"",""????-0;"",""?????0;"", /////"""),"'","""")&amp;SUBSTITUTE(TEXT(Overig!K104,""",""?00;"",""?-00;"",""?00;"", //"""),"'","""")&amp;SUBSTITUTE(TEXT(IF(ISTEXT(Overig!L104),Overig!L104,10*Overig!L104),""",""????0;"",""???-0;"",""????0;"", ////"""),"'","""")&amp;SUBSTITUTE(TEXT(Overig!M104,""",""?00;"",""?-00;"",""?00;"", //"""),"'","""")&amp;SUBSTITUTE(TEXT(IF(ISTEXT(Overig!N104),Overig!N104,10*Overig!N104),""",""????0;"",""???-0;"",""????0;"", ////"""),"'","""")&amp;SUBSTITUTE(TEXT(Overig!O104,""",""?00;"",""?-00;"",""?00;"", //"""),"'","""")&amp;SUBSTITUTE(TEXT(IF(ISTEXT(Overig!P104),Overig!P104,10*Overig!P104),""",""????0;"",""???-0;"",""????0;"", ////"""),"'","""")&amp;SUBSTITUTE(TEXT(Overig!Q104,""",""?00;"",""?-00;"",""?00;"", //"""),"'","""")&amp;SUBSTITUTE(TEXT(IF(ISTEXT(Overig!R104),Overig!R104,10*Overig!R104),""",""????0;"",""???-0;"",""????0;"", ////"""),"'","""")&amp;SUBSTITUTE(TEXT(Overig!S104,""",""?00;"",""?-00;"",""?00;"", //"""),"'","""")&amp;SUBSTITUTE(TEXT(Overig!T104,""",""???0;"",""??-0;"",""???0;"", ///"""),"'","""")&amp;SUBSTITUTE(TEXT(Overig!U104,""",""?00;"",""?-00;"",""?00;"", //"""),"'","""")&amp;SUBSTITUTE(TEXT(IF(ISTEXT(Overig!V104),Overig!V104,10*Overig!V104),""",""???0;"",""??-0;"",""???0;"", ///"""),"'","""")&amp;SUBSTITUTE(TEXT(Overig!W104,""",""?00;"",""?-00;"",""?00;"", //"""),"'","""")&amp;SUBSTITUTE(TEXT(IF(ISTEXT(Overig!X104),Overig!X104,10*Overig!X104),""",""????0;"",""???-0;"",""????0;"", ////"""),"'","""")&amp;SUBSTITUTE(TEXT(Overig!Y104,""",""?00;"",""?-00;"",""?00;"", //"""),"'","""")&amp;SUBSTITUTE(TEXT(IF(ISTEXT(Overig!Z104),Overig!Z104,10*Overig!Z104),""",""????0;"",""???-0;"",""????0;"", ////"""),"'","""")&amp;SUBSTITUTE(TEXT(Overig!AA104,""",""?00;"",""?-00;"",""?00;"", //"""),"'","""")&amp;SUBSTITUTE(TEXT(Overig!AB104,""",""???0;"",""??-0;"",""???0;"", ///"""),"'","""")&amp;SUBSTITUTE(TEXT(Overig!AC104,""",""?00;"",""?-00;"",""?00;"", //"""),"'","""")&amp;SUBSTITUTE(TEXT(IF(ISTEXT(Overig!AD104),Overig!AD104,10*Overig!AD104),""",""????0;"",""???-0;"",""????0;"", ////"""),"'","""")&amp;SUBSTITUTE(TEXT(Overig!AE104,""",""?00;"",""?-00;"",""?00;"", //"""),"'","""")&amp;SUBSTITUTE(TEXT(IF(ISTEXT(Overig!AF104),Overig!AF104,10*Overig!AF104),""",""????0;"",""???-0;"",""????0;"", ////"""),"'","""")&amp;SUBSTITUTE(TEXT(Overig!AG104,""",""?00;"",""?-00;"",""?00;"", //"""),"'","""")&amp;SUBSTITUTE(TEXT(Overig!AH104,""",""???0;"",""??-0;"",""???0;"", ///"""),"'","""")&amp;SUBSTITUTE(TEXT(Overig!AI104,""",""?00;"",""?-00;"",""?00;"", //"""),"'","""")&amp;SUBSTITUTE(TEXT(Overig!AJ104,""",""??0;"",""?-0;"",""??0;"", //"""),"'","""")&amp;SUBSTITUTE(TEXT(Overig!AK104,""",""?00;"",""?-00;"",""?00;"", //"""),"'","""")&amp;SUBSTITUTE(IF(EXACT(Overig!AL104,"—"),TEXT(Overig!AL104,""",""????0;"",""???-0;"",""????0;"", ////////////,"""),TEXT(Overig!AL104,"\, \'@""',""")&amp;REPT(" ",10-LEN(Overig!AL104))),"'","""")&amp;SUBSTITUTE(TEXT(Overig!AM104,"?00;?-00;?00;"" //"""),"'","""")&amp;SUBSTITUTE(TEXT(Overig!AN104,""",""???0;"",""??-0;"",""???0;"", ///"""),"'","""")&amp;SUBSTITUTE(TEXT(Overig!AO104,""",""?00;"",""?-00;"",""?00;"", //"""),"'","""")</f>
        <v>78989, 19130413, 0800, ////, 07, /////, 07, ////, 07, /////, 07, ////, 07, ////, 07, ////, 07, ////, 07, ///, 07, ///, 07, ////, 07, ////, 07, ///, 07, ////, 07, ////, 07, ///, 07, //, 07, ////////////, 07, ///, 07</v>
      </c>
    </row>
    <row r="105" spans="1:1" x14ac:dyDescent="0.25">
      <c r="A105" s="75" t="str">
        <f ca="1">TEXT(Overig!A105,"000\,")&amp;TEXT(Overig!B105,"?00000000")&amp;TEXT(Overig!C105,""", ""0000")&amp;SUBSTITUTE(TEXT(IF(ISTEXT(Overig!D105),Overig!D105,10*Overig!D105),""",""????0;"",""???-0;"",""????0;"", ////"""),"'","""")&amp;SUBSTITUTE(TEXT(Overig!E105,""",""?00;"",""?-00;"",""?00;"", //"""),"'","""")&amp;SUBSTITUTE(TEXT(IF(ISTEXT(Overig!F105),Overig!F105,100*Overig!F105),""",""?????0;"",""????-0;"",""?????0;"", /////"""),"'","""")&amp;SUBSTITUTE(TEXT(Overig!G105,""",""?00;"",""?-00;"",""?00;"", //"""),"'","""")&amp;SUBSTITUTE(TEXT(IF(ISTEXT(Overig!H105),Overig!H105,100*Overig!H105),""",""????0;"",""???-0;"",""????0;"", ////"""),"'","""")&amp;SUBSTITUTE(TEXT(Overig!I105,""",""?00;"",""?-00;"",""?00;"", //"""),"'","""")&amp;SUBSTITUTE(TEXT(IF(ISTEXT(Overig!J105),Overig!J105,100*Overig!J105),""",""?????0;"",""????-0;"",""?????0;"", /////"""),"'","""")&amp;SUBSTITUTE(TEXT(Overig!K105,""",""?00;"",""?-00;"",""?00;"", //"""),"'","""")&amp;SUBSTITUTE(TEXT(IF(ISTEXT(Overig!L105),Overig!L105,10*Overig!L105),""",""????0;"",""???-0;"",""????0;"", ////"""),"'","""")&amp;SUBSTITUTE(TEXT(Overig!M105,""",""?00;"",""?-00;"",""?00;"", //"""),"'","""")&amp;SUBSTITUTE(TEXT(IF(ISTEXT(Overig!N105),Overig!N105,10*Overig!N105),""",""????0;"",""???-0;"",""????0;"", ////"""),"'","""")&amp;SUBSTITUTE(TEXT(Overig!O105,""",""?00;"",""?-00;"",""?00;"", //"""),"'","""")&amp;SUBSTITUTE(TEXT(IF(ISTEXT(Overig!P105),Overig!P105,10*Overig!P105),""",""????0;"",""???-0;"",""????0;"", ////"""),"'","""")&amp;SUBSTITUTE(TEXT(Overig!Q105,""",""?00;"",""?-00;"",""?00;"", //"""),"'","""")&amp;SUBSTITUTE(TEXT(IF(ISTEXT(Overig!R105),Overig!R105,10*Overig!R105),""",""????0;"",""???-0;"",""????0;"", ////"""),"'","""")&amp;SUBSTITUTE(TEXT(Overig!S105,""",""?00;"",""?-00;"",""?00;"", //"""),"'","""")&amp;SUBSTITUTE(TEXT(Overig!T105,""",""???0;"",""??-0;"",""???0;"", ///"""),"'","""")&amp;SUBSTITUTE(TEXT(Overig!U105,""",""?00;"",""?-00;"",""?00;"", //"""),"'","""")&amp;SUBSTITUTE(TEXT(IF(ISTEXT(Overig!V105),Overig!V105,10*Overig!V105),""",""???0;"",""??-0;"",""???0;"", ///"""),"'","""")&amp;SUBSTITUTE(TEXT(Overig!W105,""",""?00;"",""?-00;"",""?00;"", //"""),"'","""")&amp;SUBSTITUTE(TEXT(IF(ISTEXT(Overig!X105),Overig!X105,10*Overig!X105),""",""????0;"",""???-0;"",""????0;"", ////"""),"'","""")&amp;SUBSTITUTE(TEXT(Overig!Y105,""",""?00;"",""?-00;"",""?00;"", //"""),"'","""")&amp;SUBSTITUTE(TEXT(IF(ISTEXT(Overig!Z105),Overig!Z105,10*Overig!Z105),""",""????0;"",""???-0;"",""????0;"", ////"""),"'","""")&amp;SUBSTITUTE(TEXT(Overig!AA105,""",""?00;"",""?-00;"",""?00;"", //"""),"'","""")&amp;SUBSTITUTE(TEXT(Overig!AB105,""",""???0;"",""??-0;"",""???0;"", ///"""),"'","""")&amp;SUBSTITUTE(TEXT(Overig!AC105,""",""?00;"",""?-00;"",""?00;"", //"""),"'","""")&amp;SUBSTITUTE(TEXT(IF(ISTEXT(Overig!AD105),Overig!AD105,10*Overig!AD105),""",""????0;"",""???-0;"",""????0;"", ////"""),"'","""")&amp;SUBSTITUTE(TEXT(Overig!AE105,""",""?00;"",""?-00;"",""?00;"", //"""),"'","""")&amp;SUBSTITUTE(TEXT(IF(ISTEXT(Overig!AF105),Overig!AF105,10*Overig!AF105),""",""????0;"",""???-0;"",""????0;"", ////"""),"'","""")&amp;SUBSTITUTE(TEXT(Overig!AG105,""",""?00;"",""?-00;"",""?00;"", //"""),"'","""")&amp;SUBSTITUTE(TEXT(Overig!AH105,""",""???0;"",""??-0;"",""???0;"", ///"""),"'","""")&amp;SUBSTITUTE(TEXT(Overig!AI105,""",""?00;"",""?-00;"",""?00;"", //"""),"'","""")&amp;SUBSTITUTE(TEXT(Overig!AJ105,""",""??0;"",""?-0;"",""??0;"", //"""),"'","""")&amp;SUBSTITUTE(TEXT(Overig!AK105,""",""?00;"",""?-00;"",""?00;"", //"""),"'","""")&amp;SUBSTITUTE(IF(EXACT(Overig!AL105,"—"),TEXT(Overig!AL105,""",""????0;"",""???-0;"",""????0;"", ////////////,"""),TEXT(Overig!AL105,"\, \'@""',""")&amp;REPT(" ",10-LEN(Overig!AL105))),"'","""")&amp;SUBSTITUTE(TEXT(Overig!AM105,"?00;?-00;?00;"" //"""),"'","""")&amp;SUBSTITUTE(TEXT(Overig!AN105,""",""???0;"",""??-0;"",""???0;"", ///"""),"'","""")&amp;SUBSTITUTE(TEXT(Overig!AO105,""",""?00;"",""?-00;"",""?00;"", //"""),"'","""")</f>
        <v>78989, 19130414, 0800, ////, 07, /////, 07, ////, 07, /////, 07, ////, 07, ////, 07, ////, 07, ////, 07, ///, 07, ///, 07, ////, 07, ////, 07, ///, 07, ////, 07, ////, 07, ///, 07, //, 07, ////////////, 07, ///, 07</v>
      </c>
    </row>
    <row r="106" spans="1:1" x14ac:dyDescent="0.25">
      <c r="A106" s="75" t="str">
        <f ca="1">TEXT(Overig!A106,"000\,")&amp;TEXT(Overig!B106,"?00000000")&amp;TEXT(Overig!C106,""", ""0000")&amp;SUBSTITUTE(TEXT(IF(ISTEXT(Overig!D106),Overig!D106,10*Overig!D106),""",""????0;"",""???-0;"",""????0;"", ////"""),"'","""")&amp;SUBSTITUTE(TEXT(Overig!E106,""",""?00;"",""?-00;"",""?00;"", //"""),"'","""")&amp;SUBSTITUTE(TEXT(IF(ISTEXT(Overig!F106),Overig!F106,100*Overig!F106),""",""?????0;"",""????-0;"",""?????0;"", /////"""),"'","""")&amp;SUBSTITUTE(TEXT(Overig!G106,""",""?00;"",""?-00;"",""?00;"", //"""),"'","""")&amp;SUBSTITUTE(TEXT(IF(ISTEXT(Overig!H106),Overig!H106,100*Overig!H106),""",""????0;"",""???-0;"",""????0;"", ////"""),"'","""")&amp;SUBSTITUTE(TEXT(Overig!I106,""",""?00;"",""?-00;"",""?00;"", //"""),"'","""")&amp;SUBSTITUTE(TEXT(IF(ISTEXT(Overig!J106),Overig!J106,100*Overig!J106),""",""?????0;"",""????-0;"",""?????0;"", /////"""),"'","""")&amp;SUBSTITUTE(TEXT(Overig!K106,""",""?00;"",""?-00;"",""?00;"", //"""),"'","""")&amp;SUBSTITUTE(TEXT(IF(ISTEXT(Overig!L106),Overig!L106,10*Overig!L106),""",""????0;"",""???-0;"",""????0;"", ////"""),"'","""")&amp;SUBSTITUTE(TEXT(Overig!M106,""",""?00;"",""?-00;"",""?00;"", //"""),"'","""")&amp;SUBSTITUTE(TEXT(IF(ISTEXT(Overig!N106),Overig!N106,10*Overig!N106),""",""????0;"",""???-0;"",""????0;"", ////"""),"'","""")&amp;SUBSTITUTE(TEXT(Overig!O106,""",""?00;"",""?-00;"",""?00;"", //"""),"'","""")&amp;SUBSTITUTE(TEXT(IF(ISTEXT(Overig!P106),Overig!P106,10*Overig!P106),""",""????0;"",""???-0;"",""????0;"", ////"""),"'","""")&amp;SUBSTITUTE(TEXT(Overig!Q106,""",""?00;"",""?-00;"",""?00;"", //"""),"'","""")&amp;SUBSTITUTE(TEXT(IF(ISTEXT(Overig!R106),Overig!R106,10*Overig!R106),""",""????0;"",""???-0;"",""????0;"", ////"""),"'","""")&amp;SUBSTITUTE(TEXT(Overig!S106,""",""?00;"",""?-00;"",""?00;"", //"""),"'","""")&amp;SUBSTITUTE(TEXT(Overig!T106,""",""???0;"",""??-0;"",""???0;"", ///"""),"'","""")&amp;SUBSTITUTE(TEXT(Overig!U106,""",""?00;"",""?-00;"",""?00;"", //"""),"'","""")&amp;SUBSTITUTE(TEXT(IF(ISTEXT(Overig!V106),Overig!V106,10*Overig!V106),""",""???0;"",""??-0;"",""???0;"", ///"""),"'","""")&amp;SUBSTITUTE(TEXT(Overig!W106,""",""?00;"",""?-00;"",""?00;"", //"""),"'","""")&amp;SUBSTITUTE(TEXT(IF(ISTEXT(Overig!X106),Overig!X106,10*Overig!X106),""",""????0;"",""???-0;"",""????0;"", ////"""),"'","""")&amp;SUBSTITUTE(TEXT(Overig!Y106,""",""?00;"",""?-00;"",""?00;"", //"""),"'","""")&amp;SUBSTITUTE(TEXT(IF(ISTEXT(Overig!Z106),Overig!Z106,10*Overig!Z106),""",""????0;"",""???-0;"",""????0;"", ////"""),"'","""")&amp;SUBSTITUTE(TEXT(Overig!AA106,""",""?00;"",""?-00;"",""?00;"", //"""),"'","""")&amp;SUBSTITUTE(TEXT(Overig!AB106,""",""???0;"",""??-0;"",""???0;"", ///"""),"'","""")&amp;SUBSTITUTE(TEXT(Overig!AC106,""",""?00;"",""?-00;"",""?00;"", //"""),"'","""")&amp;SUBSTITUTE(TEXT(IF(ISTEXT(Overig!AD106),Overig!AD106,10*Overig!AD106),""",""????0;"",""???-0;"",""????0;"", ////"""),"'","""")&amp;SUBSTITUTE(TEXT(Overig!AE106,""",""?00;"",""?-00;"",""?00;"", //"""),"'","""")&amp;SUBSTITUTE(TEXT(IF(ISTEXT(Overig!AF106),Overig!AF106,10*Overig!AF106),""",""????0;"",""???-0;"",""????0;"", ////"""),"'","""")&amp;SUBSTITUTE(TEXT(Overig!AG106,""",""?00;"",""?-00;"",""?00;"", //"""),"'","""")&amp;SUBSTITUTE(TEXT(Overig!AH106,""",""???0;"",""??-0;"",""???0;"", ///"""),"'","""")&amp;SUBSTITUTE(TEXT(Overig!AI106,""",""?00;"",""?-00;"",""?00;"", //"""),"'","""")&amp;SUBSTITUTE(TEXT(Overig!AJ106,""",""??0;"",""?-0;"",""??0;"", //"""),"'","""")&amp;SUBSTITUTE(TEXT(Overig!AK106,""",""?00;"",""?-00;"",""?00;"", //"""),"'","""")&amp;SUBSTITUTE(IF(EXACT(Overig!AL106,"—"),TEXT(Overig!AL106,""",""????0;"",""???-0;"",""????0;"", ////////////,"""),TEXT(Overig!AL106,"\, \'@""',""")&amp;REPT(" ",10-LEN(Overig!AL106))),"'","""")&amp;SUBSTITUTE(TEXT(Overig!AM106,"?00;?-00;?00;"" //"""),"'","""")&amp;SUBSTITUTE(TEXT(Overig!AN106,""",""???0;"",""??-0;"",""???0;"", ///"""),"'","""")&amp;SUBSTITUTE(TEXT(Overig!AO106,""",""?00;"",""?-00;"",""?00;"", //"""),"'","""")</f>
        <v>78989, 19130415, 0800, ////, 07, /////, 07, ////, 07, /////, 07, ////, 07, ////, 07, ////, 07, ////, 07, ///, 07, ///, 07, ////, 07, ////, 07, ///, 07, ////, 07, ////, 07, ///, 07, //, 07, ////////////, 07, ///, 07</v>
      </c>
    </row>
    <row r="107" spans="1:1" x14ac:dyDescent="0.25">
      <c r="A107" s="75" t="str">
        <f ca="1">TEXT(Overig!A107,"000\,")&amp;TEXT(Overig!B107,"?00000000")&amp;TEXT(Overig!C107,""", ""0000")&amp;SUBSTITUTE(TEXT(IF(ISTEXT(Overig!D107),Overig!D107,10*Overig!D107),""",""????0;"",""???-0;"",""????0;"", ////"""),"'","""")&amp;SUBSTITUTE(TEXT(Overig!E107,""",""?00;"",""?-00;"",""?00;"", //"""),"'","""")&amp;SUBSTITUTE(TEXT(IF(ISTEXT(Overig!F107),Overig!F107,100*Overig!F107),""",""?????0;"",""????-0;"",""?????0;"", /////"""),"'","""")&amp;SUBSTITUTE(TEXT(Overig!G107,""",""?00;"",""?-00;"",""?00;"", //"""),"'","""")&amp;SUBSTITUTE(TEXT(IF(ISTEXT(Overig!H107),Overig!H107,100*Overig!H107),""",""????0;"",""???-0;"",""????0;"", ////"""),"'","""")&amp;SUBSTITUTE(TEXT(Overig!I107,""",""?00;"",""?-00;"",""?00;"", //"""),"'","""")&amp;SUBSTITUTE(TEXT(IF(ISTEXT(Overig!J107),Overig!J107,100*Overig!J107),""",""?????0;"",""????-0;"",""?????0;"", /////"""),"'","""")&amp;SUBSTITUTE(TEXT(Overig!K107,""",""?00;"",""?-00;"",""?00;"", //"""),"'","""")&amp;SUBSTITUTE(TEXT(IF(ISTEXT(Overig!L107),Overig!L107,10*Overig!L107),""",""????0;"",""???-0;"",""????0;"", ////"""),"'","""")&amp;SUBSTITUTE(TEXT(Overig!M107,""",""?00;"",""?-00;"",""?00;"", //"""),"'","""")&amp;SUBSTITUTE(TEXT(IF(ISTEXT(Overig!N107),Overig!N107,10*Overig!N107),""",""????0;"",""???-0;"",""????0;"", ////"""),"'","""")&amp;SUBSTITUTE(TEXT(Overig!O107,""",""?00;"",""?-00;"",""?00;"", //"""),"'","""")&amp;SUBSTITUTE(TEXT(IF(ISTEXT(Overig!P107),Overig!P107,10*Overig!P107),""",""????0;"",""???-0;"",""????0;"", ////"""),"'","""")&amp;SUBSTITUTE(TEXT(Overig!Q107,""",""?00;"",""?-00;"",""?00;"", //"""),"'","""")&amp;SUBSTITUTE(TEXT(IF(ISTEXT(Overig!R107),Overig!R107,10*Overig!R107),""",""????0;"",""???-0;"",""????0;"", ////"""),"'","""")&amp;SUBSTITUTE(TEXT(Overig!S107,""",""?00;"",""?-00;"",""?00;"", //"""),"'","""")&amp;SUBSTITUTE(TEXT(Overig!T107,""",""???0;"",""??-0;"",""???0;"", ///"""),"'","""")&amp;SUBSTITUTE(TEXT(Overig!U107,""",""?00;"",""?-00;"",""?00;"", //"""),"'","""")&amp;SUBSTITUTE(TEXT(IF(ISTEXT(Overig!V107),Overig!V107,10*Overig!V107),""",""???0;"",""??-0;"",""???0;"", ///"""),"'","""")&amp;SUBSTITUTE(TEXT(Overig!W107,""",""?00;"",""?-00;"",""?00;"", //"""),"'","""")&amp;SUBSTITUTE(TEXT(IF(ISTEXT(Overig!X107),Overig!X107,10*Overig!X107),""",""????0;"",""???-0;"",""????0;"", ////"""),"'","""")&amp;SUBSTITUTE(TEXT(Overig!Y107,""",""?00;"",""?-00;"",""?00;"", //"""),"'","""")&amp;SUBSTITUTE(TEXT(IF(ISTEXT(Overig!Z107),Overig!Z107,10*Overig!Z107),""",""????0;"",""???-0;"",""????0;"", ////"""),"'","""")&amp;SUBSTITUTE(TEXT(Overig!AA107,""",""?00;"",""?-00;"",""?00;"", //"""),"'","""")&amp;SUBSTITUTE(TEXT(Overig!AB107,""",""???0;"",""??-0;"",""???0;"", ///"""),"'","""")&amp;SUBSTITUTE(TEXT(Overig!AC107,""",""?00;"",""?-00;"",""?00;"", //"""),"'","""")&amp;SUBSTITUTE(TEXT(IF(ISTEXT(Overig!AD107),Overig!AD107,10*Overig!AD107),""",""????0;"",""???-0;"",""????0;"", ////"""),"'","""")&amp;SUBSTITUTE(TEXT(Overig!AE107,""",""?00;"",""?-00;"",""?00;"", //"""),"'","""")&amp;SUBSTITUTE(TEXT(IF(ISTEXT(Overig!AF107),Overig!AF107,10*Overig!AF107),""",""????0;"",""???-0;"",""????0;"", ////"""),"'","""")&amp;SUBSTITUTE(TEXT(Overig!AG107,""",""?00;"",""?-00;"",""?00;"", //"""),"'","""")&amp;SUBSTITUTE(TEXT(Overig!AH107,""",""???0;"",""??-0;"",""???0;"", ///"""),"'","""")&amp;SUBSTITUTE(TEXT(Overig!AI107,""",""?00;"",""?-00;"",""?00;"", //"""),"'","""")&amp;SUBSTITUTE(TEXT(Overig!AJ107,""",""??0;"",""?-0;"",""??0;"", //"""),"'","""")&amp;SUBSTITUTE(TEXT(Overig!AK107,""",""?00;"",""?-00;"",""?00;"", //"""),"'","""")&amp;SUBSTITUTE(IF(EXACT(Overig!AL107,"—"),TEXT(Overig!AL107,""",""????0;"",""???-0;"",""????0;"", ////////////,"""),TEXT(Overig!AL107,"\, \'@""',""")&amp;REPT(" ",10-LEN(Overig!AL107))),"'","""")&amp;SUBSTITUTE(TEXT(Overig!AM107,"?00;?-00;?00;"" //"""),"'","""")&amp;SUBSTITUTE(TEXT(Overig!AN107,""",""???0;"",""??-0;"",""???0;"", ///"""),"'","""")&amp;SUBSTITUTE(TEXT(Overig!AO107,""",""?00;"",""?-00;"",""?00;"", //"""),"'","""")</f>
        <v>78989, 19130416, 0800, ////, 07, /////, 07, ////, 07, /////, 07, ////, 07, ////, 07, ////, 07, ////, 07, ///, 07, ///, 07, ////, 07, ////, 07, ///, 07, ////, 07, ////, 07, ///, 07, //, 07, ////////////, 07, ///, 07</v>
      </c>
    </row>
    <row r="108" spans="1:1" x14ac:dyDescent="0.25">
      <c r="A108" s="75" t="str">
        <f ca="1">TEXT(Overig!A108,"000\,")&amp;TEXT(Overig!B108,"?00000000")&amp;TEXT(Overig!C108,""", ""0000")&amp;SUBSTITUTE(TEXT(IF(ISTEXT(Overig!D108),Overig!D108,10*Overig!D108),""",""????0;"",""???-0;"",""????0;"", ////"""),"'","""")&amp;SUBSTITUTE(TEXT(Overig!E108,""",""?00;"",""?-00;"",""?00;"", //"""),"'","""")&amp;SUBSTITUTE(TEXT(IF(ISTEXT(Overig!F108),Overig!F108,100*Overig!F108),""",""?????0;"",""????-0;"",""?????0;"", /////"""),"'","""")&amp;SUBSTITUTE(TEXT(Overig!G108,""",""?00;"",""?-00;"",""?00;"", //"""),"'","""")&amp;SUBSTITUTE(TEXT(IF(ISTEXT(Overig!H108),Overig!H108,100*Overig!H108),""",""????0;"",""???-0;"",""????0;"", ////"""),"'","""")&amp;SUBSTITUTE(TEXT(Overig!I108,""",""?00;"",""?-00;"",""?00;"", //"""),"'","""")&amp;SUBSTITUTE(TEXT(IF(ISTEXT(Overig!J108),Overig!J108,100*Overig!J108),""",""?????0;"",""????-0;"",""?????0;"", /////"""),"'","""")&amp;SUBSTITUTE(TEXT(Overig!K108,""",""?00;"",""?-00;"",""?00;"", //"""),"'","""")&amp;SUBSTITUTE(TEXT(IF(ISTEXT(Overig!L108),Overig!L108,10*Overig!L108),""",""????0;"",""???-0;"",""????0;"", ////"""),"'","""")&amp;SUBSTITUTE(TEXT(Overig!M108,""",""?00;"",""?-00;"",""?00;"", //"""),"'","""")&amp;SUBSTITUTE(TEXT(IF(ISTEXT(Overig!N108),Overig!N108,10*Overig!N108),""",""????0;"",""???-0;"",""????0;"", ////"""),"'","""")&amp;SUBSTITUTE(TEXT(Overig!O108,""",""?00;"",""?-00;"",""?00;"", //"""),"'","""")&amp;SUBSTITUTE(TEXT(IF(ISTEXT(Overig!P108),Overig!P108,10*Overig!P108),""",""????0;"",""???-0;"",""????0;"", ////"""),"'","""")&amp;SUBSTITUTE(TEXT(Overig!Q108,""",""?00;"",""?-00;"",""?00;"", //"""),"'","""")&amp;SUBSTITUTE(TEXT(IF(ISTEXT(Overig!R108),Overig!R108,10*Overig!R108),""",""????0;"",""???-0;"",""????0;"", ////"""),"'","""")&amp;SUBSTITUTE(TEXT(Overig!S108,""",""?00;"",""?-00;"",""?00;"", //"""),"'","""")&amp;SUBSTITUTE(TEXT(Overig!T108,""",""???0;"",""??-0;"",""???0;"", ///"""),"'","""")&amp;SUBSTITUTE(TEXT(Overig!U108,""",""?00;"",""?-00;"",""?00;"", //"""),"'","""")&amp;SUBSTITUTE(TEXT(IF(ISTEXT(Overig!V108),Overig!V108,10*Overig!V108),""",""???0;"",""??-0;"",""???0;"", ///"""),"'","""")&amp;SUBSTITUTE(TEXT(Overig!W108,""",""?00;"",""?-00;"",""?00;"", //"""),"'","""")&amp;SUBSTITUTE(TEXT(IF(ISTEXT(Overig!X108),Overig!X108,10*Overig!X108),""",""????0;"",""???-0;"",""????0;"", ////"""),"'","""")&amp;SUBSTITUTE(TEXT(Overig!Y108,""",""?00;"",""?-00;"",""?00;"", //"""),"'","""")&amp;SUBSTITUTE(TEXT(IF(ISTEXT(Overig!Z108),Overig!Z108,10*Overig!Z108),""",""????0;"",""???-0;"",""????0;"", ////"""),"'","""")&amp;SUBSTITUTE(TEXT(Overig!AA108,""",""?00;"",""?-00;"",""?00;"", //"""),"'","""")&amp;SUBSTITUTE(TEXT(Overig!AB108,""",""???0;"",""??-0;"",""???0;"", ///"""),"'","""")&amp;SUBSTITUTE(TEXT(Overig!AC108,""",""?00;"",""?-00;"",""?00;"", //"""),"'","""")&amp;SUBSTITUTE(TEXT(IF(ISTEXT(Overig!AD108),Overig!AD108,10*Overig!AD108),""",""????0;"",""???-0;"",""????0;"", ////"""),"'","""")&amp;SUBSTITUTE(TEXT(Overig!AE108,""",""?00;"",""?-00;"",""?00;"", //"""),"'","""")&amp;SUBSTITUTE(TEXT(IF(ISTEXT(Overig!AF108),Overig!AF108,10*Overig!AF108),""",""????0;"",""???-0;"",""????0;"", ////"""),"'","""")&amp;SUBSTITUTE(TEXT(Overig!AG108,""",""?00;"",""?-00;"",""?00;"", //"""),"'","""")&amp;SUBSTITUTE(TEXT(Overig!AH108,""",""???0;"",""??-0;"",""???0;"", ///"""),"'","""")&amp;SUBSTITUTE(TEXT(Overig!AI108,""",""?00;"",""?-00;"",""?00;"", //"""),"'","""")&amp;SUBSTITUTE(TEXT(Overig!AJ108,""",""??0;"",""?-0;"",""??0;"", //"""),"'","""")&amp;SUBSTITUTE(TEXT(Overig!AK108,""",""?00;"",""?-00;"",""?00;"", //"""),"'","""")&amp;SUBSTITUTE(IF(EXACT(Overig!AL108,"—"),TEXT(Overig!AL108,""",""????0;"",""???-0;"",""????0;"", ////////////,"""),TEXT(Overig!AL108,"\, \'@""',""")&amp;REPT(" ",10-LEN(Overig!AL108))),"'","""")&amp;SUBSTITUTE(TEXT(Overig!AM108,"?00;?-00;?00;"" //"""),"'","""")&amp;SUBSTITUTE(TEXT(Overig!AN108,""",""???0;"",""??-0;"",""???0;"", ///"""),"'","""")&amp;SUBSTITUTE(TEXT(Overig!AO108,""",""?00;"",""?-00;"",""?00;"", //"""),"'","""")</f>
        <v>78989, 19130417, 0800, ////, 07, /////, 07, ////, 07, /////, 07, ////, 07, ////, 07, ////, 07, ////, 07, ///, 07, ///, 07, ////, 07, ////, 07, ///, 07, ////, 07, ////, 07, ///, 07, //, 07, ////////////, 07, ///, 07</v>
      </c>
    </row>
    <row r="109" spans="1:1" x14ac:dyDescent="0.25">
      <c r="A109" s="75" t="str">
        <f ca="1">TEXT(Overig!A109,"000\,")&amp;TEXT(Overig!B109,"?00000000")&amp;TEXT(Overig!C109,""", ""0000")&amp;SUBSTITUTE(TEXT(IF(ISTEXT(Overig!D109),Overig!D109,10*Overig!D109),""",""????0;"",""???-0;"",""????0;"", ////"""),"'","""")&amp;SUBSTITUTE(TEXT(Overig!E109,""",""?00;"",""?-00;"",""?00;"", //"""),"'","""")&amp;SUBSTITUTE(TEXT(IF(ISTEXT(Overig!F109),Overig!F109,100*Overig!F109),""",""?????0;"",""????-0;"",""?????0;"", /////"""),"'","""")&amp;SUBSTITUTE(TEXT(Overig!G109,""",""?00;"",""?-00;"",""?00;"", //"""),"'","""")&amp;SUBSTITUTE(TEXT(IF(ISTEXT(Overig!H109),Overig!H109,100*Overig!H109),""",""????0;"",""???-0;"",""????0;"", ////"""),"'","""")&amp;SUBSTITUTE(TEXT(Overig!I109,""",""?00;"",""?-00;"",""?00;"", //"""),"'","""")&amp;SUBSTITUTE(TEXT(IF(ISTEXT(Overig!J109),Overig!J109,100*Overig!J109),""",""?????0;"",""????-0;"",""?????0;"", /////"""),"'","""")&amp;SUBSTITUTE(TEXT(Overig!K109,""",""?00;"",""?-00;"",""?00;"", //"""),"'","""")&amp;SUBSTITUTE(TEXT(IF(ISTEXT(Overig!L109),Overig!L109,10*Overig!L109),""",""????0;"",""???-0;"",""????0;"", ////"""),"'","""")&amp;SUBSTITUTE(TEXT(Overig!M109,""",""?00;"",""?-00;"",""?00;"", //"""),"'","""")&amp;SUBSTITUTE(TEXT(IF(ISTEXT(Overig!N109),Overig!N109,10*Overig!N109),""",""????0;"",""???-0;"",""????0;"", ////"""),"'","""")&amp;SUBSTITUTE(TEXT(Overig!O109,""",""?00;"",""?-00;"",""?00;"", //"""),"'","""")&amp;SUBSTITUTE(TEXT(IF(ISTEXT(Overig!P109),Overig!P109,10*Overig!P109),""",""????0;"",""???-0;"",""????0;"", ////"""),"'","""")&amp;SUBSTITUTE(TEXT(Overig!Q109,""",""?00;"",""?-00;"",""?00;"", //"""),"'","""")&amp;SUBSTITUTE(TEXT(IF(ISTEXT(Overig!R109),Overig!R109,10*Overig!R109),""",""????0;"",""???-0;"",""????0;"", ////"""),"'","""")&amp;SUBSTITUTE(TEXT(Overig!S109,""",""?00;"",""?-00;"",""?00;"", //"""),"'","""")&amp;SUBSTITUTE(TEXT(Overig!T109,""",""???0;"",""??-0;"",""???0;"", ///"""),"'","""")&amp;SUBSTITUTE(TEXT(Overig!U109,""",""?00;"",""?-00;"",""?00;"", //"""),"'","""")&amp;SUBSTITUTE(TEXT(IF(ISTEXT(Overig!V109),Overig!V109,10*Overig!V109),""",""???0;"",""??-0;"",""???0;"", ///"""),"'","""")&amp;SUBSTITUTE(TEXT(Overig!W109,""",""?00;"",""?-00;"",""?00;"", //"""),"'","""")&amp;SUBSTITUTE(TEXT(IF(ISTEXT(Overig!X109),Overig!X109,10*Overig!X109),""",""????0;"",""???-0;"",""????0;"", ////"""),"'","""")&amp;SUBSTITUTE(TEXT(Overig!Y109,""",""?00;"",""?-00;"",""?00;"", //"""),"'","""")&amp;SUBSTITUTE(TEXT(IF(ISTEXT(Overig!Z109),Overig!Z109,10*Overig!Z109),""",""????0;"",""???-0;"",""????0;"", ////"""),"'","""")&amp;SUBSTITUTE(TEXT(Overig!AA109,""",""?00;"",""?-00;"",""?00;"", //"""),"'","""")&amp;SUBSTITUTE(TEXT(Overig!AB109,""",""???0;"",""??-0;"",""???0;"", ///"""),"'","""")&amp;SUBSTITUTE(TEXT(Overig!AC109,""",""?00;"",""?-00;"",""?00;"", //"""),"'","""")&amp;SUBSTITUTE(TEXT(IF(ISTEXT(Overig!AD109),Overig!AD109,10*Overig!AD109),""",""????0;"",""???-0;"",""????0;"", ////"""),"'","""")&amp;SUBSTITUTE(TEXT(Overig!AE109,""",""?00;"",""?-00;"",""?00;"", //"""),"'","""")&amp;SUBSTITUTE(TEXT(IF(ISTEXT(Overig!AF109),Overig!AF109,10*Overig!AF109),""",""????0;"",""???-0;"",""????0;"", ////"""),"'","""")&amp;SUBSTITUTE(TEXT(Overig!AG109,""",""?00;"",""?-00;"",""?00;"", //"""),"'","""")&amp;SUBSTITUTE(TEXT(Overig!AH109,""",""???0;"",""??-0;"",""???0;"", ///"""),"'","""")&amp;SUBSTITUTE(TEXT(Overig!AI109,""",""?00;"",""?-00;"",""?00;"", //"""),"'","""")&amp;SUBSTITUTE(TEXT(Overig!AJ109,""",""??0;"",""?-0;"",""??0;"", //"""),"'","""")&amp;SUBSTITUTE(TEXT(Overig!AK109,""",""?00;"",""?-00;"",""?00;"", //"""),"'","""")&amp;SUBSTITUTE(IF(EXACT(Overig!AL109,"—"),TEXT(Overig!AL109,""",""????0;"",""???-0;"",""????0;"", ////////////,"""),TEXT(Overig!AL109,"\, \'@""',""")&amp;REPT(" ",10-LEN(Overig!AL109))),"'","""")&amp;SUBSTITUTE(TEXT(Overig!AM109,"?00;?-00;?00;"" //"""),"'","""")&amp;SUBSTITUTE(TEXT(Overig!AN109,""",""???0;"",""??-0;"",""???0;"", ///"""),"'","""")&amp;SUBSTITUTE(TEXT(Overig!AO109,""",""?00;"",""?-00;"",""?00;"", //"""),"'","""")</f>
        <v>78989, 19130418, 0800, ////, 07, /////, 07, ////, 07, /////, 07, ////, 07, ////, 07, ////, 07, ////, 07, ///, 07, ///, 07, ////, 07, ////, 07, ///, 07, ////, 07, ////, 07, ///, 07, //, 07, ////////////, 07, ///, 07</v>
      </c>
    </row>
    <row r="110" spans="1:1" x14ac:dyDescent="0.25">
      <c r="A110" s="75" t="str">
        <f ca="1">TEXT(Overig!A110,"000\,")&amp;TEXT(Overig!B110,"?00000000")&amp;TEXT(Overig!C110,""", ""0000")&amp;SUBSTITUTE(TEXT(IF(ISTEXT(Overig!D110),Overig!D110,10*Overig!D110),""",""????0;"",""???-0;"",""????0;"", ////"""),"'","""")&amp;SUBSTITUTE(TEXT(Overig!E110,""",""?00;"",""?-00;"",""?00;"", //"""),"'","""")&amp;SUBSTITUTE(TEXT(IF(ISTEXT(Overig!F110),Overig!F110,100*Overig!F110),""",""?????0;"",""????-0;"",""?????0;"", /////"""),"'","""")&amp;SUBSTITUTE(TEXT(Overig!G110,""",""?00;"",""?-00;"",""?00;"", //"""),"'","""")&amp;SUBSTITUTE(TEXT(IF(ISTEXT(Overig!H110),Overig!H110,100*Overig!H110),""",""????0;"",""???-0;"",""????0;"", ////"""),"'","""")&amp;SUBSTITUTE(TEXT(Overig!I110,""",""?00;"",""?-00;"",""?00;"", //"""),"'","""")&amp;SUBSTITUTE(TEXT(IF(ISTEXT(Overig!J110),Overig!J110,100*Overig!J110),""",""?????0;"",""????-0;"",""?????0;"", /////"""),"'","""")&amp;SUBSTITUTE(TEXT(Overig!K110,""",""?00;"",""?-00;"",""?00;"", //"""),"'","""")&amp;SUBSTITUTE(TEXT(IF(ISTEXT(Overig!L110),Overig!L110,10*Overig!L110),""",""????0;"",""???-0;"",""????0;"", ////"""),"'","""")&amp;SUBSTITUTE(TEXT(Overig!M110,""",""?00;"",""?-00;"",""?00;"", //"""),"'","""")&amp;SUBSTITUTE(TEXT(IF(ISTEXT(Overig!N110),Overig!N110,10*Overig!N110),""",""????0;"",""???-0;"",""????0;"", ////"""),"'","""")&amp;SUBSTITUTE(TEXT(Overig!O110,""",""?00;"",""?-00;"",""?00;"", //"""),"'","""")&amp;SUBSTITUTE(TEXT(IF(ISTEXT(Overig!P110),Overig!P110,10*Overig!P110),""",""????0;"",""???-0;"",""????0;"", ////"""),"'","""")&amp;SUBSTITUTE(TEXT(Overig!Q110,""",""?00;"",""?-00;"",""?00;"", //"""),"'","""")&amp;SUBSTITUTE(TEXT(IF(ISTEXT(Overig!R110),Overig!R110,10*Overig!R110),""",""????0;"",""???-0;"",""????0;"", ////"""),"'","""")&amp;SUBSTITUTE(TEXT(Overig!S110,""",""?00;"",""?-00;"",""?00;"", //"""),"'","""")&amp;SUBSTITUTE(TEXT(Overig!T110,""",""???0;"",""??-0;"",""???0;"", ///"""),"'","""")&amp;SUBSTITUTE(TEXT(Overig!U110,""",""?00;"",""?-00;"",""?00;"", //"""),"'","""")&amp;SUBSTITUTE(TEXT(IF(ISTEXT(Overig!V110),Overig!V110,10*Overig!V110),""",""???0;"",""??-0;"",""???0;"", ///"""),"'","""")&amp;SUBSTITUTE(TEXT(Overig!W110,""",""?00;"",""?-00;"",""?00;"", //"""),"'","""")&amp;SUBSTITUTE(TEXT(IF(ISTEXT(Overig!X110),Overig!X110,10*Overig!X110),""",""????0;"",""???-0;"",""????0;"", ////"""),"'","""")&amp;SUBSTITUTE(TEXT(Overig!Y110,""",""?00;"",""?-00;"",""?00;"", //"""),"'","""")&amp;SUBSTITUTE(TEXT(IF(ISTEXT(Overig!Z110),Overig!Z110,10*Overig!Z110),""",""????0;"",""???-0;"",""????0;"", ////"""),"'","""")&amp;SUBSTITUTE(TEXT(Overig!AA110,""",""?00;"",""?-00;"",""?00;"", //"""),"'","""")&amp;SUBSTITUTE(TEXT(Overig!AB110,""",""???0;"",""??-0;"",""???0;"", ///"""),"'","""")&amp;SUBSTITUTE(TEXT(Overig!AC110,""",""?00;"",""?-00;"",""?00;"", //"""),"'","""")&amp;SUBSTITUTE(TEXT(IF(ISTEXT(Overig!AD110),Overig!AD110,10*Overig!AD110),""",""????0;"",""???-0;"",""????0;"", ////"""),"'","""")&amp;SUBSTITUTE(TEXT(Overig!AE110,""",""?00;"",""?-00;"",""?00;"", //"""),"'","""")&amp;SUBSTITUTE(TEXT(IF(ISTEXT(Overig!AF110),Overig!AF110,10*Overig!AF110),""",""????0;"",""???-0;"",""????0;"", ////"""),"'","""")&amp;SUBSTITUTE(TEXT(Overig!AG110,""",""?00;"",""?-00;"",""?00;"", //"""),"'","""")&amp;SUBSTITUTE(TEXT(Overig!AH110,""",""???0;"",""??-0;"",""???0;"", ///"""),"'","""")&amp;SUBSTITUTE(TEXT(Overig!AI110,""",""?00;"",""?-00;"",""?00;"", //"""),"'","""")&amp;SUBSTITUTE(TEXT(Overig!AJ110,""",""??0;"",""?-0;"",""??0;"", //"""),"'","""")&amp;SUBSTITUTE(TEXT(Overig!AK110,""",""?00;"",""?-00;"",""?00;"", //"""),"'","""")&amp;SUBSTITUTE(IF(EXACT(Overig!AL110,"—"),TEXT(Overig!AL110,""",""????0;"",""???-0;"",""????0;"", ////////////,"""),TEXT(Overig!AL110,"\, \'@""',""")&amp;REPT(" ",10-LEN(Overig!AL110))),"'","""")&amp;SUBSTITUTE(TEXT(Overig!AM110,"?00;?-00;?00;"" //"""),"'","""")&amp;SUBSTITUTE(TEXT(Overig!AN110,""",""???0;"",""??-0;"",""???0;"", ///"""),"'","""")&amp;SUBSTITUTE(TEXT(Overig!AO110,""",""?00;"",""?-00;"",""?00;"", //"""),"'","""")</f>
        <v>78989, 19130419, 0800, ////, 07, /////, 07, ////, 07, /////, 07, ////, 07, ////, 07, ////, 07, ////, 07, ///, 07, ///, 07, ////, 07, ////, 07, ///, 07, ////, 07, ////, 07, ///, 07, //, 07, ////////////, 07, ///, 07</v>
      </c>
    </row>
    <row r="111" spans="1:1" x14ac:dyDescent="0.25">
      <c r="A111" s="75" t="str">
        <f ca="1">TEXT(Overig!A111,"000\,")&amp;TEXT(Overig!B111,"?00000000")&amp;TEXT(Overig!C111,""", ""0000")&amp;SUBSTITUTE(TEXT(IF(ISTEXT(Overig!D111),Overig!D111,10*Overig!D111),""",""????0;"",""???-0;"",""????0;"", ////"""),"'","""")&amp;SUBSTITUTE(TEXT(Overig!E111,""",""?00;"",""?-00;"",""?00;"", //"""),"'","""")&amp;SUBSTITUTE(TEXT(IF(ISTEXT(Overig!F111),Overig!F111,100*Overig!F111),""",""?????0;"",""????-0;"",""?????0;"", /////"""),"'","""")&amp;SUBSTITUTE(TEXT(Overig!G111,""",""?00;"",""?-00;"",""?00;"", //"""),"'","""")&amp;SUBSTITUTE(TEXT(IF(ISTEXT(Overig!H111),Overig!H111,100*Overig!H111),""",""????0;"",""???-0;"",""????0;"", ////"""),"'","""")&amp;SUBSTITUTE(TEXT(Overig!I111,""",""?00;"",""?-00;"",""?00;"", //"""),"'","""")&amp;SUBSTITUTE(TEXT(IF(ISTEXT(Overig!J111),Overig!J111,100*Overig!J111),""",""?????0;"",""????-0;"",""?????0;"", /////"""),"'","""")&amp;SUBSTITUTE(TEXT(Overig!K111,""",""?00;"",""?-00;"",""?00;"", //"""),"'","""")&amp;SUBSTITUTE(TEXT(IF(ISTEXT(Overig!L111),Overig!L111,10*Overig!L111),""",""????0;"",""???-0;"",""????0;"", ////"""),"'","""")&amp;SUBSTITUTE(TEXT(Overig!M111,""",""?00;"",""?-00;"",""?00;"", //"""),"'","""")&amp;SUBSTITUTE(TEXT(IF(ISTEXT(Overig!N111),Overig!N111,10*Overig!N111),""",""????0;"",""???-0;"",""????0;"", ////"""),"'","""")&amp;SUBSTITUTE(TEXT(Overig!O111,""",""?00;"",""?-00;"",""?00;"", //"""),"'","""")&amp;SUBSTITUTE(TEXT(IF(ISTEXT(Overig!P111),Overig!P111,10*Overig!P111),""",""????0;"",""???-0;"",""????0;"", ////"""),"'","""")&amp;SUBSTITUTE(TEXT(Overig!Q111,""",""?00;"",""?-00;"",""?00;"", //"""),"'","""")&amp;SUBSTITUTE(TEXT(IF(ISTEXT(Overig!R111),Overig!R111,10*Overig!R111),""",""????0;"",""???-0;"",""????0;"", ////"""),"'","""")&amp;SUBSTITUTE(TEXT(Overig!S111,""",""?00;"",""?-00;"",""?00;"", //"""),"'","""")&amp;SUBSTITUTE(TEXT(Overig!T111,""",""???0;"",""??-0;"",""???0;"", ///"""),"'","""")&amp;SUBSTITUTE(TEXT(Overig!U111,""",""?00;"",""?-00;"",""?00;"", //"""),"'","""")&amp;SUBSTITUTE(TEXT(IF(ISTEXT(Overig!V111),Overig!V111,10*Overig!V111),""",""???0;"",""??-0;"",""???0;"", ///"""),"'","""")&amp;SUBSTITUTE(TEXT(Overig!W111,""",""?00;"",""?-00;"",""?00;"", //"""),"'","""")&amp;SUBSTITUTE(TEXT(IF(ISTEXT(Overig!X111),Overig!X111,10*Overig!X111),""",""????0;"",""???-0;"",""????0;"", ////"""),"'","""")&amp;SUBSTITUTE(TEXT(Overig!Y111,""",""?00;"",""?-00;"",""?00;"", //"""),"'","""")&amp;SUBSTITUTE(TEXT(IF(ISTEXT(Overig!Z111),Overig!Z111,10*Overig!Z111),""",""????0;"",""???-0;"",""????0;"", ////"""),"'","""")&amp;SUBSTITUTE(TEXT(Overig!AA111,""",""?00;"",""?-00;"",""?00;"", //"""),"'","""")&amp;SUBSTITUTE(TEXT(Overig!AB111,""",""???0;"",""??-0;"",""???0;"", ///"""),"'","""")&amp;SUBSTITUTE(TEXT(Overig!AC111,""",""?00;"",""?-00;"",""?00;"", //"""),"'","""")&amp;SUBSTITUTE(TEXT(IF(ISTEXT(Overig!AD111),Overig!AD111,10*Overig!AD111),""",""????0;"",""???-0;"",""????0;"", ////"""),"'","""")&amp;SUBSTITUTE(TEXT(Overig!AE111,""",""?00;"",""?-00;"",""?00;"", //"""),"'","""")&amp;SUBSTITUTE(TEXT(IF(ISTEXT(Overig!AF111),Overig!AF111,10*Overig!AF111),""",""????0;"",""???-0;"",""????0;"", ////"""),"'","""")&amp;SUBSTITUTE(TEXT(Overig!AG111,""",""?00;"",""?-00;"",""?00;"", //"""),"'","""")&amp;SUBSTITUTE(TEXT(Overig!AH111,""",""???0;"",""??-0;"",""???0;"", ///"""),"'","""")&amp;SUBSTITUTE(TEXT(Overig!AI111,""",""?00;"",""?-00;"",""?00;"", //"""),"'","""")&amp;SUBSTITUTE(TEXT(Overig!AJ111,""",""??0;"",""?-0;"",""??0;"", //"""),"'","""")&amp;SUBSTITUTE(TEXT(Overig!AK111,""",""?00;"",""?-00;"",""?00;"", //"""),"'","""")&amp;SUBSTITUTE(IF(EXACT(Overig!AL111,"—"),TEXT(Overig!AL111,""",""????0;"",""???-0;"",""????0;"", ////////////,"""),TEXT(Overig!AL111,"\, \'@""',""")&amp;REPT(" ",10-LEN(Overig!AL111))),"'","""")&amp;SUBSTITUTE(TEXT(Overig!AM111,"?00;?-00;?00;"" //"""),"'","""")&amp;SUBSTITUTE(TEXT(Overig!AN111,""",""???0;"",""??-0;"",""???0;"", ///"""),"'","""")&amp;SUBSTITUTE(TEXT(Overig!AO111,""",""?00;"",""?-00;"",""?00;"", //"""),"'","""")</f>
        <v>78989, 19130420, 0800, ////, 07, /////, 07, ////, 07, /////, 07, ////, 07, ////, 07, ////, 07, ////, 07, ///, 07, ///, 07, ////, 07, ////, 07, ///, 07, ////, 07, ////, 07, ///, 07, //, 07, ////////////, 07, ///, 07</v>
      </c>
    </row>
    <row r="112" spans="1:1" x14ac:dyDescent="0.25">
      <c r="A112" s="75" t="str">
        <f ca="1">TEXT(Overig!A112,"000\,")&amp;TEXT(Overig!B112,"?00000000")&amp;TEXT(Overig!C112,""", ""0000")&amp;SUBSTITUTE(TEXT(IF(ISTEXT(Overig!D112),Overig!D112,10*Overig!D112),""",""????0;"",""???-0;"",""????0;"", ////"""),"'","""")&amp;SUBSTITUTE(TEXT(Overig!E112,""",""?00;"",""?-00;"",""?00;"", //"""),"'","""")&amp;SUBSTITUTE(TEXT(IF(ISTEXT(Overig!F112),Overig!F112,100*Overig!F112),""",""?????0;"",""????-0;"",""?????0;"", /////"""),"'","""")&amp;SUBSTITUTE(TEXT(Overig!G112,""",""?00;"",""?-00;"",""?00;"", //"""),"'","""")&amp;SUBSTITUTE(TEXT(IF(ISTEXT(Overig!H112),Overig!H112,100*Overig!H112),""",""????0;"",""???-0;"",""????0;"", ////"""),"'","""")&amp;SUBSTITUTE(TEXT(Overig!I112,""",""?00;"",""?-00;"",""?00;"", //"""),"'","""")&amp;SUBSTITUTE(TEXT(IF(ISTEXT(Overig!J112),Overig!J112,100*Overig!J112),""",""?????0;"",""????-0;"",""?????0;"", /////"""),"'","""")&amp;SUBSTITUTE(TEXT(Overig!K112,""",""?00;"",""?-00;"",""?00;"", //"""),"'","""")&amp;SUBSTITUTE(TEXT(IF(ISTEXT(Overig!L112),Overig!L112,10*Overig!L112),""",""????0;"",""???-0;"",""????0;"", ////"""),"'","""")&amp;SUBSTITUTE(TEXT(Overig!M112,""",""?00;"",""?-00;"",""?00;"", //"""),"'","""")&amp;SUBSTITUTE(TEXT(IF(ISTEXT(Overig!N112),Overig!N112,10*Overig!N112),""",""????0;"",""???-0;"",""????0;"", ////"""),"'","""")&amp;SUBSTITUTE(TEXT(Overig!O112,""",""?00;"",""?-00;"",""?00;"", //"""),"'","""")&amp;SUBSTITUTE(TEXT(IF(ISTEXT(Overig!P112),Overig!P112,10*Overig!P112),""",""????0;"",""???-0;"",""????0;"", ////"""),"'","""")&amp;SUBSTITUTE(TEXT(Overig!Q112,""",""?00;"",""?-00;"",""?00;"", //"""),"'","""")&amp;SUBSTITUTE(TEXT(IF(ISTEXT(Overig!R112),Overig!R112,10*Overig!R112),""",""????0;"",""???-0;"",""????0;"", ////"""),"'","""")&amp;SUBSTITUTE(TEXT(Overig!S112,""",""?00;"",""?-00;"",""?00;"", //"""),"'","""")&amp;SUBSTITUTE(TEXT(Overig!T112,""",""???0;"",""??-0;"",""???0;"", ///"""),"'","""")&amp;SUBSTITUTE(TEXT(Overig!U112,""",""?00;"",""?-00;"",""?00;"", //"""),"'","""")&amp;SUBSTITUTE(TEXT(IF(ISTEXT(Overig!V112),Overig!V112,10*Overig!V112),""",""???0;"",""??-0;"",""???0;"", ///"""),"'","""")&amp;SUBSTITUTE(TEXT(Overig!W112,""",""?00;"",""?-00;"",""?00;"", //"""),"'","""")&amp;SUBSTITUTE(TEXT(IF(ISTEXT(Overig!X112),Overig!X112,10*Overig!X112),""",""????0;"",""???-0;"",""????0;"", ////"""),"'","""")&amp;SUBSTITUTE(TEXT(Overig!Y112,""",""?00;"",""?-00;"",""?00;"", //"""),"'","""")&amp;SUBSTITUTE(TEXT(IF(ISTEXT(Overig!Z112),Overig!Z112,10*Overig!Z112),""",""????0;"",""???-0;"",""????0;"", ////"""),"'","""")&amp;SUBSTITUTE(TEXT(Overig!AA112,""",""?00;"",""?-00;"",""?00;"", //"""),"'","""")&amp;SUBSTITUTE(TEXT(Overig!AB112,""",""???0;"",""??-0;"",""???0;"", ///"""),"'","""")&amp;SUBSTITUTE(TEXT(Overig!AC112,""",""?00;"",""?-00;"",""?00;"", //"""),"'","""")&amp;SUBSTITUTE(TEXT(IF(ISTEXT(Overig!AD112),Overig!AD112,10*Overig!AD112),""",""????0;"",""???-0;"",""????0;"", ////"""),"'","""")&amp;SUBSTITUTE(TEXT(Overig!AE112,""",""?00;"",""?-00;"",""?00;"", //"""),"'","""")&amp;SUBSTITUTE(TEXT(IF(ISTEXT(Overig!AF112),Overig!AF112,10*Overig!AF112),""",""????0;"",""???-0;"",""????0;"", ////"""),"'","""")&amp;SUBSTITUTE(TEXT(Overig!AG112,""",""?00;"",""?-00;"",""?00;"", //"""),"'","""")&amp;SUBSTITUTE(TEXT(Overig!AH112,""",""???0;"",""??-0;"",""???0;"", ///"""),"'","""")&amp;SUBSTITUTE(TEXT(Overig!AI112,""",""?00;"",""?-00;"",""?00;"", //"""),"'","""")&amp;SUBSTITUTE(TEXT(Overig!AJ112,""",""??0;"",""?-0;"",""??0;"", //"""),"'","""")&amp;SUBSTITUTE(TEXT(Overig!AK112,""",""?00;"",""?-00;"",""?00;"", //"""),"'","""")&amp;SUBSTITUTE(IF(EXACT(Overig!AL112,"—"),TEXT(Overig!AL112,""",""????0;"",""???-0;"",""????0;"", ////////////,"""),TEXT(Overig!AL112,"\, \'@""',""")&amp;REPT(" ",10-LEN(Overig!AL112))),"'","""")&amp;SUBSTITUTE(TEXT(Overig!AM112,"?00;?-00;?00;"" //"""),"'","""")&amp;SUBSTITUTE(TEXT(Overig!AN112,""",""???0;"",""??-0;"",""???0;"", ///"""),"'","""")&amp;SUBSTITUTE(TEXT(Overig!AO112,""",""?00;"",""?-00;"",""?00;"", //"""),"'","""")</f>
        <v>78989, 19130421, 0800, ////, 07, /////, 07, ////, 07, /////, 07, ////, 07, ////, 07, ////, 07, ////, 07, ///, 07, ///, 07, ////, 07, ////, 07, ///, 07, ////, 07, ////, 07, ///, 07, //, 07, ////////////, 07, ///, 07</v>
      </c>
    </row>
    <row r="113" spans="1:1" x14ac:dyDescent="0.25">
      <c r="A113" s="75" t="str">
        <f ca="1">TEXT(Overig!A113,"000\,")&amp;TEXT(Overig!B113,"?00000000")&amp;TEXT(Overig!C113,""", ""0000")&amp;SUBSTITUTE(TEXT(IF(ISTEXT(Overig!D113),Overig!D113,10*Overig!D113),""",""????0;"",""???-0;"",""????0;"", ////"""),"'","""")&amp;SUBSTITUTE(TEXT(Overig!E113,""",""?00;"",""?-00;"",""?00;"", //"""),"'","""")&amp;SUBSTITUTE(TEXT(IF(ISTEXT(Overig!F113),Overig!F113,100*Overig!F113),""",""?????0;"",""????-0;"",""?????0;"", /////"""),"'","""")&amp;SUBSTITUTE(TEXT(Overig!G113,""",""?00;"",""?-00;"",""?00;"", //"""),"'","""")&amp;SUBSTITUTE(TEXT(IF(ISTEXT(Overig!H113),Overig!H113,100*Overig!H113),""",""????0;"",""???-0;"",""????0;"", ////"""),"'","""")&amp;SUBSTITUTE(TEXT(Overig!I113,""",""?00;"",""?-00;"",""?00;"", //"""),"'","""")&amp;SUBSTITUTE(TEXT(IF(ISTEXT(Overig!J113),Overig!J113,100*Overig!J113),""",""?????0;"",""????-0;"",""?????0;"", /////"""),"'","""")&amp;SUBSTITUTE(TEXT(Overig!K113,""",""?00;"",""?-00;"",""?00;"", //"""),"'","""")&amp;SUBSTITUTE(TEXT(IF(ISTEXT(Overig!L113),Overig!L113,10*Overig!L113),""",""????0;"",""???-0;"",""????0;"", ////"""),"'","""")&amp;SUBSTITUTE(TEXT(Overig!M113,""",""?00;"",""?-00;"",""?00;"", //"""),"'","""")&amp;SUBSTITUTE(TEXT(IF(ISTEXT(Overig!N113),Overig!N113,10*Overig!N113),""",""????0;"",""???-0;"",""????0;"", ////"""),"'","""")&amp;SUBSTITUTE(TEXT(Overig!O113,""",""?00;"",""?-00;"",""?00;"", //"""),"'","""")&amp;SUBSTITUTE(TEXT(IF(ISTEXT(Overig!P113),Overig!P113,10*Overig!P113),""",""????0;"",""???-0;"",""????0;"", ////"""),"'","""")&amp;SUBSTITUTE(TEXT(Overig!Q113,""",""?00;"",""?-00;"",""?00;"", //"""),"'","""")&amp;SUBSTITUTE(TEXT(IF(ISTEXT(Overig!R113),Overig!R113,10*Overig!R113),""",""????0;"",""???-0;"",""????0;"", ////"""),"'","""")&amp;SUBSTITUTE(TEXT(Overig!S113,""",""?00;"",""?-00;"",""?00;"", //"""),"'","""")&amp;SUBSTITUTE(TEXT(Overig!T113,""",""???0;"",""??-0;"",""???0;"", ///"""),"'","""")&amp;SUBSTITUTE(TEXT(Overig!U113,""",""?00;"",""?-00;"",""?00;"", //"""),"'","""")&amp;SUBSTITUTE(TEXT(IF(ISTEXT(Overig!V113),Overig!V113,10*Overig!V113),""",""???0;"",""??-0;"",""???0;"", ///"""),"'","""")&amp;SUBSTITUTE(TEXT(Overig!W113,""",""?00;"",""?-00;"",""?00;"", //"""),"'","""")&amp;SUBSTITUTE(TEXT(IF(ISTEXT(Overig!X113),Overig!X113,10*Overig!X113),""",""????0;"",""???-0;"",""????0;"", ////"""),"'","""")&amp;SUBSTITUTE(TEXT(Overig!Y113,""",""?00;"",""?-00;"",""?00;"", //"""),"'","""")&amp;SUBSTITUTE(TEXT(IF(ISTEXT(Overig!Z113),Overig!Z113,10*Overig!Z113),""",""????0;"",""???-0;"",""????0;"", ////"""),"'","""")&amp;SUBSTITUTE(TEXT(Overig!AA113,""",""?00;"",""?-00;"",""?00;"", //"""),"'","""")&amp;SUBSTITUTE(TEXT(Overig!AB113,""",""???0;"",""??-0;"",""???0;"", ///"""),"'","""")&amp;SUBSTITUTE(TEXT(Overig!AC113,""",""?00;"",""?-00;"",""?00;"", //"""),"'","""")&amp;SUBSTITUTE(TEXT(IF(ISTEXT(Overig!AD113),Overig!AD113,10*Overig!AD113),""",""????0;"",""???-0;"",""????0;"", ////"""),"'","""")&amp;SUBSTITUTE(TEXT(Overig!AE113,""",""?00;"",""?-00;"",""?00;"", //"""),"'","""")&amp;SUBSTITUTE(TEXT(IF(ISTEXT(Overig!AF113),Overig!AF113,10*Overig!AF113),""",""????0;"",""???-0;"",""????0;"", ////"""),"'","""")&amp;SUBSTITUTE(TEXT(Overig!AG113,""",""?00;"",""?-00;"",""?00;"", //"""),"'","""")&amp;SUBSTITUTE(TEXT(Overig!AH113,""",""???0;"",""??-0;"",""???0;"", ///"""),"'","""")&amp;SUBSTITUTE(TEXT(Overig!AI113,""",""?00;"",""?-00;"",""?00;"", //"""),"'","""")&amp;SUBSTITUTE(TEXT(Overig!AJ113,""",""??0;"",""?-0;"",""??0;"", //"""),"'","""")&amp;SUBSTITUTE(TEXT(Overig!AK113,""",""?00;"",""?-00;"",""?00;"", //"""),"'","""")&amp;SUBSTITUTE(IF(EXACT(Overig!AL113,"—"),TEXT(Overig!AL113,""",""????0;"",""???-0;"",""????0;"", ////////////,"""),TEXT(Overig!AL113,"\, \'@""',""")&amp;REPT(" ",10-LEN(Overig!AL113))),"'","""")&amp;SUBSTITUTE(TEXT(Overig!AM113,"?00;?-00;?00;"" //"""),"'","""")&amp;SUBSTITUTE(TEXT(Overig!AN113,""",""???0;"",""??-0;"",""???0;"", ///"""),"'","""")&amp;SUBSTITUTE(TEXT(Overig!AO113,""",""?00;"",""?-00;"",""?00;"", //"""),"'","""")</f>
        <v>78989, 19130422, 0800, ////, 07, /////, 07, ////, 07, /////, 07, ////, 07, ////, 07, ////, 07, ////, 07, ///, 07, ///, 07, ////, 07, ////, 07, ///, 07, ////, 07, ////, 07, ///, 07, //, 07, ////////////, 07, ///, 07</v>
      </c>
    </row>
    <row r="114" spans="1:1" x14ac:dyDescent="0.25">
      <c r="A114" s="75" t="str">
        <f ca="1">TEXT(Overig!A114,"000\,")&amp;TEXT(Overig!B114,"?00000000")&amp;TEXT(Overig!C114,""", ""0000")&amp;SUBSTITUTE(TEXT(IF(ISTEXT(Overig!D114),Overig!D114,10*Overig!D114),""",""????0;"",""???-0;"",""????0;"", ////"""),"'","""")&amp;SUBSTITUTE(TEXT(Overig!E114,""",""?00;"",""?-00;"",""?00;"", //"""),"'","""")&amp;SUBSTITUTE(TEXT(IF(ISTEXT(Overig!F114),Overig!F114,100*Overig!F114),""",""?????0;"",""????-0;"",""?????0;"", /////"""),"'","""")&amp;SUBSTITUTE(TEXT(Overig!G114,""",""?00;"",""?-00;"",""?00;"", //"""),"'","""")&amp;SUBSTITUTE(TEXT(IF(ISTEXT(Overig!H114),Overig!H114,100*Overig!H114),""",""????0;"",""???-0;"",""????0;"", ////"""),"'","""")&amp;SUBSTITUTE(TEXT(Overig!I114,""",""?00;"",""?-00;"",""?00;"", //"""),"'","""")&amp;SUBSTITUTE(TEXT(IF(ISTEXT(Overig!J114),Overig!J114,100*Overig!J114),""",""?????0;"",""????-0;"",""?????0;"", /////"""),"'","""")&amp;SUBSTITUTE(TEXT(Overig!K114,""",""?00;"",""?-00;"",""?00;"", //"""),"'","""")&amp;SUBSTITUTE(TEXT(IF(ISTEXT(Overig!L114),Overig!L114,10*Overig!L114),""",""????0;"",""???-0;"",""????0;"", ////"""),"'","""")&amp;SUBSTITUTE(TEXT(Overig!M114,""",""?00;"",""?-00;"",""?00;"", //"""),"'","""")&amp;SUBSTITUTE(TEXT(IF(ISTEXT(Overig!N114),Overig!N114,10*Overig!N114),""",""????0;"",""???-0;"",""????0;"", ////"""),"'","""")&amp;SUBSTITUTE(TEXT(Overig!O114,""",""?00;"",""?-00;"",""?00;"", //"""),"'","""")&amp;SUBSTITUTE(TEXT(IF(ISTEXT(Overig!P114),Overig!P114,10*Overig!P114),""",""????0;"",""???-0;"",""????0;"", ////"""),"'","""")&amp;SUBSTITUTE(TEXT(Overig!Q114,""",""?00;"",""?-00;"",""?00;"", //"""),"'","""")&amp;SUBSTITUTE(TEXT(IF(ISTEXT(Overig!R114),Overig!R114,10*Overig!R114),""",""????0;"",""???-0;"",""????0;"", ////"""),"'","""")&amp;SUBSTITUTE(TEXT(Overig!S114,""",""?00;"",""?-00;"",""?00;"", //"""),"'","""")&amp;SUBSTITUTE(TEXT(Overig!T114,""",""???0;"",""??-0;"",""???0;"", ///"""),"'","""")&amp;SUBSTITUTE(TEXT(Overig!U114,""",""?00;"",""?-00;"",""?00;"", //"""),"'","""")&amp;SUBSTITUTE(TEXT(IF(ISTEXT(Overig!V114),Overig!V114,10*Overig!V114),""",""???0;"",""??-0;"",""???0;"", ///"""),"'","""")&amp;SUBSTITUTE(TEXT(Overig!W114,""",""?00;"",""?-00;"",""?00;"", //"""),"'","""")&amp;SUBSTITUTE(TEXT(IF(ISTEXT(Overig!X114),Overig!X114,10*Overig!X114),""",""????0;"",""???-0;"",""????0;"", ////"""),"'","""")&amp;SUBSTITUTE(TEXT(Overig!Y114,""",""?00;"",""?-00;"",""?00;"", //"""),"'","""")&amp;SUBSTITUTE(TEXT(IF(ISTEXT(Overig!Z114),Overig!Z114,10*Overig!Z114),""",""????0;"",""???-0;"",""????0;"", ////"""),"'","""")&amp;SUBSTITUTE(TEXT(Overig!AA114,""",""?00;"",""?-00;"",""?00;"", //"""),"'","""")&amp;SUBSTITUTE(TEXT(Overig!AB114,""",""???0;"",""??-0;"",""???0;"", ///"""),"'","""")&amp;SUBSTITUTE(TEXT(Overig!AC114,""",""?00;"",""?-00;"",""?00;"", //"""),"'","""")&amp;SUBSTITUTE(TEXT(IF(ISTEXT(Overig!AD114),Overig!AD114,10*Overig!AD114),""",""????0;"",""???-0;"",""????0;"", ////"""),"'","""")&amp;SUBSTITUTE(TEXT(Overig!AE114,""",""?00;"",""?-00;"",""?00;"", //"""),"'","""")&amp;SUBSTITUTE(TEXT(IF(ISTEXT(Overig!AF114),Overig!AF114,10*Overig!AF114),""",""????0;"",""???-0;"",""????0;"", ////"""),"'","""")&amp;SUBSTITUTE(TEXT(Overig!AG114,""",""?00;"",""?-00;"",""?00;"", //"""),"'","""")&amp;SUBSTITUTE(TEXT(Overig!AH114,""",""???0;"",""??-0;"",""???0;"", ///"""),"'","""")&amp;SUBSTITUTE(TEXT(Overig!AI114,""",""?00;"",""?-00;"",""?00;"", //"""),"'","""")&amp;SUBSTITUTE(TEXT(Overig!AJ114,""",""??0;"",""?-0;"",""??0;"", //"""),"'","""")&amp;SUBSTITUTE(TEXT(Overig!AK114,""",""?00;"",""?-00;"",""?00;"", //"""),"'","""")&amp;SUBSTITUTE(IF(EXACT(Overig!AL114,"—"),TEXT(Overig!AL114,""",""????0;"",""???-0;"",""????0;"", ////////////,"""),TEXT(Overig!AL114,"\, \'@""',""")&amp;REPT(" ",10-LEN(Overig!AL114))),"'","""")&amp;SUBSTITUTE(TEXT(Overig!AM114,"?00;?-00;?00;"" //"""),"'","""")&amp;SUBSTITUTE(TEXT(Overig!AN114,""",""???0;"",""??-0;"",""???0;"", ///"""),"'","""")&amp;SUBSTITUTE(TEXT(Overig!AO114,""",""?00;"",""?-00;"",""?00;"", //"""),"'","""")</f>
        <v>78989, 19130423, 0800, ////, 07, /////, 07, ////, 07, /////, 07, ////, 07, ////, 07, ////, 07, ////, 07, ///, 07, ///, 07, ////, 07, ////, 07, ///, 07, ////, 07, ////, 07, ///, 07, //, 07, ////////////, 07, ///, 07</v>
      </c>
    </row>
    <row r="115" spans="1:1" x14ac:dyDescent="0.25">
      <c r="A115" s="75" t="str">
        <f ca="1">TEXT(Overig!A115,"000\,")&amp;TEXT(Overig!B115,"?00000000")&amp;TEXT(Overig!C115,""", ""0000")&amp;SUBSTITUTE(TEXT(IF(ISTEXT(Overig!D115),Overig!D115,10*Overig!D115),""",""????0;"",""???-0;"",""????0;"", ////"""),"'","""")&amp;SUBSTITUTE(TEXT(Overig!E115,""",""?00;"",""?-00;"",""?00;"", //"""),"'","""")&amp;SUBSTITUTE(TEXT(IF(ISTEXT(Overig!F115),Overig!F115,100*Overig!F115),""",""?????0;"",""????-0;"",""?????0;"", /////"""),"'","""")&amp;SUBSTITUTE(TEXT(Overig!G115,""",""?00;"",""?-00;"",""?00;"", //"""),"'","""")&amp;SUBSTITUTE(TEXT(IF(ISTEXT(Overig!H115),Overig!H115,100*Overig!H115),""",""????0;"",""???-0;"",""????0;"", ////"""),"'","""")&amp;SUBSTITUTE(TEXT(Overig!I115,""",""?00;"",""?-00;"",""?00;"", //"""),"'","""")&amp;SUBSTITUTE(TEXT(IF(ISTEXT(Overig!J115),Overig!J115,100*Overig!J115),""",""?????0;"",""????-0;"",""?????0;"", /////"""),"'","""")&amp;SUBSTITUTE(TEXT(Overig!K115,""",""?00;"",""?-00;"",""?00;"", //"""),"'","""")&amp;SUBSTITUTE(TEXT(IF(ISTEXT(Overig!L115),Overig!L115,10*Overig!L115),""",""????0;"",""???-0;"",""????0;"", ////"""),"'","""")&amp;SUBSTITUTE(TEXT(Overig!M115,""",""?00;"",""?-00;"",""?00;"", //"""),"'","""")&amp;SUBSTITUTE(TEXT(IF(ISTEXT(Overig!N115),Overig!N115,10*Overig!N115),""",""????0;"",""???-0;"",""????0;"", ////"""),"'","""")&amp;SUBSTITUTE(TEXT(Overig!O115,""",""?00;"",""?-00;"",""?00;"", //"""),"'","""")&amp;SUBSTITUTE(TEXT(IF(ISTEXT(Overig!P115),Overig!P115,10*Overig!P115),""",""????0;"",""???-0;"",""????0;"", ////"""),"'","""")&amp;SUBSTITUTE(TEXT(Overig!Q115,""",""?00;"",""?-00;"",""?00;"", //"""),"'","""")&amp;SUBSTITUTE(TEXT(IF(ISTEXT(Overig!R115),Overig!R115,10*Overig!R115),""",""????0;"",""???-0;"",""????0;"", ////"""),"'","""")&amp;SUBSTITUTE(TEXT(Overig!S115,""",""?00;"",""?-00;"",""?00;"", //"""),"'","""")&amp;SUBSTITUTE(TEXT(Overig!T115,""",""???0;"",""??-0;"",""???0;"", ///"""),"'","""")&amp;SUBSTITUTE(TEXT(Overig!U115,""",""?00;"",""?-00;"",""?00;"", //"""),"'","""")&amp;SUBSTITUTE(TEXT(IF(ISTEXT(Overig!V115),Overig!V115,10*Overig!V115),""",""???0;"",""??-0;"",""???0;"", ///"""),"'","""")&amp;SUBSTITUTE(TEXT(Overig!W115,""",""?00;"",""?-00;"",""?00;"", //"""),"'","""")&amp;SUBSTITUTE(TEXT(IF(ISTEXT(Overig!X115),Overig!X115,10*Overig!X115),""",""????0;"",""???-0;"",""????0;"", ////"""),"'","""")&amp;SUBSTITUTE(TEXT(Overig!Y115,""",""?00;"",""?-00;"",""?00;"", //"""),"'","""")&amp;SUBSTITUTE(TEXT(IF(ISTEXT(Overig!Z115),Overig!Z115,10*Overig!Z115),""",""????0;"",""???-0;"",""????0;"", ////"""),"'","""")&amp;SUBSTITUTE(TEXT(Overig!AA115,""",""?00;"",""?-00;"",""?00;"", //"""),"'","""")&amp;SUBSTITUTE(TEXT(Overig!AB115,""",""???0;"",""??-0;"",""???0;"", ///"""),"'","""")&amp;SUBSTITUTE(TEXT(Overig!AC115,""",""?00;"",""?-00;"",""?00;"", //"""),"'","""")&amp;SUBSTITUTE(TEXT(IF(ISTEXT(Overig!AD115),Overig!AD115,10*Overig!AD115),""",""????0;"",""???-0;"",""????0;"", ////"""),"'","""")&amp;SUBSTITUTE(TEXT(Overig!AE115,""",""?00;"",""?-00;"",""?00;"", //"""),"'","""")&amp;SUBSTITUTE(TEXT(IF(ISTEXT(Overig!AF115),Overig!AF115,10*Overig!AF115),""",""????0;"",""???-0;"",""????0;"", ////"""),"'","""")&amp;SUBSTITUTE(TEXT(Overig!AG115,""",""?00;"",""?-00;"",""?00;"", //"""),"'","""")&amp;SUBSTITUTE(TEXT(Overig!AH115,""",""???0;"",""??-0;"",""???0;"", ///"""),"'","""")&amp;SUBSTITUTE(TEXT(Overig!AI115,""",""?00;"",""?-00;"",""?00;"", //"""),"'","""")&amp;SUBSTITUTE(TEXT(Overig!AJ115,""",""??0;"",""?-0;"",""??0;"", //"""),"'","""")&amp;SUBSTITUTE(TEXT(Overig!AK115,""",""?00;"",""?-00;"",""?00;"", //"""),"'","""")&amp;SUBSTITUTE(IF(EXACT(Overig!AL115,"—"),TEXT(Overig!AL115,""",""????0;"",""???-0;"",""????0;"", ////////////,"""),TEXT(Overig!AL115,"\, \'@""',""")&amp;REPT(" ",10-LEN(Overig!AL115))),"'","""")&amp;SUBSTITUTE(TEXT(Overig!AM115,"?00;?-00;?00;"" //"""),"'","""")&amp;SUBSTITUTE(TEXT(Overig!AN115,""",""???0;"",""??-0;"",""???0;"", ///"""),"'","""")&amp;SUBSTITUTE(TEXT(Overig!AO115,""",""?00;"",""?-00;"",""?00;"", //"""),"'","""")</f>
        <v>78989, 19130424, 0800, ////, 07, /////, 07, ////, 07, /////, 07, ////, 07, ////, 07, ////, 07, ////, 07, ///, 07, ///, 07, ////, 07, ////, 07, ///, 07, ////, 07, ////, 07, ///, 07, //, 07, ////////////, 07, ///, 07</v>
      </c>
    </row>
    <row r="116" spans="1:1" x14ac:dyDescent="0.25">
      <c r="A116" s="75" t="str">
        <f ca="1">TEXT(Overig!A116,"000\,")&amp;TEXT(Overig!B116,"?00000000")&amp;TEXT(Overig!C116,""", ""0000")&amp;SUBSTITUTE(TEXT(IF(ISTEXT(Overig!D116),Overig!D116,10*Overig!D116),""",""????0;"",""???-0;"",""????0;"", ////"""),"'","""")&amp;SUBSTITUTE(TEXT(Overig!E116,""",""?00;"",""?-00;"",""?00;"", //"""),"'","""")&amp;SUBSTITUTE(TEXT(IF(ISTEXT(Overig!F116),Overig!F116,100*Overig!F116),""",""?????0;"",""????-0;"",""?????0;"", /////"""),"'","""")&amp;SUBSTITUTE(TEXT(Overig!G116,""",""?00;"",""?-00;"",""?00;"", //"""),"'","""")&amp;SUBSTITUTE(TEXT(IF(ISTEXT(Overig!H116),Overig!H116,100*Overig!H116),""",""????0;"",""???-0;"",""????0;"", ////"""),"'","""")&amp;SUBSTITUTE(TEXT(Overig!I116,""",""?00;"",""?-00;"",""?00;"", //"""),"'","""")&amp;SUBSTITUTE(TEXT(IF(ISTEXT(Overig!J116),Overig!J116,100*Overig!J116),""",""?????0;"",""????-0;"",""?????0;"", /////"""),"'","""")&amp;SUBSTITUTE(TEXT(Overig!K116,""",""?00;"",""?-00;"",""?00;"", //"""),"'","""")&amp;SUBSTITUTE(TEXT(IF(ISTEXT(Overig!L116),Overig!L116,10*Overig!L116),""",""????0;"",""???-0;"",""????0;"", ////"""),"'","""")&amp;SUBSTITUTE(TEXT(Overig!M116,""",""?00;"",""?-00;"",""?00;"", //"""),"'","""")&amp;SUBSTITUTE(TEXT(IF(ISTEXT(Overig!N116),Overig!N116,10*Overig!N116),""",""????0;"",""???-0;"",""????0;"", ////"""),"'","""")&amp;SUBSTITUTE(TEXT(Overig!O116,""",""?00;"",""?-00;"",""?00;"", //"""),"'","""")&amp;SUBSTITUTE(TEXT(IF(ISTEXT(Overig!P116),Overig!P116,10*Overig!P116),""",""????0;"",""???-0;"",""????0;"", ////"""),"'","""")&amp;SUBSTITUTE(TEXT(Overig!Q116,""",""?00;"",""?-00;"",""?00;"", //"""),"'","""")&amp;SUBSTITUTE(TEXT(IF(ISTEXT(Overig!R116),Overig!R116,10*Overig!R116),""",""????0;"",""???-0;"",""????0;"", ////"""),"'","""")&amp;SUBSTITUTE(TEXT(Overig!S116,""",""?00;"",""?-00;"",""?00;"", //"""),"'","""")&amp;SUBSTITUTE(TEXT(Overig!T116,""",""???0;"",""??-0;"",""???0;"", ///"""),"'","""")&amp;SUBSTITUTE(TEXT(Overig!U116,""",""?00;"",""?-00;"",""?00;"", //"""),"'","""")&amp;SUBSTITUTE(TEXT(IF(ISTEXT(Overig!V116),Overig!V116,10*Overig!V116),""",""???0;"",""??-0;"",""???0;"", ///"""),"'","""")&amp;SUBSTITUTE(TEXT(Overig!W116,""",""?00;"",""?-00;"",""?00;"", //"""),"'","""")&amp;SUBSTITUTE(TEXT(IF(ISTEXT(Overig!X116),Overig!X116,10*Overig!X116),""",""????0;"",""???-0;"",""????0;"", ////"""),"'","""")&amp;SUBSTITUTE(TEXT(Overig!Y116,""",""?00;"",""?-00;"",""?00;"", //"""),"'","""")&amp;SUBSTITUTE(TEXT(IF(ISTEXT(Overig!Z116),Overig!Z116,10*Overig!Z116),""",""????0;"",""???-0;"",""????0;"", ////"""),"'","""")&amp;SUBSTITUTE(TEXT(Overig!AA116,""",""?00;"",""?-00;"",""?00;"", //"""),"'","""")&amp;SUBSTITUTE(TEXT(Overig!AB116,""",""???0;"",""??-0;"",""???0;"", ///"""),"'","""")&amp;SUBSTITUTE(TEXT(Overig!AC116,""",""?00;"",""?-00;"",""?00;"", //"""),"'","""")&amp;SUBSTITUTE(TEXT(IF(ISTEXT(Overig!AD116),Overig!AD116,10*Overig!AD116),""",""????0;"",""???-0;"",""????0;"", ////"""),"'","""")&amp;SUBSTITUTE(TEXT(Overig!AE116,""",""?00;"",""?-00;"",""?00;"", //"""),"'","""")&amp;SUBSTITUTE(TEXT(IF(ISTEXT(Overig!AF116),Overig!AF116,10*Overig!AF116),""",""????0;"",""???-0;"",""????0;"", ////"""),"'","""")&amp;SUBSTITUTE(TEXT(Overig!AG116,""",""?00;"",""?-00;"",""?00;"", //"""),"'","""")&amp;SUBSTITUTE(TEXT(Overig!AH116,""",""???0;"",""??-0;"",""???0;"", ///"""),"'","""")&amp;SUBSTITUTE(TEXT(Overig!AI116,""",""?00;"",""?-00;"",""?00;"", //"""),"'","""")&amp;SUBSTITUTE(TEXT(Overig!AJ116,""",""??0;"",""?-0;"",""??0;"", //"""),"'","""")&amp;SUBSTITUTE(TEXT(Overig!AK116,""",""?00;"",""?-00;"",""?00;"", //"""),"'","""")&amp;SUBSTITUTE(IF(EXACT(Overig!AL116,"—"),TEXT(Overig!AL116,""",""????0;"",""???-0;"",""????0;"", ////////////,"""),TEXT(Overig!AL116,"\, \'@""',""")&amp;REPT(" ",10-LEN(Overig!AL116))),"'","""")&amp;SUBSTITUTE(TEXT(Overig!AM116,"?00;?-00;?00;"" //"""),"'","""")&amp;SUBSTITUTE(TEXT(Overig!AN116,""",""???0;"",""??-0;"",""???0;"", ///"""),"'","""")&amp;SUBSTITUTE(TEXT(Overig!AO116,""",""?00;"",""?-00;"",""?00;"", //"""),"'","""")</f>
        <v>78989, 19130425, 0800, ////, 07, /////, 07, ////, 07, /////, 07, ////, 07, ////, 07, ////, 07, ////, 07, ///, 07, ///, 07, ////, 07, ////, 07, ///, 07, ////, 07, ////, 07, ///, 07, //, 07, ////////////, 07, ///, 07</v>
      </c>
    </row>
    <row r="117" spans="1:1" x14ac:dyDescent="0.25">
      <c r="A117" s="75" t="str">
        <f ca="1">TEXT(Overig!A117,"000\,")&amp;TEXT(Overig!B117,"?00000000")&amp;TEXT(Overig!C117,""", ""0000")&amp;SUBSTITUTE(TEXT(IF(ISTEXT(Overig!D117),Overig!D117,10*Overig!D117),""",""????0;"",""???-0;"",""????0;"", ////"""),"'","""")&amp;SUBSTITUTE(TEXT(Overig!E117,""",""?00;"",""?-00;"",""?00;"", //"""),"'","""")&amp;SUBSTITUTE(TEXT(IF(ISTEXT(Overig!F117),Overig!F117,100*Overig!F117),""",""?????0;"",""????-0;"",""?????0;"", /////"""),"'","""")&amp;SUBSTITUTE(TEXT(Overig!G117,""",""?00;"",""?-00;"",""?00;"", //"""),"'","""")&amp;SUBSTITUTE(TEXT(IF(ISTEXT(Overig!H117),Overig!H117,100*Overig!H117),""",""????0;"",""???-0;"",""????0;"", ////"""),"'","""")&amp;SUBSTITUTE(TEXT(Overig!I117,""",""?00;"",""?-00;"",""?00;"", //"""),"'","""")&amp;SUBSTITUTE(TEXT(IF(ISTEXT(Overig!J117),Overig!J117,100*Overig!J117),""",""?????0;"",""????-0;"",""?????0;"", /////"""),"'","""")&amp;SUBSTITUTE(TEXT(Overig!K117,""",""?00;"",""?-00;"",""?00;"", //"""),"'","""")&amp;SUBSTITUTE(TEXT(IF(ISTEXT(Overig!L117),Overig!L117,10*Overig!L117),""",""????0;"",""???-0;"",""????0;"", ////"""),"'","""")&amp;SUBSTITUTE(TEXT(Overig!M117,""",""?00;"",""?-00;"",""?00;"", //"""),"'","""")&amp;SUBSTITUTE(TEXT(IF(ISTEXT(Overig!N117),Overig!N117,10*Overig!N117),""",""????0;"",""???-0;"",""????0;"", ////"""),"'","""")&amp;SUBSTITUTE(TEXT(Overig!O117,""",""?00;"",""?-00;"",""?00;"", //"""),"'","""")&amp;SUBSTITUTE(TEXT(IF(ISTEXT(Overig!P117),Overig!P117,10*Overig!P117),""",""????0;"",""???-0;"",""????0;"", ////"""),"'","""")&amp;SUBSTITUTE(TEXT(Overig!Q117,""",""?00;"",""?-00;"",""?00;"", //"""),"'","""")&amp;SUBSTITUTE(TEXT(IF(ISTEXT(Overig!R117),Overig!R117,10*Overig!R117),""",""????0;"",""???-0;"",""????0;"", ////"""),"'","""")&amp;SUBSTITUTE(TEXT(Overig!S117,""",""?00;"",""?-00;"",""?00;"", //"""),"'","""")&amp;SUBSTITUTE(TEXT(Overig!T117,""",""???0;"",""??-0;"",""???0;"", ///"""),"'","""")&amp;SUBSTITUTE(TEXT(Overig!U117,""",""?00;"",""?-00;"",""?00;"", //"""),"'","""")&amp;SUBSTITUTE(TEXT(IF(ISTEXT(Overig!V117),Overig!V117,10*Overig!V117),""",""???0;"",""??-0;"",""???0;"", ///"""),"'","""")&amp;SUBSTITUTE(TEXT(Overig!W117,""",""?00;"",""?-00;"",""?00;"", //"""),"'","""")&amp;SUBSTITUTE(TEXT(IF(ISTEXT(Overig!X117),Overig!X117,10*Overig!X117),""",""????0;"",""???-0;"",""????0;"", ////"""),"'","""")&amp;SUBSTITUTE(TEXT(Overig!Y117,""",""?00;"",""?-00;"",""?00;"", //"""),"'","""")&amp;SUBSTITUTE(TEXT(IF(ISTEXT(Overig!Z117),Overig!Z117,10*Overig!Z117),""",""????0;"",""???-0;"",""????0;"", ////"""),"'","""")&amp;SUBSTITUTE(TEXT(Overig!AA117,""",""?00;"",""?-00;"",""?00;"", //"""),"'","""")&amp;SUBSTITUTE(TEXT(Overig!AB117,""",""???0;"",""??-0;"",""???0;"", ///"""),"'","""")&amp;SUBSTITUTE(TEXT(Overig!AC117,""",""?00;"",""?-00;"",""?00;"", //"""),"'","""")&amp;SUBSTITUTE(TEXT(IF(ISTEXT(Overig!AD117),Overig!AD117,10*Overig!AD117),""",""????0;"",""???-0;"",""????0;"", ////"""),"'","""")&amp;SUBSTITUTE(TEXT(Overig!AE117,""",""?00;"",""?-00;"",""?00;"", //"""),"'","""")&amp;SUBSTITUTE(TEXT(IF(ISTEXT(Overig!AF117),Overig!AF117,10*Overig!AF117),""",""????0;"",""???-0;"",""????0;"", ////"""),"'","""")&amp;SUBSTITUTE(TEXT(Overig!AG117,""",""?00;"",""?-00;"",""?00;"", //"""),"'","""")&amp;SUBSTITUTE(TEXT(Overig!AH117,""",""???0;"",""??-0;"",""???0;"", ///"""),"'","""")&amp;SUBSTITUTE(TEXT(Overig!AI117,""",""?00;"",""?-00;"",""?00;"", //"""),"'","""")&amp;SUBSTITUTE(TEXT(Overig!AJ117,""",""??0;"",""?-0;"",""??0;"", //"""),"'","""")&amp;SUBSTITUTE(TEXT(Overig!AK117,""",""?00;"",""?-00;"",""?00;"", //"""),"'","""")&amp;SUBSTITUTE(IF(EXACT(Overig!AL117,"—"),TEXT(Overig!AL117,""",""????0;"",""???-0;"",""????0;"", ////////////,"""),TEXT(Overig!AL117,"\, \'@""',""")&amp;REPT(" ",10-LEN(Overig!AL117))),"'","""")&amp;SUBSTITUTE(TEXT(Overig!AM117,"?00;?-00;?00;"" //"""),"'","""")&amp;SUBSTITUTE(TEXT(Overig!AN117,""",""???0;"",""??-0;"",""???0;"", ///"""),"'","""")&amp;SUBSTITUTE(TEXT(Overig!AO117,""",""?00;"",""?-00;"",""?00;"", //"""),"'","""")</f>
        <v>78989, 19130426, 0800, ////, 07, /////, 07, ////, 07, /////, 07, ////, 07, ////, 07, ////, 07, ////, 07, ///, 07, ///, 07, ////, 07, ////, 07, ///, 07, ////, 07, ////, 07, ///, 07, //, 07, ////////////, 07, ///, 07</v>
      </c>
    </row>
    <row r="118" spans="1:1" x14ac:dyDescent="0.25">
      <c r="A118" s="75" t="str">
        <f ca="1">TEXT(Overig!A118,"000\,")&amp;TEXT(Overig!B118,"?00000000")&amp;TEXT(Overig!C118,""", ""0000")&amp;SUBSTITUTE(TEXT(IF(ISTEXT(Overig!D118),Overig!D118,10*Overig!D118),""",""????0;"",""???-0;"",""????0;"", ////"""),"'","""")&amp;SUBSTITUTE(TEXT(Overig!E118,""",""?00;"",""?-00;"",""?00;"", //"""),"'","""")&amp;SUBSTITUTE(TEXT(IF(ISTEXT(Overig!F118),Overig!F118,100*Overig!F118),""",""?????0;"",""????-0;"",""?????0;"", /////"""),"'","""")&amp;SUBSTITUTE(TEXT(Overig!G118,""",""?00;"",""?-00;"",""?00;"", //"""),"'","""")&amp;SUBSTITUTE(TEXT(IF(ISTEXT(Overig!H118),Overig!H118,100*Overig!H118),""",""????0;"",""???-0;"",""????0;"", ////"""),"'","""")&amp;SUBSTITUTE(TEXT(Overig!I118,""",""?00;"",""?-00;"",""?00;"", //"""),"'","""")&amp;SUBSTITUTE(TEXT(IF(ISTEXT(Overig!J118),Overig!J118,100*Overig!J118),""",""?????0;"",""????-0;"",""?????0;"", /////"""),"'","""")&amp;SUBSTITUTE(TEXT(Overig!K118,""",""?00;"",""?-00;"",""?00;"", //"""),"'","""")&amp;SUBSTITUTE(TEXT(IF(ISTEXT(Overig!L118),Overig!L118,10*Overig!L118),""",""????0;"",""???-0;"",""????0;"", ////"""),"'","""")&amp;SUBSTITUTE(TEXT(Overig!M118,""",""?00;"",""?-00;"",""?00;"", //"""),"'","""")&amp;SUBSTITUTE(TEXT(IF(ISTEXT(Overig!N118),Overig!N118,10*Overig!N118),""",""????0;"",""???-0;"",""????0;"", ////"""),"'","""")&amp;SUBSTITUTE(TEXT(Overig!O118,""",""?00;"",""?-00;"",""?00;"", //"""),"'","""")&amp;SUBSTITUTE(TEXT(IF(ISTEXT(Overig!P118),Overig!P118,10*Overig!P118),""",""????0;"",""???-0;"",""????0;"", ////"""),"'","""")&amp;SUBSTITUTE(TEXT(Overig!Q118,""",""?00;"",""?-00;"",""?00;"", //"""),"'","""")&amp;SUBSTITUTE(TEXT(IF(ISTEXT(Overig!R118),Overig!R118,10*Overig!R118),""",""????0;"",""???-0;"",""????0;"", ////"""),"'","""")&amp;SUBSTITUTE(TEXT(Overig!S118,""",""?00;"",""?-00;"",""?00;"", //"""),"'","""")&amp;SUBSTITUTE(TEXT(Overig!T118,""",""???0;"",""??-0;"",""???0;"", ///"""),"'","""")&amp;SUBSTITUTE(TEXT(Overig!U118,""",""?00;"",""?-00;"",""?00;"", //"""),"'","""")&amp;SUBSTITUTE(TEXT(IF(ISTEXT(Overig!V118),Overig!V118,10*Overig!V118),""",""???0;"",""??-0;"",""???0;"", ///"""),"'","""")&amp;SUBSTITUTE(TEXT(Overig!W118,""",""?00;"",""?-00;"",""?00;"", //"""),"'","""")&amp;SUBSTITUTE(TEXT(IF(ISTEXT(Overig!X118),Overig!X118,10*Overig!X118),""",""????0;"",""???-0;"",""????0;"", ////"""),"'","""")&amp;SUBSTITUTE(TEXT(Overig!Y118,""",""?00;"",""?-00;"",""?00;"", //"""),"'","""")&amp;SUBSTITUTE(TEXT(IF(ISTEXT(Overig!Z118),Overig!Z118,10*Overig!Z118),""",""????0;"",""???-0;"",""????0;"", ////"""),"'","""")&amp;SUBSTITUTE(TEXT(Overig!AA118,""",""?00;"",""?-00;"",""?00;"", //"""),"'","""")&amp;SUBSTITUTE(TEXT(Overig!AB118,""",""???0;"",""??-0;"",""???0;"", ///"""),"'","""")&amp;SUBSTITUTE(TEXT(Overig!AC118,""",""?00;"",""?-00;"",""?00;"", //"""),"'","""")&amp;SUBSTITUTE(TEXT(IF(ISTEXT(Overig!AD118),Overig!AD118,10*Overig!AD118),""",""????0;"",""???-0;"",""????0;"", ////"""),"'","""")&amp;SUBSTITUTE(TEXT(Overig!AE118,""",""?00;"",""?-00;"",""?00;"", //"""),"'","""")&amp;SUBSTITUTE(TEXT(IF(ISTEXT(Overig!AF118),Overig!AF118,10*Overig!AF118),""",""????0;"",""???-0;"",""????0;"", ////"""),"'","""")&amp;SUBSTITUTE(TEXT(Overig!AG118,""",""?00;"",""?-00;"",""?00;"", //"""),"'","""")&amp;SUBSTITUTE(TEXT(Overig!AH118,""",""???0;"",""??-0;"",""???0;"", ///"""),"'","""")&amp;SUBSTITUTE(TEXT(Overig!AI118,""",""?00;"",""?-00;"",""?00;"", //"""),"'","""")&amp;SUBSTITUTE(TEXT(Overig!AJ118,""",""??0;"",""?-0;"",""??0;"", //"""),"'","""")&amp;SUBSTITUTE(TEXT(Overig!AK118,""",""?00;"",""?-00;"",""?00;"", //"""),"'","""")&amp;SUBSTITUTE(IF(EXACT(Overig!AL118,"—"),TEXT(Overig!AL118,""",""????0;"",""???-0;"",""????0;"", ////////////,"""),TEXT(Overig!AL118,"\, \'@""',""")&amp;REPT(" ",10-LEN(Overig!AL118))),"'","""")&amp;SUBSTITUTE(TEXT(Overig!AM118,"?00;?-00;?00;"" //"""),"'","""")&amp;SUBSTITUTE(TEXT(Overig!AN118,""",""???0;"",""??-0;"",""???0;"", ///"""),"'","""")&amp;SUBSTITUTE(TEXT(Overig!AO118,""",""?00;"",""?-00;"",""?00;"", //"""),"'","""")</f>
        <v>78989, 19130427, 0800, ////, 07, /////, 07, ////, 07, /////, 07, ////, 07, ////, 07, ////, 07, ////, 07, ///, 07, ///, 07, ////, 07, ////, 07, ///, 07, ////, 07, ////, 07, ///, 07, //, 07, ////////////, 07, ///, 07</v>
      </c>
    </row>
    <row r="119" spans="1:1" x14ac:dyDescent="0.25">
      <c r="A119" s="75" t="str">
        <f ca="1">TEXT(Overig!A119,"000\,")&amp;TEXT(Overig!B119,"?00000000")&amp;TEXT(Overig!C119,""", ""0000")&amp;SUBSTITUTE(TEXT(IF(ISTEXT(Overig!D119),Overig!D119,10*Overig!D119),""",""????0;"",""???-0;"",""????0;"", ////"""),"'","""")&amp;SUBSTITUTE(TEXT(Overig!E119,""",""?00;"",""?-00;"",""?00;"", //"""),"'","""")&amp;SUBSTITUTE(TEXT(IF(ISTEXT(Overig!F119),Overig!F119,100*Overig!F119),""",""?????0;"",""????-0;"",""?????0;"", /////"""),"'","""")&amp;SUBSTITUTE(TEXT(Overig!G119,""",""?00;"",""?-00;"",""?00;"", //"""),"'","""")&amp;SUBSTITUTE(TEXT(IF(ISTEXT(Overig!H119),Overig!H119,100*Overig!H119),""",""????0;"",""???-0;"",""????0;"", ////"""),"'","""")&amp;SUBSTITUTE(TEXT(Overig!I119,""",""?00;"",""?-00;"",""?00;"", //"""),"'","""")&amp;SUBSTITUTE(TEXT(IF(ISTEXT(Overig!J119),Overig!J119,100*Overig!J119),""",""?????0;"",""????-0;"",""?????0;"", /////"""),"'","""")&amp;SUBSTITUTE(TEXT(Overig!K119,""",""?00;"",""?-00;"",""?00;"", //"""),"'","""")&amp;SUBSTITUTE(TEXT(IF(ISTEXT(Overig!L119),Overig!L119,10*Overig!L119),""",""????0;"",""???-0;"",""????0;"", ////"""),"'","""")&amp;SUBSTITUTE(TEXT(Overig!M119,""",""?00;"",""?-00;"",""?00;"", //"""),"'","""")&amp;SUBSTITUTE(TEXT(IF(ISTEXT(Overig!N119),Overig!N119,10*Overig!N119),""",""????0;"",""???-0;"",""????0;"", ////"""),"'","""")&amp;SUBSTITUTE(TEXT(Overig!O119,""",""?00;"",""?-00;"",""?00;"", //"""),"'","""")&amp;SUBSTITUTE(TEXT(IF(ISTEXT(Overig!P119),Overig!P119,10*Overig!P119),""",""????0;"",""???-0;"",""????0;"", ////"""),"'","""")&amp;SUBSTITUTE(TEXT(Overig!Q119,""",""?00;"",""?-00;"",""?00;"", //"""),"'","""")&amp;SUBSTITUTE(TEXT(IF(ISTEXT(Overig!R119),Overig!R119,10*Overig!R119),""",""????0;"",""???-0;"",""????0;"", ////"""),"'","""")&amp;SUBSTITUTE(TEXT(Overig!S119,""",""?00;"",""?-00;"",""?00;"", //"""),"'","""")&amp;SUBSTITUTE(TEXT(Overig!T119,""",""???0;"",""??-0;"",""???0;"", ///"""),"'","""")&amp;SUBSTITUTE(TEXT(Overig!U119,""",""?00;"",""?-00;"",""?00;"", //"""),"'","""")&amp;SUBSTITUTE(TEXT(IF(ISTEXT(Overig!V119),Overig!V119,10*Overig!V119),""",""???0;"",""??-0;"",""???0;"", ///"""),"'","""")&amp;SUBSTITUTE(TEXT(Overig!W119,""",""?00;"",""?-00;"",""?00;"", //"""),"'","""")&amp;SUBSTITUTE(TEXT(IF(ISTEXT(Overig!X119),Overig!X119,10*Overig!X119),""",""????0;"",""???-0;"",""????0;"", ////"""),"'","""")&amp;SUBSTITUTE(TEXT(Overig!Y119,""",""?00;"",""?-00;"",""?00;"", //"""),"'","""")&amp;SUBSTITUTE(TEXT(IF(ISTEXT(Overig!Z119),Overig!Z119,10*Overig!Z119),""",""????0;"",""???-0;"",""????0;"", ////"""),"'","""")&amp;SUBSTITUTE(TEXT(Overig!AA119,""",""?00;"",""?-00;"",""?00;"", //"""),"'","""")&amp;SUBSTITUTE(TEXT(Overig!AB119,""",""???0;"",""??-0;"",""???0;"", ///"""),"'","""")&amp;SUBSTITUTE(TEXT(Overig!AC119,""",""?00;"",""?-00;"",""?00;"", //"""),"'","""")&amp;SUBSTITUTE(TEXT(IF(ISTEXT(Overig!AD119),Overig!AD119,10*Overig!AD119),""",""????0;"",""???-0;"",""????0;"", ////"""),"'","""")&amp;SUBSTITUTE(TEXT(Overig!AE119,""",""?00;"",""?-00;"",""?00;"", //"""),"'","""")&amp;SUBSTITUTE(TEXT(IF(ISTEXT(Overig!AF119),Overig!AF119,10*Overig!AF119),""",""????0;"",""???-0;"",""????0;"", ////"""),"'","""")&amp;SUBSTITUTE(TEXT(Overig!AG119,""",""?00;"",""?-00;"",""?00;"", //"""),"'","""")&amp;SUBSTITUTE(TEXT(Overig!AH119,""",""???0;"",""??-0;"",""???0;"", ///"""),"'","""")&amp;SUBSTITUTE(TEXT(Overig!AI119,""",""?00;"",""?-00;"",""?00;"", //"""),"'","""")&amp;SUBSTITUTE(TEXT(Overig!AJ119,""",""??0;"",""?-0;"",""??0;"", //"""),"'","""")&amp;SUBSTITUTE(TEXT(Overig!AK119,""",""?00;"",""?-00;"",""?00;"", //"""),"'","""")&amp;SUBSTITUTE(IF(EXACT(Overig!AL119,"—"),TEXT(Overig!AL119,""",""????0;"",""???-0;"",""????0;"", ////////////,"""),TEXT(Overig!AL119,"\, \'@""',""")&amp;REPT(" ",10-LEN(Overig!AL119))),"'","""")&amp;SUBSTITUTE(TEXT(Overig!AM119,"?00;?-00;?00;"" //"""),"'","""")&amp;SUBSTITUTE(TEXT(Overig!AN119,""",""???0;"",""??-0;"",""???0;"", ///"""),"'","""")&amp;SUBSTITUTE(TEXT(Overig!AO119,""",""?00;"",""?-00;"",""?00;"", //"""),"'","""")</f>
        <v>78989, 19130428, 0800, ////, 07, /////, 07, ////, 07, /////, 07, ////, 07, ////, 07, ////, 07, ////, 07, ///, 07, ///, 07, ////, 07, ////, 07, ///, 07, ////, 07, ////, 07, ///, 07, //, 07, ////////////, 07, ///, 07</v>
      </c>
    </row>
    <row r="120" spans="1:1" x14ac:dyDescent="0.25">
      <c r="A120" s="75" t="str">
        <f ca="1">TEXT(Overig!A120,"000\,")&amp;TEXT(Overig!B120,"?00000000")&amp;TEXT(Overig!C120,""", ""0000")&amp;SUBSTITUTE(TEXT(IF(ISTEXT(Overig!D120),Overig!D120,10*Overig!D120),""",""????0;"",""???-0;"",""????0;"", ////"""),"'","""")&amp;SUBSTITUTE(TEXT(Overig!E120,""",""?00;"",""?-00;"",""?00;"", //"""),"'","""")&amp;SUBSTITUTE(TEXT(IF(ISTEXT(Overig!F120),Overig!F120,100*Overig!F120),""",""?????0;"",""????-0;"",""?????0;"", /////"""),"'","""")&amp;SUBSTITUTE(TEXT(Overig!G120,""",""?00;"",""?-00;"",""?00;"", //"""),"'","""")&amp;SUBSTITUTE(TEXT(IF(ISTEXT(Overig!H120),Overig!H120,100*Overig!H120),""",""????0;"",""???-0;"",""????0;"", ////"""),"'","""")&amp;SUBSTITUTE(TEXT(Overig!I120,""",""?00;"",""?-00;"",""?00;"", //"""),"'","""")&amp;SUBSTITUTE(TEXT(IF(ISTEXT(Overig!J120),Overig!J120,100*Overig!J120),""",""?????0;"",""????-0;"",""?????0;"", /////"""),"'","""")&amp;SUBSTITUTE(TEXT(Overig!K120,""",""?00;"",""?-00;"",""?00;"", //"""),"'","""")&amp;SUBSTITUTE(TEXT(IF(ISTEXT(Overig!L120),Overig!L120,10*Overig!L120),""",""????0;"",""???-0;"",""????0;"", ////"""),"'","""")&amp;SUBSTITUTE(TEXT(Overig!M120,""",""?00;"",""?-00;"",""?00;"", //"""),"'","""")&amp;SUBSTITUTE(TEXT(IF(ISTEXT(Overig!N120),Overig!N120,10*Overig!N120),""",""????0;"",""???-0;"",""????0;"", ////"""),"'","""")&amp;SUBSTITUTE(TEXT(Overig!O120,""",""?00;"",""?-00;"",""?00;"", //"""),"'","""")&amp;SUBSTITUTE(TEXT(IF(ISTEXT(Overig!P120),Overig!P120,10*Overig!P120),""",""????0;"",""???-0;"",""????0;"", ////"""),"'","""")&amp;SUBSTITUTE(TEXT(Overig!Q120,""",""?00;"",""?-00;"",""?00;"", //"""),"'","""")&amp;SUBSTITUTE(TEXT(IF(ISTEXT(Overig!R120),Overig!R120,10*Overig!R120),""",""????0;"",""???-0;"",""????0;"", ////"""),"'","""")&amp;SUBSTITUTE(TEXT(Overig!S120,""",""?00;"",""?-00;"",""?00;"", //"""),"'","""")&amp;SUBSTITUTE(TEXT(Overig!T120,""",""???0;"",""??-0;"",""???0;"", ///"""),"'","""")&amp;SUBSTITUTE(TEXT(Overig!U120,""",""?00;"",""?-00;"",""?00;"", //"""),"'","""")&amp;SUBSTITUTE(TEXT(IF(ISTEXT(Overig!V120),Overig!V120,10*Overig!V120),""",""???0;"",""??-0;"",""???0;"", ///"""),"'","""")&amp;SUBSTITUTE(TEXT(Overig!W120,""",""?00;"",""?-00;"",""?00;"", //"""),"'","""")&amp;SUBSTITUTE(TEXT(IF(ISTEXT(Overig!X120),Overig!X120,10*Overig!X120),""",""????0;"",""???-0;"",""????0;"", ////"""),"'","""")&amp;SUBSTITUTE(TEXT(Overig!Y120,""",""?00;"",""?-00;"",""?00;"", //"""),"'","""")&amp;SUBSTITUTE(TEXT(IF(ISTEXT(Overig!Z120),Overig!Z120,10*Overig!Z120),""",""????0;"",""???-0;"",""????0;"", ////"""),"'","""")&amp;SUBSTITUTE(TEXT(Overig!AA120,""",""?00;"",""?-00;"",""?00;"", //"""),"'","""")&amp;SUBSTITUTE(TEXT(Overig!AB120,""",""???0;"",""??-0;"",""???0;"", ///"""),"'","""")&amp;SUBSTITUTE(TEXT(Overig!AC120,""",""?00;"",""?-00;"",""?00;"", //"""),"'","""")&amp;SUBSTITUTE(TEXT(IF(ISTEXT(Overig!AD120),Overig!AD120,10*Overig!AD120),""",""????0;"",""???-0;"",""????0;"", ////"""),"'","""")&amp;SUBSTITUTE(TEXT(Overig!AE120,""",""?00;"",""?-00;"",""?00;"", //"""),"'","""")&amp;SUBSTITUTE(TEXT(IF(ISTEXT(Overig!AF120),Overig!AF120,10*Overig!AF120),""",""????0;"",""???-0;"",""????0;"", ////"""),"'","""")&amp;SUBSTITUTE(TEXT(Overig!AG120,""",""?00;"",""?-00;"",""?00;"", //"""),"'","""")&amp;SUBSTITUTE(TEXT(Overig!AH120,""",""???0;"",""??-0;"",""???0;"", ///"""),"'","""")&amp;SUBSTITUTE(TEXT(Overig!AI120,""",""?00;"",""?-00;"",""?00;"", //"""),"'","""")&amp;SUBSTITUTE(TEXT(Overig!AJ120,""",""??0;"",""?-0;"",""??0;"", //"""),"'","""")&amp;SUBSTITUTE(TEXT(Overig!AK120,""",""?00;"",""?-00;"",""?00;"", //"""),"'","""")&amp;SUBSTITUTE(IF(EXACT(Overig!AL120,"—"),TEXT(Overig!AL120,""",""????0;"",""???-0;"",""????0;"", ////////////,"""),TEXT(Overig!AL120,"\, \'@""',""")&amp;REPT(" ",10-LEN(Overig!AL120))),"'","""")&amp;SUBSTITUTE(TEXT(Overig!AM120,"?00;?-00;?00;"" //"""),"'","""")&amp;SUBSTITUTE(TEXT(Overig!AN120,""",""???0;"",""??-0;"",""???0;"", ///"""),"'","""")&amp;SUBSTITUTE(TEXT(Overig!AO120,""",""?00;"",""?-00;"",""?00;"", //"""),"'","""")</f>
        <v>78989, 19130429, 0800, ////, 07, /////, 07, ////, 07, /////, 07, ////, 07, ////, 07, ////, 07, ////, 07, ///, 07, ///, 07, ////, 07, ////, 07, ///, 07, ////, 07, ////, 07, ///, 07, //, 07, ////////////, 07, ///, 07</v>
      </c>
    </row>
    <row r="121" spans="1:1" x14ac:dyDescent="0.25">
      <c r="A121" s="75" t="str">
        <f ca="1">TEXT(Overig!A121,"000\,")&amp;TEXT(Overig!B121,"?00000000")&amp;TEXT(Overig!C121,""", ""0000")&amp;SUBSTITUTE(TEXT(IF(ISTEXT(Overig!D121),Overig!D121,10*Overig!D121),""",""????0;"",""???-0;"",""????0;"", ////"""),"'","""")&amp;SUBSTITUTE(TEXT(Overig!E121,""",""?00;"",""?-00;"",""?00;"", //"""),"'","""")&amp;SUBSTITUTE(TEXT(IF(ISTEXT(Overig!F121),Overig!F121,100*Overig!F121),""",""?????0;"",""????-0;"",""?????0;"", /////"""),"'","""")&amp;SUBSTITUTE(TEXT(Overig!G121,""",""?00;"",""?-00;"",""?00;"", //"""),"'","""")&amp;SUBSTITUTE(TEXT(IF(ISTEXT(Overig!H121),Overig!H121,100*Overig!H121),""",""????0;"",""???-0;"",""????0;"", ////"""),"'","""")&amp;SUBSTITUTE(TEXT(Overig!I121,""",""?00;"",""?-00;"",""?00;"", //"""),"'","""")&amp;SUBSTITUTE(TEXT(IF(ISTEXT(Overig!J121),Overig!J121,100*Overig!J121),""",""?????0;"",""????-0;"",""?????0;"", /////"""),"'","""")&amp;SUBSTITUTE(TEXT(Overig!K121,""",""?00;"",""?-00;"",""?00;"", //"""),"'","""")&amp;SUBSTITUTE(TEXT(IF(ISTEXT(Overig!L121),Overig!L121,10*Overig!L121),""",""????0;"",""???-0;"",""????0;"", ////"""),"'","""")&amp;SUBSTITUTE(TEXT(Overig!M121,""",""?00;"",""?-00;"",""?00;"", //"""),"'","""")&amp;SUBSTITUTE(TEXT(IF(ISTEXT(Overig!N121),Overig!N121,10*Overig!N121),""",""????0;"",""???-0;"",""????0;"", ////"""),"'","""")&amp;SUBSTITUTE(TEXT(Overig!O121,""",""?00;"",""?-00;"",""?00;"", //"""),"'","""")&amp;SUBSTITUTE(TEXT(IF(ISTEXT(Overig!P121),Overig!P121,10*Overig!P121),""",""????0;"",""???-0;"",""????0;"", ////"""),"'","""")&amp;SUBSTITUTE(TEXT(Overig!Q121,""",""?00;"",""?-00;"",""?00;"", //"""),"'","""")&amp;SUBSTITUTE(TEXT(IF(ISTEXT(Overig!R121),Overig!R121,10*Overig!R121),""",""????0;"",""???-0;"",""????0;"", ////"""),"'","""")&amp;SUBSTITUTE(TEXT(Overig!S121,""",""?00;"",""?-00;"",""?00;"", //"""),"'","""")&amp;SUBSTITUTE(TEXT(Overig!T121,""",""???0;"",""??-0;"",""???0;"", ///"""),"'","""")&amp;SUBSTITUTE(TEXT(Overig!U121,""",""?00;"",""?-00;"",""?00;"", //"""),"'","""")&amp;SUBSTITUTE(TEXT(IF(ISTEXT(Overig!V121),Overig!V121,10*Overig!V121),""",""???0;"",""??-0;"",""???0;"", ///"""),"'","""")&amp;SUBSTITUTE(TEXT(Overig!W121,""",""?00;"",""?-00;"",""?00;"", //"""),"'","""")&amp;SUBSTITUTE(TEXT(IF(ISTEXT(Overig!X121),Overig!X121,10*Overig!X121),""",""????0;"",""???-0;"",""????0;"", ////"""),"'","""")&amp;SUBSTITUTE(TEXT(Overig!Y121,""",""?00;"",""?-00;"",""?00;"", //"""),"'","""")&amp;SUBSTITUTE(TEXT(IF(ISTEXT(Overig!Z121),Overig!Z121,10*Overig!Z121),""",""????0;"",""???-0;"",""????0;"", ////"""),"'","""")&amp;SUBSTITUTE(TEXT(Overig!AA121,""",""?00;"",""?-00;"",""?00;"", //"""),"'","""")&amp;SUBSTITUTE(TEXT(Overig!AB121,""",""???0;"",""??-0;"",""???0;"", ///"""),"'","""")&amp;SUBSTITUTE(TEXT(Overig!AC121,""",""?00;"",""?-00;"",""?00;"", //"""),"'","""")&amp;SUBSTITUTE(TEXT(IF(ISTEXT(Overig!AD121),Overig!AD121,10*Overig!AD121),""",""????0;"",""???-0;"",""????0;"", ////"""),"'","""")&amp;SUBSTITUTE(TEXT(Overig!AE121,""",""?00;"",""?-00;"",""?00;"", //"""),"'","""")&amp;SUBSTITUTE(TEXT(IF(ISTEXT(Overig!AF121),Overig!AF121,10*Overig!AF121),""",""????0;"",""???-0;"",""????0;"", ////"""),"'","""")&amp;SUBSTITUTE(TEXT(Overig!AG121,""",""?00;"",""?-00;"",""?00;"", //"""),"'","""")&amp;SUBSTITUTE(TEXT(Overig!AH121,""",""???0;"",""??-0;"",""???0;"", ///"""),"'","""")&amp;SUBSTITUTE(TEXT(Overig!AI121,""",""?00;"",""?-00;"",""?00;"", //"""),"'","""")&amp;SUBSTITUTE(TEXT(Overig!AJ121,""",""??0;"",""?-0;"",""??0;"", //"""),"'","""")&amp;SUBSTITUTE(TEXT(Overig!AK121,""",""?00;"",""?-00;"",""?00;"", //"""),"'","""")&amp;SUBSTITUTE(IF(EXACT(Overig!AL121,"—"),TEXT(Overig!AL121,""",""????0;"",""???-0;"",""????0;"", ////////////,"""),TEXT(Overig!AL121,"\, \'@""',""")&amp;REPT(" ",10-LEN(Overig!AL121))),"'","""")&amp;SUBSTITUTE(TEXT(Overig!AM121,"?00;?-00;?00;"" //"""),"'","""")&amp;SUBSTITUTE(TEXT(Overig!AN121,""",""???0;"",""??-0;"",""???0;"", ///"""),"'","""")&amp;SUBSTITUTE(TEXT(Overig!AO121,""",""?00;"",""?-00;"",""?00;"", //"""),"'","""")</f>
        <v>78989, 19130430, 0800, ////, 07, /////, 07, ////, 07, /////, 07, ////, 07, ////, 07, ////, 07, ////, 07, ///, 07, ///, 07, ////, 07, ////, 07, ///, 07, ////, 07, ////, 07, ///, 07, //, 07, ////////////, 07, ///, 07</v>
      </c>
    </row>
    <row r="122" spans="1:1" x14ac:dyDescent="0.25">
      <c r="A122" s="75" t="str">
        <f ca="1">TEXT(Overig!A122,"000\,")&amp;TEXT(Overig!B122,"?00000000")&amp;TEXT(Overig!C122,""", ""0000")&amp;SUBSTITUTE(TEXT(IF(ISTEXT(Overig!D122),Overig!D122,10*Overig!D122),""",""????0;"",""???-0;"",""????0;"", ////"""),"'","""")&amp;SUBSTITUTE(TEXT(Overig!E122,""",""?00;"",""?-00;"",""?00;"", //"""),"'","""")&amp;SUBSTITUTE(TEXT(IF(ISTEXT(Overig!F122),Overig!F122,100*Overig!F122),""",""?????0;"",""????-0;"",""?????0;"", /////"""),"'","""")&amp;SUBSTITUTE(TEXT(Overig!G122,""",""?00;"",""?-00;"",""?00;"", //"""),"'","""")&amp;SUBSTITUTE(TEXT(IF(ISTEXT(Overig!H122),Overig!H122,100*Overig!H122),""",""????0;"",""???-0;"",""????0;"", ////"""),"'","""")&amp;SUBSTITUTE(TEXT(Overig!I122,""",""?00;"",""?-00;"",""?00;"", //"""),"'","""")&amp;SUBSTITUTE(TEXT(IF(ISTEXT(Overig!J122),Overig!J122,100*Overig!J122),""",""?????0;"",""????-0;"",""?????0;"", /////"""),"'","""")&amp;SUBSTITUTE(TEXT(Overig!K122,""",""?00;"",""?-00;"",""?00;"", //"""),"'","""")&amp;SUBSTITUTE(TEXT(IF(ISTEXT(Overig!L122),Overig!L122,10*Overig!L122),""",""????0;"",""???-0;"",""????0;"", ////"""),"'","""")&amp;SUBSTITUTE(TEXT(Overig!M122,""",""?00;"",""?-00;"",""?00;"", //"""),"'","""")&amp;SUBSTITUTE(TEXT(IF(ISTEXT(Overig!N122),Overig!N122,10*Overig!N122),""",""????0;"",""???-0;"",""????0;"", ////"""),"'","""")&amp;SUBSTITUTE(TEXT(Overig!O122,""",""?00;"",""?-00;"",""?00;"", //"""),"'","""")&amp;SUBSTITUTE(TEXT(IF(ISTEXT(Overig!P122),Overig!P122,10*Overig!P122),""",""????0;"",""???-0;"",""????0;"", ////"""),"'","""")&amp;SUBSTITUTE(TEXT(Overig!Q122,""",""?00;"",""?-00;"",""?00;"", //"""),"'","""")&amp;SUBSTITUTE(TEXT(IF(ISTEXT(Overig!R122),Overig!R122,10*Overig!R122),""",""????0;"",""???-0;"",""????0;"", ////"""),"'","""")&amp;SUBSTITUTE(TEXT(Overig!S122,""",""?00;"",""?-00;"",""?00;"", //"""),"'","""")&amp;SUBSTITUTE(TEXT(Overig!T122,""",""???0;"",""??-0;"",""???0;"", ///"""),"'","""")&amp;SUBSTITUTE(TEXT(Overig!U122,""",""?00;"",""?-00;"",""?00;"", //"""),"'","""")&amp;SUBSTITUTE(TEXT(IF(ISTEXT(Overig!V122),Overig!V122,10*Overig!V122),""",""???0;"",""??-0;"",""???0;"", ///"""),"'","""")&amp;SUBSTITUTE(TEXT(Overig!W122,""",""?00;"",""?-00;"",""?00;"", //"""),"'","""")&amp;SUBSTITUTE(TEXT(IF(ISTEXT(Overig!X122),Overig!X122,10*Overig!X122),""",""????0;"",""???-0;"",""????0;"", ////"""),"'","""")&amp;SUBSTITUTE(TEXT(Overig!Y122,""",""?00;"",""?-00;"",""?00;"", //"""),"'","""")&amp;SUBSTITUTE(TEXT(IF(ISTEXT(Overig!Z122),Overig!Z122,10*Overig!Z122),""",""????0;"",""???-0;"",""????0;"", ////"""),"'","""")&amp;SUBSTITUTE(TEXT(Overig!AA122,""",""?00;"",""?-00;"",""?00;"", //"""),"'","""")&amp;SUBSTITUTE(TEXT(Overig!AB122,""",""???0;"",""??-0;"",""???0;"", ///"""),"'","""")&amp;SUBSTITUTE(TEXT(Overig!AC122,""",""?00;"",""?-00;"",""?00;"", //"""),"'","""")&amp;SUBSTITUTE(TEXT(IF(ISTEXT(Overig!AD122),Overig!AD122,10*Overig!AD122),""",""????0;"",""???-0;"",""????0;"", ////"""),"'","""")&amp;SUBSTITUTE(TEXT(Overig!AE122,""",""?00;"",""?-00;"",""?00;"", //"""),"'","""")&amp;SUBSTITUTE(TEXT(IF(ISTEXT(Overig!AF122),Overig!AF122,10*Overig!AF122),""",""????0;"",""???-0;"",""????0;"", ////"""),"'","""")&amp;SUBSTITUTE(TEXT(Overig!AG122,""",""?00;"",""?-00;"",""?00;"", //"""),"'","""")&amp;SUBSTITUTE(TEXT(Overig!AH122,""",""???0;"",""??-0;"",""???0;"", ///"""),"'","""")&amp;SUBSTITUTE(TEXT(Overig!AI122,""",""?00;"",""?-00;"",""?00;"", //"""),"'","""")&amp;SUBSTITUTE(TEXT(Overig!AJ122,""",""??0;"",""?-0;"",""??0;"", //"""),"'","""")&amp;SUBSTITUTE(TEXT(Overig!AK122,""",""?00;"",""?-00;"",""?00;"", //"""),"'","""")&amp;SUBSTITUTE(IF(EXACT(Overig!AL122,"—"),TEXT(Overig!AL122,""",""????0;"",""???-0;"",""????0;"", ////////////,"""),TEXT(Overig!AL122,"\, \'@""',""")&amp;REPT(" ",10-LEN(Overig!AL122))),"'","""")&amp;SUBSTITUTE(TEXT(Overig!AM122,"?00;?-00;?00;"" //"""),"'","""")&amp;SUBSTITUTE(TEXT(Overig!AN122,""",""???0;"",""??-0;"",""???0;"", ///"""),"'","""")&amp;SUBSTITUTE(TEXT(Overig!AO122,""",""?00;"",""?-00;"",""?00;"", //"""),"'","""")</f>
        <v>78989, 19130501, 0800, ////, 07, /////, 07, ////, 07, /////, 07, ////, 07, ////, 07, ////, 07, ////, 07, ///, 07, ///, 07, ////, 07, ////, 07, ///, 07, ////, 07, ////, 07, ///, 07, //, 07, ////////////, 07, ///, 07</v>
      </c>
    </row>
    <row r="123" spans="1:1" x14ac:dyDescent="0.25">
      <c r="A123" s="75" t="str">
        <f ca="1">TEXT(Overig!A123,"000\,")&amp;TEXT(Overig!B123,"?00000000")&amp;TEXT(Overig!C123,""", ""0000")&amp;SUBSTITUTE(TEXT(IF(ISTEXT(Overig!D123),Overig!D123,10*Overig!D123),""",""????0;"",""???-0;"",""????0;"", ////"""),"'","""")&amp;SUBSTITUTE(TEXT(Overig!E123,""",""?00;"",""?-00;"",""?00;"", //"""),"'","""")&amp;SUBSTITUTE(TEXT(IF(ISTEXT(Overig!F123),Overig!F123,100*Overig!F123),""",""?????0;"",""????-0;"",""?????0;"", /////"""),"'","""")&amp;SUBSTITUTE(TEXT(Overig!G123,""",""?00;"",""?-00;"",""?00;"", //"""),"'","""")&amp;SUBSTITUTE(TEXT(IF(ISTEXT(Overig!H123),Overig!H123,100*Overig!H123),""",""????0;"",""???-0;"",""????0;"", ////"""),"'","""")&amp;SUBSTITUTE(TEXT(Overig!I123,""",""?00;"",""?-00;"",""?00;"", //"""),"'","""")&amp;SUBSTITUTE(TEXT(IF(ISTEXT(Overig!J123),Overig!J123,100*Overig!J123),""",""?????0;"",""????-0;"",""?????0;"", /////"""),"'","""")&amp;SUBSTITUTE(TEXT(Overig!K123,""",""?00;"",""?-00;"",""?00;"", //"""),"'","""")&amp;SUBSTITUTE(TEXT(IF(ISTEXT(Overig!L123),Overig!L123,10*Overig!L123),""",""????0;"",""???-0;"",""????0;"", ////"""),"'","""")&amp;SUBSTITUTE(TEXT(Overig!M123,""",""?00;"",""?-00;"",""?00;"", //"""),"'","""")&amp;SUBSTITUTE(TEXT(IF(ISTEXT(Overig!N123),Overig!N123,10*Overig!N123),""",""????0;"",""???-0;"",""????0;"", ////"""),"'","""")&amp;SUBSTITUTE(TEXT(Overig!O123,""",""?00;"",""?-00;"",""?00;"", //"""),"'","""")&amp;SUBSTITUTE(TEXT(IF(ISTEXT(Overig!P123),Overig!P123,10*Overig!P123),""",""????0;"",""???-0;"",""????0;"", ////"""),"'","""")&amp;SUBSTITUTE(TEXT(Overig!Q123,""",""?00;"",""?-00;"",""?00;"", //"""),"'","""")&amp;SUBSTITUTE(TEXT(IF(ISTEXT(Overig!R123),Overig!R123,10*Overig!R123),""",""????0;"",""???-0;"",""????0;"", ////"""),"'","""")&amp;SUBSTITUTE(TEXT(Overig!S123,""",""?00;"",""?-00;"",""?00;"", //"""),"'","""")&amp;SUBSTITUTE(TEXT(Overig!T123,""",""???0;"",""??-0;"",""???0;"", ///"""),"'","""")&amp;SUBSTITUTE(TEXT(Overig!U123,""",""?00;"",""?-00;"",""?00;"", //"""),"'","""")&amp;SUBSTITUTE(TEXT(IF(ISTEXT(Overig!V123),Overig!V123,10*Overig!V123),""",""???0;"",""??-0;"",""???0;"", ///"""),"'","""")&amp;SUBSTITUTE(TEXT(Overig!W123,""",""?00;"",""?-00;"",""?00;"", //"""),"'","""")&amp;SUBSTITUTE(TEXT(IF(ISTEXT(Overig!X123),Overig!X123,10*Overig!X123),""",""????0;"",""???-0;"",""????0;"", ////"""),"'","""")&amp;SUBSTITUTE(TEXT(Overig!Y123,""",""?00;"",""?-00;"",""?00;"", //"""),"'","""")&amp;SUBSTITUTE(TEXT(IF(ISTEXT(Overig!Z123),Overig!Z123,10*Overig!Z123),""",""????0;"",""???-0;"",""????0;"", ////"""),"'","""")&amp;SUBSTITUTE(TEXT(Overig!AA123,""",""?00;"",""?-00;"",""?00;"", //"""),"'","""")&amp;SUBSTITUTE(TEXT(Overig!AB123,""",""???0;"",""??-0;"",""???0;"", ///"""),"'","""")&amp;SUBSTITUTE(TEXT(Overig!AC123,""",""?00;"",""?-00;"",""?00;"", //"""),"'","""")&amp;SUBSTITUTE(TEXT(IF(ISTEXT(Overig!AD123),Overig!AD123,10*Overig!AD123),""",""????0;"",""???-0;"",""????0;"", ////"""),"'","""")&amp;SUBSTITUTE(TEXT(Overig!AE123,""",""?00;"",""?-00;"",""?00;"", //"""),"'","""")&amp;SUBSTITUTE(TEXT(IF(ISTEXT(Overig!AF123),Overig!AF123,10*Overig!AF123),""",""????0;"",""???-0;"",""????0;"", ////"""),"'","""")&amp;SUBSTITUTE(TEXT(Overig!AG123,""",""?00;"",""?-00;"",""?00;"", //"""),"'","""")&amp;SUBSTITUTE(TEXT(Overig!AH123,""",""???0;"",""??-0;"",""???0;"", ///"""),"'","""")&amp;SUBSTITUTE(TEXT(Overig!AI123,""",""?00;"",""?-00;"",""?00;"", //"""),"'","""")&amp;SUBSTITUTE(TEXT(Overig!AJ123,""",""??0;"",""?-0;"",""??0;"", //"""),"'","""")&amp;SUBSTITUTE(TEXT(Overig!AK123,""",""?00;"",""?-00;"",""?00;"", //"""),"'","""")&amp;SUBSTITUTE(IF(EXACT(Overig!AL123,"—"),TEXT(Overig!AL123,""",""????0;"",""???-0;"",""????0;"", ////////////,"""),TEXT(Overig!AL123,"\, \'@""',""")&amp;REPT(" ",10-LEN(Overig!AL123))),"'","""")&amp;SUBSTITUTE(TEXT(Overig!AM123,"?00;?-00;?00;"" //"""),"'","""")&amp;SUBSTITUTE(TEXT(Overig!AN123,""",""???0;"",""??-0;"",""???0;"", ///"""),"'","""")&amp;SUBSTITUTE(TEXT(Overig!AO123,""",""?00;"",""?-00;"",""?00;"", //"""),"'","""")</f>
        <v>78989, 19130502, 0800, ////, 07, /////, 07, ////, 07, /////, 07, ////, 07, ////, 07, ////, 07, ////, 07, ///, 07, ///, 07, ////, 07, ////, 07, ///, 07, ////, 07, ////, 07, ///, 07, //, 07, ////////////, 07, ///, 07</v>
      </c>
    </row>
    <row r="124" spans="1:1" x14ac:dyDescent="0.25">
      <c r="A124" s="75" t="str">
        <f ca="1">TEXT(Overig!A124,"000\,")&amp;TEXT(Overig!B124,"?00000000")&amp;TEXT(Overig!C124,""", ""0000")&amp;SUBSTITUTE(TEXT(IF(ISTEXT(Overig!D124),Overig!D124,10*Overig!D124),""",""????0;"",""???-0;"",""????0;"", ////"""),"'","""")&amp;SUBSTITUTE(TEXT(Overig!E124,""",""?00;"",""?-00;"",""?00;"", //"""),"'","""")&amp;SUBSTITUTE(TEXT(IF(ISTEXT(Overig!F124),Overig!F124,100*Overig!F124),""",""?????0;"",""????-0;"",""?????0;"", /////"""),"'","""")&amp;SUBSTITUTE(TEXT(Overig!G124,""",""?00;"",""?-00;"",""?00;"", //"""),"'","""")&amp;SUBSTITUTE(TEXT(IF(ISTEXT(Overig!H124),Overig!H124,100*Overig!H124),""",""????0;"",""???-0;"",""????0;"", ////"""),"'","""")&amp;SUBSTITUTE(TEXT(Overig!I124,""",""?00;"",""?-00;"",""?00;"", //"""),"'","""")&amp;SUBSTITUTE(TEXT(IF(ISTEXT(Overig!J124),Overig!J124,100*Overig!J124),""",""?????0;"",""????-0;"",""?????0;"", /////"""),"'","""")&amp;SUBSTITUTE(TEXT(Overig!K124,""",""?00;"",""?-00;"",""?00;"", //"""),"'","""")&amp;SUBSTITUTE(TEXT(IF(ISTEXT(Overig!L124),Overig!L124,10*Overig!L124),""",""????0;"",""???-0;"",""????0;"", ////"""),"'","""")&amp;SUBSTITUTE(TEXT(Overig!M124,""",""?00;"",""?-00;"",""?00;"", //"""),"'","""")&amp;SUBSTITUTE(TEXT(IF(ISTEXT(Overig!N124),Overig!N124,10*Overig!N124),""",""????0;"",""???-0;"",""????0;"", ////"""),"'","""")&amp;SUBSTITUTE(TEXT(Overig!O124,""",""?00;"",""?-00;"",""?00;"", //"""),"'","""")&amp;SUBSTITUTE(TEXT(IF(ISTEXT(Overig!P124),Overig!P124,10*Overig!P124),""",""????0;"",""???-0;"",""????0;"", ////"""),"'","""")&amp;SUBSTITUTE(TEXT(Overig!Q124,""",""?00;"",""?-00;"",""?00;"", //"""),"'","""")&amp;SUBSTITUTE(TEXT(IF(ISTEXT(Overig!R124),Overig!R124,10*Overig!R124),""",""????0;"",""???-0;"",""????0;"", ////"""),"'","""")&amp;SUBSTITUTE(TEXT(Overig!S124,""",""?00;"",""?-00;"",""?00;"", //"""),"'","""")&amp;SUBSTITUTE(TEXT(Overig!T124,""",""???0;"",""??-0;"",""???0;"", ///"""),"'","""")&amp;SUBSTITUTE(TEXT(Overig!U124,""",""?00;"",""?-00;"",""?00;"", //"""),"'","""")&amp;SUBSTITUTE(TEXT(IF(ISTEXT(Overig!V124),Overig!V124,10*Overig!V124),""",""???0;"",""??-0;"",""???0;"", ///"""),"'","""")&amp;SUBSTITUTE(TEXT(Overig!W124,""",""?00;"",""?-00;"",""?00;"", //"""),"'","""")&amp;SUBSTITUTE(TEXT(IF(ISTEXT(Overig!X124),Overig!X124,10*Overig!X124),""",""????0;"",""???-0;"",""????0;"", ////"""),"'","""")&amp;SUBSTITUTE(TEXT(Overig!Y124,""",""?00;"",""?-00;"",""?00;"", //"""),"'","""")&amp;SUBSTITUTE(TEXT(IF(ISTEXT(Overig!Z124),Overig!Z124,10*Overig!Z124),""",""????0;"",""???-0;"",""????0;"", ////"""),"'","""")&amp;SUBSTITUTE(TEXT(Overig!AA124,""",""?00;"",""?-00;"",""?00;"", //"""),"'","""")&amp;SUBSTITUTE(TEXT(Overig!AB124,""",""???0;"",""??-0;"",""???0;"", ///"""),"'","""")&amp;SUBSTITUTE(TEXT(Overig!AC124,""",""?00;"",""?-00;"",""?00;"", //"""),"'","""")&amp;SUBSTITUTE(TEXT(IF(ISTEXT(Overig!AD124),Overig!AD124,10*Overig!AD124),""",""????0;"",""???-0;"",""????0;"", ////"""),"'","""")&amp;SUBSTITUTE(TEXT(Overig!AE124,""",""?00;"",""?-00;"",""?00;"", //"""),"'","""")&amp;SUBSTITUTE(TEXT(IF(ISTEXT(Overig!AF124),Overig!AF124,10*Overig!AF124),""",""????0;"",""???-0;"",""????0;"", ////"""),"'","""")&amp;SUBSTITUTE(TEXT(Overig!AG124,""",""?00;"",""?-00;"",""?00;"", //"""),"'","""")&amp;SUBSTITUTE(TEXT(Overig!AH124,""",""???0;"",""??-0;"",""???0;"", ///"""),"'","""")&amp;SUBSTITUTE(TEXT(Overig!AI124,""",""?00;"",""?-00;"",""?00;"", //"""),"'","""")&amp;SUBSTITUTE(TEXT(Overig!AJ124,""",""??0;"",""?-0;"",""??0;"", //"""),"'","""")&amp;SUBSTITUTE(TEXT(Overig!AK124,""",""?00;"",""?-00;"",""?00;"", //"""),"'","""")&amp;SUBSTITUTE(IF(EXACT(Overig!AL124,"—"),TEXT(Overig!AL124,""",""????0;"",""???-0;"",""????0;"", ////////////,"""),TEXT(Overig!AL124,"\, \'@""',""")&amp;REPT(" ",10-LEN(Overig!AL124))),"'","""")&amp;SUBSTITUTE(TEXT(Overig!AM124,"?00;?-00;?00;"" //"""),"'","""")&amp;SUBSTITUTE(TEXT(Overig!AN124,""",""???0;"",""??-0;"",""???0;"", ///"""),"'","""")&amp;SUBSTITUTE(TEXT(Overig!AO124,""",""?00;"",""?-00;"",""?00;"", //"""),"'","""")</f>
        <v>78989, 19130503, 0800, ////, 07, /////, 07, ////, 07, /////, 07, ////, 07, ////, 07, ////, 07, ////, 07, ///, 07, ///, 07, ////, 07, ////, 07, ///, 07, ////, 07, ////, 07, ///, 07, //, 07, ////////////, 07, ///, 07</v>
      </c>
    </row>
    <row r="125" spans="1:1" x14ac:dyDescent="0.25">
      <c r="A125" s="75" t="str">
        <f ca="1">TEXT(Overig!A125,"000\,")&amp;TEXT(Overig!B125,"?00000000")&amp;TEXT(Overig!C125,""", ""0000")&amp;SUBSTITUTE(TEXT(IF(ISTEXT(Overig!D125),Overig!D125,10*Overig!D125),""",""????0;"",""???-0;"",""????0;"", ////"""),"'","""")&amp;SUBSTITUTE(TEXT(Overig!E125,""",""?00;"",""?-00;"",""?00;"", //"""),"'","""")&amp;SUBSTITUTE(TEXT(IF(ISTEXT(Overig!F125),Overig!F125,100*Overig!F125),""",""?????0;"",""????-0;"",""?????0;"", /////"""),"'","""")&amp;SUBSTITUTE(TEXT(Overig!G125,""",""?00;"",""?-00;"",""?00;"", //"""),"'","""")&amp;SUBSTITUTE(TEXT(IF(ISTEXT(Overig!H125),Overig!H125,100*Overig!H125),""",""????0;"",""???-0;"",""????0;"", ////"""),"'","""")&amp;SUBSTITUTE(TEXT(Overig!I125,""",""?00;"",""?-00;"",""?00;"", //"""),"'","""")&amp;SUBSTITUTE(TEXT(IF(ISTEXT(Overig!J125),Overig!J125,100*Overig!J125),""",""?????0;"",""????-0;"",""?????0;"", /////"""),"'","""")&amp;SUBSTITUTE(TEXT(Overig!K125,""",""?00;"",""?-00;"",""?00;"", //"""),"'","""")&amp;SUBSTITUTE(TEXT(IF(ISTEXT(Overig!L125),Overig!L125,10*Overig!L125),""",""????0;"",""???-0;"",""????0;"", ////"""),"'","""")&amp;SUBSTITUTE(TEXT(Overig!M125,""",""?00;"",""?-00;"",""?00;"", //"""),"'","""")&amp;SUBSTITUTE(TEXT(IF(ISTEXT(Overig!N125),Overig!N125,10*Overig!N125),""",""????0;"",""???-0;"",""????0;"", ////"""),"'","""")&amp;SUBSTITUTE(TEXT(Overig!O125,""",""?00;"",""?-00;"",""?00;"", //"""),"'","""")&amp;SUBSTITUTE(TEXT(IF(ISTEXT(Overig!P125),Overig!P125,10*Overig!P125),""",""????0;"",""???-0;"",""????0;"", ////"""),"'","""")&amp;SUBSTITUTE(TEXT(Overig!Q125,""",""?00;"",""?-00;"",""?00;"", //"""),"'","""")&amp;SUBSTITUTE(TEXT(IF(ISTEXT(Overig!R125),Overig!R125,10*Overig!R125),""",""????0;"",""???-0;"",""????0;"", ////"""),"'","""")&amp;SUBSTITUTE(TEXT(Overig!S125,""",""?00;"",""?-00;"",""?00;"", //"""),"'","""")&amp;SUBSTITUTE(TEXT(Overig!T125,""",""???0;"",""??-0;"",""???0;"", ///"""),"'","""")&amp;SUBSTITUTE(TEXT(Overig!U125,""",""?00;"",""?-00;"",""?00;"", //"""),"'","""")&amp;SUBSTITUTE(TEXT(IF(ISTEXT(Overig!V125),Overig!V125,10*Overig!V125),""",""???0;"",""??-0;"",""???0;"", ///"""),"'","""")&amp;SUBSTITUTE(TEXT(Overig!W125,""",""?00;"",""?-00;"",""?00;"", //"""),"'","""")&amp;SUBSTITUTE(TEXT(IF(ISTEXT(Overig!X125),Overig!X125,10*Overig!X125),""",""????0;"",""???-0;"",""????0;"", ////"""),"'","""")&amp;SUBSTITUTE(TEXT(Overig!Y125,""",""?00;"",""?-00;"",""?00;"", //"""),"'","""")&amp;SUBSTITUTE(TEXT(IF(ISTEXT(Overig!Z125),Overig!Z125,10*Overig!Z125),""",""????0;"",""???-0;"",""????0;"", ////"""),"'","""")&amp;SUBSTITUTE(TEXT(Overig!AA125,""",""?00;"",""?-00;"",""?00;"", //"""),"'","""")&amp;SUBSTITUTE(TEXT(Overig!AB125,""",""???0;"",""??-0;"",""???0;"", ///"""),"'","""")&amp;SUBSTITUTE(TEXT(Overig!AC125,""",""?00;"",""?-00;"",""?00;"", //"""),"'","""")&amp;SUBSTITUTE(TEXT(IF(ISTEXT(Overig!AD125),Overig!AD125,10*Overig!AD125),""",""????0;"",""???-0;"",""????0;"", ////"""),"'","""")&amp;SUBSTITUTE(TEXT(Overig!AE125,""",""?00;"",""?-00;"",""?00;"", //"""),"'","""")&amp;SUBSTITUTE(TEXT(IF(ISTEXT(Overig!AF125),Overig!AF125,10*Overig!AF125),""",""????0;"",""???-0;"",""????0;"", ////"""),"'","""")&amp;SUBSTITUTE(TEXT(Overig!AG125,""",""?00;"",""?-00;"",""?00;"", //"""),"'","""")&amp;SUBSTITUTE(TEXT(Overig!AH125,""",""???0;"",""??-0;"",""???0;"", ///"""),"'","""")&amp;SUBSTITUTE(TEXT(Overig!AI125,""",""?00;"",""?-00;"",""?00;"", //"""),"'","""")&amp;SUBSTITUTE(TEXT(Overig!AJ125,""",""??0;"",""?-0;"",""??0;"", //"""),"'","""")&amp;SUBSTITUTE(TEXT(Overig!AK125,""",""?00;"",""?-00;"",""?00;"", //"""),"'","""")&amp;SUBSTITUTE(IF(EXACT(Overig!AL125,"—"),TEXT(Overig!AL125,""",""????0;"",""???-0;"",""????0;"", ////////////,"""),TEXT(Overig!AL125,"\, \'@""',""")&amp;REPT(" ",10-LEN(Overig!AL125))),"'","""")&amp;SUBSTITUTE(TEXT(Overig!AM125,"?00;?-00;?00;"" //"""),"'","""")&amp;SUBSTITUTE(TEXT(Overig!AN125,""",""???0;"",""??-0;"",""???0;"", ///"""),"'","""")&amp;SUBSTITUTE(TEXT(Overig!AO125,""",""?00;"",""?-00;"",""?00;"", //"""),"'","""")</f>
        <v>78989, 19130504, 0800, ////, 07, /////, 07, ////, 07, /////, 07, ////, 07, ////, 07, ////, 07, ////, 07, ///, 07, ///, 07, ////, 07, ////, 07, ///, 07, ////, 07, ////, 07, ///, 07, //, 07, ////////////, 07, ///, 07</v>
      </c>
    </row>
    <row r="126" spans="1:1" x14ac:dyDescent="0.25">
      <c r="A126" s="75" t="str">
        <f ca="1">TEXT(Overig!A126,"000\,")&amp;TEXT(Overig!B126,"?00000000")&amp;TEXT(Overig!C126,""", ""0000")&amp;SUBSTITUTE(TEXT(IF(ISTEXT(Overig!D126),Overig!D126,10*Overig!D126),""",""????0;"",""???-0;"",""????0;"", ////"""),"'","""")&amp;SUBSTITUTE(TEXT(Overig!E126,""",""?00;"",""?-00;"",""?00;"", //"""),"'","""")&amp;SUBSTITUTE(TEXT(IF(ISTEXT(Overig!F126),Overig!F126,100*Overig!F126),""",""?????0;"",""????-0;"",""?????0;"", /////"""),"'","""")&amp;SUBSTITUTE(TEXT(Overig!G126,""",""?00;"",""?-00;"",""?00;"", //"""),"'","""")&amp;SUBSTITUTE(TEXT(IF(ISTEXT(Overig!H126),Overig!H126,100*Overig!H126),""",""????0;"",""???-0;"",""????0;"", ////"""),"'","""")&amp;SUBSTITUTE(TEXT(Overig!I126,""",""?00;"",""?-00;"",""?00;"", //"""),"'","""")&amp;SUBSTITUTE(TEXT(IF(ISTEXT(Overig!J126),Overig!J126,100*Overig!J126),""",""?????0;"",""????-0;"",""?????0;"", /////"""),"'","""")&amp;SUBSTITUTE(TEXT(Overig!K126,""",""?00;"",""?-00;"",""?00;"", //"""),"'","""")&amp;SUBSTITUTE(TEXT(IF(ISTEXT(Overig!L126),Overig!L126,10*Overig!L126),""",""????0;"",""???-0;"",""????0;"", ////"""),"'","""")&amp;SUBSTITUTE(TEXT(Overig!M126,""",""?00;"",""?-00;"",""?00;"", //"""),"'","""")&amp;SUBSTITUTE(TEXT(IF(ISTEXT(Overig!N126),Overig!N126,10*Overig!N126),""",""????0;"",""???-0;"",""????0;"", ////"""),"'","""")&amp;SUBSTITUTE(TEXT(Overig!O126,""",""?00;"",""?-00;"",""?00;"", //"""),"'","""")&amp;SUBSTITUTE(TEXT(IF(ISTEXT(Overig!P126),Overig!P126,10*Overig!P126),""",""????0;"",""???-0;"",""????0;"", ////"""),"'","""")&amp;SUBSTITUTE(TEXT(Overig!Q126,""",""?00;"",""?-00;"",""?00;"", //"""),"'","""")&amp;SUBSTITUTE(TEXT(IF(ISTEXT(Overig!R126),Overig!R126,10*Overig!R126),""",""????0;"",""???-0;"",""????0;"", ////"""),"'","""")&amp;SUBSTITUTE(TEXT(Overig!S126,""",""?00;"",""?-00;"",""?00;"", //"""),"'","""")&amp;SUBSTITUTE(TEXT(Overig!T126,""",""???0;"",""??-0;"",""???0;"", ///"""),"'","""")&amp;SUBSTITUTE(TEXT(Overig!U126,""",""?00;"",""?-00;"",""?00;"", //"""),"'","""")&amp;SUBSTITUTE(TEXT(IF(ISTEXT(Overig!V126),Overig!V126,10*Overig!V126),""",""???0;"",""??-0;"",""???0;"", ///"""),"'","""")&amp;SUBSTITUTE(TEXT(Overig!W126,""",""?00;"",""?-00;"",""?00;"", //"""),"'","""")&amp;SUBSTITUTE(TEXT(IF(ISTEXT(Overig!X126),Overig!X126,10*Overig!X126),""",""????0;"",""???-0;"",""????0;"", ////"""),"'","""")&amp;SUBSTITUTE(TEXT(Overig!Y126,""",""?00;"",""?-00;"",""?00;"", //"""),"'","""")&amp;SUBSTITUTE(TEXT(IF(ISTEXT(Overig!Z126),Overig!Z126,10*Overig!Z126),""",""????0;"",""???-0;"",""????0;"", ////"""),"'","""")&amp;SUBSTITUTE(TEXT(Overig!AA126,""",""?00;"",""?-00;"",""?00;"", //"""),"'","""")&amp;SUBSTITUTE(TEXT(Overig!AB126,""",""???0;"",""??-0;"",""???0;"", ///"""),"'","""")&amp;SUBSTITUTE(TEXT(Overig!AC126,""",""?00;"",""?-00;"",""?00;"", //"""),"'","""")&amp;SUBSTITUTE(TEXT(IF(ISTEXT(Overig!AD126),Overig!AD126,10*Overig!AD126),""",""????0;"",""???-0;"",""????0;"", ////"""),"'","""")&amp;SUBSTITUTE(TEXT(Overig!AE126,""",""?00;"",""?-00;"",""?00;"", //"""),"'","""")&amp;SUBSTITUTE(TEXT(IF(ISTEXT(Overig!AF126),Overig!AF126,10*Overig!AF126),""",""????0;"",""???-0;"",""????0;"", ////"""),"'","""")&amp;SUBSTITUTE(TEXT(Overig!AG126,""",""?00;"",""?-00;"",""?00;"", //"""),"'","""")&amp;SUBSTITUTE(TEXT(Overig!AH126,""",""???0;"",""??-0;"",""???0;"", ///"""),"'","""")&amp;SUBSTITUTE(TEXT(Overig!AI126,""",""?00;"",""?-00;"",""?00;"", //"""),"'","""")&amp;SUBSTITUTE(TEXT(Overig!AJ126,""",""??0;"",""?-0;"",""??0;"", //"""),"'","""")&amp;SUBSTITUTE(TEXT(Overig!AK126,""",""?00;"",""?-00;"",""?00;"", //"""),"'","""")&amp;SUBSTITUTE(IF(EXACT(Overig!AL126,"—"),TEXT(Overig!AL126,""",""????0;"",""???-0;"",""????0;"", ////////////,"""),TEXT(Overig!AL126,"\, \'@""',""")&amp;REPT(" ",10-LEN(Overig!AL126))),"'","""")&amp;SUBSTITUTE(TEXT(Overig!AM126,"?00;?-00;?00;"" //"""),"'","""")&amp;SUBSTITUTE(TEXT(Overig!AN126,""",""???0;"",""??-0;"",""???0;"", ///"""),"'","""")&amp;SUBSTITUTE(TEXT(Overig!AO126,""",""?00;"",""?-00;"",""?00;"", //"""),"'","""")</f>
        <v>78989, 19130505, 0800, ////, 07, /////, 07, ////, 07, /////, 07, ////, 07, ////, 07, ////, 07, ////, 07, ///, 07, ///, 07, ////, 07, ////, 07, ///, 07, ////, 07, ////, 07, ///, 07, //, 07, ////////////, 07, ///, 07</v>
      </c>
    </row>
    <row r="127" spans="1:1" x14ac:dyDescent="0.25">
      <c r="A127" s="75" t="str">
        <f ca="1">TEXT(Overig!A127,"000\,")&amp;TEXT(Overig!B127,"?00000000")&amp;TEXT(Overig!C127,""", ""0000")&amp;SUBSTITUTE(TEXT(IF(ISTEXT(Overig!D127),Overig!D127,10*Overig!D127),""",""????0;"",""???-0;"",""????0;"", ////"""),"'","""")&amp;SUBSTITUTE(TEXT(Overig!E127,""",""?00;"",""?-00;"",""?00;"", //"""),"'","""")&amp;SUBSTITUTE(TEXT(IF(ISTEXT(Overig!F127),Overig!F127,100*Overig!F127),""",""?????0;"",""????-0;"",""?????0;"", /////"""),"'","""")&amp;SUBSTITUTE(TEXT(Overig!G127,""",""?00;"",""?-00;"",""?00;"", //"""),"'","""")&amp;SUBSTITUTE(TEXT(IF(ISTEXT(Overig!H127),Overig!H127,100*Overig!H127),""",""????0;"",""???-0;"",""????0;"", ////"""),"'","""")&amp;SUBSTITUTE(TEXT(Overig!I127,""",""?00;"",""?-00;"",""?00;"", //"""),"'","""")&amp;SUBSTITUTE(TEXT(IF(ISTEXT(Overig!J127),Overig!J127,100*Overig!J127),""",""?????0;"",""????-0;"",""?????0;"", /////"""),"'","""")&amp;SUBSTITUTE(TEXT(Overig!K127,""",""?00;"",""?-00;"",""?00;"", //"""),"'","""")&amp;SUBSTITUTE(TEXT(IF(ISTEXT(Overig!L127),Overig!L127,10*Overig!L127),""",""????0;"",""???-0;"",""????0;"", ////"""),"'","""")&amp;SUBSTITUTE(TEXT(Overig!M127,""",""?00;"",""?-00;"",""?00;"", //"""),"'","""")&amp;SUBSTITUTE(TEXT(IF(ISTEXT(Overig!N127),Overig!N127,10*Overig!N127),""",""????0;"",""???-0;"",""????0;"", ////"""),"'","""")&amp;SUBSTITUTE(TEXT(Overig!O127,""",""?00;"",""?-00;"",""?00;"", //"""),"'","""")&amp;SUBSTITUTE(TEXT(IF(ISTEXT(Overig!P127),Overig!P127,10*Overig!P127),""",""????0;"",""???-0;"",""????0;"", ////"""),"'","""")&amp;SUBSTITUTE(TEXT(Overig!Q127,""",""?00;"",""?-00;"",""?00;"", //"""),"'","""")&amp;SUBSTITUTE(TEXT(IF(ISTEXT(Overig!R127),Overig!R127,10*Overig!R127),""",""????0;"",""???-0;"",""????0;"", ////"""),"'","""")&amp;SUBSTITUTE(TEXT(Overig!S127,""",""?00;"",""?-00;"",""?00;"", //"""),"'","""")&amp;SUBSTITUTE(TEXT(Overig!T127,""",""???0;"",""??-0;"",""???0;"", ///"""),"'","""")&amp;SUBSTITUTE(TEXT(Overig!U127,""",""?00;"",""?-00;"",""?00;"", //"""),"'","""")&amp;SUBSTITUTE(TEXT(IF(ISTEXT(Overig!V127),Overig!V127,10*Overig!V127),""",""???0;"",""??-0;"",""???0;"", ///"""),"'","""")&amp;SUBSTITUTE(TEXT(Overig!W127,""",""?00;"",""?-00;"",""?00;"", //"""),"'","""")&amp;SUBSTITUTE(TEXT(IF(ISTEXT(Overig!X127),Overig!X127,10*Overig!X127),""",""????0;"",""???-0;"",""????0;"", ////"""),"'","""")&amp;SUBSTITUTE(TEXT(Overig!Y127,""",""?00;"",""?-00;"",""?00;"", //"""),"'","""")&amp;SUBSTITUTE(TEXT(IF(ISTEXT(Overig!Z127),Overig!Z127,10*Overig!Z127),""",""????0;"",""???-0;"",""????0;"", ////"""),"'","""")&amp;SUBSTITUTE(TEXT(Overig!AA127,""",""?00;"",""?-00;"",""?00;"", //"""),"'","""")&amp;SUBSTITUTE(TEXT(Overig!AB127,""",""???0;"",""??-0;"",""???0;"", ///"""),"'","""")&amp;SUBSTITUTE(TEXT(Overig!AC127,""",""?00;"",""?-00;"",""?00;"", //"""),"'","""")&amp;SUBSTITUTE(TEXT(IF(ISTEXT(Overig!AD127),Overig!AD127,10*Overig!AD127),""",""????0;"",""???-0;"",""????0;"", ////"""),"'","""")&amp;SUBSTITUTE(TEXT(Overig!AE127,""",""?00;"",""?-00;"",""?00;"", //"""),"'","""")&amp;SUBSTITUTE(TEXT(IF(ISTEXT(Overig!AF127),Overig!AF127,10*Overig!AF127),""",""????0;"",""???-0;"",""????0;"", ////"""),"'","""")&amp;SUBSTITUTE(TEXT(Overig!AG127,""",""?00;"",""?-00;"",""?00;"", //"""),"'","""")&amp;SUBSTITUTE(TEXT(Overig!AH127,""",""???0;"",""??-0;"",""???0;"", ///"""),"'","""")&amp;SUBSTITUTE(TEXT(Overig!AI127,""",""?00;"",""?-00;"",""?00;"", //"""),"'","""")&amp;SUBSTITUTE(TEXT(Overig!AJ127,""",""??0;"",""?-0;"",""??0;"", //"""),"'","""")&amp;SUBSTITUTE(TEXT(Overig!AK127,""",""?00;"",""?-00;"",""?00;"", //"""),"'","""")&amp;SUBSTITUTE(IF(EXACT(Overig!AL127,"—"),TEXT(Overig!AL127,""",""????0;"",""???-0;"",""????0;"", ////////////,"""),TEXT(Overig!AL127,"\, \'@""',""")&amp;REPT(" ",10-LEN(Overig!AL127))),"'","""")&amp;SUBSTITUTE(TEXT(Overig!AM127,"?00;?-00;?00;"" //"""),"'","""")&amp;SUBSTITUTE(TEXT(Overig!AN127,""",""???0;"",""??-0;"",""???0;"", ///"""),"'","""")&amp;SUBSTITUTE(TEXT(Overig!AO127,""",""?00;"",""?-00;"",""?00;"", //"""),"'","""")</f>
        <v>78989, 19130506, 0800, ////, 07, /////, 07, ////, 07, /////, 07, ////, 07, ////, 07, ////, 07, ////, 07, ///, 07, ///, 07, ////, 07, ////, 07, ///, 07, ////, 07, ////, 07, ///, 07, //, 07, ////////////, 07, ///, 07</v>
      </c>
    </row>
    <row r="128" spans="1:1" x14ac:dyDescent="0.25">
      <c r="A128" s="75" t="str">
        <f ca="1">TEXT(Overig!A128,"000\,")&amp;TEXT(Overig!B128,"?00000000")&amp;TEXT(Overig!C128,""", ""0000")&amp;SUBSTITUTE(TEXT(IF(ISTEXT(Overig!D128),Overig!D128,10*Overig!D128),""",""????0;"",""???-0;"",""????0;"", ////"""),"'","""")&amp;SUBSTITUTE(TEXT(Overig!E128,""",""?00;"",""?-00;"",""?00;"", //"""),"'","""")&amp;SUBSTITUTE(TEXT(IF(ISTEXT(Overig!F128),Overig!F128,100*Overig!F128),""",""?????0;"",""????-0;"",""?????0;"", /////"""),"'","""")&amp;SUBSTITUTE(TEXT(Overig!G128,""",""?00;"",""?-00;"",""?00;"", //"""),"'","""")&amp;SUBSTITUTE(TEXT(IF(ISTEXT(Overig!H128),Overig!H128,100*Overig!H128),""",""????0;"",""???-0;"",""????0;"", ////"""),"'","""")&amp;SUBSTITUTE(TEXT(Overig!I128,""",""?00;"",""?-00;"",""?00;"", //"""),"'","""")&amp;SUBSTITUTE(TEXT(IF(ISTEXT(Overig!J128),Overig!J128,100*Overig!J128),""",""?????0;"",""????-0;"",""?????0;"", /////"""),"'","""")&amp;SUBSTITUTE(TEXT(Overig!K128,""",""?00;"",""?-00;"",""?00;"", //"""),"'","""")&amp;SUBSTITUTE(TEXT(IF(ISTEXT(Overig!L128),Overig!L128,10*Overig!L128),""",""????0;"",""???-0;"",""????0;"", ////"""),"'","""")&amp;SUBSTITUTE(TEXT(Overig!M128,""",""?00;"",""?-00;"",""?00;"", //"""),"'","""")&amp;SUBSTITUTE(TEXT(IF(ISTEXT(Overig!N128),Overig!N128,10*Overig!N128),""",""????0;"",""???-0;"",""????0;"", ////"""),"'","""")&amp;SUBSTITUTE(TEXT(Overig!O128,""",""?00;"",""?-00;"",""?00;"", //"""),"'","""")&amp;SUBSTITUTE(TEXT(IF(ISTEXT(Overig!P128),Overig!P128,10*Overig!P128),""",""????0;"",""???-0;"",""????0;"", ////"""),"'","""")&amp;SUBSTITUTE(TEXT(Overig!Q128,""",""?00;"",""?-00;"",""?00;"", //"""),"'","""")&amp;SUBSTITUTE(TEXT(IF(ISTEXT(Overig!R128),Overig!R128,10*Overig!R128),""",""????0;"",""???-0;"",""????0;"", ////"""),"'","""")&amp;SUBSTITUTE(TEXT(Overig!S128,""",""?00;"",""?-00;"",""?00;"", //"""),"'","""")&amp;SUBSTITUTE(TEXT(Overig!T128,""",""???0;"",""??-0;"",""???0;"", ///"""),"'","""")&amp;SUBSTITUTE(TEXT(Overig!U128,""",""?00;"",""?-00;"",""?00;"", //"""),"'","""")&amp;SUBSTITUTE(TEXT(IF(ISTEXT(Overig!V128),Overig!V128,10*Overig!V128),""",""???0;"",""??-0;"",""???0;"", ///"""),"'","""")&amp;SUBSTITUTE(TEXT(Overig!W128,""",""?00;"",""?-00;"",""?00;"", //"""),"'","""")&amp;SUBSTITUTE(TEXT(IF(ISTEXT(Overig!X128),Overig!X128,10*Overig!X128),""",""????0;"",""???-0;"",""????0;"", ////"""),"'","""")&amp;SUBSTITUTE(TEXT(Overig!Y128,""",""?00;"",""?-00;"",""?00;"", //"""),"'","""")&amp;SUBSTITUTE(TEXT(IF(ISTEXT(Overig!Z128),Overig!Z128,10*Overig!Z128),""",""????0;"",""???-0;"",""????0;"", ////"""),"'","""")&amp;SUBSTITUTE(TEXT(Overig!AA128,""",""?00;"",""?-00;"",""?00;"", //"""),"'","""")&amp;SUBSTITUTE(TEXT(Overig!AB128,""",""???0;"",""??-0;"",""???0;"", ///"""),"'","""")&amp;SUBSTITUTE(TEXT(Overig!AC128,""",""?00;"",""?-00;"",""?00;"", //"""),"'","""")&amp;SUBSTITUTE(TEXT(IF(ISTEXT(Overig!AD128),Overig!AD128,10*Overig!AD128),""",""????0;"",""???-0;"",""????0;"", ////"""),"'","""")&amp;SUBSTITUTE(TEXT(Overig!AE128,""",""?00;"",""?-00;"",""?00;"", //"""),"'","""")&amp;SUBSTITUTE(TEXT(IF(ISTEXT(Overig!AF128),Overig!AF128,10*Overig!AF128),""",""????0;"",""???-0;"",""????0;"", ////"""),"'","""")&amp;SUBSTITUTE(TEXT(Overig!AG128,""",""?00;"",""?-00;"",""?00;"", //"""),"'","""")&amp;SUBSTITUTE(TEXT(Overig!AH128,""",""???0;"",""??-0;"",""???0;"", ///"""),"'","""")&amp;SUBSTITUTE(TEXT(Overig!AI128,""",""?00;"",""?-00;"",""?00;"", //"""),"'","""")&amp;SUBSTITUTE(TEXT(Overig!AJ128,""",""??0;"",""?-0;"",""??0;"", //"""),"'","""")&amp;SUBSTITUTE(TEXT(Overig!AK128,""",""?00;"",""?-00;"",""?00;"", //"""),"'","""")&amp;SUBSTITUTE(IF(EXACT(Overig!AL128,"—"),TEXT(Overig!AL128,""",""????0;"",""???-0;"",""????0;"", ////////////,"""),TEXT(Overig!AL128,"\, \'@""',""")&amp;REPT(" ",10-LEN(Overig!AL128))),"'","""")&amp;SUBSTITUTE(TEXT(Overig!AM128,"?00;?-00;?00;"" //"""),"'","""")&amp;SUBSTITUTE(TEXT(Overig!AN128,""",""???0;"",""??-0;"",""???0;"", ///"""),"'","""")&amp;SUBSTITUTE(TEXT(Overig!AO128,""",""?00;"",""?-00;"",""?00;"", //"""),"'","""")</f>
        <v>78989, 19130507, 0800, ////, 07, /////, 07, ////, 07, /////, 07, ////, 07, ////, 07, ////, 07, ////, 07, ///, 07, ///, 07, ////, 07, ////, 07, ///, 07, ////, 07, ////, 07, ///, 07, //, 07, ////////////, 07, ///, 07</v>
      </c>
    </row>
    <row r="129" spans="1:1" x14ac:dyDescent="0.25">
      <c r="A129" s="75" t="str">
        <f ca="1">TEXT(Overig!A129,"000\,")&amp;TEXT(Overig!B129,"?00000000")&amp;TEXT(Overig!C129,""", ""0000")&amp;SUBSTITUTE(TEXT(IF(ISTEXT(Overig!D129),Overig!D129,10*Overig!D129),""",""????0;"",""???-0;"",""????0;"", ////"""),"'","""")&amp;SUBSTITUTE(TEXT(Overig!E129,""",""?00;"",""?-00;"",""?00;"", //"""),"'","""")&amp;SUBSTITUTE(TEXT(IF(ISTEXT(Overig!F129),Overig!F129,100*Overig!F129),""",""?????0;"",""????-0;"",""?????0;"", /////"""),"'","""")&amp;SUBSTITUTE(TEXT(Overig!G129,""",""?00;"",""?-00;"",""?00;"", //"""),"'","""")&amp;SUBSTITUTE(TEXT(IF(ISTEXT(Overig!H129),Overig!H129,100*Overig!H129),""",""????0;"",""???-0;"",""????0;"", ////"""),"'","""")&amp;SUBSTITUTE(TEXT(Overig!I129,""",""?00;"",""?-00;"",""?00;"", //"""),"'","""")&amp;SUBSTITUTE(TEXT(IF(ISTEXT(Overig!J129),Overig!J129,100*Overig!J129),""",""?????0;"",""????-0;"",""?????0;"", /////"""),"'","""")&amp;SUBSTITUTE(TEXT(Overig!K129,""",""?00;"",""?-00;"",""?00;"", //"""),"'","""")&amp;SUBSTITUTE(TEXT(IF(ISTEXT(Overig!L129),Overig!L129,10*Overig!L129),""",""????0;"",""???-0;"",""????0;"", ////"""),"'","""")&amp;SUBSTITUTE(TEXT(Overig!M129,""",""?00;"",""?-00;"",""?00;"", //"""),"'","""")&amp;SUBSTITUTE(TEXT(IF(ISTEXT(Overig!N129),Overig!N129,10*Overig!N129),""",""????0;"",""???-0;"",""????0;"", ////"""),"'","""")&amp;SUBSTITUTE(TEXT(Overig!O129,""",""?00;"",""?-00;"",""?00;"", //"""),"'","""")&amp;SUBSTITUTE(TEXT(IF(ISTEXT(Overig!P129),Overig!P129,10*Overig!P129),""",""????0;"",""???-0;"",""????0;"", ////"""),"'","""")&amp;SUBSTITUTE(TEXT(Overig!Q129,""",""?00;"",""?-00;"",""?00;"", //"""),"'","""")&amp;SUBSTITUTE(TEXT(IF(ISTEXT(Overig!R129),Overig!R129,10*Overig!R129),""",""????0;"",""???-0;"",""????0;"", ////"""),"'","""")&amp;SUBSTITUTE(TEXT(Overig!S129,""",""?00;"",""?-00;"",""?00;"", //"""),"'","""")&amp;SUBSTITUTE(TEXT(Overig!T129,""",""???0;"",""??-0;"",""???0;"", ///"""),"'","""")&amp;SUBSTITUTE(TEXT(Overig!U129,""",""?00;"",""?-00;"",""?00;"", //"""),"'","""")&amp;SUBSTITUTE(TEXT(IF(ISTEXT(Overig!V129),Overig!V129,10*Overig!V129),""",""???0;"",""??-0;"",""???0;"", ///"""),"'","""")&amp;SUBSTITUTE(TEXT(Overig!W129,""",""?00;"",""?-00;"",""?00;"", //"""),"'","""")&amp;SUBSTITUTE(TEXT(IF(ISTEXT(Overig!X129),Overig!X129,10*Overig!X129),""",""????0;"",""???-0;"",""????0;"", ////"""),"'","""")&amp;SUBSTITUTE(TEXT(Overig!Y129,""",""?00;"",""?-00;"",""?00;"", //"""),"'","""")&amp;SUBSTITUTE(TEXT(IF(ISTEXT(Overig!Z129),Overig!Z129,10*Overig!Z129),""",""????0;"",""???-0;"",""????0;"", ////"""),"'","""")&amp;SUBSTITUTE(TEXT(Overig!AA129,""",""?00;"",""?-00;"",""?00;"", //"""),"'","""")&amp;SUBSTITUTE(TEXT(Overig!AB129,""",""???0;"",""??-0;"",""???0;"", ///"""),"'","""")&amp;SUBSTITUTE(TEXT(Overig!AC129,""",""?00;"",""?-00;"",""?00;"", //"""),"'","""")&amp;SUBSTITUTE(TEXT(IF(ISTEXT(Overig!AD129),Overig!AD129,10*Overig!AD129),""",""????0;"",""???-0;"",""????0;"", ////"""),"'","""")&amp;SUBSTITUTE(TEXT(Overig!AE129,""",""?00;"",""?-00;"",""?00;"", //"""),"'","""")&amp;SUBSTITUTE(TEXT(IF(ISTEXT(Overig!AF129),Overig!AF129,10*Overig!AF129),""",""????0;"",""???-0;"",""????0;"", ////"""),"'","""")&amp;SUBSTITUTE(TEXT(Overig!AG129,""",""?00;"",""?-00;"",""?00;"", //"""),"'","""")&amp;SUBSTITUTE(TEXT(Overig!AH129,""",""???0;"",""??-0;"",""???0;"", ///"""),"'","""")&amp;SUBSTITUTE(TEXT(Overig!AI129,""",""?00;"",""?-00;"",""?00;"", //"""),"'","""")&amp;SUBSTITUTE(TEXT(Overig!AJ129,""",""??0;"",""?-0;"",""??0;"", //"""),"'","""")&amp;SUBSTITUTE(TEXT(Overig!AK129,""",""?00;"",""?-00;"",""?00;"", //"""),"'","""")&amp;SUBSTITUTE(IF(EXACT(Overig!AL129,"—"),TEXT(Overig!AL129,""",""????0;"",""???-0;"",""????0;"", ////////////,"""),TEXT(Overig!AL129,"\, \'@""',""")&amp;REPT(" ",10-LEN(Overig!AL129))),"'","""")&amp;SUBSTITUTE(TEXT(Overig!AM129,"?00;?-00;?00;"" //"""),"'","""")&amp;SUBSTITUTE(TEXT(Overig!AN129,""",""???0;"",""??-0;"",""???0;"", ///"""),"'","""")&amp;SUBSTITUTE(TEXT(Overig!AO129,""",""?00;"",""?-00;"",""?00;"", //"""),"'","""")</f>
        <v>78989, 19130508, 0800, ////, 07, /////, 07, ////, 07, /////, 07, ////, 07, ////, 07, ////, 07, ////, 07, ///, 07, ///, 07, ////, 07, ////, 07, ///, 07, ////, 07, ////, 07, ///, 07, //, 07, ////////////, 07, ///, 07</v>
      </c>
    </row>
    <row r="130" spans="1:1" x14ac:dyDescent="0.25">
      <c r="A130" s="75" t="str">
        <f ca="1">TEXT(Overig!A130,"000\,")&amp;TEXT(Overig!B130,"?00000000")&amp;TEXT(Overig!C130,""", ""0000")&amp;SUBSTITUTE(TEXT(IF(ISTEXT(Overig!D130),Overig!D130,10*Overig!D130),""",""????0;"",""???-0;"",""????0;"", ////"""),"'","""")&amp;SUBSTITUTE(TEXT(Overig!E130,""",""?00;"",""?-00;"",""?00;"", //"""),"'","""")&amp;SUBSTITUTE(TEXT(IF(ISTEXT(Overig!F130),Overig!F130,100*Overig!F130),""",""?????0;"",""????-0;"",""?????0;"", /////"""),"'","""")&amp;SUBSTITUTE(TEXT(Overig!G130,""",""?00;"",""?-00;"",""?00;"", //"""),"'","""")&amp;SUBSTITUTE(TEXT(IF(ISTEXT(Overig!H130),Overig!H130,100*Overig!H130),""",""????0;"",""???-0;"",""????0;"", ////"""),"'","""")&amp;SUBSTITUTE(TEXT(Overig!I130,""",""?00;"",""?-00;"",""?00;"", //"""),"'","""")&amp;SUBSTITUTE(TEXT(IF(ISTEXT(Overig!J130),Overig!J130,100*Overig!J130),""",""?????0;"",""????-0;"",""?????0;"", /////"""),"'","""")&amp;SUBSTITUTE(TEXT(Overig!K130,""",""?00;"",""?-00;"",""?00;"", //"""),"'","""")&amp;SUBSTITUTE(TEXT(IF(ISTEXT(Overig!L130),Overig!L130,10*Overig!L130),""",""????0;"",""???-0;"",""????0;"", ////"""),"'","""")&amp;SUBSTITUTE(TEXT(Overig!M130,""",""?00;"",""?-00;"",""?00;"", //"""),"'","""")&amp;SUBSTITUTE(TEXT(IF(ISTEXT(Overig!N130),Overig!N130,10*Overig!N130),""",""????0;"",""???-0;"",""????0;"", ////"""),"'","""")&amp;SUBSTITUTE(TEXT(Overig!O130,""",""?00;"",""?-00;"",""?00;"", //"""),"'","""")&amp;SUBSTITUTE(TEXT(IF(ISTEXT(Overig!P130),Overig!P130,10*Overig!P130),""",""????0;"",""???-0;"",""????0;"", ////"""),"'","""")&amp;SUBSTITUTE(TEXT(Overig!Q130,""",""?00;"",""?-00;"",""?00;"", //"""),"'","""")&amp;SUBSTITUTE(TEXT(IF(ISTEXT(Overig!R130),Overig!R130,10*Overig!R130),""",""????0;"",""???-0;"",""????0;"", ////"""),"'","""")&amp;SUBSTITUTE(TEXT(Overig!S130,""",""?00;"",""?-00;"",""?00;"", //"""),"'","""")&amp;SUBSTITUTE(TEXT(Overig!T130,""",""???0;"",""??-0;"",""???0;"", ///"""),"'","""")&amp;SUBSTITUTE(TEXT(Overig!U130,""",""?00;"",""?-00;"",""?00;"", //"""),"'","""")&amp;SUBSTITUTE(TEXT(IF(ISTEXT(Overig!V130),Overig!V130,10*Overig!V130),""",""???0;"",""??-0;"",""???0;"", ///"""),"'","""")&amp;SUBSTITUTE(TEXT(Overig!W130,""",""?00;"",""?-00;"",""?00;"", //"""),"'","""")&amp;SUBSTITUTE(TEXT(IF(ISTEXT(Overig!X130),Overig!X130,10*Overig!X130),""",""????0;"",""???-0;"",""????0;"", ////"""),"'","""")&amp;SUBSTITUTE(TEXT(Overig!Y130,""",""?00;"",""?-00;"",""?00;"", //"""),"'","""")&amp;SUBSTITUTE(TEXT(IF(ISTEXT(Overig!Z130),Overig!Z130,10*Overig!Z130),""",""????0;"",""???-0;"",""????0;"", ////"""),"'","""")&amp;SUBSTITUTE(TEXT(Overig!AA130,""",""?00;"",""?-00;"",""?00;"", //"""),"'","""")&amp;SUBSTITUTE(TEXT(Overig!AB130,""",""???0;"",""??-0;"",""???0;"", ///"""),"'","""")&amp;SUBSTITUTE(TEXT(Overig!AC130,""",""?00;"",""?-00;"",""?00;"", //"""),"'","""")&amp;SUBSTITUTE(TEXT(IF(ISTEXT(Overig!AD130),Overig!AD130,10*Overig!AD130),""",""????0;"",""???-0;"",""????0;"", ////"""),"'","""")&amp;SUBSTITUTE(TEXT(Overig!AE130,""",""?00;"",""?-00;"",""?00;"", //"""),"'","""")&amp;SUBSTITUTE(TEXT(IF(ISTEXT(Overig!AF130),Overig!AF130,10*Overig!AF130),""",""????0;"",""???-0;"",""????0;"", ////"""),"'","""")&amp;SUBSTITUTE(TEXT(Overig!AG130,""",""?00;"",""?-00;"",""?00;"", //"""),"'","""")&amp;SUBSTITUTE(TEXT(Overig!AH130,""",""???0;"",""??-0;"",""???0;"", ///"""),"'","""")&amp;SUBSTITUTE(TEXT(Overig!AI130,""",""?00;"",""?-00;"",""?00;"", //"""),"'","""")&amp;SUBSTITUTE(TEXT(Overig!AJ130,""",""??0;"",""?-0;"",""??0;"", //"""),"'","""")&amp;SUBSTITUTE(TEXT(Overig!AK130,""",""?00;"",""?-00;"",""?00;"", //"""),"'","""")&amp;SUBSTITUTE(IF(EXACT(Overig!AL130,"—"),TEXT(Overig!AL130,""",""????0;"",""???-0;"",""????0;"", ////////////,"""),TEXT(Overig!AL130,"\, \'@""',""")&amp;REPT(" ",10-LEN(Overig!AL130))),"'","""")&amp;SUBSTITUTE(TEXT(Overig!AM130,"?00;?-00;?00;"" //"""),"'","""")&amp;SUBSTITUTE(TEXT(Overig!AN130,""",""???0;"",""??-0;"",""???0;"", ///"""),"'","""")&amp;SUBSTITUTE(TEXT(Overig!AO130,""",""?00;"",""?-00;"",""?00;"", //"""),"'","""")</f>
        <v>78989, 19130509, 0800, ////, 07, /////, 07, ////, 07, /////, 07, ////, 07, ////, 07, ////, 07, ////, 07, ///, 07, ///, 07, ////, 07, ////, 07, ///, 07, ////, 07, ////, 07, ///, 07, //, 07, ////////////, 07, ///, 07</v>
      </c>
    </row>
    <row r="131" spans="1:1" x14ac:dyDescent="0.25">
      <c r="A131" s="75" t="str">
        <f ca="1">TEXT(Overig!A131,"000\,")&amp;TEXT(Overig!B131,"?00000000")&amp;TEXT(Overig!C131,""", ""0000")&amp;SUBSTITUTE(TEXT(IF(ISTEXT(Overig!D131),Overig!D131,10*Overig!D131),""",""????0;"",""???-0;"",""????0;"", ////"""),"'","""")&amp;SUBSTITUTE(TEXT(Overig!E131,""",""?00;"",""?-00;"",""?00;"", //"""),"'","""")&amp;SUBSTITUTE(TEXT(IF(ISTEXT(Overig!F131),Overig!F131,100*Overig!F131),""",""?????0;"",""????-0;"",""?????0;"", /////"""),"'","""")&amp;SUBSTITUTE(TEXT(Overig!G131,""",""?00;"",""?-00;"",""?00;"", //"""),"'","""")&amp;SUBSTITUTE(TEXT(IF(ISTEXT(Overig!H131),Overig!H131,100*Overig!H131),""",""????0;"",""???-0;"",""????0;"", ////"""),"'","""")&amp;SUBSTITUTE(TEXT(Overig!I131,""",""?00;"",""?-00;"",""?00;"", //"""),"'","""")&amp;SUBSTITUTE(TEXT(IF(ISTEXT(Overig!J131),Overig!J131,100*Overig!J131),""",""?????0;"",""????-0;"",""?????0;"", /////"""),"'","""")&amp;SUBSTITUTE(TEXT(Overig!K131,""",""?00;"",""?-00;"",""?00;"", //"""),"'","""")&amp;SUBSTITUTE(TEXT(IF(ISTEXT(Overig!L131),Overig!L131,10*Overig!L131),""",""????0;"",""???-0;"",""????0;"", ////"""),"'","""")&amp;SUBSTITUTE(TEXT(Overig!M131,""",""?00;"",""?-00;"",""?00;"", //"""),"'","""")&amp;SUBSTITUTE(TEXT(IF(ISTEXT(Overig!N131),Overig!N131,10*Overig!N131),""",""????0;"",""???-0;"",""????0;"", ////"""),"'","""")&amp;SUBSTITUTE(TEXT(Overig!O131,""",""?00;"",""?-00;"",""?00;"", //"""),"'","""")&amp;SUBSTITUTE(TEXT(IF(ISTEXT(Overig!P131),Overig!P131,10*Overig!P131),""",""????0;"",""???-0;"",""????0;"", ////"""),"'","""")&amp;SUBSTITUTE(TEXT(Overig!Q131,""",""?00;"",""?-00;"",""?00;"", //"""),"'","""")&amp;SUBSTITUTE(TEXT(IF(ISTEXT(Overig!R131),Overig!R131,10*Overig!R131),""",""????0;"",""???-0;"",""????0;"", ////"""),"'","""")&amp;SUBSTITUTE(TEXT(Overig!S131,""",""?00;"",""?-00;"",""?00;"", //"""),"'","""")&amp;SUBSTITUTE(TEXT(Overig!T131,""",""???0;"",""??-0;"",""???0;"", ///"""),"'","""")&amp;SUBSTITUTE(TEXT(Overig!U131,""",""?00;"",""?-00;"",""?00;"", //"""),"'","""")&amp;SUBSTITUTE(TEXT(IF(ISTEXT(Overig!V131),Overig!V131,10*Overig!V131),""",""???0;"",""??-0;"",""???0;"", ///"""),"'","""")&amp;SUBSTITUTE(TEXT(Overig!W131,""",""?00;"",""?-00;"",""?00;"", //"""),"'","""")&amp;SUBSTITUTE(TEXT(IF(ISTEXT(Overig!X131),Overig!X131,10*Overig!X131),""",""????0;"",""???-0;"",""????0;"", ////"""),"'","""")&amp;SUBSTITUTE(TEXT(Overig!Y131,""",""?00;"",""?-00;"",""?00;"", //"""),"'","""")&amp;SUBSTITUTE(TEXT(IF(ISTEXT(Overig!Z131),Overig!Z131,10*Overig!Z131),""",""????0;"",""???-0;"",""????0;"", ////"""),"'","""")&amp;SUBSTITUTE(TEXT(Overig!AA131,""",""?00;"",""?-00;"",""?00;"", //"""),"'","""")&amp;SUBSTITUTE(TEXT(Overig!AB131,""",""???0;"",""??-0;"",""???0;"", ///"""),"'","""")&amp;SUBSTITUTE(TEXT(Overig!AC131,""",""?00;"",""?-00;"",""?00;"", //"""),"'","""")&amp;SUBSTITUTE(TEXT(IF(ISTEXT(Overig!AD131),Overig!AD131,10*Overig!AD131),""",""????0;"",""???-0;"",""????0;"", ////"""),"'","""")&amp;SUBSTITUTE(TEXT(Overig!AE131,""",""?00;"",""?-00;"",""?00;"", //"""),"'","""")&amp;SUBSTITUTE(TEXT(IF(ISTEXT(Overig!AF131),Overig!AF131,10*Overig!AF131),""",""????0;"",""???-0;"",""????0;"", ////"""),"'","""")&amp;SUBSTITUTE(TEXT(Overig!AG131,""",""?00;"",""?-00;"",""?00;"", //"""),"'","""")&amp;SUBSTITUTE(TEXT(Overig!AH131,""",""???0;"",""??-0;"",""???0;"", ///"""),"'","""")&amp;SUBSTITUTE(TEXT(Overig!AI131,""",""?00;"",""?-00;"",""?00;"", //"""),"'","""")&amp;SUBSTITUTE(TEXT(Overig!AJ131,""",""??0;"",""?-0;"",""??0;"", //"""),"'","""")&amp;SUBSTITUTE(TEXT(Overig!AK131,""",""?00;"",""?-00;"",""?00;"", //"""),"'","""")&amp;SUBSTITUTE(IF(EXACT(Overig!AL131,"—"),TEXT(Overig!AL131,""",""????0;"",""???-0;"",""????0;"", ////////////,"""),TEXT(Overig!AL131,"\, \'@""',""")&amp;REPT(" ",10-LEN(Overig!AL131))),"'","""")&amp;SUBSTITUTE(TEXT(Overig!AM131,"?00;?-00;?00;"" //"""),"'","""")&amp;SUBSTITUTE(TEXT(Overig!AN131,""",""???0;"",""??-0;"",""???0;"", ///"""),"'","""")&amp;SUBSTITUTE(TEXT(Overig!AO131,""",""?00;"",""?-00;"",""?00;"", //"""),"'","""")</f>
        <v>78989, 19130510, 0800, ////, 07, /////, 07, ////, 07, /////, 07, ////, 07, ////, 07, ////, 07, ////, 07, ///, 07, ///, 07, ////, 07, ////, 07, ///, 07, ////, 07, ////, 07, ///, 07, //, 07, ////////////, 07, ///, 07</v>
      </c>
    </row>
    <row r="132" spans="1:1" x14ac:dyDescent="0.25">
      <c r="A132" s="75" t="str">
        <f ca="1">TEXT(Overig!A132,"000\,")&amp;TEXT(Overig!B132,"?00000000")&amp;TEXT(Overig!C132,""", ""0000")&amp;SUBSTITUTE(TEXT(IF(ISTEXT(Overig!D132),Overig!D132,10*Overig!D132),""",""????0;"",""???-0;"",""????0;"", ////"""),"'","""")&amp;SUBSTITUTE(TEXT(Overig!E132,""",""?00;"",""?-00;"",""?00;"", //"""),"'","""")&amp;SUBSTITUTE(TEXT(IF(ISTEXT(Overig!F132),Overig!F132,100*Overig!F132),""",""?????0;"",""????-0;"",""?????0;"", /////"""),"'","""")&amp;SUBSTITUTE(TEXT(Overig!G132,""",""?00;"",""?-00;"",""?00;"", //"""),"'","""")&amp;SUBSTITUTE(TEXT(IF(ISTEXT(Overig!H132),Overig!H132,100*Overig!H132),""",""????0;"",""???-0;"",""????0;"", ////"""),"'","""")&amp;SUBSTITUTE(TEXT(Overig!I132,""",""?00;"",""?-00;"",""?00;"", //"""),"'","""")&amp;SUBSTITUTE(TEXT(IF(ISTEXT(Overig!J132),Overig!J132,100*Overig!J132),""",""?????0;"",""????-0;"",""?????0;"", /////"""),"'","""")&amp;SUBSTITUTE(TEXT(Overig!K132,""",""?00;"",""?-00;"",""?00;"", //"""),"'","""")&amp;SUBSTITUTE(TEXT(IF(ISTEXT(Overig!L132),Overig!L132,10*Overig!L132),""",""????0;"",""???-0;"",""????0;"", ////"""),"'","""")&amp;SUBSTITUTE(TEXT(Overig!M132,""",""?00;"",""?-00;"",""?00;"", //"""),"'","""")&amp;SUBSTITUTE(TEXT(IF(ISTEXT(Overig!N132),Overig!N132,10*Overig!N132),""",""????0;"",""???-0;"",""????0;"", ////"""),"'","""")&amp;SUBSTITUTE(TEXT(Overig!O132,""",""?00;"",""?-00;"",""?00;"", //"""),"'","""")&amp;SUBSTITUTE(TEXT(IF(ISTEXT(Overig!P132),Overig!P132,10*Overig!P132),""",""????0;"",""???-0;"",""????0;"", ////"""),"'","""")&amp;SUBSTITUTE(TEXT(Overig!Q132,""",""?00;"",""?-00;"",""?00;"", //"""),"'","""")&amp;SUBSTITUTE(TEXT(IF(ISTEXT(Overig!R132),Overig!R132,10*Overig!R132),""",""????0;"",""???-0;"",""????0;"", ////"""),"'","""")&amp;SUBSTITUTE(TEXT(Overig!S132,""",""?00;"",""?-00;"",""?00;"", //"""),"'","""")&amp;SUBSTITUTE(TEXT(Overig!T132,""",""???0;"",""??-0;"",""???0;"", ///"""),"'","""")&amp;SUBSTITUTE(TEXT(Overig!U132,""",""?00;"",""?-00;"",""?00;"", //"""),"'","""")&amp;SUBSTITUTE(TEXT(IF(ISTEXT(Overig!V132),Overig!V132,10*Overig!V132),""",""???0;"",""??-0;"",""???0;"", ///"""),"'","""")&amp;SUBSTITUTE(TEXT(Overig!W132,""",""?00;"",""?-00;"",""?00;"", //"""),"'","""")&amp;SUBSTITUTE(TEXT(IF(ISTEXT(Overig!X132),Overig!X132,10*Overig!X132),""",""????0;"",""???-0;"",""????0;"", ////"""),"'","""")&amp;SUBSTITUTE(TEXT(Overig!Y132,""",""?00;"",""?-00;"",""?00;"", //"""),"'","""")&amp;SUBSTITUTE(TEXT(IF(ISTEXT(Overig!Z132),Overig!Z132,10*Overig!Z132),""",""????0;"",""???-0;"",""????0;"", ////"""),"'","""")&amp;SUBSTITUTE(TEXT(Overig!AA132,""",""?00;"",""?-00;"",""?00;"", //"""),"'","""")&amp;SUBSTITUTE(TEXT(Overig!AB132,""",""???0;"",""??-0;"",""???0;"", ///"""),"'","""")&amp;SUBSTITUTE(TEXT(Overig!AC132,""",""?00;"",""?-00;"",""?00;"", //"""),"'","""")&amp;SUBSTITUTE(TEXT(IF(ISTEXT(Overig!AD132),Overig!AD132,10*Overig!AD132),""",""????0;"",""???-0;"",""????0;"", ////"""),"'","""")&amp;SUBSTITUTE(TEXT(Overig!AE132,""",""?00;"",""?-00;"",""?00;"", //"""),"'","""")&amp;SUBSTITUTE(TEXT(IF(ISTEXT(Overig!AF132),Overig!AF132,10*Overig!AF132),""",""????0;"",""???-0;"",""????0;"", ////"""),"'","""")&amp;SUBSTITUTE(TEXT(Overig!AG132,""",""?00;"",""?-00;"",""?00;"", //"""),"'","""")&amp;SUBSTITUTE(TEXT(Overig!AH132,""",""???0;"",""??-0;"",""???0;"", ///"""),"'","""")&amp;SUBSTITUTE(TEXT(Overig!AI132,""",""?00;"",""?-00;"",""?00;"", //"""),"'","""")&amp;SUBSTITUTE(TEXT(Overig!AJ132,""",""??0;"",""?-0;"",""??0;"", //"""),"'","""")&amp;SUBSTITUTE(TEXT(Overig!AK132,""",""?00;"",""?-00;"",""?00;"", //"""),"'","""")&amp;SUBSTITUTE(IF(EXACT(Overig!AL132,"—"),TEXT(Overig!AL132,""",""????0;"",""???-0;"",""????0;"", ////////////,"""),TEXT(Overig!AL132,"\, \'@""',""")&amp;REPT(" ",10-LEN(Overig!AL132))),"'","""")&amp;SUBSTITUTE(TEXT(Overig!AM132,"?00;?-00;?00;"" //"""),"'","""")&amp;SUBSTITUTE(TEXT(Overig!AN132,""",""???0;"",""??-0;"",""???0;"", ///"""),"'","""")&amp;SUBSTITUTE(TEXT(Overig!AO132,""",""?00;"",""?-00;"",""?00;"", //"""),"'","""")</f>
        <v>78989, 19130511, 0800, ////, 07, /////, 07, ////, 07, /////, 07, ////, 07, ////, 07, ////, 07, ////, 07, ///, 07, ///, 07, ////, 07, ////, 07, ///, 07, ////, 07, ////, 07, ///, 07, //, 07, ////////////, 07, ///, 07</v>
      </c>
    </row>
    <row r="133" spans="1:1" x14ac:dyDescent="0.25">
      <c r="A133" s="75" t="str">
        <f ca="1">TEXT(Overig!A133,"000\,")&amp;TEXT(Overig!B133,"?00000000")&amp;TEXT(Overig!C133,""", ""0000")&amp;SUBSTITUTE(TEXT(IF(ISTEXT(Overig!D133),Overig!D133,10*Overig!D133),""",""????0;"",""???-0;"",""????0;"", ////"""),"'","""")&amp;SUBSTITUTE(TEXT(Overig!E133,""",""?00;"",""?-00;"",""?00;"", //"""),"'","""")&amp;SUBSTITUTE(TEXT(IF(ISTEXT(Overig!F133),Overig!F133,100*Overig!F133),""",""?????0;"",""????-0;"",""?????0;"", /////"""),"'","""")&amp;SUBSTITUTE(TEXT(Overig!G133,""",""?00;"",""?-00;"",""?00;"", //"""),"'","""")&amp;SUBSTITUTE(TEXT(IF(ISTEXT(Overig!H133),Overig!H133,100*Overig!H133),""",""????0;"",""???-0;"",""????0;"", ////"""),"'","""")&amp;SUBSTITUTE(TEXT(Overig!I133,""",""?00;"",""?-00;"",""?00;"", //"""),"'","""")&amp;SUBSTITUTE(TEXT(IF(ISTEXT(Overig!J133),Overig!J133,100*Overig!J133),""",""?????0;"",""????-0;"",""?????0;"", /////"""),"'","""")&amp;SUBSTITUTE(TEXT(Overig!K133,""",""?00;"",""?-00;"",""?00;"", //"""),"'","""")&amp;SUBSTITUTE(TEXT(IF(ISTEXT(Overig!L133),Overig!L133,10*Overig!L133),""",""????0;"",""???-0;"",""????0;"", ////"""),"'","""")&amp;SUBSTITUTE(TEXT(Overig!M133,""",""?00;"",""?-00;"",""?00;"", //"""),"'","""")&amp;SUBSTITUTE(TEXT(IF(ISTEXT(Overig!N133),Overig!N133,10*Overig!N133),""",""????0;"",""???-0;"",""????0;"", ////"""),"'","""")&amp;SUBSTITUTE(TEXT(Overig!O133,""",""?00;"",""?-00;"",""?00;"", //"""),"'","""")&amp;SUBSTITUTE(TEXT(IF(ISTEXT(Overig!P133),Overig!P133,10*Overig!P133),""",""????0;"",""???-0;"",""????0;"", ////"""),"'","""")&amp;SUBSTITUTE(TEXT(Overig!Q133,""",""?00;"",""?-00;"",""?00;"", //"""),"'","""")&amp;SUBSTITUTE(TEXT(IF(ISTEXT(Overig!R133),Overig!R133,10*Overig!R133),""",""????0;"",""???-0;"",""????0;"", ////"""),"'","""")&amp;SUBSTITUTE(TEXT(Overig!S133,""",""?00;"",""?-00;"",""?00;"", //"""),"'","""")&amp;SUBSTITUTE(TEXT(Overig!T133,""",""???0;"",""??-0;"",""???0;"", ///"""),"'","""")&amp;SUBSTITUTE(TEXT(Overig!U133,""",""?00;"",""?-00;"",""?00;"", //"""),"'","""")&amp;SUBSTITUTE(TEXT(IF(ISTEXT(Overig!V133),Overig!V133,10*Overig!V133),""",""???0;"",""??-0;"",""???0;"", ///"""),"'","""")&amp;SUBSTITUTE(TEXT(Overig!W133,""",""?00;"",""?-00;"",""?00;"", //"""),"'","""")&amp;SUBSTITUTE(TEXT(IF(ISTEXT(Overig!X133),Overig!X133,10*Overig!X133),""",""????0;"",""???-0;"",""????0;"", ////"""),"'","""")&amp;SUBSTITUTE(TEXT(Overig!Y133,""",""?00;"",""?-00;"",""?00;"", //"""),"'","""")&amp;SUBSTITUTE(TEXT(IF(ISTEXT(Overig!Z133),Overig!Z133,10*Overig!Z133),""",""????0;"",""???-0;"",""????0;"", ////"""),"'","""")&amp;SUBSTITUTE(TEXT(Overig!AA133,""",""?00;"",""?-00;"",""?00;"", //"""),"'","""")&amp;SUBSTITUTE(TEXT(Overig!AB133,""",""???0;"",""??-0;"",""???0;"", ///"""),"'","""")&amp;SUBSTITUTE(TEXT(Overig!AC133,""",""?00;"",""?-00;"",""?00;"", //"""),"'","""")&amp;SUBSTITUTE(TEXT(IF(ISTEXT(Overig!AD133),Overig!AD133,10*Overig!AD133),""",""????0;"",""???-0;"",""????0;"", ////"""),"'","""")&amp;SUBSTITUTE(TEXT(Overig!AE133,""",""?00;"",""?-00;"",""?00;"", //"""),"'","""")&amp;SUBSTITUTE(TEXT(IF(ISTEXT(Overig!AF133),Overig!AF133,10*Overig!AF133),""",""????0;"",""???-0;"",""????0;"", ////"""),"'","""")&amp;SUBSTITUTE(TEXT(Overig!AG133,""",""?00;"",""?-00;"",""?00;"", //"""),"'","""")&amp;SUBSTITUTE(TEXT(Overig!AH133,""",""???0;"",""??-0;"",""???0;"", ///"""),"'","""")&amp;SUBSTITUTE(TEXT(Overig!AI133,""",""?00;"",""?-00;"",""?00;"", //"""),"'","""")&amp;SUBSTITUTE(TEXT(Overig!AJ133,""",""??0;"",""?-0;"",""??0;"", //"""),"'","""")&amp;SUBSTITUTE(TEXT(Overig!AK133,""",""?00;"",""?-00;"",""?00;"", //"""),"'","""")&amp;SUBSTITUTE(IF(EXACT(Overig!AL133,"—"),TEXT(Overig!AL133,""",""????0;"",""???-0;"",""????0;"", ////////////,"""),TEXT(Overig!AL133,"\, \'@""',""")&amp;REPT(" ",10-LEN(Overig!AL133))),"'","""")&amp;SUBSTITUTE(TEXT(Overig!AM133,"?00;?-00;?00;"" //"""),"'","""")&amp;SUBSTITUTE(TEXT(Overig!AN133,""",""???0;"",""??-0;"",""???0;"", ///"""),"'","""")&amp;SUBSTITUTE(TEXT(Overig!AO133,""",""?00;"",""?-00;"",""?00;"", //"""),"'","""")</f>
        <v>78989, 19130512, 0800, ////, 07, /////, 07, ////, 07, /////, 07, ////, 07, ////, 07, ////, 07, ////, 07, ///, 07, ///, 07, ////, 07, ////, 07, ///, 07, ////, 07, ////, 07, ///, 07, //, 07, ////////////, 07, ///, 07</v>
      </c>
    </row>
    <row r="134" spans="1:1" x14ac:dyDescent="0.25">
      <c r="A134" s="75" t="str">
        <f ca="1">TEXT(Overig!A134,"000\,")&amp;TEXT(Overig!B134,"?00000000")&amp;TEXT(Overig!C134,""", ""0000")&amp;SUBSTITUTE(TEXT(IF(ISTEXT(Overig!D134),Overig!D134,10*Overig!D134),""",""????0;"",""???-0;"",""????0;"", ////"""),"'","""")&amp;SUBSTITUTE(TEXT(Overig!E134,""",""?00;"",""?-00;"",""?00;"", //"""),"'","""")&amp;SUBSTITUTE(TEXT(IF(ISTEXT(Overig!F134),Overig!F134,100*Overig!F134),""",""?????0;"",""????-0;"",""?????0;"", /////"""),"'","""")&amp;SUBSTITUTE(TEXT(Overig!G134,""",""?00;"",""?-00;"",""?00;"", //"""),"'","""")&amp;SUBSTITUTE(TEXT(IF(ISTEXT(Overig!H134),Overig!H134,100*Overig!H134),""",""????0;"",""???-0;"",""????0;"", ////"""),"'","""")&amp;SUBSTITUTE(TEXT(Overig!I134,""",""?00;"",""?-00;"",""?00;"", //"""),"'","""")&amp;SUBSTITUTE(TEXT(IF(ISTEXT(Overig!J134),Overig!J134,100*Overig!J134),""",""?????0;"",""????-0;"",""?????0;"", /////"""),"'","""")&amp;SUBSTITUTE(TEXT(Overig!K134,""",""?00;"",""?-00;"",""?00;"", //"""),"'","""")&amp;SUBSTITUTE(TEXT(IF(ISTEXT(Overig!L134),Overig!L134,10*Overig!L134),""",""????0;"",""???-0;"",""????0;"", ////"""),"'","""")&amp;SUBSTITUTE(TEXT(Overig!M134,""",""?00;"",""?-00;"",""?00;"", //"""),"'","""")&amp;SUBSTITUTE(TEXT(IF(ISTEXT(Overig!N134),Overig!N134,10*Overig!N134),""",""????0;"",""???-0;"",""????0;"", ////"""),"'","""")&amp;SUBSTITUTE(TEXT(Overig!O134,""",""?00;"",""?-00;"",""?00;"", //"""),"'","""")&amp;SUBSTITUTE(TEXT(IF(ISTEXT(Overig!P134),Overig!P134,10*Overig!P134),""",""????0;"",""???-0;"",""????0;"", ////"""),"'","""")&amp;SUBSTITUTE(TEXT(Overig!Q134,""",""?00;"",""?-00;"",""?00;"", //"""),"'","""")&amp;SUBSTITUTE(TEXT(IF(ISTEXT(Overig!R134),Overig!R134,10*Overig!R134),""",""????0;"",""???-0;"",""????0;"", ////"""),"'","""")&amp;SUBSTITUTE(TEXT(Overig!S134,""",""?00;"",""?-00;"",""?00;"", //"""),"'","""")&amp;SUBSTITUTE(TEXT(Overig!T134,""",""???0;"",""??-0;"",""???0;"", ///"""),"'","""")&amp;SUBSTITUTE(TEXT(Overig!U134,""",""?00;"",""?-00;"",""?00;"", //"""),"'","""")&amp;SUBSTITUTE(TEXT(IF(ISTEXT(Overig!V134),Overig!V134,10*Overig!V134),""",""???0;"",""??-0;"",""???0;"", ///"""),"'","""")&amp;SUBSTITUTE(TEXT(Overig!W134,""",""?00;"",""?-00;"",""?00;"", //"""),"'","""")&amp;SUBSTITUTE(TEXT(IF(ISTEXT(Overig!X134),Overig!X134,10*Overig!X134),""",""????0;"",""???-0;"",""????0;"", ////"""),"'","""")&amp;SUBSTITUTE(TEXT(Overig!Y134,""",""?00;"",""?-00;"",""?00;"", //"""),"'","""")&amp;SUBSTITUTE(TEXT(IF(ISTEXT(Overig!Z134),Overig!Z134,10*Overig!Z134),""",""????0;"",""???-0;"",""????0;"", ////"""),"'","""")&amp;SUBSTITUTE(TEXT(Overig!AA134,""",""?00;"",""?-00;"",""?00;"", //"""),"'","""")&amp;SUBSTITUTE(TEXT(Overig!AB134,""",""???0;"",""??-0;"",""???0;"", ///"""),"'","""")&amp;SUBSTITUTE(TEXT(Overig!AC134,""",""?00;"",""?-00;"",""?00;"", //"""),"'","""")&amp;SUBSTITUTE(TEXT(IF(ISTEXT(Overig!AD134),Overig!AD134,10*Overig!AD134),""",""????0;"",""???-0;"",""????0;"", ////"""),"'","""")&amp;SUBSTITUTE(TEXT(Overig!AE134,""",""?00;"",""?-00;"",""?00;"", //"""),"'","""")&amp;SUBSTITUTE(TEXT(IF(ISTEXT(Overig!AF134),Overig!AF134,10*Overig!AF134),""",""????0;"",""???-0;"",""????0;"", ////"""),"'","""")&amp;SUBSTITUTE(TEXT(Overig!AG134,""",""?00;"",""?-00;"",""?00;"", //"""),"'","""")&amp;SUBSTITUTE(TEXT(Overig!AH134,""",""???0;"",""??-0;"",""???0;"", ///"""),"'","""")&amp;SUBSTITUTE(TEXT(Overig!AI134,""",""?00;"",""?-00;"",""?00;"", //"""),"'","""")&amp;SUBSTITUTE(TEXT(Overig!AJ134,""",""??0;"",""?-0;"",""??0;"", //"""),"'","""")&amp;SUBSTITUTE(TEXT(Overig!AK134,""",""?00;"",""?-00;"",""?00;"", //"""),"'","""")&amp;SUBSTITUTE(IF(EXACT(Overig!AL134,"—"),TEXT(Overig!AL134,""",""????0;"",""???-0;"",""????0;"", ////////////,"""),TEXT(Overig!AL134,"\, \'@""',""")&amp;REPT(" ",10-LEN(Overig!AL134))),"'","""")&amp;SUBSTITUTE(TEXT(Overig!AM134,"?00;?-00;?00;"" //"""),"'","""")&amp;SUBSTITUTE(TEXT(Overig!AN134,""",""???0;"",""??-0;"",""???0;"", ///"""),"'","""")&amp;SUBSTITUTE(TEXT(Overig!AO134,""",""?00;"",""?-00;"",""?00;"", //"""),"'","""")</f>
        <v>78989, 19130513, 0800, ////, 07, /////, 07, ////, 07, /////, 07, ////, 07, ////, 07, ////, 07, ////, 07, ///, 07, ///, 07, ////, 07, ////, 07, ///, 07, ////, 07, ////, 07, ///, 07, //, 07, ////////////, 07, ///, 07</v>
      </c>
    </row>
    <row r="135" spans="1:1" x14ac:dyDescent="0.25">
      <c r="A135" s="75" t="str">
        <f ca="1">TEXT(Overig!A135,"000\,")&amp;TEXT(Overig!B135,"?00000000")&amp;TEXT(Overig!C135,""", ""0000")&amp;SUBSTITUTE(TEXT(IF(ISTEXT(Overig!D135),Overig!D135,10*Overig!D135),""",""????0;"",""???-0;"",""????0;"", ////"""),"'","""")&amp;SUBSTITUTE(TEXT(Overig!E135,""",""?00;"",""?-00;"",""?00;"", //"""),"'","""")&amp;SUBSTITUTE(TEXT(IF(ISTEXT(Overig!F135),Overig!F135,100*Overig!F135),""",""?????0;"",""????-0;"",""?????0;"", /////"""),"'","""")&amp;SUBSTITUTE(TEXT(Overig!G135,""",""?00;"",""?-00;"",""?00;"", //"""),"'","""")&amp;SUBSTITUTE(TEXT(IF(ISTEXT(Overig!H135),Overig!H135,100*Overig!H135),""",""????0;"",""???-0;"",""????0;"", ////"""),"'","""")&amp;SUBSTITUTE(TEXT(Overig!I135,""",""?00;"",""?-00;"",""?00;"", //"""),"'","""")&amp;SUBSTITUTE(TEXT(IF(ISTEXT(Overig!J135),Overig!J135,100*Overig!J135),""",""?????0;"",""????-0;"",""?????0;"", /////"""),"'","""")&amp;SUBSTITUTE(TEXT(Overig!K135,""",""?00;"",""?-00;"",""?00;"", //"""),"'","""")&amp;SUBSTITUTE(TEXT(IF(ISTEXT(Overig!L135),Overig!L135,10*Overig!L135),""",""????0;"",""???-0;"",""????0;"", ////"""),"'","""")&amp;SUBSTITUTE(TEXT(Overig!M135,""",""?00;"",""?-00;"",""?00;"", //"""),"'","""")&amp;SUBSTITUTE(TEXT(IF(ISTEXT(Overig!N135),Overig!N135,10*Overig!N135),""",""????0;"",""???-0;"",""????0;"", ////"""),"'","""")&amp;SUBSTITUTE(TEXT(Overig!O135,""",""?00;"",""?-00;"",""?00;"", //"""),"'","""")&amp;SUBSTITUTE(TEXT(IF(ISTEXT(Overig!P135),Overig!P135,10*Overig!P135),""",""????0;"",""???-0;"",""????0;"", ////"""),"'","""")&amp;SUBSTITUTE(TEXT(Overig!Q135,""",""?00;"",""?-00;"",""?00;"", //"""),"'","""")&amp;SUBSTITUTE(TEXT(IF(ISTEXT(Overig!R135),Overig!R135,10*Overig!R135),""",""????0;"",""???-0;"",""????0;"", ////"""),"'","""")&amp;SUBSTITUTE(TEXT(Overig!S135,""",""?00;"",""?-00;"",""?00;"", //"""),"'","""")&amp;SUBSTITUTE(TEXT(Overig!T135,""",""???0;"",""??-0;"",""???0;"", ///"""),"'","""")&amp;SUBSTITUTE(TEXT(Overig!U135,""",""?00;"",""?-00;"",""?00;"", //"""),"'","""")&amp;SUBSTITUTE(TEXT(IF(ISTEXT(Overig!V135),Overig!V135,10*Overig!V135),""",""???0;"",""??-0;"",""???0;"", ///"""),"'","""")&amp;SUBSTITUTE(TEXT(Overig!W135,""",""?00;"",""?-00;"",""?00;"", //"""),"'","""")&amp;SUBSTITUTE(TEXT(IF(ISTEXT(Overig!X135),Overig!X135,10*Overig!X135),""",""????0;"",""???-0;"",""????0;"", ////"""),"'","""")&amp;SUBSTITUTE(TEXT(Overig!Y135,""",""?00;"",""?-00;"",""?00;"", //"""),"'","""")&amp;SUBSTITUTE(TEXT(IF(ISTEXT(Overig!Z135),Overig!Z135,10*Overig!Z135),""",""????0;"",""???-0;"",""????0;"", ////"""),"'","""")&amp;SUBSTITUTE(TEXT(Overig!AA135,""",""?00;"",""?-00;"",""?00;"", //"""),"'","""")&amp;SUBSTITUTE(TEXT(Overig!AB135,""",""???0;"",""??-0;"",""???0;"", ///"""),"'","""")&amp;SUBSTITUTE(TEXT(Overig!AC135,""",""?00;"",""?-00;"",""?00;"", //"""),"'","""")&amp;SUBSTITUTE(TEXT(IF(ISTEXT(Overig!AD135),Overig!AD135,10*Overig!AD135),""",""????0;"",""???-0;"",""????0;"", ////"""),"'","""")&amp;SUBSTITUTE(TEXT(Overig!AE135,""",""?00;"",""?-00;"",""?00;"", //"""),"'","""")&amp;SUBSTITUTE(TEXT(IF(ISTEXT(Overig!AF135),Overig!AF135,10*Overig!AF135),""",""????0;"",""???-0;"",""????0;"", ////"""),"'","""")&amp;SUBSTITUTE(TEXT(Overig!AG135,""",""?00;"",""?-00;"",""?00;"", //"""),"'","""")&amp;SUBSTITUTE(TEXT(Overig!AH135,""",""???0;"",""??-0;"",""???0;"", ///"""),"'","""")&amp;SUBSTITUTE(TEXT(Overig!AI135,""",""?00;"",""?-00;"",""?00;"", //"""),"'","""")&amp;SUBSTITUTE(TEXT(Overig!AJ135,""",""??0;"",""?-0;"",""??0;"", //"""),"'","""")&amp;SUBSTITUTE(TEXT(Overig!AK135,""",""?00;"",""?-00;"",""?00;"", //"""),"'","""")&amp;SUBSTITUTE(IF(EXACT(Overig!AL135,"—"),TEXT(Overig!AL135,""",""????0;"",""???-0;"",""????0;"", ////////////,"""),TEXT(Overig!AL135,"\, \'@""',""")&amp;REPT(" ",10-LEN(Overig!AL135))),"'","""")&amp;SUBSTITUTE(TEXT(Overig!AM135,"?00;?-00;?00;"" //"""),"'","""")&amp;SUBSTITUTE(TEXT(Overig!AN135,""",""???0;"",""??-0;"",""???0;"", ///"""),"'","""")&amp;SUBSTITUTE(TEXT(Overig!AO135,""",""?00;"",""?-00;"",""?00;"", //"""),"'","""")</f>
        <v>78989, 19130514, 0800, ////, 07, /////, 07, ////, 07, /////, 07, ////, 07, ////, 07, ////, 07, ////, 07, ///, 07, ///, 07, ////, 07, ////, 07, ///, 07, ////, 07, ////, 07, ///, 07, //, 07, ////////////, 07, ///, 07</v>
      </c>
    </row>
    <row r="136" spans="1:1" x14ac:dyDescent="0.25">
      <c r="A136" s="75" t="str">
        <f ca="1">TEXT(Overig!A136,"000\,")&amp;TEXT(Overig!B136,"?00000000")&amp;TEXT(Overig!C136,""", ""0000")&amp;SUBSTITUTE(TEXT(IF(ISTEXT(Overig!D136),Overig!D136,10*Overig!D136),""",""????0;"",""???-0;"",""????0;"", ////"""),"'","""")&amp;SUBSTITUTE(TEXT(Overig!E136,""",""?00;"",""?-00;"",""?00;"", //"""),"'","""")&amp;SUBSTITUTE(TEXT(IF(ISTEXT(Overig!F136),Overig!F136,100*Overig!F136),""",""?????0;"",""????-0;"",""?????0;"", /////"""),"'","""")&amp;SUBSTITUTE(TEXT(Overig!G136,""",""?00;"",""?-00;"",""?00;"", //"""),"'","""")&amp;SUBSTITUTE(TEXT(IF(ISTEXT(Overig!H136),Overig!H136,100*Overig!H136),""",""????0;"",""???-0;"",""????0;"", ////"""),"'","""")&amp;SUBSTITUTE(TEXT(Overig!I136,""",""?00;"",""?-00;"",""?00;"", //"""),"'","""")&amp;SUBSTITUTE(TEXT(IF(ISTEXT(Overig!J136),Overig!J136,100*Overig!J136),""",""?????0;"",""????-0;"",""?????0;"", /////"""),"'","""")&amp;SUBSTITUTE(TEXT(Overig!K136,""",""?00;"",""?-00;"",""?00;"", //"""),"'","""")&amp;SUBSTITUTE(TEXT(IF(ISTEXT(Overig!L136),Overig!L136,10*Overig!L136),""",""????0;"",""???-0;"",""????0;"", ////"""),"'","""")&amp;SUBSTITUTE(TEXT(Overig!M136,""",""?00;"",""?-00;"",""?00;"", //"""),"'","""")&amp;SUBSTITUTE(TEXT(IF(ISTEXT(Overig!N136),Overig!N136,10*Overig!N136),""",""????0;"",""???-0;"",""????0;"", ////"""),"'","""")&amp;SUBSTITUTE(TEXT(Overig!O136,""",""?00;"",""?-00;"",""?00;"", //"""),"'","""")&amp;SUBSTITUTE(TEXT(IF(ISTEXT(Overig!P136),Overig!P136,10*Overig!P136),""",""????0;"",""???-0;"",""????0;"", ////"""),"'","""")&amp;SUBSTITUTE(TEXT(Overig!Q136,""",""?00;"",""?-00;"",""?00;"", //"""),"'","""")&amp;SUBSTITUTE(TEXT(IF(ISTEXT(Overig!R136),Overig!R136,10*Overig!R136),""",""????0;"",""???-0;"",""????0;"", ////"""),"'","""")&amp;SUBSTITUTE(TEXT(Overig!S136,""",""?00;"",""?-00;"",""?00;"", //"""),"'","""")&amp;SUBSTITUTE(TEXT(Overig!T136,""",""???0;"",""??-0;"",""???0;"", ///"""),"'","""")&amp;SUBSTITUTE(TEXT(Overig!U136,""",""?00;"",""?-00;"",""?00;"", //"""),"'","""")&amp;SUBSTITUTE(TEXT(IF(ISTEXT(Overig!V136),Overig!V136,10*Overig!V136),""",""???0;"",""??-0;"",""???0;"", ///"""),"'","""")&amp;SUBSTITUTE(TEXT(Overig!W136,""",""?00;"",""?-00;"",""?00;"", //"""),"'","""")&amp;SUBSTITUTE(TEXT(IF(ISTEXT(Overig!X136),Overig!X136,10*Overig!X136),""",""????0;"",""???-0;"",""????0;"", ////"""),"'","""")&amp;SUBSTITUTE(TEXT(Overig!Y136,""",""?00;"",""?-00;"",""?00;"", //"""),"'","""")&amp;SUBSTITUTE(TEXT(IF(ISTEXT(Overig!Z136),Overig!Z136,10*Overig!Z136),""",""????0;"",""???-0;"",""????0;"", ////"""),"'","""")&amp;SUBSTITUTE(TEXT(Overig!AA136,""",""?00;"",""?-00;"",""?00;"", //"""),"'","""")&amp;SUBSTITUTE(TEXT(Overig!AB136,""",""???0;"",""??-0;"",""???0;"", ///"""),"'","""")&amp;SUBSTITUTE(TEXT(Overig!AC136,""",""?00;"",""?-00;"",""?00;"", //"""),"'","""")&amp;SUBSTITUTE(TEXT(IF(ISTEXT(Overig!AD136),Overig!AD136,10*Overig!AD136),""",""????0;"",""???-0;"",""????0;"", ////"""),"'","""")&amp;SUBSTITUTE(TEXT(Overig!AE136,""",""?00;"",""?-00;"",""?00;"", //"""),"'","""")&amp;SUBSTITUTE(TEXT(IF(ISTEXT(Overig!AF136),Overig!AF136,10*Overig!AF136),""",""????0;"",""???-0;"",""????0;"", ////"""),"'","""")&amp;SUBSTITUTE(TEXT(Overig!AG136,""",""?00;"",""?-00;"",""?00;"", //"""),"'","""")&amp;SUBSTITUTE(TEXT(Overig!AH136,""",""???0;"",""??-0;"",""???0;"", ///"""),"'","""")&amp;SUBSTITUTE(TEXT(Overig!AI136,""",""?00;"",""?-00;"",""?00;"", //"""),"'","""")&amp;SUBSTITUTE(TEXT(Overig!AJ136,""",""??0;"",""?-0;"",""??0;"", //"""),"'","""")&amp;SUBSTITUTE(TEXT(Overig!AK136,""",""?00;"",""?-00;"",""?00;"", //"""),"'","""")&amp;SUBSTITUTE(IF(EXACT(Overig!AL136,"—"),TEXT(Overig!AL136,""",""????0;"",""???-0;"",""????0;"", ////////////,"""),TEXT(Overig!AL136,"\, \'@""',""")&amp;REPT(" ",10-LEN(Overig!AL136))),"'","""")&amp;SUBSTITUTE(TEXT(Overig!AM136,"?00;?-00;?00;"" //"""),"'","""")&amp;SUBSTITUTE(TEXT(Overig!AN136,""",""???0;"",""??-0;"",""???0;"", ///"""),"'","""")&amp;SUBSTITUTE(TEXT(Overig!AO136,""",""?00;"",""?-00;"",""?00;"", //"""),"'","""")</f>
        <v>78989, 19130515, 0800, ////, 07, /////, 07, ////, 07, /////, 07, ////, 07, ////, 07, ////, 07, ////, 07, ///, 07, ///, 07, ////, 07, ////, 07, ///, 07, ////, 07, ////, 07, ///, 07, //, 07, ////////////, 07, ///, 07</v>
      </c>
    </row>
    <row r="137" spans="1:1" x14ac:dyDescent="0.25">
      <c r="A137" s="75" t="str">
        <f ca="1">TEXT(Overig!A137,"000\,")&amp;TEXT(Overig!B137,"?00000000")&amp;TEXT(Overig!C137,""", ""0000")&amp;SUBSTITUTE(TEXT(IF(ISTEXT(Overig!D137),Overig!D137,10*Overig!D137),""",""????0;"",""???-0;"",""????0;"", ////"""),"'","""")&amp;SUBSTITUTE(TEXT(Overig!E137,""",""?00;"",""?-00;"",""?00;"", //"""),"'","""")&amp;SUBSTITUTE(TEXT(IF(ISTEXT(Overig!F137),Overig!F137,100*Overig!F137),""",""?????0;"",""????-0;"",""?????0;"", /////"""),"'","""")&amp;SUBSTITUTE(TEXT(Overig!G137,""",""?00;"",""?-00;"",""?00;"", //"""),"'","""")&amp;SUBSTITUTE(TEXT(IF(ISTEXT(Overig!H137),Overig!H137,100*Overig!H137),""",""????0;"",""???-0;"",""????0;"", ////"""),"'","""")&amp;SUBSTITUTE(TEXT(Overig!I137,""",""?00;"",""?-00;"",""?00;"", //"""),"'","""")&amp;SUBSTITUTE(TEXT(IF(ISTEXT(Overig!J137),Overig!J137,100*Overig!J137),""",""?????0;"",""????-0;"",""?????0;"", /////"""),"'","""")&amp;SUBSTITUTE(TEXT(Overig!K137,""",""?00;"",""?-00;"",""?00;"", //"""),"'","""")&amp;SUBSTITUTE(TEXT(IF(ISTEXT(Overig!L137),Overig!L137,10*Overig!L137),""",""????0;"",""???-0;"",""????0;"", ////"""),"'","""")&amp;SUBSTITUTE(TEXT(Overig!M137,""",""?00;"",""?-00;"",""?00;"", //"""),"'","""")&amp;SUBSTITUTE(TEXT(IF(ISTEXT(Overig!N137),Overig!N137,10*Overig!N137),""",""????0;"",""???-0;"",""????0;"", ////"""),"'","""")&amp;SUBSTITUTE(TEXT(Overig!O137,""",""?00;"",""?-00;"",""?00;"", //"""),"'","""")&amp;SUBSTITUTE(TEXT(IF(ISTEXT(Overig!P137),Overig!P137,10*Overig!P137),""",""????0;"",""???-0;"",""????0;"", ////"""),"'","""")&amp;SUBSTITUTE(TEXT(Overig!Q137,""",""?00;"",""?-00;"",""?00;"", //"""),"'","""")&amp;SUBSTITUTE(TEXT(IF(ISTEXT(Overig!R137),Overig!R137,10*Overig!R137),""",""????0;"",""???-0;"",""????0;"", ////"""),"'","""")&amp;SUBSTITUTE(TEXT(Overig!S137,""",""?00;"",""?-00;"",""?00;"", //"""),"'","""")&amp;SUBSTITUTE(TEXT(Overig!T137,""",""???0;"",""??-0;"",""???0;"", ///"""),"'","""")&amp;SUBSTITUTE(TEXT(Overig!U137,""",""?00;"",""?-00;"",""?00;"", //"""),"'","""")&amp;SUBSTITUTE(TEXT(IF(ISTEXT(Overig!V137),Overig!V137,10*Overig!V137),""",""???0;"",""??-0;"",""???0;"", ///"""),"'","""")&amp;SUBSTITUTE(TEXT(Overig!W137,""",""?00;"",""?-00;"",""?00;"", //"""),"'","""")&amp;SUBSTITUTE(TEXT(IF(ISTEXT(Overig!X137),Overig!X137,10*Overig!X137),""",""????0;"",""???-0;"",""????0;"", ////"""),"'","""")&amp;SUBSTITUTE(TEXT(Overig!Y137,""",""?00;"",""?-00;"",""?00;"", //"""),"'","""")&amp;SUBSTITUTE(TEXT(IF(ISTEXT(Overig!Z137),Overig!Z137,10*Overig!Z137),""",""????0;"",""???-0;"",""????0;"", ////"""),"'","""")&amp;SUBSTITUTE(TEXT(Overig!AA137,""",""?00;"",""?-00;"",""?00;"", //"""),"'","""")&amp;SUBSTITUTE(TEXT(Overig!AB137,""",""???0;"",""??-0;"",""???0;"", ///"""),"'","""")&amp;SUBSTITUTE(TEXT(Overig!AC137,""",""?00;"",""?-00;"",""?00;"", //"""),"'","""")&amp;SUBSTITUTE(TEXT(IF(ISTEXT(Overig!AD137),Overig!AD137,10*Overig!AD137),""",""????0;"",""???-0;"",""????0;"", ////"""),"'","""")&amp;SUBSTITUTE(TEXT(Overig!AE137,""",""?00;"",""?-00;"",""?00;"", //"""),"'","""")&amp;SUBSTITUTE(TEXT(IF(ISTEXT(Overig!AF137),Overig!AF137,10*Overig!AF137),""",""????0;"",""???-0;"",""????0;"", ////"""),"'","""")&amp;SUBSTITUTE(TEXT(Overig!AG137,""",""?00;"",""?-00;"",""?00;"", //"""),"'","""")&amp;SUBSTITUTE(TEXT(Overig!AH137,""",""???0;"",""??-0;"",""???0;"", ///"""),"'","""")&amp;SUBSTITUTE(TEXT(Overig!AI137,""",""?00;"",""?-00;"",""?00;"", //"""),"'","""")&amp;SUBSTITUTE(TEXT(Overig!AJ137,""",""??0;"",""?-0;"",""??0;"", //"""),"'","""")&amp;SUBSTITUTE(TEXT(Overig!AK137,""",""?00;"",""?-00;"",""?00;"", //"""),"'","""")&amp;SUBSTITUTE(IF(EXACT(Overig!AL137,"—"),TEXT(Overig!AL137,""",""????0;"",""???-0;"",""????0;"", ////////////,"""),TEXT(Overig!AL137,"\, \'@""',""")&amp;REPT(" ",10-LEN(Overig!AL137))),"'","""")&amp;SUBSTITUTE(TEXT(Overig!AM137,"?00;?-00;?00;"" //"""),"'","""")&amp;SUBSTITUTE(TEXT(Overig!AN137,""",""???0;"",""??-0;"",""???0;"", ///"""),"'","""")&amp;SUBSTITUTE(TEXT(Overig!AO137,""",""?00;"",""?-00;"",""?00;"", //"""),"'","""")</f>
        <v>78989, 19130516, 0800, ////, 07, /////, 07, ////, 07, /////, 07, ////, 07, ////, 07, ////, 07, ////, 07, ///, 07, ///, 07, ////, 07, ////, 07, ///, 07, ////, 07, ////, 07, ///, 07, //, 07, ////////////, 07, ///, 07</v>
      </c>
    </row>
    <row r="138" spans="1:1" x14ac:dyDescent="0.25">
      <c r="A138" s="75" t="str">
        <f ca="1">TEXT(Overig!A138,"000\,")&amp;TEXT(Overig!B138,"?00000000")&amp;TEXT(Overig!C138,""", ""0000")&amp;SUBSTITUTE(TEXT(IF(ISTEXT(Overig!D138),Overig!D138,10*Overig!D138),""",""????0;"",""???-0;"",""????0;"", ////"""),"'","""")&amp;SUBSTITUTE(TEXT(Overig!E138,""",""?00;"",""?-00;"",""?00;"", //"""),"'","""")&amp;SUBSTITUTE(TEXT(IF(ISTEXT(Overig!F138),Overig!F138,100*Overig!F138),""",""?????0;"",""????-0;"",""?????0;"", /////"""),"'","""")&amp;SUBSTITUTE(TEXT(Overig!G138,""",""?00;"",""?-00;"",""?00;"", //"""),"'","""")&amp;SUBSTITUTE(TEXT(IF(ISTEXT(Overig!H138),Overig!H138,100*Overig!H138),""",""????0;"",""???-0;"",""????0;"", ////"""),"'","""")&amp;SUBSTITUTE(TEXT(Overig!I138,""",""?00;"",""?-00;"",""?00;"", //"""),"'","""")&amp;SUBSTITUTE(TEXT(IF(ISTEXT(Overig!J138),Overig!J138,100*Overig!J138),""",""?????0;"",""????-0;"",""?????0;"", /////"""),"'","""")&amp;SUBSTITUTE(TEXT(Overig!K138,""",""?00;"",""?-00;"",""?00;"", //"""),"'","""")&amp;SUBSTITUTE(TEXT(IF(ISTEXT(Overig!L138),Overig!L138,10*Overig!L138),""",""????0;"",""???-0;"",""????0;"", ////"""),"'","""")&amp;SUBSTITUTE(TEXT(Overig!M138,""",""?00;"",""?-00;"",""?00;"", //"""),"'","""")&amp;SUBSTITUTE(TEXT(IF(ISTEXT(Overig!N138),Overig!N138,10*Overig!N138),""",""????0;"",""???-0;"",""????0;"", ////"""),"'","""")&amp;SUBSTITUTE(TEXT(Overig!O138,""",""?00;"",""?-00;"",""?00;"", //"""),"'","""")&amp;SUBSTITUTE(TEXT(IF(ISTEXT(Overig!P138),Overig!P138,10*Overig!P138),""",""????0;"",""???-0;"",""????0;"", ////"""),"'","""")&amp;SUBSTITUTE(TEXT(Overig!Q138,""",""?00;"",""?-00;"",""?00;"", //"""),"'","""")&amp;SUBSTITUTE(TEXT(IF(ISTEXT(Overig!R138),Overig!R138,10*Overig!R138),""",""????0;"",""???-0;"",""????0;"", ////"""),"'","""")&amp;SUBSTITUTE(TEXT(Overig!S138,""",""?00;"",""?-00;"",""?00;"", //"""),"'","""")&amp;SUBSTITUTE(TEXT(Overig!T138,""",""???0;"",""??-0;"",""???0;"", ///"""),"'","""")&amp;SUBSTITUTE(TEXT(Overig!U138,""",""?00;"",""?-00;"",""?00;"", //"""),"'","""")&amp;SUBSTITUTE(TEXT(IF(ISTEXT(Overig!V138),Overig!V138,10*Overig!V138),""",""???0;"",""??-0;"",""???0;"", ///"""),"'","""")&amp;SUBSTITUTE(TEXT(Overig!W138,""",""?00;"",""?-00;"",""?00;"", //"""),"'","""")&amp;SUBSTITUTE(TEXT(IF(ISTEXT(Overig!X138),Overig!X138,10*Overig!X138),""",""????0;"",""???-0;"",""????0;"", ////"""),"'","""")&amp;SUBSTITUTE(TEXT(Overig!Y138,""",""?00;"",""?-00;"",""?00;"", //"""),"'","""")&amp;SUBSTITUTE(TEXT(IF(ISTEXT(Overig!Z138),Overig!Z138,10*Overig!Z138),""",""????0;"",""???-0;"",""????0;"", ////"""),"'","""")&amp;SUBSTITUTE(TEXT(Overig!AA138,""",""?00;"",""?-00;"",""?00;"", //"""),"'","""")&amp;SUBSTITUTE(TEXT(Overig!AB138,""",""???0;"",""??-0;"",""???0;"", ///"""),"'","""")&amp;SUBSTITUTE(TEXT(Overig!AC138,""",""?00;"",""?-00;"",""?00;"", //"""),"'","""")&amp;SUBSTITUTE(TEXT(IF(ISTEXT(Overig!AD138),Overig!AD138,10*Overig!AD138),""",""????0;"",""???-0;"",""????0;"", ////"""),"'","""")&amp;SUBSTITUTE(TEXT(Overig!AE138,""",""?00;"",""?-00;"",""?00;"", //"""),"'","""")&amp;SUBSTITUTE(TEXT(IF(ISTEXT(Overig!AF138),Overig!AF138,10*Overig!AF138),""",""????0;"",""???-0;"",""????0;"", ////"""),"'","""")&amp;SUBSTITUTE(TEXT(Overig!AG138,""",""?00;"",""?-00;"",""?00;"", //"""),"'","""")&amp;SUBSTITUTE(TEXT(Overig!AH138,""",""???0;"",""??-0;"",""???0;"", ///"""),"'","""")&amp;SUBSTITUTE(TEXT(Overig!AI138,""",""?00;"",""?-00;"",""?00;"", //"""),"'","""")&amp;SUBSTITUTE(TEXT(Overig!AJ138,""",""??0;"",""?-0;"",""??0;"", //"""),"'","""")&amp;SUBSTITUTE(TEXT(Overig!AK138,""",""?00;"",""?-00;"",""?00;"", //"""),"'","""")&amp;SUBSTITUTE(IF(EXACT(Overig!AL138,"—"),TEXT(Overig!AL138,""",""????0;"",""???-0;"",""????0;"", ////////////,"""),TEXT(Overig!AL138,"\, \'@""',""")&amp;REPT(" ",10-LEN(Overig!AL138))),"'","""")&amp;SUBSTITUTE(TEXT(Overig!AM138,"?00;?-00;?00;"" //"""),"'","""")&amp;SUBSTITUTE(TEXT(Overig!AN138,""",""???0;"",""??-0;"",""???0;"", ///"""),"'","""")&amp;SUBSTITUTE(TEXT(Overig!AO138,""",""?00;"",""?-00;"",""?00;"", //"""),"'","""")</f>
        <v>78989, 19130517, 0800, ////, 07, /////, 07, ////, 07, /////, 07, ////, 07, ////, 07, ////, 07, ////, 07, ///, 07, ///, 07, ////, 07, ////, 07, ///, 07, ////, 07, ////, 07, ///, 07, //, 07, ////////////, 07, ///, 07</v>
      </c>
    </row>
    <row r="139" spans="1:1" x14ac:dyDescent="0.25">
      <c r="A139" s="75" t="str">
        <f ca="1">TEXT(Overig!A139,"000\,")&amp;TEXT(Overig!B139,"?00000000")&amp;TEXT(Overig!C139,""", ""0000")&amp;SUBSTITUTE(TEXT(IF(ISTEXT(Overig!D139),Overig!D139,10*Overig!D139),""",""????0;"",""???-0;"",""????0;"", ////"""),"'","""")&amp;SUBSTITUTE(TEXT(Overig!E139,""",""?00;"",""?-00;"",""?00;"", //"""),"'","""")&amp;SUBSTITUTE(TEXT(IF(ISTEXT(Overig!F139),Overig!F139,100*Overig!F139),""",""?????0;"",""????-0;"",""?????0;"", /////"""),"'","""")&amp;SUBSTITUTE(TEXT(Overig!G139,""",""?00;"",""?-00;"",""?00;"", //"""),"'","""")&amp;SUBSTITUTE(TEXT(IF(ISTEXT(Overig!H139),Overig!H139,100*Overig!H139),""",""????0;"",""???-0;"",""????0;"", ////"""),"'","""")&amp;SUBSTITUTE(TEXT(Overig!I139,""",""?00;"",""?-00;"",""?00;"", //"""),"'","""")&amp;SUBSTITUTE(TEXT(IF(ISTEXT(Overig!J139),Overig!J139,100*Overig!J139),""",""?????0;"",""????-0;"",""?????0;"", /////"""),"'","""")&amp;SUBSTITUTE(TEXT(Overig!K139,""",""?00;"",""?-00;"",""?00;"", //"""),"'","""")&amp;SUBSTITUTE(TEXT(IF(ISTEXT(Overig!L139),Overig!L139,10*Overig!L139),""",""????0;"",""???-0;"",""????0;"", ////"""),"'","""")&amp;SUBSTITUTE(TEXT(Overig!M139,""",""?00;"",""?-00;"",""?00;"", //"""),"'","""")&amp;SUBSTITUTE(TEXT(IF(ISTEXT(Overig!N139),Overig!N139,10*Overig!N139),""",""????0;"",""???-0;"",""????0;"", ////"""),"'","""")&amp;SUBSTITUTE(TEXT(Overig!O139,""",""?00;"",""?-00;"",""?00;"", //"""),"'","""")&amp;SUBSTITUTE(TEXT(IF(ISTEXT(Overig!P139),Overig!P139,10*Overig!P139),""",""????0;"",""???-0;"",""????0;"", ////"""),"'","""")&amp;SUBSTITUTE(TEXT(Overig!Q139,""",""?00;"",""?-00;"",""?00;"", //"""),"'","""")&amp;SUBSTITUTE(TEXT(IF(ISTEXT(Overig!R139),Overig!R139,10*Overig!R139),""",""????0;"",""???-0;"",""????0;"", ////"""),"'","""")&amp;SUBSTITUTE(TEXT(Overig!S139,""",""?00;"",""?-00;"",""?00;"", //"""),"'","""")&amp;SUBSTITUTE(TEXT(Overig!T139,""",""???0;"",""??-0;"",""???0;"", ///"""),"'","""")&amp;SUBSTITUTE(TEXT(Overig!U139,""",""?00;"",""?-00;"",""?00;"", //"""),"'","""")&amp;SUBSTITUTE(TEXT(IF(ISTEXT(Overig!V139),Overig!V139,10*Overig!V139),""",""???0;"",""??-0;"",""???0;"", ///"""),"'","""")&amp;SUBSTITUTE(TEXT(Overig!W139,""",""?00;"",""?-00;"",""?00;"", //"""),"'","""")&amp;SUBSTITUTE(TEXT(IF(ISTEXT(Overig!X139),Overig!X139,10*Overig!X139),""",""????0;"",""???-0;"",""????0;"", ////"""),"'","""")&amp;SUBSTITUTE(TEXT(Overig!Y139,""",""?00;"",""?-00;"",""?00;"", //"""),"'","""")&amp;SUBSTITUTE(TEXT(IF(ISTEXT(Overig!Z139),Overig!Z139,10*Overig!Z139),""",""????0;"",""???-0;"",""????0;"", ////"""),"'","""")&amp;SUBSTITUTE(TEXT(Overig!AA139,""",""?00;"",""?-00;"",""?00;"", //"""),"'","""")&amp;SUBSTITUTE(TEXT(Overig!AB139,""",""???0;"",""??-0;"",""???0;"", ///"""),"'","""")&amp;SUBSTITUTE(TEXT(Overig!AC139,""",""?00;"",""?-00;"",""?00;"", //"""),"'","""")&amp;SUBSTITUTE(TEXT(IF(ISTEXT(Overig!AD139),Overig!AD139,10*Overig!AD139),""",""????0;"",""???-0;"",""????0;"", ////"""),"'","""")&amp;SUBSTITUTE(TEXT(Overig!AE139,""",""?00;"",""?-00;"",""?00;"", //"""),"'","""")&amp;SUBSTITUTE(TEXT(IF(ISTEXT(Overig!AF139),Overig!AF139,10*Overig!AF139),""",""????0;"",""???-0;"",""????0;"", ////"""),"'","""")&amp;SUBSTITUTE(TEXT(Overig!AG139,""",""?00;"",""?-00;"",""?00;"", //"""),"'","""")&amp;SUBSTITUTE(TEXT(Overig!AH139,""",""???0;"",""??-0;"",""???0;"", ///"""),"'","""")&amp;SUBSTITUTE(TEXT(Overig!AI139,""",""?00;"",""?-00;"",""?00;"", //"""),"'","""")&amp;SUBSTITUTE(TEXT(Overig!AJ139,""",""??0;"",""?-0;"",""??0;"", //"""),"'","""")&amp;SUBSTITUTE(TEXT(Overig!AK139,""",""?00;"",""?-00;"",""?00;"", //"""),"'","""")&amp;SUBSTITUTE(IF(EXACT(Overig!AL139,"—"),TEXT(Overig!AL139,""",""????0;"",""???-0;"",""????0;"", ////////////,"""),TEXT(Overig!AL139,"\, \'@""',""")&amp;REPT(" ",10-LEN(Overig!AL139))),"'","""")&amp;SUBSTITUTE(TEXT(Overig!AM139,"?00;?-00;?00;"" //"""),"'","""")&amp;SUBSTITUTE(TEXT(Overig!AN139,""",""???0;"",""??-0;"",""???0;"", ///"""),"'","""")&amp;SUBSTITUTE(TEXT(Overig!AO139,""",""?00;"",""?-00;"",""?00;"", //"""),"'","""")</f>
        <v>78989, 19130518, 0800, ////, 07, /////, 07, ////, 07, /////, 07, ////, 07, ////, 07, ////, 07, ////, 07, ///, 07, ///, 07, ////, 07, ////, 07, ///, 07, ////, 07, ////, 07, ///, 07, //, 07, ////////////, 07, ///, 07</v>
      </c>
    </row>
    <row r="140" spans="1:1" x14ac:dyDescent="0.25">
      <c r="A140" s="75" t="str">
        <f ca="1">TEXT(Overig!A140,"000\,")&amp;TEXT(Overig!B140,"?00000000")&amp;TEXT(Overig!C140,""", ""0000")&amp;SUBSTITUTE(TEXT(IF(ISTEXT(Overig!D140),Overig!D140,10*Overig!D140),""",""????0;"",""???-0;"",""????0;"", ////"""),"'","""")&amp;SUBSTITUTE(TEXT(Overig!E140,""",""?00;"",""?-00;"",""?00;"", //"""),"'","""")&amp;SUBSTITUTE(TEXT(IF(ISTEXT(Overig!F140),Overig!F140,100*Overig!F140),""",""?????0;"",""????-0;"",""?????0;"", /////"""),"'","""")&amp;SUBSTITUTE(TEXT(Overig!G140,""",""?00;"",""?-00;"",""?00;"", //"""),"'","""")&amp;SUBSTITUTE(TEXT(IF(ISTEXT(Overig!H140),Overig!H140,100*Overig!H140),""",""????0;"",""???-0;"",""????0;"", ////"""),"'","""")&amp;SUBSTITUTE(TEXT(Overig!I140,""",""?00;"",""?-00;"",""?00;"", //"""),"'","""")&amp;SUBSTITUTE(TEXT(IF(ISTEXT(Overig!J140),Overig!J140,100*Overig!J140),""",""?????0;"",""????-0;"",""?????0;"", /////"""),"'","""")&amp;SUBSTITUTE(TEXT(Overig!K140,""",""?00;"",""?-00;"",""?00;"", //"""),"'","""")&amp;SUBSTITUTE(TEXT(IF(ISTEXT(Overig!L140),Overig!L140,10*Overig!L140),""",""????0;"",""???-0;"",""????0;"", ////"""),"'","""")&amp;SUBSTITUTE(TEXT(Overig!M140,""",""?00;"",""?-00;"",""?00;"", //"""),"'","""")&amp;SUBSTITUTE(TEXT(IF(ISTEXT(Overig!N140),Overig!N140,10*Overig!N140),""",""????0;"",""???-0;"",""????0;"", ////"""),"'","""")&amp;SUBSTITUTE(TEXT(Overig!O140,""",""?00;"",""?-00;"",""?00;"", //"""),"'","""")&amp;SUBSTITUTE(TEXT(IF(ISTEXT(Overig!P140),Overig!P140,10*Overig!P140),""",""????0;"",""???-0;"",""????0;"", ////"""),"'","""")&amp;SUBSTITUTE(TEXT(Overig!Q140,""",""?00;"",""?-00;"",""?00;"", //"""),"'","""")&amp;SUBSTITUTE(TEXT(IF(ISTEXT(Overig!R140),Overig!R140,10*Overig!R140),""",""????0;"",""???-0;"",""????0;"", ////"""),"'","""")&amp;SUBSTITUTE(TEXT(Overig!S140,""",""?00;"",""?-00;"",""?00;"", //"""),"'","""")&amp;SUBSTITUTE(TEXT(Overig!T140,""",""???0;"",""??-0;"",""???0;"", ///"""),"'","""")&amp;SUBSTITUTE(TEXT(Overig!U140,""",""?00;"",""?-00;"",""?00;"", //"""),"'","""")&amp;SUBSTITUTE(TEXT(IF(ISTEXT(Overig!V140),Overig!V140,10*Overig!V140),""",""???0;"",""??-0;"",""???0;"", ///"""),"'","""")&amp;SUBSTITUTE(TEXT(Overig!W140,""",""?00;"",""?-00;"",""?00;"", //"""),"'","""")&amp;SUBSTITUTE(TEXT(IF(ISTEXT(Overig!X140),Overig!X140,10*Overig!X140),""",""????0;"",""???-0;"",""????0;"", ////"""),"'","""")&amp;SUBSTITUTE(TEXT(Overig!Y140,""",""?00;"",""?-00;"",""?00;"", //"""),"'","""")&amp;SUBSTITUTE(TEXT(IF(ISTEXT(Overig!Z140),Overig!Z140,10*Overig!Z140),""",""????0;"",""???-0;"",""????0;"", ////"""),"'","""")&amp;SUBSTITUTE(TEXT(Overig!AA140,""",""?00;"",""?-00;"",""?00;"", //"""),"'","""")&amp;SUBSTITUTE(TEXT(Overig!AB140,""",""???0;"",""??-0;"",""???0;"", ///"""),"'","""")&amp;SUBSTITUTE(TEXT(Overig!AC140,""",""?00;"",""?-00;"",""?00;"", //"""),"'","""")&amp;SUBSTITUTE(TEXT(IF(ISTEXT(Overig!AD140),Overig!AD140,10*Overig!AD140),""",""????0;"",""???-0;"",""????0;"", ////"""),"'","""")&amp;SUBSTITUTE(TEXT(Overig!AE140,""",""?00;"",""?-00;"",""?00;"", //"""),"'","""")&amp;SUBSTITUTE(TEXT(IF(ISTEXT(Overig!AF140),Overig!AF140,10*Overig!AF140),""",""????0;"",""???-0;"",""????0;"", ////"""),"'","""")&amp;SUBSTITUTE(TEXT(Overig!AG140,""",""?00;"",""?-00;"",""?00;"", //"""),"'","""")&amp;SUBSTITUTE(TEXT(Overig!AH140,""",""???0;"",""??-0;"",""???0;"", ///"""),"'","""")&amp;SUBSTITUTE(TEXT(Overig!AI140,""",""?00;"",""?-00;"",""?00;"", //"""),"'","""")&amp;SUBSTITUTE(TEXT(Overig!AJ140,""",""??0;"",""?-0;"",""??0;"", //"""),"'","""")&amp;SUBSTITUTE(TEXT(Overig!AK140,""",""?00;"",""?-00;"",""?00;"", //"""),"'","""")&amp;SUBSTITUTE(IF(EXACT(Overig!AL140,"—"),TEXT(Overig!AL140,""",""????0;"",""???-0;"",""????0;"", ////////////,"""),TEXT(Overig!AL140,"\, \'@""',""")&amp;REPT(" ",10-LEN(Overig!AL140))),"'","""")&amp;SUBSTITUTE(TEXT(Overig!AM140,"?00;?-00;?00;"" //"""),"'","""")&amp;SUBSTITUTE(TEXT(Overig!AN140,""",""???0;"",""??-0;"",""???0;"", ///"""),"'","""")&amp;SUBSTITUTE(TEXT(Overig!AO140,""",""?00;"",""?-00;"",""?00;"", //"""),"'","""")</f>
        <v>78989, 19130519, 0800, ////, 07, /////, 07, ////, 07, /////, 07, ////, 07, ////, 07, ////, 07, ////, 07, ///, 07, ///, 07, ////, 07, ////, 07, ///, 07, ////, 07, ////, 07, ///, 07, //, 07, ////////////, 07, ///, 07</v>
      </c>
    </row>
    <row r="141" spans="1:1" x14ac:dyDescent="0.25">
      <c r="A141" s="75" t="str">
        <f ca="1">TEXT(Overig!A141,"000\,")&amp;TEXT(Overig!B141,"?00000000")&amp;TEXT(Overig!C141,""", ""0000")&amp;SUBSTITUTE(TEXT(IF(ISTEXT(Overig!D141),Overig!D141,10*Overig!D141),""",""????0;"",""???-0;"",""????0;"", ////"""),"'","""")&amp;SUBSTITUTE(TEXT(Overig!E141,""",""?00;"",""?-00;"",""?00;"", //"""),"'","""")&amp;SUBSTITUTE(TEXT(IF(ISTEXT(Overig!F141),Overig!F141,100*Overig!F141),""",""?????0;"",""????-0;"",""?????0;"", /////"""),"'","""")&amp;SUBSTITUTE(TEXT(Overig!G141,""",""?00;"",""?-00;"",""?00;"", //"""),"'","""")&amp;SUBSTITUTE(TEXT(IF(ISTEXT(Overig!H141),Overig!H141,100*Overig!H141),""",""????0;"",""???-0;"",""????0;"", ////"""),"'","""")&amp;SUBSTITUTE(TEXT(Overig!I141,""",""?00;"",""?-00;"",""?00;"", //"""),"'","""")&amp;SUBSTITUTE(TEXT(IF(ISTEXT(Overig!J141),Overig!J141,100*Overig!J141),""",""?????0;"",""????-0;"",""?????0;"", /////"""),"'","""")&amp;SUBSTITUTE(TEXT(Overig!K141,""",""?00;"",""?-00;"",""?00;"", //"""),"'","""")&amp;SUBSTITUTE(TEXT(IF(ISTEXT(Overig!L141),Overig!L141,10*Overig!L141),""",""????0;"",""???-0;"",""????0;"", ////"""),"'","""")&amp;SUBSTITUTE(TEXT(Overig!M141,""",""?00;"",""?-00;"",""?00;"", //"""),"'","""")&amp;SUBSTITUTE(TEXT(IF(ISTEXT(Overig!N141),Overig!N141,10*Overig!N141),""",""????0;"",""???-0;"",""????0;"", ////"""),"'","""")&amp;SUBSTITUTE(TEXT(Overig!O141,""",""?00;"",""?-00;"",""?00;"", //"""),"'","""")&amp;SUBSTITUTE(TEXT(IF(ISTEXT(Overig!P141),Overig!P141,10*Overig!P141),""",""????0;"",""???-0;"",""????0;"", ////"""),"'","""")&amp;SUBSTITUTE(TEXT(Overig!Q141,""",""?00;"",""?-00;"",""?00;"", //"""),"'","""")&amp;SUBSTITUTE(TEXT(IF(ISTEXT(Overig!R141),Overig!R141,10*Overig!R141),""",""????0;"",""???-0;"",""????0;"", ////"""),"'","""")&amp;SUBSTITUTE(TEXT(Overig!S141,""",""?00;"",""?-00;"",""?00;"", //"""),"'","""")&amp;SUBSTITUTE(TEXT(Overig!T141,""",""???0;"",""??-0;"",""???0;"", ///"""),"'","""")&amp;SUBSTITUTE(TEXT(Overig!U141,""",""?00;"",""?-00;"",""?00;"", //"""),"'","""")&amp;SUBSTITUTE(TEXT(IF(ISTEXT(Overig!V141),Overig!V141,10*Overig!V141),""",""???0;"",""??-0;"",""???0;"", ///"""),"'","""")&amp;SUBSTITUTE(TEXT(Overig!W141,""",""?00;"",""?-00;"",""?00;"", //"""),"'","""")&amp;SUBSTITUTE(TEXT(IF(ISTEXT(Overig!X141),Overig!X141,10*Overig!X141),""",""????0;"",""???-0;"",""????0;"", ////"""),"'","""")&amp;SUBSTITUTE(TEXT(Overig!Y141,""",""?00;"",""?-00;"",""?00;"", //"""),"'","""")&amp;SUBSTITUTE(TEXT(IF(ISTEXT(Overig!Z141),Overig!Z141,10*Overig!Z141),""",""????0;"",""???-0;"",""????0;"", ////"""),"'","""")&amp;SUBSTITUTE(TEXT(Overig!AA141,""",""?00;"",""?-00;"",""?00;"", //"""),"'","""")&amp;SUBSTITUTE(TEXT(Overig!AB141,""",""???0;"",""??-0;"",""???0;"", ///"""),"'","""")&amp;SUBSTITUTE(TEXT(Overig!AC141,""",""?00;"",""?-00;"",""?00;"", //"""),"'","""")&amp;SUBSTITUTE(TEXT(IF(ISTEXT(Overig!AD141),Overig!AD141,10*Overig!AD141),""",""????0;"",""???-0;"",""????0;"", ////"""),"'","""")&amp;SUBSTITUTE(TEXT(Overig!AE141,""",""?00;"",""?-00;"",""?00;"", //"""),"'","""")&amp;SUBSTITUTE(TEXT(IF(ISTEXT(Overig!AF141),Overig!AF141,10*Overig!AF141),""",""????0;"",""???-0;"",""????0;"", ////"""),"'","""")&amp;SUBSTITUTE(TEXT(Overig!AG141,""",""?00;"",""?-00;"",""?00;"", //"""),"'","""")&amp;SUBSTITUTE(TEXT(Overig!AH141,""",""???0;"",""??-0;"",""???0;"", ///"""),"'","""")&amp;SUBSTITUTE(TEXT(Overig!AI141,""",""?00;"",""?-00;"",""?00;"", //"""),"'","""")&amp;SUBSTITUTE(TEXT(Overig!AJ141,""",""??0;"",""?-0;"",""??0;"", //"""),"'","""")&amp;SUBSTITUTE(TEXT(Overig!AK141,""",""?00;"",""?-00;"",""?00;"", //"""),"'","""")&amp;SUBSTITUTE(IF(EXACT(Overig!AL141,"—"),TEXT(Overig!AL141,""",""????0;"",""???-0;"",""????0;"", ////////////,"""),TEXT(Overig!AL141,"\, \'@""',""")&amp;REPT(" ",10-LEN(Overig!AL141))),"'","""")&amp;SUBSTITUTE(TEXT(Overig!AM141,"?00;?-00;?00;"" //"""),"'","""")&amp;SUBSTITUTE(TEXT(Overig!AN141,""",""???0;"",""??-0;"",""???0;"", ///"""),"'","""")&amp;SUBSTITUTE(TEXT(Overig!AO141,""",""?00;"",""?-00;"",""?00;"", //"""),"'","""")</f>
        <v>78989, 19130520, 0800, ////, 07, /////, 07, ////, 07, /////, 07, ////, 07, ////, 07, ////, 07, ////, 07, ///, 07, ///, 07, ////, 07, ////, 07, ///, 07, ////, 07, ////, 07, ///, 07, //, 07, ////////////, 07, ///, 07</v>
      </c>
    </row>
    <row r="142" spans="1:1" x14ac:dyDescent="0.25">
      <c r="A142" s="75" t="str">
        <f ca="1">TEXT(Overig!A142,"000\,")&amp;TEXT(Overig!B142,"?00000000")&amp;TEXT(Overig!C142,""", ""0000")&amp;SUBSTITUTE(TEXT(IF(ISTEXT(Overig!D142),Overig!D142,10*Overig!D142),""",""????0;"",""???-0;"",""????0;"", ////"""),"'","""")&amp;SUBSTITUTE(TEXT(Overig!E142,""",""?00;"",""?-00;"",""?00;"", //"""),"'","""")&amp;SUBSTITUTE(TEXT(IF(ISTEXT(Overig!F142),Overig!F142,100*Overig!F142),""",""?????0;"",""????-0;"",""?????0;"", /////"""),"'","""")&amp;SUBSTITUTE(TEXT(Overig!G142,""",""?00;"",""?-00;"",""?00;"", //"""),"'","""")&amp;SUBSTITUTE(TEXT(IF(ISTEXT(Overig!H142),Overig!H142,100*Overig!H142),""",""????0;"",""???-0;"",""????0;"", ////"""),"'","""")&amp;SUBSTITUTE(TEXT(Overig!I142,""",""?00;"",""?-00;"",""?00;"", //"""),"'","""")&amp;SUBSTITUTE(TEXT(IF(ISTEXT(Overig!J142),Overig!J142,100*Overig!J142),""",""?????0;"",""????-0;"",""?????0;"", /////"""),"'","""")&amp;SUBSTITUTE(TEXT(Overig!K142,""",""?00;"",""?-00;"",""?00;"", //"""),"'","""")&amp;SUBSTITUTE(TEXT(IF(ISTEXT(Overig!L142),Overig!L142,10*Overig!L142),""",""????0;"",""???-0;"",""????0;"", ////"""),"'","""")&amp;SUBSTITUTE(TEXT(Overig!M142,""",""?00;"",""?-00;"",""?00;"", //"""),"'","""")&amp;SUBSTITUTE(TEXT(IF(ISTEXT(Overig!N142),Overig!N142,10*Overig!N142),""",""????0;"",""???-0;"",""????0;"", ////"""),"'","""")&amp;SUBSTITUTE(TEXT(Overig!O142,""",""?00;"",""?-00;"",""?00;"", //"""),"'","""")&amp;SUBSTITUTE(TEXT(IF(ISTEXT(Overig!P142),Overig!P142,10*Overig!P142),""",""????0;"",""???-0;"",""????0;"", ////"""),"'","""")&amp;SUBSTITUTE(TEXT(Overig!Q142,""",""?00;"",""?-00;"",""?00;"", //"""),"'","""")&amp;SUBSTITUTE(TEXT(IF(ISTEXT(Overig!R142),Overig!R142,10*Overig!R142),""",""????0;"",""???-0;"",""????0;"", ////"""),"'","""")&amp;SUBSTITUTE(TEXT(Overig!S142,""",""?00;"",""?-00;"",""?00;"", //"""),"'","""")&amp;SUBSTITUTE(TEXT(Overig!T142,""",""???0;"",""??-0;"",""???0;"", ///"""),"'","""")&amp;SUBSTITUTE(TEXT(Overig!U142,""",""?00;"",""?-00;"",""?00;"", //"""),"'","""")&amp;SUBSTITUTE(TEXT(IF(ISTEXT(Overig!V142),Overig!V142,10*Overig!V142),""",""???0;"",""??-0;"",""???0;"", ///"""),"'","""")&amp;SUBSTITUTE(TEXT(Overig!W142,""",""?00;"",""?-00;"",""?00;"", //"""),"'","""")&amp;SUBSTITUTE(TEXT(IF(ISTEXT(Overig!X142),Overig!X142,10*Overig!X142),""",""????0;"",""???-0;"",""????0;"", ////"""),"'","""")&amp;SUBSTITUTE(TEXT(Overig!Y142,""",""?00;"",""?-00;"",""?00;"", //"""),"'","""")&amp;SUBSTITUTE(TEXT(IF(ISTEXT(Overig!Z142),Overig!Z142,10*Overig!Z142),""",""????0;"",""???-0;"",""????0;"", ////"""),"'","""")&amp;SUBSTITUTE(TEXT(Overig!AA142,""",""?00;"",""?-00;"",""?00;"", //"""),"'","""")&amp;SUBSTITUTE(TEXT(Overig!AB142,""",""???0;"",""??-0;"",""???0;"", ///"""),"'","""")&amp;SUBSTITUTE(TEXT(Overig!AC142,""",""?00;"",""?-00;"",""?00;"", //"""),"'","""")&amp;SUBSTITUTE(TEXT(IF(ISTEXT(Overig!AD142),Overig!AD142,10*Overig!AD142),""",""????0;"",""???-0;"",""????0;"", ////"""),"'","""")&amp;SUBSTITUTE(TEXT(Overig!AE142,""",""?00;"",""?-00;"",""?00;"", //"""),"'","""")&amp;SUBSTITUTE(TEXT(IF(ISTEXT(Overig!AF142),Overig!AF142,10*Overig!AF142),""",""????0;"",""???-0;"",""????0;"", ////"""),"'","""")&amp;SUBSTITUTE(TEXT(Overig!AG142,""",""?00;"",""?-00;"",""?00;"", //"""),"'","""")&amp;SUBSTITUTE(TEXT(Overig!AH142,""",""???0;"",""??-0;"",""???0;"", ///"""),"'","""")&amp;SUBSTITUTE(TEXT(Overig!AI142,""",""?00;"",""?-00;"",""?00;"", //"""),"'","""")&amp;SUBSTITUTE(TEXT(Overig!AJ142,""",""??0;"",""?-0;"",""??0;"", //"""),"'","""")&amp;SUBSTITUTE(TEXT(Overig!AK142,""",""?00;"",""?-00;"",""?00;"", //"""),"'","""")&amp;SUBSTITUTE(IF(EXACT(Overig!AL142,"—"),TEXT(Overig!AL142,""",""????0;"",""???-0;"",""????0;"", ////////////,"""),TEXT(Overig!AL142,"\, \'@""',""")&amp;REPT(" ",10-LEN(Overig!AL142))),"'","""")&amp;SUBSTITUTE(TEXT(Overig!AM142,"?00;?-00;?00;"" //"""),"'","""")&amp;SUBSTITUTE(TEXT(Overig!AN142,""",""???0;"",""??-0;"",""???0;"", ///"""),"'","""")&amp;SUBSTITUTE(TEXT(Overig!AO142,""",""?00;"",""?-00;"",""?00;"", //"""),"'","""")</f>
        <v>78989, 19130521, 0800, ////, 07, /////, 07, ////, 07, /////, 07, ////, 07, ////, 07, ////, 07, ////, 07, ///, 07, ///, 07, ////, 07, ////, 07, ///, 07, ////, 07, ////, 07, ///, 07, //, 07, ////////////, 07, ///, 07</v>
      </c>
    </row>
    <row r="143" spans="1:1" x14ac:dyDescent="0.25">
      <c r="A143" s="75" t="str">
        <f ca="1">TEXT(Overig!A143,"000\,")&amp;TEXT(Overig!B143,"?00000000")&amp;TEXT(Overig!C143,""", ""0000")&amp;SUBSTITUTE(TEXT(IF(ISTEXT(Overig!D143),Overig!D143,10*Overig!D143),""",""????0;"",""???-0;"",""????0;"", ////"""),"'","""")&amp;SUBSTITUTE(TEXT(Overig!E143,""",""?00;"",""?-00;"",""?00;"", //"""),"'","""")&amp;SUBSTITUTE(TEXT(IF(ISTEXT(Overig!F143),Overig!F143,100*Overig!F143),""",""?????0;"",""????-0;"",""?????0;"", /////"""),"'","""")&amp;SUBSTITUTE(TEXT(Overig!G143,""",""?00;"",""?-00;"",""?00;"", //"""),"'","""")&amp;SUBSTITUTE(TEXT(IF(ISTEXT(Overig!H143),Overig!H143,100*Overig!H143),""",""????0;"",""???-0;"",""????0;"", ////"""),"'","""")&amp;SUBSTITUTE(TEXT(Overig!I143,""",""?00;"",""?-00;"",""?00;"", //"""),"'","""")&amp;SUBSTITUTE(TEXT(IF(ISTEXT(Overig!J143),Overig!J143,100*Overig!J143),""",""?????0;"",""????-0;"",""?????0;"", /////"""),"'","""")&amp;SUBSTITUTE(TEXT(Overig!K143,""",""?00;"",""?-00;"",""?00;"", //"""),"'","""")&amp;SUBSTITUTE(TEXT(IF(ISTEXT(Overig!L143),Overig!L143,10*Overig!L143),""",""????0;"",""???-0;"",""????0;"", ////"""),"'","""")&amp;SUBSTITUTE(TEXT(Overig!M143,""",""?00;"",""?-00;"",""?00;"", //"""),"'","""")&amp;SUBSTITUTE(TEXT(IF(ISTEXT(Overig!N143),Overig!N143,10*Overig!N143),""",""????0;"",""???-0;"",""????0;"", ////"""),"'","""")&amp;SUBSTITUTE(TEXT(Overig!O143,""",""?00;"",""?-00;"",""?00;"", //"""),"'","""")&amp;SUBSTITUTE(TEXT(IF(ISTEXT(Overig!P143),Overig!P143,10*Overig!P143),""",""????0;"",""???-0;"",""????0;"", ////"""),"'","""")&amp;SUBSTITUTE(TEXT(Overig!Q143,""",""?00;"",""?-00;"",""?00;"", //"""),"'","""")&amp;SUBSTITUTE(TEXT(IF(ISTEXT(Overig!R143),Overig!R143,10*Overig!R143),""",""????0;"",""???-0;"",""????0;"", ////"""),"'","""")&amp;SUBSTITUTE(TEXT(Overig!S143,""",""?00;"",""?-00;"",""?00;"", //"""),"'","""")&amp;SUBSTITUTE(TEXT(Overig!T143,""",""???0;"",""??-0;"",""???0;"", ///"""),"'","""")&amp;SUBSTITUTE(TEXT(Overig!U143,""",""?00;"",""?-00;"",""?00;"", //"""),"'","""")&amp;SUBSTITUTE(TEXT(IF(ISTEXT(Overig!V143),Overig!V143,10*Overig!V143),""",""???0;"",""??-0;"",""???0;"", ///"""),"'","""")&amp;SUBSTITUTE(TEXT(Overig!W143,""",""?00;"",""?-00;"",""?00;"", //"""),"'","""")&amp;SUBSTITUTE(TEXT(IF(ISTEXT(Overig!X143),Overig!X143,10*Overig!X143),""",""????0;"",""???-0;"",""????0;"", ////"""),"'","""")&amp;SUBSTITUTE(TEXT(Overig!Y143,""",""?00;"",""?-00;"",""?00;"", //"""),"'","""")&amp;SUBSTITUTE(TEXT(IF(ISTEXT(Overig!Z143),Overig!Z143,10*Overig!Z143),""",""????0;"",""???-0;"",""????0;"", ////"""),"'","""")&amp;SUBSTITUTE(TEXT(Overig!AA143,""",""?00;"",""?-00;"",""?00;"", //"""),"'","""")&amp;SUBSTITUTE(TEXT(Overig!AB143,""",""???0;"",""??-0;"",""???0;"", ///"""),"'","""")&amp;SUBSTITUTE(TEXT(Overig!AC143,""",""?00;"",""?-00;"",""?00;"", //"""),"'","""")&amp;SUBSTITUTE(TEXT(IF(ISTEXT(Overig!AD143),Overig!AD143,10*Overig!AD143),""",""????0;"",""???-0;"",""????0;"", ////"""),"'","""")&amp;SUBSTITUTE(TEXT(Overig!AE143,""",""?00;"",""?-00;"",""?00;"", //"""),"'","""")&amp;SUBSTITUTE(TEXT(IF(ISTEXT(Overig!AF143),Overig!AF143,10*Overig!AF143),""",""????0;"",""???-0;"",""????0;"", ////"""),"'","""")&amp;SUBSTITUTE(TEXT(Overig!AG143,""",""?00;"",""?-00;"",""?00;"", //"""),"'","""")&amp;SUBSTITUTE(TEXT(Overig!AH143,""",""???0;"",""??-0;"",""???0;"", ///"""),"'","""")&amp;SUBSTITUTE(TEXT(Overig!AI143,""",""?00;"",""?-00;"",""?00;"", //"""),"'","""")&amp;SUBSTITUTE(TEXT(Overig!AJ143,""",""??0;"",""?-0;"",""??0;"", //"""),"'","""")&amp;SUBSTITUTE(TEXT(Overig!AK143,""",""?00;"",""?-00;"",""?00;"", //"""),"'","""")&amp;SUBSTITUTE(IF(EXACT(Overig!AL143,"—"),TEXT(Overig!AL143,""",""????0;"",""???-0;"",""????0;"", ////////////,"""),TEXT(Overig!AL143,"\, \'@""',""")&amp;REPT(" ",10-LEN(Overig!AL143))),"'","""")&amp;SUBSTITUTE(TEXT(Overig!AM143,"?00;?-00;?00;"" //"""),"'","""")&amp;SUBSTITUTE(TEXT(Overig!AN143,""",""???0;"",""??-0;"",""???0;"", ///"""),"'","""")&amp;SUBSTITUTE(TEXT(Overig!AO143,""",""?00;"",""?-00;"",""?00;"", //"""),"'","""")</f>
        <v>78989, 19130522, 0800, ////, 07, /////, 07, ////, 07, /////, 07, ////, 07, ////, 07, ////, 07, ////, 07, ///, 07, ///, 07, ////, 07, ////, 07, ///, 07, ////, 07, ////, 07, ///, 07, //, 07, ////////////, 07, ///, 07</v>
      </c>
    </row>
    <row r="144" spans="1:1" x14ac:dyDescent="0.25">
      <c r="A144" s="75" t="str">
        <f ca="1">TEXT(Overig!A144,"000\,")&amp;TEXT(Overig!B144,"?00000000")&amp;TEXT(Overig!C144,""", ""0000")&amp;SUBSTITUTE(TEXT(IF(ISTEXT(Overig!D144),Overig!D144,10*Overig!D144),""",""????0;"",""???-0;"",""????0;"", ////"""),"'","""")&amp;SUBSTITUTE(TEXT(Overig!E144,""",""?00;"",""?-00;"",""?00;"", //"""),"'","""")&amp;SUBSTITUTE(TEXT(IF(ISTEXT(Overig!F144),Overig!F144,100*Overig!F144),""",""?????0;"",""????-0;"",""?????0;"", /////"""),"'","""")&amp;SUBSTITUTE(TEXT(Overig!G144,""",""?00;"",""?-00;"",""?00;"", //"""),"'","""")&amp;SUBSTITUTE(TEXT(IF(ISTEXT(Overig!H144),Overig!H144,100*Overig!H144),""",""????0;"",""???-0;"",""????0;"", ////"""),"'","""")&amp;SUBSTITUTE(TEXT(Overig!I144,""",""?00;"",""?-00;"",""?00;"", //"""),"'","""")&amp;SUBSTITUTE(TEXT(IF(ISTEXT(Overig!J144),Overig!J144,100*Overig!J144),""",""?????0;"",""????-0;"",""?????0;"", /////"""),"'","""")&amp;SUBSTITUTE(TEXT(Overig!K144,""",""?00;"",""?-00;"",""?00;"", //"""),"'","""")&amp;SUBSTITUTE(TEXT(IF(ISTEXT(Overig!L144),Overig!L144,10*Overig!L144),""",""????0;"",""???-0;"",""????0;"", ////"""),"'","""")&amp;SUBSTITUTE(TEXT(Overig!M144,""",""?00;"",""?-00;"",""?00;"", //"""),"'","""")&amp;SUBSTITUTE(TEXT(IF(ISTEXT(Overig!N144),Overig!N144,10*Overig!N144),""",""????0;"",""???-0;"",""????0;"", ////"""),"'","""")&amp;SUBSTITUTE(TEXT(Overig!O144,""",""?00;"",""?-00;"",""?00;"", //"""),"'","""")&amp;SUBSTITUTE(TEXT(IF(ISTEXT(Overig!P144),Overig!P144,10*Overig!P144),""",""????0;"",""???-0;"",""????0;"", ////"""),"'","""")&amp;SUBSTITUTE(TEXT(Overig!Q144,""",""?00;"",""?-00;"",""?00;"", //"""),"'","""")&amp;SUBSTITUTE(TEXT(IF(ISTEXT(Overig!R144),Overig!R144,10*Overig!R144),""",""????0;"",""???-0;"",""????0;"", ////"""),"'","""")&amp;SUBSTITUTE(TEXT(Overig!S144,""",""?00;"",""?-00;"",""?00;"", //"""),"'","""")&amp;SUBSTITUTE(TEXT(Overig!T144,""",""???0;"",""??-0;"",""???0;"", ///"""),"'","""")&amp;SUBSTITUTE(TEXT(Overig!U144,""",""?00;"",""?-00;"",""?00;"", //"""),"'","""")&amp;SUBSTITUTE(TEXT(IF(ISTEXT(Overig!V144),Overig!V144,10*Overig!V144),""",""???0;"",""??-0;"",""???0;"", ///"""),"'","""")&amp;SUBSTITUTE(TEXT(Overig!W144,""",""?00;"",""?-00;"",""?00;"", //"""),"'","""")&amp;SUBSTITUTE(TEXT(IF(ISTEXT(Overig!X144),Overig!X144,10*Overig!X144),""",""????0;"",""???-0;"",""????0;"", ////"""),"'","""")&amp;SUBSTITUTE(TEXT(Overig!Y144,""",""?00;"",""?-00;"",""?00;"", //"""),"'","""")&amp;SUBSTITUTE(TEXT(IF(ISTEXT(Overig!Z144),Overig!Z144,10*Overig!Z144),""",""????0;"",""???-0;"",""????0;"", ////"""),"'","""")&amp;SUBSTITUTE(TEXT(Overig!AA144,""",""?00;"",""?-00;"",""?00;"", //"""),"'","""")&amp;SUBSTITUTE(TEXT(Overig!AB144,""",""???0;"",""??-0;"",""???0;"", ///"""),"'","""")&amp;SUBSTITUTE(TEXT(Overig!AC144,""",""?00;"",""?-00;"",""?00;"", //"""),"'","""")&amp;SUBSTITUTE(TEXT(IF(ISTEXT(Overig!AD144),Overig!AD144,10*Overig!AD144),""",""????0;"",""???-0;"",""????0;"", ////"""),"'","""")&amp;SUBSTITUTE(TEXT(Overig!AE144,""",""?00;"",""?-00;"",""?00;"", //"""),"'","""")&amp;SUBSTITUTE(TEXT(IF(ISTEXT(Overig!AF144),Overig!AF144,10*Overig!AF144),""",""????0;"",""???-0;"",""????0;"", ////"""),"'","""")&amp;SUBSTITUTE(TEXT(Overig!AG144,""",""?00;"",""?-00;"",""?00;"", //"""),"'","""")&amp;SUBSTITUTE(TEXT(Overig!AH144,""",""???0;"",""??-0;"",""???0;"", ///"""),"'","""")&amp;SUBSTITUTE(TEXT(Overig!AI144,""",""?00;"",""?-00;"",""?00;"", //"""),"'","""")&amp;SUBSTITUTE(TEXT(Overig!AJ144,""",""??0;"",""?-0;"",""??0;"", //"""),"'","""")&amp;SUBSTITUTE(TEXT(Overig!AK144,""",""?00;"",""?-00;"",""?00;"", //"""),"'","""")&amp;SUBSTITUTE(IF(EXACT(Overig!AL144,"—"),TEXT(Overig!AL144,""",""????0;"",""???-0;"",""????0;"", ////////////,"""),TEXT(Overig!AL144,"\, \'@""',""")&amp;REPT(" ",10-LEN(Overig!AL144))),"'","""")&amp;SUBSTITUTE(TEXT(Overig!AM144,"?00;?-00;?00;"" //"""),"'","""")&amp;SUBSTITUTE(TEXT(Overig!AN144,""",""???0;"",""??-0;"",""???0;"", ///"""),"'","""")&amp;SUBSTITUTE(TEXT(Overig!AO144,""",""?00;"",""?-00;"",""?00;"", //"""),"'","""")</f>
        <v>78989, 19130523, 0800, ////, 07, /////, 07, ////, 07, /////, 07, ////, 07, ////, 07, ////, 07, ////, 07, ///, 07, ///, 07, ////, 07, ////, 07, ///, 07, ////, 07, ////, 07, ///, 07, //, 07, ////////////, 07, ///, 07</v>
      </c>
    </row>
    <row r="145" spans="1:1" x14ac:dyDescent="0.25">
      <c r="A145" s="75" t="str">
        <f ca="1">TEXT(Overig!A145,"000\,")&amp;TEXT(Overig!B145,"?00000000")&amp;TEXT(Overig!C145,""", ""0000")&amp;SUBSTITUTE(TEXT(IF(ISTEXT(Overig!D145),Overig!D145,10*Overig!D145),""",""????0;"",""???-0;"",""????0;"", ////"""),"'","""")&amp;SUBSTITUTE(TEXT(Overig!E145,""",""?00;"",""?-00;"",""?00;"", //"""),"'","""")&amp;SUBSTITUTE(TEXT(IF(ISTEXT(Overig!F145),Overig!F145,100*Overig!F145),""",""?????0;"",""????-0;"",""?????0;"", /////"""),"'","""")&amp;SUBSTITUTE(TEXT(Overig!G145,""",""?00;"",""?-00;"",""?00;"", //"""),"'","""")&amp;SUBSTITUTE(TEXT(IF(ISTEXT(Overig!H145),Overig!H145,100*Overig!H145),""",""????0;"",""???-0;"",""????0;"", ////"""),"'","""")&amp;SUBSTITUTE(TEXT(Overig!I145,""",""?00;"",""?-00;"",""?00;"", //"""),"'","""")&amp;SUBSTITUTE(TEXT(IF(ISTEXT(Overig!J145),Overig!J145,100*Overig!J145),""",""?????0;"",""????-0;"",""?????0;"", /////"""),"'","""")&amp;SUBSTITUTE(TEXT(Overig!K145,""",""?00;"",""?-00;"",""?00;"", //"""),"'","""")&amp;SUBSTITUTE(TEXT(IF(ISTEXT(Overig!L145),Overig!L145,10*Overig!L145),""",""????0;"",""???-0;"",""????0;"", ////"""),"'","""")&amp;SUBSTITUTE(TEXT(Overig!M145,""",""?00;"",""?-00;"",""?00;"", //"""),"'","""")&amp;SUBSTITUTE(TEXT(IF(ISTEXT(Overig!N145),Overig!N145,10*Overig!N145),""",""????0;"",""???-0;"",""????0;"", ////"""),"'","""")&amp;SUBSTITUTE(TEXT(Overig!O145,""",""?00;"",""?-00;"",""?00;"", //"""),"'","""")&amp;SUBSTITUTE(TEXT(IF(ISTEXT(Overig!P145),Overig!P145,10*Overig!P145),""",""????0;"",""???-0;"",""????0;"", ////"""),"'","""")&amp;SUBSTITUTE(TEXT(Overig!Q145,""",""?00;"",""?-00;"",""?00;"", //"""),"'","""")&amp;SUBSTITUTE(TEXT(IF(ISTEXT(Overig!R145),Overig!R145,10*Overig!R145),""",""????0;"",""???-0;"",""????0;"", ////"""),"'","""")&amp;SUBSTITUTE(TEXT(Overig!S145,""",""?00;"",""?-00;"",""?00;"", //"""),"'","""")&amp;SUBSTITUTE(TEXT(Overig!T145,""",""???0;"",""??-0;"",""???0;"", ///"""),"'","""")&amp;SUBSTITUTE(TEXT(Overig!U145,""",""?00;"",""?-00;"",""?00;"", //"""),"'","""")&amp;SUBSTITUTE(TEXT(IF(ISTEXT(Overig!V145),Overig!V145,10*Overig!V145),""",""???0;"",""??-0;"",""???0;"", ///"""),"'","""")&amp;SUBSTITUTE(TEXT(Overig!W145,""",""?00;"",""?-00;"",""?00;"", //"""),"'","""")&amp;SUBSTITUTE(TEXT(IF(ISTEXT(Overig!X145),Overig!X145,10*Overig!X145),""",""????0;"",""???-0;"",""????0;"", ////"""),"'","""")&amp;SUBSTITUTE(TEXT(Overig!Y145,""",""?00;"",""?-00;"",""?00;"", //"""),"'","""")&amp;SUBSTITUTE(TEXT(IF(ISTEXT(Overig!Z145),Overig!Z145,10*Overig!Z145),""",""????0;"",""???-0;"",""????0;"", ////"""),"'","""")&amp;SUBSTITUTE(TEXT(Overig!AA145,""",""?00;"",""?-00;"",""?00;"", //"""),"'","""")&amp;SUBSTITUTE(TEXT(Overig!AB145,""",""???0;"",""??-0;"",""???0;"", ///"""),"'","""")&amp;SUBSTITUTE(TEXT(Overig!AC145,""",""?00;"",""?-00;"",""?00;"", //"""),"'","""")&amp;SUBSTITUTE(TEXT(IF(ISTEXT(Overig!AD145),Overig!AD145,10*Overig!AD145),""",""????0;"",""???-0;"",""????0;"", ////"""),"'","""")&amp;SUBSTITUTE(TEXT(Overig!AE145,""",""?00;"",""?-00;"",""?00;"", //"""),"'","""")&amp;SUBSTITUTE(TEXT(IF(ISTEXT(Overig!AF145),Overig!AF145,10*Overig!AF145),""",""????0;"",""???-0;"",""????0;"", ////"""),"'","""")&amp;SUBSTITUTE(TEXT(Overig!AG145,""",""?00;"",""?-00;"",""?00;"", //"""),"'","""")&amp;SUBSTITUTE(TEXT(Overig!AH145,""",""???0;"",""??-0;"",""???0;"", ///"""),"'","""")&amp;SUBSTITUTE(TEXT(Overig!AI145,""",""?00;"",""?-00;"",""?00;"", //"""),"'","""")&amp;SUBSTITUTE(TEXT(Overig!AJ145,""",""??0;"",""?-0;"",""??0;"", //"""),"'","""")&amp;SUBSTITUTE(TEXT(Overig!AK145,""",""?00;"",""?-00;"",""?00;"", //"""),"'","""")&amp;SUBSTITUTE(IF(EXACT(Overig!AL145,"—"),TEXT(Overig!AL145,""",""????0;"",""???-0;"",""????0;"", ////////////,"""),TEXT(Overig!AL145,"\, \'@""',""")&amp;REPT(" ",10-LEN(Overig!AL145))),"'","""")&amp;SUBSTITUTE(TEXT(Overig!AM145,"?00;?-00;?00;"" //"""),"'","""")&amp;SUBSTITUTE(TEXT(Overig!AN145,""",""???0;"",""??-0;"",""???0;"", ///"""),"'","""")&amp;SUBSTITUTE(TEXT(Overig!AO145,""",""?00;"",""?-00;"",""?00;"", //"""),"'","""")</f>
        <v>78989, 19130524, 0800, ////, 07, /////, 07, ////, 07, /////, 07, ////, 07, ////, 07, ////, 07, ////, 07, ///, 07, ///, 07, ////, 07, ////, 07, ///, 07, ////, 07, ////, 07, ///, 07, //, 07, ////////////, 07, ///, 07</v>
      </c>
    </row>
    <row r="146" spans="1:1" x14ac:dyDescent="0.25">
      <c r="A146" s="75" t="str">
        <f ca="1">TEXT(Overig!A146,"000\,")&amp;TEXT(Overig!B146,"?00000000")&amp;TEXT(Overig!C146,""", ""0000")&amp;SUBSTITUTE(TEXT(IF(ISTEXT(Overig!D146),Overig!D146,10*Overig!D146),""",""????0;"",""???-0;"",""????0;"", ////"""),"'","""")&amp;SUBSTITUTE(TEXT(Overig!E146,""",""?00;"",""?-00;"",""?00;"", //"""),"'","""")&amp;SUBSTITUTE(TEXT(IF(ISTEXT(Overig!F146),Overig!F146,100*Overig!F146),""",""?????0;"",""????-0;"",""?????0;"", /////"""),"'","""")&amp;SUBSTITUTE(TEXT(Overig!G146,""",""?00;"",""?-00;"",""?00;"", //"""),"'","""")&amp;SUBSTITUTE(TEXT(IF(ISTEXT(Overig!H146),Overig!H146,100*Overig!H146),""",""????0;"",""???-0;"",""????0;"", ////"""),"'","""")&amp;SUBSTITUTE(TEXT(Overig!I146,""",""?00;"",""?-00;"",""?00;"", //"""),"'","""")&amp;SUBSTITUTE(TEXT(IF(ISTEXT(Overig!J146),Overig!J146,100*Overig!J146),""",""?????0;"",""????-0;"",""?????0;"", /////"""),"'","""")&amp;SUBSTITUTE(TEXT(Overig!K146,""",""?00;"",""?-00;"",""?00;"", //"""),"'","""")&amp;SUBSTITUTE(TEXT(IF(ISTEXT(Overig!L146),Overig!L146,10*Overig!L146),""",""????0;"",""???-0;"",""????0;"", ////"""),"'","""")&amp;SUBSTITUTE(TEXT(Overig!M146,""",""?00;"",""?-00;"",""?00;"", //"""),"'","""")&amp;SUBSTITUTE(TEXT(IF(ISTEXT(Overig!N146),Overig!N146,10*Overig!N146),""",""????0;"",""???-0;"",""????0;"", ////"""),"'","""")&amp;SUBSTITUTE(TEXT(Overig!O146,""",""?00;"",""?-00;"",""?00;"", //"""),"'","""")&amp;SUBSTITUTE(TEXT(IF(ISTEXT(Overig!P146),Overig!P146,10*Overig!P146),""",""????0;"",""???-0;"",""????0;"", ////"""),"'","""")&amp;SUBSTITUTE(TEXT(Overig!Q146,""",""?00;"",""?-00;"",""?00;"", //"""),"'","""")&amp;SUBSTITUTE(TEXT(IF(ISTEXT(Overig!R146),Overig!R146,10*Overig!R146),""",""????0;"",""???-0;"",""????0;"", ////"""),"'","""")&amp;SUBSTITUTE(TEXT(Overig!S146,""",""?00;"",""?-00;"",""?00;"", //"""),"'","""")&amp;SUBSTITUTE(TEXT(Overig!T146,""",""???0;"",""??-0;"",""???0;"", ///"""),"'","""")&amp;SUBSTITUTE(TEXT(Overig!U146,""",""?00;"",""?-00;"",""?00;"", //"""),"'","""")&amp;SUBSTITUTE(TEXT(IF(ISTEXT(Overig!V146),Overig!V146,10*Overig!V146),""",""???0;"",""??-0;"",""???0;"", ///"""),"'","""")&amp;SUBSTITUTE(TEXT(Overig!W146,""",""?00;"",""?-00;"",""?00;"", //"""),"'","""")&amp;SUBSTITUTE(TEXT(IF(ISTEXT(Overig!X146),Overig!X146,10*Overig!X146),""",""????0;"",""???-0;"",""????0;"", ////"""),"'","""")&amp;SUBSTITUTE(TEXT(Overig!Y146,""",""?00;"",""?-00;"",""?00;"", //"""),"'","""")&amp;SUBSTITUTE(TEXT(IF(ISTEXT(Overig!Z146),Overig!Z146,10*Overig!Z146),""",""????0;"",""???-0;"",""????0;"", ////"""),"'","""")&amp;SUBSTITUTE(TEXT(Overig!AA146,""",""?00;"",""?-00;"",""?00;"", //"""),"'","""")&amp;SUBSTITUTE(TEXT(Overig!AB146,""",""???0;"",""??-0;"",""???0;"", ///"""),"'","""")&amp;SUBSTITUTE(TEXT(Overig!AC146,""",""?00;"",""?-00;"",""?00;"", //"""),"'","""")&amp;SUBSTITUTE(TEXT(IF(ISTEXT(Overig!AD146),Overig!AD146,10*Overig!AD146),""",""????0;"",""???-0;"",""????0;"", ////"""),"'","""")&amp;SUBSTITUTE(TEXT(Overig!AE146,""",""?00;"",""?-00;"",""?00;"", //"""),"'","""")&amp;SUBSTITUTE(TEXT(IF(ISTEXT(Overig!AF146),Overig!AF146,10*Overig!AF146),""",""????0;"",""???-0;"",""????0;"", ////"""),"'","""")&amp;SUBSTITUTE(TEXT(Overig!AG146,""",""?00;"",""?-00;"",""?00;"", //"""),"'","""")&amp;SUBSTITUTE(TEXT(Overig!AH146,""",""???0;"",""??-0;"",""???0;"", ///"""),"'","""")&amp;SUBSTITUTE(TEXT(Overig!AI146,""",""?00;"",""?-00;"",""?00;"", //"""),"'","""")&amp;SUBSTITUTE(TEXT(Overig!AJ146,""",""??0;"",""?-0;"",""??0;"", //"""),"'","""")&amp;SUBSTITUTE(TEXT(Overig!AK146,""",""?00;"",""?-00;"",""?00;"", //"""),"'","""")&amp;SUBSTITUTE(IF(EXACT(Overig!AL146,"—"),TEXT(Overig!AL146,""",""????0;"",""???-0;"",""????0;"", ////////////,"""),TEXT(Overig!AL146,"\, \'@""',""")&amp;REPT(" ",10-LEN(Overig!AL146))),"'","""")&amp;SUBSTITUTE(TEXT(Overig!AM146,"?00;?-00;?00;"" //"""),"'","""")&amp;SUBSTITUTE(TEXT(Overig!AN146,""",""???0;"",""??-0;"",""???0;"", ///"""),"'","""")&amp;SUBSTITUTE(TEXT(Overig!AO146,""",""?00;"",""?-00;"",""?00;"", //"""),"'","""")</f>
        <v>78989, 19130525, 0800, ////, 07, /////, 07, ////, 07, /////, 07, ////, 07, ////, 07, ////, 07, ////, 07, ///, 07, ///, 07, ////, 07, ////, 07, ///, 07, ////, 07, ////, 07, ///, 07, //, 07, ////////////, 07, ///, 07</v>
      </c>
    </row>
    <row r="147" spans="1:1" x14ac:dyDescent="0.25">
      <c r="A147" s="75" t="str">
        <f ca="1">TEXT(Overig!A147,"000\,")&amp;TEXT(Overig!B147,"?00000000")&amp;TEXT(Overig!C147,""", ""0000")&amp;SUBSTITUTE(TEXT(IF(ISTEXT(Overig!D147),Overig!D147,10*Overig!D147),""",""????0;"",""???-0;"",""????0;"", ////"""),"'","""")&amp;SUBSTITUTE(TEXT(Overig!E147,""",""?00;"",""?-00;"",""?00;"", //"""),"'","""")&amp;SUBSTITUTE(TEXT(IF(ISTEXT(Overig!F147),Overig!F147,100*Overig!F147),""",""?????0;"",""????-0;"",""?????0;"", /////"""),"'","""")&amp;SUBSTITUTE(TEXT(Overig!G147,""",""?00;"",""?-00;"",""?00;"", //"""),"'","""")&amp;SUBSTITUTE(TEXT(IF(ISTEXT(Overig!H147),Overig!H147,100*Overig!H147),""",""????0;"",""???-0;"",""????0;"", ////"""),"'","""")&amp;SUBSTITUTE(TEXT(Overig!I147,""",""?00;"",""?-00;"",""?00;"", //"""),"'","""")&amp;SUBSTITUTE(TEXT(IF(ISTEXT(Overig!J147),Overig!J147,100*Overig!J147),""",""?????0;"",""????-0;"",""?????0;"", /////"""),"'","""")&amp;SUBSTITUTE(TEXT(Overig!K147,""",""?00;"",""?-00;"",""?00;"", //"""),"'","""")&amp;SUBSTITUTE(TEXT(IF(ISTEXT(Overig!L147),Overig!L147,10*Overig!L147),""",""????0;"",""???-0;"",""????0;"", ////"""),"'","""")&amp;SUBSTITUTE(TEXT(Overig!M147,""",""?00;"",""?-00;"",""?00;"", //"""),"'","""")&amp;SUBSTITUTE(TEXT(IF(ISTEXT(Overig!N147),Overig!N147,10*Overig!N147),""",""????0;"",""???-0;"",""????0;"", ////"""),"'","""")&amp;SUBSTITUTE(TEXT(Overig!O147,""",""?00;"",""?-00;"",""?00;"", //"""),"'","""")&amp;SUBSTITUTE(TEXT(IF(ISTEXT(Overig!P147),Overig!P147,10*Overig!P147),""",""????0;"",""???-0;"",""????0;"", ////"""),"'","""")&amp;SUBSTITUTE(TEXT(Overig!Q147,""",""?00;"",""?-00;"",""?00;"", //"""),"'","""")&amp;SUBSTITUTE(TEXT(IF(ISTEXT(Overig!R147),Overig!R147,10*Overig!R147),""",""????0;"",""???-0;"",""????0;"", ////"""),"'","""")&amp;SUBSTITUTE(TEXT(Overig!S147,""",""?00;"",""?-00;"",""?00;"", //"""),"'","""")&amp;SUBSTITUTE(TEXT(Overig!T147,""",""???0;"",""??-0;"",""???0;"", ///"""),"'","""")&amp;SUBSTITUTE(TEXT(Overig!U147,""",""?00;"",""?-00;"",""?00;"", //"""),"'","""")&amp;SUBSTITUTE(TEXT(IF(ISTEXT(Overig!V147),Overig!V147,10*Overig!V147),""",""???0;"",""??-0;"",""???0;"", ///"""),"'","""")&amp;SUBSTITUTE(TEXT(Overig!W147,""",""?00;"",""?-00;"",""?00;"", //"""),"'","""")&amp;SUBSTITUTE(TEXT(IF(ISTEXT(Overig!X147),Overig!X147,10*Overig!X147),""",""????0;"",""???-0;"",""????0;"", ////"""),"'","""")&amp;SUBSTITUTE(TEXT(Overig!Y147,""",""?00;"",""?-00;"",""?00;"", //"""),"'","""")&amp;SUBSTITUTE(TEXT(IF(ISTEXT(Overig!Z147),Overig!Z147,10*Overig!Z147),""",""????0;"",""???-0;"",""????0;"", ////"""),"'","""")&amp;SUBSTITUTE(TEXT(Overig!AA147,""",""?00;"",""?-00;"",""?00;"", //"""),"'","""")&amp;SUBSTITUTE(TEXT(Overig!AB147,""",""???0;"",""??-0;"",""???0;"", ///"""),"'","""")&amp;SUBSTITUTE(TEXT(Overig!AC147,""",""?00;"",""?-00;"",""?00;"", //"""),"'","""")&amp;SUBSTITUTE(TEXT(IF(ISTEXT(Overig!AD147),Overig!AD147,10*Overig!AD147),""",""????0;"",""???-0;"",""????0;"", ////"""),"'","""")&amp;SUBSTITUTE(TEXT(Overig!AE147,""",""?00;"",""?-00;"",""?00;"", //"""),"'","""")&amp;SUBSTITUTE(TEXT(IF(ISTEXT(Overig!AF147),Overig!AF147,10*Overig!AF147),""",""????0;"",""???-0;"",""????0;"", ////"""),"'","""")&amp;SUBSTITUTE(TEXT(Overig!AG147,""",""?00;"",""?-00;"",""?00;"", //"""),"'","""")&amp;SUBSTITUTE(TEXT(Overig!AH147,""",""???0;"",""??-0;"",""???0;"", ///"""),"'","""")&amp;SUBSTITUTE(TEXT(Overig!AI147,""",""?00;"",""?-00;"",""?00;"", //"""),"'","""")&amp;SUBSTITUTE(TEXT(Overig!AJ147,""",""??0;"",""?-0;"",""??0;"", //"""),"'","""")&amp;SUBSTITUTE(TEXT(Overig!AK147,""",""?00;"",""?-00;"",""?00;"", //"""),"'","""")&amp;SUBSTITUTE(IF(EXACT(Overig!AL147,"—"),TEXT(Overig!AL147,""",""????0;"",""???-0;"",""????0;"", ////////////,"""),TEXT(Overig!AL147,"\, \'@""',""")&amp;REPT(" ",10-LEN(Overig!AL147))),"'","""")&amp;SUBSTITUTE(TEXT(Overig!AM147,"?00;?-00;?00;"" //"""),"'","""")&amp;SUBSTITUTE(TEXT(Overig!AN147,""",""???0;"",""??-0;"",""???0;"", ///"""),"'","""")&amp;SUBSTITUTE(TEXT(Overig!AO147,""",""?00;"",""?-00;"",""?00;"", //"""),"'","""")</f>
        <v>78989, 19130526, 0800, ////, 07, /////, 07, ////, 07, /////, 07, ////, 07, ////, 07, ////, 07, ////, 07, ///, 07, ///, 07, ////, 07, ////, 07, ///, 07, ////, 07, ////, 07, ///, 07, //, 07, ////////////, 07, ///, 07</v>
      </c>
    </row>
    <row r="148" spans="1:1" x14ac:dyDescent="0.25">
      <c r="A148" s="75" t="str">
        <f ca="1">TEXT(Overig!A148,"000\,")&amp;TEXT(Overig!B148,"?00000000")&amp;TEXT(Overig!C148,""", ""0000")&amp;SUBSTITUTE(TEXT(IF(ISTEXT(Overig!D148),Overig!D148,10*Overig!D148),""",""????0;"",""???-0;"",""????0;"", ////"""),"'","""")&amp;SUBSTITUTE(TEXT(Overig!E148,""",""?00;"",""?-00;"",""?00;"", //"""),"'","""")&amp;SUBSTITUTE(TEXT(IF(ISTEXT(Overig!F148),Overig!F148,100*Overig!F148),""",""?????0;"",""????-0;"",""?????0;"", /////"""),"'","""")&amp;SUBSTITUTE(TEXT(Overig!G148,""",""?00;"",""?-00;"",""?00;"", //"""),"'","""")&amp;SUBSTITUTE(TEXT(IF(ISTEXT(Overig!H148),Overig!H148,100*Overig!H148),""",""????0;"",""???-0;"",""????0;"", ////"""),"'","""")&amp;SUBSTITUTE(TEXT(Overig!I148,""",""?00;"",""?-00;"",""?00;"", //"""),"'","""")&amp;SUBSTITUTE(TEXT(IF(ISTEXT(Overig!J148),Overig!J148,100*Overig!J148),""",""?????0;"",""????-0;"",""?????0;"", /////"""),"'","""")&amp;SUBSTITUTE(TEXT(Overig!K148,""",""?00;"",""?-00;"",""?00;"", //"""),"'","""")&amp;SUBSTITUTE(TEXT(IF(ISTEXT(Overig!L148),Overig!L148,10*Overig!L148),""",""????0;"",""???-0;"",""????0;"", ////"""),"'","""")&amp;SUBSTITUTE(TEXT(Overig!M148,""",""?00;"",""?-00;"",""?00;"", //"""),"'","""")&amp;SUBSTITUTE(TEXT(IF(ISTEXT(Overig!N148),Overig!N148,10*Overig!N148),""",""????0;"",""???-0;"",""????0;"", ////"""),"'","""")&amp;SUBSTITUTE(TEXT(Overig!O148,""",""?00;"",""?-00;"",""?00;"", //"""),"'","""")&amp;SUBSTITUTE(TEXT(IF(ISTEXT(Overig!P148),Overig!P148,10*Overig!P148),""",""????0;"",""???-0;"",""????0;"", ////"""),"'","""")&amp;SUBSTITUTE(TEXT(Overig!Q148,""",""?00;"",""?-00;"",""?00;"", //"""),"'","""")&amp;SUBSTITUTE(TEXT(IF(ISTEXT(Overig!R148),Overig!R148,10*Overig!R148),""",""????0;"",""???-0;"",""????0;"", ////"""),"'","""")&amp;SUBSTITUTE(TEXT(Overig!S148,""",""?00;"",""?-00;"",""?00;"", //"""),"'","""")&amp;SUBSTITUTE(TEXT(Overig!T148,""",""???0;"",""??-0;"",""???0;"", ///"""),"'","""")&amp;SUBSTITUTE(TEXT(Overig!U148,""",""?00;"",""?-00;"",""?00;"", //"""),"'","""")&amp;SUBSTITUTE(TEXT(IF(ISTEXT(Overig!V148),Overig!V148,10*Overig!V148),""",""???0;"",""??-0;"",""???0;"", ///"""),"'","""")&amp;SUBSTITUTE(TEXT(Overig!W148,""",""?00;"",""?-00;"",""?00;"", //"""),"'","""")&amp;SUBSTITUTE(TEXT(IF(ISTEXT(Overig!X148),Overig!X148,10*Overig!X148),""",""????0;"",""???-0;"",""????0;"", ////"""),"'","""")&amp;SUBSTITUTE(TEXT(Overig!Y148,""",""?00;"",""?-00;"",""?00;"", //"""),"'","""")&amp;SUBSTITUTE(TEXT(IF(ISTEXT(Overig!Z148),Overig!Z148,10*Overig!Z148),""",""????0;"",""???-0;"",""????0;"", ////"""),"'","""")&amp;SUBSTITUTE(TEXT(Overig!AA148,""",""?00;"",""?-00;"",""?00;"", //"""),"'","""")&amp;SUBSTITUTE(TEXT(Overig!AB148,""",""???0;"",""??-0;"",""???0;"", ///"""),"'","""")&amp;SUBSTITUTE(TEXT(Overig!AC148,""",""?00;"",""?-00;"",""?00;"", //"""),"'","""")&amp;SUBSTITUTE(TEXT(IF(ISTEXT(Overig!AD148),Overig!AD148,10*Overig!AD148),""",""????0;"",""???-0;"",""????0;"", ////"""),"'","""")&amp;SUBSTITUTE(TEXT(Overig!AE148,""",""?00;"",""?-00;"",""?00;"", //"""),"'","""")&amp;SUBSTITUTE(TEXT(IF(ISTEXT(Overig!AF148),Overig!AF148,10*Overig!AF148),""",""????0;"",""???-0;"",""????0;"", ////"""),"'","""")&amp;SUBSTITUTE(TEXT(Overig!AG148,""",""?00;"",""?-00;"",""?00;"", //"""),"'","""")&amp;SUBSTITUTE(TEXT(Overig!AH148,""",""???0;"",""??-0;"",""???0;"", ///"""),"'","""")&amp;SUBSTITUTE(TEXT(Overig!AI148,""",""?00;"",""?-00;"",""?00;"", //"""),"'","""")&amp;SUBSTITUTE(TEXT(Overig!AJ148,""",""??0;"",""?-0;"",""??0;"", //"""),"'","""")&amp;SUBSTITUTE(TEXT(Overig!AK148,""",""?00;"",""?-00;"",""?00;"", //"""),"'","""")&amp;SUBSTITUTE(IF(EXACT(Overig!AL148,"—"),TEXT(Overig!AL148,""",""????0;"",""???-0;"",""????0;"", ////////////,"""),TEXT(Overig!AL148,"\, \'@""',""")&amp;REPT(" ",10-LEN(Overig!AL148))),"'","""")&amp;SUBSTITUTE(TEXT(Overig!AM148,"?00;?-00;?00;"" //"""),"'","""")&amp;SUBSTITUTE(TEXT(Overig!AN148,""",""???0;"",""??-0;"",""???0;"", ///"""),"'","""")&amp;SUBSTITUTE(TEXT(Overig!AO148,""",""?00;"",""?-00;"",""?00;"", //"""),"'","""")</f>
        <v>78989, 19130527, 0800, ////, 07, /////, 07, ////, 07, /////, 07, ////, 07, ////, 07, ////, 07, ////, 07, ///, 07, ///, 07, ////, 07, ////, 07, ///, 07, ////, 07, ////, 07, ///, 07, //, 07, ////////////, 07, ///, 07</v>
      </c>
    </row>
    <row r="149" spans="1:1" x14ac:dyDescent="0.25">
      <c r="A149" s="75" t="str">
        <f ca="1">TEXT(Overig!A149,"000\,")&amp;TEXT(Overig!B149,"?00000000")&amp;TEXT(Overig!C149,""", ""0000")&amp;SUBSTITUTE(TEXT(IF(ISTEXT(Overig!D149),Overig!D149,10*Overig!D149),""",""????0;"",""???-0;"",""????0;"", ////"""),"'","""")&amp;SUBSTITUTE(TEXT(Overig!E149,""",""?00;"",""?-00;"",""?00;"", //"""),"'","""")&amp;SUBSTITUTE(TEXT(IF(ISTEXT(Overig!F149),Overig!F149,100*Overig!F149),""",""?????0;"",""????-0;"",""?????0;"", /////"""),"'","""")&amp;SUBSTITUTE(TEXT(Overig!G149,""",""?00;"",""?-00;"",""?00;"", //"""),"'","""")&amp;SUBSTITUTE(TEXT(IF(ISTEXT(Overig!H149),Overig!H149,100*Overig!H149),""",""????0;"",""???-0;"",""????0;"", ////"""),"'","""")&amp;SUBSTITUTE(TEXT(Overig!I149,""",""?00;"",""?-00;"",""?00;"", //"""),"'","""")&amp;SUBSTITUTE(TEXT(IF(ISTEXT(Overig!J149),Overig!J149,100*Overig!J149),""",""?????0;"",""????-0;"",""?????0;"", /////"""),"'","""")&amp;SUBSTITUTE(TEXT(Overig!K149,""",""?00;"",""?-00;"",""?00;"", //"""),"'","""")&amp;SUBSTITUTE(TEXT(IF(ISTEXT(Overig!L149),Overig!L149,10*Overig!L149),""",""????0;"",""???-0;"",""????0;"", ////"""),"'","""")&amp;SUBSTITUTE(TEXT(Overig!M149,""",""?00;"",""?-00;"",""?00;"", //"""),"'","""")&amp;SUBSTITUTE(TEXT(IF(ISTEXT(Overig!N149),Overig!N149,10*Overig!N149),""",""????0;"",""???-0;"",""????0;"", ////"""),"'","""")&amp;SUBSTITUTE(TEXT(Overig!O149,""",""?00;"",""?-00;"",""?00;"", //"""),"'","""")&amp;SUBSTITUTE(TEXT(IF(ISTEXT(Overig!P149),Overig!P149,10*Overig!P149),""",""????0;"",""???-0;"",""????0;"", ////"""),"'","""")&amp;SUBSTITUTE(TEXT(Overig!Q149,""",""?00;"",""?-00;"",""?00;"", //"""),"'","""")&amp;SUBSTITUTE(TEXT(IF(ISTEXT(Overig!R149),Overig!R149,10*Overig!R149),""",""????0;"",""???-0;"",""????0;"", ////"""),"'","""")&amp;SUBSTITUTE(TEXT(Overig!S149,""",""?00;"",""?-00;"",""?00;"", //"""),"'","""")&amp;SUBSTITUTE(TEXT(Overig!T149,""",""???0;"",""??-0;"",""???0;"", ///"""),"'","""")&amp;SUBSTITUTE(TEXT(Overig!U149,""",""?00;"",""?-00;"",""?00;"", //"""),"'","""")&amp;SUBSTITUTE(TEXT(IF(ISTEXT(Overig!V149),Overig!V149,10*Overig!V149),""",""???0;"",""??-0;"",""???0;"", ///"""),"'","""")&amp;SUBSTITUTE(TEXT(Overig!W149,""",""?00;"",""?-00;"",""?00;"", //"""),"'","""")&amp;SUBSTITUTE(TEXT(IF(ISTEXT(Overig!X149),Overig!X149,10*Overig!X149),""",""????0;"",""???-0;"",""????0;"", ////"""),"'","""")&amp;SUBSTITUTE(TEXT(Overig!Y149,""",""?00;"",""?-00;"",""?00;"", //"""),"'","""")&amp;SUBSTITUTE(TEXT(IF(ISTEXT(Overig!Z149),Overig!Z149,10*Overig!Z149),""",""????0;"",""???-0;"",""????0;"", ////"""),"'","""")&amp;SUBSTITUTE(TEXT(Overig!AA149,""",""?00;"",""?-00;"",""?00;"", //"""),"'","""")&amp;SUBSTITUTE(TEXT(Overig!AB149,""",""???0;"",""??-0;"",""???0;"", ///"""),"'","""")&amp;SUBSTITUTE(TEXT(Overig!AC149,""",""?00;"",""?-00;"",""?00;"", //"""),"'","""")&amp;SUBSTITUTE(TEXT(IF(ISTEXT(Overig!AD149),Overig!AD149,10*Overig!AD149),""",""????0;"",""???-0;"",""????0;"", ////"""),"'","""")&amp;SUBSTITUTE(TEXT(Overig!AE149,""",""?00;"",""?-00;"",""?00;"", //"""),"'","""")&amp;SUBSTITUTE(TEXT(IF(ISTEXT(Overig!AF149),Overig!AF149,10*Overig!AF149),""",""????0;"",""???-0;"",""????0;"", ////"""),"'","""")&amp;SUBSTITUTE(TEXT(Overig!AG149,""",""?00;"",""?-00;"",""?00;"", //"""),"'","""")&amp;SUBSTITUTE(TEXT(Overig!AH149,""",""???0;"",""??-0;"",""???0;"", ///"""),"'","""")&amp;SUBSTITUTE(TEXT(Overig!AI149,""",""?00;"",""?-00;"",""?00;"", //"""),"'","""")&amp;SUBSTITUTE(TEXT(Overig!AJ149,""",""??0;"",""?-0;"",""??0;"", //"""),"'","""")&amp;SUBSTITUTE(TEXT(Overig!AK149,""",""?00;"",""?-00;"",""?00;"", //"""),"'","""")&amp;SUBSTITUTE(IF(EXACT(Overig!AL149,"—"),TEXT(Overig!AL149,""",""????0;"",""???-0;"",""????0;"", ////////////,"""),TEXT(Overig!AL149,"\, \'@""',""")&amp;REPT(" ",10-LEN(Overig!AL149))),"'","""")&amp;SUBSTITUTE(TEXT(Overig!AM149,"?00;?-00;?00;"" //"""),"'","""")&amp;SUBSTITUTE(TEXT(Overig!AN149,""",""???0;"",""??-0;"",""???0;"", ///"""),"'","""")&amp;SUBSTITUTE(TEXT(Overig!AO149,""",""?00;"",""?-00;"",""?00;"", //"""),"'","""")</f>
        <v>78989, 19130528, 0800, ////, 07, /////, 07, ////, 07, /////, 07, ////, 07, ////, 07, ////, 07, ////, 07, ///, 07, ///, 07, ////, 07, ////, 07, ///, 07, ////, 07, ////, 07, ///, 07, //, 07, ////////////, 07, ///, 07</v>
      </c>
    </row>
    <row r="150" spans="1:1" x14ac:dyDescent="0.25">
      <c r="A150" s="75" t="str">
        <f ca="1">TEXT(Overig!A150,"000\,")&amp;TEXT(Overig!B150,"?00000000")&amp;TEXT(Overig!C150,""", ""0000")&amp;SUBSTITUTE(TEXT(IF(ISTEXT(Overig!D150),Overig!D150,10*Overig!D150),""",""????0;"",""???-0;"",""????0;"", ////"""),"'","""")&amp;SUBSTITUTE(TEXT(Overig!E150,""",""?00;"",""?-00;"",""?00;"", //"""),"'","""")&amp;SUBSTITUTE(TEXT(IF(ISTEXT(Overig!F150),Overig!F150,100*Overig!F150),""",""?????0;"",""????-0;"",""?????0;"", /////"""),"'","""")&amp;SUBSTITUTE(TEXT(Overig!G150,""",""?00;"",""?-00;"",""?00;"", //"""),"'","""")&amp;SUBSTITUTE(TEXT(IF(ISTEXT(Overig!H150),Overig!H150,100*Overig!H150),""",""????0;"",""???-0;"",""????0;"", ////"""),"'","""")&amp;SUBSTITUTE(TEXT(Overig!I150,""",""?00;"",""?-00;"",""?00;"", //"""),"'","""")&amp;SUBSTITUTE(TEXT(IF(ISTEXT(Overig!J150),Overig!J150,100*Overig!J150),""",""?????0;"",""????-0;"",""?????0;"", /////"""),"'","""")&amp;SUBSTITUTE(TEXT(Overig!K150,""",""?00;"",""?-00;"",""?00;"", //"""),"'","""")&amp;SUBSTITUTE(TEXT(IF(ISTEXT(Overig!L150),Overig!L150,10*Overig!L150),""",""????0;"",""???-0;"",""????0;"", ////"""),"'","""")&amp;SUBSTITUTE(TEXT(Overig!M150,""",""?00;"",""?-00;"",""?00;"", //"""),"'","""")&amp;SUBSTITUTE(TEXT(IF(ISTEXT(Overig!N150),Overig!N150,10*Overig!N150),""",""????0;"",""???-0;"",""????0;"", ////"""),"'","""")&amp;SUBSTITUTE(TEXT(Overig!O150,""",""?00;"",""?-00;"",""?00;"", //"""),"'","""")&amp;SUBSTITUTE(TEXT(IF(ISTEXT(Overig!P150),Overig!P150,10*Overig!P150),""",""????0;"",""???-0;"",""????0;"", ////"""),"'","""")&amp;SUBSTITUTE(TEXT(Overig!Q150,""",""?00;"",""?-00;"",""?00;"", //"""),"'","""")&amp;SUBSTITUTE(TEXT(IF(ISTEXT(Overig!R150),Overig!R150,10*Overig!R150),""",""????0;"",""???-0;"",""????0;"", ////"""),"'","""")&amp;SUBSTITUTE(TEXT(Overig!S150,""",""?00;"",""?-00;"",""?00;"", //"""),"'","""")&amp;SUBSTITUTE(TEXT(Overig!T150,""",""???0;"",""??-0;"",""???0;"", ///"""),"'","""")&amp;SUBSTITUTE(TEXT(Overig!U150,""",""?00;"",""?-00;"",""?00;"", //"""),"'","""")&amp;SUBSTITUTE(TEXT(IF(ISTEXT(Overig!V150),Overig!V150,10*Overig!V150),""",""???0;"",""??-0;"",""???0;"", ///"""),"'","""")&amp;SUBSTITUTE(TEXT(Overig!W150,""",""?00;"",""?-00;"",""?00;"", //"""),"'","""")&amp;SUBSTITUTE(TEXT(IF(ISTEXT(Overig!X150),Overig!X150,10*Overig!X150),""",""????0;"",""???-0;"",""????0;"", ////"""),"'","""")&amp;SUBSTITUTE(TEXT(Overig!Y150,""",""?00;"",""?-00;"",""?00;"", //"""),"'","""")&amp;SUBSTITUTE(TEXT(IF(ISTEXT(Overig!Z150),Overig!Z150,10*Overig!Z150),""",""????0;"",""???-0;"",""????0;"", ////"""),"'","""")&amp;SUBSTITUTE(TEXT(Overig!AA150,""",""?00;"",""?-00;"",""?00;"", //"""),"'","""")&amp;SUBSTITUTE(TEXT(Overig!AB150,""",""???0;"",""??-0;"",""???0;"", ///"""),"'","""")&amp;SUBSTITUTE(TEXT(Overig!AC150,""",""?00;"",""?-00;"",""?00;"", //"""),"'","""")&amp;SUBSTITUTE(TEXT(IF(ISTEXT(Overig!AD150),Overig!AD150,10*Overig!AD150),""",""????0;"",""???-0;"",""????0;"", ////"""),"'","""")&amp;SUBSTITUTE(TEXT(Overig!AE150,""",""?00;"",""?-00;"",""?00;"", //"""),"'","""")&amp;SUBSTITUTE(TEXT(IF(ISTEXT(Overig!AF150),Overig!AF150,10*Overig!AF150),""",""????0;"",""???-0;"",""????0;"", ////"""),"'","""")&amp;SUBSTITUTE(TEXT(Overig!AG150,""",""?00;"",""?-00;"",""?00;"", //"""),"'","""")&amp;SUBSTITUTE(TEXT(Overig!AH150,""",""???0;"",""??-0;"",""???0;"", ///"""),"'","""")&amp;SUBSTITUTE(TEXT(Overig!AI150,""",""?00;"",""?-00;"",""?00;"", //"""),"'","""")&amp;SUBSTITUTE(TEXT(Overig!AJ150,""",""??0;"",""?-0;"",""??0;"", //"""),"'","""")&amp;SUBSTITUTE(TEXT(Overig!AK150,""",""?00;"",""?-00;"",""?00;"", //"""),"'","""")&amp;SUBSTITUTE(IF(EXACT(Overig!AL150,"—"),TEXT(Overig!AL150,""",""????0;"",""???-0;"",""????0;"", ////////////,"""),TEXT(Overig!AL150,"\, \'@""',""")&amp;REPT(" ",10-LEN(Overig!AL150))),"'","""")&amp;SUBSTITUTE(TEXT(Overig!AM150,"?00;?-00;?00;"" //"""),"'","""")&amp;SUBSTITUTE(TEXT(Overig!AN150,""",""???0;"",""??-0;"",""???0;"", ///"""),"'","""")&amp;SUBSTITUTE(TEXT(Overig!AO150,""",""?00;"",""?-00;"",""?00;"", //"""),"'","""")</f>
        <v>78989, 19130529, 0800, ////, 07, /////, 07, ////, 07, /////, 07, ////, 07, ////, 07, ////, 07, ////, 07, ///, 07, ///, 07, ////, 07, ////, 07, ///, 07, ////, 07, ////, 07, ///, 07, //, 07, ////////////, 07, ///, 07</v>
      </c>
    </row>
    <row r="151" spans="1:1" x14ac:dyDescent="0.25">
      <c r="A151" s="75" t="str">
        <f ca="1">TEXT(Overig!A151,"000\,")&amp;TEXT(Overig!B151,"?00000000")&amp;TEXT(Overig!C151,""", ""0000")&amp;SUBSTITUTE(TEXT(IF(ISTEXT(Overig!D151),Overig!D151,10*Overig!D151),""",""????0;"",""???-0;"",""????0;"", ////"""),"'","""")&amp;SUBSTITUTE(TEXT(Overig!E151,""",""?00;"",""?-00;"",""?00;"", //"""),"'","""")&amp;SUBSTITUTE(TEXT(IF(ISTEXT(Overig!F151),Overig!F151,100*Overig!F151),""",""?????0;"",""????-0;"",""?????0;"", /////"""),"'","""")&amp;SUBSTITUTE(TEXT(Overig!G151,""",""?00;"",""?-00;"",""?00;"", //"""),"'","""")&amp;SUBSTITUTE(TEXT(IF(ISTEXT(Overig!H151),Overig!H151,100*Overig!H151),""",""????0;"",""???-0;"",""????0;"", ////"""),"'","""")&amp;SUBSTITUTE(TEXT(Overig!I151,""",""?00;"",""?-00;"",""?00;"", //"""),"'","""")&amp;SUBSTITUTE(TEXT(IF(ISTEXT(Overig!J151),Overig!J151,100*Overig!J151),""",""?????0;"",""????-0;"",""?????0;"", /////"""),"'","""")&amp;SUBSTITUTE(TEXT(Overig!K151,""",""?00;"",""?-00;"",""?00;"", //"""),"'","""")&amp;SUBSTITUTE(TEXT(IF(ISTEXT(Overig!L151),Overig!L151,10*Overig!L151),""",""????0;"",""???-0;"",""????0;"", ////"""),"'","""")&amp;SUBSTITUTE(TEXT(Overig!M151,""",""?00;"",""?-00;"",""?00;"", //"""),"'","""")&amp;SUBSTITUTE(TEXT(IF(ISTEXT(Overig!N151),Overig!N151,10*Overig!N151),""",""????0;"",""???-0;"",""????0;"", ////"""),"'","""")&amp;SUBSTITUTE(TEXT(Overig!O151,""",""?00;"",""?-00;"",""?00;"", //"""),"'","""")&amp;SUBSTITUTE(TEXT(IF(ISTEXT(Overig!P151),Overig!P151,10*Overig!P151),""",""????0;"",""???-0;"",""????0;"", ////"""),"'","""")&amp;SUBSTITUTE(TEXT(Overig!Q151,""",""?00;"",""?-00;"",""?00;"", //"""),"'","""")&amp;SUBSTITUTE(TEXT(IF(ISTEXT(Overig!R151),Overig!R151,10*Overig!R151),""",""????0;"",""???-0;"",""????0;"", ////"""),"'","""")&amp;SUBSTITUTE(TEXT(Overig!S151,""",""?00;"",""?-00;"",""?00;"", //"""),"'","""")&amp;SUBSTITUTE(TEXT(Overig!T151,""",""???0;"",""??-0;"",""???0;"", ///"""),"'","""")&amp;SUBSTITUTE(TEXT(Overig!U151,""",""?00;"",""?-00;"",""?00;"", //"""),"'","""")&amp;SUBSTITUTE(TEXT(IF(ISTEXT(Overig!V151),Overig!V151,10*Overig!V151),""",""???0;"",""??-0;"",""???0;"", ///"""),"'","""")&amp;SUBSTITUTE(TEXT(Overig!W151,""",""?00;"",""?-00;"",""?00;"", //"""),"'","""")&amp;SUBSTITUTE(TEXT(IF(ISTEXT(Overig!X151),Overig!X151,10*Overig!X151),""",""????0;"",""???-0;"",""????0;"", ////"""),"'","""")&amp;SUBSTITUTE(TEXT(Overig!Y151,""",""?00;"",""?-00;"",""?00;"", //"""),"'","""")&amp;SUBSTITUTE(TEXT(IF(ISTEXT(Overig!Z151),Overig!Z151,10*Overig!Z151),""",""????0;"",""???-0;"",""????0;"", ////"""),"'","""")&amp;SUBSTITUTE(TEXT(Overig!AA151,""",""?00;"",""?-00;"",""?00;"", //"""),"'","""")&amp;SUBSTITUTE(TEXT(Overig!AB151,""",""???0;"",""??-0;"",""???0;"", ///"""),"'","""")&amp;SUBSTITUTE(TEXT(Overig!AC151,""",""?00;"",""?-00;"",""?00;"", //"""),"'","""")&amp;SUBSTITUTE(TEXT(IF(ISTEXT(Overig!AD151),Overig!AD151,10*Overig!AD151),""",""????0;"",""???-0;"",""????0;"", ////"""),"'","""")&amp;SUBSTITUTE(TEXT(Overig!AE151,""",""?00;"",""?-00;"",""?00;"", //"""),"'","""")&amp;SUBSTITUTE(TEXT(IF(ISTEXT(Overig!AF151),Overig!AF151,10*Overig!AF151),""",""????0;"",""???-0;"",""????0;"", ////"""),"'","""")&amp;SUBSTITUTE(TEXT(Overig!AG151,""",""?00;"",""?-00;"",""?00;"", //"""),"'","""")&amp;SUBSTITUTE(TEXT(Overig!AH151,""",""???0;"",""??-0;"",""???0;"", ///"""),"'","""")&amp;SUBSTITUTE(TEXT(Overig!AI151,""",""?00;"",""?-00;"",""?00;"", //"""),"'","""")&amp;SUBSTITUTE(TEXT(Overig!AJ151,""",""??0;"",""?-0;"",""??0;"", //"""),"'","""")&amp;SUBSTITUTE(TEXT(Overig!AK151,""",""?00;"",""?-00;"",""?00;"", //"""),"'","""")&amp;SUBSTITUTE(IF(EXACT(Overig!AL151,"—"),TEXT(Overig!AL151,""",""????0;"",""???-0;"",""????0;"", ////////////,"""),TEXT(Overig!AL151,"\, \'@""',""")&amp;REPT(" ",10-LEN(Overig!AL151))),"'","""")&amp;SUBSTITUTE(TEXT(Overig!AM151,"?00;?-00;?00;"" //"""),"'","""")&amp;SUBSTITUTE(TEXT(Overig!AN151,""",""???0;"",""??-0;"",""???0;"", ///"""),"'","""")&amp;SUBSTITUTE(TEXT(Overig!AO151,""",""?00;"",""?-00;"",""?00;"", //"""),"'","""")</f>
        <v>78989, 19130530, 0800, ////, 07, /////, 07, ////, 07, /////, 07, ////, 07, ////, 07, ////, 07, ////, 07, ///, 07, ///, 07, ////, 07, ////, 07, ///, 07, ////, 07, ////, 07, ///, 07, //, 07, ////////////, 07, ///, 07</v>
      </c>
    </row>
    <row r="152" spans="1:1" x14ac:dyDescent="0.25">
      <c r="A152" s="75" t="str">
        <f ca="1">TEXT(Overig!A152,"000\,")&amp;TEXT(Overig!B152,"?00000000")&amp;TEXT(Overig!C152,""", ""0000")&amp;SUBSTITUTE(TEXT(IF(ISTEXT(Overig!D152),Overig!D152,10*Overig!D152),""",""????0;"",""???-0;"",""????0;"", ////"""),"'","""")&amp;SUBSTITUTE(TEXT(Overig!E152,""",""?00;"",""?-00;"",""?00;"", //"""),"'","""")&amp;SUBSTITUTE(TEXT(IF(ISTEXT(Overig!F152),Overig!F152,100*Overig!F152),""",""?????0;"",""????-0;"",""?????0;"", /////"""),"'","""")&amp;SUBSTITUTE(TEXT(Overig!G152,""",""?00;"",""?-00;"",""?00;"", //"""),"'","""")&amp;SUBSTITUTE(TEXT(IF(ISTEXT(Overig!H152),Overig!H152,100*Overig!H152),""",""????0;"",""???-0;"",""????0;"", ////"""),"'","""")&amp;SUBSTITUTE(TEXT(Overig!I152,""",""?00;"",""?-00;"",""?00;"", //"""),"'","""")&amp;SUBSTITUTE(TEXT(IF(ISTEXT(Overig!J152),Overig!J152,100*Overig!J152),""",""?????0;"",""????-0;"",""?????0;"", /////"""),"'","""")&amp;SUBSTITUTE(TEXT(Overig!K152,""",""?00;"",""?-00;"",""?00;"", //"""),"'","""")&amp;SUBSTITUTE(TEXT(IF(ISTEXT(Overig!L152),Overig!L152,10*Overig!L152),""",""????0;"",""???-0;"",""????0;"", ////"""),"'","""")&amp;SUBSTITUTE(TEXT(Overig!M152,""",""?00;"",""?-00;"",""?00;"", //"""),"'","""")&amp;SUBSTITUTE(TEXT(IF(ISTEXT(Overig!N152),Overig!N152,10*Overig!N152),""",""????0;"",""???-0;"",""????0;"", ////"""),"'","""")&amp;SUBSTITUTE(TEXT(Overig!O152,""",""?00;"",""?-00;"",""?00;"", //"""),"'","""")&amp;SUBSTITUTE(TEXT(IF(ISTEXT(Overig!P152),Overig!P152,10*Overig!P152),""",""????0;"",""???-0;"",""????0;"", ////"""),"'","""")&amp;SUBSTITUTE(TEXT(Overig!Q152,""",""?00;"",""?-00;"",""?00;"", //"""),"'","""")&amp;SUBSTITUTE(TEXT(IF(ISTEXT(Overig!R152),Overig!R152,10*Overig!R152),""",""????0;"",""???-0;"",""????0;"", ////"""),"'","""")&amp;SUBSTITUTE(TEXT(Overig!S152,""",""?00;"",""?-00;"",""?00;"", //"""),"'","""")&amp;SUBSTITUTE(TEXT(Overig!T152,""",""???0;"",""??-0;"",""???0;"", ///"""),"'","""")&amp;SUBSTITUTE(TEXT(Overig!U152,""",""?00;"",""?-00;"",""?00;"", //"""),"'","""")&amp;SUBSTITUTE(TEXT(IF(ISTEXT(Overig!V152),Overig!V152,10*Overig!V152),""",""???0;"",""??-0;"",""???0;"", ///"""),"'","""")&amp;SUBSTITUTE(TEXT(Overig!W152,""",""?00;"",""?-00;"",""?00;"", //"""),"'","""")&amp;SUBSTITUTE(TEXT(IF(ISTEXT(Overig!X152),Overig!X152,10*Overig!X152),""",""????0;"",""???-0;"",""????0;"", ////"""),"'","""")&amp;SUBSTITUTE(TEXT(Overig!Y152,""",""?00;"",""?-00;"",""?00;"", //"""),"'","""")&amp;SUBSTITUTE(TEXT(IF(ISTEXT(Overig!Z152),Overig!Z152,10*Overig!Z152),""",""????0;"",""???-0;"",""????0;"", ////"""),"'","""")&amp;SUBSTITUTE(TEXT(Overig!AA152,""",""?00;"",""?-00;"",""?00;"", //"""),"'","""")&amp;SUBSTITUTE(TEXT(Overig!AB152,""",""???0;"",""??-0;"",""???0;"", ///"""),"'","""")&amp;SUBSTITUTE(TEXT(Overig!AC152,""",""?00;"",""?-00;"",""?00;"", //"""),"'","""")&amp;SUBSTITUTE(TEXT(IF(ISTEXT(Overig!AD152),Overig!AD152,10*Overig!AD152),""",""????0;"",""???-0;"",""????0;"", ////"""),"'","""")&amp;SUBSTITUTE(TEXT(Overig!AE152,""",""?00;"",""?-00;"",""?00;"", //"""),"'","""")&amp;SUBSTITUTE(TEXT(IF(ISTEXT(Overig!AF152),Overig!AF152,10*Overig!AF152),""",""????0;"",""???-0;"",""????0;"", ////"""),"'","""")&amp;SUBSTITUTE(TEXT(Overig!AG152,""",""?00;"",""?-00;"",""?00;"", //"""),"'","""")&amp;SUBSTITUTE(TEXT(Overig!AH152,""",""???0;"",""??-0;"",""???0;"", ///"""),"'","""")&amp;SUBSTITUTE(TEXT(Overig!AI152,""",""?00;"",""?-00;"",""?00;"", //"""),"'","""")&amp;SUBSTITUTE(TEXT(Overig!AJ152,""",""??0;"",""?-0;"",""??0;"", //"""),"'","""")&amp;SUBSTITUTE(TEXT(Overig!AK152,""",""?00;"",""?-00;"",""?00;"", //"""),"'","""")&amp;SUBSTITUTE(IF(EXACT(Overig!AL152,"—"),TEXT(Overig!AL152,""",""????0;"",""???-0;"",""????0;"", ////////////,"""),TEXT(Overig!AL152,"\, \'@""',""")&amp;REPT(" ",10-LEN(Overig!AL152))),"'","""")&amp;SUBSTITUTE(TEXT(Overig!AM152,"?00;?-00;?00;"" //"""),"'","""")&amp;SUBSTITUTE(TEXT(Overig!AN152,""",""???0;"",""??-0;"",""???0;"", ///"""),"'","""")&amp;SUBSTITUTE(TEXT(Overig!AO152,""",""?00;"",""?-00;"",""?00;"", //"""),"'","""")</f>
        <v>78989, 19130531, 0800, ////, 07, /////, 07, ////, 07, /////, 07, ////, 07, ////, 07, ////, 07, ////, 07, ///, 07, ///, 07, ////, 07, ////, 07, ///, 07, ////, 07, ////, 07, ///, 07, //, 07, ////////////, 07, ///, 07</v>
      </c>
    </row>
    <row r="153" spans="1:1" x14ac:dyDescent="0.25">
      <c r="A153" s="75" t="str">
        <f ca="1">TEXT(Overig!A153,"000\,")&amp;TEXT(Overig!B153,"?00000000")&amp;TEXT(Overig!C153,""", ""0000")&amp;SUBSTITUTE(TEXT(IF(ISTEXT(Overig!D153),Overig!D153,10*Overig!D153),""",""????0;"",""???-0;"",""????0;"", ////"""),"'","""")&amp;SUBSTITUTE(TEXT(Overig!E153,""",""?00;"",""?-00;"",""?00;"", //"""),"'","""")&amp;SUBSTITUTE(TEXT(IF(ISTEXT(Overig!F153),Overig!F153,100*Overig!F153),""",""?????0;"",""????-0;"",""?????0;"", /////"""),"'","""")&amp;SUBSTITUTE(TEXT(Overig!G153,""",""?00;"",""?-00;"",""?00;"", //"""),"'","""")&amp;SUBSTITUTE(TEXT(IF(ISTEXT(Overig!H153),Overig!H153,100*Overig!H153),""",""????0;"",""???-0;"",""????0;"", ////"""),"'","""")&amp;SUBSTITUTE(TEXT(Overig!I153,""",""?00;"",""?-00;"",""?00;"", //"""),"'","""")&amp;SUBSTITUTE(TEXT(IF(ISTEXT(Overig!J153),Overig!J153,100*Overig!J153),""",""?????0;"",""????-0;"",""?????0;"", /////"""),"'","""")&amp;SUBSTITUTE(TEXT(Overig!K153,""",""?00;"",""?-00;"",""?00;"", //"""),"'","""")&amp;SUBSTITUTE(TEXT(IF(ISTEXT(Overig!L153),Overig!L153,10*Overig!L153),""",""????0;"",""???-0;"",""????0;"", ////"""),"'","""")&amp;SUBSTITUTE(TEXT(Overig!M153,""",""?00;"",""?-00;"",""?00;"", //"""),"'","""")&amp;SUBSTITUTE(TEXT(IF(ISTEXT(Overig!N153),Overig!N153,10*Overig!N153),""",""????0;"",""???-0;"",""????0;"", ////"""),"'","""")&amp;SUBSTITUTE(TEXT(Overig!O153,""",""?00;"",""?-00;"",""?00;"", //"""),"'","""")&amp;SUBSTITUTE(TEXT(IF(ISTEXT(Overig!P153),Overig!P153,10*Overig!P153),""",""????0;"",""???-0;"",""????0;"", ////"""),"'","""")&amp;SUBSTITUTE(TEXT(Overig!Q153,""",""?00;"",""?-00;"",""?00;"", //"""),"'","""")&amp;SUBSTITUTE(TEXT(IF(ISTEXT(Overig!R153),Overig!R153,10*Overig!R153),""",""????0;"",""???-0;"",""????0;"", ////"""),"'","""")&amp;SUBSTITUTE(TEXT(Overig!S153,""",""?00;"",""?-00;"",""?00;"", //"""),"'","""")&amp;SUBSTITUTE(TEXT(Overig!T153,""",""???0;"",""??-0;"",""???0;"", ///"""),"'","""")&amp;SUBSTITUTE(TEXT(Overig!U153,""",""?00;"",""?-00;"",""?00;"", //"""),"'","""")&amp;SUBSTITUTE(TEXT(IF(ISTEXT(Overig!V153),Overig!V153,10*Overig!V153),""",""???0;"",""??-0;"",""???0;"", ///"""),"'","""")&amp;SUBSTITUTE(TEXT(Overig!W153,""",""?00;"",""?-00;"",""?00;"", //"""),"'","""")&amp;SUBSTITUTE(TEXT(IF(ISTEXT(Overig!X153),Overig!X153,10*Overig!X153),""",""????0;"",""???-0;"",""????0;"", ////"""),"'","""")&amp;SUBSTITUTE(TEXT(Overig!Y153,""",""?00;"",""?-00;"",""?00;"", //"""),"'","""")&amp;SUBSTITUTE(TEXT(IF(ISTEXT(Overig!Z153),Overig!Z153,10*Overig!Z153),""",""????0;"",""???-0;"",""????0;"", ////"""),"'","""")&amp;SUBSTITUTE(TEXT(Overig!AA153,""",""?00;"",""?-00;"",""?00;"", //"""),"'","""")&amp;SUBSTITUTE(TEXT(Overig!AB153,""",""???0;"",""??-0;"",""???0;"", ///"""),"'","""")&amp;SUBSTITUTE(TEXT(Overig!AC153,""",""?00;"",""?-00;"",""?00;"", //"""),"'","""")&amp;SUBSTITUTE(TEXT(IF(ISTEXT(Overig!AD153),Overig!AD153,10*Overig!AD153),""",""????0;"",""???-0;"",""????0;"", ////"""),"'","""")&amp;SUBSTITUTE(TEXT(Overig!AE153,""",""?00;"",""?-00;"",""?00;"", //"""),"'","""")&amp;SUBSTITUTE(TEXT(IF(ISTEXT(Overig!AF153),Overig!AF153,10*Overig!AF153),""",""????0;"",""???-0;"",""????0;"", ////"""),"'","""")&amp;SUBSTITUTE(TEXT(Overig!AG153,""",""?00;"",""?-00;"",""?00;"", //"""),"'","""")&amp;SUBSTITUTE(TEXT(Overig!AH153,""",""???0;"",""??-0;"",""???0;"", ///"""),"'","""")&amp;SUBSTITUTE(TEXT(Overig!AI153,""",""?00;"",""?-00;"",""?00;"", //"""),"'","""")&amp;SUBSTITUTE(TEXT(Overig!AJ153,""",""??0;"",""?-0;"",""??0;"", //"""),"'","""")&amp;SUBSTITUTE(TEXT(Overig!AK153,""",""?00;"",""?-00;"",""?00;"", //"""),"'","""")&amp;SUBSTITUTE(IF(EXACT(Overig!AL153,"—"),TEXT(Overig!AL153,""",""????0;"",""???-0;"",""????0;"", ////////////,"""),TEXT(Overig!AL153,"\, \'@""',""")&amp;REPT(" ",10-LEN(Overig!AL153))),"'","""")&amp;SUBSTITUTE(TEXT(Overig!AM153,"?00;?-00;?00;"" //"""),"'","""")&amp;SUBSTITUTE(TEXT(Overig!AN153,""",""???0;"",""??-0;"",""???0;"", ///"""),"'","""")&amp;SUBSTITUTE(TEXT(Overig!AO153,""",""?00;"",""?-00;"",""?00;"", //"""),"'","""")</f>
        <v>78989, 19130601, 0800, ////, 07, /////, 07, ////, 07, /////, 07, ////, 07, ////, 07, ////, 07, ////, 07, ///, 07, ///, 07, ////, 07, ////, 07, ///, 07, ////, 07, ////, 07, ///, 07, //, 07, ////////////, 07, ///, 07</v>
      </c>
    </row>
    <row r="154" spans="1:1" x14ac:dyDescent="0.25">
      <c r="A154" s="75" t="str">
        <f ca="1">TEXT(Overig!A154,"000\,")&amp;TEXT(Overig!B154,"?00000000")&amp;TEXT(Overig!C154,""", ""0000")&amp;SUBSTITUTE(TEXT(IF(ISTEXT(Overig!D154),Overig!D154,10*Overig!D154),""",""????0;"",""???-0;"",""????0;"", ////"""),"'","""")&amp;SUBSTITUTE(TEXT(Overig!E154,""",""?00;"",""?-00;"",""?00;"", //"""),"'","""")&amp;SUBSTITUTE(TEXT(IF(ISTEXT(Overig!F154),Overig!F154,100*Overig!F154),""",""?????0;"",""????-0;"",""?????0;"", /////"""),"'","""")&amp;SUBSTITUTE(TEXT(Overig!G154,""",""?00;"",""?-00;"",""?00;"", //"""),"'","""")&amp;SUBSTITUTE(TEXT(IF(ISTEXT(Overig!H154),Overig!H154,100*Overig!H154),""",""????0;"",""???-0;"",""????0;"", ////"""),"'","""")&amp;SUBSTITUTE(TEXT(Overig!I154,""",""?00;"",""?-00;"",""?00;"", //"""),"'","""")&amp;SUBSTITUTE(TEXT(IF(ISTEXT(Overig!J154),Overig!J154,100*Overig!J154),""",""?????0;"",""????-0;"",""?????0;"", /////"""),"'","""")&amp;SUBSTITUTE(TEXT(Overig!K154,""",""?00;"",""?-00;"",""?00;"", //"""),"'","""")&amp;SUBSTITUTE(TEXT(IF(ISTEXT(Overig!L154),Overig!L154,10*Overig!L154),""",""????0;"",""???-0;"",""????0;"", ////"""),"'","""")&amp;SUBSTITUTE(TEXT(Overig!M154,""",""?00;"",""?-00;"",""?00;"", //"""),"'","""")&amp;SUBSTITUTE(TEXT(IF(ISTEXT(Overig!N154),Overig!N154,10*Overig!N154),""",""????0;"",""???-0;"",""????0;"", ////"""),"'","""")&amp;SUBSTITUTE(TEXT(Overig!O154,""",""?00;"",""?-00;"",""?00;"", //"""),"'","""")&amp;SUBSTITUTE(TEXT(IF(ISTEXT(Overig!P154),Overig!P154,10*Overig!P154),""",""????0;"",""???-0;"",""????0;"", ////"""),"'","""")&amp;SUBSTITUTE(TEXT(Overig!Q154,""",""?00;"",""?-00;"",""?00;"", //"""),"'","""")&amp;SUBSTITUTE(TEXT(IF(ISTEXT(Overig!R154),Overig!R154,10*Overig!R154),""",""????0;"",""???-0;"",""????0;"", ////"""),"'","""")&amp;SUBSTITUTE(TEXT(Overig!S154,""",""?00;"",""?-00;"",""?00;"", //"""),"'","""")&amp;SUBSTITUTE(TEXT(Overig!T154,""",""???0;"",""??-0;"",""???0;"", ///"""),"'","""")&amp;SUBSTITUTE(TEXT(Overig!U154,""",""?00;"",""?-00;"",""?00;"", //"""),"'","""")&amp;SUBSTITUTE(TEXT(IF(ISTEXT(Overig!V154),Overig!V154,10*Overig!V154),""",""???0;"",""??-0;"",""???0;"", ///"""),"'","""")&amp;SUBSTITUTE(TEXT(Overig!W154,""",""?00;"",""?-00;"",""?00;"", //"""),"'","""")&amp;SUBSTITUTE(TEXT(IF(ISTEXT(Overig!X154),Overig!X154,10*Overig!X154),""",""????0;"",""???-0;"",""????0;"", ////"""),"'","""")&amp;SUBSTITUTE(TEXT(Overig!Y154,""",""?00;"",""?-00;"",""?00;"", //"""),"'","""")&amp;SUBSTITUTE(TEXT(IF(ISTEXT(Overig!Z154),Overig!Z154,10*Overig!Z154),""",""????0;"",""???-0;"",""????0;"", ////"""),"'","""")&amp;SUBSTITUTE(TEXT(Overig!AA154,""",""?00;"",""?-00;"",""?00;"", //"""),"'","""")&amp;SUBSTITUTE(TEXT(Overig!AB154,""",""???0;"",""??-0;"",""???0;"", ///"""),"'","""")&amp;SUBSTITUTE(TEXT(Overig!AC154,""",""?00;"",""?-00;"",""?00;"", //"""),"'","""")&amp;SUBSTITUTE(TEXT(IF(ISTEXT(Overig!AD154),Overig!AD154,10*Overig!AD154),""",""????0;"",""???-0;"",""????0;"", ////"""),"'","""")&amp;SUBSTITUTE(TEXT(Overig!AE154,""",""?00;"",""?-00;"",""?00;"", //"""),"'","""")&amp;SUBSTITUTE(TEXT(IF(ISTEXT(Overig!AF154),Overig!AF154,10*Overig!AF154),""",""????0;"",""???-0;"",""????0;"", ////"""),"'","""")&amp;SUBSTITUTE(TEXT(Overig!AG154,""",""?00;"",""?-00;"",""?00;"", //"""),"'","""")&amp;SUBSTITUTE(TEXT(Overig!AH154,""",""???0;"",""??-0;"",""???0;"", ///"""),"'","""")&amp;SUBSTITUTE(TEXT(Overig!AI154,""",""?00;"",""?-00;"",""?00;"", //"""),"'","""")&amp;SUBSTITUTE(TEXT(Overig!AJ154,""",""??0;"",""?-0;"",""??0;"", //"""),"'","""")&amp;SUBSTITUTE(TEXT(Overig!AK154,""",""?00;"",""?-00;"",""?00;"", //"""),"'","""")&amp;SUBSTITUTE(IF(EXACT(Overig!AL154,"—"),TEXT(Overig!AL154,""",""????0;"",""???-0;"",""????0;"", ////////////,"""),TEXT(Overig!AL154,"\, \'@""',""")&amp;REPT(" ",10-LEN(Overig!AL154))),"'","""")&amp;SUBSTITUTE(TEXT(Overig!AM154,"?00;?-00;?00;"" //"""),"'","""")&amp;SUBSTITUTE(TEXT(Overig!AN154,""",""???0;"",""??-0;"",""???0;"", ///"""),"'","""")&amp;SUBSTITUTE(TEXT(Overig!AO154,""",""?00;"",""?-00;"",""?00;"", //"""),"'","""")</f>
        <v>78989, 19130602, 0800, ////, 07, /////, 07, ////, 07, /////, 07, ////, 07, ////, 07, ////, 07, ////, 07, ///, 07, ///, 07, ////, 07, ////, 07, ///, 07, ////, 07, ////, 07, ///, 07, //, 07, ////////////, 07, ///, 07</v>
      </c>
    </row>
    <row r="155" spans="1:1" x14ac:dyDescent="0.25">
      <c r="A155" s="75" t="str">
        <f ca="1">TEXT(Overig!A155,"000\,")&amp;TEXT(Overig!B155,"?00000000")&amp;TEXT(Overig!C155,""", ""0000")&amp;SUBSTITUTE(TEXT(IF(ISTEXT(Overig!D155),Overig!D155,10*Overig!D155),""",""????0;"",""???-0;"",""????0;"", ////"""),"'","""")&amp;SUBSTITUTE(TEXT(Overig!E155,""",""?00;"",""?-00;"",""?00;"", //"""),"'","""")&amp;SUBSTITUTE(TEXT(IF(ISTEXT(Overig!F155),Overig!F155,100*Overig!F155),""",""?????0;"",""????-0;"",""?????0;"", /////"""),"'","""")&amp;SUBSTITUTE(TEXT(Overig!G155,""",""?00;"",""?-00;"",""?00;"", //"""),"'","""")&amp;SUBSTITUTE(TEXT(IF(ISTEXT(Overig!H155),Overig!H155,100*Overig!H155),""",""????0;"",""???-0;"",""????0;"", ////"""),"'","""")&amp;SUBSTITUTE(TEXT(Overig!I155,""",""?00;"",""?-00;"",""?00;"", //"""),"'","""")&amp;SUBSTITUTE(TEXT(IF(ISTEXT(Overig!J155),Overig!J155,100*Overig!J155),""",""?????0;"",""????-0;"",""?????0;"", /////"""),"'","""")&amp;SUBSTITUTE(TEXT(Overig!K155,""",""?00;"",""?-00;"",""?00;"", //"""),"'","""")&amp;SUBSTITUTE(TEXT(IF(ISTEXT(Overig!L155),Overig!L155,10*Overig!L155),""",""????0;"",""???-0;"",""????0;"", ////"""),"'","""")&amp;SUBSTITUTE(TEXT(Overig!M155,""",""?00;"",""?-00;"",""?00;"", //"""),"'","""")&amp;SUBSTITUTE(TEXT(IF(ISTEXT(Overig!N155),Overig!N155,10*Overig!N155),""",""????0;"",""???-0;"",""????0;"", ////"""),"'","""")&amp;SUBSTITUTE(TEXT(Overig!O155,""",""?00;"",""?-00;"",""?00;"", //"""),"'","""")&amp;SUBSTITUTE(TEXT(IF(ISTEXT(Overig!P155),Overig!P155,10*Overig!P155),""",""????0;"",""???-0;"",""????0;"", ////"""),"'","""")&amp;SUBSTITUTE(TEXT(Overig!Q155,""",""?00;"",""?-00;"",""?00;"", //"""),"'","""")&amp;SUBSTITUTE(TEXT(IF(ISTEXT(Overig!R155),Overig!R155,10*Overig!R155),""",""????0;"",""???-0;"",""????0;"", ////"""),"'","""")&amp;SUBSTITUTE(TEXT(Overig!S155,""",""?00;"",""?-00;"",""?00;"", //"""),"'","""")&amp;SUBSTITUTE(TEXT(Overig!T155,""",""???0;"",""??-0;"",""???0;"", ///"""),"'","""")&amp;SUBSTITUTE(TEXT(Overig!U155,""",""?00;"",""?-00;"",""?00;"", //"""),"'","""")&amp;SUBSTITUTE(TEXT(IF(ISTEXT(Overig!V155),Overig!V155,10*Overig!V155),""",""???0;"",""??-0;"",""???0;"", ///"""),"'","""")&amp;SUBSTITUTE(TEXT(Overig!W155,""",""?00;"",""?-00;"",""?00;"", //"""),"'","""")&amp;SUBSTITUTE(TEXT(IF(ISTEXT(Overig!X155),Overig!X155,10*Overig!X155),""",""????0;"",""???-0;"",""????0;"", ////"""),"'","""")&amp;SUBSTITUTE(TEXT(Overig!Y155,""",""?00;"",""?-00;"",""?00;"", //"""),"'","""")&amp;SUBSTITUTE(TEXT(IF(ISTEXT(Overig!Z155),Overig!Z155,10*Overig!Z155),""",""????0;"",""???-0;"",""????0;"", ////"""),"'","""")&amp;SUBSTITUTE(TEXT(Overig!AA155,""",""?00;"",""?-00;"",""?00;"", //"""),"'","""")&amp;SUBSTITUTE(TEXT(Overig!AB155,""",""???0;"",""??-0;"",""???0;"", ///"""),"'","""")&amp;SUBSTITUTE(TEXT(Overig!AC155,""",""?00;"",""?-00;"",""?00;"", //"""),"'","""")&amp;SUBSTITUTE(TEXT(IF(ISTEXT(Overig!AD155),Overig!AD155,10*Overig!AD155),""",""????0;"",""???-0;"",""????0;"", ////"""),"'","""")&amp;SUBSTITUTE(TEXT(Overig!AE155,""",""?00;"",""?-00;"",""?00;"", //"""),"'","""")&amp;SUBSTITUTE(TEXT(IF(ISTEXT(Overig!AF155),Overig!AF155,10*Overig!AF155),""",""????0;"",""???-0;"",""????0;"", ////"""),"'","""")&amp;SUBSTITUTE(TEXT(Overig!AG155,""",""?00;"",""?-00;"",""?00;"", //"""),"'","""")&amp;SUBSTITUTE(TEXT(Overig!AH155,""",""???0;"",""??-0;"",""???0;"", ///"""),"'","""")&amp;SUBSTITUTE(TEXT(Overig!AI155,""",""?00;"",""?-00;"",""?00;"", //"""),"'","""")&amp;SUBSTITUTE(TEXT(Overig!AJ155,""",""??0;"",""?-0;"",""??0;"", //"""),"'","""")&amp;SUBSTITUTE(TEXT(Overig!AK155,""",""?00;"",""?-00;"",""?00;"", //"""),"'","""")&amp;SUBSTITUTE(IF(EXACT(Overig!AL155,"—"),TEXT(Overig!AL155,""",""????0;"",""???-0;"",""????0;"", ////////////,"""),TEXT(Overig!AL155,"\, \'@""',""")&amp;REPT(" ",10-LEN(Overig!AL155))),"'","""")&amp;SUBSTITUTE(TEXT(Overig!AM155,"?00;?-00;?00;"" //"""),"'","""")&amp;SUBSTITUTE(TEXT(Overig!AN155,""",""???0;"",""??-0;"",""???0;"", ///"""),"'","""")&amp;SUBSTITUTE(TEXT(Overig!AO155,""",""?00;"",""?-00;"",""?00;"", //"""),"'","""")</f>
        <v>78989, 19130603, 0800, ////, 07, /////, 07, ////, 07, /////, 07, ////, 07, ////, 07, ////, 07, ////, 07, ///, 07, ///, 07, ////, 07, ////, 07, ///, 07, ////, 07, ////, 07, ///, 07, //, 07, ////////////, 07, ///, 07</v>
      </c>
    </row>
    <row r="156" spans="1:1" x14ac:dyDescent="0.25">
      <c r="A156" s="75" t="str">
        <f ca="1">TEXT(Overig!A156,"000\,")&amp;TEXT(Overig!B156,"?00000000")&amp;TEXT(Overig!C156,""", ""0000")&amp;SUBSTITUTE(TEXT(IF(ISTEXT(Overig!D156),Overig!D156,10*Overig!D156),""",""????0;"",""???-0;"",""????0;"", ////"""),"'","""")&amp;SUBSTITUTE(TEXT(Overig!E156,""",""?00;"",""?-00;"",""?00;"", //"""),"'","""")&amp;SUBSTITUTE(TEXT(IF(ISTEXT(Overig!F156),Overig!F156,100*Overig!F156),""",""?????0;"",""????-0;"",""?????0;"", /////"""),"'","""")&amp;SUBSTITUTE(TEXT(Overig!G156,""",""?00;"",""?-00;"",""?00;"", //"""),"'","""")&amp;SUBSTITUTE(TEXT(IF(ISTEXT(Overig!H156),Overig!H156,100*Overig!H156),""",""????0;"",""???-0;"",""????0;"", ////"""),"'","""")&amp;SUBSTITUTE(TEXT(Overig!I156,""",""?00;"",""?-00;"",""?00;"", //"""),"'","""")&amp;SUBSTITUTE(TEXT(IF(ISTEXT(Overig!J156),Overig!J156,100*Overig!J156),""",""?????0;"",""????-0;"",""?????0;"", /////"""),"'","""")&amp;SUBSTITUTE(TEXT(Overig!K156,""",""?00;"",""?-00;"",""?00;"", //"""),"'","""")&amp;SUBSTITUTE(TEXT(IF(ISTEXT(Overig!L156),Overig!L156,10*Overig!L156),""",""????0;"",""???-0;"",""????0;"", ////"""),"'","""")&amp;SUBSTITUTE(TEXT(Overig!M156,""",""?00;"",""?-00;"",""?00;"", //"""),"'","""")&amp;SUBSTITUTE(TEXT(IF(ISTEXT(Overig!N156),Overig!N156,10*Overig!N156),""",""????0;"",""???-0;"",""????0;"", ////"""),"'","""")&amp;SUBSTITUTE(TEXT(Overig!O156,""",""?00;"",""?-00;"",""?00;"", //"""),"'","""")&amp;SUBSTITUTE(TEXT(IF(ISTEXT(Overig!P156),Overig!P156,10*Overig!P156),""",""????0;"",""???-0;"",""????0;"", ////"""),"'","""")&amp;SUBSTITUTE(TEXT(Overig!Q156,""",""?00;"",""?-00;"",""?00;"", //"""),"'","""")&amp;SUBSTITUTE(TEXT(IF(ISTEXT(Overig!R156),Overig!R156,10*Overig!R156),""",""????0;"",""???-0;"",""????0;"", ////"""),"'","""")&amp;SUBSTITUTE(TEXT(Overig!S156,""",""?00;"",""?-00;"",""?00;"", //"""),"'","""")&amp;SUBSTITUTE(TEXT(Overig!T156,""",""???0;"",""??-0;"",""???0;"", ///"""),"'","""")&amp;SUBSTITUTE(TEXT(Overig!U156,""",""?00;"",""?-00;"",""?00;"", //"""),"'","""")&amp;SUBSTITUTE(TEXT(IF(ISTEXT(Overig!V156),Overig!V156,10*Overig!V156),""",""???0;"",""??-0;"",""???0;"", ///"""),"'","""")&amp;SUBSTITUTE(TEXT(Overig!W156,""",""?00;"",""?-00;"",""?00;"", //"""),"'","""")&amp;SUBSTITUTE(TEXT(IF(ISTEXT(Overig!X156),Overig!X156,10*Overig!X156),""",""????0;"",""???-0;"",""????0;"", ////"""),"'","""")&amp;SUBSTITUTE(TEXT(Overig!Y156,""",""?00;"",""?-00;"",""?00;"", //"""),"'","""")&amp;SUBSTITUTE(TEXT(IF(ISTEXT(Overig!Z156),Overig!Z156,10*Overig!Z156),""",""????0;"",""???-0;"",""????0;"", ////"""),"'","""")&amp;SUBSTITUTE(TEXT(Overig!AA156,""",""?00;"",""?-00;"",""?00;"", //"""),"'","""")&amp;SUBSTITUTE(TEXT(Overig!AB156,""",""???0;"",""??-0;"",""???0;"", ///"""),"'","""")&amp;SUBSTITUTE(TEXT(Overig!AC156,""",""?00;"",""?-00;"",""?00;"", //"""),"'","""")&amp;SUBSTITUTE(TEXT(IF(ISTEXT(Overig!AD156),Overig!AD156,10*Overig!AD156),""",""????0;"",""???-0;"",""????0;"", ////"""),"'","""")&amp;SUBSTITUTE(TEXT(Overig!AE156,""",""?00;"",""?-00;"",""?00;"", //"""),"'","""")&amp;SUBSTITUTE(TEXT(IF(ISTEXT(Overig!AF156),Overig!AF156,10*Overig!AF156),""",""????0;"",""???-0;"",""????0;"", ////"""),"'","""")&amp;SUBSTITUTE(TEXT(Overig!AG156,""",""?00;"",""?-00;"",""?00;"", //"""),"'","""")&amp;SUBSTITUTE(TEXT(Overig!AH156,""",""???0;"",""??-0;"",""???0;"", ///"""),"'","""")&amp;SUBSTITUTE(TEXT(Overig!AI156,""",""?00;"",""?-00;"",""?00;"", //"""),"'","""")&amp;SUBSTITUTE(TEXT(Overig!AJ156,""",""??0;"",""?-0;"",""??0;"", //"""),"'","""")&amp;SUBSTITUTE(TEXT(Overig!AK156,""",""?00;"",""?-00;"",""?00;"", //"""),"'","""")&amp;SUBSTITUTE(IF(EXACT(Overig!AL156,"—"),TEXT(Overig!AL156,""",""????0;"",""???-0;"",""????0;"", ////////////,"""),TEXT(Overig!AL156,"\, \'@""',""")&amp;REPT(" ",10-LEN(Overig!AL156))),"'","""")&amp;SUBSTITUTE(TEXT(Overig!AM156,"?00;?-00;?00;"" //"""),"'","""")&amp;SUBSTITUTE(TEXT(Overig!AN156,""",""???0;"",""??-0;"",""???0;"", ///"""),"'","""")&amp;SUBSTITUTE(TEXT(Overig!AO156,""",""?00;"",""?-00;"",""?00;"", //"""),"'","""")</f>
        <v>78989, 19130604, 0800, ////, 07, /////, 07, ////, 07, /////, 07, ////, 07, ////, 07, ////, 07, ////, 07, ///, 07, ///, 07, ////, 07, ////, 07, ///, 07, ////, 07, ////, 07, ///, 07, //, 07, ////////////, 07, ///, 07</v>
      </c>
    </row>
    <row r="157" spans="1:1" x14ac:dyDescent="0.25">
      <c r="A157" s="75" t="str">
        <f ca="1">TEXT(Overig!A157,"000\,")&amp;TEXT(Overig!B157,"?00000000")&amp;TEXT(Overig!C157,""", ""0000")&amp;SUBSTITUTE(TEXT(IF(ISTEXT(Overig!D157),Overig!D157,10*Overig!D157),""",""????0;"",""???-0;"",""????0;"", ////"""),"'","""")&amp;SUBSTITUTE(TEXT(Overig!E157,""",""?00;"",""?-00;"",""?00;"", //"""),"'","""")&amp;SUBSTITUTE(TEXT(IF(ISTEXT(Overig!F157),Overig!F157,100*Overig!F157),""",""?????0;"",""????-0;"",""?????0;"", /////"""),"'","""")&amp;SUBSTITUTE(TEXT(Overig!G157,""",""?00;"",""?-00;"",""?00;"", //"""),"'","""")&amp;SUBSTITUTE(TEXT(IF(ISTEXT(Overig!H157),Overig!H157,100*Overig!H157),""",""????0;"",""???-0;"",""????0;"", ////"""),"'","""")&amp;SUBSTITUTE(TEXT(Overig!I157,""",""?00;"",""?-00;"",""?00;"", //"""),"'","""")&amp;SUBSTITUTE(TEXT(IF(ISTEXT(Overig!J157),Overig!J157,100*Overig!J157),""",""?????0;"",""????-0;"",""?????0;"", /////"""),"'","""")&amp;SUBSTITUTE(TEXT(Overig!K157,""",""?00;"",""?-00;"",""?00;"", //"""),"'","""")&amp;SUBSTITUTE(TEXT(IF(ISTEXT(Overig!L157),Overig!L157,10*Overig!L157),""",""????0;"",""???-0;"",""????0;"", ////"""),"'","""")&amp;SUBSTITUTE(TEXT(Overig!M157,""",""?00;"",""?-00;"",""?00;"", //"""),"'","""")&amp;SUBSTITUTE(TEXT(IF(ISTEXT(Overig!N157),Overig!N157,10*Overig!N157),""",""????0;"",""???-0;"",""????0;"", ////"""),"'","""")&amp;SUBSTITUTE(TEXT(Overig!O157,""",""?00;"",""?-00;"",""?00;"", //"""),"'","""")&amp;SUBSTITUTE(TEXT(IF(ISTEXT(Overig!P157),Overig!P157,10*Overig!P157),""",""????0;"",""???-0;"",""????0;"", ////"""),"'","""")&amp;SUBSTITUTE(TEXT(Overig!Q157,""",""?00;"",""?-00;"",""?00;"", //"""),"'","""")&amp;SUBSTITUTE(TEXT(IF(ISTEXT(Overig!R157),Overig!R157,10*Overig!R157),""",""????0;"",""???-0;"",""????0;"", ////"""),"'","""")&amp;SUBSTITUTE(TEXT(Overig!S157,""",""?00;"",""?-00;"",""?00;"", //"""),"'","""")&amp;SUBSTITUTE(TEXT(Overig!T157,""",""???0;"",""??-0;"",""???0;"", ///"""),"'","""")&amp;SUBSTITUTE(TEXT(Overig!U157,""",""?00;"",""?-00;"",""?00;"", //"""),"'","""")&amp;SUBSTITUTE(TEXT(IF(ISTEXT(Overig!V157),Overig!V157,10*Overig!V157),""",""???0;"",""??-0;"",""???0;"", ///"""),"'","""")&amp;SUBSTITUTE(TEXT(Overig!W157,""",""?00;"",""?-00;"",""?00;"", //"""),"'","""")&amp;SUBSTITUTE(TEXT(IF(ISTEXT(Overig!X157),Overig!X157,10*Overig!X157),""",""????0;"",""???-0;"",""????0;"", ////"""),"'","""")&amp;SUBSTITUTE(TEXT(Overig!Y157,""",""?00;"",""?-00;"",""?00;"", //"""),"'","""")&amp;SUBSTITUTE(TEXT(IF(ISTEXT(Overig!Z157),Overig!Z157,10*Overig!Z157),""",""????0;"",""???-0;"",""????0;"", ////"""),"'","""")&amp;SUBSTITUTE(TEXT(Overig!AA157,""",""?00;"",""?-00;"",""?00;"", //"""),"'","""")&amp;SUBSTITUTE(TEXT(Overig!AB157,""",""???0;"",""??-0;"",""???0;"", ///"""),"'","""")&amp;SUBSTITUTE(TEXT(Overig!AC157,""",""?00;"",""?-00;"",""?00;"", //"""),"'","""")&amp;SUBSTITUTE(TEXT(IF(ISTEXT(Overig!AD157),Overig!AD157,10*Overig!AD157),""",""????0;"",""???-0;"",""????0;"", ////"""),"'","""")&amp;SUBSTITUTE(TEXT(Overig!AE157,""",""?00;"",""?-00;"",""?00;"", //"""),"'","""")&amp;SUBSTITUTE(TEXT(IF(ISTEXT(Overig!AF157),Overig!AF157,10*Overig!AF157),""",""????0;"",""???-0;"",""????0;"", ////"""),"'","""")&amp;SUBSTITUTE(TEXT(Overig!AG157,""",""?00;"",""?-00;"",""?00;"", //"""),"'","""")&amp;SUBSTITUTE(TEXT(Overig!AH157,""",""???0;"",""??-0;"",""???0;"", ///"""),"'","""")&amp;SUBSTITUTE(TEXT(Overig!AI157,""",""?00;"",""?-00;"",""?00;"", //"""),"'","""")&amp;SUBSTITUTE(TEXT(Overig!AJ157,""",""??0;"",""?-0;"",""??0;"", //"""),"'","""")&amp;SUBSTITUTE(TEXT(Overig!AK157,""",""?00;"",""?-00;"",""?00;"", //"""),"'","""")&amp;SUBSTITUTE(IF(EXACT(Overig!AL157,"—"),TEXT(Overig!AL157,""",""????0;"",""???-0;"",""????0;"", ////////////,"""),TEXT(Overig!AL157,"\, \'@""',""")&amp;REPT(" ",10-LEN(Overig!AL157))),"'","""")&amp;SUBSTITUTE(TEXT(Overig!AM157,"?00;?-00;?00;"" //"""),"'","""")&amp;SUBSTITUTE(TEXT(Overig!AN157,""",""???0;"",""??-0;"",""???0;"", ///"""),"'","""")&amp;SUBSTITUTE(TEXT(Overig!AO157,""",""?00;"",""?-00;"",""?00;"", //"""),"'","""")</f>
        <v>78989, 19130605, 0800, ////, 07, /////, 07, ////, 07, /////, 07, ////, 07, ////, 07, ////, 07, ////, 07, ///, 07, ///, 07, ////, 07, ////, 07, ///, 07, ////, 07, ////, 07, ///, 07, //, 07, ////////////, 07, ///, 07</v>
      </c>
    </row>
    <row r="158" spans="1:1" x14ac:dyDescent="0.25">
      <c r="A158" s="75" t="str">
        <f ca="1">TEXT(Overig!A158,"000\,")&amp;TEXT(Overig!B158,"?00000000")&amp;TEXT(Overig!C158,""", ""0000")&amp;SUBSTITUTE(TEXT(IF(ISTEXT(Overig!D158),Overig!D158,10*Overig!D158),""",""????0;"",""???-0;"",""????0;"", ////"""),"'","""")&amp;SUBSTITUTE(TEXT(Overig!E158,""",""?00;"",""?-00;"",""?00;"", //"""),"'","""")&amp;SUBSTITUTE(TEXT(IF(ISTEXT(Overig!F158),Overig!F158,100*Overig!F158),""",""?????0;"",""????-0;"",""?????0;"", /////"""),"'","""")&amp;SUBSTITUTE(TEXT(Overig!G158,""",""?00;"",""?-00;"",""?00;"", //"""),"'","""")&amp;SUBSTITUTE(TEXT(IF(ISTEXT(Overig!H158),Overig!H158,100*Overig!H158),""",""????0;"",""???-0;"",""????0;"", ////"""),"'","""")&amp;SUBSTITUTE(TEXT(Overig!I158,""",""?00;"",""?-00;"",""?00;"", //"""),"'","""")&amp;SUBSTITUTE(TEXT(IF(ISTEXT(Overig!J158),Overig!J158,100*Overig!J158),""",""?????0;"",""????-0;"",""?????0;"", /////"""),"'","""")&amp;SUBSTITUTE(TEXT(Overig!K158,""",""?00;"",""?-00;"",""?00;"", //"""),"'","""")&amp;SUBSTITUTE(TEXT(IF(ISTEXT(Overig!L158),Overig!L158,10*Overig!L158),""",""????0;"",""???-0;"",""????0;"", ////"""),"'","""")&amp;SUBSTITUTE(TEXT(Overig!M158,""",""?00;"",""?-00;"",""?00;"", //"""),"'","""")&amp;SUBSTITUTE(TEXT(IF(ISTEXT(Overig!N158),Overig!N158,10*Overig!N158),""",""????0;"",""???-0;"",""????0;"", ////"""),"'","""")&amp;SUBSTITUTE(TEXT(Overig!O158,""",""?00;"",""?-00;"",""?00;"", //"""),"'","""")&amp;SUBSTITUTE(TEXT(IF(ISTEXT(Overig!P158),Overig!P158,10*Overig!P158),""",""????0;"",""???-0;"",""????0;"", ////"""),"'","""")&amp;SUBSTITUTE(TEXT(Overig!Q158,""",""?00;"",""?-00;"",""?00;"", //"""),"'","""")&amp;SUBSTITUTE(TEXT(IF(ISTEXT(Overig!R158),Overig!R158,10*Overig!R158),""",""????0;"",""???-0;"",""????0;"", ////"""),"'","""")&amp;SUBSTITUTE(TEXT(Overig!S158,""",""?00;"",""?-00;"",""?00;"", //"""),"'","""")&amp;SUBSTITUTE(TEXT(Overig!T158,""",""???0;"",""??-0;"",""???0;"", ///"""),"'","""")&amp;SUBSTITUTE(TEXT(Overig!U158,""",""?00;"",""?-00;"",""?00;"", //"""),"'","""")&amp;SUBSTITUTE(TEXT(IF(ISTEXT(Overig!V158),Overig!V158,10*Overig!V158),""",""???0;"",""??-0;"",""???0;"", ///"""),"'","""")&amp;SUBSTITUTE(TEXT(Overig!W158,""",""?00;"",""?-00;"",""?00;"", //"""),"'","""")&amp;SUBSTITUTE(TEXT(IF(ISTEXT(Overig!X158),Overig!X158,10*Overig!X158),""",""????0;"",""???-0;"",""????0;"", ////"""),"'","""")&amp;SUBSTITUTE(TEXT(Overig!Y158,""",""?00;"",""?-00;"",""?00;"", //"""),"'","""")&amp;SUBSTITUTE(TEXT(IF(ISTEXT(Overig!Z158),Overig!Z158,10*Overig!Z158),""",""????0;"",""???-0;"",""????0;"", ////"""),"'","""")&amp;SUBSTITUTE(TEXT(Overig!AA158,""",""?00;"",""?-00;"",""?00;"", //"""),"'","""")&amp;SUBSTITUTE(TEXT(Overig!AB158,""",""???0;"",""??-0;"",""???0;"", ///"""),"'","""")&amp;SUBSTITUTE(TEXT(Overig!AC158,""",""?00;"",""?-00;"",""?00;"", //"""),"'","""")&amp;SUBSTITUTE(TEXT(IF(ISTEXT(Overig!AD158),Overig!AD158,10*Overig!AD158),""",""????0;"",""???-0;"",""????0;"", ////"""),"'","""")&amp;SUBSTITUTE(TEXT(Overig!AE158,""",""?00;"",""?-00;"",""?00;"", //"""),"'","""")&amp;SUBSTITUTE(TEXT(IF(ISTEXT(Overig!AF158),Overig!AF158,10*Overig!AF158),""",""????0;"",""???-0;"",""????0;"", ////"""),"'","""")&amp;SUBSTITUTE(TEXT(Overig!AG158,""",""?00;"",""?-00;"",""?00;"", //"""),"'","""")&amp;SUBSTITUTE(TEXT(Overig!AH158,""",""???0;"",""??-0;"",""???0;"", ///"""),"'","""")&amp;SUBSTITUTE(TEXT(Overig!AI158,""",""?00;"",""?-00;"",""?00;"", //"""),"'","""")&amp;SUBSTITUTE(TEXT(Overig!AJ158,""",""??0;"",""?-0;"",""??0;"", //"""),"'","""")&amp;SUBSTITUTE(TEXT(Overig!AK158,""",""?00;"",""?-00;"",""?00;"", //"""),"'","""")&amp;SUBSTITUTE(IF(EXACT(Overig!AL158,"—"),TEXT(Overig!AL158,""",""????0;"",""???-0;"",""????0;"", ////////////,"""),TEXT(Overig!AL158,"\, \'@""',""")&amp;REPT(" ",10-LEN(Overig!AL158))),"'","""")&amp;SUBSTITUTE(TEXT(Overig!AM158,"?00;?-00;?00;"" //"""),"'","""")&amp;SUBSTITUTE(TEXT(Overig!AN158,""",""???0;"",""??-0;"",""???0;"", ///"""),"'","""")&amp;SUBSTITUTE(TEXT(Overig!AO158,""",""?00;"",""?-00;"",""?00;"", //"""),"'","""")</f>
        <v>78989, 19130606, 0800, ////, 07, /////, 07, ////, 07, /////, 07, ////, 07, ////, 07, ////, 07, ////, 07, ///, 07, ///, 07, ////, 07, ////, 07, ///, 07, ////, 07, ////, 07, ///, 07, //, 07, ////////////, 07, ///, 07</v>
      </c>
    </row>
    <row r="159" spans="1:1" x14ac:dyDescent="0.25">
      <c r="A159" s="75" t="str">
        <f ca="1">TEXT(Overig!A159,"000\,")&amp;TEXT(Overig!B159,"?00000000")&amp;TEXT(Overig!C159,""", ""0000")&amp;SUBSTITUTE(TEXT(IF(ISTEXT(Overig!D159),Overig!D159,10*Overig!D159),""",""????0;"",""???-0;"",""????0;"", ////"""),"'","""")&amp;SUBSTITUTE(TEXT(Overig!E159,""",""?00;"",""?-00;"",""?00;"", //"""),"'","""")&amp;SUBSTITUTE(TEXT(IF(ISTEXT(Overig!F159),Overig!F159,100*Overig!F159),""",""?????0;"",""????-0;"",""?????0;"", /////"""),"'","""")&amp;SUBSTITUTE(TEXT(Overig!G159,""",""?00;"",""?-00;"",""?00;"", //"""),"'","""")&amp;SUBSTITUTE(TEXT(IF(ISTEXT(Overig!H159),Overig!H159,100*Overig!H159),""",""????0;"",""???-0;"",""????0;"", ////"""),"'","""")&amp;SUBSTITUTE(TEXT(Overig!I159,""",""?00;"",""?-00;"",""?00;"", //"""),"'","""")&amp;SUBSTITUTE(TEXT(IF(ISTEXT(Overig!J159),Overig!J159,100*Overig!J159),""",""?????0;"",""????-0;"",""?????0;"", /////"""),"'","""")&amp;SUBSTITUTE(TEXT(Overig!K159,""",""?00;"",""?-00;"",""?00;"", //"""),"'","""")&amp;SUBSTITUTE(TEXT(IF(ISTEXT(Overig!L159),Overig!L159,10*Overig!L159),""",""????0;"",""???-0;"",""????0;"", ////"""),"'","""")&amp;SUBSTITUTE(TEXT(Overig!M159,""",""?00;"",""?-00;"",""?00;"", //"""),"'","""")&amp;SUBSTITUTE(TEXT(IF(ISTEXT(Overig!N159),Overig!N159,10*Overig!N159),""",""????0;"",""???-0;"",""????0;"", ////"""),"'","""")&amp;SUBSTITUTE(TEXT(Overig!O159,""",""?00;"",""?-00;"",""?00;"", //"""),"'","""")&amp;SUBSTITUTE(TEXT(IF(ISTEXT(Overig!P159),Overig!P159,10*Overig!P159),""",""????0;"",""???-0;"",""????0;"", ////"""),"'","""")&amp;SUBSTITUTE(TEXT(Overig!Q159,""",""?00;"",""?-00;"",""?00;"", //"""),"'","""")&amp;SUBSTITUTE(TEXT(IF(ISTEXT(Overig!R159),Overig!R159,10*Overig!R159),""",""????0;"",""???-0;"",""????0;"", ////"""),"'","""")&amp;SUBSTITUTE(TEXT(Overig!S159,""",""?00;"",""?-00;"",""?00;"", //"""),"'","""")&amp;SUBSTITUTE(TEXT(Overig!T159,""",""???0;"",""??-0;"",""???0;"", ///"""),"'","""")&amp;SUBSTITUTE(TEXT(Overig!U159,""",""?00;"",""?-00;"",""?00;"", //"""),"'","""")&amp;SUBSTITUTE(TEXT(IF(ISTEXT(Overig!V159),Overig!V159,10*Overig!V159),""",""???0;"",""??-0;"",""???0;"", ///"""),"'","""")&amp;SUBSTITUTE(TEXT(Overig!W159,""",""?00;"",""?-00;"",""?00;"", //"""),"'","""")&amp;SUBSTITUTE(TEXT(IF(ISTEXT(Overig!X159),Overig!X159,10*Overig!X159),""",""????0;"",""???-0;"",""????0;"", ////"""),"'","""")&amp;SUBSTITUTE(TEXT(Overig!Y159,""",""?00;"",""?-00;"",""?00;"", //"""),"'","""")&amp;SUBSTITUTE(TEXT(IF(ISTEXT(Overig!Z159),Overig!Z159,10*Overig!Z159),""",""????0;"",""???-0;"",""????0;"", ////"""),"'","""")&amp;SUBSTITUTE(TEXT(Overig!AA159,""",""?00;"",""?-00;"",""?00;"", //"""),"'","""")&amp;SUBSTITUTE(TEXT(Overig!AB159,""",""???0;"",""??-0;"",""???0;"", ///"""),"'","""")&amp;SUBSTITUTE(TEXT(Overig!AC159,""",""?00;"",""?-00;"",""?00;"", //"""),"'","""")&amp;SUBSTITUTE(TEXT(IF(ISTEXT(Overig!AD159),Overig!AD159,10*Overig!AD159),""",""????0;"",""???-0;"",""????0;"", ////"""),"'","""")&amp;SUBSTITUTE(TEXT(Overig!AE159,""",""?00;"",""?-00;"",""?00;"", //"""),"'","""")&amp;SUBSTITUTE(TEXT(IF(ISTEXT(Overig!AF159),Overig!AF159,10*Overig!AF159),""",""????0;"",""???-0;"",""????0;"", ////"""),"'","""")&amp;SUBSTITUTE(TEXT(Overig!AG159,""",""?00;"",""?-00;"",""?00;"", //"""),"'","""")&amp;SUBSTITUTE(TEXT(Overig!AH159,""",""???0;"",""??-0;"",""???0;"", ///"""),"'","""")&amp;SUBSTITUTE(TEXT(Overig!AI159,""",""?00;"",""?-00;"",""?00;"", //"""),"'","""")&amp;SUBSTITUTE(TEXT(Overig!AJ159,""",""??0;"",""?-0;"",""??0;"", //"""),"'","""")&amp;SUBSTITUTE(TEXT(Overig!AK159,""",""?00;"",""?-00;"",""?00;"", //"""),"'","""")&amp;SUBSTITUTE(IF(EXACT(Overig!AL159,"—"),TEXT(Overig!AL159,""",""????0;"",""???-0;"",""????0;"", ////////////,"""),TEXT(Overig!AL159,"\, \'@""',""")&amp;REPT(" ",10-LEN(Overig!AL159))),"'","""")&amp;SUBSTITUTE(TEXT(Overig!AM159,"?00;?-00;?00;"" //"""),"'","""")&amp;SUBSTITUTE(TEXT(Overig!AN159,""",""???0;"",""??-0;"",""???0;"", ///"""),"'","""")&amp;SUBSTITUTE(TEXT(Overig!AO159,""",""?00;"",""?-00;"",""?00;"", //"""),"'","""")</f>
        <v>78989, 19130607, 0800, ////, 07, /////, 07, ////, 07, /////, 07, ////, 07, ////, 07, ////, 07, ////, 07, ///, 07, ///, 07, ////, 07, ////, 07, ///, 07, ////, 07, ////, 07, ///, 07, //, 07, ////////////, 07, ///, 07</v>
      </c>
    </row>
    <row r="160" spans="1:1" x14ac:dyDescent="0.25">
      <c r="A160" s="75" t="str">
        <f ca="1">TEXT(Overig!A160,"000\,")&amp;TEXT(Overig!B160,"?00000000")&amp;TEXT(Overig!C160,""", ""0000")&amp;SUBSTITUTE(TEXT(IF(ISTEXT(Overig!D160),Overig!D160,10*Overig!D160),""",""????0;"",""???-0;"",""????0;"", ////"""),"'","""")&amp;SUBSTITUTE(TEXT(Overig!E160,""",""?00;"",""?-00;"",""?00;"", //"""),"'","""")&amp;SUBSTITUTE(TEXT(IF(ISTEXT(Overig!F160),Overig!F160,100*Overig!F160),""",""?????0;"",""????-0;"",""?????0;"", /////"""),"'","""")&amp;SUBSTITUTE(TEXT(Overig!G160,""",""?00;"",""?-00;"",""?00;"", //"""),"'","""")&amp;SUBSTITUTE(TEXT(IF(ISTEXT(Overig!H160),Overig!H160,100*Overig!H160),""",""????0;"",""???-0;"",""????0;"", ////"""),"'","""")&amp;SUBSTITUTE(TEXT(Overig!I160,""",""?00;"",""?-00;"",""?00;"", //"""),"'","""")&amp;SUBSTITUTE(TEXT(IF(ISTEXT(Overig!J160),Overig!J160,100*Overig!J160),""",""?????0;"",""????-0;"",""?????0;"", /////"""),"'","""")&amp;SUBSTITUTE(TEXT(Overig!K160,""",""?00;"",""?-00;"",""?00;"", //"""),"'","""")&amp;SUBSTITUTE(TEXT(IF(ISTEXT(Overig!L160),Overig!L160,10*Overig!L160),""",""????0;"",""???-0;"",""????0;"", ////"""),"'","""")&amp;SUBSTITUTE(TEXT(Overig!M160,""",""?00;"",""?-00;"",""?00;"", //"""),"'","""")&amp;SUBSTITUTE(TEXT(IF(ISTEXT(Overig!N160),Overig!N160,10*Overig!N160),""",""????0;"",""???-0;"",""????0;"", ////"""),"'","""")&amp;SUBSTITUTE(TEXT(Overig!O160,""",""?00;"",""?-00;"",""?00;"", //"""),"'","""")&amp;SUBSTITUTE(TEXT(IF(ISTEXT(Overig!P160),Overig!P160,10*Overig!P160),""",""????0;"",""???-0;"",""????0;"", ////"""),"'","""")&amp;SUBSTITUTE(TEXT(Overig!Q160,""",""?00;"",""?-00;"",""?00;"", //"""),"'","""")&amp;SUBSTITUTE(TEXT(IF(ISTEXT(Overig!R160),Overig!R160,10*Overig!R160),""",""????0;"",""???-0;"",""????0;"", ////"""),"'","""")&amp;SUBSTITUTE(TEXT(Overig!S160,""",""?00;"",""?-00;"",""?00;"", //"""),"'","""")&amp;SUBSTITUTE(TEXT(Overig!T160,""",""???0;"",""??-0;"",""???0;"", ///"""),"'","""")&amp;SUBSTITUTE(TEXT(Overig!U160,""",""?00;"",""?-00;"",""?00;"", //"""),"'","""")&amp;SUBSTITUTE(TEXT(IF(ISTEXT(Overig!V160),Overig!V160,10*Overig!V160),""",""???0;"",""??-0;"",""???0;"", ///"""),"'","""")&amp;SUBSTITUTE(TEXT(Overig!W160,""",""?00;"",""?-00;"",""?00;"", //"""),"'","""")&amp;SUBSTITUTE(TEXT(IF(ISTEXT(Overig!X160),Overig!X160,10*Overig!X160),""",""????0;"",""???-0;"",""????0;"", ////"""),"'","""")&amp;SUBSTITUTE(TEXT(Overig!Y160,""",""?00;"",""?-00;"",""?00;"", //"""),"'","""")&amp;SUBSTITUTE(TEXT(IF(ISTEXT(Overig!Z160),Overig!Z160,10*Overig!Z160),""",""????0;"",""???-0;"",""????0;"", ////"""),"'","""")&amp;SUBSTITUTE(TEXT(Overig!AA160,""",""?00;"",""?-00;"",""?00;"", //"""),"'","""")&amp;SUBSTITUTE(TEXT(Overig!AB160,""",""???0;"",""??-0;"",""???0;"", ///"""),"'","""")&amp;SUBSTITUTE(TEXT(Overig!AC160,""",""?00;"",""?-00;"",""?00;"", //"""),"'","""")&amp;SUBSTITUTE(TEXT(IF(ISTEXT(Overig!AD160),Overig!AD160,10*Overig!AD160),""",""????0;"",""???-0;"",""????0;"", ////"""),"'","""")&amp;SUBSTITUTE(TEXT(Overig!AE160,""",""?00;"",""?-00;"",""?00;"", //"""),"'","""")&amp;SUBSTITUTE(TEXT(IF(ISTEXT(Overig!AF160),Overig!AF160,10*Overig!AF160),""",""????0;"",""???-0;"",""????0;"", ////"""),"'","""")&amp;SUBSTITUTE(TEXT(Overig!AG160,""",""?00;"",""?-00;"",""?00;"", //"""),"'","""")&amp;SUBSTITUTE(TEXT(Overig!AH160,""",""???0;"",""??-0;"",""???0;"", ///"""),"'","""")&amp;SUBSTITUTE(TEXT(Overig!AI160,""",""?00;"",""?-00;"",""?00;"", //"""),"'","""")&amp;SUBSTITUTE(TEXT(Overig!AJ160,""",""??0;"",""?-0;"",""??0;"", //"""),"'","""")&amp;SUBSTITUTE(TEXT(Overig!AK160,""",""?00;"",""?-00;"",""?00;"", //"""),"'","""")&amp;SUBSTITUTE(IF(EXACT(Overig!AL160,"—"),TEXT(Overig!AL160,""",""????0;"",""???-0;"",""????0;"", ////////////,"""),TEXT(Overig!AL160,"\, \'@""',""")&amp;REPT(" ",10-LEN(Overig!AL160))),"'","""")&amp;SUBSTITUTE(TEXT(Overig!AM160,"?00;?-00;?00;"" //"""),"'","""")&amp;SUBSTITUTE(TEXT(Overig!AN160,""",""???0;"",""??-0;"",""???0;"", ///"""),"'","""")&amp;SUBSTITUTE(TEXT(Overig!AO160,""",""?00;"",""?-00;"",""?00;"", //"""),"'","""")</f>
        <v>78989, 19130608, 0800, ////, 07, /////, 07, ////, 07, /////, 07, ////, 07, ////, 07, ////, 07, ////, 07, ///, 07, ///, 07, ////, 07, ////, 07, ///, 07, ////, 07, ////, 07, ///, 07, //, 07, ////////////, 07, ///, 07</v>
      </c>
    </row>
    <row r="161" spans="1:1" x14ac:dyDescent="0.25">
      <c r="A161" s="75" t="str">
        <f ca="1">TEXT(Overig!A161,"000\,")&amp;TEXT(Overig!B161,"?00000000")&amp;TEXT(Overig!C161,""", ""0000")&amp;SUBSTITUTE(TEXT(IF(ISTEXT(Overig!D161),Overig!D161,10*Overig!D161),""",""????0;"",""???-0;"",""????0;"", ////"""),"'","""")&amp;SUBSTITUTE(TEXT(Overig!E161,""",""?00;"",""?-00;"",""?00;"", //"""),"'","""")&amp;SUBSTITUTE(TEXT(IF(ISTEXT(Overig!F161),Overig!F161,100*Overig!F161),""",""?????0;"",""????-0;"",""?????0;"", /////"""),"'","""")&amp;SUBSTITUTE(TEXT(Overig!G161,""",""?00;"",""?-00;"",""?00;"", //"""),"'","""")&amp;SUBSTITUTE(TEXT(IF(ISTEXT(Overig!H161),Overig!H161,100*Overig!H161),""",""????0;"",""???-0;"",""????0;"", ////"""),"'","""")&amp;SUBSTITUTE(TEXT(Overig!I161,""",""?00;"",""?-00;"",""?00;"", //"""),"'","""")&amp;SUBSTITUTE(TEXT(IF(ISTEXT(Overig!J161),Overig!J161,100*Overig!J161),""",""?????0;"",""????-0;"",""?????0;"", /////"""),"'","""")&amp;SUBSTITUTE(TEXT(Overig!K161,""",""?00;"",""?-00;"",""?00;"", //"""),"'","""")&amp;SUBSTITUTE(TEXT(IF(ISTEXT(Overig!L161),Overig!L161,10*Overig!L161),""",""????0;"",""???-0;"",""????0;"", ////"""),"'","""")&amp;SUBSTITUTE(TEXT(Overig!M161,""",""?00;"",""?-00;"",""?00;"", //"""),"'","""")&amp;SUBSTITUTE(TEXT(IF(ISTEXT(Overig!N161),Overig!N161,10*Overig!N161),""",""????0;"",""???-0;"",""????0;"", ////"""),"'","""")&amp;SUBSTITUTE(TEXT(Overig!O161,""",""?00;"",""?-00;"",""?00;"", //"""),"'","""")&amp;SUBSTITUTE(TEXT(IF(ISTEXT(Overig!P161),Overig!P161,10*Overig!P161),""",""????0;"",""???-0;"",""????0;"", ////"""),"'","""")&amp;SUBSTITUTE(TEXT(Overig!Q161,""",""?00;"",""?-00;"",""?00;"", //"""),"'","""")&amp;SUBSTITUTE(TEXT(IF(ISTEXT(Overig!R161),Overig!R161,10*Overig!R161),""",""????0;"",""???-0;"",""????0;"", ////"""),"'","""")&amp;SUBSTITUTE(TEXT(Overig!S161,""",""?00;"",""?-00;"",""?00;"", //"""),"'","""")&amp;SUBSTITUTE(TEXT(Overig!T161,""",""???0;"",""??-0;"",""???0;"", ///"""),"'","""")&amp;SUBSTITUTE(TEXT(Overig!U161,""",""?00;"",""?-00;"",""?00;"", //"""),"'","""")&amp;SUBSTITUTE(TEXT(IF(ISTEXT(Overig!V161),Overig!V161,10*Overig!V161),""",""???0;"",""??-0;"",""???0;"", ///"""),"'","""")&amp;SUBSTITUTE(TEXT(Overig!W161,""",""?00;"",""?-00;"",""?00;"", //"""),"'","""")&amp;SUBSTITUTE(TEXT(IF(ISTEXT(Overig!X161),Overig!X161,10*Overig!X161),""",""????0;"",""???-0;"",""????0;"", ////"""),"'","""")&amp;SUBSTITUTE(TEXT(Overig!Y161,""",""?00;"",""?-00;"",""?00;"", //"""),"'","""")&amp;SUBSTITUTE(TEXT(IF(ISTEXT(Overig!Z161),Overig!Z161,10*Overig!Z161),""",""????0;"",""???-0;"",""????0;"", ////"""),"'","""")&amp;SUBSTITUTE(TEXT(Overig!AA161,""",""?00;"",""?-00;"",""?00;"", //"""),"'","""")&amp;SUBSTITUTE(TEXT(Overig!AB161,""",""???0;"",""??-0;"",""???0;"", ///"""),"'","""")&amp;SUBSTITUTE(TEXT(Overig!AC161,""",""?00;"",""?-00;"",""?00;"", //"""),"'","""")&amp;SUBSTITUTE(TEXT(IF(ISTEXT(Overig!AD161),Overig!AD161,10*Overig!AD161),""",""????0;"",""???-0;"",""????0;"", ////"""),"'","""")&amp;SUBSTITUTE(TEXT(Overig!AE161,""",""?00;"",""?-00;"",""?00;"", //"""),"'","""")&amp;SUBSTITUTE(TEXT(IF(ISTEXT(Overig!AF161),Overig!AF161,10*Overig!AF161),""",""????0;"",""???-0;"",""????0;"", ////"""),"'","""")&amp;SUBSTITUTE(TEXT(Overig!AG161,""",""?00;"",""?-00;"",""?00;"", //"""),"'","""")&amp;SUBSTITUTE(TEXT(Overig!AH161,""",""???0;"",""??-0;"",""???0;"", ///"""),"'","""")&amp;SUBSTITUTE(TEXT(Overig!AI161,""",""?00;"",""?-00;"",""?00;"", //"""),"'","""")&amp;SUBSTITUTE(TEXT(Overig!AJ161,""",""??0;"",""?-0;"",""??0;"", //"""),"'","""")&amp;SUBSTITUTE(TEXT(Overig!AK161,""",""?00;"",""?-00;"",""?00;"", //"""),"'","""")&amp;SUBSTITUTE(IF(EXACT(Overig!AL161,"—"),TEXT(Overig!AL161,""",""????0;"",""???-0;"",""????0;"", ////////////,"""),TEXT(Overig!AL161,"\, \'@""',""")&amp;REPT(" ",10-LEN(Overig!AL161))),"'","""")&amp;SUBSTITUTE(TEXT(Overig!AM161,"?00;?-00;?00;"" //"""),"'","""")&amp;SUBSTITUTE(TEXT(Overig!AN161,""",""???0;"",""??-0;"",""???0;"", ///"""),"'","""")&amp;SUBSTITUTE(TEXT(Overig!AO161,""",""?00;"",""?-00;"",""?00;"", //"""),"'","""")</f>
        <v>78989, 19130609, 0800, ////, 07, /////, 07, ////, 07, /////, 07, ////, 07, ////, 07, ////, 07, ////, 07, ///, 07, ///, 07, ////, 07, ////, 07, ///, 07, ////, 07, ////, 07, ///, 07, //, 07, ////////////, 07, ///, 07</v>
      </c>
    </row>
    <row r="162" spans="1:1" x14ac:dyDescent="0.25">
      <c r="A162" s="75" t="str">
        <f ca="1">TEXT(Overig!A162,"000\,")&amp;TEXT(Overig!B162,"?00000000")&amp;TEXT(Overig!C162,""", ""0000")&amp;SUBSTITUTE(TEXT(IF(ISTEXT(Overig!D162),Overig!D162,10*Overig!D162),""",""????0;"",""???-0;"",""????0;"", ////"""),"'","""")&amp;SUBSTITUTE(TEXT(Overig!E162,""",""?00;"",""?-00;"",""?00;"", //"""),"'","""")&amp;SUBSTITUTE(TEXT(IF(ISTEXT(Overig!F162),Overig!F162,100*Overig!F162),""",""?????0;"",""????-0;"",""?????0;"", /////"""),"'","""")&amp;SUBSTITUTE(TEXT(Overig!G162,""",""?00;"",""?-00;"",""?00;"", //"""),"'","""")&amp;SUBSTITUTE(TEXT(IF(ISTEXT(Overig!H162),Overig!H162,100*Overig!H162),""",""????0;"",""???-0;"",""????0;"", ////"""),"'","""")&amp;SUBSTITUTE(TEXT(Overig!I162,""",""?00;"",""?-00;"",""?00;"", //"""),"'","""")&amp;SUBSTITUTE(TEXT(IF(ISTEXT(Overig!J162),Overig!J162,100*Overig!J162),""",""?????0;"",""????-0;"",""?????0;"", /////"""),"'","""")&amp;SUBSTITUTE(TEXT(Overig!K162,""",""?00;"",""?-00;"",""?00;"", //"""),"'","""")&amp;SUBSTITUTE(TEXT(IF(ISTEXT(Overig!L162),Overig!L162,10*Overig!L162),""",""????0;"",""???-0;"",""????0;"", ////"""),"'","""")&amp;SUBSTITUTE(TEXT(Overig!M162,""",""?00;"",""?-00;"",""?00;"", //"""),"'","""")&amp;SUBSTITUTE(TEXT(IF(ISTEXT(Overig!N162),Overig!N162,10*Overig!N162),""",""????0;"",""???-0;"",""????0;"", ////"""),"'","""")&amp;SUBSTITUTE(TEXT(Overig!O162,""",""?00;"",""?-00;"",""?00;"", //"""),"'","""")&amp;SUBSTITUTE(TEXT(IF(ISTEXT(Overig!P162),Overig!P162,10*Overig!P162),""",""????0;"",""???-0;"",""????0;"", ////"""),"'","""")&amp;SUBSTITUTE(TEXT(Overig!Q162,""",""?00;"",""?-00;"",""?00;"", //"""),"'","""")&amp;SUBSTITUTE(TEXT(IF(ISTEXT(Overig!R162),Overig!R162,10*Overig!R162),""",""????0;"",""???-0;"",""????0;"", ////"""),"'","""")&amp;SUBSTITUTE(TEXT(Overig!S162,""",""?00;"",""?-00;"",""?00;"", //"""),"'","""")&amp;SUBSTITUTE(TEXT(Overig!T162,""",""???0;"",""??-0;"",""???0;"", ///"""),"'","""")&amp;SUBSTITUTE(TEXT(Overig!U162,""",""?00;"",""?-00;"",""?00;"", //"""),"'","""")&amp;SUBSTITUTE(TEXT(IF(ISTEXT(Overig!V162),Overig!V162,10*Overig!V162),""",""???0;"",""??-0;"",""???0;"", ///"""),"'","""")&amp;SUBSTITUTE(TEXT(Overig!W162,""",""?00;"",""?-00;"",""?00;"", //"""),"'","""")&amp;SUBSTITUTE(TEXT(IF(ISTEXT(Overig!X162),Overig!X162,10*Overig!X162),""",""????0;"",""???-0;"",""????0;"", ////"""),"'","""")&amp;SUBSTITUTE(TEXT(Overig!Y162,""",""?00;"",""?-00;"",""?00;"", //"""),"'","""")&amp;SUBSTITUTE(TEXT(IF(ISTEXT(Overig!Z162),Overig!Z162,10*Overig!Z162),""",""????0;"",""???-0;"",""????0;"", ////"""),"'","""")&amp;SUBSTITUTE(TEXT(Overig!AA162,""",""?00;"",""?-00;"",""?00;"", //"""),"'","""")&amp;SUBSTITUTE(TEXT(Overig!AB162,""",""???0;"",""??-0;"",""???0;"", ///"""),"'","""")&amp;SUBSTITUTE(TEXT(Overig!AC162,""",""?00;"",""?-00;"",""?00;"", //"""),"'","""")&amp;SUBSTITUTE(TEXT(IF(ISTEXT(Overig!AD162),Overig!AD162,10*Overig!AD162),""",""????0;"",""???-0;"",""????0;"", ////"""),"'","""")&amp;SUBSTITUTE(TEXT(Overig!AE162,""",""?00;"",""?-00;"",""?00;"", //"""),"'","""")&amp;SUBSTITUTE(TEXT(IF(ISTEXT(Overig!AF162),Overig!AF162,10*Overig!AF162),""",""????0;"",""???-0;"",""????0;"", ////"""),"'","""")&amp;SUBSTITUTE(TEXT(Overig!AG162,""",""?00;"",""?-00;"",""?00;"", //"""),"'","""")&amp;SUBSTITUTE(TEXT(Overig!AH162,""",""???0;"",""??-0;"",""???0;"", ///"""),"'","""")&amp;SUBSTITUTE(TEXT(Overig!AI162,""",""?00;"",""?-00;"",""?00;"", //"""),"'","""")&amp;SUBSTITUTE(TEXT(Overig!AJ162,""",""??0;"",""?-0;"",""??0;"", //"""),"'","""")&amp;SUBSTITUTE(TEXT(Overig!AK162,""",""?00;"",""?-00;"",""?00;"", //"""),"'","""")&amp;SUBSTITUTE(IF(EXACT(Overig!AL162,"—"),TEXT(Overig!AL162,""",""????0;"",""???-0;"",""????0;"", ////////////,"""),TEXT(Overig!AL162,"\, \'@""',""")&amp;REPT(" ",10-LEN(Overig!AL162))),"'","""")&amp;SUBSTITUTE(TEXT(Overig!AM162,"?00;?-00;?00;"" //"""),"'","""")&amp;SUBSTITUTE(TEXT(Overig!AN162,""",""???0;"",""??-0;"",""???0;"", ///"""),"'","""")&amp;SUBSTITUTE(TEXT(Overig!AO162,""",""?00;"",""?-00;"",""?00;"", //"""),"'","""")</f>
        <v>78989, 19130610, 0800, ////, 07, /////, 07, ////, 07, /////, 07, ////, 07, ////, 07, ////, 07, ////, 07, ///, 07, ///, 07, ////, 07, ////, 07, ///, 07, ////, 07, ////, 07, ///, 07, //, 07, ////////////, 07, ///, 07</v>
      </c>
    </row>
    <row r="163" spans="1:1" x14ac:dyDescent="0.25">
      <c r="A163" s="75" t="str">
        <f ca="1">TEXT(Overig!A163,"000\,")&amp;TEXT(Overig!B163,"?00000000")&amp;TEXT(Overig!C163,""", ""0000")&amp;SUBSTITUTE(TEXT(IF(ISTEXT(Overig!D163),Overig!D163,10*Overig!D163),""",""????0;"",""???-0;"",""????0;"", ////"""),"'","""")&amp;SUBSTITUTE(TEXT(Overig!E163,""",""?00;"",""?-00;"",""?00;"", //"""),"'","""")&amp;SUBSTITUTE(TEXT(IF(ISTEXT(Overig!F163),Overig!F163,100*Overig!F163),""",""?????0;"",""????-0;"",""?????0;"", /////"""),"'","""")&amp;SUBSTITUTE(TEXT(Overig!G163,""",""?00;"",""?-00;"",""?00;"", //"""),"'","""")&amp;SUBSTITUTE(TEXT(IF(ISTEXT(Overig!H163),Overig!H163,100*Overig!H163),""",""????0;"",""???-0;"",""????0;"", ////"""),"'","""")&amp;SUBSTITUTE(TEXT(Overig!I163,""",""?00;"",""?-00;"",""?00;"", //"""),"'","""")&amp;SUBSTITUTE(TEXT(IF(ISTEXT(Overig!J163),Overig!J163,100*Overig!J163),""",""?????0;"",""????-0;"",""?????0;"", /////"""),"'","""")&amp;SUBSTITUTE(TEXT(Overig!K163,""",""?00;"",""?-00;"",""?00;"", //"""),"'","""")&amp;SUBSTITUTE(TEXT(IF(ISTEXT(Overig!L163),Overig!L163,10*Overig!L163),""",""????0;"",""???-0;"",""????0;"", ////"""),"'","""")&amp;SUBSTITUTE(TEXT(Overig!M163,""",""?00;"",""?-00;"",""?00;"", //"""),"'","""")&amp;SUBSTITUTE(TEXT(IF(ISTEXT(Overig!N163),Overig!N163,10*Overig!N163),""",""????0;"",""???-0;"",""????0;"", ////"""),"'","""")&amp;SUBSTITUTE(TEXT(Overig!O163,""",""?00;"",""?-00;"",""?00;"", //"""),"'","""")&amp;SUBSTITUTE(TEXT(IF(ISTEXT(Overig!P163),Overig!P163,10*Overig!P163),""",""????0;"",""???-0;"",""????0;"", ////"""),"'","""")&amp;SUBSTITUTE(TEXT(Overig!Q163,""",""?00;"",""?-00;"",""?00;"", //"""),"'","""")&amp;SUBSTITUTE(TEXT(IF(ISTEXT(Overig!R163),Overig!R163,10*Overig!R163),""",""????0;"",""???-0;"",""????0;"", ////"""),"'","""")&amp;SUBSTITUTE(TEXT(Overig!S163,""",""?00;"",""?-00;"",""?00;"", //"""),"'","""")&amp;SUBSTITUTE(TEXT(Overig!T163,""",""???0;"",""??-0;"",""???0;"", ///"""),"'","""")&amp;SUBSTITUTE(TEXT(Overig!U163,""",""?00;"",""?-00;"",""?00;"", //"""),"'","""")&amp;SUBSTITUTE(TEXT(IF(ISTEXT(Overig!V163),Overig!V163,10*Overig!V163),""",""???0;"",""??-0;"",""???0;"", ///"""),"'","""")&amp;SUBSTITUTE(TEXT(Overig!W163,""",""?00;"",""?-00;"",""?00;"", //"""),"'","""")&amp;SUBSTITUTE(TEXT(IF(ISTEXT(Overig!X163),Overig!X163,10*Overig!X163),""",""????0;"",""???-0;"",""????0;"", ////"""),"'","""")&amp;SUBSTITUTE(TEXT(Overig!Y163,""",""?00;"",""?-00;"",""?00;"", //"""),"'","""")&amp;SUBSTITUTE(TEXT(IF(ISTEXT(Overig!Z163),Overig!Z163,10*Overig!Z163),""",""????0;"",""???-0;"",""????0;"", ////"""),"'","""")&amp;SUBSTITUTE(TEXT(Overig!AA163,""",""?00;"",""?-00;"",""?00;"", //"""),"'","""")&amp;SUBSTITUTE(TEXT(Overig!AB163,""",""???0;"",""??-0;"",""???0;"", ///"""),"'","""")&amp;SUBSTITUTE(TEXT(Overig!AC163,""",""?00;"",""?-00;"",""?00;"", //"""),"'","""")&amp;SUBSTITUTE(TEXT(IF(ISTEXT(Overig!AD163),Overig!AD163,10*Overig!AD163),""",""????0;"",""???-0;"",""????0;"", ////"""),"'","""")&amp;SUBSTITUTE(TEXT(Overig!AE163,""",""?00;"",""?-00;"",""?00;"", //"""),"'","""")&amp;SUBSTITUTE(TEXT(IF(ISTEXT(Overig!AF163),Overig!AF163,10*Overig!AF163),""",""????0;"",""???-0;"",""????0;"", ////"""),"'","""")&amp;SUBSTITUTE(TEXT(Overig!AG163,""",""?00;"",""?-00;"",""?00;"", //"""),"'","""")&amp;SUBSTITUTE(TEXT(Overig!AH163,""",""???0;"",""??-0;"",""???0;"", ///"""),"'","""")&amp;SUBSTITUTE(TEXT(Overig!AI163,""",""?00;"",""?-00;"",""?00;"", //"""),"'","""")&amp;SUBSTITUTE(TEXT(Overig!AJ163,""",""??0;"",""?-0;"",""??0;"", //"""),"'","""")&amp;SUBSTITUTE(TEXT(Overig!AK163,""",""?00;"",""?-00;"",""?00;"", //"""),"'","""")&amp;SUBSTITUTE(IF(EXACT(Overig!AL163,"—"),TEXT(Overig!AL163,""",""????0;"",""???-0;"",""????0;"", ////////////,"""),TEXT(Overig!AL163,"\, \'@""',""")&amp;REPT(" ",10-LEN(Overig!AL163))),"'","""")&amp;SUBSTITUTE(TEXT(Overig!AM163,"?00;?-00;?00;"" //"""),"'","""")&amp;SUBSTITUTE(TEXT(Overig!AN163,""",""???0;"",""??-0;"",""???0;"", ///"""),"'","""")&amp;SUBSTITUTE(TEXT(Overig!AO163,""",""?00;"",""?-00;"",""?00;"", //"""),"'","""")</f>
        <v>78989, 19130611, 0800, ////, 07, /////, 07, ////, 07, /////, 07, ////, 07, ////, 07, ////, 07, ////, 07, ///, 07, ///, 07, ////, 07, ////, 07, ///, 07, ////, 07, ////, 07, ///, 07, //, 07, ////////////, 07, ///, 07</v>
      </c>
    </row>
    <row r="164" spans="1:1" x14ac:dyDescent="0.25">
      <c r="A164" s="75" t="str">
        <f ca="1">TEXT(Overig!A164,"000\,")&amp;TEXT(Overig!B164,"?00000000")&amp;TEXT(Overig!C164,""", ""0000")&amp;SUBSTITUTE(TEXT(IF(ISTEXT(Overig!D164),Overig!D164,10*Overig!D164),""",""????0;"",""???-0;"",""????0;"", ////"""),"'","""")&amp;SUBSTITUTE(TEXT(Overig!E164,""",""?00;"",""?-00;"",""?00;"", //"""),"'","""")&amp;SUBSTITUTE(TEXT(IF(ISTEXT(Overig!F164),Overig!F164,100*Overig!F164),""",""?????0;"",""????-0;"",""?????0;"", /////"""),"'","""")&amp;SUBSTITUTE(TEXT(Overig!G164,""",""?00;"",""?-00;"",""?00;"", //"""),"'","""")&amp;SUBSTITUTE(TEXT(IF(ISTEXT(Overig!H164),Overig!H164,100*Overig!H164),""",""????0;"",""???-0;"",""????0;"", ////"""),"'","""")&amp;SUBSTITUTE(TEXT(Overig!I164,""",""?00;"",""?-00;"",""?00;"", //"""),"'","""")&amp;SUBSTITUTE(TEXT(IF(ISTEXT(Overig!J164),Overig!J164,100*Overig!J164),""",""?????0;"",""????-0;"",""?????0;"", /////"""),"'","""")&amp;SUBSTITUTE(TEXT(Overig!K164,""",""?00;"",""?-00;"",""?00;"", //"""),"'","""")&amp;SUBSTITUTE(TEXT(IF(ISTEXT(Overig!L164),Overig!L164,10*Overig!L164),""",""????0;"",""???-0;"",""????0;"", ////"""),"'","""")&amp;SUBSTITUTE(TEXT(Overig!M164,""",""?00;"",""?-00;"",""?00;"", //"""),"'","""")&amp;SUBSTITUTE(TEXT(IF(ISTEXT(Overig!N164),Overig!N164,10*Overig!N164),""",""????0;"",""???-0;"",""????0;"", ////"""),"'","""")&amp;SUBSTITUTE(TEXT(Overig!O164,""",""?00;"",""?-00;"",""?00;"", //"""),"'","""")&amp;SUBSTITUTE(TEXT(IF(ISTEXT(Overig!P164),Overig!P164,10*Overig!P164),""",""????0;"",""???-0;"",""????0;"", ////"""),"'","""")&amp;SUBSTITUTE(TEXT(Overig!Q164,""",""?00;"",""?-00;"",""?00;"", //"""),"'","""")&amp;SUBSTITUTE(TEXT(IF(ISTEXT(Overig!R164),Overig!R164,10*Overig!R164),""",""????0;"",""???-0;"",""????0;"", ////"""),"'","""")&amp;SUBSTITUTE(TEXT(Overig!S164,""",""?00;"",""?-00;"",""?00;"", //"""),"'","""")&amp;SUBSTITUTE(TEXT(Overig!T164,""",""???0;"",""??-0;"",""???0;"", ///"""),"'","""")&amp;SUBSTITUTE(TEXT(Overig!U164,""",""?00;"",""?-00;"",""?00;"", //"""),"'","""")&amp;SUBSTITUTE(TEXT(IF(ISTEXT(Overig!V164),Overig!V164,10*Overig!V164),""",""???0;"",""??-0;"",""???0;"", ///"""),"'","""")&amp;SUBSTITUTE(TEXT(Overig!W164,""",""?00;"",""?-00;"",""?00;"", //"""),"'","""")&amp;SUBSTITUTE(TEXT(IF(ISTEXT(Overig!X164),Overig!X164,10*Overig!X164),""",""????0;"",""???-0;"",""????0;"", ////"""),"'","""")&amp;SUBSTITUTE(TEXT(Overig!Y164,""",""?00;"",""?-00;"",""?00;"", //"""),"'","""")&amp;SUBSTITUTE(TEXT(IF(ISTEXT(Overig!Z164),Overig!Z164,10*Overig!Z164),""",""????0;"",""???-0;"",""????0;"", ////"""),"'","""")&amp;SUBSTITUTE(TEXT(Overig!AA164,""",""?00;"",""?-00;"",""?00;"", //"""),"'","""")&amp;SUBSTITUTE(TEXT(Overig!AB164,""",""???0;"",""??-0;"",""???0;"", ///"""),"'","""")&amp;SUBSTITUTE(TEXT(Overig!AC164,""",""?00;"",""?-00;"",""?00;"", //"""),"'","""")&amp;SUBSTITUTE(TEXT(IF(ISTEXT(Overig!AD164),Overig!AD164,10*Overig!AD164),""",""????0;"",""???-0;"",""????0;"", ////"""),"'","""")&amp;SUBSTITUTE(TEXT(Overig!AE164,""",""?00;"",""?-00;"",""?00;"", //"""),"'","""")&amp;SUBSTITUTE(TEXT(IF(ISTEXT(Overig!AF164),Overig!AF164,10*Overig!AF164),""",""????0;"",""???-0;"",""????0;"", ////"""),"'","""")&amp;SUBSTITUTE(TEXT(Overig!AG164,""",""?00;"",""?-00;"",""?00;"", //"""),"'","""")&amp;SUBSTITUTE(TEXT(Overig!AH164,""",""???0;"",""??-0;"",""???0;"", ///"""),"'","""")&amp;SUBSTITUTE(TEXT(Overig!AI164,""",""?00;"",""?-00;"",""?00;"", //"""),"'","""")&amp;SUBSTITUTE(TEXT(Overig!AJ164,""",""??0;"",""?-0;"",""??0;"", //"""),"'","""")&amp;SUBSTITUTE(TEXT(Overig!AK164,""",""?00;"",""?-00;"",""?00;"", //"""),"'","""")&amp;SUBSTITUTE(IF(EXACT(Overig!AL164,"—"),TEXT(Overig!AL164,""",""????0;"",""???-0;"",""????0;"", ////////////,"""),TEXT(Overig!AL164,"\, \'@""',""")&amp;REPT(" ",10-LEN(Overig!AL164))),"'","""")&amp;SUBSTITUTE(TEXT(Overig!AM164,"?00;?-00;?00;"" //"""),"'","""")&amp;SUBSTITUTE(TEXT(Overig!AN164,""",""???0;"",""??-0;"",""???0;"", ///"""),"'","""")&amp;SUBSTITUTE(TEXT(Overig!AO164,""",""?00;"",""?-00;"",""?00;"", //"""),"'","""")</f>
        <v>78989, 19130612, 0800, ////, 07, /////, 07, ////, 07, /////, 07, ////, 07, ////, 07, ////, 07, ////, 07, ///, 07, ///, 07, ////, 07, ////, 07, ///, 07, ////, 07, ////, 07, ///, 07, //, 07, ////////////, 07, ///, 07</v>
      </c>
    </row>
    <row r="165" spans="1:1" x14ac:dyDescent="0.25">
      <c r="A165" s="75" t="str">
        <f ca="1">TEXT(Overig!A165,"000\,")&amp;TEXT(Overig!B165,"?00000000")&amp;TEXT(Overig!C165,""", ""0000")&amp;SUBSTITUTE(TEXT(IF(ISTEXT(Overig!D165),Overig!D165,10*Overig!D165),""",""????0;"",""???-0;"",""????0;"", ////"""),"'","""")&amp;SUBSTITUTE(TEXT(Overig!E165,""",""?00;"",""?-00;"",""?00;"", //"""),"'","""")&amp;SUBSTITUTE(TEXT(IF(ISTEXT(Overig!F165),Overig!F165,100*Overig!F165),""",""?????0;"",""????-0;"",""?????0;"", /////"""),"'","""")&amp;SUBSTITUTE(TEXT(Overig!G165,""",""?00;"",""?-00;"",""?00;"", //"""),"'","""")&amp;SUBSTITUTE(TEXT(IF(ISTEXT(Overig!H165),Overig!H165,100*Overig!H165),""",""????0;"",""???-0;"",""????0;"", ////"""),"'","""")&amp;SUBSTITUTE(TEXT(Overig!I165,""",""?00;"",""?-00;"",""?00;"", //"""),"'","""")&amp;SUBSTITUTE(TEXT(IF(ISTEXT(Overig!J165),Overig!J165,100*Overig!J165),""",""?????0;"",""????-0;"",""?????0;"", /////"""),"'","""")&amp;SUBSTITUTE(TEXT(Overig!K165,""",""?00;"",""?-00;"",""?00;"", //"""),"'","""")&amp;SUBSTITUTE(TEXT(IF(ISTEXT(Overig!L165),Overig!L165,10*Overig!L165),""",""????0;"",""???-0;"",""????0;"", ////"""),"'","""")&amp;SUBSTITUTE(TEXT(Overig!M165,""",""?00;"",""?-00;"",""?00;"", //"""),"'","""")&amp;SUBSTITUTE(TEXT(IF(ISTEXT(Overig!N165),Overig!N165,10*Overig!N165),""",""????0;"",""???-0;"",""????0;"", ////"""),"'","""")&amp;SUBSTITUTE(TEXT(Overig!O165,""",""?00;"",""?-00;"",""?00;"", //"""),"'","""")&amp;SUBSTITUTE(TEXT(IF(ISTEXT(Overig!P165),Overig!P165,10*Overig!P165),""",""????0;"",""???-0;"",""????0;"", ////"""),"'","""")&amp;SUBSTITUTE(TEXT(Overig!Q165,""",""?00;"",""?-00;"",""?00;"", //"""),"'","""")&amp;SUBSTITUTE(TEXT(IF(ISTEXT(Overig!R165),Overig!R165,10*Overig!R165),""",""????0;"",""???-0;"",""????0;"", ////"""),"'","""")&amp;SUBSTITUTE(TEXT(Overig!S165,""",""?00;"",""?-00;"",""?00;"", //"""),"'","""")&amp;SUBSTITUTE(TEXT(Overig!T165,""",""???0;"",""??-0;"",""???0;"", ///"""),"'","""")&amp;SUBSTITUTE(TEXT(Overig!U165,""",""?00;"",""?-00;"",""?00;"", //"""),"'","""")&amp;SUBSTITUTE(TEXT(IF(ISTEXT(Overig!V165),Overig!V165,10*Overig!V165),""",""???0;"",""??-0;"",""???0;"", ///"""),"'","""")&amp;SUBSTITUTE(TEXT(Overig!W165,""",""?00;"",""?-00;"",""?00;"", //"""),"'","""")&amp;SUBSTITUTE(TEXT(IF(ISTEXT(Overig!X165),Overig!X165,10*Overig!X165),""",""????0;"",""???-0;"",""????0;"", ////"""),"'","""")&amp;SUBSTITUTE(TEXT(Overig!Y165,""",""?00;"",""?-00;"",""?00;"", //"""),"'","""")&amp;SUBSTITUTE(TEXT(IF(ISTEXT(Overig!Z165),Overig!Z165,10*Overig!Z165),""",""????0;"",""???-0;"",""????0;"", ////"""),"'","""")&amp;SUBSTITUTE(TEXT(Overig!AA165,""",""?00;"",""?-00;"",""?00;"", //"""),"'","""")&amp;SUBSTITUTE(TEXT(Overig!AB165,""",""???0;"",""??-0;"",""???0;"", ///"""),"'","""")&amp;SUBSTITUTE(TEXT(Overig!AC165,""",""?00;"",""?-00;"",""?00;"", //"""),"'","""")&amp;SUBSTITUTE(TEXT(IF(ISTEXT(Overig!AD165),Overig!AD165,10*Overig!AD165),""",""????0;"",""???-0;"",""????0;"", ////"""),"'","""")&amp;SUBSTITUTE(TEXT(Overig!AE165,""",""?00;"",""?-00;"",""?00;"", //"""),"'","""")&amp;SUBSTITUTE(TEXT(IF(ISTEXT(Overig!AF165),Overig!AF165,10*Overig!AF165),""",""????0;"",""???-0;"",""????0;"", ////"""),"'","""")&amp;SUBSTITUTE(TEXT(Overig!AG165,""",""?00;"",""?-00;"",""?00;"", //"""),"'","""")&amp;SUBSTITUTE(TEXT(Overig!AH165,""",""???0;"",""??-0;"",""???0;"", ///"""),"'","""")&amp;SUBSTITUTE(TEXT(Overig!AI165,""",""?00;"",""?-00;"",""?00;"", //"""),"'","""")&amp;SUBSTITUTE(TEXT(Overig!AJ165,""",""??0;"",""?-0;"",""??0;"", //"""),"'","""")&amp;SUBSTITUTE(TEXT(Overig!AK165,""",""?00;"",""?-00;"",""?00;"", //"""),"'","""")&amp;SUBSTITUTE(IF(EXACT(Overig!AL165,"—"),TEXT(Overig!AL165,""",""????0;"",""???-0;"",""????0;"", ////////////,"""),TEXT(Overig!AL165,"\, \'@""',""")&amp;REPT(" ",10-LEN(Overig!AL165))),"'","""")&amp;SUBSTITUTE(TEXT(Overig!AM165,"?00;?-00;?00;"" //"""),"'","""")&amp;SUBSTITUTE(TEXT(Overig!AN165,""",""???0;"",""??-0;"",""???0;"", ///"""),"'","""")&amp;SUBSTITUTE(TEXT(Overig!AO165,""",""?00;"",""?-00;"",""?00;"", //"""),"'","""")</f>
        <v>78989, 19130613, 0800, ////, 07, /////, 07, ////, 07, /////, 07, ////, 07, ////, 07, ////, 07, ////, 07, ///, 07, ///, 07, ////, 07, ////, 07, ///, 07, ////, 07, ////, 07, ///, 07, //, 07, ////////////, 07, ///, 07</v>
      </c>
    </row>
    <row r="166" spans="1:1" x14ac:dyDescent="0.25">
      <c r="A166" s="75" t="str">
        <f ca="1">TEXT(Overig!A166,"000\,")&amp;TEXT(Overig!B166,"?00000000")&amp;TEXT(Overig!C166,""", ""0000")&amp;SUBSTITUTE(TEXT(IF(ISTEXT(Overig!D166),Overig!D166,10*Overig!D166),""",""????0;"",""???-0;"",""????0;"", ////"""),"'","""")&amp;SUBSTITUTE(TEXT(Overig!E166,""",""?00;"",""?-00;"",""?00;"", //"""),"'","""")&amp;SUBSTITUTE(TEXT(IF(ISTEXT(Overig!F166),Overig!F166,100*Overig!F166),""",""?????0;"",""????-0;"",""?????0;"", /////"""),"'","""")&amp;SUBSTITUTE(TEXT(Overig!G166,""",""?00;"",""?-00;"",""?00;"", //"""),"'","""")&amp;SUBSTITUTE(TEXT(IF(ISTEXT(Overig!H166),Overig!H166,100*Overig!H166),""",""????0;"",""???-0;"",""????0;"", ////"""),"'","""")&amp;SUBSTITUTE(TEXT(Overig!I166,""",""?00;"",""?-00;"",""?00;"", //"""),"'","""")&amp;SUBSTITUTE(TEXT(IF(ISTEXT(Overig!J166),Overig!J166,100*Overig!J166),""",""?????0;"",""????-0;"",""?????0;"", /////"""),"'","""")&amp;SUBSTITUTE(TEXT(Overig!K166,""",""?00;"",""?-00;"",""?00;"", //"""),"'","""")&amp;SUBSTITUTE(TEXT(IF(ISTEXT(Overig!L166),Overig!L166,10*Overig!L166),""",""????0;"",""???-0;"",""????0;"", ////"""),"'","""")&amp;SUBSTITUTE(TEXT(Overig!M166,""",""?00;"",""?-00;"",""?00;"", //"""),"'","""")&amp;SUBSTITUTE(TEXT(IF(ISTEXT(Overig!N166),Overig!N166,10*Overig!N166),""",""????0;"",""???-0;"",""????0;"", ////"""),"'","""")&amp;SUBSTITUTE(TEXT(Overig!O166,""",""?00;"",""?-00;"",""?00;"", //"""),"'","""")&amp;SUBSTITUTE(TEXT(IF(ISTEXT(Overig!P166),Overig!P166,10*Overig!P166),""",""????0;"",""???-0;"",""????0;"", ////"""),"'","""")&amp;SUBSTITUTE(TEXT(Overig!Q166,""",""?00;"",""?-00;"",""?00;"", //"""),"'","""")&amp;SUBSTITUTE(TEXT(IF(ISTEXT(Overig!R166),Overig!R166,10*Overig!R166),""",""????0;"",""???-0;"",""????0;"", ////"""),"'","""")&amp;SUBSTITUTE(TEXT(Overig!S166,""",""?00;"",""?-00;"",""?00;"", //"""),"'","""")&amp;SUBSTITUTE(TEXT(Overig!T166,""",""???0;"",""??-0;"",""???0;"", ///"""),"'","""")&amp;SUBSTITUTE(TEXT(Overig!U166,""",""?00;"",""?-00;"",""?00;"", //"""),"'","""")&amp;SUBSTITUTE(TEXT(IF(ISTEXT(Overig!V166),Overig!V166,10*Overig!V166),""",""???0;"",""??-0;"",""???0;"", ///"""),"'","""")&amp;SUBSTITUTE(TEXT(Overig!W166,""",""?00;"",""?-00;"",""?00;"", //"""),"'","""")&amp;SUBSTITUTE(TEXT(IF(ISTEXT(Overig!X166),Overig!X166,10*Overig!X166),""",""????0;"",""???-0;"",""????0;"", ////"""),"'","""")&amp;SUBSTITUTE(TEXT(Overig!Y166,""",""?00;"",""?-00;"",""?00;"", //"""),"'","""")&amp;SUBSTITUTE(TEXT(IF(ISTEXT(Overig!Z166),Overig!Z166,10*Overig!Z166),""",""????0;"",""???-0;"",""????0;"", ////"""),"'","""")&amp;SUBSTITUTE(TEXT(Overig!AA166,""",""?00;"",""?-00;"",""?00;"", //"""),"'","""")&amp;SUBSTITUTE(TEXT(Overig!AB166,""",""???0;"",""??-0;"",""???0;"", ///"""),"'","""")&amp;SUBSTITUTE(TEXT(Overig!AC166,""",""?00;"",""?-00;"",""?00;"", //"""),"'","""")&amp;SUBSTITUTE(TEXT(IF(ISTEXT(Overig!AD166),Overig!AD166,10*Overig!AD166),""",""????0;"",""???-0;"",""????0;"", ////"""),"'","""")&amp;SUBSTITUTE(TEXT(Overig!AE166,""",""?00;"",""?-00;"",""?00;"", //"""),"'","""")&amp;SUBSTITUTE(TEXT(IF(ISTEXT(Overig!AF166),Overig!AF166,10*Overig!AF166),""",""????0;"",""???-0;"",""????0;"", ////"""),"'","""")&amp;SUBSTITUTE(TEXT(Overig!AG166,""",""?00;"",""?-00;"",""?00;"", //"""),"'","""")&amp;SUBSTITUTE(TEXT(Overig!AH166,""",""???0;"",""??-0;"",""???0;"", ///"""),"'","""")&amp;SUBSTITUTE(TEXT(Overig!AI166,""",""?00;"",""?-00;"",""?00;"", //"""),"'","""")&amp;SUBSTITUTE(TEXT(Overig!AJ166,""",""??0;"",""?-0;"",""??0;"", //"""),"'","""")&amp;SUBSTITUTE(TEXT(Overig!AK166,""",""?00;"",""?-00;"",""?00;"", //"""),"'","""")&amp;SUBSTITUTE(IF(EXACT(Overig!AL166,"—"),TEXT(Overig!AL166,""",""????0;"",""???-0;"",""????0;"", ////////////,"""),TEXT(Overig!AL166,"\, \'@""',""")&amp;REPT(" ",10-LEN(Overig!AL166))),"'","""")&amp;SUBSTITUTE(TEXT(Overig!AM166,"?00;?-00;?00;"" //"""),"'","""")&amp;SUBSTITUTE(TEXT(Overig!AN166,""",""???0;"",""??-0;"",""???0;"", ///"""),"'","""")&amp;SUBSTITUTE(TEXT(Overig!AO166,""",""?00;"",""?-00;"",""?00;"", //"""),"'","""")</f>
        <v>78989, 19130614, 0800, ////, 07, /////, 07, ////, 07, /////, 07, ////, 07, ////, 07, ////, 07, ////, 07, ///, 07, ///, 07, ////, 07, ////, 07, ///, 07, ////, 07, ////, 07, ///, 07, //, 07, ////////////, 07, ///, 07</v>
      </c>
    </row>
    <row r="167" spans="1:1" x14ac:dyDescent="0.25">
      <c r="A167" s="75" t="str">
        <f ca="1">TEXT(Overig!A167,"000\,")&amp;TEXT(Overig!B167,"?00000000")&amp;TEXT(Overig!C167,""", ""0000")&amp;SUBSTITUTE(TEXT(IF(ISTEXT(Overig!D167),Overig!D167,10*Overig!D167),""",""????0;"",""???-0;"",""????0;"", ////"""),"'","""")&amp;SUBSTITUTE(TEXT(Overig!E167,""",""?00;"",""?-00;"",""?00;"", //"""),"'","""")&amp;SUBSTITUTE(TEXT(IF(ISTEXT(Overig!F167),Overig!F167,100*Overig!F167),""",""?????0;"",""????-0;"",""?????0;"", /////"""),"'","""")&amp;SUBSTITUTE(TEXT(Overig!G167,""",""?00;"",""?-00;"",""?00;"", //"""),"'","""")&amp;SUBSTITUTE(TEXT(IF(ISTEXT(Overig!H167),Overig!H167,100*Overig!H167),""",""????0;"",""???-0;"",""????0;"", ////"""),"'","""")&amp;SUBSTITUTE(TEXT(Overig!I167,""",""?00;"",""?-00;"",""?00;"", //"""),"'","""")&amp;SUBSTITUTE(TEXT(IF(ISTEXT(Overig!J167),Overig!J167,100*Overig!J167),""",""?????0;"",""????-0;"",""?????0;"", /////"""),"'","""")&amp;SUBSTITUTE(TEXT(Overig!K167,""",""?00;"",""?-00;"",""?00;"", //"""),"'","""")&amp;SUBSTITUTE(TEXT(IF(ISTEXT(Overig!L167),Overig!L167,10*Overig!L167),""",""????0;"",""???-0;"",""????0;"", ////"""),"'","""")&amp;SUBSTITUTE(TEXT(Overig!M167,""",""?00;"",""?-00;"",""?00;"", //"""),"'","""")&amp;SUBSTITUTE(TEXT(IF(ISTEXT(Overig!N167),Overig!N167,10*Overig!N167),""",""????0;"",""???-0;"",""????0;"", ////"""),"'","""")&amp;SUBSTITUTE(TEXT(Overig!O167,""",""?00;"",""?-00;"",""?00;"", //"""),"'","""")&amp;SUBSTITUTE(TEXT(IF(ISTEXT(Overig!P167),Overig!P167,10*Overig!P167),""",""????0;"",""???-0;"",""????0;"", ////"""),"'","""")&amp;SUBSTITUTE(TEXT(Overig!Q167,""",""?00;"",""?-00;"",""?00;"", //"""),"'","""")&amp;SUBSTITUTE(TEXT(IF(ISTEXT(Overig!R167),Overig!R167,10*Overig!R167),""",""????0;"",""???-0;"",""????0;"", ////"""),"'","""")&amp;SUBSTITUTE(TEXT(Overig!S167,""",""?00;"",""?-00;"",""?00;"", //"""),"'","""")&amp;SUBSTITUTE(TEXT(Overig!T167,""",""???0;"",""??-0;"",""???0;"", ///"""),"'","""")&amp;SUBSTITUTE(TEXT(Overig!U167,""",""?00;"",""?-00;"",""?00;"", //"""),"'","""")&amp;SUBSTITUTE(TEXT(IF(ISTEXT(Overig!V167),Overig!V167,10*Overig!V167),""",""???0;"",""??-0;"",""???0;"", ///"""),"'","""")&amp;SUBSTITUTE(TEXT(Overig!W167,""",""?00;"",""?-00;"",""?00;"", //"""),"'","""")&amp;SUBSTITUTE(TEXT(IF(ISTEXT(Overig!X167),Overig!X167,10*Overig!X167),""",""????0;"",""???-0;"",""????0;"", ////"""),"'","""")&amp;SUBSTITUTE(TEXT(Overig!Y167,""",""?00;"",""?-00;"",""?00;"", //"""),"'","""")&amp;SUBSTITUTE(TEXT(IF(ISTEXT(Overig!Z167),Overig!Z167,10*Overig!Z167),""",""????0;"",""???-0;"",""????0;"", ////"""),"'","""")&amp;SUBSTITUTE(TEXT(Overig!AA167,""",""?00;"",""?-00;"",""?00;"", //"""),"'","""")&amp;SUBSTITUTE(TEXT(Overig!AB167,""",""???0;"",""??-0;"",""???0;"", ///"""),"'","""")&amp;SUBSTITUTE(TEXT(Overig!AC167,""",""?00;"",""?-00;"",""?00;"", //"""),"'","""")&amp;SUBSTITUTE(TEXT(IF(ISTEXT(Overig!AD167),Overig!AD167,10*Overig!AD167),""",""????0;"",""???-0;"",""????0;"", ////"""),"'","""")&amp;SUBSTITUTE(TEXT(Overig!AE167,""",""?00;"",""?-00;"",""?00;"", //"""),"'","""")&amp;SUBSTITUTE(TEXT(IF(ISTEXT(Overig!AF167),Overig!AF167,10*Overig!AF167),""",""????0;"",""???-0;"",""????0;"", ////"""),"'","""")&amp;SUBSTITUTE(TEXT(Overig!AG167,""",""?00;"",""?-00;"",""?00;"", //"""),"'","""")&amp;SUBSTITUTE(TEXT(Overig!AH167,""",""???0;"",""??-0;"",""???0;"", ///"""),"'","""")&amp;SUBSTITUTE(TEXT(Overig!AI167,""",""?00;"",""?-00;"",""?00;"", //"""),"'","""")&amp;SUBSTITUTE(TEXT(Overig!AJ167,""",""??0;"",""?-0;"",""??0;"", //"""),"'","""")&amp;SUBSTITUTE(TEXT(Overig!AK167,""",""?00;"",""?-00;"",""?00;"", //"""),"'","""")&amp;SUBSTITUTE(IF(EXACT(Overig!AL167,"—"),TEXT(Overig!AL167,""",""????0;"",""???-0;"",""????0;"", ////////////,"""),TEXT(Overig!AL167,"\, \'@""',""")&amp;REPT(" ",10-LEN(Overig!AL167))),"'","""")&amp;SUBSTITUTE(TEXT(Overig!AM167,"?00;?-00;?00;"" //"""),"'","""")&amp;SUBSTITUTE(TEXT(Overig!AN167,""",""???0;"",""??-0;"",""???0;"", ///"""),"'","""")&amp;SUBSTITUTE(TEXT(Overig!AO167,""",""?00;"",""?-00;"",""?00;"", //"""),"'","""")</f>
        <v>78989, 19130615, 0800, ////, 07, /////, 07, ////, 07, /////, 07, ////, 07, ////, 07, ////, 07, ////, 07, ///, 07, ///, 07, ////, 07, ////, 07, ///, 07, ////, 07, ////, 07, ///, 07, //, 07, ////////////, 07, ///, 07</v>
      </c>
    </row>
    <row r="168" spans="1:1" x14ac:dyDescent="0.25">
      <c r="A168" s="75" t="str">
        <f ca="1">TEXT(Overig!A168,"000\,")&amp;TEXT(Overig!B168,"?00000000")&amp;TEXT(Overig!C168,""", ""0000")&amp;SUBSTITUTE(TEXT(IF(ISTEXT(Overig!D168),Overig!D168,10*Overig!D168),""",""????0;"",""???-0;"",""????0;"", ////"""),"'","""")&amp;SUBSTITUTE(TEXT(Overig!E168,""",""?00;"",""?-00;"",""?00;"", //"""),"'","""")&amp;SUBSTITUTE(TEXT(IF(ISTEXT(Overig!F168),Overig!F168,100*Overig!F168),""",""?????0;"",""????-0;"",""?????0;"", /////"""),"'","""")&amp;SUBSTITUTE(TEXT(Overig!G168,""",""?00;"",""?-00;"",""?00;"", //"""),"'","""")&amp;SUBSTITUTE(TEXT(IF(ISTEXT(Overig!H168),Overig!H168,100*Overig!H168),""",""????0;"",""???-0;"",""????0;"", ////"""),"'","""")&amp;SUBSTITUTE(TEXT(Overig!I168,""",""?00;"",""?-00;"",""?00;"", //"""),"'","""")&amp;SUBSTITUTE(TEXT(IF(ISTEXT(Overig!J168),Overig!J168,100*Overig!J168),""",""?????0;"",""????-0;"",""?????0;"", /////"""),"'","""")&amp;SUBSTITUTE(TEXT(Overig!K168,""",""?00;"",""?-00;"",""?00;"", //"""),"'","""")&amp;SUBSTITUTE(TEXT(IF(ISTEXT(Overig!L168),Overig!L168,10*Overig!L168),""",""????0;"",""???-0;"",""????0;"", ////"""),"'","""")&amp;SUBSTITUTE(TEXT(Overig!M168,""",""?00;"",""?-00;"",""?00;"", //"""),"'","""")&amp;SUBSTITUTE(TEXT(IF(ISTEXT(Overig!N168),Overig!N168,10*Overig!N168),""",""????0;"",""???-0;"",""????0;"", ////"""),"'","""")&amp;SUBSTITUTE(TEXT(Overig!O168,""",""?00;"",""?-00;"",""?00;"", //"""),"'","""")&amp;SUBSTITUTE(TEXT(IF(ISTEXT(Overig!P168),Overig!P168,10*Overig!P168),""",""????0;"",""???-0;"",""????0;"", ////"""),"'","""")&amp;SUBSTITUTE(TEXT(Overig!Q168,""",""?00;"",""?-00;"",""?00;"", //"""),"'","""")&amp;SUBSTITUTE(TEXT(IF(ISTEXT(Overig!R168),Overig!R168,10*Overig!R168),""",""????0;"",""???-0;"",""????0;"", ////"""),"'","""")&amp;SUBSTITUTE(TEXT(Overig!S168,""",""?00;"",""?-00;"",""?00;"", //"""),"'","""")&amp;SUBSTITUTE(TEXT(Overig!T168,""",""???0;"",""??-0;"",""???0;"", ///"""),"'","""")&amp;SUBSTITUTE(TEXT(Overig!U168,""",""?00;"",""?-00;"",""?00;"", //"""),"'","""")&amp;SUBSTITUTE(TEXT(IF(ISTEXT(Overig!V168),Overig!V168,10*Overig!V168),""",""???0;"",""??-0;"",""???0;"", ///"""),"'","""")&amp;SUBSTITUTE(TEXT(Overig!W168,""",""?00;"",""?-00;"",""?00;"", //"""),"'","""")&amp;SUBSTITUTE(TEXT(IF(ISTEXT(Overig!X168),Overig!X168,10*Overig!X168),""",""????0;"",""???-0;"",""????0;"", ////"""),"'","""")&amp;SUBSTITUTE(TEXT(Overig!Y168,""",""?00;"",""?-00;"",""?00;"", //"""),"'","""")&amp;SUBSTITUTE(TEXT(IF(ISTEXT(Overig!Z168),Overig!Z168,10*Overig!Z168),""",""????0;"",""???-0;"",""????0;"", ////"""),"'","""")&amp;SUBSTITUTE(TEXT(Overig!AA168,""",""?00;"",""?-00;"",""?00;"", //"""),"'","""")&amp;SUBSTITUTE(TEXT(Overig!AB168,""",""???0;"",""??-0;"",""???0;"", ///"""),"'","""")&amp;SUBSTITUTE(TEXT(Overig!AC168,""",""?00;"",""?-00;"",""?00;"", //"""),"'","""")&amp;SUBSTITUTE(TEXT(IF(ISTEXT(Overig!AD168),Overig!AD168,10*Overig!AD168),""",""????0;"",""???-0;"",""????0;"", ////"""),"'","""")&amp;SUBSTITUTE(TEXT(Overig!AE168,""",""?00;"",""?-00;"",""?00;"", //"""),"'","""")&amp;SUBSTITUTE(TEXT(IF(ISTEXT(Overig!AF168),Overig!AF168,10*Overig!AF168),""",""????0;"",""???-0;"",""????0;"", ////"""),"'","""")&amp;SUBSTITUTE(TEXT(Overig!AG168,""",""?00;"",""?-00;"",""?00;"", //"""),"'","""")&amp;SUBSTITUTE(TEXT(Overig!AH168,""",""???0;"",""??-0;"",""???0;"", ///"""),"'","""")&amp;SUBSTITUTE(TEXT(Overig!AI168,""",""?00;"",""?-00;"",""?00;"", //"""),"'","""")&amp;SUBSTITUTE(TEXT(Overig!AJ168,""",""??0;"",""?-0;"",""??0;"", //"""),"'","""")&amp;SUBSTITUTE(TEXT(Overig!AK168,""",""?00;"",""?-00;"",""?00;"", //"""),"'","""")&amp;SUBSTITUTE(IF(EXACT(Overig!AL168,"—"),TEXT(Overig!AL168,""",""????0;"",""???-0;"",""????0;"", ////////////,"""),TEXT(Overig!AL168,"\, \'@""',""")&amp;REPT(" ",10-LEN(Overig!AL168))),"'","""")&amp;SUBSTITUTE(TEXT(Overig!AM168,"?00;?-00;?00;"" //"""),"'","""")&amp;SUBSTITUTE(TEXT(Overig!AN168,""",""???0;"",""??-0;"",""???0;"", ///"""),"'","""")&amp;SUBSTITUTE(TEXT(Overig!AO168,""",""?00;"",""?-00;"",""?00;"", //"""),"'","""")</f>
        <v>78989, 19130616, 0800, ////, 07, /////, 07, ////, 07, /////, 07, ////, 07, ////, 07, ////, 07, ////, 07, ///, 07, ///, 07, ////, 07, ////, 07, ///, 07, ////, 07, ////, 07, ///, 07, //, 07, ////////////, 07, ///, 07</v>
      </c>
    </row>
    <row r="169" spans="1:1" x14ac:dyDescent="0.25">
      <c r="A169" s="75" t="str">
        <f ca="1">TEXT(Overig!A169,"000\,")&amp;TEXT(Overig!B169,"?00000000")&amp;TEXT(Overig!C169,""", ""0000")&amp;SUBSTITUTE(TEXT(IF(ISTEXT(Overig!D169),Overig!D169,10*Overig!D169),""",""????0;"",""???-0;"",""????0;"", ////"""),"'","""")&amp;SUBSTITUTE(TEXT(Overig!E169,""",""?00;"",""?-00;"",""?00;"", //"""),"'","""")&amp;SUBSTITUTE(TEXT(IF(ISTEXT(Overig!F169),Overig!F169,100*Overig!F169),""",""?????0;"",""????-0;"",""?????0;"", /////"""),"'","""")&amp;SUBSTITUTE(TEXT(Overig!G169,""",""?00;"",""?-00;"",""?00;"", //"""),"'","""")&amp;SUBSTITUTE(TEXT(IF(ISTEXT(Overig!H169),Overig!H169,100*Overig!H169),""",""????0;"",""???-0;"",""????0;"", ////"""),"'","""")&amp;SUBSTITUTE(TEXT(Overig!I169,""",""?00;"",""?-00;"",""?00;"", //"""),"'","""")&amp;SUBSTITUTE(TEXT(IF(ISTEXT(Overig!J169),Overig!J169,100*Overig!J169),""",""?????0;"",""????-0;"",""?????0;"", /////"""),"'","""")&amp;SUBSTITUTE(TEXT(Overig!K169,""",""?00;"",""?-00;"",""?00;"", //"""),"'","""")&amp;SUBSTITUTE(TEXT(IF(ISTEXT(Overig!L169),Overig!L169,10*Overig!L169),""",""????0;"",""???-0;"",""????0;"", ////"""),"'","""")&amp;SUBSTITUTE(TEXT(Overig!M169,""",""?00;"",""?-00;"",""?00;"", //"""),"'","""")&amp;SUBSTITUTE(TEXT(IF(ISTEXT(Overig!N169),Overig!N169,10*Overig!N169),""",""????0;"",""???-0;"",""????0;"", ////"""),"'","""")&amp;SUBSTITUTE(TEXT(Overig!O169,""",""?00;"",""?-00;"",""?00;"", //"""),"'","""")&amp;SUBSTITUTE(TEXT(IF(ISTEXT(Overig!P169),Overig!P169,10*Overig!P169),""",""????0;"",""???-0;"",""????0;"", ////"""),"'","""")&amp;SUBSTITUTE(TEXT(Overig!Q169,""",""?00;"",""?-00;"",""?00;"", //"""),"'","""")&amp;SUBSTITUTE(TEXT(IF(ISTEXT(Overig!R169),Overig!R169,10*Overig!R169),""",""????0;"",""???-0;"",""????0;"", ////"""),"'","""")&amp;SUBSTITUTE(TEXT(Overig!S169,""",""?00;"",""?-00;"",""?00;"", //"""),"'","""")&amp;SUBSTITUTE(TEXT(Overig!T169,""",""???0;"",""??-0;"",""???0;"", ///"""),"'","""")&amp;SUBSTITUTE(TEXT(Overig!U169,""",""?00;"",""?-00;"",""?00;"", //"""),"'","""")&amp;SUBSTITUTE(TEXT(IF(ISTEXT(Overig!V169),Overig!V169,10*Overig!V169),""",""???0;"",""??-0;"",""???0;"", ///"""),"'","""")&amp;SUBSTITUTE(TEXT(Overig!W169,""",""?00;"",""?-00;"",""?00;"", //"""),"'","""")&amp;SUBSTITUTE(TEXT(IF(ISTEXT(Overig!X169),Overig!X169,10*Overig!X169),""",""????0;"",""???-0;"",""????0;"", ////"""),"'","""")&amp;SUBSTITUTE(TEXT(Overig!Y169,""",""?00;"",""?-00;"",""?00;"", //"""),"'","""")&amp;SUBSTITUTE(TEXT(IF(ISTEXT(Overig!Z169),Overig!Z169,10*Overig!Z169),""",""????0;"",""???-0;"",""????0;"", ////"""),"'","""")&amp;SUBSTITUTE(TEXT(Overig!AA169,""",""?00;"",""?-00;"",""?00;"", //"""),"'","""")&amp;SUBSTITUTE(TEXT(Overig!AB169,""",""???0;"",""??-0;"",""???0;"", ///"""),"'","""")&amp;SUBSTITUTE(TEXT(Overig!AC169,""",""?00;"",""?-00;"",""?00;"", //"""),"'","""")&amp;SUBSTITUTE(TEXT(IF(ISTEXT(Overig!AD169),Overig!AD169,10*Overig!AD169),""",""????0;"",""???-0;"",""????0;"", ////"""),"'","""")&amp;SUBSTITUTE(TEXT(Overig!AE169,""",""?00;"",""?-00;"",""?00;"", //"""),"'","""")&amp;SUBSTITUTE(TEXT(IF(ISTEXT(Overig!AF169),Overig!AF169,10*Overig!AF169),""",""????0;"",""???-0;"",""????0;"", ////"""),"'","""")&amp;SUBSTITUTE(TEXT(Overig!AG169,""",""?00;"",""?-00;"",""?00;"", //"""),"'","""")&amp;SUBSTITUTE(TEXT(Overig!AH169,""",""???0;"",""??-0;"",""???0;"", ///"""),"'","""")&amp;SUBSTITUTE(TEXT(Overig!AI169,""",""?00;"",""?-00;"",""?00;"", //"""),"'","""")&amp;SUBSTITUTE(TEXT(Overig!AJ169,""",""??0;"",""?-0;"",""??0;"", //"""),"'","""")&amp;SUBSTITUTE(TEXT(Overig!AK169,""",""?00;"",""?-00;"",""?00;"", //"""),"'","""")&amp;SUBSTITUTE(IF(EXACT(Overig!AL169,"—"),TEXT(Overig!AL169,""",""????0;"",""???-0;"",""????0;"", ////////////,"""),TEXT(Overig!AL169,"\, \'@""',""")&amp;REPT(" ",10-LEN(Overig!AL169))),"'","""")&amp;SUBSTITUTE(TEXT(Overig!AM169,"?00;?-00;?00;"" //"""),"'","""")&amp;SUBSTITUTE(TEXT(Overig!AN169,""",""???0;"",""??-0;"",""???0;"", ///"""),"'","""")&amp;SUBSTITUTE(TEXT(Overig!AO169,""",""?00;"",""?-00;"",""?00;"", //"""),"'","""")</f>
        <v>78989, 19130617, 0800, ////, 07, /////, 07, ////, 07, /////, 07, ////, 07, ////, 07, ////, 07, ////, 07, ///, 07, ///, 07, ////, 07, ////, 07, ///, 07, ////, 07, ////, 07, ///, 07, //, 07, ////////////, 07, ///, 07</v>
      </c>
    </row>
    <row r="170" spans="1:1" x14ac:dyDescent="0.25">
      <c r="A170" s="75" t="str">
        <f ca="1">TEXT(Overig!A170,"000\,")&amp;TEXT(Overig!B170,"?00000000")&amp;TEXT(Overig!C170,""", ""0000")&amp;SUBSTITUTE(TEXT(IF(ISTEXT(Overig!D170),Overig!D170,10*Overig!D170),""",""????0;"",""???-0;"",""????0;"", ////"""),"'","""")&amp;SUBSTITUTE(TEXT(Overig!E170,""",""?00;"",""?-00;"",""?00;"", //"""),"'","""")&amp;SUBSTITUTE(TEXT(IF(ISTEXT(Overig!F170),Overig!F170,100*Overig!F170),""",""?????0;"",""????-0;"",""?????0;"", /////"""),"'","""")&amp;SUBSTITUTE(TEXT(Overig!G170,""",""?00;"",""?-00;"",""?00;"", //"""),"'","""")&amp;SUBSTITUTE(TEXT(IF(ISTEXT(Overig!H170),Overig!H170,100*Overig!H170),""",""????0;"",""???-0;"",""????0;"", ////"""),"'","""")&amp;SUBSTITUTE(TEXT(Overig!I170,""",""?00;"",""?-00;"",""?00;"", //"""),"'","""")&amp;SUBSTITUTE(TEXT(IF(ISTEXT(Overig!J170),Overig!J170,100*Overig!J170),""",""?????0;"",""????-0;"",""?????0;"", /////"""),"'","""")&amp;SUBSTITUTE(TEXT(Overig!K170,""",""?00;"",""?-00;"",""?00;"", //"""),"'","""")&amp;SUBSTITUTE(TEXT(IF(ISTEXT(Overig!L170),Overig!L170,10*Overig!L170),""",""????0;"",""???-0;"",""????0;"", ////"""),"'","""")&amp;SUBSTITUTE(TEXT(Overig!M170,""",""?00;"",""?-00;"",""?00;"", //"""),"'","""")&amp;SUBSTITUTE(TEXT(IF(ISTEXT(Overig!N170),Overig!N170,10*Overig!N170),""",""????0;"",""???-0;"",""????0;"", ////"""),"'","""")&amp;SUBSTITUTE(TEXT(Overig!O170,""",""?00;"",""?-00;"",""?00;"", //"""),"'","""")&amp;SUBSTITUTE(TEXT(IF(ISTEXT(Overig!P170),Overig!P170,10*Overig!P170),""",""????0;"",""???-0;"",""????0;"", ////"""),"'","""")&amp;SUBSTITUTE(TEXT(Overig!Q170,""",""?00;"",""?-00;"",""?00;"", //"""),"'","""")&amp;SUBSTITUTE(TEXT(IF(ISTEXT(Overig!R170),Overig!R170,10*Overig!R170),""",""????0;"",""???-0;"",""????0;"", ////"""),"'","""")&amp;SUBSTITUTE(TEXT(Overig!S170,""",""?00;"",""?-00;"",""?00;"", //"""),"'","""")&amp;SUBSTITUTE(TEXT(Overig!T170,""",""???0;"",""??-0;"",""???0;"", ///"""),"'","""")&amp;SUBSTITUTE(TEXT(Overig!U170,""",""?00;"",""?-00;"",""?00;"", //"""),"'","""")&amp;SUBSTITUTE(TEXT(IF(ISTEXT(Overig!V170),Overig!V170,10*Overig!V170),""",""???0;"",""??-0;"",""???0;"", ///"""),"'","""")&amp;SUBSTITUTE(TEXT(Overig!W170,""",""?00;"",""?-00;"",""?00;"", //"""),"'","""")&amp;SUBSTITUTE(TEXT(IF(ISTEXT(Overig!X170),Overig!X170,10*Overig!X170),""",""????0;"",""???-0;"",""????0;"", ////"""),"'","""")&amp;SUBSTITUTE(TEXT(Overig!Y170,""",""?00;"",""?-00;"",""?00;"", //"""),"'","""")&amp;SUBSTITUTE(TEXT(IF(ISTEXT(Overig!Z170),Overig!Z170,10*Overig!Z170),""",""????0;"",""???-0;"",""????0;"", ////"""),"'","""")&amp;SUBSTITUTE(TEXT(Overig!AA170,""",""?00;"",""?-00;"",""?00;"", //"""),"'","""")&amp;SUBSTITUTE(TEXT(Overig!AB170,""",""???0;"",""??-0;"",""???0;"", ///"""),"'","""")&amp;SUBSTITUTE(TEXT(Overig!AC170,""",""?00;"",""?-00;"",""?00;"", //"""),"'","""")&amp;SUBSTITUTE(TEXT(IF(ISTEXT(Overig!AD170),Overig!AD170,10*Overig!AD170),""",""????0;"",""???-0;"",""????0;"", ////"""),"'","""")&amp;SUBSTITUTE(TEXT(Overig!AE170,""",""?00;"",""?-00;"",""?00;"", //"""),"'","""")&amp;SUBSTITUTE(TEXT(IF(ISTEXT(Overig!AF170),Overig!AF170,10*Overig!AF170),""",""????0;"",""???-0;"",""????0;"", ////"""),"'","""")&amp;SUBSTITUTE(TEXT(Overig!AG170,""",""?00;"",""?-00;"",""?00;"", //"""),"'","""")&amp;SUBSTITUTE(TEXT(Overig!AH170,""",""???0;"",""??-0;"",""???0;"", ///"""),"'","""")&amp;SUBSTITUTE(TEXT(Overig!AI170,""",""?00;"",""?-00;"",""?00;"", //"""),"'","""")&amp;SUBSTITUTE(TEXT(Overig!AJ170,""",""??0;"",""?-0;"",""??0;"", //"""),"'","""")&amp;SUBSTITUTE(TEXT(Overig!AK170,""",""?00;"",""?-00;"",""?00;"", //"""),"'","""")&amp;SUBSTITUTE(IF(EXACT(Overig!AL170,"—"),TEXT(Overig!AL170,""",""????0;"",""???-0;"",""????0;"", ////////////,"""),TEXT(Overig!AL170,"\, \'@""',""")&amp;REPT(" ",10-LEN(Overig!AL170))),"'","""")&amp;SUBSTITUTE(TEXT(Overig!AM170,"?00;?-00;?00;"" //"""),"'","""")&amp;SUBSTITUTE(TEXT(Overig!AN170,""",""???0;"",""??-0;"",""???0;"", ///"""),"'","""")&amp;SUBSTITUTE(TEXT(Overig!AO170,""",""?00;"",""?-00;"",""?00;"", //"""),"'","""")</f>
        <v>78989, 19130618, 0800, ////, 07, /////, 07, ////, 07, /////, 07, ////, 07, ////, 07, ////, 07, ////, 07, ///, 07, ///, 07, ////, 07, ////, 07, ///, 07, ////, 07, ////, 07, ///, 07, //, 07, ////////////, 07, ///, 07</v>
      </c>
    </row>
    <row r="171" spans="1:1" x14ac:dyDescent="0.25">
      <c r="A171" s="75" t="str">
        <f ca="1">TEXT(Overig!A171,"000\,")&amp;TEXT(Overig!B171,"?00000000")&amp;TEXT(Overig!C171,""", ""0000")&amp;SUBSTITUTE(TEXT(IF(ISTEXT(Overig!D171),Overig!D171,10*Overig!D171),""",""????0;"",""???-0;"",""????0;"", ////"""),"'","""")&amp;SUBSTITUTE(TEXT(Overig!E171,""",""?00;"",""?-00;"",""?00;"", //"""),"'","""")&amp;SUBSTITUTE(TEXT(IF(ISTEXT(Overig!F171),Overig!F171,100*Overig!F171),""",""?????0;"",""????-0;"",""?????0;"", /////"""),"'","""")&amp;SUBSTITUTE(TEXT(Overig!G171,""",""?00;"",""?-00;"",""?00;"", //"""),"'","""")&amp;SUBSTITUTE(TEXT(IF(ISTEXT(Overig!H171),Overig!H171,100*Overig!H171),""",""????0;"",""???-0;"",""????0;"", ////"""),"'","""")&amp;SUBSTITUTE(TEXT(Overig!I171,""",""?00;"",""?-00;"",""?00;"", //"""),"'","""")&amp;SUBSTITUTE(TEXT(IF(ISTEXT(Overig!J171),Overig!J171,100*Overig!J171),""",""?????0;"",""????-0;"",""?????0;"", /////"""),"'","""")&amp;SUBSTITUTE(TEXT(Overig!K171,""",""?00;"",""?-00;"",""?00;"", //"""),"'","""")&amp;SUBSTITUTE(TEXT(IF(ISTEXT(Overig!L171),Overig!L171,10*Overig!L171),""",""????0;"",""???-0;"",""????0;"", ////"""),"'","""")&amp;SUBSTITUTE(TEXT(Overig!M171,""",""?00;"",""?-00;"",""?00;"", //"""),"'","""")&amp;SUBSTITUTE(TEXT(IF(ISTEXT(Overig!N171),Overig!N171,10*Overig!N171),""",""????0;"",""???-0;"",""????0;"", ////"""),"'","""")&amp;SUBSTITUTE(TEXT(Overig!O171,""",""?00;"",""?-00;"",""?00;"", //"""),"'","""")&amp;SUBSTITUTE(TEXT(IF(ISTEXT(Overig!P171),Overig!P171,10*Overig!P171),""",""????0;"",""???-0;"",""????0;"", ////"""),"'","""")&amp;SUBSTITUTE(TEXT(Overig!Q171,""",""?00;"",""?-00;"",""?00;"", //"""),"'","""")&amp;SUBSTITUTE(TEXT(IF(ISTEXT(Overig!R171),Overig!R171,10*Overig!R171),""",""????0;"",""???-0;"",""????0;"", ////"""),"'","""")&amp;SUBSTITUTE(TEXT(Overig!S171,""",""?00;"",""?-00;"",""?00;"", //"""),"'","""")&amp;SUBSTITUTE(TEXT(Overig!T171,""",""???0;"",""??-0;"",""???0;"", ///"""),"'","""")&amp;SUBSTITUTE(TEXT(Overig!U171,""",""?00;"",""?-00;"",""?00;"", //"""),"'","""")&amp;SUBSTITUTE(TEXT(IF(ISTEXT(Overig!V171),Overig!V171,10*Overig!V171),""",""???0;"",""??-0;"",""???0;"", ///"""),"'","""")&amp;SUBSTITUTE(TEXT(Overig!W171,""",""?00;"",""?-00;"",""?00;"", //"""),"'","""")&amp;SUBSTITUTE(TEXT(IF(ISTEXT(Overig!X171),Overig!X171,10*Overig!X171),""",""????0;"",""???-0;"",""????0;"", ////"""),"'","""")&amp;SUBSTITUTE(TEXT(Overig!Y171,""",""?00;"",""?-00;"",""?00;"", //"""),"'","""")&amp;SUBSTITUTE(TEXT(IF(ISTEXT(Overig!Z171),Overig!Z171,10*Overig!Z171),""",""????0;"",""???-0;"",""????0;"", ////"""),"'","""")&amp;SUBSTITUTE(TEXT(Overig!AA171,""",""?00;"",""?-00;"",""?00;"", //"""),"'","""")&amp;SUBSTITUTE(TEXT(Overig!AB171,""",""???0;"",""??-0;"",""???0;"", ///"""),"'","""")&amp;SUBSTITUTE(TEXT(Overig!AC171,""",""?00;"",""?-00;"",""?00;"", //"""),"'","""")&amp;SUBSTITUTE(TEXT(IF(ISTEXT(Overig!AD171),Overig!AD171,10*Overig!AD171),""",""????0;"",""???-0;"",""????0;"", ////"""),"'","""")&amp;SUBSTITUTE(TEXT(Overig!AE171,""",""?00;"",""?-00;"",""?00;"", //"""),"'","""")&amp;SUBSTITUTE(TEXT(IF(ISTEXT(Overig!AF171),Overig!AF171,10*Overig!AF171),""",""????0;"",""???-0;"",""????0;"", ////"""),"'","""")&amp;SUBSTITUTE(TEXT(Overig!AG171,""",""?00;"",""?-00;"",""?00;"", //"""),"'","""")&amp;SUBSTITUTE(TEXT(Overig!AH171,""",""???0;"",""??-0;"",""???0;"", ///"""),"'","""")&amp;SUBSTITUTE(TEXT(Overig!AI171,""",""?00;"",""?-00;"",""?00;"", //"""),"'","""")&amp;SUBSTITUTE(TEXT(Overig!AJ171,""",""??0;"",""?-0;"",""??0;"", //"""),"'","""")&amp;SUBSTITUTE(TEXT(Overig!AK171,""",""?00;"",""?-00;"",""?00;"", //"""),"'","""")&amp;SUBSTITUTE(IF(EXACT(Overig!AL171,"—"),TEXT(Overig!AL171,""",""????0;"",""???-0;"",""????0;"", ////////////,"""),TEXT(Overig!AL171,"\, \'@""',""")&amp;REPT(" ",10-LEN(Overig!AL171))),"'","""")&amp;SUBSTITUTE(TEXT(Overig!AM171,"?00;?-00;?00;"" //"""),"'","""")&amp;SUBSTITUTE(TEXT(Overig!AN171,""",""???0;"",""??-0;"",""???0;"", ///"""),"'","""")&amp;SUBSTITUTE(TEXT(Overig!AO171,""",""?00;"",""?-00;"",""?00;"", //"""),"'","""")</f>
        <v>78989, 19130619, 0800, ////, 07, /////, 07, ////, 07, /////, 07, ////, 07, ////, 07, ////, 07, ////, 07, ///, 07, ///, 07, ////, 07, ////, 07, ///, 07, ////, 07, ////, 07, ///, 07, //, 07, ////////////, 07, ///, 07</v>
      </c>
    </row>
    <row r="172" spans="1:1" x14ac:dyDescent="0.25">
      <c r="A172" s="75" t="str">
        <f ca="1">TEXT(Overig!A172,"000\,")&amp;TEXT(Overig!B172,"?00000000")&amp;TEXT(Overig!C172,""", ""0000")&amp;SUBSTITUTE(TEXT(IF(ISTEXT(Overig!D172),Overig!D172,10*Overig!D172),""",""????0;"",""???-0;"",""????0;"", ////"""),"'","""")&amp;SUBSTITUTE(TEXT(Overig!E172,""",""?00;"",""?-00;"",""?00;"", //"""),"'","""")&amp;SUBSTITUTE(TEXT(IF(ISTEXT(Overig!F172),Overig!F172,100*Overig!F172),""",""?????0;"",""????-0;"",""?????0;"", /////"""),"'","""")&amp;SUBSTITUTE(TEXT(Overig!G172,""",""?00;"",""?-00;"",""?00;"", //"""),"'","""")&amp;SUBSTITUTE(TEXT(IF(ISTEXT(Overig!H172),Overig!H172,100*Overig!H172),""",""????0;"",""???-0;"",""????0;"", ////"""),"'","""")&amp;SUBSTITUTE(TEXT(Overig!I172,""",""?00;"",""?-00;"",""?00;"", //"""),"'","""")&amp;SUBSTITUTE(TEXT(IF(ISTEXT(Overig!J172),Overig!J172,100*Overig!J172),""",""?????0;"",""????-0;"",""?????0;"", /////"""),"'","""")&amp;SUBSTITUTE(TEXT(Overig!K172,""",""?00;"",""?-00;"",""?00;"", //"""),"'","""")&amp;SUBSTITUTE(TEXT(IF(ISTEXT(Overig!L172),Overig!L172,10*Overig!L172),""",""????0;"",""???-0;"",""????0;"", ////"""),"'","""")&amp;SUBSTITUTE(TEXT(Overig!M172,""",""?00;"",""?-00;"",""?00;"", //"""),"'","""")&amp;SUBSTITUTE(TEXT(IF(ISTEXT(Overig!N172),Overig!N172,10*Overig!N172),""",""????0;"",""???-0;"",""????0;"", ////"""),"'","""")&amp;SUBSTITUTE(TEXT(Overig!O172,""",""?00;"",""?-00;"",""?00;"", //"""),"'","""")&amp;SUBSTITUTE(TEXT(IF(ISTEXT(Overig!P172),Overig!P172,10*Overig!P172),""",""????0;"",""???-0;"",""????0;"", ////"""),"'","""")&amp;SUBSTITUTE(TEXT(Overig!Q172,""",""?00;"",""?-00;"",""?00;"", //"""),"'","""")&amp;SUBSTITUTE(TEXT(IF(ISTEXT(Overig!R172),Overig!R172,10*Overig!R172),""",""????0;"",""???-0;"",""????0;"", ////"""),"'","""")&amp;SUBSTITUTE(TEXT(Overig!S172,""",""?00;"",""?-00;"",""?00;"", //"""),"'","""")&amp;SUBSTITUTE(TEXT(Overig!T172,""",""???0;"",""??-0;"",""???0;"", ///"""),"'","""")&amp;SUBSTITUTE(TEXT(Overig!U172,""",""?00;"",""?-00;"",""?00;"", //"""),"'","""")&amp;SUBSTITUTE(TEXT(IF(ISTEXT(Overig!V172),Overig!V172,10*Overig!V172),""",""???0;"",""??-0;"",""???0;"", ///"""),"'","""")&amp;SUBSTITUTE(TEXT(Overig!W172,""",""?00;"",""?-00;"",""?00;"", //"""),"'","""")&amp;SUBSTITUTE(TEXT(IF(ISTEXT(Overig!X172),Overig!X172,10*Overig!X172),""",""????0;"",""???-0;"",""????0;"", ////"""),"'","""")&amp;SUBSTITUTE(TEXT(Overig!Y172,""",""?00;"",""?-00;"",""?00;"", //"""),"'","""")&amp;SUBSTITUTE(TEXT(IF(ISTEXT(Overig!Z172),Overig!Z172,10*Overig!Z172),""",""????0;"",""???-0;"",""????0;"", ////"""),"'","""")&amp;SUBSTITUTE(TEXT(Overig!AA172,""",""?00;"",""?-00;"",""?00;"", //"""),"'","""")&amp;SUBSTITUTE(TEXT(Overig!AB172,""",""???0;"",""??-0;"",""???0;"", ///"""),"'","""")&amp;SUBSTITUTE(TEXT(Overig!AC172,""",""?00;"",""?-00;"",""?00;"", //"""),"'","""")&amp;SUBSTITUTE(TEXT(IF(ISTEXT(Overig!AD172),Overig!AD172,10*Overig!AD172),""",""????0;"",""???-0;"",""????0;"", ////"""),"'","""")&amp;SUBSTITUTE(TEXT(Overig!AE172,""",""?00;"",""?-00;"",""?00;"", //"""),"'","""")&amp;SUBSTITUTE(TEXT(IF(ISTEXT(Overig!AF172),Overig!AF172,10*Overig!AF172),""",""????0;"",""???-0;"",""????0;"", ////"""),"'","""")&amp;SUBSTITUTE(TEXT(Overig!AG172,""",""?00;"",""?-00;"",""?00;"", //"""),"'","""")&amp;SUBSTITUTE(TEXT(Overig!AH172,""",""???0;"",""??-0;"",""???0;"", ///"""),"'","""")&amp;SUBSTITUTE(TEXT(Overig!AI172,""",""?00;"",""?-00;"",""?00;"", //"""),"'","""")&amp;SUBSTITUTE(TEXT(Overig!AJ172,""",""??0;"",""?-0;"",""??0;"", //"""),"'","""")&amp;SUBSTITUTE(TEXT(Overig!AK172,""",""?00;"",""?-00;"",""?00;"", //"""),"'","""")&amp;SUBSTITUTE(IF(EXACT(Overig!AL172,"—"),TEXT(Overig!AL172,""",""????0;"",""???-0;"",""????0;"", ////////////,"""),TEXT(Overig!AL172,"\, \'@""',""")&amp;REPT(" ",10-LEN(Overig!AL172))),"'","""")&amp;SUBSTITUTE(TEXT(Overig!AM172,"?00;?-00;?00;"" //"""),"'","""")&amp;SUBSTITUTE(TEXT(Overig!AN172,""",""???0;"",""??-0;"",""???0;"", ///"""),"'","""")&amp;SUBSTITUTE(TEXT(Overig!AO172,""",""?00;"",""?-00;"",""?00;"", //"""),"'","""")</f>
        <v>78989, 19130620, 0800, ////, 07, /////, 07, ////, 07, /////, 07, ////, 07, ////, 07, ////, 07, ////, 07, ///, 07, ///, 07, ////, 07, ////, 07, ///, 07, ////, 07, ////, 07, ///, 07, //, 07, ////////////, 07, ///, 07</v>
      </c>
    </row>
    <row r="173" spans="1:1" x14ac:dyDescent="0.25">
      <c r="A173" s="75" t="str">
        <f ca="1">TEXT(Overig!A173,"000\,")&amp;TEXT(Overig!B173,"?00000000")&amp;TEXT(Overig!C173,""", ""0000")&amp;SUBSTITUTE(TEXT(IF(ISTEXT(Overig!D173),Overig!D173,10*Overig!D173),""",""????0;"",""???-0;"",""????0;"", ////"""),"'","""")&amp;SUBSTITUTE(TEXT(Overig!E173,""",""?00;"",""?-00;"",""?00;"", //"""),"'","""")&amp;SUBSTITUTE(TEXT(IF(ISTEXT(Overig!F173),Overig!F173,100*Overig!F173),""",""?????0;"",""????-0;"",""?????0;"", /////"""),"'","""")&amp;SUBSTITUTE(TEXT(Overig!G173,""",""?00;"",""?-00;"",""?00;"", //"""),"'","""")&amp;SUBSTITUTE(TEXT(IF(ISTEXT(Overig!H173),Overig!H173,100*Overig!H173),""",""????0;"",""???-0;"",""????0;"", ////"""),"'","""")&amp;SUBSTITUTE(TEXT(Overig!I173,""",""?00;"",""?-00;"",""?00;"", //"""),"'","""")&amp;SUBSTITUTE(TEXT(IF(ISTEXT(Overig!J173),Overig!J173,100*Overig!J173),""",""?????0;"",""????-0;"",""?????0;"", /////"""),"'","""")&amp;SUBSTITUTE(TEXT(Overig!K173,""",""?00;"",""?-00;"",""?00;"", //"""),"'","""")&amp;SUBSTITUTE(TEXT(IF(ISTEXT(Overig!L173),Overig!L173,10*Overig!L173),""",""????0;"",""???-0;"",""????0;"", ////"""),"'","""")&amp;SUBSTITUTE(TEXT(Overig!M173,""",""?00;"",""?-00;"",""?00;"", //"""),"'","""")&amp;SUBSTITUTE(TEXT(IF(ISTEXT(Overig!N173),Overig!N173,10*Overig!N173),""",""????0;"",""???-0;"",""????0;"", ////"""),"'","""")&amp;SUBSTITUTE(TEXT(Overig!O173,""",""?00;"",""?-00;"",""?00;"", //"""),"'","""")&amp;SUBSTITUTE(TEXT(IF(ISTEXT(Overig!P173),Overig!P173,10*Overig!P173),""",""????0;"",""???-0;"",""????0;"", ////"""),"'","""")&amp;SUBSTITUTE(TEXT(Overig!Q173,""",""?00;"",""?-00;"",""?00;"", //"""),"'","""")&amp;SUBSTITUTE(TEXT(IF(ISTEXT(Overig!R173),Overig!R173,10*Overig!R173),""",""????0;"",""???-0;"",""????0;"", ////"""),"'","""")&amp;SUBSTITUTE(TEXT(Overig!S173,""",""?00;"",""?-00;"",""?00;"", //"""),"'","""")&amp;SUBSTITUTE(TEXT(Overig!T173,""",""???0;"",""??-0;"",""???0;"", ///"""),"'","""")&amp;SUBSTITUTE(TEXT(Overig!U173,""",""?00;"",""?-00;"",""?00;"", //"""),"'","""")&amp;SUBSTITUTE(TEXT(IF(ISTEXT(Overig!V173),Overig!V173,10*Overig!V173),""",""???0;"",""??-0;"",""???0;"", ///"""),"'","""")&amp;SUBSTITUTE(TEXT(Overig!W173,""",""?00;"",""?-00;"",""?00;"", //"""),"'","""")&amp;SUBSTITUTE(TEXT(IF(ISTEXT(Overig!X173),Overig!X173,10*Overig!X173),""",""????0;"",""???-0;"",""????0;"", ////"""),"'","""")&amp;SUBSTITUTE(TEXT(Overig!Y173,""",""?00;"",""?-00;"",""?00;"", //"""),"'","""")&amp;SUBSTITUTE(TEXT(IF(ISTEXT(Overig!Z173),Overig!Z173,10*Overig!Z173),""",""????0;"",""???-0;"",""????0;"", ////"""),"'","""")&amp;SUBSTITUTE(TEXT(Overig!AA173,""",""?00;"",""?-00;"",""?00;"", //"""),"'","""")&amp;SUBSTITUTE(TEXT(Overig!AB173,""",""???0;"",""??-0;"",""???0;"", ///"""),"'","""")&amp;SUBSTITUTE(TEXT(Overig!AC173,""",""?00;"",""?-00;"",""?00;"", //"""),"'","""")&amp;SUBSTITUTE(TEXT(IF(ISTEXT(Overig!AD173),Overig!AD173,10*Overig!AD173),""",""????0;"",""???-0;"",""????0;"", ////"""),"'","""")&amp;SUBSTITUTE(TEXT(Overig!AE173,""",""?00;"",""?-00;"",""?00;"", //"""),"'","""")&amp;SUBSTITUTE(TEXT(IF(ISTEXT(Overig!AF173),Overig!AF173,10*Overig!AF173),""",""????0;"",""???-0;"",""????0;"", ////"""),"'","""")&amp;SUBSTITUTE(TEXT(Overig!AG173,""",""?00;"",""?-00;"",""?00;"", //"""),"'","""")&amp;SUBSTITUTE(TEXT(Overig!AH173,""",""???0;"",""??-0;"",""???0;"", ///"""),"'","""")&amp;SUBSTITUTE(TEXT(Overig!AI173,""",""?00;"",""?-00;"",""?00;"", //"""),"'","""")&amp;SUBSTITUTE(TEXT(Overig!AJ173,""",""??0;"",""?-0;"",""??0;"", //"""),"'","""")&amp;SUBSTITUTE(TEXT(Overig!AK173,""",""?00;"",""?-00;"",""?00;"", //"""),"'","""")&amp;SUBSTITUTE(IF(EXACT(Overig!AL173,"—"),TEXT(Overig!AL173,""",""????0;"",""???-0;"",""????0;"", ////////////,"""),TEXT(Overig!AL173,"\, \'@""',""")&amp;REPT(" ",10-LEN(Overig!AL173))),"'","""")&amp;SUBSTITUTE(TEXT(Overig!AM173,"?00;?-00;?00;"" //"""),"'","""")&amp;SUBSTITUTE(TEXT(Overig!AN173,""",""???0;"",""??-0;"",""???0;"", ///"""),"'","""")&amp;SUBSTITUTE(TEXT(Overig!AO173,""",""?00;"",""?-00;"",""?00;"", //"""),"'","""")</f>
        <v>78989, 19130621, 0800, ////, 07, /////, 07, ////, 07, /////, 07, ////, 07, ////, 07, ////, 07, ////, 07, ///, 07, ///, 07, ////, 07, ////, 07, ///, 07, ////, 07, ////, 07, ///, 07, //, 07, ////////////, 07, ///, 07</v>
      </c>
    </row>
    <row r="174" spans="1:1" x14ac:dyDescent="0.25">
      <c r="A174" s="75" t="str">
        <f ca="1">TEXT(Overig!A174,"000\,")&amp;TEXT(Overig!B174,"?00000000")&amp;TEXT(Overig!C174,""", ""0000")&amp;SUBSTITUTE(TEXT(IF(ISTEXT(Overig!D174),Overig!D174,10*Overig!D174),""",""????0;"",""???-0;"",""????0;"", ////"""),"'","""")&amp;SUBSTITUTE(TEXT(Overig!E174,""",""?00;"",""?-00;"",""?00;"", //"""),"'","""")&amp;SUBSTITUTE(TEXT(IF(ISTEXT(Overig!F174),Overig!F174,100*Overig!F174),""",""?????0;"",""????-0;"",""?????0;"", /////"""),"'","""")&amp;SUBSTITUTE(TEXT(Overig!G174,""",""?00;"",""?-00;"",""?00;"", //"""),"'","""")&amp;SUBSTITUTE(TEXT(IF(ISTEXT(Overig!H174),Overig!H174,100*Overig!H174),""",""????0;"",""???-0;"",""????0;"", ////"""),"'","""")&amp;SUBSTITUTE(TEXT(Overig!I174,""",""?00;"",""?-00;"",""?00;"", //"""),"'","""")&amp;SUBSTITUTE(TEXT(IF(ISTEXT(Overig!J174),Overig!J174,100*Overig!J174),""",""?????0;"",""????-0;"",""?????0;"", /////"""),"'","""")&amp;SUBSTITUTE(TEXT(Overig!K174,""",""?00;"",""?-00;"",""?00;"", //"""),"'","""")&amp;SUBSTITUTE(TEXT(IF(ISTEXT(Overig!L174),Overig!L174,10*Overig!L174),""",""????0;"",""???-0;"",""????0;"", ////"""),"'","""")&amp;SUBSTITUTE(TEXT(Overig!M174,""",""?00;"",""?-00;"",""?00;"", //"""),"'","""")&amp;SUBSTITUTE(TEXT(IF(ISTEXT(Overig!N174),Overig!N174,10*Overig!N174),""",""????0;"",""???-0;"",""????0;"", ////"""),"'","""")&amp;SUBSTITUTE(TEXT(Overig!O174,""",""?00;"",""?-00;"",""?00;"", //"""),"'","""")&amp;SUBSTITUTE(TEXT(IF(ISTEXT(Overig!P174),Overig!P174,10*Overig!P174),""",""????0;"",""???-0;"",""????0;"", ////"""),"'","""")&amp;SUBSTITUTE(TEXT(Overig!Q174,""",""?00;"",""?-00;"",""?00;"", //"""),"'","""")&amp;SUBSTITUTE(TEXT(IF(ISTEXT(Overig!R174),Overig!R174,10*Overig!R174),""",""????0;"",""???-0;"",""????0;"", ////"""),"'","""")&amp;SUBSTITUTE(TEXT(Overig!S174,""",""?00;"",""?-00;"",""?00;"", //"""),"'","""")&amp;SUBSTITUTE(TEXT(Overig!T174,""",""???0;"",""??-0;"",""???0;"", ///"""),"'","""")&amp;SUBSTITUTE(TEXT(Overig!U174,""",""?00;"",""?-00;"",""?00;"", //"""),"'","""")&amp;SUBSTITUTE(TEXT(IF(ISTEXT(Overig!V174),Overig!V174,10*Overig!V174),""",""???0;"",""??-0;"",""???0;"", ///"""),"'","""")&amp;SUBSTITUTE(TEXT(Overig!W174,""",""?00;"",""?-00;"",""?00;"", //"""),"'","""")&amp;SUBSTITUTE(TEXT(IF(ISTEXT(Overig!X174),Overig!X174,10*Overig!X174),""",""????0;"",""???-0;"",""????0;"", ////"""),"'","""")&amp;SUBSTITUTE(TEXT(Overig!Y174,""",""?00;"",""?-00;"",""?00;"", //"""),"'","""")&amp;SUBSTITUTE(TEXT(IF(ISTEXT(Overig!Z174),Overig!Z174,10*Overig!Z174),""",""????0;"",""???-0;"",""????0;"", ////"""),"'","""")&amp;SUBSTITUTE(TEXT(Overig!AA174,""",""?00;"",""?-00;"",""?00;"", //"""),"'","""")&amp;SUBSTITUTE(TEXT(Overig!AB174,""",""???0;"",""??-0;"",""???0;"", ///"""),"'","""")&amp;SUBSTITUTE(TEXT(Overig!AC174,""",""?00;"",""?-00;"",""?00;"", //"""),"'","""")&amp;SUBSTITUTE(TEXT(IF(ISTEXT(Overig!AD174),Overig!AD174,10*Overig!AD174),""",""????0;"",""???-0;"",""????0;"", ////"""),"'","""")&amp;SUBSTITUTE(TEXT(Overig!AE174,""",""?00;"",""?-00;"",""?00;"", //"""),"'","""")&amp;SUBSTITUTE(TEXT(IF(ISTEXT(Overig!AF174),Overig!AF174,10*Overig!AF174),""",""????0;"",""???-0;"",""????0;"", ////"""),"'","""")&amp;SUBSTITUTE(TEXT(Overig!AG174,""",""?00;"",""?-00;"",""?00;"", //"""),"'","""")&amp;SUBSTITUTE(TEXT(Overig!AH174,""",""???0;"",""??-0;"",""???0;"", ///"""),"'","""")&amp;SUBSTITUTE(TEXT(Overig!AI174,""",""?00;"",""?-00;"",""?00;"", //"""),"'","""")&amp;SUBSTITUTE(TEXT(Overig!AJ174,""",""??0;"",""?-0;"",""??0;"", //"""),"'","""")&amp;SUBSTITUTE(TEXT(Overig!AK174,""",""?00;"",""?-00;"",""?00;"", //"""),"'","""")&amp;SUBSTITUTE(IF(EXACT(Overig!AL174,"—"),TEXT(Overig!AL174,""",""????0;"",""???-0;"",""????0;"", ////////////,"""),TEXT(Overig!AL174,"\, \'@""',""")&amp;REPT(" ",10-LEN(Overig!AL174))),"'","""")&amp;SUBSTITUTE(TEXT(Overig!AM174,"?00;?-00;?00;"" //"""),"'","""")&amp;SUBSTITUTE(TEXT(Overig!AN174,""",""???0;"",""??-0;"",""???0;"", ///"""),"'","""")&amp;SUBSTITUTE(TEXT(Overig!AO174,""",""?00;"",""?-00;"",""?00;"", //"""),"'","""")</f>
        <v>78989, 19130622, 0800, ////, 07, /////, 07, ////, 07, /////, 07, ////, 07, ////, 07, ////, 07, ////, 07, ///, 07, ///, 07, ////, 07, ////, 07, ///, 07, ////, 07, ////, 07, ///, 07, //, 07, ////////////, 07, ///, 07</v>
      </c>
    </row>
    <row r="175" spans="1:1" x14ac:dyDescent="0.25">
      <c r="A175" s="75" t="str">
        <f ca="1">TEXT(Overig!A175,"000\,")&amp;TEXT(Overig!B175,"?00000000")&amp;TEXT(Overig!C175,""", ""0000")&amp;SUBSTITUTE(TEXT(IF(ISTEXT(Overig!D175),Overig!D175,10*Overig!D175),""",""????0;"",""???-0;"",""????0;"", ////"""),"'","""")&amp;SUBSTITUTE(TEXT(Overig!E175,""",""?00;"",""?-00;"",""?00;"", //"""),"'","""")&amp;SUBSTITUTE(TEXT(IF(ISTEXT(Overig!F175),Overig!F175,100*Overig!F175),""",""?????0;"",""????-0;"",""?????0;"", /////"""),"'","""")&amp;SUBSTITUTE(TEXT(Overig!G175,""",""?00;"",""?-00;"",""?00;"", //"""),"'","""")&amp;SUBSTITUTE(TEXT(IF(ISTEXT(Overig!H175),Overig!H175,100*Overig!H175),""",""????0;"",""???-0;"",""????0;"", ////"""),"'","""")&amp;SUBSTITUTE(TEXT(Overig!I175,""",""?00;"",""?-00;"",""?00;"", //"""),"'","""")&amp;SUBSTITUTE(TEXT(IF(ISTEXT(Overig!J175),Overig!J175,100*Overig!J175),""",""?????0;"",""????-0;"",""?????0;"", /////"""),"'","""")&amp;SUBSTITUTE(TEXT(Overig!K175,""",""?00;"",""?-00;"",""?00;"", //"""),"'","""")&amp;SUBSTITUTE(TEXT(IF(ISTEXT(Overig!L175),Overig!L175,10*Overig!L175),""",""????0;"",""???-0;"",""????0;"", ////"""),"'","""")&amp;SUBSTITUTE(TEXT(Overig!M175,""",""?00;"",""?-00;"",""?00;"", //"""),"'","""")&amp;SUBSTITUTE(TEXT(IF(ISTEXT(Overig!N175),Overig!N175,10*Overig!N175),""",""????0;"",""???-0;"",""????0;"", ////"""),"'","""")&amp;SUBSTITUTE(TEXT(Overig!O175,""",""?00;"",""?-00;"",""?00;"", //"""),"'","""")&amp;SUBSTITUTE(TEXT(IF(ISTEXT(Overig!P175),Overig!P175,10*Overig!P175),""",""????0;"",""???-0;"",""????0;"", ////"""),"'","""")&amp;SUBSTITUTE(TEXT(Overig!Q175,""",""?00;"",""?-00;"",""?00;"", //"""),"'","""")&amp;SUBSTITUTE(TEXT(IF(ISTEXT(Overig!R175),Overig!R175,10*Overig!R175),""",""????0;"",""???-0;"",""????0;"", ////"""),"'","""")&amp;SUBSTITUTE(TEXT(Overig!S175,""",""?00;"",""?-00;"",""?00;"", //"""),"'","""")&amp;SUBSTITUTE(TEXT(Overig!T175,""",""???0;"",""??-0;"",""???0;"", ///"""),"'","""")&amp;SUBSTITUTE(TEXT(Overig!U175,""",""?00;"",""?-00;"",""?00;"", //"""),"'","""")&amp;SUBSTITUTE(TEXT(IF(ISTEXT(Overig!V175),Overig!V175,10*Overig!V175),""",""???0;"",""??-0;"",""???0;"", ///"""),"'","""")&amp;SUBSTITUTE(TEXT(Overig!W175,""",""?00;"",""?-00;"",""?00;"", //"""),"'","""")&amp;SUBSTITUTE(TEXT(IF(ISTEXT(Overig!X175),Overig!X175,10*Overig!X175),""",""????0;"",""???-0;"",""????0;"", ////"""),"'","""")&amp;SUBSTITUTE(TEXT(Overig!Y175,""",""?00;"",""?-00;"",""?00;"", //"""),"'","""")&amp;SUBSTITUTE(TEXT(IF(ISTEXT(Overig!Z175),Overig!Z175,10*Overig!Z175),""",""????0;"",""???-0;"",""????0;"", ////"""),"'","""")&amp;SUBSTITUTE(TEXT(Overig!AA175,""",""?00;"",""?-00;"",""?00;"", //"""),"'","""")&amp;SUBSTITUTE(TEXT(Overig!AB175,""",""???0;"",""??-0;"",""???0;"", ///"""),"'","""")&amp;SUBSTITUTE(TEXT(Overig!AC175,""",""?00;"",""?-00;"",""?00;"", //"""),"'","""")&amp;SUBSTITUTE(TEXT(IF(ISTEXT(Overig!AD175),Overig!AD175,10*Overig!AD175),""",""????0;"",""???-0;"",""????0;"", ////"""),"'","""")&amp;SUBSTITUTE(TEXT(Overig!AE175,""",""?00;"",""?-00;"",""?00;"", //"""),"'","""")&amp;SUBSTITUTE(TEXT(IF(ISTEXT(Overig!AF175),Overig!AF175,10*Overig!AF175),""",""????0;"",""???-0;"",""????0;"", ////"""),"'","""")&amp;SUBSTITUTE(TEXT(Overig!AG175,""",""?00;"",""?-00;"",""?00;"", //"""),"'","""")&amp;SUBSTITUTE(TEXT(Overig!AH175,""",""???0;"",""??-0;"",""???0;"", ///"""),"'","""")&amp;SUBSTITUTE(TEXT(Overig!AI175,""",""?00;"",""?-00;"",""?00;"", //"""),"'","""")&amp;SUBSTITUTE(TEXT(Overig!AJ175,""",""??0;"",""?-0;"",""??0;"", //"""),"'","""")&amp;SUBSTITUTE(TEXT(Overig!AK175,""",""?00;"",""?-00;"",""?00;"", //"""),"'","""")&amp;SUBSTITUTE(IF(EXACT(Overig!AL175,"—"),TEXT(Overig!AL175,""",""????0;"",""???-0;"",""????0;"", ////////////,"""),TEXT(Overig!AL175,"\, \'@""',""")&amp;REPT(" ",10-LEN(Overig!AL175))),"'","""")&amp;SUBSTITUTE(TEXT(Overig!AM175,"?00;?-00;?00;"" //"""),"'","""")&amp;SUBSTITUTE(TEXT(Overig!AN175,""",""???0;"",""??-0;"",""???0;"", ///"""),"'","""")&amp;SUBSTITUTE(TEXT(Overig!AO175,""",""?00;"",""?-00;"",""?00;"", //"""),"'","""")</f>
        <v>78989, 19130623, 0800, ////, 07, /////, 07, ////, 07, /////, 07, ////, 07, ////, 07, ////, 07, ////, 07, ///, 07, ///, 07, ////, 07, ////, 07, ///, 07, ////, 07, ////, 07, ///, 07, //, 07, ////////////, 07, ///, 07</v>
      </c>
    </row>
    <row r="176" spans="1:1" x14ac:dyDescent="0.25">
      <c r="A176" s="75" t="str">
        <f ca="1">TEXT(Overig!A176,"000\,")&amp;TEXT(Overig!B176,"?00000000")&amp;TEXT(Overig!C176,""", ""0000")&amp;SUBSTITUTE(TEXT(IF(ISTEXT(Overig!D176),Overig!D176,10*Overig!D176),""",""????0;"",""???-0;"",""????0;"", ////"""),"'","""")&amp;SUBSTITUTE(TEXT(Overig!E176,""",""?00;"",""?-00;"",""?00;"", //"""),"'","""")&amp;SUBSTITUTE(TEXT(IF(ISTEXT(Overig!F176),Overig!F176,100*Overig!F176),""",""?????0;"",""????-0;"",""?????0;"", /////"""),"'","""")&amp;SUBSTITUTE(TEXT(Overig!G176,""",""?00;"",""?-00;"",""?00;"", //"""),"'","""")&amp;SUBSTITUTE(TEXT(IF(ISTEXT(Overig!H176),Overig!H176,100*Overig!H176),""",""????0;"",""???-0;"",""????0;"", ////"""),"'","""")&amp;SUBSTITUTE(TEXT(Overig!I176,""",""?00;"",""?-00;"",""?00;"", //"""),"'","""")&amp;SUBSTITUTE(TEXT(IF(ISTEXT(Overig!J176),Overig!J176,100*Overig!J176),""",""?????0;"",""????-0;"",""?????0;"", /////"""),"'","""")&amp;SUBSTITUTE(TEXT(Overig!K176,""",""?00;"",""?-00;"",""?00;"", //"""),"'","""")&amp;SUBSTITUTE(TEXT(IF(ISTEXT(Overig!L176),Overig!L176,10*Overig!L176),""",""????0;"",""???-0;"",""????0;"", ////"""),"'","""")&amp;SUBSTITUTE(TEXT(Overig!M176,""",""?00;"",""?-00;"",""?00;"", //"""),"'","""")&amp;SUBSTITUTE(TEXT(IF(ISTEXT(Overig!N176),Overig!N176,10*Overig!N176),""",""????0;"",""???-0;"",""????0;"", ////"""),"'","""")&amp;SUBSTITUTE(TEXT(Overig!O176,""",""?00;"",""?-00;"",""?00;"", //"""),"'","""")&amp;SUBSTITUTE(TEXT(IF(ISTEXT(Overig!P176),Overig!P176,10*Overig!P176),""",""????0;"",""???-0;"",""????0;"", ////"""),"'","""")&amp;SUBSTITUTE(TEXT(Overig!Q176,""",""?00;"",""?-00;"",""?00;"", //"""),"'","""")&amp;SUBSTITUTE(TEXT(IF(ISTEXT(Overig!R176),Overig!R176,10*Overig!R176),""",""????0;"",""???-0;"",""????0;"", ////"""),"'","""")&amp;SUBSTITUTE(TEXT(Overig!S176,""",""?00;"",""?-00;"",""?00;"", //"""),"'","""")&amp;SUBSTITUTE(TEXT(Overig!T176,""",""???0;"",""??-0;"",""???0;"", ///"""),"'","""")&amp;SUBSTITUTE(TEXT(Overig!U176,""",""?00;"",""?-00;"",""?00;"", //"""),"'","""")&amp;SUBSTITUTE(TEXT(IF(ISTEXT(Overig!V176),Overig!V176,10*Overig!V176),""",""???0;"",""??-0;"",""???0;"", ///"""),"'","""")&amp;SUBSTITUTE(TEXT(Overig!W176,""",""?00;"",""?-00;"",""?00;"", //"""),"'","""")&amp;SUBSTITUTE(TEXT(IF(ISTEXT(Overig!X176),Overig!X176,10*Overig!X176),""",""????0;"",""???-0;"",""????0;"", ////"""),"'","""")&amp;SUBSTITUTE(TEXT(Overig!Y176,""",""?00;"",""?-00;"",""?00;"", //"""),"'","""")&amp;SUBSTITUTE(TEXT(IF(ISTEXT(Overig!Z176),Overig!Z176,10*Overig!Z176),""",""????0;"",""???-0;"",""????0;"", ////"""),"'","""")&amp;SUBSTITUTE(TEXT(Overig!AA176,""",""?00;"",""?-00;"",""?00;"", //"""),"'","""")&amp;SUBSTITUTE(TEXT(Overig!AB176,""",""???0;"",""??-0;"",""???0;"", ///"""),"'","""")&amp;SUBSTITUTE(TEXT(Overig!AC176,""",""?00;"",""?-00;"",""?00;"", //"""),"'","""")&amp;SUBSTITUTE(TEXT(IF(ISTEXT(Overig!AD176),Overig!AD176,10*Overig!AD176),""",""????0;"",""???-0;"",""????0;"", ////"""),"'","""")&amp;SUBSTITUTE(TEXT(Overig!AE176,""",""?00;"",""?-00;"",""?00;"", //"""),"'","""")&amp;SUBSTITUTE(TEXT(IF(ISTEXT(Overig!AF176),Overig!AF176,10*Overig!AF176),""",""????0;"",""???-0;"",""????0;"", ////"""),"'","""")&amp;SUBSTITUTE(TEXT(Overig!AG176,""",""?00;"",""?-00;"",""?00;"", //"""),"'","""")&amp;SUBSTITUTE(TEXT(Overig!AH176,""",""???0;"",""??-0;"",""???0;"", ///"""),"'","""")&amp;SUBSTITUTE(TEXT(Overig!AI176,""",""?00;"",""?-00;"",""?00;"", //"""),"'","""")&amp;SUBSTITUTE(TEXT(Overig!AJ176,""",""??0;"",""?-0;"",""??0;"", //"""),"'","""")&amp;SUBSTITUTE(TEXT(Overig!AK176,""",""?00;"",""?-00;"",""?00;"", //"""),"'","""")&amp;SUBSTITUTE(IF(EXACT(Overig!AL176,"—"),TEXT(Overig!AL176,""",""????0;"",""???-0;"",""????0;"", ////////////,"""),TEXT(Overig!AL176,"\, \'@""',""")&amp;REPT(" ",10-LEN(Overig!AL176))),"'","""")&amp;SUBSTITUTE(TEXT(Overig!AM176,"?00;?-00;?00;"" //"""),"'","""")&amp;SUBSTITUTE(TEXT(Overig!AN176,""",""???0;"",""??-0;"",""???0;"", ///"""),"'","""")&amp;SUBSTITUTE(TEXT(Overig!AO176,""",""?00;"",""?-00;"",""?00;"", //"""),"'","""")</f>
        <v>78989, 19130624, 0800, ////, 07, /////, 07, ////, 07, /////, 07, ////, 07, ////, 07, ////, 07, ////, 07, ///, 07, ///, 07, ////, 07, ////, 07, ///, 07, ////, 07, ////, 07, ///, 07, //, 07, ////////////, 07, ///, 07</v>
      </c>
    </row>
    <row r="177" spans="1:1" x14ac:dyDescent="0.25">
      <c r="A177" s="75" t="str">
        <f ca="1">TEXT(Overig!A177,"000\,")&amp;TEXT(Overig!B177,"?00000000")&amp;TEXT(Overig!C177,""", ""0000")&amp;SUBSTITUTE(TEXT(IF(ISTEXT(Overig!D177),Overig!D177,10*Overig!D177),""",""????0;"",""???-0;"",""????0;"", ////"""),"'","""")&amp;SUBSTITUTE(TEXT(Overig!E177,""",""?00;"",""?-00;"",""?00;"", //"""),"'","""")&amp;SUBSTITUTE(TEXT(IF(ISTEXT(Overig!F177),Overig!F177,100*Overig!F177),""",""?????0;"",""????-0;"",""?????0;"", /////"""),"'","""")&amp;SUBSTITUTE(TEXT(Overig!G177,""",""?00;"",""?-00;"",""?00;"", //"""),"'","""")&amp;SUBSTITUTE(TEXT(IF(ISTEXT(Overig!H177),Overig!H177,100*Overig!H177),""",""????0;"",""???-0;"",""????0;"", ////"""),"'","""")&amp;SUBSTITUTE(TEXT(Overig!I177,""",""?00;"",""?-00;"",""?00;"", //"""),"'","""")&amp;SUBSTITUTE(TEXT(IF(ISTEXT(Overig!J177),Overig!J177,100*Overig!J177),""",""?????0;"",""????-0;"",""?????0;"", /////"""),"'","""")&amp;SUBSTITUTE(TEXT(Overig!K177,""",""?00;"",""?-00;"",""?00;"", //"""),"'","""")&amp;SUBSTITUTE(TEXT(IF(ISTEXT(Overig!L177),Overig!L177,10*Overig!L177),""",""????0;"",""???-0;"",""????0;"", ////"""),"'","""")&amp;SUBSTITUTE(TEXT(Overig!M177,""",""?00;"",""?-00;"",""?00;"", //"""),"'","""")&amp;SUBSTITUTE(TEXT(IF(ISTEXT(Overig!N177),Overig!N177,10*Overig!N177),""",""????0;"",""???-0;"",""????0;"", ////"""),"'","""")&amp;SUBSTITUTE(TEXT(Overig!O177,""",""?00;"",""?-00;"",""?00;"", //"""),"'","""")&amp;SUBSTITUTE(TEXT(IF(ISTEXT(Overig!P177),Overig!P177,10*Overig!P177),""",""????0;"",""???-0;"",""????0;"", ////"""),"'","""")&amp;SUBSTITUTE(TEXT(Overig!Q177,""",""?00;"",""?-00;"",""?00;"", //"""),"'","""")&amp;SUBSTITUTE(TEXT(IF(ISTEXT(Overig!R177),Overig!R177,10*Overig!R177),""",""????0;"",""???-0;"",""????0;"", ////"""),"'","""")&amp;SUBSTITUTE(TEXT(Overig!S177,""",""?00;"",""?-00;"",""?00;"", //"""),"'","""")&amp;SUBSTITUTE(TEXT(Overig!T177,""",""???0;"",""??-0;"",""???0;"", ///"""),"'","""")&amp;SUBSTITUTE(TEXT(Overig!U177,""",""?00;"",""?-00;"",""?00;"", //"""),"'","""")&amp;SUBSTITUTE(TEXT(IF(ISTEXT(Overig!V177),Overig!V177,10*Overig!V177),""",""???0;"",""??-0;"",""???0;"", ///"""),"'","""")&amp;SUBSTITUTE(TEXT(Overig!W177,""",""?00;"",""?-00;"",""?00;"", //"""),"'","""")&amp;SUBSTITUTE(TEXT(IF(ISTEXT(Overig!X177),Overig!X177,10*Overig!X177),""",""????0;"",""???-0;"",""????0;"", ////"""),"'","""")&amp;SUBSTITUTE(TEXT(Overig!Y177,""",""?00;"",""?-00;"",""?00;"", //"""),"'","""")&amp;SUBSTITUTE(TEXT(IF(ISTEXT(Overig!Z177),Overig!Z177,10*Overig!Z177),""",""????0;"",""???-0;"",""????0;"", ////"""),"'","""")&amp;SUBSTITUTE(TEXT(Overig!AA177,""",""?00;"",""?-00;"",""?00;"", //"""),"'","""")&amp;SUBSTITUTE(TEXT(Overig!AB177,""",""???0;"",""??-0;"",""???0;"", ///"""),"'","""")&amp;SUBSTITUTE(TEXT(Overig!AC177,""",""?00;"",""?-00;"",""?00;"", //"""),"'","""")&amp;SUBSTITUTE(TEXT(IF(ISTEXT(Overig!AD177),Overig!AD177,10*Overig!AD177),""",""????0;"",""???-0;"",""????0;"", ////"""),"'","""")&amp;SUBSTITUTE(TEXT(Overig!AE177,""",""?00;"",""?-00;"",""?00;"", //"""),"'","""")&amp;SUBSTITUTE(TEXT(IF(ISTEXT(Overig!AF177),Overig!AF177,10*Overig!AF177),""",""????0;"",""???-0;"",""????0;"", ////"""),"'","""")&amp;SUBSTITUTE(TEXT(Overig!AG177,""",""?00;"",""?-00;"",""?00;"", //"""),"'","""")&amp;SUBSTITUTE(TEXT(Overig!AH177,""",""???0;"",""??-0;"",""???0;"", ///"""),"'","""")&amp;SUBSTITUTE(TEXT(Overig!AI177,""",""?00;"",""?-00;"",""?00;"", //"""),"'","""")&amp;SUBSTITUTE(TEXT(Overig!AJ177,""",""??0;"",""?-0;"",""??0;"", //"""),"'","""")&amp;SUBSTITUTE(TEXT(Overig!AK177,""",""?00;"",""?-00;"",""?00;"", //"""),"'","""")&amp;SUBSTITUTE(IF(EXACT(Overig!AL177,"—"),TEXT(Overig!AL177,""",""????0;"",""???-0;"",""????0;"", ////////////,"""),TEXT(Overig!AL177,"\, \'@""',""")&amp;REPT(" ",10-LEN(Overig!AL177))),"'","""")&amp;SUBSTITUTE(TEXT(Overig!AM177,"?00;?-00;?00;"" //"""),"'","""")&amp;SUBSTITUTE(TEXT(Overig!AN177,""",""???0;"",""??-0;"",""???0;"", ///"""),"'","""")&amp;SUBSTITUTE(TEXT(Overig!AO177,""",""?00;"",""?-00;"",""?00;"", //"""),"'","""")</f>
        <v>78989, 19130625, 0800, ////, 07, /////, 07, ////, 07, /////, 07, ////, 07, ////, 07, ////, 07, ////, 07, ///, 07, ///, 07, ////, 07, ////, 07, ///, 07, ////, 07, ////, 07, ///, 07, //, 07, ////////////, 07, ///, 07</v>
      </c>
    </row>
    <row r="178" spans="1:1" x14ac:dyDescent="0.25">
      <c r="A178" s="75" t="str">
        <f ca="1">TEXT(Overig!A178,"000\,")&amp;TEXT(Overig!B178,"?00000000")&amp;TEXT(Overig!C178,""", ""0000")&amp;SUBSTITUTE(TEXT(IF(ISTEXT(Overig!D178),Overig!D178,10*Overig!D178),""",""????0;"",""???-0;"",""????0;"", ////"""),"'","""")&amp;SUBSTITUTE(TEXT(Overig!E178,""",""?00;"",""?-00;"",""?00;"", //"""),"'","""")&amp;SUBSTITUTE(TEXT(IF(ISTEXT(Overig!F178),Overig!F178,100*Overig!F178),""",""?????0;"",""????-0;"",""?????0;"", /////"""),"'","""")&amp;SUBSTITUTE(TEXT(Overig!G178,""",""?00;"",""?-00;"",""?00;"", //"""),"'","""")&amp;SUBSTITUTE(TEXT(IF(ISTEXT(Overig!H178),Overig!H178,100*Overig!H178),""",""????0;"",""???-0;"",""????0;"", ////"""),"'","""")&amp;SUBSTITUTE(TEXT(Overig!I178,""",""?00;"",""?-00;"",""?00;"", //"""),"'","""")&amp;SUBSTITUTE(TEXT(IF(ISTEXT(Overig!J178),Overig!J178,100*Overig!J178),""",""?????0;"",""????-0;"",""?????0;"", /////"""),"'","""")&amp;SUBSTITUTE(TEXT(Overig!K178,""",""?00;"",""?-00;"",""?00;"", //"""),"'","""")&amp;SUBSTITUTE(TEXT(IF(ISTEXT(Overig!L178),Overig!L178,10*Overig!L178),""",""????0;"",""???-0;"",""????0;"", ////"""),"'","""")&amp;SUBSTITUTE(TEXT(Overig!M178,""",""?00;"",""?-00;"",""?00;"", //"""),"'","""")&amp;SUBSTITUTE(TEXT(IF(ISTEXT(Overig!N178),Overig!N178,10*Overig!N178),""",""????0;"",""???-0;"",""????0;"", ////"""),"'","""")&amp;SUBSTITUTE(TEXT(Overig!O178,""",""?00;"",""?-00;"",""?00;"", //"""),"'","""")&amp;SUBSTITUTE(TEXT(IF(ISTEXT(Overig!P178),Overig!P178,10*Overig!P178),""",""????0;"",""???-0;"",""????0;"", ////"""),"'","""")&amp;SUBSTITUTE(TEXT(Overig!Q178,""",""?00;"",""?-00;"",""?00;"", //"""),"'","""")&amp;SUBSTITUTE(TEXT(IF(ISTEXT(Overig!R178),Overig!R178,10*Overig!R178),""",""????0;"",""???-0;"",""????0;"", ////"""),"'","""")&amp;SUBSTITUTE(TEXT(Overig!S178,""",""?00;"",""?-00;"",""?00;"", //"""),"'","""")&amp;SUBSTITUTE(TEXT(Overig!T178,""",""???0;"",""??-0;"",""???0;"", ///"""),"'","""")&amp;SUBSTITUTE(TEXT(Overig!U178,""",""?00;"",""?-00;"",""?00;"", //"""),"'","""")&amp;SUBSTITUTE(TEXT(IF(ISTEXT(Overig!V178),Overig!V178,10*Overig!V178),""",""???0;"",""??-0;"",""???0;"", ///"""),"'","""")&amp;SUBSTITUTE(TEXT(Overig!W178,""",""?00;"",""?-00;"",""?00;"", //"""),"'","""")&amp;SUBSTITUTE(TEXT(IF(ISTEXT(Overig!X178),Overig!X178,10*Overig!X178),""",""????0;"",""???-0;"",""????0;"", ////"""),"'","""")&amp;SUBSTITUTE(TEXT(Overig!Y178,""",""?00;"",""?-00;"",""?00;"", //"""),"'","""")&amp;SUBSTITUTE(TEXT(IF(ISTEXT(Overig!Z178),Overig!Z178,10*Overig!Z178),""",""????0;"",""???-0;"",""????0;"", ////"""),"'","""")&amp;SUBSTITUTE(TEXT(Overig!AA178,""",""?00;"",""?-00;"",""?00;"", //"""),"'","""")&amp;SUBSTITUTE(TEXT(Overig!AB178,""",""???0;"",""??-0;"",""???0;"", ///"""),"'","""")&amp;SUBSTITUTE(TEXT(Overig!AC178,""",""?00;"",""?-00;"",""?00;"", //"""),"'","""")&amp;SUBSTITUTE(TEXT(IF(ISTEXT(Overig!AD178),Overig!AD178,10*Overig!AD178),""",""????0;"",""???-0;"",""????0;"", ////"""),"'","""")&amp;SUBSTITUTE(TEXT(Overig!AE178,""",""?00;"",""?-00;"",""?00;"", //"""),"'","""")&amp;SUBSTITUTE(TEXT(IF(ISTEXT(Overig!AF178),Overig!AF178,10*Overig!AF178),""",""????0;"",""???-0;"",""????0;"", ////"""),"'","""")&amp;SUBSTITUTE(TEXT(Overig!AG178,""",""?00;"",""?-00;"",""?00;"", //"""),"'","""")&amp;SUBSTITUTE(TEXT(Overig!AH178,""",""???0;"",""??-0;"",""???0;"", ///"""),"'","""")&amp;SUBSTITUTE(TEXT(Overig!AI178,""",""?00;"",""?-00;"",""?00;"", //"""),"'","""")&amp;SUBSTITUTE(TEXT(Overig!AJ178,""",""??0;"",""?-0;"",""??0;"", //"""),"'","""")&amp;SUBSTITUTE(TEXT(Overig!AK178,""",""?00;"",""?-00;"",""?00;"", //"""),"'","""")&amp;SUBSTITUTE(IF(EXACT(Overig!AL178,"—"),TEXT(Overig!AL178,""",""????0;"",""???-0;"",""????0;"", ////////////,"""),TEXT(Overig!AL178,"\, \'@""',""")&amp;REPT(" ",10-LEN(Overig!AL178))),"'","""")&amp;SUBSTITUTE(TEXT(Overig!AM178,"?00;?-00;?00;"" //"""),"'","""")&amp;SUBSTITUTE(TEXT(Overig!AN178,""",""???0;"",""??-0;"",""???0;"", ///"""),"'","""")&amp;SUBSTITUTE(TEXT(Overig!AO178,""",""?00;"",""?-00;"",""?00;"", //"""),"'","""")</f>
        <v>78989, 19130626, 0800, ////, 07, /////, 07, ////, 07, /////, 07, ////, 07, ////, 07, ////, 07, ////, 07, ///, 07, ///, 07, ////, 07, ////, 07, ///, 07, ////, 07, ////, 07, ///, 07, //, 07, ////////////, 07, ///, 07</v>
      </c>
    </row>
    <row r="179" spans="1:1" x14ac:dyDescent="0.25">
      <c r="A179" s="75" t="str">
        <f ca="1">TEXT(Overig!A179,"000\,")&amp;TEXT(Overig!B179,"?00000000")&amp;TEXT(Overig!C179,""", ""0000")&amp;SUBSTITUTE(TEXT(IF(ISTEXT(Overig!D179),Overig!D179,10*Overig!D179),""",""????0;"",""???-0;"",""????0;"", ////"""),"'","""")&amp;SUBSTITUTE(TEXT(Overig!E179,""",""?00;"",""?-00;"",""?00;"", //"""),"'","""")&amp;SUBSTITUTE(TEXT(IF(ISTEXT(Overig!F179),Overig!F179,100*Overig!F179),""",""?????0;"",""????-0;"",""?????0;"", /////"""),"'","""")&amp;SUBSTITUTE(TEXT(Overig!G179,""",""?00;"",""?-00;"",""?00;"", //"""),"'","""")&amp;SUBSTITUTE(TEXT(IF(ISTEXT(Overig!H179),Overig!H179,100*Overig!H179),""",""????0;"",""???-0;"",""????0;"", ////"""),"'","""")&amp;SUBSTITUTE(TEXT(Overig!I179,""",""?00;"",""?-00;"",""?00;"", //"""),"'","""")&amp;SUBSTITUTE(TEXT(IF(ISTEXT(Overig!J179),Overig!J179,100*Overig!J179),""",""?????0;"",""????-0;"",""?????0;"", /////"""),"'","""")&amp;SUBSTITUTE(TEXT(Overig!K179,""",""?00;"",""?-00;"",""?00;"", //"""),"'","""")&amp;SUBSTITUTE(TEXT(IF(ISTEXT(Overig!L179),Overig!L179,10*Overig!L179),""",""????0;"",""???-0;"",""????0;"", ////"""),"'","""")&amp;SUBSTITUTE(TEXT(Overig!M179,""",""?00;"",""?-00;"",""?00;"", //"""),"'","""")&amp;SUBSTITUTE(TEXT(IF(ISTEXT(Overig!N179),Overig!N179,10*Overig!N179),""",""????0;"",""???-0;"",""????0;"", ////"""),"'","""")&amp;SUBSTITUTE(TEXT(Overig!O179,""",""?00;"",""?-00;"",""?00;"", //"""),"'","""")&amp;SUBSTITUTE(TEXT(IF(ISTEXT(Overig!P179),Overig!P179,10*Overig!P179),""",""????0;"",""???-0;"",""????0;"", ////"""),"'","""")&amp;SUBSTITUTE(TEXT(Overig!Q179,""",""?00;"",""?-00;"",""?00;"", //"""),"'","""")&amp;SUBSTITUTE(TEXT(IF(ISTEXT(Overig!R179),Overig!R179,10*Overig!R179),""",""????0;"",""???-0;"",""????0;"", ////"""),"'","""")&amp;SUBSTITUTE(TEXT(Overig!S179,""",""?00;"",""?-00;"",""?00;"", //"""),"'","""")&amp;SUBSTITUTE(TEXT(Overig!T179,""",""???0;"",""??-0;"",""???0;"", ///"""),"'","""")&amp;SUBSTITUTE(TEXT(Overig!U179,""",""?00;"",""?-00;"",""?00;"", //"""),"'","""")&amp;SUBSTITUTE(TEXT(IF(ISTEXT(Overig!V179),Overig!V179,10*Overig!V179),""",""???0;"",""??-0;"",""???0;"", ///"""),"'","""")&amp;SUBSTITUTE(TEXT(Overig!W179,""",""?00;"",""?-00;"",""?00;"", //"""),"'","""")&amp;SUBSTITUTE(TEXT(IF(ISTEXT(Overig!X179),Overig!X179,10*Overig!X179),""",""????0;"",""???-0;"",""????0;"", ////"""),"'","""")&amp;SUBSTITUTE(TEXT(Overig!Y179,""",""?00;"",""?-00;"",""?00;"", //"""),"'","""")&amp;SUBSTITUTE(TEXT(IF(ISTEXT(Overig!Z179),Overig!Z179,10*Overig!Z179),""",""????0;"",""???-0;"",""????0;"", ////"""),"'","""")&amp;SUBSTITUTE(TEXT(Overig!AA179,""",""?00;"",""?-00;"",""?00;"", //"""),"'","""")&amp;SUBSTITUTE(TEXT(Overig!AB179,""",""???0;"",""??-0;"",""???0;"", ///"""),"'","""")&amp;SUBSTITUTE(TEXT(Overig!AC179,""",""?00;"",""?-00;"",""?00;"", //"""),"'","""")&amp;SUBSTITUTE(TEXT(IF(ISTEXT(Overig!AD179),Overig!AD179,10*Overig!AD179),""",""????0;"",""???-0;"",""????0;"", ////"""),"'","""")&amp;SUBSTITUTE(TEXT(Overig!AE179,""",""?00;"",""?-00;"",""?00;"", //"""),"'","""")&amp;SUBSTITUTE(TEXT(IF(ISTEXT(Overig!AF179),Overig!AF179,10*Overig!AF179),""",""????0;"",""???-0;"",""????0;"", ////"""),"'","""")&amp;SUBSTITUTE(TEXT(Overig!AG179,""",""?00;"",""?-00;"",""?00;"", //"""),"'","""")&amp;SUBSTITUTE(TEXT(Overig!AH179,""",""???0;"",""??-0;"",""???0;"", ///"""),"'","""")&amp;SUBSTITUTE(TEXT(Overig!AI179,""",""?00;"",""?-00;"",""?00;"", //"""),"'","""")&amp;SUBSTITUTE(TEXT(Overig!AJ179,""",""??0;"",""?-0;"",""??0;"", //"""),"'","""")&amp;SUBSTITUTE(TEXT(Overig!AK179,""",""?00;"",""?-00;"",""?00;"", //"""),"'","""")&amp;SUBSTITUTE(IF(EXACT(Overig!AL179,"—"),TEXT(Overig!AL179,""",""????0;"",""???-0;"",""????0;"", ////////////,"""),TEXT(Overig!AL179,"\, \'@""',""")&amp;REPT(" ",10-LEN(Overig!AL179))),"'","""")&amp;SUBSTITUTE(TEXT(Overig!AM179,"?00;?-00;?00;"" //"""),"'","""")&amp;SUBSTITUTE(TEXT(Overig!AN179,""",""???0;"",""??-0;"",""???0;"", ///"""),"'","""")&amp;SUBSTITUTE(TEXT(Overig!AO179,""",""?00;"",""?-00;"",""?00;"", //"""),"'","""")</f>
        <v>78989, 19130627, 0800, ////, 07, /////, 07, ////, 07, /////, 07, ////, 07, ////, 07, ////, 07, ////, 07, ///, 07, ///, 07, ////, 07, ////, 07, ///, 07, ////, 07, ////, 07, ///, 07, //, 07, ////////////, 07, ///, 07</v>
      </c>
    </row>
    <row r="180" spans="1:1" x14ac:dyDescent="0.25">
      <c r="A180" s="75" t="str">
        <f ca="1">TEXT(Overig!A180,"000\,")&amp;TEXT(Overig!B180,"?00000000")&amp;TEXT(Overig!C180,""", ""0000")&amp;SUBSTITUTE(TEXT(IF(ISTEXT(Overig!D180),Overig!D180,10*Overig!D180),""",""????0;"",""???-0;"",""????0;"", ////"""),"'","""")&amp;SUBSTITUTE(TEXT(Overig!E180,""",""?00;"",""?-00;"",""?00;"", //"""),"'","""")&amp;SUBSTITUTE(TEXT(IF(ISTEXT(Overig!F180),Overig!F180,100*Overig!F180),""",""?????0;"",""????-0;"",""?????0;"", /////"""),"'","""")&amp;SUBSTITUTE(TEXT(Overig!G180,""",""?00;"",""?-00;"",""?00;"", //"""),"'","""")&amp;SUBSTITUTE(TEXT(IF(ISTEXT(Overig!H180),Overig!H180,100*Overig!H180),""",""????0;"",""???-0;"",""????0;"", ////"""),"'","""")&amp;SUBSTITUTE(TEXT(Overig!I180,""",""?00;"",""?-00;"",""?00;"", //"""),"'","""")&amp;SUBSTITUTE(TEXT(IF(ISTEXT(Overig!J180),Overig!J180,100*Overig!J180),""",""?????0;"",""????-0;"",""?????0;"", /////"""),"'","""")&amp;SUBSTITUTE(TEXT(Overig!K180,""",""?00;"",""?-00;"",""?00;"", //"""),"'","""")&amp;SUBSTITUTE(TEXT(IF(ISTEXT(Overig!L180),Overig!L180,10*Overig!L180),""",""????0;"",""???-0;"",""????0;"", ////"""),"'","""")&amp;SUBSTITUTE(TEXT(Overig!M180,""",""?00;"",""?-00;"",""?00;"", //"""),"'","""")&amp;SUBSTITUTE(TEXT(IF(ISTEXT(Overig!N180),Overig!N180,10*Overig!N180),""",""????0;"",""???-0;"",""????0;"", ////"""),"'","""")&amp;SUBSTITUTE(TEXT(Overig!O180,""",""?00;"",""?-00;"",""?00;"", //"""),"'","""")&amp;SUBSTITUTE(TEXT(IF(ISTEXT(Overig!P180),Overig!P180,10*Overig!P180),""",""????0;"",""???-0;"",""????0;"", ////"""),"'","""")&amp;SUBSTITUTE(TEXT(Overig!Q180,""",""?00;"",""?-00;"",""?00;"", //"""),"'","""")&amp;SUBSTITUTE(TEXT(IF(ISTEXT(Overig!R180),Overig!R180,10*Overig!R180),""",""????0;"",""???-0;"",""????0;"", ////"""),"'","""")&amp;SUBSTITUTE(TEXT(Overig!S180,""",""?00;"",""?-00;"",""?00;"", //"""),"'","""")&amp;SUBSTITUTE(TEXT(Overig!T180,""",""???0;"",""??-0;"",""???0;"", ///"""),"'","""")&amp;SUBSTITUTE(TEXT(Overig!U180,""",""?00;"",""?-00;"",""?00;"", //"""),"'","""")&amp;SUBSTITUTE(TEXT(IF(ISTEXT(Overig!V180),Overig!V180,10*Overig!V180),""",""???0;"",""??-0;"",""???0;"", ///"""),"'","""")&amp;SUBSTITUTE(TEXT(Overig!W180,""",""?00;"",""?-00;"",""?00;"", //"""),"'","""")&amp;SUBSTITUTE(TEXT(IF(ISTEXT(Overig!X180),Overig!X180,10*Overig!X180),""",""????0;"",""???-0;"",""????0;"", ////"""),"'","""")&amp;SUBSTITUTE(TEXT(Overig!Y180,""",""?00;"",""?-00;"",""?00;"", //"""),"'","""")&amp;SUBSTITUTE(TEXT(IF(ISTEXT(Overig!Z180),Overig!Z180,10*Overig!Z180),""",""????0;"",""???-0;"",""????0;"", ////"""),"'","""")&amp;SUBSTITUTE(TEXT(Overig!AA180,""",""?00;"",""?-00;"",""?00;"", //"""),"'","""")&amp;SUBSTITUTE(TEXT(Overig!AB180,""",""???0;"",""??-0;"",""???0;"", ///"""),"'","""")&amp;SUBSTITUTE(TEXT(Overig!AC180,""",""?00;"",""?-00;"",""?00;"", //"""),"'","""")&amp;SUBSTITUTE(TEXT(IF(ISTEXT(Overig!AD180),Overig!AD180,10*Overig!AD180),""",""????0;"",""???-0;"",""????0;"", ////"""),"'","""")&amp;SUBSTITUTE(TEXT(Overig!AE180,""",""?00;"",""?-00;"",""?00;"", //"""),"'","""")&amp;SUBSTITUTE(TEXT(IF(ISTEXT(Overig!AF180),Overig!AF180,10*Overig!AF180),""",""????0;"",""???-0;"",""????0;"", ////"""),"'","""")&amp;SUBSTITUTE(TEXT(Overig!AG180,""",""?00;"",""?-00;"",""?00;"", //"""),"'","""")&amp;SUBSTITUTE(TEXT(Overig!AH180,""",""???0;"",""??-0;"",""???0;"", ///"""),"'","""")&amp;SUBSTITUTE(TEXT(Overig!AI180,""",""?00;"",""?-00;"",""?00;"", //"""),"'","""")&amp;SUBSTITUTE(TEXT(Overig!AJ180,""",""??0;"",""?-0;"",""??0;"", //"""),"'","""")&amp;SUBSTITUTE(TEXT(Overig!AK180,""",""?00;"",""?-00;"",""?00;"", //"""),"'","""")&amp;SUBSTITUTE(IF(EXACT(Overig!AL180,"—"),TEXT(Overig!AL180,""",""????0;"",""???-0;"",""????0;"", ////////////,"""),TEXT(Overig!AL180,"\, \'@""',""")&amp;REPT(" ",10-LEN(Overig!AL180))),"'","""")&amp;SUBSTITUTE(TEXT(Overig!AM180,"?00;?-00;?00;"" //"""),"'","""")&amp;SUBSTITUTE(TEXT(Overig!AN180,""",""???0;"",""??-0;"",""???0;"", ///"""),"'","""")&amp;SUBSTITUTE(TEXT(Overig!AO180,""",""?00;"",""?-00;"",""?00;"", //"""),"'","""")</f>
        <v>78989, 19130628, 0800, ////, 07, /////, 07, ////, 07, /////, 07, ////, 07, ////, 07, ////, 07, ////, 07, ///, 07, ///, 07, ////, 07, ////, 07, ///, 07, ////, 07, ////, 07, ///, 07, //, 07, ////////////, 07, ///, 07</v>
      </c>
    </row>
    <row r="181" spans="1:1" x14ac:dyDescent="0.25">
      <c r="A181" s="75" t="str">
        <f ca="1">TEXT(Overig!A181,"000\,")&amp;TEXT(Overig!B181,"?00000000")&amp;TEXT(Overig!C181,""", ""0000")&amp;SUBSTITUTE(TEXT(IF(ISTEXT(Overig!D181),Overig!D181,10*Overig!D181),""",""????0;"",""???-0;"",""????0;"", ////"""),"'","""")&amp;SUBSTITUTE(TEXT(Overig!E181,""",""?00;"",""?-00;"",""?00;"", //"""),"'","""")&amp;SUBSTITUTE(TEXT(IF(ISTEXT(Overig!F181),Overig!F181,100*Overig!F181),""",""?????0;"",""????-0;"",""?????0;"", /////"""),"'","""")&amp;SUBSTITUTE(TEXT(Overig!G181,""",""?00;"",""?-00;"",""?00;"", //"""),"'","""")&amp;SUBSTITUTE(TEXT(IF(ISTEXT(Overig!H181),Overig!H181,100*Overig!H181),""",""????0;"",""???-0;"",""????0;"", ////"""),"'","""")&amp;SUBSTITUTE(TEXT(Overig!I181,""",""?00;"",""?-00;"",""?00;"", //"""),"'","""")&amp;SUBSTITUTE(TEXT(IF(ISTEXT(Overig!J181),Overig!J181,100*Overig!J181),""",""?????0;"",""????-0;"",""?????0;"", /////"""),"'","""")&amp;SUBSTITUTE(TEXT(Overig!K181,""",""?00;"",""?-00;"",""?00;"", //"""),"'","""")&amp;SUBSTITUTE(TEXT(IF(ISTEXT(Overig!L181),Overig!L181,10*Overig!L181),""",""????0;"",""???-0;"",""????0;"", ////"""),"'","""")&amp;SUBSTITUTE(TEXT(Overig!M181,""",""?00;"",""?-00;"",""?00;"", //"""),"'","""")&amp;SUBSTITUTE(TEXT(IF(ISTEXT(Overig!N181),Overig!N181,10*Overig!N181),""",""????0;"",""???-0;"",""????0;"", ////"""),"'","""")&amp;SUBSTITUTE(TEXT(Overig!O181,""",""?00;"",""?-00;"",""?00;"", //"""),"'","""")&amp;SUBSTITUTE(TEXT(IF(ISTEXT(Overig!P181),Overig!P181,10*Overig!P181),""",""????0;"",""???-0;"",""????0;"", ////"""),"'","""")&amp;SUBSTITUTE(TEXT(Overig!Q181,""",""?00;"",""?-00;"",""?00;"", //"""),"'","""")&amp;SUBSTITUTE(TEXT(IF(ISTEXT(Overig!R181),Overig!R181,10*Overig!R181),""",""????0;"",""???-0;"",""????0;"", ////"""),"'","""")&amp;SUBSTITUTE(TEXT(Overig!S181,""",""?00;"",""?-00;"",""?00;"", //"""),"'","""")&amp;SUBSTITUTE(TEXT(Overig!T181,""",""???0;"",""??-0;"",""???0;"", ///"""),"'","""")&amp;SUBSTITUTE(TEXT(Overig!U181,""",""?00;"",""?-00;"",""?00;"", //"""),"'","""")&amp;SUBSTITUTE(TEXT(IF(ISTEXT(Overig!V181),Overig!V181,10*Overig!V181),""",""???0;"",""??-0;"",""???0;"", ///"""),"'","""")&amp;SUBSTITUTE(TEXT(Overig!W181,""",""?00;"",""?-00;"",""?00;"", //"""),"'","""")&amp;SUBSTITUTE(TEXT(IF(ISTEXT(Overig!X181),Overig!X181,10*Overig!X181),""",""????0;"",""???-0;"",""????0;"", ////"""),"'","""")&amp;SUBSTITUTE(TEXT(Overig!Y181,""",""?00;"",""?-00;"",""?00;"", //"""),"'","""")&amp;SUBSTITUTE(TEXT(IF(ISTEXT(Overig!Z181),Overig!Z181,10*Overig!Z181),""",""????0;"",""???-0;"",""????0;"", ////"""),"'","""")&amp;SUBSTITUTE(TEXT(Overig!AA181,""",""?00;"",""?-00;"",""?00;"", //"""),"'","""")&amp;SUBSTITUTE(TEXT(Overig!AB181,""",""???0;"",""??-0;"",""???0;"", ///"""),"'","""")&amp;SUBSTITUTE(TEXT(Overig!AC181,""",""?00;"",""?-00;"",""?00;"", //"""),"'","""")&amp;SUBSTITUTE(TEXT(IF(ISTEXT(Overig!AD181),Overig!AD181,10*Overig!AD181),""",""????0;"",""???-0;"",""????0;"", ////"""),"'","""")&amp;SUBSTITUTE(TEXT(Overig!AE181,""",""?00;"",""?-00;"",""?00;"", //"""),"'","""")&amp;SUBSTITUTE(TEXT(IF(ISTEXT(Overig!AF181),Overig!AF181,10*Overig!AF181),""",""????0;"",""???-0;"",""????0;"", ////"""),"'","""")&amp;SUBSTITUTE(TEXT(Overig!AG181,""",""?00;"",""?-00;"",""?00;"", //"""),"'","""")&amp;SUBSTITUTE(TEXT(Overig!AH181,""",""???0;"",""??-0;"",""???0;"", ///"""),"'","""")&amp;SUBSTITUTE(TEXT(Overig!AI181,""",""?00;"",""?-00;"",""?00;"", //"""),"'","""")&amp;SUBSTITUTE(TEXT(Overig!AJ181,""",""??0;"",""?-0;"",""??0;"", //"""),"'","""")&amp;SUBSTITUTE(TEXT(Overig!AK181,""",""?00;"",""?-00;"",""?00;"", //"""),"'","""")&amp;SUBSTITUTE(IF(EXACT(Overig!AL181,"—"),TEXT(Overig!AL181,""",""????0;"",""???-0;"",""????0;"", ////////////,"""),TEXT(Overig!AL181,"\, \'@""',""")&amp;REPT(" ",10-LEN(Overig!AL181))),"'","""")&amp;SUBSTITUTE(TEXT(Overig!AM181,"?00;?-00;?00;"" //"""),"'","""")&amp;SUBSTITUTE(TEXT(Overig!AN181,""",""???0;"",""??-0;"",""???0;"", ///"""),"'","""")&amp;SUBSTITUTE(TEXT(Overig!AO181,""",""?00;"",""?-00;"",""?00;"", //"""),"'","""")</f>
        <v>78989, 19130629, 0800, ////, 07, /////, 07, ////, 07, /////, 07, ////, 07, ////, 07, ////, 07, ////, 07, ///, 07, ///, 07, ////, 07, ////, 07, ///, 07, ////, 07, ////, 07, ///, 07, //, 07, ////////////, 07, ///, 07</v>
      </c>
    </row>
    <row r="182" spans="1:1" x14ac:dyDescent="0.25">
      <c r="A182" s="75" t="str">
        <f ca="1">TEXT(Overig!A182,"000\,")&amp;TEXT(Overig!B182,"?00000000")&amp;TEXT(Overig!C182,""", ""0000")&amp;SUBSTITUTE(TEXT(IF(ISTEXT(Overig!D182),Overig!D182,10*Overig!D182),""",""????0;"",""???-0;"",""????0;"", ////"""),"'","""")&amp;SUBSTITUTE(TEXT(Overig!E182,""",""?00;"",""?-00;"",""?00;"", //"""),"'","""")&amp;SUBSTITUTE(TEXT(IF(ISTEXT(Overig!F182),Overig!F182,100*Overig!F182),""",""?????0;"",""????-0;"",""?????0;"", /////"""),"'","""")&amp;SUBSTITUTE(TEXT(Overig!G182,""",""?00;"",""?-00;"",""?00;"", //"""),"'","""")&amp;SUBSTITUTE(TEXT(IF(ISTEXT(Overig!H182),Overig!H182,100*Overig!H182),""",""????0;"",""???-0;"",""????0;"", ////"""),"'","""")&amp;SUBSTITUTE(TEXT(Overig!I182,""",""?00;"",""?-00;"",""?00;"", //"""),"'","""")&amp;SUBSTITUTE(TEXT(IF(ISTEXT(Overig!J182),Overig!J182,100*Overig!J182),""",""?????0;"",""????-0;"",""?????0;"", /////"""),"'","""")&amp;SUBSTITUTE(TEXT(Overig!K182,""",""?00;"",""?-00;"",""?00;"", //"""),"'","""")&amp;SUBSTITUTE(TEXT(IF(ISTEXT(Overig!L182),Overig!L182,10*Overig!L182),""",""????0;"",""???-0;"",""????0;"", ////"""),"'","""")&amp;SUBSTITUTE(TEXT(Overig!M182,""",""?00;"",""?-00;"",""?00;"", //"""),"'","""")&amp;SUBSTITUTE(TEXT(IF(ISTEXT(Overig!N182),Overig!N182,10*Overig!N182),""",""????0;"",""???-0;"",""????0;"", ////"""),"'","""")&amp;SUBSTITUTE(TEXT(Overig!O182,""",""?00;"",""?-00;"",""?00;"", //"""),"'","""")&amp;SUBSTITUTE(TEXT(IF(ISTEXT(Overig!P182),Overig!P182,10*Overig!P182),""",""????0;"",""???-0;"",""????0;"", ////"""),"'","""")&amp;SUBSTITUTE(TEXT(Overig!Q182,""",""?00;"",""?-00;"",""?00;"", //"""),"'","""")&amp;SUBSTITUTE(TEXT(IF(ISTEXT(Overig!R182),Overig!R182,10*Overig!R182),""",""????0;"",""???-0;"",""????0;"", ////"""),"'","""")&amp;SUBSTITUTE(TEXT(Overig!S182,""",""?00;"",""?-00;"",""?00;"", //"""),"'","""")&amp;SUBSTITUTE(TEXT(Overig!T182,""",""???0;"",""??-0;"",""???0;"", ///"""),"'","""")&amp;SUBSTITUTE(TEXT(Overig!U182,""",""?00;"",""?-00;"",""?00;"", //"""),"'","""")&amp;SUBSTITUTE(TEXT(IF(ISTEXT(Overig!V182),Overig!V182,10*Overig!V182),""",""???0;"",""??-0;"",""???0;"", ///"""),"'","""")&amp;SUBSTITUTE(TEXT(Overig!W182,""",""?00;"",""?-00;"",""?00;"", //"""),"'","""")&amp;SUBSTITUTE(TEXT(IF(ISTEXT(Overig!X182),Overig!X182,10*Overig!X182),""",""????0;"",""???-0;"",""????0;"", ////"""),"'","""")&amp;SUBSTITUTE(TEXT(Overig!Y182,""",""?00;"",""?-00;"",""?00;"", //"""),"'","""")&amp;SUBSTITUTE(TEXT(IF(ISTEXT(Overig!Z182),Overig!Z182,10*Overig!Z182),""",""????0;"",""???-0;"",""????0;"", ////"""),"'","""")&amp;SUBSTITUTE(TEXT(Overig!AA182,""",""?00;"",""?-00;"",""?00;"", //"""),"'","""")&amp;SUBSTITUTE(TEXT(Overig!AB182,""",""???0;"",""??-0;"",""???0;"", ///"""),"'","""")&amp;SUBSTITUTE(TEXT(Overig!AC182,""",""?00;"",""?-00;"",""?00;"", //"""),"'","""")&amp;SUBSTITUTE(TEXT(IF(ISTEXT(Overig!AD182),Overig!AD182,10*Overig!AD182),""",""????0;"",""???-0;"",""????0;"", ////"""),"'","""")&amp;SUBSTITUTE(TEXT(Overig!AE182,""",""?00;"",""?-00;"",""?00;"", //"""),"'","""")&amp;SUBSTITUTE(TEXT(IF(ISTEXT(Overig!AF182),Overig!AF182,10*Overig!AF182),""",""????0;"",""???-0;"",""????0;"", ////"""),"'","""")&amp;SUBSTITUTE(TEXT(Overig!AG182,""",""?00;"",""?-00;"",""?00;"", //"""),"'","""")&amp;SUBSTITUTE(TEXT(Overig!AH182,""",""???0;"",""??-0;"",""???0;"", ///"""),"'","""")&amp;SUBSTITUTE(TEXT(Overig!AI182,""",""?00;"",""?-00;"",""?00;"", //"""),"'","""")&amp;SUBSTITUTE(TEXT(Overig!AJ182,""",""??0;"",""?-0;"",""??0;"", //"""),"'","""")&amp;SUBSTITUTE(TEXT(Overig!AK182,""",""?00;"",""?-00;"",""?00;"", //"""),"'","""")&amp;SUBSTITUTE(IF(EXACT(Overig!AL182,"—"),TEXT(Overig!AL182,""",""????0;"",""???-0;"",""????0;"", ////////////,"""),TEXT(Overig!AL182,"\, \'@""',""")&amp;REPT(" ",10-LEN(Overig!AL182))),"'","""")&amp;SUBSTITUTE(TEXT(Overig!AM182,"?00;?-00;?00;"" //"""),"'","""")&amp;SUBSTITUTE(TEXT(Overig!AN182,""",""???0;"",""??-0;"",""???0;"", ///"""),"'","""")&amp;SUBSTITUTE(TEXT(Overig!AO182,""",""?00;"",""?-00;"",""?00;"", //"""),"'","""")</f>
        <v>78989, 19130630, 0800, ////, 07, /////, 07, ////, 07, /////, 07, ////, 07, ////, 07, ////, 07, ////, 07, ///, 07, ///, 07, ////, 07, ////, 07, ///, 07, ////, 07, ////, 07, ///, 07, //, 07, ////////////, 07, ///, 07</v>
      </c>
    </row>
    <row r="183" spans="1:1" x14ac:dyDescent="0.25">
      <c r="A183" s="75" t="str">
        <f ca="1">TEXT(Overig!A183,"000\,")&amp;TEXT(Overig!B183,"?00000000")&amp;TEXT(Overig!C183,""", ""0000")&amp;SUBSTITUTE(TEXT(IF(ISTEXT(Overig!D183),Overig!D183,10*Overig!D183),""",""????0;"",""???-0;"",""????0;"", ////"""),"'","""")&amp;SUBSTITUTE(TEXT(Overig!E183,""",""?00;"",""?-00;"",""?00;"", //"""),"'","""")&amp;SUBSTITUTE(TEXT(IF(ISTEXT(Overig!F183),Overig!F183,100*Overig!F183),""",""?????0;"",""????-0;"",""?????0;"", /////"""),"'","""")&amp;SUBSTITUTE(TEXT(Overig!G183,""",""?00;"",""?-00;"",""?00;"", //"""),"'","""")&amp;SUBSTITUTE(TEXT(IF(ISTEXT(Overig!H183),Overig!H183,100*Overig!H183),""",""????0;"",""???-0;"",""????0;"", ////"""),"'","""")&amp;SUBSTITUTE(TEXT(Overig!I183,""",""?00;"",""?-00;"",""?00;"", //"""),"'","""")&amp;SUBSTITUTE(TEXT(IF(ISTEXT(Overig!J183),Overig!J183,100*Overig!J183),""",""?????0;"",""????-0;"",""?????0;"", /////"""),"'","""")&amp;SUBSTITUTE(TEXT(Overig!K183,""",""?00;"",""?-00;"",""?00;"", //"""),"'","""")&amp;SUBSTITUTE(TEXT(IF(ISTEXT(Overig!L183),Overig!L183,10*Overig!L183),""",""????0;"",""???-0;"",""????0;"", ////"""),"'","""")&amp;SUBSTITUTE(TEXT(Overig!M183,""",""?00;"",""?-00;"",""?00;"", //"""),"'","""")&amp;SUBSTITUTE(TEXT(IF(ISTEXT(Overig!N183),Overig!N183,10*Overig!N183),""",""????0;"",""???-0;"",""????0;"", ////"""),"'","""")&amp;SUBSTITUTE(TEXT(Overig!O183,""",""?00;"",""?-00;"",""?00;"", //"""),"'","""")&amp;SUBSTITUTE(TEXT(IF(ISTEXT(Overig!P183),Overig!P183,10*Overig!P183),""",""????0;"",""???-0;"",""????0;"", ////"""),"'","""")&amp;SUBSTITUTE(TEXT(Overig!Q183,""",""?00;"",""?-00;"",""?00;"", //"""),"'","""")&amp;SUBSTITUTE(TEXT(IF(ISTEXT(Overig!R183),Overig!R183,10*Overig!R183),""",""????0;"",""???-0;"",""????0;"", ////"""),"'","""")&amp;SUBSTITUTE(TEXT(Overig!S183,""",""?00;"",""?-00;"",""?00;"", //"""),"'","""")&amp;SUBSTITUTE(TEXT(Overig!T183,""",""???0;"",""??-0;"",""???0;"", ///"""),"'","""")&amp;SUBSTITUTE(TEXT(Overig!U183,""",""?00;"",""?-00;"",""?00;"", //"""),"'","""")&amp;SUBSTITUTE(TEXT(IF(ISTEXT(Overig!V183),Overig!V183,10*Overig!V183),""",""???0;"",""??-0;"",""???0;"", ///"""),"'","""")&amp;SUBSTITUTE(TEXT(Overig!W183,""",""?00;"",""?-00;"",""?00;"", //"""),"'","""")&amp;SUBSTITUTE(TEXT(IF(ISTEXT(Overig!X183),Overig!X183,10*Overig!X183),""",""????0;"",""???-0;"",""????0;"", ////"""),"'","""")&amp;SUBSTITUTE(TEXT(Overig!Y183,""",""?00;"",""?-00;"",""?00;"", //"""),"'","""")&amp;SUBSTITUTE(TEXT(IF(ISTEXT(Overig!Z183),Overig!Z183,10*Overig!Z183),""",""????0;"",""???-0;"",""????0;"", ////"""),"'","""")&amp;SUBSTITUTE(TEXT(Overig!AA183,""",""?00;"",""?-00;"",""?00;"", //"""),"'","""")&amp;SUBSTITUTE(TEXT(Overig!AB183,""",""???0;"",""??-0;"",""???0;"", ///"""),"'","""")&amp;SUBSTITUTE(TEXT(Overig!AC183,""",""?00;"",""?-00;"",""?00;"", //"""),"'","""")&amp;SUBSTITUTE(TEXT(IF(ISTEXT(Overig!AD183),Overig!AD183,10*Overig!AD183),""",""????0;"",""???-0;"",""????0;"", ////"""),"'","""")&amp;SUBSTITUTE(TEXT(Overig!AE183,""",""?00;"",""?-00;"",""?00;"", //"""),"'","""")&amp;SUBSTITUTE(TEXT(IF(ISTEXT(Overig!AF183),Overig!AF183,10*Overig!AF183),""",""????0;"",""???-0;"",""????0;"", ////"""),"'","""")&amp;SUBSTITUTE(TEXT(Overig!AG183,""",""?00;"",""?-00;"",""?00;"", //"""),"'","""")&amp;SUBSTITUTE(TEXT(Overig!AH183,""",""???0;"",""??-0;"",""???0;"", ///"""),"'","""")&amp;SUBSTITUTE(TEXT(Overig!AI183,""",""?00;"",""?-00;"",""?00;"", //"""),"'","""")&amp;SUBSTITUTE(TEXT(Overig!AJ183,""",""??0;"",""?-0;"",""??0;"", //"""),"'","""")&amp;SUBSTITUTE(TEXT(Overig!AK183,""",""?00;"",""?-00;"",""?00;"", //"""),"'","""")&amp;SUBSTITUTE(IF(EXACT(Overig!AL183,"—"),TEXT(Overig!AL183,""",""????0;"",""???-0;"",""????0;"", ////////////,"""),TEXT(Overig!AL183,"\, \'@""',""")&amp;REPT(" ",10-LEN(Overig!AL183))),"'","""")&amp;SUBSTITUTE(TEXT(Overig!AM183,"?00;?-00;?00;"" //"""),"'","""")&amp;SUBSTITUTE(TEXT(Overig!AN183,""",""???0;"",""??-0;"",""???0;"", ///"""),"'","""")&amp;SUBSTITUTE(TEXT(Overig!AO183,""",""?00;"",""?-00;"",""?00;"", //"""),"'","""")</f>
        <v>78989, 19130701, 0800, ////, 07, /////, 07, ////, 07, /////, 07, 7615, 00, ////, 07, ////, 07, ////, 07, ///, 07, ///, 07, ////, 07, ////, 07,  90, 00, ////, 07, ////, 07, ///, 07, //, 07, ////////////, 07, ///, 07</v>
      </c>
    </row>
    <row r="184" spans="1:1" x14ac:dyDescent="0.25">
      <c r="A184" s="75" t="str">
        <f ca="1">TEXT(Overig!A184,"000\,")&amp;TEXT(Overig!B184,"?00000000")&amp;TEXT(Overig!C184,""", ""0000")&amp;SUBSTITUTE(TEXT(IF(ISTEXT(Overig!D184),Overig!D184,10*Overig!D184),""",""????0;"",""???-0;"",""????0;"", ////"""),"'","""")&amp;SUBSTITUTE(TEXT(Overig!E184,""",""?00;"",""?-00;"",""?00;"", //"""),"'","""")&amp;SUBSTITUTE(TEXT(IF(ISTEXT(Overig!F184),Overig!F184,100*Overig!F184),""",""?????0;"",""????-0;"",""?????0;"", /////"""),"'","""")&amp;SUBSTITUTE(TEXT(Overig!G184,""",""?00;"",""?-00;"",""?00;"", //"""),"'","""")&amp;SUBSTITUTE(TEXT(IF(ISTEXT(Overig!H184),Overig!H184,100*Overig!H184),""",""????0;"",""???-0;"",""????0;"", ////"""),"'","""")&amp;SUBSTITUTE(TEXT(Overig!I184,""",""?00;"",""?-00;"",""?00;"", //"""),"'","""")&amp;SUBSTITUTE(TEXT(IF(ISTEXT(Overig!J184),Overig!J184,100*Overig!J184),""",""?????0;"",""????-0;"",""?????0;"", /////"""),"'","""")&amp;SUBSTITUTE(TEXT(Overig!K184,""",""?00;"",""?-00;"",""?00;"", //"""),"'","""")&amp;SUBSTITUTE(TEXT(IF(ISTEXT(Overig!L184),Overig!L184,10*Overig!L184),""",""????0;"",""???-0;"",""????0;"", ////"""),"'","""")&amp;SUBSTITUTE(TEXT(Overig!M184,""",""?00;"",""?-00;"",""?00;"", //"""),"'","""")&amp;SUBSTITUTE(TEXT(IF(ISTEXT(Overig!N184),Overig!N184,10*Overig!N184),""",""????0;"",""???-0;"",""????0;"", ////"""),"'","""")&amp;SUBSTITUTE(TEXT(Overig!O184,""",""?00;"",""?-00;"",""?00;"", //"""),"'","""")&amp;SUBSTITUTE(TEXT(IF(ISTEXT(Overig!P184),Overig!P184,10*Overig!P184),""",""????0;"",""???-0;"",""????0;"", ////"""),"'","""")&amp;SUBSTITUTE(TEXT(Overig!Q184,""",""?00;"",""?-00;"",""?00;"", //"""),"'","""")&amp;SUBSTITUTE(TEXT(IF(ISTEXT(Overig!R184),Overig!R184,10*Overig!R184),""",""????0;"",""???-0;"",""????0;"", ////"""),"'","""")&amp;SUBSTITUTE(TEXT(Overig!S184,""",""?00;"",""?-00;"",""?00;"", //"""),"'","""")&amp;SUBSTITUTE(TEXT(Overig!T184,""",""???0;"",""??-0;"",""???0;"", ///"""),"'","""")&amp;SUBSTITUTE(TEXT(Overig!U184,""",""?00;"",""?-00;"",""?00;"", //"""),"'","""")&amp;SUBSTITUTE(TEXT(IF(ISTEXT(Overig!V184),Overig!V184,10*Overig!V184),""",""???0;"",""??-0;"",""???0;"", ///"""),"'","""")&amp;SUBSTITUTE(TEXT(Overig!W184,""",""?00;"",""?-00;"",""?00;"", //"""),"'","""")&amp;SUBSTITUTE(TEXT(IF(ISTEXT(Overig!X184),Overig!X184,10*Overig!X184),""",""????0;"",""???-0;"",""????0;"", ////"""),"'","""")&amp;SUBSTITUTE(TEXT(Overig!Y184,""",""?00;"",""?-00;"",""?00;"", //"""),"'","""")&amp;SUBSTITUTE(TEXT(IF(ISTEXT(Overig!Z184),Overig!Z184,10*Overig!Z184),""",""????0;"",""???-0;"",""????0;"", ////"""),"'","""")&amp;SUBSTITUTE(TEXT(Overig!AA184,""",""?00;"",""?-00;"",""?00;"", //"""),"'","""")&amp;SUBSTITUTE(TEXT(Overig!AB184,""",""???0;"",""??-0;"",""???0;"", ///"""),"'","""")&amp;SUBSTITUTE(TEXT(Overig!AC184,""",""?00;"",""?-00;"",""?00;"", //"""),"'","""")&amp;SUBSTITUTE(TEXT(IF(ISTEXT(Overig!AD184),Overig!AD184,10*Overig!AD184),""",""????0;"",""???-0;"",""????0;"", ////"""),"'","""")&amp;SUBSTITUTE(TEXT(Overig!AE184,""",""?00;"",""?-00;"",""?00;"", //"""),"'","""")&amp;SUBSTITUTE(TEXT(IF(ISTEXT(Overig!AF184),Overig!AF184,10*Overig!AF184),""",""????0;"",""???-0;"",""????0;"", ////"""),"'","""")&amp;SUBSTITUTE(TEXT(Overig!AG184,""",""?00;"",""?-00;"",""?00;"", //"""),"'","""")&amp;SUBSTITUTE(TEXT(Overig!AH184,""",""???0;"",""??-0;"",""???0;"", ///"""),"'","""")&amp;SUBSTITUTE(TEXT(Overig!AI184,""",""?00;"",""?-00;"",""?00;"", //"""),"'","""")&amp;SUBSTITUTE(TEXT(Overig!AJ184,""",""??0;"",""?-0;"",""??0;"", //"""),"'","""")&amp;SUBSTITUTE(TEXT(Overig!AK184,""",""?00;"",""?-00;"",""?00;"", //"""),"'","""")&amp;SUBSTITUTE(IF(EXACT(Overig!AL184,"—"),TEXT(Overig!AL184,""",""????0;"",""???-0;"",""????0;"", ////////////,"""),TEXT(Overig!AL184,"\, \'@""',""")&amp;REPT(" ",10-LEN(Overig!AL184))),"'","""")&amp;SUBSTITUTE(TEXT(Overig!AM184,"?00;?-00;?00;"" //"""),"'","""")&amp;SUBSTITUTE(TEXT(Overig!AN184,""",""???0;"",""??-0;"",""???0;"", ///"""),"'","""")&amp;SUBSTITUTE(TEXT(Overig!AO184,""",""?00;"",""?-00;"",""?00;"", //"""),"'","""")</f>
        <v>78989, 19130702, 0800, ////, 07, /////, 07, ////, 07, /////, 07, 7605, 00, ////, 07, ////, 07, ////, 07, ///, 07, ///, 07, ////, 07, ////, 07,  90, 00, ////, 07, ////, 07, ///, 07, //, 07, ////////////, 07, ///, 07</v>
      </c>
    </row>
    <row r="185" spans="1:1" x14ac:dyDescent="0.25">
      <c r="A185" s="75" t="str">
        <f ca="1">TEXT(Overig!A185,"000\,")&amp;TEXT(Overig!B185,"?00000000")&amp;TEXT(Overig!C185,""", ""0000")&amp;SUBSTITUTE(TEXT(IF(ISTEXT(Overig!D185),Overig!D185,10*Overig!D185),""",""????0;"",""???-0;"",""????0;"", ////"""),"'","""")&amp;SUBSTITUTE(TEXT(Overig!E185,""",""?00;"",""?-00;"",""?00;"", //"""),"'","""")&amp;SUBSTITUTE(TEXT(IF(ISTEXT(Overig!F185),Overig!F185,100*Overig!F185),""",""?????0;"",""????-0;"",""?????0;"", /////"""),"'","""")&amp;SUBSTITUTE(TEXT(Overig!G185,""",""?00;"",""?-00;"",""?00;"", //"""),"'","""")&amp;SUBSTITUTE(TEXT(IF(ISTEXT(Overig!H185),Overig!H185,100*Overig!H185),""",""????0;"",""???-0;"",""????0;"", ////"""),"'","""")&amp;SUBSTITUTE(TEXT(Overig!I185,""",""?00;"",""?-00;"",""?00;"", //"""),"'","""")&amp;SUBSTITUTE(TEXT(IF(ISTEXT(Overig!J185),Overig!J185,100*Overig!J185),""",""?????0;"",""????-0;"",""?????0;"", /////"""),"'","""")&amp;SUBSTITUTE(TEXT(Overig!K185,""",""?00;"",""?-00;"",""?00;"", //"""),"'","""")&amp;SUBSTITUTE(TEXT(IF(ISTEXT(Overig!L185),Overig!L185,10*Overig!L185),""",""????0;"",""???-0;"",""????0;"", ////"""),"'","""")&amp;SUBSTITUTE(TEXT(Overig!M185,""",""?00;"",""?-00;"",""?00;"", //"""),"'","""")&amp;SUBSTITUTE(TEXT(IF(ISTEXT(Overig!N185),Overig!N185,10*Overig!N185),""",""????0;"",""???-0;"",""????0;"", ////"""),"'","""")&amp;SUBSTITUTE(TEXT(Overig!O185,""",""?00;"",""?-00;"",""?00;"", //"""),"'","""")&amp;SUBSTITUTE(TEXT(IF(ISTEXT(Overig!P185),Overig!P185,10*Overig!P185),""",""????0;"",""???-0;"",""????0;"", ////"""),"'","""")&amp;SUBSTITUTE(TEXT(Overig!Q185,""",""?00;"",""?-00;"",""?00;"", //"""),"'","""")&amp;SUBSTITUTE(TEXT(IF(ISTEXT(Overig!R185),Overig!R185,10*Overig!R185),""",""????0;"",""???-0;"",""????0;"", ////"""),"'","""")&amp;SUBSTITUTE(TEXT(Overig!S185,""",""?00;"",""?-00;"",""?00;"", //"""),"'","""")&amp;SUBSTITUTE(TEXT(Overig!T185,""",""???0;"",""??-0;"",""???0;"", ///"""),"'","""")&amp;SUBSTITUTE(TEXT(Overig!U185,""",""?00;"",""?-00;"",""?00;"", //"""),"'","""")&amp;SUBSTITUTE(TEXT(IF(ISTEXT(Overig!V185),Overig!V185,10*Overig!V185),""",""???0;"",""??-0;"",""???0;"", ///"""),"'","""")&amp;SUBSTITUTE(TEXT(Overig!W185,""",""?00;"",""?-00;"",""?00;"", //"""),"'","""")&amp;SUBSTITUTE(TEXT(IF(ISTEXT(Overig!X185),Overig!X185,10*Overig!X185),""",""????0;"",""???-0;"",""????0;"", ////"""),"'","""")&amp;SUBSTITUTE(TEXT(Overig!Y185,""",""?00;"",""?-00;"",""?00;"", //"""),"'","""")&amp;SUBSTITUTE(TEXT(IF(ISTEXT(Overig!Z185),Overig!Z185,10*Overig!Z185),""",""????0;"",""???-0;"",""????0;"", ////"""),"'","""")&amp;SUBSTITUTE(TEXT(Overig!AA185,""",""?00;"",""?-00;"",""?00;"", //"""),"'","""")&amp;SUBSTITUTE(TEXT(Overig!AB185,""",""???0;"",""??-0;"",""???0;"", ///"""),"'","""")&amp;SUBSTITUTE(TEXT(Overig!AC185,""",""?00;"",""?-00;"",""?00;"", //"""),"'","""")&amp;SUBSTITUTE(TEXT(IF(ISTEXT(Overig!AD185),Overig!AD185,10*Overig!AD185),""",""????0;"",""???-0;"",""????0;"", ////"""),"'","""")&amp;SUBSTITUTE(TEXT(Overig!AE185,""",""?00;"",""?-00;"",""?00;"", //"""),"'","""")&amp;SUBSTITUTE(TEXT(IF(ISTEXT(Overig!AF185),Overig!AF185,10*Overig!AF185),""",""????0;"",""???-0;"",""????0;"", ////"""),"'","""")&amp;SUBSTITUTE(TEXT(Overig!AG185,""",""?00;"",""?-00;"",""?00;"", //"""),"'","""")&amp;SUBSTITUTE(TEXT(Overig!AH185,""",""???0;"",""??-0;"",""???0;"", ///"""),"'","""")&amp;SUBSTITUTE(TEXT(Overig!AI185,""",""?00;"",""?-00;"",""?00;"", //"""),"'","""")&amp;SUBSTITUTE(TEXT(Overig!AJ185,""",""??0;"",""?-0;"",""??0;"", //"""),"'","""")&amp;SUBSTITUTE(TEXT(Overig!AK185,""",""?00;"",""?-00;"",""?00;"", //"""),"'","""")&amp;SUBSTITUTE(IF(EXACT(Overig!AL185,"—"),TEXT(Overig!AL185,""",""????0;"",""???-0;"",""????0;"", ////////////,"""),TEXT(Overig!AL185,"\, \'@""',""")&amp;REPT(" ",10-LEN(Overig!AL185))),"'","""")&amp;SUBSTITUTE(TEXT(Overig!AM185,"?00;?-00;?00;"" //"""),"'","""")&amp;SUBSTITUTE(TEXT(Overig!AN185,""",""???0;"",""??-0;"",""???0;"", ///"""),"'","""")&amp;SUBSTITUTE(TEXT(Overig!AO185,""",""?00;"",""?-00;"",""?00;"", //"""),"'","""")</f>
        <v>78989, 19130703, 0800, ////, 07, /////, 07, ////, 07, /////, 07, 7605, 00, ////, 07, ////, 07, ////, 07, ///, 07, ///, 07, ////, 07, ////, 07,  90, 00, ////, 07, ////, 07, ///, 07, //, 07, ////////////, 07, ///, 07</v>
      </c>
    </row>
    <row r="186" spans="1:1" x14ac:dyDescent="0.25">
      <c r="A186" s="75" t="str">
        <f ca="1">TEXT(Overig!A186,"000\,")&amp;TEXT(Overig!B186,"?00000000")&amp;TEXT(Overig!C186,""", ""0000")&amp;SUBSTITUTE(TEXT(IF(ISTEXT(Overig!D186),Overig!D186,10*Overig!D186),""",""????0;"",""???-0;"",""????0;"", ////"""),"'","""")&amp;SUBSTITUTE(TEXT(Overig!E186,""",""?00;"",""?-00;"",""?00;"", //"""),"'","""")&amp;SUBSTITUTE(TEXT(IF(ISTEXT(Overig!F186),Overig!F186,100*Overig!F186),""",""?????0;"",""????-0;"",""?????0;"", /////"""),"'","""")&amp;SUBSTITUTE(TEXT(Overig!G186,""",""?00;"",""?-00;"",""?00;"", //"""),"'","""")&amp;SUBSTITUTE(TEXT(IF(ISTEXT(Overig!H186),Overig!H186,100*Overig!H186),""",""????0;"",""???-0;"",""????0;"", ////"""),"'","""")&amp;SUBSTITUTE(TEXT(Overig!I186,""",""?00;"",""?-00;"",""?00;"", //"""),"'","""")&amp;SUBSTITUTE(TEXT(IF(ISTEXT(Overig!J186),Overig!J186,100*Overig!J186),""",""?????0;"",""????-0;"",""?????0;"", /////"""),"'","""")&amp;SUBSTITUTE(TEXT(Overig!K186,""",""?00;"",""?-00;"",""?00;"", //"""),"'","""")&amp;SUBSTITUTE(TEXT(IF(ISTEXT(Overig!L186),Overig!L186,10*Overig!L186),""",""????0;"",""???-0;"",""????0;"", ////"""),"'","""")&amp;SUBSTITUTE(TEXT(Overig!M186,""",""?00;"",""?-00;"",""?00;"", //"""),"'","""")&amp;SUBSTITUTE(TEXT(IF(ISTEXT(Overig!N186),Overig!N186,10*Overig!N186),""",""????0;"",""???-0;"",""????0;"", ////"""),"'","""")&amp;SUBSTITUTE(TEXT(Overig!O186,""",""?00;"",""?-00;"",""?00;"", //"""),"'","""")&amp;SUBSTITUTE(TEXT(IF(ISTEXT(Overig!P186),Overig!P186,10*Overig!P186),""",""????0;"",""???-0;"",""????0;"", ////"""),"'","""")&amp;SUBSTITUTE(TEXT(Overig!Q186,""",""?00;"",""?-00;"",""?00;"", //"""),"'","""")&amp;SUBSTITUTE(TEXT(IF(ISTEXT(Overig!R186),Overig!R186,10*Overig!R186),""",""????0;"",""???-0;"",""????0;"", ////"""),"'","""")&amp;SUBSTITUTE(TEXT(Overig!S186,""",""?00;"",""?-00;"",""?00;"", //"""),"'","""")&amp;SUBSTITUTE(TEXT(Overig!T186,""",""???0;"",""??-0;"",""???0;"", ///"""),"'","""")&amp;SUBSTITUTE(TEXT(Overig!U186,""",""?00;"",""?-00;"",""?00;"", //"""),"'","""")&amp;SUBSTITUTE(TEXT(IF(ISTEXT(Overig!V186),Overig!V186,10*Overig!V186),""",""???0;"",""??-0;"",""???0;"", ///"""),"'","""")&amp;SUBSTITUTE(TEXT(Overig!W186,""",""?00;"",""?-00;"",""?00;"", //"""),"'","""")&amp;SUBSTITUTE(TEXT(IF(ISTEXT(Overig!X186),Overig!X186,10*Overig!X186),""",""????0;"",""???-0;"",""????0;"", ////"""),"'","""")&amp;SUBSTITUTE(TEXT(Overig!Y186,""",""?00;"",""?-00;"",""?00;"", //"""),"'","""")&amp;SUBSTITUTE(TEXT(IF(ISTEXT(Overig!Z186),Overig!Z186,10*Overig!Z186),""",""????0;"",""???-0;"",""????0;"", ////"""),"'","""")&amp;SUBSTITUTE(TEXT(Overig!AA186,""",""?00;"",""?-00;"",""?00;"", //"""),"'","""")&amp;SUBSTITUTE(TEXT(Overig!AB186,""",""???0;"",""??-0;"",""???0;"", ///"""),"'","""")&amp;SUBSTITUTE(TEXT(Overig!AC186,""",""?00;"",""?-00;"",""?00;"", //"""),"'","""")&amp;SUBSTITUTE(TEXT(IF(ISTEXT(Overig!AD186),Overig!AD186,10*Overig!AD186),""",""????0;"",""???-0;"",""????0;"", ////"""),"'","""")&amp;SUBSTITUTE(TEXT(Overig!AE186,""",""?00;"",""?-00;"",""?00;"", //"""),"'","""")&amp;SUBSTITUTE(TEXT(IF(ISTEXT(Overig!AF186),Overig!AF186,10*Overig!AF186),""",""????0;"",""???-0;"",""????0;"", ////"""),"'","""")&amp;SUBSTITUTE(TEXT(Overig!AG186,""",""?00;"",""?-00;"",""?00;"", //"""),"'","""")&amp;SUBSTITUTE(TEXT(Overig!AH186,""",""???0;"",""??-0;"",""???0;"", ///"""),"'","""")&amp;SUBSTITUTE(TEXT(Overig!AI186,""",""?00;"",""?-00;"",""?00;"", //"""),"'","""")&amp;SUBSTITUTE(TEXT(Overig!AJ186,""",""??0;"",""?-0;"",""??0;"", //"""),"'","""")&amp;SUBSTITUTE(TEXT(Overig!AK186,""",""?00;"",""?-00;"",""?00;"", //"""),"'","""")&amp;SUBSTITUTE(IF(EXACT(Overig!AL186,"—"),TEXT(Overig!AL186,""",""????0;"",""???-0;"",""????0;"", ////////////,"""),TEXT(Overig!AL186,"\, \'@""',""")&amp;REPT(" ",10-LEN(Overig!AL186))),"'","""")&amp;SUBSTITUTE(TEXT(Overig!AM186,"?00;?-00;?00;"" //"""),"'","""")&amp;SUBSTITUTE(TEXT(Overig!AN186,""",""???0;"",""??-0;"",""???0;"", ///"""),"'","""")&amp;SUBSTITUTE(TEXT(Overig!AO186,""",""?00;"",""?-00;"",""?00;"", //"""),"'","""")</f>
        <v>78989, 19130704, 0800, ////, 07, /////, 07, ////, 07, /////, 07, 7610, 00, ////, 07, ////, 07, ////, 07, ///, 07, ///, 07, ////, 07, ////, 07,  90, 00, ////, 07, ////, 07, ///, 07, //, 07, ////////////, 07, ///, 07</v>
      </c>
    </row>
    <row r="187" spans="1:1" x14ac:dyDescent="0.25">
      <c r="A187" s="75" t="str">
        <f ca="1">TEXT(Overig!A187,"000\,")&amp;TEXT(Overig!B187,"?00000000")&amp;TEXT(Overig!C187,""", ""0000")&amp;SUBSTITUTE(TEXT(IF(ISTEXT(Overig!D187),Overig!D187,10*Overig!D187),""",""????0;"",""???-0;"",""????0;"", ////"""),"'","""")&amp;SUBSTITUTE(TEXT(Overig!E187,""",""?00;"",""?-00;"",""?00;"", //"""),"'","""")&amp;SUBSTITUTE(TEXT(IF(ISTEXT(Overig!F187),Overig!F187,100*Overig!F187),""",""?????0;"",""????-0;"",""?????0;"", /////"""),"'","""")&amp;SUBSTITUTE(TEXT(Overig!G187,""",""?00;"",""?-00;"",""?00;"", //"""),"'","""")&amp;SUBSTITUTE(TEXT(IF(ISTEXT(Overig!H187),Overig!H187,100*Overig!H187),""",""????0;"",""???-0;"",""????0;"", ////"""),"'","""")&amp;SUBSTITUTE(TEXT(Overig!I187,""",""?00;"",""?-00;"",""?00;"", //"""),"'","""")&amp;SUBSTITUTE(TEXT(IF(ISTEXT(Overig!J187),Overig!J187,100*Overig!J187),""",""?????0;"",""????-0;"",""?????0;"", /////"""),"'","""")&amp;SUBSTITUTE(TEXT(Overig!K187,""",""?00;"",""?-00;"",""?00;"", //"""),"'","""")&amp;SUBSTITUTE(TEXT(IF(ISTEXT(Overig!L187),Overig!L187,10*Overig!L187),""",""????0;"",""???-0;"",""????0;"", ////"""),"'","""")&amp;SUBSTITUTE(TEXT(Overig!M187,""",""?00;"",""?-00;"",""?00;"", //"""),"'","""")&amp;SUBSTITUTE(TEXT(IF(ISTEXT(Overig!N187),Overig!N187,10*Overig!N187),""",""????0;"",""???-0;"",""????0;"", ////"""),"'","""")&amp;SUBSTITUTE(TEXT(Overig!O187,""",""?00;"",""?-00;"",""?00;"", //"""),"'","""")&amp;SUBSTITUTE(TEXT(IF(ISTEXT(Overig!P187),Overig!P187,10*Overig!P187),""",""????0;"",""???-0;"",""????0;"", ////"""),"'","""")&amp;SUBSTITUTE(TEXT(Overig!Q187,""",""?00;"",""?-00;"",""?00;"", //"""),"'","""")&amp;SUBSTITUTE(TEXT(IF(ISTEXT(Overig!R187),Overig!R187,10*Overig!R187),""",""????0;"",""???-0;"",""????0;"", ////"""),"'","""")&amp;SUBSTITUTE(TEXT(Overig!S187,""",""?00;"",""?-00;"",""?00;"", //"""),"'","""")&amp;SUBSTITUTE(TEXT(Overig!T187,""",""???0;"",""??-0;"",""???0;"", ///"""),"'","""")&amp;SUBSTITUTE(TEXT(Overig!U187,""",""?00;"",""?-00;"",""?00;"", //"""),"'","""")&amp;SUBSTITUTE(TEXT(IF(ISTEXT(Overig!V187),Overig!V187,10*Overig!V187),""",""???0;"",""??-0;"",""???0;"", ///"""),"'","""")&amp;SUBSTITUTE(TEXT(Overig!W187,""",""?00;"",""?-00;"",""?00;"", //"""),"'","""")&amp;SUBSTITUTE(TEXT(IF(ISTEXT(Overig!X187),Overig!X187,10*Overig!X187),""",""????0;"",""???-0;"",""????0;"", ////"""),"'","""")&amp;SUBSTITUTE(TEXT(Overig!Y187,""",""?00;"",""?-00;"",""?00;"", //"""),"'","""")&amp;SUBSTITUTE(TEXT(IF(ISTEXT(Overig!Z187),Overig!Z187,10*Overig!Z187),""",""????0;"",""???-0;"",""????0;"", ////"""),"'","""")&amp;SUBSTITUTE(TEXT(Overig!AA187,""",""?00;"",""?-00;"",""?00;"", //"""),"'","""")&amp;SUBSTITUTE(TEXT(Overig!AB187,""",""???0;"",""??-0;"",""???0;"", ///"""),"'","""")&amp;SUBSTITUTE(TEXT(Overig!AC187,""",""?00;"",""?-00;"",""?00;"", //"""),"'","""")&amp;SUBSTITUTE(TEXT(IF(ISTEXT(Overig!AD187),Overig!AD187,10*Overig!AD187),""",""????0;"",""???-0;"",""????0;"", ////"""),"'","""")&amp;SUBSTITUTE(TEXT(Overig!AE187,""",""?00;"",""?-00;"",""?00;"", //"""),"'","""")&amp;SUBSTITUTE(TEXT(IF(ISTEXT(Overig!AF187),Overig!AF187,10*Overig!AF187),""",""????0;"",""???-0;"",""????0;"", ////"""),"'","""")&amp;SUBSTITUTE(TEXT(Overig!AG187,""",""?00;"",""?-00;"",""?00;"", //"""),"'","""")&amp;SUBSTITUTE(TEXT(Overig!AH187,""",""???0;"",""??-0;"",""???0;"", ///"""),"'","""")&amp;SUBSTITUTE(TEXT(Overig!AI187,""",""?00;"",""?-00;"",""?00;"", //"""),"'","""")&amp;SUBSTITUTE(TEXT(Overig!AJ187,""",""??0;"",""?-0;"",""??0;"", //"""),"'","""")&amp;SUBSTITUTE(TEXT(Overig!AK187,""",""?00;"",""?-00;"",""?00;"", //"""),"'","""")&amp;SUBSTITUTE(IF(EXACT(Overig!AL187,"—"),TEXT(Overig!AL187,""",""????0;"",""???-0;"",""????0;"", ////////////,"""),TEXT(Overig!AL187,"\, \'@""',""")&amp;REPT(" ",10-LEN(Overig!AL187))),"'","""")&amp;SUBSTITUTE(TEXT(Overig!AM187,"?00;?-00;?00;"" //"""),"'","""")&amp;SUBSTITUTE(TEXT(Overig!AN187,""",""???0;"",""??-0;"",""???0;"", ///"""),"'","""")&amp;SUBSTITUTE(TEXT(Overig!AO187,""",""?00;"",""?-00;"",""?00;"", //"""),"'","""")</f>
        <v>78989, 19130705, 0800, ////, 07, /////, 07, ////, 07, /////, 07, 7620, 00, ////, 07, ////, 07, ////, 07, ///, 07, ///, 07, ////, 07, ////, 07,  90, 00, ////, 07, ////, 07, ///, 07, //, 07, ////////////, 07, ///, 07</v>
      </c>
    </row>
    <row r="188" spans="1:1" x14ac:dyDescent="0.25">
      <c r="A188" s="75" t="str">
        <f ca="1">TEXT(Overig!A188,"000\,")&amp;TEXT(Overig!B188,"?00000000")&amp;TEXT(Overig!C188,""", ""0000")&amp;SUBSTITUTE(TEXT(IF(ISTEXT(Overig!D188),Overig!D188,10*Overig!D188),""",""????0;"",""???-0;"",""????0;"", ////"""),"'","""")&amp;SUBSTITUTE(TEXT(Overig!E188,""",""?00;"",""?-00;"",""?00;"", //"""),"'","""")&amp;SUBSTITUTE(TEXT(IF(ISTEXT(Overig!F188),Overig!F188,100*Overig!F188),""",""?????0;"",""????-0;"",""?????0;"", /////"""),"'","""")&amp;SUBSTITUTE(TEXT(Overig!G188,""",""?00;"",""?-00;"",""?00;"", //"""),"'","""")&amp;SUBSTITUTE(TEXT(IF(ISTEXT(Overig!H188),Overig!H188,100*Overig!H188),""",""????0;"",""???-0;"",""????0;"", ////"""),"'","""")&amp;SUBSTITUTE(TEXT(Overig!I188,""",""?00;"",""?-00;"",""?00;"", //"""),"'","""")&amp;SUBSTITUTE(TEXT(IF(ISTEXT(Overig!J188),Overig!J188,100*Overig!J188),""",""?????0;"",""????-0;"",""?????0;"", /////"""),"'","""")&amp;SUBSTITUTE(TEXT(Overig!K188,""",""?00;"",""?-00;"",""?00;"", //"""),"'","""")&amp;SUBSTITUTE(TEXT(IF(ISTEXT(Overig!L188),Overig!L188,10*Overig!L188),""",""????0;"",""???-0;"",""????0;"", ////"""),"'","""")&amp;SUBSTITUTE(TEXT(Overig!M188,""",""?00;"",""?-00;"",""?00;"", //"""),"'","""")&amp;SUBSTITUTE(TEXT(IF(ISTEXT(Overig!N188),Overig!N188,10*Overig!N188),""",""????0;"",""???-0;"",""????0;"", ////"""),"'","""")&amp;SUBSTITUTE(TEXT(Overig!O188,""",""?00;"",""?-00;"",""?00;"", //"""),"'","""")&amp;SUBSTITUTE(TEXT(IF(ISTEXT(Overig!P188),Overig!P188,10*Overig!P188),""",""????0;"",""???-0;"",""????0;"", ////"""),"'","""")&amp;SUBSTITUTE(TEXT(Overig!Q188,""",""?00;"",""?-00;"",""?00;"", //"""),"'","""")&amp;SUBSTITUTE(TEXT(IF(ISTEXT(Overig!R188),Overig!R188,10*Overig!R188),""",""????0;"",""???-0;"",""????0;"", ////"""),"'","""")&amp;SUBSTITUTE(TEXT(Overig!S188,""",""?00;"",""?-00;"",""?00;"", //"""),"'","""")&amp;SUBSTITUTE(TEXT(Overig!T188,""",""???0;"",""??-0;"",""???0;"", ///"""),"'","""")&amp;SUBSTITUTE(TEXT(Overig!U188,""",""?00;"",""?-00;"",""?00;"", //"""),"'","""")&amp;SUBSTITUTE(TEXT(IF(ISTEXT(Overig!V188),Overig!V188,10*Overig!V188),""",""???0;"",""??-0;"",""???0;"", ///"""),"'","""")&amp;SUBSTITUTE(TEXT(Overig!W188,""",""?00;"",""?-00;"",""?00;"", //"""),"'","""")&amp;SUBSTITUTE(TEXT(IF(ISTEXT(Overig!X188),Overig!X188,10*Overig!X188),""",""????0;"",""???-0;"",""????0;"", ////"""),"'","""")&amp;SUBSTITUTE(TEXT(Overig!Y188,""",""?00;"",""?-00;"",""?00;"", //"""),"'","""")&amp;SUBSTITUTE(TEXT(IF(ISTEXT(Overig!Z188),Overig!Z188,10*Overig!Z188),""",""????0;"",""???-0;"",""????0;"", ////"""),"'","""")&amp;SUBSTITUTE(TEXT(Overig!AA188,""",""?00;"",""?-00;"",""?00;"", //"""),"'","""")&amp;SUBSTITUTE(TEXT(Overig!AB188,""",""???0;"",""??-0;"",""???0;"", ///"""),"'","""")&amp;SUBSTITUTE(TEXT(Overig!AC188,""",""?00;"",""?-00;"",""?00;"", //"""),"'","""")&amp;SUBSTITUTE(TEXT(IF(ISTEXT(Overig!AD188),Overig!AD188,10*Overig!AD188),""",""????0;"",""???-0;"",""????0;"", ////"""),"'","""")&amp;SUBSTITUTE(TEXT(Overig!AE188,""",""?00;"",""?-00;"",""?00;"", //"""),"'","""")&amp;SUBSTITUTE(TEXT(IF(ISTEXT(Overig!AF188),Overig!AF188,10*Overig!AF188),""",""????0;"",""???-0;"",""????0;"", ////"""),"'","""")&amp;SUBSTITUTE(TEXT(Overig!AG188,""",""?00;"",""?-00;"",""?00;"", //"""),"'","""")&amp;SUBSTITUTE(TEXT(Overig!AH188,""",""???0;"",""??-0;"",""???0;"", ///"""),"'","""")&amp;SUBSTITUTE(TEXT(Overig!AI188,""",""?00;"",""?-00;"",""?00;"", //"""),"'","""")&amp;SUBSTITUTE(TEXT(Overig!AJ188,""",""??0;"",""?-0;"",""??0;"", //"""),"'","""")&amp;SUBSTITUTE(TEXT(Overig!AK188,""",""?00;"",""?-00;"",""?00;"", //"""),"'","""")&amp;SUBSTITUTE(IF(EXACT(Overig!AL188,"—"),TEXT(Overig!AL188,""",""????0;"",""???-0;"",""????0;"", ////////////,"""),TEXT(Overig!AL188,"\, \'@""',""")&amp;REPT(" ",10-LEN(Overig!AL188))),"'","""")&amp;SUBSTITUTE(TEXT(Overig!AM188,"?00;?-00;?00;"" //"""),"'","""")&amp;SUBSTITUTE(TEXT(Overig!AN188,""",""???0;"",""??-0;"",""???0;"", ///"""),"'","""")&amp;SUBSTITUTE(TEXT(Overig!AO188,""",""?00;"",""?-00;"",""?00;"", //"""),"'","""")</f>
        <v>78989, 19130706, 0800, ////, 07, /////, 07, ////, 07, /////, 07, 7615, 00, ////, 07, ////, 07, ////, 07, ///, 07, ///, 07, ////, 07, ////, 07,  90, 00, ////, 07, ////, 07, ///, 07, //, 07, ////////////, 07, ///, 07</v>
      </c>
    </row>
    <row r="189" spans="1:1" x14ac:dyDescent="0.25">
      <c r="A189" s="75" t="str">
        <f ca="1">TEXT(Overig!A189,"000\,")&amp;TEXT(Overig!B189,"?00000000")&amp;TEXT(Overig!C189,""", ""0000")&amp;SUBSTITUTE(TEXT(IF(ISTEXT(Overig!D189),Overig!D189,10*Overig!D189),""",""????0;"",""???-0;"",""????0;"", ////"""),"'","""")&amp;SUBSTITUTE(TEXT(Overig!E189,""",""?00;"",""?-00;"",""?00;"", //"""),"'","""")&amp;SUBSTITUTE(TEXT(IF(ISTEXT(Overig!F189),Overig!F189,100*Overig!F189),""",""?????0;"",""????-0;"",""?????0;"", /////"""),"'","""")&amp;SUBSTITUTE(TEXT(Overig!G189,""",""?00;"",""?-00;"",""?00;"", //"""),"'","""")&amp;SUBSTITUTE(TEXT(IF(ISTEXT(Overig!H189),Overig!H189,100*Overig!H189),""",""????0;"",""???-0;"",""????0;"", ////"""),"'","""")&amp;SUBSTITUTE(TEXT(Overig!I189,""",""?00;"",""?-00;"",""?00;"", //"""),"'","""")&amp;SUBSTITUTE(TEXT(IF(ISTEXT(Overig!J189),Overig!J189,100*Overig!J189),""",""?????0;"",""????-0;"",""?????0;"", /////"""),"'","""")&amp;SUBSTITUTE(TEXT(Overig!K189,""",""?00;"",""?-00;"",""?00;"", //"""),"'","""")&amp;SUBSTITUTE(TEXT(IF(ISTEXT(Overig!L189),Overig!L189,10*Overig!L189),""",""????0;"",""???-0;"",""????0;"", ////"""),"'","""")&amp;SUBSTITUTE(TEXT(Overig!M189,""",""?00;"",""?-00;"",""?00;"", //"""),"'","""")&amp;SUBSTITUTE(TEXT(IF(ISTEXT(Overig!N189),Overig!N189,10*Overig!N189),""",""????0;"",""???-0;"",""????0;"", ////"""),"'","""")&amp;SUBSTITUTE(TEXT(Overig!O189,""",""?00;"",""?-00;"",""?00;"", //"""),"'","""")&amp;SUBSTITUTE(TEXT(IF(ISTEXT(Overig!P189),Overig!P189,10*Overig!P189),""",""????0;"",""???-0;"",""????0;"", ////"""),"'","""")&amp;SUBSTITUTE(TEXT(Overig!Q189,""",""?00;"",""?-00;"",""?00;"", //"""),"'","""")&amp;SUBSTITUTE(TEXT(IF(ISTEXT(Overig!R189),Overig!R189,10*Overig!R189),""",""????0;"",""???-0;"",""????0;"", ////"""),"'","""")&amp;SUBSTITUTE(TEXT(Overig!S189,""",""?00;"",""?-00;"",""?00;"", //"""),"'","""")&amp;SUBSTITUTE(TEXT(Overig!T189,""",""???0;"",""??-0;"",""???0;"", ///"""),"'","""")&amp;SUBSTITUTE(TEXT(Overig!U189,""",""?00;"",""?-00;"",""?00;"", //"""),"'","""")&amp;SUBSTITUTE(TEXT(IF(ISTEXT(Overig!V189),Overig!V189,10*Overig!V189),""",""???0;"",""??-0;"",""???0;"", ///"""),"'","""")&amp;SUBSTITUTE(TEXT(Overig!W189,""",""?00;"",""?-00;"",""?00;"", //"""),"'","""")&amp;SUBSTITUTE(TEXT(IF(ISTEXT(Overig!X189),Overig!X189,10*Overig!X189),""",""????0;"",""???-0;"",""????0;"", ////"""),"'","""")&amp;SUBSTITUTE(TEXT(Overig!Y189,""",""?00;"",""?-00;"",""?00;"", //"""),"'","""")&amp;SUBSTITUTE(TEXT(IF(ISTEXT(Overig!Z189),Overig!Z189,10*Overig!Z189),""",""????0;"",""???-0;"",""????0;"", ////"""),"'","""")&amp;SUBSTITUTE(TEXT(Overig!AA189,""",""?00;"",""?-00;"",""?00;"", //"""),"'","""")&amp;SUBSTITUTE(TEXT(Overig!AB189,""",""???0;"",""??-0;"",""???0;"", ///"""),"'","""")&amp;SUBSTITUTE(TEXT(Overig!AC189,""",""?00;"",""?-00;"",""?00;"", //"""),"'","""")&amp;SUBSTITUTE(TEXT(IF(ISTEXT(Overig!AD189),Overig!AD189,10*Overig!AD189),""",""????0;"",""???-0;"",""????0;"", ////"""),"'","""")&amp;SUBSTITUTE(TEXT(Overig!AE189,""",""?00;"",""?-00;"",""?00;"", //"""),"'","""")&amp;SUBSTITUTE(TEXT(IF(ISTEXT(Overig!AF189),Overig!AF189,10*Overig!AF189),""",""????0;"",""???-0;"",""????0;"", ////"""),"'","""")&amp;SUBSTITUTE(TEXT(Overig!AG189,""",""?00;"",""?-00;"",""?00;"", //"""),"'","""")&amp;SUBSTITUTE(TEXT(Overig!AH189,""",""???0;"",""??-0;"",""???0;"", ///"""),"'","""")&amp;SUBSTITUTE(TEXT(Overig!AI189,""",""?00;"",""?-00;"",""?00;"", //"""),"'","""")&amp;SUBSTITUTE(TEXT(Overig!AJ189,""",""??0;"",""?-0;"",""??0;"", //"""),"'","""")&amp;SUBSTITUTE(TEXT(Overig!AK189,""",""?00;"",""?-00;"",""?00;"", //"""),"'","""")&amp;SUBSTITUTE(IF(EXACT(Overig!AL189,"—"),TEXT(Overig!AL189,""",""????0;"",""???-0;"",""????0;"", ////////////,"""),TEXT(Overig!AL189,"\, \'@""',""")&amp;REPT(" ",10-LEN(Overig!AL189))),"'","""")&amp;SUBSTITUTE(TEXT(Overig!AM189,"?00;?-00;?00;"" //"""),"'","""")&amp;SUBSTITUTE(TEXT(Overig!AN189,""",""???0;"",""??-0;"",""???0;"", ///"""),"'","""")&amp;SUBSTITUTE(TEXT(Overig!AO189,""",""?00;"",""?-00;"",""?00;"", //"""),"'","""")</f>
        <v>78989, 19130707, 0800, ////, 07, /////, 07, ////, 07, /////, 07, 7615, 00, ////, 07, ////, 07, ////, 07, ///, 07, ///, 07, ////, 07, ////, 07, 135, 00, ////, 07, ////, 07, ///, 07, //, 07, ////////////, 07, ///, 07</v>
      </c>
    </row>
    <row r="190" spans="1:1" x14ac:dyDescent="0.25">
      <c r="A190" s="75" t="str">
        <f ca="1">TEXT(Overig!A190,"000\,")&amp;TEXT(Overig!B190,"?00000000")&amp;TEXT(Overig!C190,""", ""0000")&amp;SUBSTITUTE(TEXT(IF(ISTEXT(Overig!D190),Overig!D190,10*Overig!D190),""",""????0;"",""???-0;"",""????0;"", ////"""),"'","""")&amp;SUBSTITUTE(TEXT(Overig!E190,""",""?00;"",""?-00;"",""?00;"", //"""),"'","""")&amp;SUBSTITUTE(TEXT(IF(ISTEXT(Overig!F190),Overig!F190,100*Overig!F190),""",""?????0;"",""????-0;"",""?????0;"", /////"""),"'","""")&amp;SUBSTITUTE(TEXT(Overig!G190,""",""?00;"",""?-00;"",""?00;"", //"""),"'","""")&amp;SUBSTITUTE(TEXT(IF(ISTEXT(Overig!H190),Overig!H190,100*Overig!H190),""",""????0;"",""???-0;"",""????0;"", ////"""),"'","""")&amp;SUBSTITUTE(TEXT(Overig!I190,""",""?00;"",""?-00;"",""?00;"", //"""),"'","""")&amp;SUBSTITUTE(TEXT(IF(ISTEXT(Overig!J190),Overig!J190,100*Overig!J190),""",""?????0;"",""????-0;"",""?????0;"", /////"""),"'","""")&amp;SUBSTITUTE(TEXT(Overig!K190,""",""?00;"",""?-00;"",""?00;"", //"""),"'","""")&amp;SUBSTITUTE(TEXT(IF(ISTEXT(Overig!L190),Overig!L190,10*Overig!L190),""",""????0;"",""???-0;"",""????0;"", ////"""),"'","""")&amp;SUBSTITUTE(TEXT(Overig!M190,""",""?00;"",""?-00;"",""?00;"", //"""),"'","""")&amp;SUBSTITUTE(TEXT(IF(ISTEXT(Overig!N190),Overig!N190,10*Overig!N190),""",""????0;"",""???-0;"",""????0;"", ////"""),"'","""")&amp;SUBSTITUTE(TEXT(Overig!O190,""",""?00;"",""?-00;"",""?00;"", //"""),"'","""")&amp;SUBSTITUTE(TEXT(IF(ISTEXT(Overig!P190),Overig!P190,10*Overig!P190),""",""????0;"",""???-0;"",""????0;"", ////"""),"'","""")&amp;SUBSTITUTE(TEXT(Overig!Q190,""",""?00;"",""?-00;"",""?00;"", //"""),"'","""")&amp;SUBSTITUTE(TEXT(IF(ISTEXT(Overig!R190),Overig!R190,10*Overig!R190),""",""????0;"",""???-0;"",""????0;"", ////"""),"'","""")&amp;SUBSTITUTE(TEXT(Overig!S190,""",""?00;"",""?-00;"",""?00;"", //"""),"'","""")&amp;SUBSTITUTE(TEXT(Overig!T190,""",""???0;"",""??-0;"",""???0;"", ///"""),"'","""")&amp;SUBSTITUTE(TEXT(Overig!U190,""",""?00;"",""?-00;"",""?00;"", //"""),"'","""")&amp;SUBSTITUTE(TEXT(IF(ISTEXT(Overig!V190),Overig!V190,10*Overig!V190),""",""???0;"",""??-0;"",""???0;"", ///"""),"'","""")&amp;SUBSTITUTE(TEXT(Overig!W190,""",""?00;"",""?-00;"",""?00;"", //"""),"'","""")&amp;SUBSTITUTE(TEXT(IF(ISTEXT(Overig!X190),Overig!X190,10*Overig!X190),""",""????0;"",""???-0;"",""????0;"", ////"""),"'","""")&amp;SUBSTITUTE(TEXT(Overig!Y190,""",""?00;"",""?-00;"",""?00;"", //"""),"'","""")&amp;SUBSTITUTE(TEXT(IF(ISTEXT(Overig!Z190),Overig!Z190,10*Overig!Z190),""",""????0;"",""???-0;"",""????0;"", ////"""),"'","""")&amp;SUBSTITUTE(TEXT(Overig!AA190,""",""?00;"",""?-00;"",""?00;"", //"""),"'","""")&amp;SUBSTITUTE(TEXT(Overig!AB190,""",""???0;"",""??-0;"",""???0;"", ///"""),"'","""")&amp;SUBSTITUTE(TEXT(Overig!AC190,""",""?00;"",""?-00;"",""?00;"", //"""),"'","""")&amp;SUBSTITUTE(TEXT(IF(ISTEXT(Overig!AD190),Overig!AD190,10*Overig!AD190),""",""????0;"",""???-0;"",""????0;"", ////"""),"'","""")&amp;SUBSTITUTE(TEXT(Overig!AE190,""",""?00;"",""?-00;"",""?00;"", //"""),"'","""")&amp;SUBSTITUTE(TEXT(IF(ISTEXT(Overig!AF190),Overig!AF190,10*Overig!AF190),""",""????0;"",""???-0;"",""????0;"", ////"""),"'","""")&amp;SUBSTITUTE(TEXT(Overig!AG190,""",""?00;"",""?-00;"",""?00;"", //"""),"'","""")&amp;SUBSTITUTE(TEXT(Overig!AH190,""",""???0;"",""??-0;"",""???0;"", ///"""),"'","""")&amp;SUBSTITUTE(TEXT(Overig!AI190,""",""?00;"",""?-00;"",""?00;"", //"""),"'","""")&amp;SUBSTITUTE(TEXT(Overig!AJ190,""",""??0;"",""?-0;"",""??0;"", //"""),"'","""")&amp;SUBSTITUTE(TEXT(Overig!AK190,""",""?00;"",""?-00;"",""?00;"", //"""),"'","""")&amp;SUBSTITUTE(IF(EXACT(Overig!AL190,"—"),TEXT(Overig!AL190,""",""????0;"",""???-0;"",""????0;"", ////////////,"""),TEXT(Overig!AL190,"\, \'@""',""")&amp;REPT(" ",10-LEN(Overig!AL190))),"'","""")&amp;SUBSTITUTE(TEXT(Overig!AM190,"?00;?-00;?00;"" //"""),"'","""")&amp;SUBSTITUTE(TEXT(Overig!AN190,""",""???0;"",""??-0;"",""???0;"", ///"""),"'","""")&amp;SUBSTITUTE(TEXT(Overig!AO190,""",""?00;"",""?-00;"",""?00;"", //"""),"'","""")</f>
        <v>78989, 19130708, 0800, ////, 07, /////, 07, ////, 07, /////, 07, 7610, 00, ////, 07, ////, 07, ////, 07, ///, 07, ///, 07, ////, 07, ////, 07,  90, 00, ////, 07, ////, 07, ///, 07, //, 07, ////////////, 07, ///, 07</v>
      </c>
    </row>
    <row r="191" spans="1:1" x14ac:dyDescent="0.25">
      <c r="A191" s="75" t="str">
        <f ca="1">TEXT(Overig!A191,"000\,")&amp;TEXT(Overig!B191,"?00000000")&amp;TEXT(Overig!C191,""", ""0000")&amp;SUBSTITUTE(TEXT(IF(ISTEXT(Overig!D191),Overig!D191,10*Overig!D191),""",""????0;"",""???-0;"",""????0;"", ////"""),"'","""")&amp;SUBSTITUTE(TEXT(Overig!E191,""",""?00;"",""?-00;"",""?00;"", //"""),"'","""")&amp;SUBSTITUTE(TEXT(IF(ISTEXT(Overig!F191),Overig!F191,100*Overig!F191),""",""?????0;"",""????-0;"",""?????0;"", /////"""),"'","""")&amp;SUBSTITUTE(TEXT(Overig!G191,""",""?00;"",""?-00;"",""?00;"", //"""),"'","""")&amp;SUBSTITUTE(TEXT(IF(ISTEXT(Overig!H191),Overig!H191,100*Overig!H191),""",""????0;"",""???-0;"",""????0;"", ////"""),"'","""")&amp;SUBSTITUTE(TEXT(Overig!I191,""",""?00;"",""?-00;"",""?00;"", //"""),"'","""")&amp;SUBSTITUTE(TEXT(IF(ISTEXT(Overig!J191),Overig!J191,100*Overig!J191),""",""?????0;"",""????-0;"",""?????0;"", /////"""),"'","""")&amp;SUBSTITUTE(TEXT(Overig!K191,""",""?00;"",""?-00;"",""?00;"", //"""),"'","""")&amp;SUBSTITUTE(TEXT(IF(ISTEXT(Overig!L191),Overig!L191,10*Overig!L191),""",""????0;"",""???-0;"",""????0;"", ////"""),"'","""")&amp;SUBSTITUTE(TEXT(Overig!M191,""",""?00;"",""?-00;"",""?00;"", //"""),"'","""")&amp;SUBSTITUTE(TEXT(IF(ISTEXT(Overig!N191),Overig!N191,10*Overig!N191),""",""????0;"",""???-0;"",""????0;"", ////"""),"'","""")&amp;SUBSTITUTE(TEXT(Overig!O191,""",""?00;"",""?-00;"",""?00;"", //"""),"'","""")&amp;SUBSTITUTE(TEXT(IF(ISTEXT(Overig!P191),Overig!P191,10*Overig!P191),""",""????0;"",""???-0;"",""????0;"", ////"""),"'","""")&amp;SUBSTITUTE(TEXT(Overig!Q191,""",""?00;"",""?-00;"",""?00;"", //"""),"'","""")&amp;SUBSTITUTE(TEXT(IF(ISTEXT(Overig!R191),Overig!R191,10*Overig!R191),""",""????0;"",""???-0;"",""????0;"", ////"""),"'","""")&amp;SUBSTITUTE(TEXT(Overig!S191,""",""?00;"",""?-00;"",""?00;"", //"""),"'","""")&amp;SUBSTITUTE(TEXT(Overig!T191,""",""???0;"",""??-0;"",""???0;"", ///"""),"'","""")&amp;SUBSTITUTE(TEXT(Overig!U191,""",""?00;"",""?-00;"",""?00;"", //"""),"'","""")&amp;SUBSTITUTE(TEXT(IF(ISTEXT(Overig!V191),Overig!V191,10*Overig!V191),""",""???0;"",""??-0;"",""???0;"", ///"""),"'","""")&amp;SUBSTITUTE(TEXT(Overig!W191,""",""?00;"",""?-00;"",""?00;"", //"""),"'","""")&amp;SUBSTITUTE(TEXT(IF(ISTEXT(Overig!X191),Overig!X191,10*Overig!X191),""",""????0;"",""???-0;"",""????0;"", ////"""),"'","""")&amp;SUBSTITUTE(TEXT(Overig!Y191,""",""?00;"",""?-00;"",""?00;"", //"""),"'","""")&amp;SUBSTITUTE(TEXT(IF(ISTEXT(Overig!Z191),Overig!Z191,10*Overig!Z191),""",""????0;"",""???-0;"",""????0;"", ////"""),"'","""")&amp;SUBSTITUTE(TEXT(Overig!AA191,""",""?00;"",""?-00;"",""?00;"", //"""),"'","""")&amp;SUBSTITUTE(TEXT(Overig!AB191,""",""???0;"",""??-0;"",""???0;"", ///"""),"'","""")&amp;SUBSTITUTE(TEXT(Overig!AC191,""",""?00;"",""?-00;"",""?00;"", //"""),"'","""")&amp;SUBSTITUTE(TEXT(IF(ISTEXT(Overig!AD191),Overig!AD191,10*Overig!AD191),""",""????0;"",""???-0;"",""????0;"", ////"""),"'","""")&amp;SUBSTITUTE(TEXT(Overig!AE191,""",""?00;"",""?-00;"",""?00;"", //"""),"'","""")&amp;SUBSTITUTE(TEXT(IF(ISTEXT(Overig!AF191),Overig!AF191,10*Overig!AF191),""",""????0;"",""???-0;"",""????0;"", ////"""),"'","""")&amp;SUBSTITUTE(TEXT(Overig!AG191,""",""?00;"",""?-00;"",""?00;"", //"""),"'","""")&amp;SUBSTITUTE(TEXT(Overig!AH191,""",""???0;"",""??-0;"",""???0;"", ///"""),"'","""")&amp;SUBSTITUTE(TEXT(Overig!AI191,""",""?00;"",""?-00;"",""?00;"", //"""),"'","""")&amp;SUBSTITUTE(TEXT(Overig!AJ191,""",""??0;"",""?-0;"",""??0;"", //"""),"'","""")&amp;SUBSTITUTE(TEXT(Overig!AK191,""",""?00;"",""?-00;"",""?00;"", //"""),"'","""")&amp;SUBSTITUTE(IF(EXACT(Overig!AL191,"—"),TEXT(Overig!AL191,""",""????0;"",""???-0;"",""????0;"", ////////////,"""),TEXT(Overig!AL191,"\, \'@""',""")&amp;REPT(" ",10-LEN(Overig!AL191))),"'","""")&amp;SUBSTITUTE(TEXT(Overig!AM191,"?00;?-00;?00;"" //"""),"'","""")&amp;SUBSTITUTE(TEXT(Overig!AN191,""",""???0;"",""??-0;"",""???0;"", ///"""),"'","""")&amp;SUBSTITUTE(TEXT(Overig!AO191,""",""?00;"",""?-00;"",""?00;"", //"""),"'","""")</f>
        <v>78989, 19130709, 0800, ////, 07, /////, 07, ////, 07, /////, 07, 7615, 00, ////, 07, ////, 07, ////, 07, ///, 07, ///, 07, ////, 07, ////, 07,  90, 00, ////, 07, ////, 07, ///, 07, //, 07, ////////////, 07, ///, 07</v>
      </c>
    </row>
    <row r="192" spans="1:1" x14ac:dyDescent="0.25">
      <c r="A192" s="75" t="str">
        <f ca="1">TEXT(Overig!A192,"000\,")&amp;TEXT(Overig!B192,"?00000000")&amp;TEXT(Overig!C192,""", ""0000")&amp;SUBSTITUTE(TEXT(IF(ISTEXT(Overig!D192),Overig!D192,10*Overig!D192),""",""????0;"",""???-0;"",""????0;"", ////"""),"'","""")&amp;SUBSTITUTE(TEXT(Overig!E192,""",""?00;"",""?-00;"",""?00;"", //"""),"'","""")&amp;SUBSTITUTE(TEXT(IF(ISTEXT(Overig!F192),Overig!F192,100*Overig!F192),""",""?????0;"",""????-0;"",""?????0;"", /////"""),"'","""")&amp;SUBSTITUTE(TEXT(Overig!G192,""",""?00;"",""?-00;"",""?00;"", //"""),"'","""")&amp;SUBSTITUTE(TEXT(IF(ISTEXT(Overig!H192),Overig!H192,100*Overig!H192),""",""????0;"",""???-0;"",""????0;"", ////"""),"'","""")&amp;SUBSTITUTE(TEXT(Overig!I192,""",""?00;"",""?-00;"",""?00;"", //"""),"'","""")&amp;SUBSTITUTE(TEXT(IF(ISTEXT(Overig!J192),Overig!J192,100*Overig!J192),""",""?????0;"",""????-0;"",""?????0;"", /////"""),"'","""")&amp;SUBSTITUTE(TEXT(Overig!K192,""",""?00;"",""?-00;"",""?00;"", //"""),"'","""")&amp;SUBSTITUTE(TEXT(IF(ISTEXT(Overig!L192),Overig!L192,10*Overig!L192),""",""????0;"",""???-0;"",""????0;"", ////"""),"'","""")&amp;SUBSTITUTE(TEXT(Overig!M192,""",""?00;"",""?-00;"",""?00;"", //"""),"'","""")&amp;SUBSTITUTE(TEXT(IF(ISTEXT(Overig!N192),Overig!N192,10*Overig!N192),""",""????0;"",""???-0;"",""????0;"", ////"""),"'","""")&amp;SUBSTITUTE(TEXT(Overig!O192,""",""?00;"",""?-00;"",""?00;"", //"""),"'","""")&amp;SUBSTITUTE(TEXT(IF(ISTEXT(Overig!P192),Overig!P192,10*Overig!P192),""",""????0;"",""???-0;"",""????0;"", ////"""),"'","""")&amp;SUBSTITUTE(TEXT(Overig!Q192,""",""?00;"",""?-00;"",""?00;"", //"""),"'","""")&amp;SUBSTITUTE(TEXT(IF(ISTEXT(Overig!R192),Overig!R192,10*Overig!R192),""",""????0;"",""???-0;"",""????0;"", ////"""),"'","""")&amp;SUBSTITUTE(TEXT(Overig!S192,""",""?00;"",""?-00;"",""?00;"", //"""),"'","""")&amp;SUBSTITUTE(TEXT(Overig!T192,""",""???0;"",""??-0;"",""???0;"", ///"""),"'","""")&amp;SUBSTITUTE(TEXT(Overig!U192,""",""?00;"",""?-00;"",""?00;"", //"""),"'","""")&amp;SUBSTITUTE(TEXT(IF(ISTEXT(Overig!V192),Overig!V192,10*Overig!V192),""",""???0;"",""??-0;"",""???0;"", ///"""),"'","""")&amp;SUBSTITUTE(TEXT(Overig!W192,""",""?00;"",""?-00;"",""?00;"", //"""),"'","""")&amp;SUBSTITUTE(TEXT(IF(ISTEXT(Overig!X192),Overig!X192,10*Overig!X192),""",""????0;"",""???-0;"",""????0;"", ////"""),"'","""")&amp;SUBSTITUTE(TEXT(Overig!Y192,""",""?00;"",""?-00;"",""?00;"", //"""),"'","""")&amp;SUBSTITUTE(TEXT(IF(ISTEXT(Overig!Z192),Overig!Z192,10*Overig!Z192),""",""????0;"",""???-0;"",""????0;"", ////"""),"'","""")&amp;SUBSTITUTE(TEXT(Overig!AA192,""",""?00;"",""?-00;"",""?00;"", //"""),"'","""")&amp;SUBSTITUTE(TEXT(Overig!AB192,""",""???0;"",""??-0;"",""???0;"", ///"""),"'","""")&amp;SUBSTITUTE(TEXT(Overig!AC192,""",""?00;"",""?-00;"",""?00;"", //"""),"'","""")&amp;SUBSTITUTE(TEXT(IF(ISTEXT(Overig!AD192),Overig!AD192,10*Overig!AD192),""",""????0;"",""???-0;"",""????0;"", ////"""),"'","""")&amp;SUBSTITUTE(TEXT(Overig!AE192,""",""?00;"",""?-00;"",""?00;"", //"""),"'","""")&amp;SUBSTITUTE(TEXT(IF(ISTEXT(Overig!AF192),Overig!AF192,10*Overig!AF192),""",""????0;"",""???-0;"",""????0;"", ////"""),"'","""")&amp;SUBSTITUTE(TEXT(Overig!AG192,""",""?00;"",""?-00;"",""?00;"", //"""),"'","""")&amp;SUBSTITUTE(TEXT(Overig!AH192,""",""???0;"",""??-0;"",""???0;"", ///"""),"'","""")&amp;SUBSTITUTE(TEXT(Overig!AI192,""",""?00;"",""?-00;"",""?00;"", //"""),"'","""")&amp;SUBSTITUTE(TEXT(Overig!AJ192,""",""??0;"",""?-0;"",""??0;"", //"""),"'","""")&amp;SUBSTITUTE(TEXT(Overig!AK192,""",""?00;"",""?-00;"",""?00;"", //"""),"'","""")&amp;SUBSTITUTE(IF(EXACT(Overig!AL192,"—"),TEXT(Overig!AL192,""",""????0;"",""???-0;"",""????0;"", ////////////,"""),TEXT(Overig!AL192,"\, \'@""',""")&amp;REPT(" ",10-LEN(Overig!AL192))),"'","""")&amp;SUBSTITUTE(TEXT(Overig!AM192,"?00;?-00;?00;"" //"""),"'","""")&amp;SUBSTITUTE(TEXT(Overig!AN192,""",""???0;"",""??-0;"",""???0;"", ///"""),"'","""")&amp;SUBSTITUTE(TEXT(Overig!AO192,""",""?00;"",""?-00;"",""?00;"", //"""),"'","""")</f>
        <v>78989, 19130710, 0800, ////, 07, /////, 07, ////, 07, /////, 07, 7620, 00, ////, 07, ////, 07, ////, 07, ///, 07, ///, 07, ////, 07, ////, 07,  90, 00, ////, 07, ////, 07, ///, 07, //, 07, ////////////, 07, ///, 07</v>
      </c>
    </row>
    <row r="193" spans="1:1" x14ac:dyDescent="0.25">
      <c r="A193" s="75" t="str">
        <f ca="1">TEXT(Overig!A193,"000\,")&amp;TEXT(Overig!B193,"?00000000")&amp;TEXT(Overig!C193,""", ""0000")&amp;SUBSTITUTE(TEXT(IF(ISTEXT(Overig!D193),Overig!D193,10*Overig!D193),""",""????0;"",""???-0;"",""????0;"", ////"""),"'","""")&amp;SUBSTITUTE(TEXT(Overig!E193,""",""?00;"",""?-00;"",""?00;"", //"""),"'","""")&amp;SUBSTITUTE(TEXT(IF(ISTEXT(Overig!F193),Overig!F193,100*Overig!F193),""",""?????0;"",""????-0;"",""?????0;"", /////"""),"'","""")&amp;SUBSTITUTE(TEXT(Overig!G193,""",""?00;"",""?-00;"",""?00;"", //"""),"'","""")&amp;SUBSTITUTE(TEXT(IF(ISTEXT(Overig!H193),Overig!H193,100*Overig!H193),""",""????0;"",""???-0;"",""????0;"", ////"""),"'","""")&amp;SUBSTITUTE(TEXT(Overig!I193,""",""?00;"",""?-00;"",""?00;"", //"""),"'","""")&amp;SUBSTITUTE(TEXT(IF(ISTEXT(Overig!J193),Overig!J193,100*Overig!J193),""",""?????0;"",""????-0;"",""?????0;"", /////"""),"'","""")&amp;SUBSTITUTE(TEXT(Overig!K193,""",""?00;"",""?-00;"",""?00;"", //"""),"'","""")&amp;SUBSTITUTE(TEXT(IF(ISTEXT(Overig!L193),Overig!L193,10*Overig!L193),""",""????0;"",""???-0;"",""????0;"", ////"""),"'","""")&amp;SUBSTITUTE(TEXT(Overig!M193,""",""?00;"",""?-00;"",""?00;"", //"""),"'","""")&amp;SUBSTITUTE(TEXT(IF(ISTEXT(Overig!N193),Overig!N193,10*Overig!N193),""",""????0;"",""???-0;"",""????0;"", ////"""),"'","""")&amp;SUBSTITUTE(TEXT(Overig!O193,""",""?00;"",""?-00;"",""?00;"", //"""),"'","""")&amp;SUBSTITUTE(TEXT(IF(ISTEXT(Overig!P193),Overig!P193,10*Overig!P193),""",""????0;"",""???-0;"",""????0;"", ////"""),"'","""")&amp;SUBSTITUTE(TEXT(Overig!Q193,""",""?00;"",""?-00;"",""?00;"", //"""),"'","""")&amp;SUBSTITUTE(TEXT(IF(ISTEXT(Overig!R193),Overig!R193,10*Overig!R193),""",""????0;"",""???-0;"",""????0;"", ////"""),"'","""")&amp;SUBSTITUTE(TEXT(Overig!S193,""",""?00;"",""?-00;"",""?00;"", //"""),"'","""")&amp;SUBSTITUTE(TEXT(Overig!T193,""",""???0;"",""??-0;"",""???0;"", ///"""),"'","""")&amp;SUBSTITUTE(TEXT(Overig!U193,""",""?00;"",""?-00;"",""?00;"", //"""),"'","""")&amp;SUBSTITUTE(TEXT(IF(ISTEXT(Overig!V193),Overig!V193,10*Overig!V193),""",""???0;"",""??-0;"",""???0;"", ///"""),"'","""")&amp;SUBSTITUTE(TEXT(Overig!W193,""",""?00;"",""?-00;"",""?00;"", //"""),"'","""")&amp;SUBSTITUTE(TEXT(IF(ISTEXT(Overig!X193),Overig!X193,10*Overig!X193),""",""????0;"",""???-0;"",""????0;"", ////"""),"'","""")&amp;SUBSTITUTE(TEXT(Overig!Y193,""",""?00;"",""?-00;"",""?00;"", //"""),"'","""")&amp;SUBSTITUTE(TEXT(IF(ISTEXT(Overig!Z193),Overig!Z193,10*Overig!Z193),""",""????0;"",""???-0;"",""????0;"", ////"""),"'","""")&amp;SUBSTITUTE(TEXT(Overig!AA193,""",""?00;"",""?-00;"",""?00;"", //"""),"'","""")&amp;SUBSTITUTE(TEXT(Overig!AB193,""",""???0;"",""??-0;"",""???0;"", ///"""),"'","""")&amp;SUBSTITUTE(TEXT(Overig!AC193,""",""?00;"",""?-00;"",""?00;"", //"""),"'","""")&amp;SUBSTITUTE(TEXT(IF(ISTEXT(Overig!AD193),Overig!AD193,10*Overig!AD193),""",""????0;"",""???-0;"",""????0;"", ////"""),"'","""")&amp;SUBSTITUTE(TEXT(Overig!AE193,""",""?00;"",""?-00;"",""?00;"", //"""),"'","""")&amp;SUBSTITUTE(TEXT(IF(ISTEXT(Overig!AF193),Overig!AF193,10*Overig!AF193),""",""????0;"",""???-0;"",""????0;"", ////"""),"'","""")&amp;SUBSTITUTE(TEXT(Overig!AG193,""",""?00;"",""?-00;"",""?00;"", //"""),"'","""")&amp;SUBSTITUTE(TEXT(Overig!AH193,""",""???0;"",""??-0;"",""???0;"", ///"""),"'","""")&amp;SUBSTITUTE(TEXT(Overig!AI193,""",""?00;"",""?-00;"",""?00;"", //"""),"'","""")&amp;SUBSTITUTE(TEXT(Overig!AJ193,""",""??0;"",""?-0;"",""??0;"", //"""),"'","""")&amp;SUBSTITUTE(TEXT(Overig!AK193,""",""?00;"",""?-00;"",""?00;"", //"""),"'","""")&amp;SUBSTITUTE(IF(EXACT(Overig!AL193,"—"),TEXT(Overig!AL193,""",""????0;"",""???-0;"",""????0;"", ////////////,"""),TEXT(Overig!AL193,"\, \'@""',""")&amp;REPT(" ",10-LEN(Overig!AL193))),"'","""")&amp;SUBSTITUTE(TEXT(Overig!AM193,"?00;?-00;?00;"" //"""),"'","""")&amp;SUBSTITUTE(TEXT(Overig!AN193,""",""???0;"",""??-0;"",""???0;"", ///"""),"'","""")&amp;SUBSTITUTE(TEXT(Overig!AO193,""",""?00;"",""?-00;"",""?00;"", //"""),"'","""")</f>
        <v>78989, 19130711, 0800, ////, 07, /////, 07, ////, 07, /////, 07, 7610, 00, ////, 07, ////, 07, ////, 07, ///, 07, ///, 07, ////, 07, ////, 07,  90, 00, ////, 07, ////, 07, ///, 07, //, 07, ////////////, 07, ///, 07</v>
      </c>
    </row>
    <row r="194" spans="1:1" x14ac:dyDescent="0.25">
      <c r="A194" s="75" t="str">
        <f ca="1">TEXT(Overig!A194,"000\,")&amp;TEXT(Overig!B194,"?00000000")&amp;TEXT(Overig!C194,""", ""0000")&amp;SUBSTITUTE(TEXT(IF(ISTEXT(Overig!D194),Overig!D194,10*Overig!D194),""",""????0;"",""???-0;"",""????0;"", ////"""),"'","""")&amp;SUBSTITUTE(TEXT(Overig!E194,""",""?00;"",""?-00;"",""?00;"", //"""),"'","""")&amp;SUBSTITUTE(TEXT(IF(ISTEXT(Overig!F194),Overig!F194,100*Overig!F194),""",""?????0;"",""????-0;"",""?????0;"", /////"""),"'","""")&amp;SUBSTITUTE(TEXT(Overig!G194,""",""?00;"",""?-00;"",""?00;"", //"""),"'","""")&amp;SUBSTITUTE(TEXT(IF(ISTEXT(Overig!H194),Overig!H194,100*Overig!H194),""",""????0;"",""???-0;"",""????0;"", ////"""),"'","""")&amp;SUBSTITUTE(TEXT(Overig!I194,""",""?00;"",""?-00;"",""?00;"", //"""),"'","""")&amp;SUBSTITUTE(TEXT(IF(ISTEXT(Overig!J194),Overig!J194,100*Overig!J194),""",""?????0;"",""????-0;"",""?????0;"", /////"""),"'","""")&amp;SUBSTITUTE(TEXT(Overig!K194,""",""?00;"",""?-00;"",""?00;"", //"""),"'","""")&amp;SUBSTITUTE(TEXT(IF(ISTEXT(Overig!L194),Overig!L194,10*Overig!L194),""",""????0;"",""???-0;"",""????0;"", ////"""),"'","""")&amp;SUBSTITUTE(TEXT(Overig!M194,""",""?00;"",""?-00;"",""?00;"", //"""),"'","""")&amp;SUBSTITUTE(TEXT(IF(ISTEXT(Overig!N194),Overig!N194,10*Overig!N194),""",""????0;"",""???-0;"",""????0;"", ////"""),"'","""")&amp;SUBSTITUTE(TEXT(Overig!O194,""",""?00;"",""?-00;"",""?00;"", //"""),"'","""")&amp;SUBSTITUTE(TEXT(IF(ISTEXT(Overig!P194),Overig!P194,10*Overig!P194),""",""????0;"",""???-0;"",""????0;"", ////"""),"'","""")&amp;SUBSTITUTE(TEXT(Overig!Q194,""",""?00;"",""?-00;"",""?00;"", //"""),"'","""")&amp;SUBSTITUTE(TEXT(IF(ISTEXT(Overig!R194),Overig!R194,10*Overig!R194),""",""????0;"",""???-0;"",""????0;"", ////"""),"'","""")&amp;SUBSTITUTE(TEXT(Overig!S194,""",""?00;"",""?-00;"",""?00;"", //"""),"'","""")&amp;SUBSTITUTE(TEXT(Overig!T194,""",""???0;"",""??-0;"",""???0;"", ///"""),"'","""")&amp;SUBSTITUTE(TEXT(Overig!U194,""",""?00;"",""?-00;"",""?00;"", //"""),"'","""")&amp;SUBSTITUTE(TEXT(IF(ISTEXT(Overig!V194),Overig!V194,10*Overig!V194),""",""???0;"",""??-0;"",""???0;"", ///"""),"'","""")&amp;SUBSTITUTE(TEXT(Overig!W194,""",""?00;"",""?-00;"",""?00;"", //"""),"'","""")&amp;SUBSTITUTE(TEXT(IF(ISTEXT(Overig!X194),Overig!X194,10*Overig!X194),""",""????0;"",""???-0;"",""????0;"", ////"""),"'","""")&amp;SUBSTITUTE(TEXT(Overig!Y194,""",""?00;"",""?-00;"",""?00;"", //"""),"'","""")&amp;SUBSTITUTE(TEXT(IF(ISTEXT(Overig!Z194),Overig!Z194,10*Overig!Z194),""",""????0;"",""???-0;"",""????0;"", ////"""),"'","""")&amp;SUBSTITUTE(TEXT(Overig!AA194,""",""?00;"",""?-00;"",""?00;"", //"""),"'","""")&amp;SUBSTITUTE(TEXT(Overig!AB194,""",""???0;"",""??-0;"",""???0;"", ///"""),"'","""")&amp;SUBSTITUTE(TEXT(Overig!AC194,""",""?00;"",""?-00;"",""?00;"", //"""),"'","""")&amp;SUBSTITUTE(TEXT(IF(ISTEXT(Overig!AD194),Overig!AD194,10*Overig!AD194),""",""????0;"",""???-0;"",""????0;"", ////"""),"'","""")&amp;SUBSTITUTE(TEXT(Overig!AE194,""",""?00;"",""?-00;"",""?00;"", //"""),"'","""")&amp;SUBSTITUTE(TEXT(IF(ISTEXT(Overig!AF194),Overig!AF194,10*Overig!AF194),""",""????0;"",""???-0;"",""????0;"", ////"""),"'","""")&amp;SUBSTITUTE(TEXT(Overig!AG194,""",""?00;"",""?-00;"",""?00;"", //"""),"'","""")&amp;SUBSTITUTE(TEXT(Overig!AH194,""",""???0;"",""??-0;"",""???0;"", ///"""),"'","""")&amp;SUBSTITUTE(TEXT(Overig!AI194,""",""?00;"",""?-00;"",""?00;"", //"""),"'","""")&amp;SUBSTITUTE(TEXT(Overig!AJ194,""",""??0;"",""?-0;"",""??0;"", //"""),"'","""")&amp;SUBSTITUTE(TEXT(Overig!AK194,""",""?00;"",""?-00;"",""?00;"", //"""),"'","""")&amp;SUBSTITUTE(IF(EXACT(Overig!AL194,"—"),TEXT(Overig!AL194,""",""????0;"",""???-0;"",""????0;"", ////////////,"""),TEXT(Overig!AL194,"\, \'@""',""")&amp;REPT(" ",10-LEN(Overig!AL194))),"'","""")&amp;SUBSTITUTE(TEXT(Overig!AM194,"?00;?-00;?00;"" //"""),"'","""")&amp;SUBSTITUTE(TEXT(Overig!AN194,""",""???0;"",""??-0;"",""???0;"", ///"""),"'","""")&amp;SUBSTITUTE(TEXT(Overig!AO194,""",""?00;"",""?-00;"",""?00;"", //"""),"'","""")</f>
        <v>78989, 19130712, 0800, ////, 07, /////, 07, ////, 07, /////, 07, 7615, 00, ////, 07, ////, 07, ////, 07, ///, 07, ///, 07, ////, 07, ////, 07,  90, 00, ////, 07, ////, 07, ///, 07, //, 07, ////////////, 07, ///, 07</v>
      </c>
    </row>
    <row r="195" spans="1:1" x14ac:dyDescent="0.25">
      <c r="A195" s="75" t="str">
        <f ca="1">TEXT(Overig!A195,"000\,")&amp;TEXT(Overig!B195,"?00000000")&amp;TEXT(Overig!C195,""", ""0000")&amp;SUBSTITUTE(TEXT(IF(ISTEXT(Overig!D195),Overig!D195,10*Overig!D195),""",""????0;"",""???-0;"",""????0;"", ////"""),"'","""")&amp;SUBSTITUTE(TEXT(Overig!E195,""",""?00;"",""?-00;"",""?00;"", //"""),"'","""")&amp;SUBSTITUTE(TEXT(IF(ISTEXT(Overig!F195),Overig!F195,100*Overig!F195),""",""?????0;"",""????-0;"",""?????0;"", /////"""),"'","""")&amp;SUBSTITUTE(TEXT(Overig!G195,""",""?00;"",""?-00;"",""?00;"", //"""),"'","""")&amp;SUBSTITUTE(TEXT(IF(ISTEXT(Overig!H195),Overig!H195,100*Overig!H195),""",""????0;"",""???-0;"",""????0;"", ////"""),"'","""")&amp;SUBSTITUTE(TEXT(Overig!I195,""",""?00;"",""?-00;"",""?00;"", //"""),"'","""")&amp;SUBSTITUTE(TEXT(IF(ISTEXT(Overig!J195),Overig!J195,100*Overig!J195),""",""?????0;"",""????-0;"",""?????0;"", /////"""),"'","""")&amp;SUBSTITUTE(TEXT(Overig!K195,""",""?00;"",""?-00;"",""?00;"", //"""),"'","""")&amp;SUBSTITUTE(TEXT(IF(ISTEXT(Overig!L195),Overig!L195,10*Overig!L195),""",""????0;"",""???-0;"",""????0;"", ////"""),"'","""")&amp;SUBSTITUTE(TEXT(Overig!M195,""",""?00;"",""?-00;"",""?00;"", //"""),"'","""")&amp;SUBSTITUTE(TEXT(IF(ISTEXT(Overig!N195),Overig!N195,10*Overig!N195),""",""????0;"",""???-0;"",""????0;"", ////"""),"'","""")&amp;SUBSTITUTE(TEXT(Overig!O195,""",""?00;"",""?-00;"",""?00;"", //"""),"'","""")&amp;SUBSTITUTE(TEXT(IF(ISTEXT(Overig!P195),Overig!P195,10*Overig!P195),""",""????0;"",""???-0;"",""????0;"", ////"""),"'","""")&amp;SUBSTITUTE(TEXT(Overig!Q195,""",""?00;"",""?-00;"",""?00;"", //"""),"'","""")&amp;SUBSTITUTE(TEXT(IF(ISTEXT(Overig!R195),Overig!R195,10*Overig!R195),""",""????0;"",""???-0;"",""????0;"", ////"""),"'","""")&amp;SUBSTITUTE(TEXT(Overig!S195,""",""?00;"",""?-00;"",""?00;"", //"""),"'","""")&amp;SUBSTITUTE(TEXT(Overig!T195,""",""???0;"",""??-0;"",""???0;"", ///"""),"'","""")&amp;SUBSTITUTE(TEXT(Overig!U195,""",""?00;"",""?-00;"",""?00;"", //"""),"'","""")&amp;SUBSTITUTE(TEXT(IF(ISTEXT(Overig!V195),Overig!V195,10*Overig!V195),""",""???0;"",""??-0;"",""???0;"", ///"""),"'","""")&amp;SUBSTITUTE(TEXT(Overig!W195,""",""?00;"",""?-00;"",""?00;"", //"""),"'","""")&amp;SUBSTITUTE(TEXT(IF(ISTEXT(Overig!X195),Overig!X195,10*Overig!X195),""",""????0;"",""???-0;"",""????0;"", ////"""),"'","""")&amp;SUBSTITUTE(TEXT(Overig!Y195,""",""?00;"",""?-00;"",""?00;"", //"""),"'","""")&amp;SUBSTITUTE(TEXT(IF(ISTEXT(Overig!Z195),Overig!Z195,10*Overig!Z195),""",""????0;"",""???-0;"",""????0;"", ////"""),"'","""")&amp;SUBSTITUTE(TEXT(Overig!AA195,""",""?00;"",""?-00;"",""?00;"", //"""),"'","""")&amp;SUBSTITUTE(TEXT(Overig!AB195,""",""???0;"",""??-0;"",""???0;"", ///"""),"'","""")&amp;SUBSTITUTE(TEXT(Overig!AC195,""",""?00;"",""?-00;"",""?00;"", //"""),"'","""")&amp;SUBSTITUTE(TEXT(IF(ISTEXT(Overig!AD195),Overig!AD195,10*Overig!AD195),""",""????0;"",""???-0;"",""????0;"", ////"""),"'","""")&amp;SUBSTITUTE(TEXT(Overig!AE195,""",""?00;"",""?-00;"",""?00;"", //"""),"'","""")&amp;SUBSTITUTE(TEXT(IF(ISTEXT(Overig!AF195),Overig!AF195,10*Overig!AF195),""",""????0;"",""???-0;"",""????0;"", ////"""),"'","""")&amp;SUBSTITUTE(TEXT(Overig!AG195,""",""?00;"",""?-00;"",""?00;"", //"""),"'","""")&amp;SUBSTITUTE(TEXT(Overig!AH195,""",""???0;"",""??-0;"",""???0;"", ///"""),"'","""")&amp;SUBSTITUTE(TEXT(Overig!AI195,""",""?00;"",""?-00;"",""?00;"", //"""),"'","""")&amp;SUBSTITUTE(TEXT(Overig!AJ195,""",""??0;"",""?-0;"",""??0;"", //"""),"'","""")&amp;SUBSTITUTE(TEXT(Overig!AK195,""",""?00;"",""?-00;"",""?00;"", //"""),"'","""")&amp;SUBSTITUTE(IF(EXACT(Overig!AL195,"—"),TEXT(Overig!AL195,""",""????0;"",""???-0;"",""????0;"", ////////////,"""),TEXT(Overig!AL195,"\, \'@""',""")&amp;REPT(" ",10-LEN(Overig!AL195))),"'","""")&amp;SUBSTITUTE(TEXT(Overig!AM195,"?00;?-00;?00;"" //"""),"'","""")&amp;SUBSTITUTE(TEXT(Overig!AN195,""",""???0;"",""??-0;"",""???0;"", ///"""),"'","""")&amp;SUBSTITUTE(TEXT(Overig!AO195,""",""?00;"",""?-00;"",""?00;"", //"""),"'","""")</f>
        <v>78989, 19130713, 0800, ////, 07, /////, 07, ////, 07, /////, 07, 7605, 00, ////, 07, ////, 07, ////, 07, ///, 07, ///, 07, ////, 07, ////, 07,  45, 00, ////, 07, ////, 07, ///, 07, //, 07, ////////////, 07, ///, 07</v>
      </c>
    </row>
    <row r="196" spans="1:1" x14ac:dyDescent="0.25">
      <c r="A196" s="75" t="str">
        <f ca="1">TEXT(Overig!A196,"000\,")&amp;TEXT(Overig!B196,"?00000000")&amp;TEXT(Overig!C196,""", ""0000")&amp;SUBSTITUTE(TEXT(IF(ISTEXT(Overig!D196),Overig!D196,10*Overig!D196),""",""????0;"",""???-0;"",""????0;"", ////"""),"'","""")&amp;SUBSTITUTE(TEXT(Overig!E196,""",""?00;"",""?-00;"",""?00;"", //"""),"'","""")&amp;SUBSTITUTE(TEXT(IF(ISTEXT(Overig!F196),Overig!F196,100*Overig!F196),""",""?????0;"",""????-0;"",""?????0;"", /////"""),"'","""")&amp;SUBSTITUTE(TEXT(Overig!G196,""",""?00;"",""?-00;"",""?00;"", //"""),"'","""")&amp;SUBSTITUTE(TEXT(IF(ISTEXT(Overig!H196),Overig!H196,100*Overig!H196),""",""????0;"",""???-0;"",""????0;"", ////"""),"'","""")&amp;SUBSTITUTE(TEXT(Overig!I196,""",""?00;"",""?-00;"",""?00;"", //"""),"'","""")&amp;SUBSTITUTE(TEXT(IF(ISTEXT(Overig!J196),Overig!J196,100*Overig!J196),""",""?????0;"",""????-0;"",""?????0;"", /////"""),"'","""")&amp;SUBSTITUTE(TEXT(Overig!K196,""",""?00;"",""?-00;"",""?00;"", //"""),"'","""")&amp;SUBSTITUTE(TEXT(IF(ISTEXT(Overig!L196),Overig!L196,10*Overig!L196),""",""????0;"",""???-0;"",""????0;"", ////"""),"'","""")&amp;SUBSTITUTE(TEXT(Overig!M196,""",""?00;"",""?-00;"",""?00;"", //"""),"'","""")&amp;SUBSTITUTE(TEXT(IF(ISTEXT(Overig!N196),Overig!N196,10*Overig!N196),""",""????0;"",""???-0;"",""????0;"", ////"""),"'","""")&amp;SUBSTITUTE(TEXT(Overig!O196,""",""?00;"",""?-00;"",""?00;"", //"""),"'","""")&amp;SUBSTITUTE(TEXT(IF(ISTEXT(Overig!P196),Overig!P196,10*Overig!P196),""",""????0;"",""???-0;"",""????0;"", ////"""),"'","""")&amp;SUBSTITUTE(TEXT(Overig!Q196,""",""?00;"",""?-00;"",""?00;"", //"""),"'","""")&amp;SUBSTITUTE(TEXT(IF(ISTEXT(Overig!R196),Overig!R196,10*Overig!R196),""",""????0;"",""???-0;"",""????0;"", ////"""),"'","""")&amp;SUBSTITUTE(TEXT(Overig!S196,""",""?00;"",""?-00;"",""?00;"", //"""),"'","""")&amp;SUBSTITUTE(TEXT(Overig!T196,""",""???0;"",""??-0;"",""???0;"", ///"""),"'","""")&amp;SUBSTITUTE(TEXT(Overig!U196,""",""?00;"",""?-00;"",""?00;"", //"""),"'","""")&amp;SUBSTITUTE(TEXT(IF(ISTEXT(Overig!V196),Overig!V196,10*Overig!V196),""",""???0;"",""??-0;"",""???0;"", ///"""),"'","""")&amp;SUBSTITUTE(TEXT(Overig!W196,""",""?00;"",""?-00;"",""?00;"", //"""),"'","""")&amp;SUBSTITUTE(TEXT(IF(ISTEXT(Overig!X196),Overig!X196,10*Overig!X196),""",""????0;"",""???-0;"",""????0;"", ////"""),"'","""")&amp;SUBSTITUTE(TEXT(Overig!Y196,""",""?00;"",""?-00;"",""?00;"", //"""),"'","""")&amp;SUBSTITUTE(TEXT(IF(ISTEXT(Overig!Z196),Overig!Z196,10*Overig!Z196),""",""????0;"",""???-0;"",""????0;"", ////"""),"'","""")&amp;SUBSTITUTE(TEXT(Overig!AA196,""",""?00;"",""?-00;"",""?00;"", //"""),"'","""")&amp;SUBSTITUTE(TEXT(Overig!AB196,""",""???0;"",""??-0;"",""???0;"", ///"""),"'","""")&amp;SUBSTITUTE(TEXT(Overig!AC196,""",""?00;"",""?-00;"",""?00;"", //"""),"'","""")&amp;SUBSTITUTE(TEXT(IF(ISTEXT(Overig!AD196),Overig!AD196,10*Overig!AD196),""",""????0;"",""???-0;"",""????0;"", ////"""),"'","""")&amp;SUBSTITUTE(TEXT(Overig!AE196,""",""?00;"",""?-00;"",""?00;"", //"""),"'","""")&amp;SUBSTITUTE(TEXT(IF(ISTEXT(Overig!AF196),Overig!AF196,10*Overig!AF196),""",""????0;"",""???-0;"",""????0;"", ////"""),"'","""")&amp;SUBSTITUTE(TEXT(Overig!AG196,""",""?00;"",""?-00;"",""?00;"", //"""),"'","""")&amp;SUBSTITUTE(TEXT(Overig!AH196,""",""???0;"",""??-0;"",""???0;"", ///"""),"'","""")&amp;SUBSTITUTE(TEXT(Overig!AI196,""",""?00;"",""?-00;"",""?00;"", //"""),"'","""")&amp;SUBSTITUTE(TEXT(Overig!AJ196,""",""??0;"",""?-0;"",""??0;"", //"""),"'","""")&amp;SUBSTITUTE(TEXT(Overig!AK196,""",""?00;"",""?-00;"",""?00;"", //"""),"'","""")&amp;SUBSTITUTE(IF(EXACT(Overig!AL196,"—"),TEXT(Overig!AL196,""",""????0;"",""???-0;"",""????0;"", ////////////,"""),TEXT(Overig!AL196,"\, \'@""',""")&amp;REPT(" ",10-LEN(Overig!AL196))),"'","""")&amp;SUBSTITUTE(TEXT(Overig!AM196,"?00;?-00;?00;"" //"""),"'","""")&amp;SUBSTITUTE(TEXT(Overig!AN196,""",""???0;"",""??-0;"",""???0;"", ///"""),"'","""")&amp;SUBSTITUTE(TEXT(Overig!AO196,""",""?00;"",""?-00;"",""?00;"", //"""),"'","""")</f>
        <v>78989, 19130714, 0800, ////, 07, /////, 07, ////, 07, /////, 07, 7605, 00, ////, 07, ////, 07, ////, 07, ///, 07, ///, 07, ////, 07, ////, 07, 135, 00, ////, 07, ////, 07, ///, 07, //, 07, ////////////, 07, ///, 07</v>
      </c>
    </row>
    <row r="197" spans="1:1" x14ac:dyDescent="0.25">
      <c r="A197" s="75" t="str">
        <f ca="1">TEXT(Overig!A197,"000\,")&amp;TEXT(Overig!B197,"?00000000")&amp;TEXT(Overig!C197,""", ""0000")&amp;SUBSTITUTE(TEXT(IF(ISTEXT(Overig!D197),Overig!D197,10*Overig!D197),""",""????0;"",""???-0;"",""????0;"", ////"""),"'","""")&amp;SUBSTITUTE(TEXT(Overig!E197,""",""?00;"",""?-00;"",""?00;"", //"""),"'","""")&amp;SUBSTITUTE(TEXT(IF(ISTEXT(Overig!F197),Overig!F197,100*Overig!F197),""",""?????0;"",""????-0;"",""?????0;"", /////"""),"'","""")&amp;SUBSTITUTE(TEXT(Overig!G197,""",""?00;"",""?-00;"",""?00;"", //"""),"'","""")&amp;SUBSTITUTE(TEXT(IF(ISTEXT(Overig!H197),Overig!H197,100*Overig!H197),""",""????0;"",""???-0;"",""????0;"", ////"""),"'","""")&amp;SUBSTITUTE(TEXT(Overig!I197,""",""?00;"",""?-00;"",""?00;"", //"""),"'","""")&amp;SUBSTITUTE(TEXT(IF(ISTEXT(Overig!J197),Overig!J197,100*Overig!J197),""",""?????0;"",""????-0;"",""?????0;"", /////"""),"'","""")&amp;SUBSTITUTE(TEXT(Overig!K197,""",""?00;"",""?-00;"",""?00;"", //"""),"'","""")&amp;SUBSTITUTE(TEXT(IF(ISTEXT(Overig!L197),Overig!L197,10*Overig!L197),""",""????0;"",""???-0;"",""????0;"", ////"""),"'","""")&amp;SUBSTITUTE(TEXT(Overig!M197,""",""?00;"",""?-00;"",""?00;"", //"""),"'","""")&amp;SUBSTITUTE(TEXT(IF(ISTEXT(Overig!N197),Overig!N197,10*Overig!N197),""",""????0;"",""???-0;"",""????0;"", ////"""),"'","""")&amp;SUBSTITUTE(TEXT(Overig!O197,""",""?00;"",""?-00;"",""?00;"", //"""),"'","""")&amp;SUBSTITUTE(TEXT(IF(ISTEXT(Overig!P197),Overig!P197,10*Overig!P197),""",""????0;"",""???-0;"",""????0;"", ////"""),"'","""")&amp;SUBSTITUTE(TEXT(Overig!Q197,""",""?00;"",""?-00;"",""?00;"", //"""),"'","""")&amp;SUBSTITUTE(TEXT(IF(ISTEXT(Overig!R197),Overig!R197,10*Overig!R197),""",""????0;"",""???-0;"",""????0;"", ////"""),"'","""")&amp;SUBSTITUTE(TEXT(Overig!S197,""",""?00;"",""?-00;"",""?00;"", //"""),"'","""")&amp;SUBSTITUTE(TEXT(Overig!T197,""",""???0;"",""??-0;"",""???0;"", ///"""),"'","""")&amp;SUBSTITUTE(TEXT(Overig!U197,""",""?00;"",""?-00;"",""?00;"", //"""),"'","""")&amp;SUBSTITUTE(TEXT(IF(ISTEXT(Overig!V197),Overig!V197,10*Overig!V197),""",""???0;"",""??-0;"",""???0;"", ///"""),"'","""")&amp;SUBSTITUTE(TEXT(Overig!W197,""",""?00;"",""?-00;"",""?00;"", //"""),"'","""")&amp;SUBSTITUTE(TEXT(IF(ISTEXT(Overig!X197),Overig!X197,10*Overig!X197),""",""????0;"",""???-0;"",""????0;"", ////"""),"'","""")&amp;SUBSTITUTE(TEXT(Overig!Y197,""",""?00;"",""?-00;"",""?00;"", //"""),"'","""")&amp;SUBSTITUTE(TEXT(IF(ISTEXT(Overig!Z197),Overig!Z197,10*Overig!Z197),""",""????0;"",""???-0;"",""????0;"", ////"""),"'","""")&amp;SUBSTITUTE(TEXT(Overig!AA197,""",""?00;"",""?-00;"",""?00;"", //"""),"'","""")&amp;SUBSTITUTE(TEXT(Overig!AB197,""",""???0;"",""??-0;"",""???0;"", ///"""),"'","""")&amp;SUBSTITUTE(TEXT(Overig!AC197,""",""?00;"",""?-00;"",""?00;"", //"""),"'","""")&amp;SUBSTITUTE(TEXT(IF(ISTEXT(Overig!AD197),Overig!AD197,10*Overig!AD197),""",""????0;"",""???-0;"",""????0;"", ////"""),"'","""")&amp;SUBSTITUTE(TEXT(Overig!AE197,""",""?00;"",""?-00;"",""?00;"", //"""),"'","""")&amp;SUBSTITUTE(TEXT(IF(ISTEXT(Overig!AF197),Overig!AF197,10*Overig!AF197),""",""????0;"",""???-0;"",""????0;"", ////"""),"'","""")&amp;SUBSTITUTE(TEXT(Overig!AG197,""",""?00;"",""?-00;"",""?00;"", //"""),"'","""")&amp;SUBSTITUTE(TEXT(Overig!AH197,""",""???0;"",""??-0;"",""???0;"", ///"""),"'","""")&amp;SUBSTITUTE(TEXT(Overig!AI197,""",""?00;"",""?-00;"",""?00;"", //"""),"'","""")&amp;SUBSTITUTE(TEXT(Overig!AJ197,""",""??0;"",""?-0;"",""??0;"", //"""),"'","""")&amp;SUBSTITUTE(TEXT(Overig!AK197,""",""?00;"",""?-00;"",""?00;"", //"""),"'","""")&amp;SUBSTITUTE(IF(EXACT(Overig!AL197,"—"),TEXT(Overig!AL197,""",""????0;"",""???-0;"",""????0;"", ////////////,"""),TEXT(Overig!AL197,"\, \'@""',""")&amp;REPT(" ",10-LEN(Overig!AL197))),"'","""")&amp;SUBSTITUTE(TEXT(Overig!AM197,"?00;?-00;?00;"" //"""),"'","""")&amp;SUBSTITUTE(TEXT(Overig!AN197,""",""???0;"",""??-0;"",""???0;"", ///"""),"'","""")&amp;SUBSTITUTE(TEXT(Overig!AO197,""",""?00;"",""?-00;"",""?00;"", //"""),"'","""")</f>
        <v>78989, 19130715, 0800, ////, 07, /////, 07, ////, 07, /////, 07, 7620, 00, ////, 07, ////, 07, ////, 07, ///, 07, ///, 07, ////, 07, ////, 07,  90, 00, ////, 07, ////, 07, ///, 07, //, 07, ////////////, 07, ///, 07</v>
      </c>
    </row>
    <row r="198" spans="1:1" x14ac:dyDescent="0.25">
      <c r="A198" s="75" t="str">
        <f ca="1">TEXT(Overig!A198,"000\,")&amp;TEXT(Overig!B198,"?00000000")&amp;TEXT(Overig!C198,""", ""0000")&amp;SUBSTITUTE(TEXT(IF(ISTEXT(Overig!D198),Overig!D198,10*Overig!D198),""",""????0;"",""???-0;"",""????0;"", ////"""),"'","""")&amp;SUBSTITUTE(TEXT(Overig!E198,""",""?00;"",""?-00;"",""?00;"", //"""),"'","""")&amp;SUBSTITUTE(TEXT(IF(ISTEXT(Overig!F198),Overig!F198,100*Overig!F198),""",""?????0;"",""????-0;"",""?????0;"", /////"""),"'","""")&amp;SUBSTITUTE(TEXT(Overig!G198,""",""?00;"",""?-00;"",""?00;"", //"""),"'","""")&amp;SUBSTITUTE(TEXT(IF(ISTEXT(Overig!H198),Overig!H198,100*Overig!H198),""",""????0;"",""???-0;"",""????0;"", ////"""),"'","""")&amp;SUBSTITUTE(TEXT(Overig!I198,""",""?00;"",""?-00;"",""?00;"", //"""),"'","""")&amp;SUBSTITUTE(TEXT(IF(ISTEXT(Overig!J198),Overig!J198,100*Overig!J198),""",""?????0;"",""????-0;"",""?????0;"", /////"""),"'","""")&amp;SUBSTITUTE(TEXT(Overig!K198,""",""?00;"",""?-00;"",""?00;"", //"""),"'","""")&amp;SUBSTITUTE(TEXT(IF(ISTEXT(Overig!L198),Overig!L198,10*Overig!L198),""",""????0;"",""???-0;"",""????0;"", ////"""),"'","""")&amp;SUBSTITUTE(TEXT(Overig!M198,""",""?00;"",""?-00;"",""?00;"", //"""),"'","""")&amp;SUBSTITUTE(TEXT(IF(ISTEXT(Overig!N198),Overig!N198,10*Overig!N198),""",""????0;"",""???-0;"",""????0;"", ////"""),"'","""")&amp;SUBSTITUTE(TEXT(Overig!O198,""",""?00;"",""?-00;"",""?00;"", //"""),"'","""")&amp;SUBSTITUTE(TEXT(IF(ISTEXT(Overig!P198),Overig!P198,10*Overig!P198),""",""????0;"",""???-0;"",""????0;"", ////"""),"'","""")&amp;SUBSTITUTE(TEXT(Overig!Q198,""",""?00;"",""?-00;"",""?00;"", //"""),"'","""")&amp;SUBSTITUTE(TEXT(IF(ISTEXT(Overig!R198),Overig!R198,10*Overig!R198),""",""????0;"",""???-0;"",""????0;"", ////"""),"'","""")&amp;SUBSTITUTE(TEXT(Overig!S198,""",""?00;"",""?-00;"",""?00;"", //"""),"'","""")&amp;SUBSTITUTE(TEXT(Overig!T198,""",""???0;"",""??-0;"",""???0;"", ///"""),"'","""")&amp;SUBSTITUTE(TEXT(Overig!U198,""",""?00;"",""?-00;"",""?00;"", //"""),"'","""")&amp;SUBSTITUTE(TEXT(IF(ISTEXT(Overig!V198),Overig!V198,10*Overig!V198),""",""???0;"",""??-0;"",""???0;"", ///"""),"'","""")&amp;SUBSTITUTE(TEXT(Overig!W198,""",""?00;"",""?-00;"",""?00;"", //"""),"'","""")&amp;SUBSTITUTE(TEXT(IF(ISTEXT(Overig!X198),Overig!X198,10*Overig!X198),""",""????0;"",""???-0;"",""????0;"", ////"""),"'","""")&amp;SUBSTITUTE(TEXT(Overig!Y198,""",""?00;"",""?-00;"",""?00;"", //"""),"'","""")&amp;SUBSTITUTE(TEXT(IF(ISTEXT(Overig!Z198),Overig!Z198,10*Overig!Z198),""",""????0;"",""???-0;"",""????0;"", ////"""),"'","""")&amp;SUBSTITUTE(TEXT(Overig!AA198,""",""?00;"",""?-00;"",""?00;"", //"""),"'","""")&amp;SUBSTITUTE(TEXT(Overig!AB198,""",""???0;"",""??-0;"",""???0;"", ///"""),"'","""")&amp;SUBSTITUTE(TEXT(Overig!AC198,""",""?00;"",""?-00;"",""?00;"", //"""),"'","""")&amp;SUBSTITUTE(TEXT(IF(ISTEXT(Overig!AD198),Overig!AD198,10*Overig!AD198),""",""????0;"",""???-0;"",""????0;"", ////"""),"'","""")&amp;SUBSTITUTE(TEXT(Overig!AE198,""",""?00;"",""?-00;"",""?00;"", //"""),"'","""")&amp;SUBSTITUTE(TEXT(IF(ISTEXT(Overig!AF198),Overig!AF198,10*Overig!AF198),""",""????0;"",""???-0;"",""????0;"", ////"""),"'","""")&amp;SUBSTITUTE(TEXT(Overig!AG198,""",""?00;"",""?-00;"",""?00;"", //"""),"'","""")&amp;SUBSTITUTE(TEXT(Overig!AH198,""",""???0;"",""??-0;"",""???0;"", ///"""),"'","""")&amp;SUBSTITUTE(TEXT(Overig!AI198,""",""?00;"",""?-00;"",""?00;"", //"""),"'","""")&amp;SUBSTITUTE(TEXT(Overig!AJ198,""",""??0;"",""?-0;"",""??0;"", //"""),"'","""")&amp;SUBSTITUTE(TEXT(Overig!AK198,""",""?00;"",""?-00;"",""?00;"", //"""),"'","""")&amp;SUBSTITUTE(IF(EXACT(Overig!AL198,"—"),TEXT(Overig!AL198,""",""????0;"",""???-0;"",""????0;"", ////////////,"""),TEXT(Overig!AL198,"\, \'@""',""")&amp;REPT(" ",10-LEN(Overig!AL198))),"'","""")&amp;SUBSTITUTE(TEXT(Overig!AM198,"?00;?-00;?00;"" //"""),"'","""")&amp;SUBSTITUTE(TEXT(Overig!AN198,""",""???0;"",""??-0;"",""???0;"", ///"""),"'","""")&amp;SUBSTITUTE(TEXT(Overig!AO198,""",""?00;"",""?-00;"",""?00;"", //"""),"'","""")</f>
        <v>78989, 19130716, 0800, ////, 07, /////, 07, ////, 07, /////, 07, 7620, 00, ////, 07, ////, 07, ////, 07, ///, 07, ///, 07, ////, 07, ////, 07,  90, 00, ////, 07, ////, 07, ///, 07, //, 07, ////////////, 07, ///, 07</v>
      </c>
    </row>
    <row r="199" spans="1:1" x14ac:dyDescent="0.25">
      <c r="A199" s="75" t="str">
        <f ca="1">TEXT(Overig!A199,"000\,")&amp;TEXT(Overig!B199,"?00000000")&amp;TEXT(Overig!C199,""", ""0000")&amp;SUBSTITUTE(TEXT(IF(ISTEXT(Overig!D199),Overig!D199,10*Overig!D199),""",""????0;"",""???-0;"",""????0;"", ////"""),"'","""")&amp;SUBSTITUTE(TEXT(Overig!E199,""",""?00;"",""?-00;"",""?00;"", //"""),"'","""")&amp;SUBSTITUTE(TEXT(IF(ISTEXT(Overig!F199),Overig!F199,100*Overig!F199),""",""?????0;"",""????-0;"",""?????0;"", /////"""),"'","""")&amp;SUBSTITUTE(TEXT(Overig!G199,""",""?00;"",""?-00;"",""?00;"", //"""),"'","""")&amp;SUBSTITUTE(TEXT(IF(ISTEXT(Overig!H199),Overig!H199,100*Overig!H199),""",""????0;"",""???-0;"",""????0;"", ////"""),"'","""")&amp;SUBSTITUTE(TEXT(Overig!I199,""",""?00;"",""?-00;"",""?00;"", //"""),"'","""")&amp;SUBSTITUTE(TEXT(IF(ISTEXT(Overig!J199),Overig!J199,100*Overig!J199),""",""?????0;"",""????-0;"",""?????0;"", /////"""),"'","""")&amp;SUBSTITUTE(TEXT(Overig!K199,""",""?00;"",""?-00;"",""?00;"", //"""),"'","""")&amp;SUBSTITUTE(TEXT(IF(ISTEXT(Overig!L199),Overig!L199,10*Overig!L199),""",""????0;"",""???-0;"",""????0;"", ////"""),"'","""")&amp;SUBSTITUTE(TEXT(Overig!M199,""",""?00;"",""?-00;"",""?00;"", //"""),"'","""")&amp;SUBSTITUTE(TEXT(IF(ISTEXT(Overig!N199),Overig!N199,10*Overig!N199),""",""????0;"",""???-0;"",""????0;"", ////"""),"'","""")&amp;SUBSTITUTE(TEXT(Overig!O199,""",""?00;"",""?-00;"",""?00;"", //"""),"'","""")&amp;SUBSTITUTE(TEXT(IF(ISTEXT(Overig!P199),Overig!P199,10*Overig!P199),""",""????0;"",""???-0;"",""????0;"", ////"""),"'","""")&amp;SUBSTITUTE(TEXT(Overig!Q199,""",""?00;"",""?-00;"",""?00;"", //"""),"'","""")&amp;SUBSTITUTE(TEXT(IF(ISTEXT(Overig!R199),Overig!R199,10*Overig!R199),""",""????0;"",""???-0;"",""????0;"", ////"""),"'","""")&amp;SUBSTITUTE(TEXT(Overig!S199,""",""?00;"",""?-00;"",""?00;"", //"""),"'","""")&amp;SUBSTITUTE(TEXT(Overig!T199,""",""???0;"",""??-0;"",""???0;"", ///"""),"'","""")&amp;SUBSTITUTE(TEXT(Overig!U199,""",""?00;"",""?-00;"",""?00;"", //"""),"'","""")&amp;SUBSTITUTE(TEXT(IF(ISTEXT(Overig!V199),Overig!V199,10*Overig!V199),""",""???0;"",""??-0;"",""???0;"", ///"""),"'","""")&amp;SUBSTITUTE(TEXT(Overig!W199,""",""?00;"",""?-00;"",""?00;"", //"""),"'","""")&amp;SUBSTITUTE(TEXT(IF(ISTEXT(Overig!X199),Overig!X199,10*Overig!X199),""",""????0;"",""???-0;"",""????0;"", ////"""),"'","""")&amp;SUBSTITUTE(TEXT(Overig!Y199,""",""?00;"",""?-00;"",""?00;"", //"""),"'","""")&amp;SUBSTITUTE(TEXT(IF(ISTEXT(Overig!Z199),Overig!Z199,10*Overig!Z199),""",""????0;"",""???-0;"",""????0;"", ////"""),"'","""")&amp;SUBSTITUTE(TEXT(Overig!AA199,""",""?00;"",""?-00;"",""?00;"", //"""),"'","""")&amp;SUBSTITUTE(TEXT(Overig!AB199,""",""???0;"",""??-0;"",""???0;"", ///"""),"'","""")&amp;SUBSTITUTE(TEXT(Overig!AC199,""",""?00;"",""?-00;"",""?00;"", //"""),"'","""")&amp;SUBSTITUTE(TEXT(IF(ISTEXT(Overig!AD199),Overig!AD199,10*Overig!AD199),""",""????0;"",""???-0;"",""????0;"", ////"""),"'","""")&amp;SUBSTITUTE(TEXT(Overig!AE199,""",""?00;"",""?-00;"",""?00;"", //"""),"'","""")&amp;SUBSTITUTE(TEXT(IF(ISTEXT(Overig!AF199),Overig!AF199,10*Overig!AF199),""",""????0;"",""???-0;"",""????0;"", ////"""),"'","""")&amp;SUBSTITUTE(TEXT(Overig!AG199,""",""?00;"",""?-00;"",""?00;"", //"""),"'","""")&amp;SUBSTITUTE(TEXT(Overig!AH199,""",""???0;"",""??-0;"",""???0;"", ///"""),"'","""")&amp;SUBSTITUTE(TEXT(Overig!AI199,""",""?00;"",""?-00;"",""?00;"", //"""),"'","""")&amp;SUBSTITUTE(TEXT(Overig!AJ199,""",""??0;"",""?-0;"",""??0;"", //"""),"'","""")&amp;SUBSTITUTE(TEXT(Overig!AK199,""",""?00;"",""?-00;"",""?00;"", //"""),"'","""")&amp;SUBSTITUTE(IF(EXACT(Overig!AL199,"—"),TEXT(Overig!AL199,""",""????0;"",""???-0;"",""????0;"", ////////////,"""),TEXT(Overig!AL199,"\, \'@""',""")&amp;REPT(" ",10-LEN(Overig!AL199))),"'","""")&amp;SUBSTITUTE(TEXT(Overig!AM199,"?00;?-00;?00;"" //"""),"'","""")&amp;SUBSTITUTE(TEXT(Overig!AN199,""",""???0;"",""??-0;"",""???0;"", ///"""),"'","""")&amp;SUBSTITUTE(TEXT(Overig!AO199,""",""?00;"",""?-00;"",""?00;"", //"""),"'","""")</f>
        <v>78989, 19130717, 0800, ////, 07, /////, 07, ////, 07, /////, 07, 7605, 00, ////, 07, ////, 07, ////, 07, ///, 07, ///, 07, ////, 07, ////, 07, 135, 00, ////, 07, ////, 07, ///, 07, //, 07, ////////////, 07, ///, 07</v>
      </c>
    </row>
    <row r="200" spans="1:1" x14ac:dyDescent="0.25">
      <c r="A200" s="75" t="str">
        <f ca="1">TEXT(Overig!A200,"000\,")&amp;TEXT(Overig!B200,"?00000000")&amp;TEXT(Overig!C200,""", ""0000")&amp;SUBSTITUTE(TEXT(IF(ISTEXT(Overig!D200),Overig!D200,10*Overig!D200),""",""????0;"",""???-0;"",""????0;"", ////"""),"'","""")&amp;SUBSTITUTE(TEXT(Overig!E200,""",""?00;"",""?-00;"",""?00;"", //"""),"'","""")&amp;SUBSTITUTE(TEXT(IF(ISTEXT(Overig!F200),Overig!F200,100*Overig!F200),""",""?????0;"",""????-0;"",""?????0;"", /////"""),"'","""")&amp;SUBSTITUTE(TEXT(Overig!G200,""",""?00;"",""?-00;"",""?00;"", //"""),"'","""")&amp;SUBSTITUTE(TEXT(IF(ISTEXT(Overig!H200),Overig!H200,100*Overig!H200),""",""????0;"",""???-0;"",""????0;"", ////"""),"'","""")&amp;SUBSTITUTE(TEXT(Overig!I200,""",""?00;"",""?-00;"",""?00;"", //"""),"'","""")&amp;SUBSTITUTE(TEXT(IF(ISTEXT(Overig!J200),Overig!J200,100*Overig!J200),""",""?????0;"",""????-0;"",""?????0;"", /////"""),"'","""")&amp;SUBSTITUTE(TEXT(Overig!K200,""",""?00;"",""?-00;"",""?00;"", //"""),"'","""")&amp;SUBSTITUTE(TEXT(IF(ISTEXT(Overig!L200),Overig!L200,10*Overig!L200),""",""????0;"",""???-0;"",""????0;"", ////"""),"'","""")&amp;SUBSTITUTE(TEXT(Overig!M200,""",""?00;"",""?-00;"",""?00;"", //"""),"'","""")&amp;SUBSTITUTE(TEXT(IF(ISTEXT(Overig!N200),Overig!N200,10*Overig!N200),""",""????0;"",""???-0;"",""????0;"", ////"""),"'","""")&amp;SUBSTITUTE(TEXT(Overig!O200,""",""?00;"",""?-00;"",""?00;"", //"""),"'","""")&amp;SUBSTITUTE(TEXT(IF(ISTEXT(Overig!P200),Overig!P200,10*Overig!P200),""",""????0;"",""???-0;"",""????0;"", ////"""),"'","""")&amp;SUBSTITUTE(TEXT(Overig!Q200,""",""?00;"",""?-00;"",""?00;"", //"""),"'","""")&amp;SUBSTITUTE(TEXT(IF(ISTEXT(Overig!R200),Overig!R200,10*Overig!R200),""",""????0;"",""???-0;"",""????0;"", ////"""),"'","""")&amp;SUBSTITUTE(TEXT(Overig!S200,""",""?00;"",""?-00;"",""?00;"", //"""),"'","""")&amp;SUBSTITUTE(TEXT(Overig!T200,""",""???0;"",""??-0;"",""???0;"", ///"""),"'","""")&amp;SUBSTITUTE(TEXT(Overig!U200,""",""?00;"",""?-00;"",""?00;"", //"""),"'","""")&amp;SUBSTITUTE(TEXT(IF(ISTEXT(Overig!V200),Overig!V200,10*Overig!V200),""",""???0;"",""??-0;"",""???0;"", ///"""),"'","""")&amp;SUBSTITUTE(TEXT(Overig!W200,""",""?00;"",""?-00;"",""?00;"", //"""),"'","""")&amp;SUBSTITUTE(TEXT(IF(ISTEXT(Overig!X200),Overig!X200,10*Overig!X200),""",""????0;"",""???-0;"",""????0;"", ////"""),"'","""")&amp;SUBSTITUTE(TEXT(Overig!Y200,""",""?00;"",""?-00;"",""?00;"", //"""),"'","""")&amp;SUBSTITUTE(TEXT(IF(ISTEXT(Overig!Z200),Overig!Z200,10*Overig!Z200),""",""????0;"",""???-0;"",""????0;"", ////"""),"'","""")&amp;SUBSTITUTE(TEXT(Overig!AA200,""",""?00;"",""?-00;"",""?00;"", //"""),"'","""")&amp;SUBSTITUTE(TEXT(Overig!AB200,""",""???0;"",""??-0;"",""???0;"", ///"""),"'","""")&amp;SUBSTITUTE(TEXT(Overig!AC200,""",""?00;"",""?-00;"",""?00;"", //"""),"'","""")&amp;SUBSTITUTE(TEXT(IF(ISTEXT(Overig!AD200),Overig!AD200,10*Overig!AD200),""",""????0;"",""???-0;"",""????0;"", ////"""),"'","""")&amp;SUBSTITUTE(TEXT(Overig!AE200,""",""?00;"",""?-00;"",""?00;"", //"""),"'","""")&amp;SUBSTITUTE(TEXT(IF(ISTEXT(Overig!AF200),Overig!AF200,10*Overig!AF200),""",""????0;"",""???-0;"",""????0;"", ////"""),"'","""")&amp;SUBSTITUTE(TEXT(Overig!AG200,""",""?00;"",""?-00;"",""?00;"", //"""),"'","""")&amp;SUBSTITUTE(TEXT(Overig!AH200,""",""???0;"",""??-0;"",""???0;"", ///"""),"'","""")&amp;SUBSTITUTE(TEXT(Overig!AI200,""",""?00;"",""?-00;"",""?00;"", //"""),"'","""")&amp;SUBSTITUTE(TEXT(Overig!AJ200,""",""??0;"",""?-0;"",""??0;"", //"""),"'","""")&amp;SUBSTITUTE(TEXT(Overig!AK200,""",""?00;"",""?-00;"",""?00;"", //"""),"'","""")&amp;SUBSTITUTE(IF(EXACT(Overig!AL200,"—"),TEXT(Overig!AL200,""",""????0;"",""???-0;"",""????0;"", ////////////,"""),TEXT(Overig!AL200,"\, \'@""',""")&amp;REPT(" ",10-LEN(Overig!AL200))),"'","""")&amp;SUBSTITUTE(TEXT(Overig!AM200,"?00;?-00;?00;"" //"""),"'","""")&amp;SUBSTITUTE(TEXT(Overig!AN200,""",""???0;"",""??-0;"",""???0;"", ///"""),"'","""")&amp;SUBSTITUTE(TEXT(Overig!AO200,""",""?00;"",""?-00;"",""?00;"", //"""),"'","""")</f>
        <v>78989, 19130718, 0800, ////, 07, /////, 07, ////, 07, /////, 07, 7600, 00, ////, 07, ////, 07, ////, 07, ///, 07, ///, 07, ////, 07, ////, 07,  90, 00, ////, 07, ////, 07, ///, 07, //, 07, ////////////, 07, ///, 07</v>
      </c>
    </row>
    <row r="201" spans="1:1" x14ac:dyDescent="0.25">
      <c r="A201" s="75" t="str">
        <f ca="1">TEXT(Overig!A201,"000\,")&amp;TEXT(Overig!B201,"?00000000")&amp;TEXT(Overig!C201,""", ""0000")&amp;SUBSTITUTE(TEXT(IF(ISTEXT(Overig!D201),Overig!D201,10*Overig!D201),""",""????0;"",""???-0;"",""????0;"", ////"""),"'","""")&amp;SUBSTITUTE(TEXT(Overig!E201,""",""?00;"",""?-00;"",""?00;"", //"""),"'","""")&amp;SUBSTITUTE(TEXT(IF(ISTEXT(Overig!F201),Overig!F201,100*Overig!F201),""",""?????0;"",""????-0;"",""?????0;"", /////"""),"'","""")&amp;SUBSTITUTE(TEXT(Overig!G201,""",""?00;"",""?-00;"",""?00;"", //"""),"'","""")&amp;SUBSTITUTE(TEXT(IF(ISTEXT(Overig!H201),Overig!H201,100*Overig!H201),""",""????0;"",""???-0;"",""????0;"", ////"""),"'","""")&amp;SUBSTITUTE(TEXT(Overig!I201,""",""?00;"",""?-00;"",""?00;"", //"""),"'","""")&amp;SUBSTITUTE(TEXT(IF(ISTEXT(Overig!J201),Overig!J201,100*Overig!J201),""",""?????0;"",""????-0;"",""?????0;"", /////"""),"'","""")&amp;SUBSTITUTE(TEXT(Overig!K201,""",""?00;"",""?-00;"",""?00;"", //"""),"'","""")&amp;SUBSTITUTE(TEXT(IF(ISTEXT(Overig!L201),Overig!L201,10*Overig!L201),""",""????0;"",""???-0;"",""????0;"", ////"""),"'","""")&amp;SUBSTITUTE(TEXT(Overig!M201,""",""?00;"",""?-00;"",""?00;"", //"""),"'","""")&amp;SUBSTITUTE(TEXT(IF(ISTEXT(Overig!N201),Overig!N201,10*Overig!N201),""",""????0;"",""???-0;"",""????0;"", ////"""),"'","""")&amp;SUBSTITUTE(TEXT(Overig!O201,""",""?00;"",""?-00;"",""?00;"", //"""),"'","""")&amp;SUBSTITUTE(TEXT(IF(ISTEXT(Overig!P201),Overig!P201,10*Overig!P201),""",""????0;"",""???-0;"",""????0;"", ////"""),"'","""")&amp;SUBSTITUTE(TEXT(Overig!Q201,""",""?00;"",""?-00;"",""?00;"", //"""),"'","""")&amp;SUBSTITUTE(TEXT(IF(ISTEXT(Overig!R201),Overig!R201,10*Overig!R201),""",""????0;"",""???-0;"",""????0;"", ////"""),"'","""")&amp;SUBSTITUTE(TEXT(Overig!S201,""",""?00;"",""?-00;"",""?00;"", //"""),"'","""")&amp;SUBSTITUTE(TEXT(Overig!T201,""",""???0;"",""??-0;"",""???0;"", ///"""),"'","""")&amp;SUBSTITUTE(TEXT(Overig!U201,""",""?00;"",""?-00;"",""?00;"", //"""),"'","""")&amp;SUBSTITUTE(TEXT(IF(ISTEXT(Overig!V201),Overig!V201,10*Overig!V201),""",""???0;"",""??-0;"",""???0;"", ///"""),"'","""")&amp;SUBSTITUTE(TEXT(Overig!W201,""",""?00;"",""?-00;"",""?00;"", //"""),"'","""")&amp;SUBSTITUTE(TEXT(IF(ISTEXT(Overig!X201),Overig!X201,10*Overig!X201),""",""????0;"",""???-0;"",""????0;"", ////"""),"'","""")&amp;SUBSTITUTE(TEXT(Overig!Y201,""",""?00;"",""?-00;"",""?00;"", //"""),"'","""")&amp;SUBSTITUTE(TEXT(IF(ISTEXT(Overig!Z201),Overig!Z201,10*Overig!Z201),""",""????0;"",""???-0;"",""????0;"", ////"""),"'","""")&amp;SUBSTITUTE(TEXT(Overig!AA201,""",""?00;"",""?-00;"",""?00;"", //"""),"'","""")&amp;SUBSTITUTE(TEXT(Overig!AB201,""",""???0;"",""??-0;"",""???0;"", ///"""),"'","""")&amp;SUBSTITUTE(TEXT(Overig!AC201,""",""?00;"",""?-00;"",""?00;"", //"""),"'","""")&amp;SUBSTITUTE(TEXT(IF(ISTEXT(Overig!AD201),Overig!AD201,10*Overig!AD201),""",""????0;"",""???-0;"",""????0;"", ////"""),"'","""")&amp;SUBSTITUTE(TEXT(Overig!AE201,""",""?00;"",""?-00;"",""?00;"", //"""),"'","""")&amp;SUBSTITUTE(TEXT(IF(ISTEXT(Overig!AF201),Overig!AF201,10*Overig!AF201),""",""????0;"",""???-0;"",""????0;"", ////"""),"'","""")&amp;SUBSTITUTE(TEXT(Overig!AG201,""",""?00;"",""?-00;"",""?00;"", //"""),"'","""")&amp;SUBSTITUTE(TEXT(Overig!AH201,""",""???0;"",""??-0;"",""???0;"", ///"""),"'","""")&amp;SUBSTITUTE(TEXT(Overig!AI201,""",""?00;"",""?-00;"",""?00;"", //"""),"'","""")&amp;SUBSTITUTE(TEXT(Overig!AJ201,""",""??0;"",""?-0;"",""??0;"", //"""),"'","""")&amp;SUBSTITUTE(TEXT(Overig!AK201,""",""?00;"",""?-00;"",""?00;"", //"""),"'","""")&amp;SUBSTITUTE(IF(EXACT(Overig!AL201,"—"),TEXT(Overig!AL201,""",""????0;"",""???-0;"",""????0;"", ////////////,"""),TEXT(Overig!AL201,"\, \'@""',""")&amp;REPT(" ",10-LEN(Overig!AL201))),"'","""")&amp;SUBSTITUTE(TEXT(Overig!AM201,"?00;?-00;?00;"" //"""),"'","""")&amp;SUBSTITUTE(TEXT(Overig!AN201,""",""???0;"",""??-0;"",""???0;"", ///"""),"'","""")&amp;SUBSTITUTE(TEXT(Overig!AO201,""",""?00;"",""?-00;"",""?00;"", //"""),"'","""")</f>
        <v>78989, 19130719, 0800, ////, 07, /////, 07, ////, 07, /////, 07, 7584, 00, ////, 07, ////, 07, ////, 07, ///, 07, ///, 07, ////, 07, ////, 07,  90, 00, ////, 07, ////, 07, ///, 07, //, 07, ////////////, 07, ///, 07</v>
      </c>
    </row>
    <row r="202" spans="1:1" x14ac:dyDescent="0.25">
      <c r="A202" s="75" t="str">
        <f ca="1">TEXT(Overig!A202,"000\,")&amp;TEXT(Overig!B202,"?00000000")&amp;TEXT(Overig!C202,""", ""0000")&amp;SUBSTITUTE(TEXT(IF(ISTEXT(Overig!D202),Overig!D202,10*Overig!D202),""",""????0;"",""???-0;"",""????0;"", ////"""),"'","""")&amp;SUBSTITUTE(TEXT(Overig!E202,""",""?00;"",""?-00;"",""?00;"", //"""),"'","""")&amp;SUBSTITUTE(TEXT(IF(ISTEXT(Overig!F202),Overig!F202,100*Overig!F202),""",""?????0;"",""????-0;"",""?????0;"", /////"""),"'","""")&amp;SUBSTITUTE(TEXT(Overig!G202,""",""?00;"",""?-00;"",""?00;"", //"""),"'","""")&amp;SUBSTITUTE(TEXT(IF(ISTEXT(Overig!H202),Overig!H202,100*Overig!H202),""",""????0;"",""???-0;"",""????0;"", ////"""),"'","""")&amp;SUBSTITUTE(TEXT(Overig!I202,""",""?00;"",""?-00;"",""?00;"", //"""),"'","""")&amp;SUBSTITUTE(TEXT(IF(ISTEXT(Overig!J202),Overig!J202,100*Overig!J202),""",""?????0;"",""????-0;"",""?????0;"", /////"""),"'","""")&amp;SUBSTITUTE(TEXT(Overig!K202,""",""?00;"",""?-00;"",""?00;"", //"""),"'","""")&amp;SUBSTITUTE(TEXT(IF(ISTEXT(Overig!L202),Overig!L202,10*Overig!L202),""",""????0;"",""???-0;"",""????0;"", ////"""),"'","""")&amp;SUBSTITUTE(TEXT(Overig!M202,""",""?00;"",""?-00;"",""?00;"", //"""),"'","""")&amp;SUBSTITUTE(TEXT(IF(ISTEXT(Overig!N202),Overig!N202,10*Overig!N202),""",""????0;"",""???-0;"",""????0;"", ////"""),"'","""")&amp;SUBSTITUTE(TEXT(Overig!O202,""",""?00;"",""?-00;"",""?00;"", //"""),"'","""")&amp;SUBSTITUTE(TEXT(IF(ISTEXT(Overig!P202),Overig!P202,10*Overig!P202),""",""????0;"",""???-0;"",""????0;"", ////"""),"'","""")&amp;SUBSTITUTE(TEXT(Overig!Q202,""",""?00;"",""?-00;"",""?00;"", //"""),"'","""")&amp;SUBSTITUTE(TEXT(IF(ISTEXT(Overig!R202),Overig!R202,10*Overig!R202),""",""????0;"",""???-0;"",""????0;"", ////"""),"'","""")&amp;SUBSTITUTE(TEXT(Overig!S202,""",""?00;"",""?-00;"",""?00;"", //"""),"'","""")&amp;SUBSTITUTE(TEXT(Overig!T202,""",""???0;"",""??-0;"",""???0;"", ///"""),"'","""")&amp;SUBSTITUTE(TEXT(Overig!U202,""",""?00;"",""?-00;"",""?00;"", //"""),"'","""")&amp;SUBSTITUTE(TEXT(IF(ISTEXT(Overig!V202),Overig!V202,10*Overig!V202),""",""???0;"",""??-0;"",""???0;"", ///"""),"'","""")&amp;SUBSTITUTE(TEXT(Overig!W202,""",""?00;"",""?-00;"",""?00;"", //"""),"'","""")&amp;SUBSTITUTE(TEXT(IF(ISTEXT(Overig!X202),Overig!X202,10*Overig!X202),""",""????0;"",""???-0;"",""????0;"", ////"""),"'","""")&amp;SUBSTITUTE(TEXT(Overig!Y202,""",""?00;"",""?-00;"",""?00;"", //"""),"'","""")&amp;SUBSTITUTE(TEXT(IF(ISTEXT(Overig!Z202),Overig!Z202,10*Overig!Z202),""",""????0;"",""???-0;"",""????0;"", ////"""),"'","""")&amp;SUBSTITUTE(TEXT(Overig!AA202,""",""?00;"",""?-00;"",""?00;"", //"""),"'","""")&amp;SUBSTITUTE(TEXT(Overig!AB202,""",""???0;"",""??-0;"",""???0;"", ///"""),"'","""")&amp;SUBSTITUTE(TEXT(Overig!AC202,""",""?00;"",""?-00;"",""?00;"", //"""),"'","""")&amp;SUBSTITUTE(TEXT(IF(ISTEXT(Overig!AD202),Overig!AD202,10*Overig!AD202),""",""????0;"",""???-0;"",""????0;"", ////"""),"'","""")&amp;SUBSTITUTE(TEXT(Overig!AE202,""",""?00;"",""?-00;"",""?00;"", //"""),"'","""")&amp;SUBSTITUTE(TEXT(IF(ISTEXT(Overig!AF202),Overig!AF202,10*Overig!AF202),""",""????0;"",""???-0;"",""????0;"", ////"""),"'","""")&amp;SUBSTITUTE(TEXT(Overig!AG202,""",""?00;"",""?-00;"",""?00;"", //"""),"'","""")&amp;SUBSTITUTE(TEXT(Overig!AH202,""",""???0;"",""??-0;"",""???0;"", ///"""),"'","""")&amp;SUBSTITUTE(TEXT(Overig!AI202,""",""?00;"",""?-00;"",""?00;"", //"""),"'","""")&amp;SUBSTITUTE(TEXT(Overig!AJ202,""",""??0;"",""?-0;"",""??0;"", //"""),"'","""")&amp;SUBSTITUTE(TEXT(Overig!AK202,""",""?00;"",""?-00;"",""?00;"", //"""),"'","""")&amp;SUBSTITUTE(IF(EXACT(Overig!AL202,"—"),TEXT(Overig!AL202,""",""????0;"",""???-0;"",""????0;"", ////////////,"""),TEXT(Overig!AL202,"\, \'@""',""")&amp;REPT(" ",10-LEN(Overig!AL202))),"'","""")&amp;SUBSTITUTE(TEXT(Overig!AM202,"?00;?-00;?00;"" //"""),"'","""")&amp;SUBSTITUTE(TEXT(Overig!AN202,""",""???0;"",""??-0;"",""???0;"", ///"""),"'","""")&amp;SUBSTITUTE(TEXT(Overig!AO202,""",""?00;"",""?-00;"",""?00;"", //"""),"'","""")</f>
        <v>78989, 19130720, 0800, ////, 07, /////, 07, ////, 07, /////, 07, 7615, 00, ////, 07, ////, 07, ////, 07, ///, 07, ///, 07, ////, 07, ////, 07,  90, 00, ////, 07, ////, 07, ///, 07, //, 07, ////////////, 07, ///, 07</v>
      </c>
    </row>
    <row r="203" spans="1:1" x14ac:dyDescent="0.25">
      <c r="A203" s="75" t="str">
        <f ca="1">TEXT(Overig!A203,"000\,")&amp;TEXT(Overig!B203,"?00000000")&amp;TEXT(Overig!C203,""", ""0000")&amp;SUBSTITUTE(TEXT(IF(ISTEXT(Overig!D203),Overig!D203,10*Overig!D203),""",""????0;"",""???-0;"",""????0;"", ////"""),"'","""")&amp;SUBSTITUTE(TEXT(Overig!E203,""",""?00;"",""?-00;"",""?00;"", //"""),"'","""")&amp;SUBSTITUTE(TEXT(IF(ISTEXT(Overig!F203),Overig!F203,100*Overig!F203),""",""?????0;"",""????-0;"",""?????0;"", /////"""),"'","""")&amp;SUBSTITUTE(TEXT(Overig!G203,""",""?00;"",""?-00;"",""?00;"", //"""),"'","""")&amp;SUBSTITUTE(TEXT(IF(ISTEXT(Overig!H203),Overig!H203,100*Overig!H203),""",""????0;"",""???-0;"",""????0;"", ////"""),"'","""")&amp;SUBSTITUTE(TEXT(Overig!I203,""",""?00;"",""?-00;"",""?00;"", //"""),"'","""")&amp;SUBSTITUTE(TEXT(IF(ISTEXT(Overig!J203),Overig!J203,100*Overig!J203),""",""?????0;"",""????-0;"",""?????0;"", /////"""),"'","""")&amp;SUBSTITUTE(TEXT(Overig!K203,""",""?00;"",""?-00;"",""?00;"", //"""),"'","""")&amp;SUBSTITUTE(TEXT(IF(ISTEXT(Overig!L203),Overig!L203,10*Overig!L203),""",""????0;"",""???-0;"",""????0;"", ////"""),"'","""")&amp;SUBSTITUTE(TEXT(Overig!M203,""",""?00;"",""?-00;"",""?00;"", //"""),"'","""")&amp;SUBSTITUTE(TEXT(IF(ISTEXT(Overig!N203),Overig!N203,10*Overig!N203),""",""????0;"",""???-0;"",""????0;"", ////"""),"'","""")&amp;SUBSTITUTE(TEXT(Overig!O203,""",""?00;"",""?-00;"",""?00;"", //"""),"'","""")&amp;SUBSTITUTE(TEXT(IF(ISTEXT(Overig!P203),Overig!P203,10*Overig!P203),""",""????0;"",""???-0;"",""????0;"", ////"""),"'","""")&amp;SUBSTITUTE(TEXT(Overig!Q203,""",""?00;"",""?-00;"",""?00;"", //"""),"'","""")&amp;SUBSTITUTE(TEXT(IF(ISTEXT(Overig!R203),Overig!R203,10*Overig!R203),""",""????0;"",""???-0;"",""????0;"", ////"""),"'","""")&amp;SUBSTITUTE(TEXT(Overig!S203,""",""?00;"",""?-00;"",""?00;"", //"""),"'","""")&amp;SUBSTITUTE(TEXT(Overig!T203,""",""???0;"",""??-0;"",""???0;"", ///"""),"'","""")&amp;SUBSTITUTE(TEXT(Overig!U203,""",""?00;"",""?-00;"",""?00;"", //"""),"'","""")&amp;SUBSTITUTE(TEXT(IF(ISTEXT(Overig!V203),Overig!V203,10*Overig!V203),""",""???0;"",""??-0;"",""???0;"", ///"""),"'","""")&amp;SUBSTITUTE(TEXT(Overig!W203,""",""?00;"",""?-00;"",""?00;"", //"""),"'","""")&amp;SUBSTITUTE(TEXT(IF(ISTEXT(Overig!X203),Overig!X203,10*Overig!X203),""",""????0;"",""???-0;"",""????0;"", ////"""),"'","""")&amp;SUBSTITUTE(TEXT(Overig!Y203,""",""?00;"",""?-00;"",""?00;"", //"""),"'","""")&amp;SUBSTITUTE(TEXT(IF(ISTEXT(Overig!Z203),Overig!Z203,10*Overig!Z203),""",""????0;"",""???-0;"",""????0;"", ////"""),"'","""")&amp;SUBSTITUTE(TEXT(Overig!AA203,""",""?00;"",""?-00;"",""?00;"", //"""),"'","""")&amp;SUBSTITUTE(TEXT(Overig!AB203,""",""???0;"",""??-0;"",""???0;"", ///"""),"'","""")&amp;SUBSTITUTE(TEXT(Overig!AC203,""",""?00;"",""?-00;"",""?00;"", //"""),"'","""")&amp;SUBSTITUTE(TEXT(IF(ISTEXT(Overig!AD203),Overig!AD203,10*Overig!AD203),""",""????0;"",""???-0;"",""????0;"", ////"""),"'","""")&amp;SUBSTITUTE(TEXT(Overig!AE203,""",""?00;"",""?-00;"",""?00;"", //"""),"'","""")&amp;SUBSTITUTE(TEXT(IF(ISTEXT(Overig!AF203),Overig!AF203,10*Overig!AF203),""",""????0;"",""???-0;"",""????0;"", ////"""),"'","""")&amp;SUBSTITUTE(TEXT(Overig!AG203,""",""?00;"",""?-00;"",""?00;"", //"""),"'","""")&amp;SUBSTITUTE(TEXT(Overig!AH203,""",""???0;"",""??-0;"",""???0;"", ///"""),"'","""")&amp;SUBSTITUTE(TEXT(Overig!AI203,""",""?00;"",""?-00;"",""?00;"", //"""),"'","""")&amp;SUBSTITUTE(TEXT(Overig!AJ203,""",""??0;"",""?-0;"",""??0;"", //"""),"'","""")&amp;SUBSTITUTE(TEXT(Overig!AK203,""",""?00;"",""?-00;"",""?00;"", //"""),"'","""")&amp;SUBSTITUTE(IF(EXACT(Overig!AL203,"—"),TEXT(Overig!AL203,""",""????0;"",""???-0;"",""????0;"", ////////////,"""),TEXT(Overig!AL203,"\, \'@""',""")&amp;REPT(" ",10-LEN(Overig!AL203))),"'","""")&amp;SUBSTITUTE(TEXT(Overig!AM203,"?00;?-00;?00;"" //"""),"'","""")&amp;SUBSTITUTE(TEXT(Overig!AN203,""",""???0;"",""??-0;"",""???0;"", ///"""),"'","""")&amp;SUBSTITUTE(TEXT(Overig!AO203,""",""?00;"",""?-00;"",""?00;"", //"""),"'","""")</f>
        <v>78989, 19130721, 0800, ////, 07, /////, 07, ////, 07, /////, 07, 7610, 00, ////, 07, ////, 07, ////, 07, ///, 07, ///, 07, ////, 07, ////, 07, 135, 00, ////, 07, ////, 07, ///, 07, //, 07, ////////////, 07, ///, 07</v>
      </c>
    </row>
    <row r="204" spans="1:1" x14ac:dyDescent="0.25">
      <c r="A204" s="75" t="str">
        <f ca="1">TEXT(Overig!A204,"000\,")&amp;TEXT(Overig!B204,"?00000000")&amp;TEXT(Overig!C204,""", ""0000")&amp;SUBSTITUTE(TEXT(IF(ISTEXT(Overig!D204),Overig!D204,10*Overig!D204),""",""????0;"",""???-0;"",""????0;"", ////"""),"'","""")&amp;SUBSTITUTE(TEXT(Overig!E204,""",""?00;"",""?-00;"",""?00;"", //"""),"'","""")&amp;SUBSTITUTE(TEXT(IF(ISTEXT(Overig!F204),Overig!F204,100*Overig!F204),""",""?????0;"",""????-0;"",""?????0;"", /////"""),"'","""")&amp;SUBSTITUTE(TEXT(Overig!G204,""",""?00;"",""?-00;"",""?00;"", //"""),"'","""")&amp;SUBSTITUTE(TEXT(IF(ISTEXT(Overig!H204),Overig!H204,100*Overig!H204),""",""????0;"",""???-0;"",""????0;"", ////"""),"'","""")&amp;SUBSTITUTE(TEXT(Overig!I204,""",""?00;"",""?-00;"",""?00;"", //"""),"'","""")&amp;SUBSTITUTE(TEXT(IF(ISTEXT(Overig!J204),Overig!J204,100*Overig!J204),""",""?????0;"",""????-0;"",""?????0;"", /////"""),"'","""")&amp;SUBSTITUTE(TEXT(Overig!K204,""",""?00;"",""?-00;"",""?00;"", //"""),"'","""")&amp;SUBSTITUTE(TEXT(IF(ISTEXT(Overig!L204),Overig!L204,10*Overig!L204),""",""????0;"",""???-0;"",""????0;"", ////"""),"'","""")&amp;SUBSTITUTE(TEXT(Overig!M204,""",""?00;"",""?-00;"",""?00;"", //"""),"'","""")&amp;SUBSTITUTE(TEXT(IF(ISTEXT(Overig!N204),Overig!N204,10*Overig!N204),""",""????0;"",""???-0;"",""????0;"", ////"""),"'","""")&amp;SUBSTITUTE(TEXT(Overig!O204,""",""?00;"",""?-00;"",""?00;"", //"""),"'","""")&amp;SUBSTITUTE(TEXT(IF(ISTEXT(Overig!P204),Overig!P204,10*Overig!P204),""",""????0;"",""???-0;"",""????0;"", ////"""),"'","""")&amp;SUBSTITUTE(TEXT(Overig!Q204,""",""?00;"",""?-00;"",""?00;"", //"""),"'","""")&amp;SUBSTITUTE(TEXT(IF(ISTEXT(Overig!R204),Overig!R204,10*Overig!R204),""",""????0;"",""???-0;"",""????0;"", ////"""),"'","""")&amp;SUBSTITUTE(TEXT(Overig!S204,""",""?00;"",""?-00;"",""?00;"", //"""),"'","""")&amp;SUBSTITUTE(TEXT(Overig!T204,""",""???0;"",""??-0;"",""???0;"", ///"""),"'","""")&amp;SUBSTITUTE(TEXT(Overig!U204,""",""?00;"",""?-00;"",""?00;"", //"""),"'","""")&amp;SUBSTITUTE(TEXT(IF(ISTEXT(Overig!V204),Overig!V204,10*Overig!V204),""",""???0;"",""??-0;"",""???0;"", ///"""),"'","""")&amp;SUBSTITUTE(TEXT(Overig!W204,""",""?00;"",""?-00;"",""?00;"", //"""),"'","""")&amp;SUBSTITUTE(TEXT(IF(ISTEXT(Overig!X204),Overig!X204,10*Overig!X204),""",""????0;"",""???-0;"",""????0;"", ////"""),"'","""")&amp;SUBSTITUTE(TEXT(Overig!Y204,""",""?00;"",""?-00;"",""?00;"", //"""),"'","""")&amp;SUBSTITUTE(TEXT(IF(ISTEXT(Overig!Z204),Overig!Z204,10*Overig!Z204),""",""????0;"",""???-0;"",""????0;"", ////"""),"'","""")&amp;SUBSTITUTE(TEXT(Overig!AA204,""",""?00;"",""?-00;"",""?00;"", //"""),"'","""")&amp;SUBSTITUTE(TEXT(Overig!AB204,""",""???0;"",""??-0;"",""???0;"", ///"""),"'","""")&amp;SUBSTITUTE(TEXT(Overig!AC204,""",""?00;"",""?-00;"",""?00;"", //"""),"'","""")&amp;SUBSTITUTE(TEXT(IF(ISTEXT(Overig!AD204),Overig!AD204,10*Overig!AD204),""",""????0;"",""???-0;"",""????0;"", ////"""),"'","""")&amp;SUBSTITUTE(TEXT(Overig!AE204,""",""?00;"",""?-00;"",""?00;"", //"""),"'","""")&amp;SUBSTITUTE(TEXT(IF(ISTEXT(Overig!AF204),Overig!AF204,10*Overig!AF204),""",""????0;"",""???-0;"",""????0;"", ////"""),"'","""")&amp;SUBSTITUTE(TEXT(Overig!AG204,""",""?00;"",""?-00;"",""?00;"", //"""),"'","""")&amp;SUBSTITUTE(TEXT(Overig!AH204,""",""???0;"",""??-0;"",""???0;"", ///"""),"'","""")&amp;SUBSTITUTE(TEXT(Overig!AI204,""",""?00;"",""?-00;"",""?00;"", //"""),"'","""")&amp;SUBSTITUTE(TEXT(Overig!AJ204,""",""??0;"",""?-0;"",""??0;"", //"""),"'","""")&amp;SUBSTITUTE(TEXT(Overig!AK204,""",""?00;"",""?-00;"",""?00;"", //"""),"'","""")&amp;SUBSTITUTE(IF(EXACT(Overig!AL204,"—"),TEXT(Overig!AL204,""",""????0;"",""???-0;"",""????0;"", ////////////,"""),TEXT(Overig!AL204,"\, \'@""',""")&amp;REPT(" ",10-LEN(Overig!AL204))),"'","""")&amp;SUBSTITUTE(TEXT(Overig!AM204,"?00;?-00;?00;"" //"""),"'","""")&amp;SUBSTITUTE(TEXT(Overig!AN204,""",""???0;"",""??-0;"",""???0;"", ///"""),"'","""")&amp;SUBSTITUTE(TEXT(Overig!AO204,""",""?00;"",""?-00;"",""?00;"", //"""),"'","""")</f>
        <v>78989, 19130722, 0800, ////, 07, /////, 07, ////, 07, /////, 07, 7610, 00, ////, 07, ////, 07, ////, 07, ///, 07, ///, 07, ////, 07, ////, 07,  90, 00, ////, 07, ////, 07, ///, 07, //, 07, ////////////, 07, ///, 07</v>
      </c>
    </row>
    <row r="205" spans="1:1" x14ac:dyDescent="0.25">
      <c r="A205" s="75" t="str">
        <f ca="1">TEXT(Overig!A205,"000\,")&amp;TEXT(Overig!B205,"?00000000")&amp;TEXT(Overig!C205,""", ""0000")&amp;SUBSTITUTE(TEXT(IF(ISTEXT(Overig!D205),Overig!D205,10*Overig!D205),""",""????0;"",""???-0;"",""????0;"", ////"""),"'","""")&amp;SUBSTITUTE(TEXT(Overig!E205,""",""?00;"",""?-00;"",""?00;"", //"""),"'","""")&amp;SUBSTITUTE(TEXT(IF(ISTEXT(Overig!F205),Overig!F205,100*Overig!F205),""",""?????0;"",""????-0;"",""?????0;"", /////"""),"'","""")&amp;SUBSTITUTE(TEXT(Overig!G205,""",""?00;"",""?-00;"",""?00;"", //"""),"'","""")&amp;SUBSTITUTE(TEXT(IF(ISTEXT(Overig!H205),Overig!H205,100*Overig!H205),""",""????0;"",""???-0;"",""????0;"", ////"""),"'","""")&amp;SUBSTITUTE(TEXT(Overig!I205,""",""?00;"",""?-00;"",""?00;"", //"""),"'","""")&amp;SUBSTITUTE(TEXT(IF(ISTEXT(Overig!J205),Overig!J205,100*Overig!J205),""",""?????0;"",""????-0;"",""?????0;"", /////"""),"'","""")&amp;SUBSTITUTE(TEXT(Overig!K205,""",""?00;"",""?-00;"",""?00;"", //"""),"'","""")&amp;SUBSTITUTE(TEXT(IF(ISTEXT(Overig!L205),Overig!L205,10*Overig!L205),""",""????0;"",""???-0;"",""????0;"", ////"""),"'","""")&amp;SUBSTITUTE(TEXT(Overig!M205,""",""?00;"",""?-00;"",""?00;"", //"""),"'","""")&amp;SUBSTITUTE(TEXT(IF(ISTEXT(Overig!N205),Overig!N205,10*Overig!N205),""",""????0;"",""???-0;"",""????0;"", ////"""),"'","""")&amp;SUBSTITUTE(TEXT(Overig!O205,""",""?00;"",""?-00;"",""?00;"", //"""),"'","""")&amp;SUBSTITUTE(TEXT(IF(ISTEXT(Overig!P205),Overig!P205,10*Overig!P205),""",""????0;"",""???-0;"",""????0;"", ////"""),"'","""")&amp;SUBSTITUTE(TEXT(Overig!Q205,""",""?00;"",""?-00;"",""?00;"", //"""),"'","""")&amp;SUBSTITUTE(TEXT(IF(ISTEXT(Overig!R205),Overig!R205,10*Overig!R205),""",""????0;"",""???-0;"",""????0;"", ////"""),"'","""")&amp;SUBSTITUTE(TEXT(Overig!S205,""",""?00;"",""?-00;"",""?00;"", //"""),"'","""")&amp;SUBSTITUTE(TEXT(Overig!T205,""",""???0;"",""??-0;"",""???0;"", ///"""),"'","""")&amp;SUBSTITUTE(TEXT(Overig!U205,""",""?00;"",""?-00;"",""?00;"", //"""),"'","""")&amp;SUBSTITUTE(TEXT(IF(ISTEXT(Overig!V205),Overig!V205,10*Overig!V205),""",""???0;"",""??-0;"",""???0;"", ///"""),"'","""")&amp;SUBSTITUTE(TEXT(Overig!W205,""",""?00;"",""?-00;"",""?00;"", //"""),"'","""")&amp;SUBSTITUTE(TEXT(IF(ISTEXT(Overig!X205),Overig!X205,10*Overig!X205),""",""????0;"",""???-0;"",""????0;"", ////"""),"'","""")&amp;SUBSTITUTE(TEXT(Overig!Y205,""",""?00;"",""?-00;"",""?00;"", //"""),"'","""")&amp;SUBSTITUTE(TEXT(IF(ISTEXT(Overig!Z205),Overig!Z205,10*Overig!Z205),""",""????0;"",""???-0;"",""????0;"", ////"""),"'","""")&amp;SUBSTITUTE(TEXT(Overig!AA205,""",""?00;"",""?-00;"",""?00;"", //"""),"'","""")&amp;SUBSTITUTE(TEXT(Overig!AB205,""",""???0;"",""??-0;"",""???0;"", ///"""),"'","""")&amp;SUBSTITUTE(TEXT(Overig!AC205,""",""?00;"",""?-00;"",""?00;"", //"""),"'","""")&amp;SUBSTITUTE(TEXT(IF(ISTEXT(Overig!AD205),Overig!AD205,10*Overig!AD205),""",""????0;"",""???-0;"",""????0;"", ////"""),"'","""")&amp;SUBSTITUTE(TEXT(Overig!AE205,""",""?00;"",""?-00;"",""?00;"", //"""),"'","""")&amp;SUBSTITUTE(TEXT(IF(ISTEXT(Overig!AF205),Overig!AF205,10*Overig!AF205),""",""????0;"",""???-0;"",""????0;"", ////"""),"'","""")&amp;SUBSTITUTE(TEXT(Overig!AG205,""",""?00;"",""?-00;"",""?00;"", //"""),"'","""")&amp;SUBSTITUTE(TEXT(Overig!AH205,""",""???0;"",""??-0;"",""???0;"", ///"""),"'","""")&amp;SUBSTITUTE(TEXT(Overig!AI205,""",""?00;"",""?-00;"",""?00;"", //"""),"'","""")&amp;SUBSTITUTE(TEXT(Overig!AJ205,""",""??0;"",""?-0;"",""??0;"", //"""),"'","""")&amp;SUBSTITUTE(TEXT(Overig!AK205,""",""?00;"",""?-00;"",""?00;"", //"""),"'","""")&amp;SUBSTITUTE(IF(EXACT(Overig!AL205,"—"),TEXT(Overig!AL205,""",""????0;"",""???-0;"",""????0;"", ////////////,"""),TEXT(Overig!AL205,"\, \'@""',""")&amp;REPT(" ",10-LEN(Overig!AL205))),"'","""")&amp;SUBSTITUTE(TEXT(Overig!AM205,"?00;?-00;?00;"" //"""),"'","""")&amp;SUBSTITUTE(TEXT(Overig!AN205,""",""???0;"",""??-0;"",""???0;"", ///"""),"'","""")&amp;SUBSTITUTE(TEXT(Overig!AO205,""",""?00;"",""?-00;"",""?00;"", //"""),"'","""")</f>
        <v>78989, 19130723, 0800, ////, 07, /////, 07, ////, 07, /////, 07, 7600, 00, ////, 07, ////, 07, ////, 07, ///, 07, ///, 07, ////, 07, ////, 07,  90, 00, ////, 07, ////, 07, ///, 07, //, 07, ////////////, 07, ///, 07</v>
      </c>
    </row>
    <row r="206" spans="1:1" x14ac:dyDescent="0.25">
      <c r="A206" s="75" t="str">
        <f ca="1">TEXT(Overig!A206,"000\,")&amp;TEXT(Overig!B206,"?00000000")&amp;TEXT(Overig!C206,""", ""0000")&amp;SUBSTITUTE(TEXT(IF(ISTEXT(Overig!D206),Overig!D206,10*Overig!D206),""",""????0;"",""???-0;"",""????0;"", ////"""),"'","""")&amp;SUBSTITUTE(TEXT(Overig!E206,""",""?00;"",""?-00;"",""?00;"", //"""),"'","""")&amp;SUBSTITUTE(TEXT(IF(ISTEXT(Overig!F206),Overig!F206,100*Overig!F206),""",""?????0;"",""????-0;"",""?????0;"", /////"""),"'","""")&amp;SUBSTITUTE(TEXT(Overig!G206,""",""?00;"",""?-00;"",""?00;"", //"""),"'","""")&amp;SUBSTITUTE(TEXT(IF(ISTEXT(Overig!H206),Overig!H206,100*Overig!H206),""",""????0;"",""???-0;"",""????0;"", ////"""),"'","""")&amp;SUBSTITUTE(TEXT(Overig!I206,""",""?00;"",""?-00;"",""?00;"", //"""),"'","""")&amp;SUBSTITUTE(TEXT(IF(ISTEXT(Overig!J206),Overig!J206,100*Overig!J206),""",""?????0;"",""????-0;"",""?????0;"", /////"""),"'","""")&amp;SUBSTITUTE(TEXT(Overig!K206,""",""?00;"",""?-00;"",""?00;"", //"""),"'","""")&amp;SUBSTITUTE(TEXT(IF(ISTEXT(Overig!L206),Overig!L206,10*Overig!L206),""",""????0;"",""???-0;"",""????0;"", ////"""),"'","""")&amp;SUBSTITUTE(TEXT(Overig!M206,""",""?00;"",""?-00;"",""?00;"", //"""),"'","""")&amp;SUBSTITUTE(TEXT(IF(ISTEXT(Overig!N206),Overig!N206,10*Overig!N206),""",""????0;"",""???-0;"",""????0;"", ////"""),"'","""")&amp;SUBSTITUTE(TEXT(Overig!O206,""",""?00;"",""?-00;"",""?00;"", //"""),"'","""")&amp;SUBSTITUTE(TEXT(IF(ISTEXT(Overig!P206),Overig!P206,10*Overig!P206),""",""????0;"",""???-0;"",""????0;"", ////"""),"'","""")&amp;SUBSTITUTE(TEXT(Overig!Q206,""",""?00;"",""?-00;"",""?00;"", //"""),"'","""")&amp;SUBSTITUTE(TEXT(IF(ISTEXT(Overig!R206),Overig!R206,10*Overig!R206),""",""????0;"",""???-0;"",""????0;"", ////"""),"'","""")&amp;SUBSTITUTE(TEXT(Overig!S206,""",""?00;"",""?-00;"",""?00;"", //"""),"'","""")&amp;SUBSTITUTE(TEXT(Overig!T206,""",""???0;"",""??-0;"",""???0;"", ///"""),"'","""")&amp;SUBSTITUTE(TEXT(Overig!U206,""",""?00;"",""?-00;"",""?00;"", //"""),"'","""")&amp;SUBSTITUTE(TEXT(IF(ISTEXT(Overig!V206),Overig!V206,10*Overig!V206),""",""???0;"",""??-0;"",""???0;"", ///"""),"'","""")&amp;SUBSTITUTE(TEXT(Overig!W206,""",""?00;"",""?-00;"",""?00;"", //"""),"'","""")&amp;SUBSTITUTE(TEXT(IF(ISTEXT(Overig!X206),Overig!X206,10*Overig!X206),""",""????0;"",""???-0;"",""????0;"", ////"""),"'","""")&amp;SUBSTITUTE(TEXT(Overig!Y206,""",""?00;"",""?-00;"",""?00;"", //"""),"'","""")&amp;SUBSTITUTE(TEXT(IF(ISTEXT(Overig!Z206),Overig!Z206,10*Overig!Z206),""",""????0;"",""???-0;"",""????0;"", ////"""),"'","""")&amp;SUBSTITUTE(TEXT(Overig!AA206,""",""?00;"",""?-00;"",""?00;"", //"""),"'","""")&amp;SUBSTITUTE(TEXT(Overig!AB206,""",""???0;"",""??-0;"",""???0;"", ///"""),"'","""")&amp;SUBSTITUTE(TEXT(Overig!AC206,""",""?00;"",""?-00;"",""?00;"", //"""),"'","""")&amp;SUBSTITUTE(TEXT(IF(ISTEXT(Overig!AD206),Overig!AD206,10*Overig!AD206),""",""????0;"",""???-0;"",""????0;"", ////"""),"'","""")&amp;SUBSTITUTE(TEXT(Overig!AE206,""",""?00;"",""?-00;"",""?00;"", //"""),"'","""")&amp;SUBSTITUTE(TEXT(IF(ISTEXT(Overig!AF206),Overig!AF206,10*Overig!AF206),""",""????0;"",""???-0;"",""????0;"", ////"""),"'","""")&amp;SUBSTITUTE(TEXT(Overig!AG206,""",""?00;"",""?-00;"",""?00;"", //"""),"'","""")&amp;SUBSTITUTE(TEXT(Overig!AH206,""",""???0;"",""??-0;"",""???0;"", ///"""),"'","""")&amp;SUBSTITUTE(TEXT(Overig!AI206,""",""?00;"",""?-00;"",""?00;"", //"""),"'","""")&amp;SUBSTITUTE(TEXT(Overig!AJ206,""",""??0;"",""?-0;"",""??0;"", //"""),"'","""")&amp;SUBSTITUTE(TEXT(Overig!AK206,""",""?00;"",""?-00;"",""?00;"", //"""),"'","""")&amp;SUBSTITUTE(IF(EXACT(Overig!AL206,"—"),TEXT(Overig!AL206,""",""????0;"",""???-0;"",""????0;"", ////////////,"""),TEXT(Overig!AL206,"\, \'@""',""")&amp;REPT(" ",10-LEN(Overig!AL206))),"'","""")&amp;SUBSTITUTE(TEXT(Overig!AM206,"?00;?-00;?00;"" //"""),"'","""")&amp;SUBSTITUTE(TEXT(Overig!AN206,""",""???0;"",""??-0;"",""???0;"", ///"""),"'","""")&amp;SUBSTITUTE(TEXT(Overig!AO206,""",""?00;"",""?-00;"",""?00;"", //"""),"'","""")</f>
        <v>78989, 19130724, 0800, ////, 07, /////, 07, ////, 07, /////, 07, ////, 07, ////, 07, ////, 07, ////, 07, ///, 07, ///, 07, ////, 07, ////, 07, ///, 07, ////, 07, ////, 07, ///, 07, //, 07, ////////////, 07, ///, 07</v>
      </c>
    </row>
    <row r="207" spans="1:1" x14ac:dyDescent="0.25">
      <c r="A207" s="75" t="str">
        <f ca="1">TEXT(Overig!A207,"000\,")&amp;TEXT(Overig!B207,"?00000000")&amp;TEXT(Overig!C207,""", ""0000")&amp;SUBSTITUTE(TEXT(IF(ISTEXT(Overig!D207),Overig!D207,10*Overig!D207),""",""????0;"",""???-0;"",""????0;"", ////"""),"'","""")&amp;SUBSTITUTE(TEXT(Overig!E207,""",""?00;"",""?-00;"",""?00;"", //"""),"'","""")&amp;SUBSTITUTE(TEXT(IF(ISTEXT(Overig!F207),Overig!F207,100*Overig!F207),""",""?????0;"",""????-0;"",""?????0;"", /////"""),"'","""")&amp;SUBSTITUTE(TEXT(Overig!G207,""",""?00;"",""?-00;"",""?00;"", //"""),"'","""")&amp;SUBSTITUTE(TEXT(IF(ISTEXT(Overig!H207),Overig!H207,100*Overig!H207),""",""????0;"",""???-0;"",""????0;"", ////"""),"'","""")&amp;SUBSTITUTE(TEXT(Overig!I207,""",""?00;"",""?-00;"",""?00;"", //"""),"'","""")&amp;SUBSTITUTE(TEXT(IF(ISTEXT(Overig!J207),Overig!J207,100*Overig!J207),""",""?????0;"",""????-0;"",""?????0;"", /////"""),"'","""")&amp;SUBSTITUTE(TEXT(Overig!K207,""",""?00;"",""?-00;"",""?00;"", //"""),"'","""")&amp;SUBSTITUTE(TEXT(IF(ISTEXT(Overig!L207),Overig!L207,10*Overig!L207),""",""????0;"",""???-0;"",""????0;"", ////"""),"'","""")&amp;SUBSTITUTE(TEXT(Overig!M207,""",""?00;"",""?-00;"",""?00;"", //"""),"'","""")&amp;SUBSTITUTE(TEXT(IF(ISTEXT(Overig!N207),Overig!N207,10*Overig!N207),""",""????0;"",""???-0;"",""????0;"", ////"""),"'","""")&amp;SUBSTITUTE(TEXT(Overig!O207,""",""?00;"",""?-00;"",""?00;"", //"""),"'","""")&amp;SUBSTITUTE(TEXT(IF(ISTEXT(Overig!P207),Overig!P207,10*Overig!P207),""",""????0;"",""???-0;"",""????0;"", ////"""),"'","""")&amp;SUBSTITUTE(TEXT(Overig!Q207,""",""?00;"",""?-00;"",""?00;"", //"""),"'","""")&amp;SUBSTITUTE(TEXT(IF(ISTEXT(Overig!R207),Overig!R207,10*Overig!R207),""",""????0;"",""???-0;"",""????0;"", ////"""),"'","""")&amp;SUBSTITUTE(TEXT(Overig!S207,""",""?00;"",""?-00;"",""?00;"", //"""),"'","""")&amp;SUBSTITUTE(TEXT(Overig!T207,""",""???0;"",""??-0;"",""???0;"", ///"""),"'","""")&amp;SUBSTITUTE(TEXT(Overig!U207,""",""?00;"",""?-00;"",""?00;"", //"""),"'","""")&amp;SUBSTITUTE(TEXT(IF(ISTEXT(Overig!V207),Overig!V207,10*Overig!V207),""",""???0;"",""??-0;"",""???0;"", ///"""),"'","""")&amp;SUBSTITUTE(TEXT(Overig!W207,""",""?00;"",""?-00;"",""?00;"", //"""),"'","""")&amp;SUBSTITUTE(TEXT(IF(ISTEXT(Overig!X207),Overig!X207,10*Overig!X207),""",""????0;"",""???-0;"",""????0;"", ////"""),"'","""")&amp;SUBSTITUTE(TEXT(Overig!Y207,""",""?00;"",""?-00;"",""?00;"", //"""),"'","""")&amp;SUBSTITUTE(TEXT(IF(ISTEXT(Overig!Z207),Overig!Z207,10*Overig!Z207),""",""????0;"",""???-0;"",""????0;"", ////"""),"'","""")&amp;SUBSTITUTE(TEXT(Overig!AA207,""",""?00;"",""?-00;"",""?00;"", //"""),"'","""")&amp;SUBSTITUTE(TEXT(Overig!AB207,""",""???0;"",""??-0;"",""???0;"", ///"""),"'","""")&amp;SUBSTITUTE(TEXT(Overig!AC207,""",""?00;"",""?-00;"",""?00;"", //"""),"'","""")&amp;SUBSTITUTE(TEXT(IF(ISTEXT(Overig!AD207),Overig!AD207,10*Overig!AD207),""",""????0;"",""???-0;"",""????0;"", ////"""),"'","""")&amp;SUBSTITUTE(TEXT(Overig!AE207,""",""?00;"",""?-00;"",""?00;"", //"""),"'","""")&amp;SUBSTITUTE(TEXT(IF(ISTEXT(Overig!AF207),Overig!AF207,10*Overig!AF207),""",""????0;"",""???-0;"",""????0;"", ////"""),"'","""")&amp;SUBSTITUTE(TEXT(Overig!AG207,""",""?00;"",""?-00;"",""?00;"", //"""),"'","""")&amp;SUBSTITUTE(TEXT(Overig!AH207,""",""???0;"",""??-0;"",""???0;"", ///"""),"'","""")&amp;SUBSTITUTE(TEXT(Overig!AI207,""",""?00;"",""?-00;"",""?00;"", //"""),"'","""")&amp;SUBSTITUTE(TEXT(Overig!AJ207,""",""??0;"",""?-0;"",""??0;"", //"""),"'","""")&amp;SUBSTITUTE(TEXT(Overig!AK207,""",""?00;"",""?-00;"",""?00;"", //"""),"'","""")&amp;SUBSTITUTE(IF(EXACT(Overig!AL207,"—"),TEXT(Overig!AL207,""",""????0;"",""???-0;"",""????0;"", ////////////,"""),TEXT(Overig!AL207,"\, \'@""',""")&amp;REPT(" ",10-LEN(Overig!AL207))),"'","""")&amp;SUBSTITUTE(TEXT(Overig!AM207,"?00;?-00;?00;"" //"""),"'","""")&amp;SUBSTITUTE(TEXT(Overig!AN207,""",""???0;"",""??-0;"",""???0;"", ///"""),"'","""")&amp;SUBSTITUTE(TEXT(Overig!AO207,""",""?00;"",""?-00;"",""?00;"", //"""),"'","""")</f>
        <v>78989, 19130725, 0800, ////, 07, /////, 07, ////, 07, /////, 07, 7610, 00, ////, 07, ////, 07, ////, 07, ///, 07, ///, 07, ////, 07, ////, 07,  90, 00, ////, 07, ////, 07, ///, 07, //, 07, ////////////, 07, ///, 07</v>
      </c>
    </row>
    <row r="208" spans="1:1" x14ac:dyDescent="0.25">
      <c r="A208" s="75" t="str">
        <f ca="1">TEXT(Overig!A208,"000\,")&amp;TEXT(Overig!B208,"?00000000")&amp;TEXT(Overig!C208,""", ""0000")&amp;SUBSTITUTE(TEXT(IF(ISTEXT(Overig!D208),Overig!D208,10*Overig!D208),""",""????0;"",""???-0;"",""????0;"", ////"""),"'","""")&amp;SUBSTITUTE(TEXT(Overig!E208,""",""?00;"",""?-00;"",""?00;"", //"""),"'","""")&amp;SUBSTITUTE(TEXT(IF(ISTEXT(Overig!F208),Overig!F208,100*Overig!F208),""",""?????0;"",""????-0;"",""?????0;"", /////"""),"'","""")&amp;SUBSTITUTE(TEXT(Overig!G208,""",""?00;"",""?-00;"",""?00;"", //"""),"'","""")&amp;SUBSTITUTE(TEXT(IF(ISTEXT(Overig!H208),Overig!H208,100*Overig!H208),""",""????0;"",""???-0;"",""????0;"", ////"""),"'","""")&amp;SUBSTITUTE(TEXT(Overig!I208,""",""?00;"",""?-00;"",""?00;"", //"""),"'","""")&amp;SUBSTITUTE(TEXT(IF(ISTEXT(Overig!J208),Overig!J208,100*Overig!J208),""",""?????0;"",""????-0;"",""?????0;"", /////"""),"'","""")&amp;SUBSTITUTE(TEXT(Overig!K208,""",""?00;"",""?-00;"",""?00;"", //"""),"'","""")&amp;SUBSTITUTE(TEXT(IF(ISTEXT(Overig!L208),Overig!L208,10*Overig!L208),""",""????0;"",""???-0;"",""????0;"", ////"""),"'","""")&amp;SUBSTITUTE(TEXT(Overig!M208,""",""?00;"",""?-00;"",""?00;"", //"""),"'","""")&amp;SUBSTITUTE(TEXT(IF(ISTEXT(Overig!N208),Overig!N208,10*Overig!N208),""",""????0;"",""???-0;"",""????0;"", ////"""),"'","""")&amp;SUBSTITUTE(TEXT(Overig!O208,""",""?00;"",""?-00;"",""?00;"", //"""),"'","""")&amp;SUBSTITUTE(TEXT(IF(ISTEXT(Overig!P208),Overig!P208,10*Overig!P208),""",""????0;"",""???-0;"",""????0;"", ////"""),"'","""")&amp;SUBSTITUTE(TEXT(Overig!Q208,""",""?00;"",""?-00;"",""?00;"", //"""),"'","""")&amp;SUBSTITUTE(TEXT(IF(ISTEXT(Overig!R208),Overig!R208,10*Overig!R208),""",""????0;"",""???-0;"",""????0;"", ////"""),"'","""")&amp;SUBSTITUTE(TEXT(Overig!S208,""",""?00;"",""?-00;"",""?00;"", //"""),"'","""")&amp;SUBSTITUTE(TEXT(Overig!T208,""",""???0;"",""??-0;"",""???0;"", ///"""),"'","""")&amp;SUBSTITUTE(TEXT(Overig!U208,""",""?00;"",""?-00;"",""?00;"", //"""),"'","""")&amp;SUBSTITUTE(TEXT(IF(ISTEXT(Overig!V208),Overig!V208,10*Overig!V208),""",""???0;"",""??-0;"",""???0;"", ///"""),"'","""")&amp;SUBSTITUTE(TEXT(Overig!W208,""",""?00;"",""?-00;"",""?00;"", //"""),"'","""")&amp;SUBSTITUTE(TEXT(IF(ISTEXT(Overig!X208),Overig!X208,10*Overig!X208),""",""????0;"",""???-0;"",""????0;"", ////"""),"'","""")&amp;SUBSTITUTE(TEXT(Overig!Y208,""",""?00;"",""?-00;"",""?00;"", //"""),"'","""")&amp;SUBSTITUTE(TEXT(IF(ISTEXT(Overig!Z208),Overig!Z208,10*Overig!Z208),""",""????0;"",""???-0;"",""????0;"", ////"""),"'","""")&amp;SUBSTITUTE(TEXT(Overig!AA208,""",""?00;"",""?-00;"",""?00;"", //"""),"'","""")&amp;SUBSTITUTE(TEXT(Overig!AB208,""",""???0;"",""??-0;"",""???0;"", ///"""),"'","""")&amp;SUBSTITUTE(TEXT(Overig!AC208,""",""?00;"",""?-00;"",""?00;"", //"""),"'","""")&amp;SUBSTITUTE(TEXT(IF(ISTEXT(Overig!AD208),Overig!AD208,10*Overig!AD208),""",""????0;"",""???-0;"",""????0;"", ////"""),"'","""")&amp;SUBSTITUTE(TEXT(Overig!AE208,""",""?00;"",""?-00;"",""?00;"", //"""),"'","""")&amp;SUBSTITUTE(TEXT(IF(ISTEXT(Overig!AF208),Overig!AF208,10*Overig!AF208),""",""????0;"",""???-0;"",""????0;"", ////"""),"'","""")&amp;SUBSTITUTE(TEXT(Overig!AG208,""",""?00;"",""?-00;"",""?00;"", //"""),"'","""")&amp;SUBSTITUTE(TEXT(Overig!AH208,""",""???0;"",""??-0;"",""???0;"", ///"""),"'","""")&amp;SUBSTITUTE(TEXT(Overig!AI208,""",""?00;"",""?-00;"",""?00;"", //"""),"'","""")&amp;SUBSTITUTE(TEXT(Overig!AJ208,""",""??0;"",""?-0;"",""??0;"", //"""),"'","""")&amp;SUBSTITUTE(TEXT(Overig!AK208,""",""?00;"",""?-00;"",""?00;"", //"""),"'","""")&amp;SUBSTITUTE(IF(EXACT(Overig!AL208,"—"),TEXT(Overig!AL208,""",""????0;"",""???-0;"",""????0;"", ////////////,"""),TEXT(Overig!AL208,"\, \'@""',""")&amp;REPT(" ",10-LEN(Overig!AL208))),"'","""")&amp;SUBSTITUTE(TEXT(Overig!AM208,"?00;?-00;?00;"" //"""),"'","""")&amp;SUBSTITUTE(TEXT(Overig!AN208,""",""???0;"",""??-0;"",""???0;"", ///"""),"'","""")&amp;SUBSTITUTE(TEXT(Overig!AO208,""",""?00;"",""?-00;"",""?00;"", //"""),"'","""")</f>
        <v>78989, 19130726, 0800, ////, 07, /////, 07, ////, 07, /////, 07, 7605, 00, ////, 07, ////, 07, ////, 07, ///, 07, ///, 07, ////, 07, ////, 07,  90, 00, ////, 07, ////, 07, ///, 07, //, 07, ////////////, 07, ///, 07</v>
      </c>
    </row>
    <row r="209" spans="1:1" x14ac:dyDescent="0.25">
      <c r="A209" s="75" t="str">
        <f ca="1">TEXT(Overig!A209,"000\,")&amp;TEXT(Overig!B209,"?00000000")&amp;TEXT(Overig!C209,""", ""0000")&amp;SUBSTITUTE(TEXT(IF(ISTEXT(Overig!D209),Overig!D209,10*Overig!D209),""",""????0;"",""???-0;"",""????0;"", ////"""),"'","""")&amp;SUBSTITUTE(TEXT(Overig!E209,""",""?00;"",""?-00;"",""?00;"", //"""),"'","""")&amp;SUBSTITUTE(TEXT(IF(ISTEXT(Overig!F209),Overig!F209,100*Overig!F209),""",""?????0;"",""????-0;"",""?????0;"", /////"""),"'","""")&amp;SUBSTITUTE(TEXT(Overig!G209,""",""?00;"",""?-00;"",""?00;"", //"""),"'","""")&amp;SUBSTITUTE(TEXT(IF(ISTEXT(Overig!H209),Overig!H209,100*Overig!H209),""",""????0;"",""???-0;"",""????0;"", ////"""),"'","""")&amp;SUBSTITUTE(TEXT(Overig!I209,""",""?00;"",""?-00;"",""?00;"", //"""),"'","""")&amp;SUBSTITUTE(TEXT(IF(ISTEXT(Overig!J209),Overig!J209,100*Overig!J209),""",""?????0;"",""????-0;"",""?????0;"", /////"""),"'","""")&amp;SUBSTITUTE(TEXT(Overig!K209,""",""?00;"",""?-00;"",""?00;"", //"""),"'","""")&amp;SUBSTITUTE(TEXT(IF(ISTEXT(Overig!L209),Overig!L209,10*Overig!L209),""",""????0;"",""???-0;"",""????0;"", ////"""),"'","""")&amp;SUBSTITUTE(TEXT(Overig!M209,""",""?00;"",""?-00;"",""?00;"", //"""),"'","""")&amp;SUBSTITUTE(TEXT(IF(ISTEXT(Overig!N209),Overig!N209,10*Overig!N209),""",""????0;"",""???-0;"",""????0;"", ////"""),"'","""")&amp;SUBSTITUTE(TEXT(Overig!O209,""",""?00;"",""?-00;"",""?00;"", //"""),"'","""")&amp;SUBSTITUTE(TEXT(IF(ISTEXT(Overig!P209),Overig!P209,10*Overig!P209),""",""????0;"",""???-0;"",""????0;"", ////"""),"'","""")&amp;SUBSTITUTE(TEXT(Overig!Q209,""",""?00;"",""?-00;"",""?00;"", //"""),"'","""")&amp;SUBSTITUTE(TEXT(IF(ISTEXT(Overig!R209),Overig!R209,10*Overig!R209),""",""????0;"",""???-0;"",""????0;"", ////"""),"'","""")&amp;SUBSTITUTE(TEXT(Overig!S209,""",""?00;"",""?-00;"",""?00;"", //"""),"'","""")&amp;SUBSTITUTE(TEXT(Overig!T209,""",""???0;"",""??-0;"",""???0;"", ///"""),"'","""")&amp;SUBSTITUTE(TEXT(Overig!U209,""",""?00;"",""?-00;"",""?00;"", //"""),"'","""")&amp;SUBSTITUTE(TEXT(IF(ISTEXT(Overig!V209),Overig!V209,10*Overig!V209),""",""???0;"",""??-0;"",""???0;"", ///"""),"'","""")&amp;SUBSTITUTE(TEXT(Overig!W209,""",""?00;"",""?-00;"",""?00;"", //"""),"'","""")&amp;SUBSTITUTE(TEXT(IF(ISTEXT(Overig!X209),Overig!X209,10*Overig!X209),""",""????0;"",""???-0;"",""????0;"", ////"""),"'","""")&amp;SUBSTITUTE(TEXT(Overig!Y209,""",""?00;"",""?-00;"",""?00;"", //"""),"'","""")&amp;SUBSTITUTE(TEXT(IF(ISTEXT(Overig!Z209),Overig!Z209,10*Overig!Z209),""",""????0;"",""???-0;"",""????0;"", ////"""),"'","""")&amp;SUBSTITUTE(TEXT(Overig!AA209,""",""?00;"",""?-00;"",""?00;"", //"""),"'","""")&amp;SUBSTITUTE(TEXT(Overig!AB209,""",""???0;"",""??-0;"",""???0;"", ///"""),"'","""")&amp;SUBSTITUTE(TEXT(Overig!AC209,""",""?00;"",""?-00;"",""?00;"", //"""),"'","""")&amp;SUBSTITUTE(TEXT(IF(ISTEXT(Overig!AD209),Overig!AD209,10*Overig!AD209),""",""????0;"",""???-0;"",""????0;"", ////"""),"'","""")&amp;SUBSTITUTE(TEXT(Overig!AE209,""",""?00;"",""?-00;"",""?00;"", //"""),"'","""")&amp;SUBSTITUTE(TEXT(IF(ISTEXT(Overig!AF209),Overig!AF209,10*Overig!AF209),""",""????0;"",""???-0;"",""????0;"", ////"""),"'","""")&amp;SUBSTITUTE(TEXT(Overig!AG209,""",""?00;"",""?-00;"",""?00;"", //"""),"'","""")&amp;SUBSTITUTE(TEXT(Overig!AH209,""",""???0;"",""??-0;"",""???0;"", ///"""),"'","""")&amp;SUBSTITUTE(TEXT(Overig!AI209,""",""?00;"",""?-00;"",""?00;"", //"""),"'","""")&amp;SUBSTITUTE(TEXT(Overig!AJ209,""",""??0;"",""?-0;"",""??0;"", //"""),"'","""")&amp;SUBSTITUTE(TEXT(Overig!AK209,""",""?00;"",""?-00;"",""?00;"", //"""),"'","""")&amp;SUBSTITUTE(IF(EXACT(Overig!AL209,"—"),TEXT(Overig!AL209,""",""????0;"",""???-0;"",""????0;"", ////////////,"""),TEXT(Overig!AL209,"\, \'@""',""")&amp;REPT(" ",10-LEN(Overig!AL209))),"'","""")&amp;SUBSTITUTE(TEXT(Overig!AM209,"?00;?-00;?00;"" //"""),"'","""")&amp;SUBSTITUTE(TEXT(Overig!AN209,""",""???0;"",""??-0;"",""???0;"", ///"""),"'","""")&amp;SUBSTITUTE(TEXT(Overig!AO209,""",""?00;"",""?-00;"",""?00;"", //"""),"'","""")</f>
        <v>78989, 19130727, 0800, ////, 07, /////, 07, ////, 07, /////, 07, 7605, 00, ////, 07, ////, 07, ////, 07, ///, 07, ///, 07, ////, 07, ////, 07, 135, 00, ////, 07, ////, 07, ///, 07, //, 07, ////////////, 07, ///, 07</v>
      </c>
    </row>
    <row r="210" spans="1:1" x14ac:dyDescent="0.25">
      <c r="A210" s="75" t="str">
        <f ca="1">TEXT(Overig!A210,"000\,")&amp;TEXT(Overig!B210,"?00000000")&amp;TEXT(Overig!C210,""", ""0000")&amp;SUBSTITUTE(TEXT(IF(ISTEXT(Overig!D210),Overig!D210,10*Overig!D210),""",""????0;"",""???-0;"",""????0;"", ////"""),"'","""")&amp;SUBSTITUTE(TEXT(Overig!E210,""",""?00;"",""?-00;"",""?00;"", //"""),"'","""")&amp;SUBSTITUTE(TEXT(IF(ISTEXT(Overig!F210),Overig!F210,100*Overig!F210),""",""?????0;"",""????-0;"",""?????0;"", /////"""),"'","""")&amp;SUBSTITUTE(TEXT(Overig!G210,""",""?00;"",""?-00;"",""?00;"", //"""),"'","""")&amp;SUBSTITUTE(TEXT(IF(ISTEXT(Overig!H210),Overig!H210,100*Overig!H210),""",""????0;"",""???-0;"",""????0;"", ////"""),"'","""")&amp;SUBSTITUTE(TEXT(Overig!I210,""",""?00;"",""?-00;"",""?00;"", //"""),"'","""")&amp;SUBSTITUTE(TEXT(IF(ISTEXT(Overig!J210),Overig!J210,100*Overig!J210),""",""?????0;"",""????-0;"",""?????0;"", /////"""),"'","""")&amp;SUBSTITUTE(TEXT(Overig!K210,""",""?00;"",""?-00;"",""?00;"", //"""),"'","""")&amp;SUBSTITUTE(TEXT(IF(ISTEXT(Overig!L210),Overig!L210,10*Overig!L210),""",""????0;"",""???-0;"",""????0;"", ////"""),"'","""")&amp;SUBSTITUTE(TEXT(Overig!M210,""",""?00;"",""?-00;"",""?00;"", //"""),"'","""")&amp;SUBSTITUTE(TEXT(IF(ISTEXT(Overig!N210),Overig!N210,10*Overig!N210),""",""????0;"",""???-0;"",""????0;"", ////"""),"'","""")&amp;SUBSTITUTE(TEXT(Overig!O210,""",""?00;"",""?-00;"",""?00;"", //"""),"'","""")&amp;SUBSTITUTE(TEXT(IF(ISTEXT(Overig!P210),Overig!P210,10*Overig!P210),""",""????0;"",""???-0;"",""????0;"", ////"""),"'","""")&amp;SUBSTITUTE(TEXT(Overig!Q210,""",""?00;"",""?-00;"",""?00;"", //"""),"'","""")&amp;SUBSTITUTE(TEXT(IF(ISTEXT(Overig!R210),Overig!R210,10*Overig!R210),""",""????0;"",""???-0;"",""????0;"", ////"""),"'","""")&amp;SUBSTITUTE(TEXT(Overig!S210,""",""?00;"",""?-00;"",""?00;"", //"""),"'","""")&amp;SUBSTITUTE(TEXT(Overig!T210,""",""???0;"",""??-0;"",""???0;"", ///"""),"'","""")&amp;SUBSTITUTE(TEXT(Overig!U210,""",""?00;"",""?-00;"",""?00;"", //"""),"'","""")&amp;SUBSTITUTE(TEXT(IF(ISTEXT(Overig!V210),Overig!V210,10*Overig!V210),""",""???0;"",""??-0;"",""???0;"", ///"""),"'","""")&amp;SUBSTITUTE(TEXT(Overig!W210,""",""?00;"",""?-00;"",""?00;"", //"""),"'","""")&amp;SUBSTITUTE(TEXT(IF(ISTEXT(Overig!X210),Overig!X210,10*Overig!X210),""",""????0;"",""???-0;"",""????0;"", ////"""),"'","""")&amp;SUBSTITUTE(TEXT(Overig!Y210,""",""?00;"",""?-00;"",""?00;"", //"""),"'","""")&amp;SUBSTITUTE(TEXT(IF(ISTEXT(Overig!Z210),Overig!Z210,10*Overig!Z210),""",""????0;"",""???-0;"",""????0;"", ////"""),"'","""")&amp;SUBSTITUTE(TEXT(Overig!AA210,""",""?00;"",""?-00;"",""?00;"", //"""),"'","""")&amp;SUBSTITUTE(TEXT(Overig!AB210,""",""???0;"",""??-0;"",""???0;"", ///"""),"'","""")&amp;SUBSTITUTE(TEXT(Overig!AC210,""",""?00;"",""?-00;"",""?00;"", //"""),"'","""")&amp;SUBSTITUTE(TEXT(IF(ISTEXT(Overig!AD210),Overig!AD210,10*Overig!AD210),""",""????0;"",""???-0;"",""????0;"", ////"""),"'","""")&amp;SUBSTITUTE(TEXT(Overig!AE210,""",""?00;"",""?-00;"",""?00;"", //"""),"'","""")&amp;SUBSTITUTE(TEXT(IF(ISTEXT(Overig!AF210),Overig!AF210,10*Overig!AF210),""",""????0;"",""???-0;"",""????0;"", ////"""),"'","""")&amp;SUBSTITUTE(TEXT(Overig!AG210,""",""?00;"",""?-00;"",""?00;"", //"""),"'","""")&amp;SUBSTITUTE(TEXT(Overig!AH210,""",""???0;"",""??-0;"",""???0;"", ///"""),"'","""")&amp;SUBSTITUTE(TEXT(Overig!AI210,""",""?00;"",""?-00;"",""?00;"", //"""),"'","""")&amp;SUBSTITUTE(TEXT(Overig!AJ210,""",""??0;"",""?-0;"",""??0;"", //"""),"'","""")&amp;SUBSTITUTE(TEXT(Overig!AK210,""",""?00;"",""?-00;"",""?00;"", //"""),"'","""")&amp;SUBSTITUTE(IF(EXACT(Overig!AL210,"—"),TEXT(Overig!AL210,""",""????0;"",""???-0;"",""????0;"", ////////////,"""),TEXT(Overig!AL210,"\, \'@""',""")&amp;REPT(" ",10-LEN(Overig!AL210))),"'","""")&amp;SUBSTITUTE(TEXT(Overig!AM210,"?00;?-00;?00;"" //"""),"'","""")&amp;SUBSTITUTE(TEXT(Overig!AN210,""",""???0;"",""??-0;"",""???0;"", ///"""),"'","""")&amp;SUBSTITUTE(TEXT(Overig!AO210,""",""?00;"",""?-00;"",""?00;"", //"""),"'","""")</f>
        <v>78989, 19130728, 0800, ////, 07, /////, 07, ////, 07, /////, 07, 7615, 00, ////, 07, ////, 07, ////, 07, ///, 07, ///, 07, ////, 07, ////, 07,  90, 00, ////, 07, ////, 07, ///, 07, //, 07, ////////////, 07, ///, 07</v>
      </c>
    </row>
    <row r="211" spans="1:1" x14ac:dyDescent="0.25">
      <c r="A211" s="75" t="str">
        <f ca="1">TEXT(Overig!A211,"000\,")&amp;TEXT(Overig!B211,"?00000000")&amp;TEXT(Overig!C211,""", ""0000")&amp;SUBSTITUTE(TEXT(IF(ISTEXT(Overig!D211),Overig!D211,10*Overig!D211),""",""????0;"",""???-0;"",""????0;"", ////"""),"'","""")&amp;SUBSTITUTE(TEXT(Overig!E211,""",""?00;"",""?-00;"",""?00;"", //"""),"'","""")&amp;SUBSTITUTE(TEXT(IF(ISTEXT(Overig!F211),Overig!F211,100*Overig!F211),""",""?????0;"",""????-0;"",""?????0;"", /////"""),"'","""")&amp;SUBSTITUTE(TEXT(Overig!G211,""",""?00;"",""?-00;"",""?00;"", //"""),"'","""")&amp;SUBSTITUTE(TEXT(IF(ISTEXT(Overig!H211),Overig!H211,100*Overig!H211),""",""????0;"",""???-0;"",""????0;"", ////"""),"'","""")&amp;SUBSTITUTE(TEXT(Overig!I211,""",""?00;"",""?-00;"",""?00;"", //"""),"'","""")&amp;SUBSTITUTE(TEXT(IF(ISTEXT(Overig!J211),Overig!J211,100*Overig!J211),""",""?????0;"",""????-0;"",""?????0;"", /////"""),"'","""")&amp;SUBSTITUTE(TEXT(Overig!K211,""",""?00;"",""?-00;"",""?00;"", //"""),"'","""")&amp;SUBSTITUTE(TEXT(IF(ISTEXT(Overig!L211),Overig!L211,10*Overig!L211),""",""????0;"",""???-0;"",""????0;"", ////"""),"'","""")&amp;SUBSTITUTE(TEXT(Overig!M211,""",""?00;"",""?-00;"",""?00;"", //"""),"'","""")&amp;SUBSTITUTE(TEXT(IF(ISTEXT(Overig!N211),Overig!N211,10*Overig!N211),""",""????0;"",""???-0;"",""????0;"", ////"""),"'","""")&amp;SUBSTITUTE(TEXT(Overig!O211,""",""?00;"",""?-00;"",""?00;"", //"""),"'","""")&amp;SUBSTITUTE(TEXT(IF(ISTEXT(Overig!P211),Overig!P211,10*Overig!P211),""",""????0;"",""???-0;"",""????0;"", ////"""),"'","""")&amp;SUBSTITUTE(TEXT(Overig!Q211,""",""?00;"",""?-00;"",""?00;"", //"""),"'","""")&amp;SUBSTITUTE(TEXT(IF(ISTEXT(Overig!R211),Overig!R211,10*Overig!R211),""",""????0;"",""???-0;"",""????0;"", ////"""),"'","""")&amp;SUBSTITUTE(TEXT(Overig!S211,""",""?00;"",""?-00;"",""?00;"", //"""),"'","""")&amp;SUBSTITUTE(TEXT(Overig!T211,""",""???0;"",""??-0;"",""???0;"", ///"""),"'","""")&amp;SUBSTITUTE(TEXT(Overig!U211,""",""?00;"",""?-00;"",""?00;"", //"""),"'","""")&amp;SUBSTITUTE(TEXT(IF(ISTEXT(Overig!V211),Overig!V211,10*Overig!V211),""",""???0;"",""??-0;"",""???0;"", ///"""),"'","""")&amp;SUBSTITUTE(TEXT(Overig!W211,""",""?00;"",""?-00;"",""?00;"", //"""),"'","""")&amp;SUBSTITUTE(TEXT(IF(ISTEXT(Overig!X211),Overig!X211,10*Overig!X211),""",""????0;"",""???-0;"",""????0;"", ////"""),"'","""")&amp;SUBSTITUTE(TEXT(Overig!Y211,""",""?00;"",""?-00;"",""?00;"", //"""),"'","""")&amp;SUBSTITUTE(TEXT(IF(ISTEXT(Overig!Z211),Overig!Z211,10*Overig!Z211),""",""????0;"",""???-0;"",""????0;"", ////"""),"'","""")&amp;SUBSTITUTE(TEXT(Overig!AA211,""",""?00;"",""?-00;"",""?00;"", //"""),"'","""")&amp;SUBSTITUTE(TEXT(Overig!AB211,""",""???0;"",""??-0;"",""???0;"", ///"""),"'","""")&amp;SUBSTITUTE(TEXT(Overig!AC211,""",""?00;"",""?-00;"",""?00;"", //"""),"'","""")&amp;SUBSTITUTE(TEXT(IF(ISTEXT(Overig!AD211),Overig!AD211,10*Overig!AD211),""",""????0;"",""???-0;"",""????0;"", ////"""),"'","""")&amp;SUBSTITUTE(TEXT(Overig!AE211,""",""?00;"",""?-00;"",""?00;"", //"""),"'","""")&amp;SUBSTITUTE(TEXT(IF(ISTEXT(Overig!AF211),Overig!AF211,10*Overig!AF211),""",""????0;"",""???-0;"",""????0;"", ////"""),"'","""")&amp;SUBSTITUTE(TEXT(Overig!AG211,""",""?00;"",""?-00;"",""?00;"", //"""),"'","""")&amp;SUBSTITUTE(TEXT(Overig!AH211,""",""???0;"",""??-0;"",""???0;"", ///"""),"'","""")&amp;SUBSTITUTE(TEXT(Overig!AI211,""",""?00;"",""?-00;"",""?00;"", //"""),"'","""")&amp;SUBSTITUTE(TEXT(Overig!AJ211,""",""??0;"",""?-0;"",""??0;"", //"""),"'","""")&amp;SUBSTITUTE(TEXT(Overig!AK211,""",""?00;"",""?-00;"",""?00;"", //"""),"'","""")&amp;SUBSTITUTE(IF(EXACT(Overig!AL211,"—"),TEXT(Overig!AL211,""",""????0;"",""???-0;"",""????0;"", ////////////,"""),TEXT(Overig!AL211,"\, \'@""',""")&amp;REPT(" ",10-LEN(Overig!AL211))),"'","""")&amp;SUBSTITUTE(TEXT(Overig!AM211,"?00;?-00;?00;"" //"""),"'","""")&amp;SUBSTITUTE(TEXT(Overig!AN211,""",""???0;"",""??-0;"",""???0;"", ///"""),"'","""")&amp;SUBSTITUTE(TEXT(Overig!AO211,""",""?00;"",""?-00;"",""?00;"", //"""),"'","""")</f>
        <v>78989, 19130729, 0800, ////, 07, /////, 07, ////, 07, /////, 07, ////, 07, ////, 07, ////, 07, ////, 07, ///, 07, ///, 07, ////, 07, ////, 07, ///, 07, ////, 07, ////, 07, ///, 07, //, 07, ////////////, 07, ///, 07</v>
      </c>
    </row>
    <row r="212" spans="1:1" x14ac:dyDescent="0.25">
      <c r="A212" s="75" t="str">
        <f ca="1">TEXT(Overig!A212,"000\,")&amp;TEXT(Overig!B212,"?00000000")&amp;TEXT(Overig!C212,""", ""0000")&amp;SUBSTITUTE(TEXT(IF(ISTEXT(Overig!D212),Overig!D212,10*Overig!D212),""",""????0;"",""???-0;"",""????0;"", ////"""),"'","""")&amp;SUBSTITUTE(TEXT(Overig!E212,""",""?00;"",""?-00;"",""?00;"", //"""),"'","""")&amp;SUBSTITUTE(TEXT(IF(ISTEXT(Overig!F212),Overig!F212,100*Overig!F212),""",""?????0;"",""????-0;"",""?????0;"", /////"""),"'","""")&amp;SUBSTITUTE(TEXT(Overig!G212,""",""?00;"",""?-00;"",""?00;"", //"""),"'","""")&amp;SUBSTITUTE(TEXT(IF(ISTEXT(Overig!H212),Overig!H212,100*Overig!H212),""",""????0;"",""???-0;"",""????0;"", ////"""),"'","""")&amp;SUBSTITUTE(TEXT(Overig!I212,""",""?00;"",""?-00;"",""?00;"", //"""),"'","""")&amp;SUBSTITUTE(TEXT(IF(ISTEXT(Overig!J212),Overig!J212,100*Overig!J212),""",""?????0;"",""????-0;"",""?????0;"", /////"""),"'","""")&amp;SUBSTITUTE(TEXT(Overig!K212,""",""?00;"",""?-00;"",""?00;"", //"""),"'","""")&amp;SUBSTITUTE(TEXT(IF(ISTEXT(Overig!L212),Overig!L212,10*Overig!L212),""",""????0;"",""???-0;"",""????0;"", ////"""),"'","""")&amp;SUBSTITUTE(TEXT(Overig!M212,""",""?00;"",""?-00;"",""?00;"", //"""),"'","""")&amp;SUBSTITUTE(TEXT(IF(ISTEXT(Overig!N212),Overig!N212,10*Overig!N212),""",""????0;"",""???-0;"",""????0;"", ////"""),"'","""")&amp;SUBSTITUTE(TEXT(Overig!O212,""",""?00;"",""?-00;"",""?00;"", //"""),"'","""")&amp;SUBSTITUTE(TEXT(IF(ISTEXT(Overig!P212),Overig!P212,10*Overig!P212),""",""????0;"",""???-0;"",""????0;"", ////"""),"'","""")&amp;SUBSTITUTE(TEXT(Overig!Q212,""",""?00;"",""?-00;"",""?00;"", //"""),"'","""")&amp;SUBSTITUTE(TEXT(IF(ISTEXT(Overig!R212),Overig!R212,10*Overig!R212),""",""????0;"",""???-0;"",""????0;"", ////"""),"'","""")&amp;SUBSTITUTE(TEXT(Overig!S212,""",""?00;"",""?-00;"",""?00;"", //"""),"'","""")&amp;SUBSTITUTE(TEXT(Overig!T212,""",""???0;"",""??-0;"",""???0;"", ///"""),"'","""")&amp;SUBSTITUTE(TEXT(Overig!U212,""",""?00;"",""?-00;"",""?00;"", //"""),"'","""")&amp;SUBSTITUTE(TEXT(IF(ISTEXT(Overig!V212),Overig!V212,10*Overig!V212),""",""???0;"",""??-0;"",""???0;"", ///"""),"'","""")&amp;SUBSTITUTE(TEXT(Overig!W212,""",""?00;"",""?-00;"",""?00;"", //"""),"'","""")&amp;SUBSTITUTE(TEXT(IF(ISTEXT(Overig!X212),Overig!X212,10*Overig!X212),""",""????0;"",""???-0;"",""????0;"", ////"""),"'","""")&amp;SUBSTITUTE(TEXT(Overig!Y212,""",""?00;"",""?-00;"",""?00;"", //"""),"'","""")&amp;SUBSTITUTE(TEXT(IF(ISTEXT(Overig!Z212),Overig!Z212,10*Overig!Z212),""",""????0;"",""???-0;"",""????0;"", ////"""),"'","""")&amp;SUBSTITUTE(TEXT(Overig!AA212,""",""?00;"",""?-00;"",""?00;"", //"""),"'","""")&amp;SUBSTITUTE(TEXT(Overig!AB212,""",""???0;"",""??-0;"",""???0;"", ///"""),"'","""")&amp;SUBSTITUTE(TEXT(Overig!AC212,""",""?00;"",""?-00;"",""?00;"", //"""),"'","""")&amp;SUBSTITUTE(TEXT(IF(ISTEXT(Overig!AD212),Overig!AD212,10*Overig!AD212),""",""????0;"",""???-0;"",""????0;"", ////"""),"'","""")&amp;SUBSTITUTE(TEXT(Overig!AE212,""",""?00;"",""?-00;"",""?00;"", //"""),"'","""")&amp;SUBSTITUTE(TEXT(IF(ISTEXT(Overig!AF212),Overig!AF212,10*Overig!AF212),""",""????0;"",""???-0;"",""????0;"", ////"""),"'","""")&amp;SUBSTITUTE(TEXT(Overig!AG212,""",""?00;"",""?-00;"",""?00;"", //"""),"'","""")&amp;SUBSTITUTE(TEXT(Overig!AH212,""",""???0;"",""??-0;"",""???0;"", ///"""),"'","""")&amp;SUBSTITUTE(TEXT(Overig!AI212,""",""?00;"",""?-00;"",""?00;"", //"""),"'","""")&amp;SUBSTITUTE(TEXT(Overig!AJ212,""",""??0;"",""?-0;"",""??0;"", //"""),"'","""")&amp;SUBSTITUTE(TEXT(Overig!AK212,""",""?00;"",""?-00;"",""?00;"", //"""),"'","""")&amp;SUBSTITUTE(IF(EXACT(Overig!AL212,"—"),TEXT(Overig!AL212,""",""????0;"",""???-0;"",""????0;"", ////////////,"""),TEXT(Overig!AL212,"\, \'@""',""")&amp;REPT(" ",10-LEN(Overig!AL212))),"'","""")&amp;SUBSTITUTE(TEXT(Overig!AM212,"?00;?-00;?00;"" //"""),"'","""")&amp;SUBSTITUTE(TEXT(Overig!AN212,""",""???0;"",""??-0;"",""???0;"", ///"""),"'","""")&amp;SUBSTITUTE(TEXT(Overig!AO212,""",""?00;"",""?-00;"",""?00;"", //"""),"'","""")</f>
        <v>78989, 19130730, 0800, ////, 07, /////, 07, ////, 07, /////, 07, 7610, 00, ////, 07, ////, 07, ////, 07, ///, 07, ///, 07, ////, 07, ////, 07,  90, 00, ////, 07, ////, 07, ///, 07, //, 07, ////////////, 07, ///, 07</v>
      </c>
    </row>
    <row r="213" spans="1:1" x14ac:dyDescent="0.25">
      <c r="A213" s="75" t="str">
        <f ca="1">TEXT(Overig!A213,"000\,")&amp;TEXT(Overig!B213,"?00000000")&amp;TEXT(Overig!C213,""", ""0000")&amp;SUBSTITUTE(TEXT(IF(ISTEXT(Overig!D213),Overig!D213,10*Overig!D213),""",""????0;"",""???-0;"",""????0;"", ////"""),"'","""")&amp;SUBSTITUTE(TEXT(Overig!E213,""",""?00;"",""?-00;"",""?00;"", //"""),"'","""")&amp;SUBSTITUTE(TEXT(IF(ISTEXT(Overig!F213),Overig!F213,100*Overig!F213),""",""?????0;"",""????-0;"",""?????0;"", /////"""),"'","""")&amp;SUBSTITUTE(TEXT(Overig!G213,""",""?00;"",""?-00;"",""?00;"", //"""),"'","""")&amp;SUBSTITUTE(TEXT(IF(ISTEXT(Overig!H213),Overig!H213,100*Overig!H213),""",""????0;"",""???-0;"",""????0;"", ////"""),"'","""")&amp;SUBSTITUTE(TEXT(Overig!I213,""",""?00;"",""?-00;"",""?00;"", //"""),"'","""")&amp;SUBSTITUTE(TEXT(IF(ISTEXT(Overig!J213),Overig!J213,100*Overig!J213),""",""?????0;"",""????-0;"",""?????0;"", /////"""),"'","""")&amp;SUBSTITUTE(TEXT(Overig!K213,""",""?00;"",""?-00;"",""?00;"", //"""),"'","""")&amp;SUBSTITUTE(TEXT(IF(ISTEXT(Overig!L213),Overig!L213,10*Overig!L213),""",""????0;"",""???-0;"",""????0;"", ////"""),"'","""")&amp;SUBSTITUTE(TEXT(Overig!M213,""",""?00;"",""?-00;"",""?00;"", //"""),"'","""")&amp;SUBSTITUTE(TEXT(IF(ISTEXT(Overig!N213),Overig!N213,10*Overig!N213),""",""????0;"",""???-0;"",""????0;"", ////"""),"'","""")&amp;SUBSTITUTE(TEXT(Overig!O213,""",""?00;"",""?-00;"",""?00;"", //"""),"'","""")&amp;SUBSTITUTE(TEXT(IF(ISTEXT(Overig!P213),Overig!P213,10*Overig!P213),""",""????0;"",""???-0;"",""????0;"", ////"""),"'","""")&amp;SUBSTITUTE(TEXT(Overig!Q213,""",""?00;"",""?-00;"",""?00;"", //"""),"'","""")&amp;SUBSTITUTE(TEXT(IF(ISTEXT(Overig!R213),Overig!R213,10*Overig!R213),""",""????0;"",""???-0;"",""????0;"", ////"""),"'","""")&amp;SUBSTITUTE(TEXT(Overig!S213,""",""?00;"",""?-00;"",""?00;"", //"""),"'","""")&amp;SUBSTITUTE(TEXT(Overig!T213,""",""???0;"",""??-0;"",""???0;"", ///"""),"'","""")&amp;SUBSTITUTE(TEXT(Overig!U213,""",""?00;"",""?-00;"",""?00;"", //"""),"'","""")&amp;SUBSTITUTE(TEXT(IF(ISTEXT(Overig!V213),Overig!V213,10*Overig!V213),""",""???0;"",""??-0;"",""???0;"", ///"""),"'","""")&amp;SUBSTITUTE(TEXT(Overig!W213,""",""?00;"",""?-00;"",""?00;"", //"""),"'","""")&amp;SUBSTITUTE(TEXT(IF(ISTEXT(Overig!X213),Overig!X213,10*Overig!X213),""",""????0;"",""???-0;"",""????0;"", ////"""),"'","""")&amp;SUBSTITUTE(TEXT(Overig!Y213,""",""?00;"",""?-00;"",""?00;"", //"""),"'","""")&amp;SUBSTITUTE(TEXT(IF(ISTEXT(Overig!Z213),Overig!Z213,10*Overig!Z213),""",""????0;"",""???-0;"",""????0;"", ////"""),"'","""")&amp;SUBSTITUTE(TEXT(Overig!AA213,""",""?00;"",""?-00;"",""?00;"", //"""),"'","""")&amp;SUBSTITUTE(TEXT(Overig!AB213,""",""???0;"",""??-0;"",""???0;"", ///"""),"'","""")&amp;SUBSTITUTE(TEXT(Overig!AC213,""",""?00;"",""?-00;"",""?00;"", //"""),"'","""")&amp;SUBSTITUTE(TEXT(IF(ISTEXT(Overig!AD213),Overig!AD213,10*Overig!AD213),""",""????0;"",""???-0;"",""????0;"", ////"""),"'","""")&amp;SUBSTITUTE(TEXT(Overig!AE213,""",""?00;"",""?-00;"",""?00;"", //"""),"'","""")&amp;SUBSTITUTE(TEXT(IF(ISTEXT(Overig!AF213),Overig!AF213,10*Overig!AF213),""",""????0;"",""???-0;"",""????0;"", ////"""),"'","""")&amp;SUBSTITUTE(TEXT(Overig!AG213,""",""?00;"",""?-00;"",""?00;"", //"""),"'","""")&amp;SUBSTITUTE(TEXT(Overig!AH213,""",""???0;"",""??-0;"",""???0;"", ///"""),"'","""")&amp;SUBSTITUTE(TEXT(Overig!AI213,""",""?00;"",""?-00;"",""?00;"", //"""),"'","""")&amp;SUBSTITUTE(TEXT(Overig!AJ213,""",""??0;"",""?-0;"",""??0;"", //"""),"'","""")&amp;SUBSTITUTE(TEXT(Overig!AK213,""",""?00;"",""?-00;"",""?00;"", //"""),"'","""")&amp;SUBSTITUTE(IF(EXACT(Overig!AL213,"—"),TEXT(Overig!AL213,""",""????0;"",""???-0;"",""????0;"", ////////////,"""),TEXT(Overig!AL213,"\, \'@""',""")&amp;REPT(" ",10-LEN(Overig!AL213))),"'","""")&amp;SUBSTITUTE(TEXT(Overig!AM213,"?00;?-00;?00;"" //"""),"'","""")&amp;SUBSTITUTE(TEXT(Overig!AN213,""",""???0;"",""??-0;"",""???0;"", ///"""),"'","""")&amp;SUBSTITUTE(TEXT(Overig!AO213,""",""?00;"",""?-00;"",""?00;"", //"""),"'","""")</f>
        <v>78989, 19130731, 0800, ////, 07, /////, 07, ////, 07, /////, 07, 7615, 00, ////, 07, ////, 07, ////, 07, ///, 07, ///, 07, ////, 07, ////, 07,  90, 00, ////, 07, ////, 07, ///, 07, //, 07, ////////////, 07, ///, 07</v>
      </c>
    </row>
    <row r="214" spans="1:1" x14ac:dyDescent="0.25">
      <c r="A214" s="75" t="str">
        <f ca="1">TEXT(Overig!A214,"000\,")&amp;TEXT(Overig!B214,"?00000000")&amp;TEXT(Overig!C214,""", ""0000")&amp;SUBSTITUTE(TEXT(IF(ISTEXT(Overig!D214),Overig!D214,10*Overig!D214),""",""????0;"",""???-0;"",""????0;"", ////"""),"'","""")&amp;SUBSTITUTE(TEXT(Overig!E214,""",""?00;"",""?-00;"",""?00;"", //"""),"'","""")&amp;SUBSTITUTE(TEXT(IF(ISTEXT(Overig!F214),Overig!F214,100*Overig!F214),""",""?????0;"",""????-0;"",""?????0;"", /////"""),"'","""")&amp;SUBSTITUTE(TEXT(Overig!G214,""",""?00;"",""?-00;"",""?00;"", //"""),"'","""")&amp;SUBSTITUTE(TEXT(IF(ISTEXT(Overig!H214),Overig!H214,100*Overig!H214),""",""????0;"",""???-0;"",""????0;"", ////"""),"'","""")&amp;SUBSTITUTE(TEXT(Overig!I214,""",""?00;"",""?-00;"",""?00;"", //"""),"'","""")&amp;SUBSTITUTE(TEXT(IF(ISTEXT(Overig!J214),Overig!J214,100*Overig!J214),""",""?????0;"",""????-0;"",""?????0;"", /////"""),"'","""")&amp;SUBSTITUTE(TEXT(Overig!K214,""",""?00;"",""?-00;"",""?00;"", //"""),"'","""")&amp;SUBSTITUTE(TEXT(IF(ISTEXT(Overig!L214),Overig!L214,10*Overig!L214),""",""????0;"",""???-0;"",""????0;"", ////"""),"'","""")&amp;SUBSTITUTE(TEXT(Overig!M214,""",""?00;"",""?-00;"",""?00;"", //"""),"'","""")&amp;SUBSTITUTE(TEXT(IF(ISTEXT(Overig!N214),Overig!N214,10*Overig!N214),""",""????0;"",""???-0;"",""????0;"", ////"""),"'","""")&amp;SUBSTITUTE(TEXT(Overig!O214,""",""?00;"",""?-00;"",""?00;"", //"""),"'","""")&amp;SUBSTITUTE(TEXT(IF(ISTEXT(Overig!P214),Overig!P214,10*Overig!P214),""",""????0;"",""???-0;"",""????0;"", ////"""),"'","""")&amp;SUBSTITUTE(TEXT(Overig!Q214,""",""?00;"",""?-00;"",""?00;"", //"""),"'","""")&amp;SUBSTITUTE(TEXT(IF(ISTEXT(Overig!R214),Overig!R214,10*Overig!R214),""",""????0;"",""???-0;"",""????0;"", ////"""),"'","""")&amp;SUBSTITUTE(TEXT(Overig!S214,""",""?00;"",""?-00;"",""?00;"", //"""),"'","""")&amp;SUBSTITUTE(TEXT(Overig!T214,""",""???0;"",""??-0;"",""???0;"", ///"""),"'","""")&amp;SUBSTITUTE(TEXT(Overig!U214,""",""?00;"",""?-00;"",""?00;"", //"""),"'","""")&amp;SUBSTITUTE(TEXT(IF(ISTEXT(Overig!V214),Overig!V214,10*Overig!V214),""",""???0;"",""??-0;"",""???0;"", ///"""),"'","""")&amp;SUBSTITUTE(TEXT(Overig!W214,""",""?00;"",""?-00;"",""?00;"", //"""),"'","""")&amp;SUBSTITUTE(TEXT(IF(ISTEXT(Overig!X214),Overig!X214,10*Overig!X214),""",""????0;"",""???-0;"",""????0;"", ////"""),"'","""")&amp;SUBSTITUTE(TEXT(Overig!Y214,""",""?00;"",""?-00;"",""?00;"", //"""),"'","""")&amp;SUBSTITUTE(TEXT(IF(ISTEXT(Overig!Z214),Overig!Z214,10*Overig!Z214),""",""????0;"",""???-0;"",""????0;"", ////"""),"'","""")&amp;SUBSTITUTE(TEXT(Overig!AA214,""",""?00;"",""?-00;"",""?00;"", //"""),"'","""")&amp;SUBSTITUTE(TEXT(Overig!AB214,""",""???0;"",""??-0;"",""???0;"", ///"""),"'","""")&amp;SUBSTITUTE(TEXT(Overig!AC214,""",""?00;"",""?-00;"",""?00;"", //"""),"'","""")&amp;SUBSTITUTE(TEXT(IF(ISTEXT(Overig!AD214),Overig!AD214,10*Overig!AD214),""",""????0;"",""???-0;"",""????0;"", ////"""),"'","""")&amp;SUBSTITUTE(TEXT(Overig!AE214,""",""?00;"",""?-00;"",""?00;"", //"""),"'","""")&amp;SUBSTITUTE(TEXT(IF(ISTEXT(Overig!AF214),Overig!AF214,10*Overig!AF214),""",""????0;"",""???-0;"",""????0;"", ////"""),"'","""")&amp;SUBSTITUTE(TEXT(Overig!AG214,""",""?00;"",""?-00;"",""?00;"", //"""),"'","""")&amp;SUBSTITUTE(TEXT(Overig!AH214,""",""???0;"",""??-0;"",""???0;"", ///"""),"'","""")&amp;SUBSTITUTE(TEXT(Overig!AI214,""",""?00;"",""?-00;"",""?00;"", //"""),"'","""")&amp;SUBSTITUTE(TEXT(Overig!AJ214,""",""??0;"",""?-0;"",""??0;"", //"""),"'","""")&amp;SUBSTITUTE(TEXT(Overig!AK214,""",""?00;"",""?-00;"",""?00;"", //"""),"'","""")&amp;SUBSTITUTE(IF(EXACT(Overig!AL214,"—"),TEXT(Overig!AL214,""",""????0;"",""???-0;"",""????0;"", ////////////,"""),TEXT(Overig!AL214,"\, \'@""',""")&amp;REPT(" ",10-LEN(Overig!AL214))),"'","""")&amp;SUBSTITUTE(TEXT(Overig!AM214,"?00;?-00;?00;"" //"""),"'","""")&amp;SUBSTITUTE(TEXT(Overig!AN214,""",""???0;"",""??-0;"",""???0;"", ///"""),"'","""")&amp;SUBSTITUTE(TEXT(Overig!AO214,""",""?00;"",""?-00;"",""?00;"", //"""),"'","""")</f>
        <v>78989, 19130801, 0800, ////, 07, /////, 07, ////, 07, /////, 07, 7615, 00, ////, 07, ////, 07, ////, 07, ///, 07, ///, 07, ////, 07, ////, 07,  45, 00, ////, 07, ////, 07, ///, 07, //, 07, ////////////, 07, ///, 07</v>
      </c>
    </row>
    <row r="215" spans="1:1" x14ac:dyDescent="0.25">
      <c r="A215" s="75" t="str">
        <f ca="1">TEXT(Overig!A215,"000\,")&amp;TEXT(Overig!B215,"?00000000")&amp;TEXT(Overig!C215,""", ""0000")&amp;SUBSTITUTE(TEXT(IF(ISTEXT(Overig!D215),Overig!D215,10*Overig!D215),""",""????0;"",""???-0;"",""????0;"", ////"""),"'","""")&amp;SUBSTITUTE(TEXT(Overig!E215,""",""?00;"",""?-00;"",""?00;"", //"""),"'","""")&amp;SUBSTITUTE(TEXT(IF(ISTEXT(Overig!F215),Overig!F215,100*Overig!F215),""",""?????0;"",""????-0;"",""?????0;"", /////"""),"'","""")&amp;SUBSTITUTE(TEXT(Overig!G215,""",""?00;"",""?-00;"",""?00;"", //"""),"'","""")&amp;SUBSTITUTE(TEXT(IF(ISTEXT(Overig!H215),Overig!H215,100*Overig!H215),""",""????0;"",""???-0;"",""????0;"", ////"""),"'","""")&amp;SUBSTITUTE(TEXT(Overig!I215,""",""?00;"",""?-00;"",""?00;"", //"""),"'","""")&amp;SUBSTITUTE(TEXT(IF(ISTEXT(Overig!J215),Overig!J215,100*Overig!J215),""",""?????0;"",""????-0;"",""?????0;"", /////"""),"'","""")&amp;SUBSTITUTE(TEXT(Overig!K215,""",""?00;"",""?-00;"",""?00;"", //"""),"'","""")&amp;SUBSTITUTE(TEXT(IF(ISTEXT(Overig!L215),Overig!L215,10*Overig!L215),""",""????0;"",""???-0;"",""????0;"", ////"""),"'","""")&amp;SUBSTITUTE(TEXT(Overig!M215,""",""?00;"",""?-00;"",""?00;"", //"""),"'","""")&amp;SUBSTITUTE(TEXT(IF(ISTEXT(Overig!N215),Overig!N215,10*Overig!N215),""",""????0;"",""???-0;"",""????0;"", ////"""),"'","""")&amp;SUBSTITUTE(TEXT(Overig!O215,""",""?00;"",""?-00;"",""?00;"", //"""),"'","""")&amp;SUBSTITUTE(TEXT(IF(ISTEXT(Overig!P215),Overig!P215,10*Overig!P215),""",""????0;"",""???-0;"",""????0;"", ////"""),"'","""")&amp;SUBSTITUTE(TEXT(Overig!Q215,""",""?00;"",""?-00;"",""?00;"", //"""),"'","""")&amp;SUBSTITUTE(TEXT(IF(ISTEXT(Overig!R215),Overig!R215,10*Overig!R215),""",""????0;"",""???-0;"",""????0;"", ////"""),"'","""")&amp;SUBSTITUTE(TEXT(Overig!S215,""",""?00;"",""?-00;"",""?00;"", //"""),"'","""")&amp;SUBSTITUTE(TEXT(Overig!T215,""",""???0;"",""??-0;"",""???0;"", ///"""),"'","""")&amp;SUBSTITUTE(TEXT(Overig!U215,""",""?00;"",""?-00;"",""?00;"", //"""),"'","""")&amp;SUBSTITUTE(TEXT(IF(ISTEXT(Overig!V215),Overig!V215,10*Overig!V215),""",""???0;"",""??-0;"",""???0;"", ///"""),"'","""")&amp;SUBSTITUTE(TEXT(Overig!W215,""",""?00;"",""?-00;"",""?00;"", //"""),"'","""")&amp;SUBSTITUTE(TEXT(IF(ISTEXT(Overig!X215),Overig!X215,10*Overig!X215),""",""????0;"",""???-0;"",""????0;"", ////"""),"'","""")&amp;SUBSTITUTE(TEXT(Overig!Y215,""",""?00;"",""?-00;"",""?00;"", //"""),"'","""")&amp;SUBSTITUTE(TEXT(IF(ISTEXT(Overig!Z215),Overig!Z215,10*Overig!Z215),""",""????0;"",""???-0;"",""????0;"", ////"""),"'","""")&amp;SUBSTITUTE(TEXT(Overig!AA215,""",""?00;"",""?-00;"",""?00;"", //"""),"'","""")&amp;SUBSTITUTE(TEXT(Overig!AB215,""",""???0;"",""??-0;"",""???0;"", ///"""),"'","""")&amp;SUBSTITUTE(TEXT(Overig!AC215,""",""?00;"",""?-00;"",""?00;"", //"""),"'","""")&amp;SUBSTITUTE(TEXT(IF(ISTEXT(Overig!AD215),Overig!AD215,10*Overig!AD215),""",""????0;"",""???-0;"",""????0;"", ////"""),"'","""")&amp;SUBSTITUTE(TEXT(Overig!AE215,""",""?00;"",""?-00;"",""?00;"", //"""),"'","""")&amp;SUBSTITUTE(TEXT(IF(ISTEXT(Overig!AF215),Overig!AF215,10*Overig!AF215),""",""????0;"",""???-0;"",""????0;"", ////"""),"'","""")&amp;SUBSTITUTE(TEXT(Overig!AG215,""",""?00;"",""?-00;"",""?00;"", //"""),"'","""")&amp;SUBSTITUTE(TEXT(Overig!AH215,""",""???0;"",""??-0;"",""???0;"", ///"""),"'","""")&amp;SUBSTITUTE(TEXT(Overig!AI215,""",""?00;"",""?-00;"",""?00;"", //"""),"'","""")&amp;SUBSTITUTE(TEXT(Overig!AJ215,""",""??0;"",""?-0;"",""??0;"", //"""),"'","""")&amp;SUBSTITUTE(TEXT(Overig!AK215,""",""?00;"",""?-00;"",""?00;"", //"""),"'","""")&amp;SUBSTITUTE(IF(EXACT(Overig!AL215,"—"),TEXT(Overig!AL215,""",""????0;"",""???-0;"",""????0;"", ////////////,"""),TEXT(Overig!AL215,"\, \'@""',""")&amp;REPT(" ",10-LEN(Overig!AL215))),"'","""")&amp;SUBSTITUTE(TEXT(Overig!AM215,"?00;?-00;?00;"" //"""),"'","""")&amp;SUBSTITUTE(TEXT(Overig!AN215,""",""???0;"",""??-0;"",""???0;"", ///"""),"'","""")&amp;SUBSTITUTE(TEXT(Overig!AO215,""",""?00;"",""?-00;"",""?00;"", //"""),"'","""")</f>
        <v>78989, 19130802, 0800, ////, 07, /////, 07, ////, 07, /////, 07, ////, 07, ////, 07, ////, 07, ////, 07, ///, 07, ///, 07, ////, 07, ////, 07, ///, 07, ////, 07, ////, 07, ///, 07, //, 07, ////////////, 07, ///, 07</v>
      </c>
    </row>
    <row r="216" spans="1:1" x14ac:dyDescent="0.25">
      <c r="A216" s="75" t="str">
        <f ca="1">TEXT(Overig!A216,"000\,")&amp;TEXT(Overig!B216,"?00000000")&amp;TEXT(Overig!C216,""", ""0000")&amp;SUBSTITUTE(TEXT(IF(ISTEXT(Overig!D216),Overig!D216,10*Overig!D216),""",""????0;"",""???-0;"",""????0;"", ////"""),"'","""")&amp;SUBSTITUTE(TEXT(Overig!E216,""",""?00;"",""?-00;"",""?00;"", //"""),"'","""")&amp;SUBSTITUTE(TEXT(IF(ISTEXT(Overig!F216),Overig!F216,100*Overig!F216),""",""?????0;"",""????-0;"",""?????0;"", /////"""),"'","""")&amp;SUBSTITUTE(TEXT(Overig!G216,""",""?00;"",""?-00;"",""?00;"", //"""),"'","""")&amp;SUBSTITUTE(TEXT(IF(ISTEXT(Overig!H216),Overig!H216,100*Overig!H216),""",""????0;"",""???-0;"",""????0;"", ////"""),"'","""")&amp;SUBSTITUTE(TEXT(Overig!I216,""",""?00;"",""?-00;"",""?00;"", //"""),"'","""")&amp;SUBSTITUTE(TEXT(IF(ISTEXT(Overig!J216),Overig!J216,100*Overig!J216),""",""?????0;"",""????-0;"",""?????0;"", /////"""),"'","""")&amp;SUBSTITUTE(TEXT(Overig!K216,""",""?00;"",""?-00;"",""?00;"", //"""),"'","""")&amp;SUBSTITUTE(TEXT(IF(ISTEXT(Overig!L216),Overig!L216,10*Overig!L216),""",""????0;"",""???-0;"",""????0;"", ////"""),"'","""")&amp;SUBSTITUTE(TEXT(Overig!M216,""",""?00;"",""?-00;"",""?00;"", //"""),"'","""")&amp;SUBSTITUTE(TEXT(IF(ISTEXT(Overig!N216),Overig!N216,10*Overig!N216),""",""????0;"",""???-0;"",""????0;"", ////"""),"'","""")&amp;SUBSTITUTE(TEXT(Overig!O216,""",""?00;"",""?-00;"",""?00;"", //"""),"'","""")&amp;SUBSTITUTE(TEXT(IF(ISTEXT(Overig!P216),Overig!P216,10*Overig!P216),""",""????0;"",""???-0;"",""????0;"", ////"""),"'","""")&amp;SUBSTITUTE(TEXT(Overig!Q216,""",""?00;"",""?-00;"",""?00;"", //"""),"'","""")&amp;SUBSTITUTE(TEXT(IF(ISTEXT(Overig!R216),Overig!R216,10*Overig!R216),""",""????0;"",""???-0;"",""????0;"", ////"""),"'","""")&amp;SUBSTITUTE(TEXT(Overig!S216,""",""?00;"",""?-00;"",""?00;"", //"""),"'","""")&amp;SUBSTITUTE(TEXT(Overig!T216,""",""???0;"",""??-0;"",""???0;"", ///"""),"'","""")&amp;SUBSTITUTE(TEXT(Overig!U216,""",""?00;"",""?-00;"",""?00;"", //"""),"'","""")&amp;SUBSTITUTE(TEXT(IF(ISTEXT(Overig!V216),Overig!V216,10*Overig!V216),""",""???0;"",""??-0;"",""???0;"", ///"""),"'","""")&amp;SUBSTITUTE(TEXT(Overig!W216,""",""?00;"",""?-00;"",""?00;"", //"""),"'","""")&amp;SUBSTITUTE(TEXT(IF(ISTEXT(Overig!X216),Overig!X216,10*Overig!X216),""",""????0;"",""???-0;"",""????0;"", ////"""),"'","""")&amp;SUBSTITUTE(TEXT(Overig!Y216,""",""?00;"",""?-00;"",""?00;"", //"""),"'","""")&amp;SUBSTITUTE(TEXT(IF(ISTEXT(Overig!Z216),Overig!Z216,10*Overig!Z216),""",""????0;"",""???-0;"",""????0;"", ////"""),"'","""")&amp;SUBSTITUTE(TEXT(Overig!AA216,""",""?00;"",""?-00;"",""?00;"", //"""),"'","""")&amp;SUBSTITUTE(TEXT(Overig!AB216,""",""???0;"",""??-0;"",""???0;"", ///"""),"'","""")&amp;SUBSTITUTE(TEXT(Overig!AC216,""",""?00;"",""?-00;"",""?00;"", //"""),"'","""")&amp;SUBSTITUTE(TEXT(IF(ISTEXT(Overig!AD216),Overig!AD216,10*Overig!AD216),""",""????0;"",""???-0;"",""????0;"", ////"""),"'","""")&amp;SUBSTITUTE(TEXT(Overig!AE216,""",""?00;"",""?-00;"",""?00;"", //"""),"'","""")&amp;SUBSTITUTE(TEXT(IF(ISTEXT(Overig!AF216),Overig!AF216,10*Overig!AF216),""",""????0;"",""???-0;"",""????0;"", ////"""),"'","""")&amp;SUBSTITUTE(TEXT(Overig!AG216,""",""?00;"",""?-00;"",""?00;"", //"""),"'","""")&amp;SUBSTITUTE(TEXT(Overig!AH216,""",""???0;"",""??-0;"",""???0;"", ///"""),"'","""")&amp;SUBSTITUTE(TEXT(Overig!AI216,""",""?00;"",""?-00;"",""?00;"", //"""),"'","""")&amp;SUBSTITUTE(TEXT(Overig!AJ216,""",""??0;"",""?-0;"",""??0;"", //"""),"'","""")&amp;SUBSTITUTE(TEXT(Overig!AK216,""",""?00;"",""?-00;"",""?00;"", //"""),"'","""")&amp;SUBSTITUTE(IF(EXACT(Overig!AL216,"—"),TEXT(Overig!AL216,""",""????0;"",""???-0;"",""????0;"", ////////////,"""),TEXT(Overig!AL216,"\, \'@""',""")&amp;REPT(" ",10-LEN(Overig!AL216))),"'","""")&amp;SUBSTITUTE(TEXT(Overig!AM216,"?00;?-00;?00;"" //"""),"'","""")&amp;SUBSTITUTE(TEXT(Overig!AN216,""",""???0;"",""??-0;"",""???0;"", ///"""),"'","""")&amp;SUBSTITUTE(TEXT(Overig!AO216,""",""?00;"",""?-00;"",""?00;"", //"""),"'","""")</f>
        <v>78989, 19130803, 0800, ////, 07, /////, 07, ////, 07, /////, 07, 7605, 00, ////, 07, ////, 07, ////, 07, ///, 07, ///, 07, ////, 07, ////, 07, 135, 00, ////, 07, ////, 07, ///, 07, //, 07, ////////////, 07, ///, 07</v>
      </c>
    </row>
    <row r="217" spans="1:1" x14ac:dyDescent="0.25">
      <c r="A217" s="75" t="str">
        <f ca="1">TEXT(Overig!A217,"000\,")&amp;TEXT(Overig!B217,"?00000000")&amp;TEXT(Overig!C217,""", ""0000")&amp;SUBSTITUTE(TEXT(IF(ISTEXT(Overig!D217),Overig!D217,10*Overig!D217),""",""????0;"",""???-0;"",""????0;"", ////"""),"'","""")&amp;SUBSTITUTE(TEXT(Overig!E217,""",""?00;"",""?-00;"",""?00;"", //"""),"'","""")&amp;SUBSTITUTE(TEXT(IF(ISTEXT(Overig!F217),Overig!F217,100*Overig!F217),""",""?????0;"",""????-0;"",""?????0;"", /////"""),"'","""")&amp;SUBSTITUTE(TEXT(Overig!G217,""",""?00;"",""?-00;"",""?00;"", //"""),"'","""")&amp;SUBSTITUTE(TEXT(IF(ISTEXT(Overig!H217),Overig!H217,100*Overig!H217),""",""????0;"",""???-0;"",""????0;"", ////"""),"'","""")&amp;SUBSTITUTE(TEXT(Overig!I217,""",""?00;"",""?-00;"",""?00;"", //"""),"'","""")&amp;SUBSTITUTE(TEXT(IF(ISTEXT(Overig!J217),Overig!J217,100*Overig!J217),""",""?????0;"",""????-0;"",""?????0;"", /////"""),"'","""")&amp;SUBSTITUTE(TEXT(Overig!K217,""",""?00;"",""?-00;"",""?00;"", //"""),"'","""")&amp;SUBSTITUTE(TEXT(IF(ISTEXT(Overig!L217),Overig!L217,10*Overig!L217),""",""????0;"",""???-0;"",""????0;"", ////"""),"'","""")&amp;SUBSTITUTE(TEXT(Overig!M217,""",""?00;"",""?-00;"",""?00;"", //"""),"'","""")&amp;SUBSTITUTE(TEXT(IF(ISTEXT(Overig!N217),Overig!N217,10*Overig!N217),""",""????0;"",""???-0;"",""????0;"", ////"""),"'","""")&amp;SUBSTITUTE(TEXT(Overig!O217,""",""?00;"",""?-00;"",""?00;"", //"""),"'","""")&amp;SUBSTITUTE(TEXT(IF(ISTEXT(Overig!P217),Overig!P217,10*Overig!P217),""",""????0;"",""???-0;"",""????0;"", ////"""),"'","""")&amp;SUBSTITUTE(TEXT(Overig!Q217,""",""?00;"",""?-00;"",""?00;"", //"""),"'","""")&amp;SUBSTITUTE(TEXT(IF(ISTEXT(Overig!R217),Overig!R217,10*Overig!R217),""",""????0;"",""???-0;"",""????0;"", ////"""),"'","""")&amp;SUBSTITUTE(TEXT(Overig!S217,""",""?00;"",""?-00;"",""?00;"", //"""),"'","""")&amp;SUBSTITUTE(TEXT(Overig!T217,""",""???0;"",""??-0;"",""???0;"", ///"""),"'","""")&amp;SUBSTITUTE(TEXT(Overig!U217,""",""?00;"",""?-00;"",""?00;"", //"""),"'","""")&amp;SUBSTITUTE(TEXT(IF(ISTEXT(Overig!V217),Overig!V217,10*Overig!V217),""",""???0;"",""??-0;"",""???0;"", ///"""),"'","""")&amp;SUBSTITUTE(TEXT(Overig!W217,""",""?00;"",""?-00;"",""?00;"", //"""),"'","""")&amp;SUBSTITUTE(TEXT(IF(ISTEXT(Overig!X217),Overig!X217,10*Overig!X217),""",""????0;"",""???-0;"",""????0;"", ////"""),"'","""")&amp;SUBSTITUTE(TEXT(Overig!Y217,""",""?00;"",""?-00;"",""?00;"", //"""),"'","""")&amp;SUBSTITUTE(TEXT(IF(ISTEXT(Overig!Z217),Overig!Z217,10*Overig!Z217),""",""????0;"",""???-0;"",""????0;"", ////"""),"'","""")&amp;SUBSTITUTE(TEXT(Overig!AA217,""",""?00;"",""?-00;"",""?00;"", //"""),"'","""")&amp;SUBSTITUTE(TEXT(Overig!AB217,""",""???0;"",""??-0;"",""???0;"", ///"""),"'","""")&amp;SUBSTITUTE(TEXT(Overig!AC217,""",""?00;"",""?-00;"",""?00;"", //"""),"'","""")&amp;SUBSTITUTE(TEXT(IF(ISTEXT(Overig!AD217),Overig!AD217,10*Overig!AD217),""",""????0;"",""???-0;"",""????0;"", ////"""),"'","""")&amp;SUBSTITUTE(TEXT(Overig!AE217,""",""?00;"",""?-00;"",""?00;"", //"""),"'","""")&amp;SUBSTITUTE(TEXT(IF(ISTEXT(Overig!AF217),Overig!AF217,10*Overig!AF217),""",""????0;"",""???-0;"",""????0;"", ////"""),"'","""")&amp;SUBSTITUTE(TEXT(Overig!AG217,""",""?00;"",""?-00;"",""?00;"", //"""),"'","""")&amp;SUBSTITUTE(TEXT(Overig!AH217,""",""???0;"",""??-0;"",""???0;"", ///"""),"'","""")&amp;SUBSTITUTE(TEXT(Overig!AI217,""",""?00;"",""?-00;"",""?00;"", //"""),"'","""")&amp;SUBSTITUTE(TEXT(Overig!AJ217,""",""??0;"",""?-0;"",""??0;"", //"""),"'","""")&amp;SUBSTITUTE(TEXT(Overig!AK217,""",""?00;"",""?-00;"",""?00;"", //"""),"'","""")&amp;SUBSTITUTE(IF(EXACT(Overig!AL217,"—"),TEXT(Overig!AL217,""",""????0;"",""???-0;"",""????0;"", ////////////,"""),TEXT(Overig!AL217,"\, \'@""',""")&amp;REPT(" ",10-LEN(Overig!AL217))),"'","""")&amp;SUBSTITUTE(TEXT(Overig!AM217,"?00;?-00;?00;"" //"""),"'","""")&amp;SUBSTITUTE(TEXT(Overig!AN217,""",""???0;"",""??-0;"",""???0;"", ///"""),"'","""")&amp;SUBSTITUTE(TEXT(Overig!AO217,""",""?00;"",""?-00;"",""?00;"", //"""),"'","""")</f>
        <v>78989, 19130804, 0800, ////, 07, /////, 07, ////, 07, /////, 07, ////, 07, ////, 07, ////, 07, ////, 07, ///, 07, ///, 07, ////, 07, ////, 07, ///, 07, ////, 07, ////, 07, ///, 07, //, 07, ////////////, 07, ///, 07</v>
      </c>
    </row>
    <row r="218" spans="1:1" x14ac:dyDescent="0.25">
      <c r="A218" s="75" t="str">
        <f ca="1">TEXT(Overig!A218,"000\,")&amp;TEXT(Overig!B218,"?00000000")&amp;TEXT(Overig!C218,""", ""0000")&amp;SUBSTITUTE(TEXT(IF(ISTEXT(Overig!D218),Overig!D218,10*Overig!D218),""",""????0;"",""???-0;"",""????0;"", ////"""),"'","""")&amp;SUBSTITUTE(TEXT(Overig!E218,""",""?00;"",""?-00;"",""?00;"", //"""),"'","""")&amp;SUBSTITUTE(TEXT(IF(ISTEXT(Overig!F218),Overig!F218,100*Overig!F218),""",""?????0;"",""????-0;"",""?????0;"", /////"""),"'","""")&amp;SUBSTITUTE(TEXT(Overig!G218,""",""?00;"",""?-00;"",""?00;"", //"""),"'","""")&amp;SUBSTITUTE(TEXT(IF(ISTEXT(Overig!H218),Overig!H218,100*Overig!H218),""",""????0;"",""???-0;"",""????0;"", ////"""),"'","""")&amp;SUBSTITUTE(TEXT(Overig!I218,""",""?00;"",""?-00;"",""?00;"", //"""),"'","""")&amp;SUBSTITUTE(TEXT(IF(ISTEXT(Overig!J218),Overig!J218,100*Overig!J218),""",""?????0;"",""????-0;"",""?????0;"", /////"""),"'","""")&amp;SUBSTITUTE(TEXT(Overig!K218,""",""?00;"",""?-00;"",""?00;"", //"""),"'","""")&amp;SUBSTITUTE(TEXT(IF(ISTEXT(Overig!L218),Overig!L218,10*Overig!L218),""",""????0;"",""???-0;"",""????0;"", ////"""),"'","""")&amp;SUBSTITUTE(TEXT(Overig!M218,""",""?00;"",""?-00;"",""?00;"", //"""),"'","""")&amp;SUBSTITUTE(TEXT(IF(ISTEXT(Overig!N218),Overig!N218,10*Overig!N218),""",""????0;"",""???-0;"",""????0;"", ////"""),"'","""")&amp;SUBSTITUTE(TEXT(Overig!O218,""",""?00;"",""?-00;"",""?00;"", //"""),"'","""")&amp;SUBSTITUTE(TEXT(IF(ISTEXT(Overig!P218),Overig!P218,10*Overig!P218),""",""????0;"",""???-0;"",""????0;"", ////"""),"'","""")&amp;SUBSTITUTE(TEXT(Overig!Q218,""",""?00;"",""?-00;"",""?00;"", //"""),"'","""")&amp;SUBSTITUTE(TEXT(IF(ISTEXT(Overig!R218),Overig!R218,10*Overig!R218),""",""????0;"",""???-0;"",""????0;"", ////"""),"'","""")&amp;SUBSTITUTE(TEXT(Overig!S218,""",""?00;"",""?-00;"",""?00;"", //"""),"'","""")&amp;SUBSTITUTE(TEXT(Overig!T218,""",""???0;"",""??-0;"",""???0;"", ///"""),"'","""")&amp;SUBSTITUTE(TEXT(Overig!U218,""",""?00;"",""?-00;"",""?00;"", //"""),"'","""")&amp;SUBSTITUTE(TEXT(IF(ISTEXT(Overig!V218),Overig!V218,10*Overig!V218),""",""???0;"",""??-0;"",""???0;"", ///"""),"'","""")&amp;SUBSTITUTE(TEXT(Overig!W218,""",""?00;"",""?-00;"",""?00;"", //"""),"'","""")&amp;SUBSTITUTE(TEXT(IF(ISTEXT(Overig!X218),Overig!X218,10*Overig!X218),""",""????0;"",""???-0;"",""????0;"", ////"""),"'","""")&amp;SUBSTITUTE(TEXT(Overig!Y218,""",""?00;"",""?-00;"",""?00;"", //"""),"'","""")&amp;SUBSTITUTE(TEXT(IF(ISTEXT(Overig!Z218),Overig!Z218,10*Overig!Z218),""",""????0;"",""???-0;"",""????0;"", ////"""),"'","""")&amp;SUBSTITUTE(TEXT(Overig!AA218,""",""?00;"",""?-00;"",""?00;"", //"""),"'","""")&amp;SUBSTITUTE(TEXT(Overig!AB218,""",""???0;"",""??-0;"",""???0;"", ///"""),"'","""")&amp;SUBSTITUTE(TEXT(Overig!AC218,""",""?00;"",""?-00;"",""?00;"", //"""),"'","""")&amp;SUBSTITUTE(TEXT(IF(ISTEXT(Overig!AD218),Overig!AD218,10*Overig!AD218),""",""????0;"",""???-0;"",""????0;"", ////"""),"'","""")&amp;SUBSTITUTE(TEXT(Overig!AE218,""",""?00;"",""?-00;"",""?00;"", //"""),"'","""")&amp;SUBSTITUTE(TEXT(IF(ISTEXT(Overig!AF218),Overig!AF218,10*Overig!AF218),""",""????0;"",""???-0;"",""????0;"", ////"""),"'","""")&amp;SUBSTITUTE(TEXT(Overig!AG218,""",""?00;"",""?-00;"",""?00;"", //"""),"'","""")&amp;SUBSTITUTE(TEXT(Overig!AH218,""",""???0;"",""??-0;"",""???0;"", ///"""),"'","""")&amp;SUBSTITUTE(TEXT(Overig!AI218,""",""?00;"",""?-00;"",""?00;"", //"""),"'","""")&amp;SUBSTITUTE(TEXT(Overig!AJ218,""",""??0;"",""?-0;"",""??0;"", //"""),"'","""")&amp;SUBSTITUTE(TEXT(Overig!AK218,""",""?00;"",""?-00;"",""?00;"", //"""),"'","""")&amp;SUBSTITUTE(IF(EXACT(Overig!AL218,"—"),TEXT(Overig!AL218,""",""????0;"",""???-0;"",""????0;"", ////////////,"""),TEXT(Overig!AL218,"\, \'@""',""")&amp;REPT(" ",10-LEN(Overig!AL218))),"'","""")&amp;SUBSTITUTE(TEXT(Overig!AM218,"?00;?-00;?00;"" //"""),"'","""")&amp;SUBSTITUTE(TEXT(Overig!AN218,""",""???0;"",""??-0;"",""???0;"", ///"""),"'","""")&amp;SUBSTITUTE(TEXT(Overig!AO218,""",""?00;"",""?-00;"",""?00;"", //"""),"'","""")</f>
        <v>78989, 19130805, 0800, ////, 07, /////, 07, ////, 07, /////, 07, 7605, 00, ////, 07, ////, 07, ////, 07, ///, 07, ///, 07, ////, 07, ////, 07,  90, 00, ////, 07, ////, 07, ///, 07, //, 07, ////////////, 07, ///, 07</v>
      </c>
    </row>
    <row r="219" spans="1:1" x14ac:dyDescent="0.25">
      <c r="A219" s="75" t="str">
        <f ca="1">TEXT(Overig!A219,"000\,")&amp;TEXT(Overig!B219,"?00000000")&amp;TEXT(Overig!C219,""", ""0000")&amp;SUBSTITUTE(TEXT(IF(ISTEXT(Overig!D219),Overig!D219,10*Overig!D219),""",""????0;"",""???-0;"",""????0;"", ////"""),"'","""")&amp;SUBSTITUTE(TEXT(Overig!E219,""",""?00;"",""?-00;"",""?00;"", //"""),"'","""")&amp;SUBSTITUTE(TEXT(IF(ISTEXT(Overig!F219),Overig!F219,100*Overig!F219),""",""?????0;"",""????-0;"",""?????0;"", /////"""),"'","""")&amp;SUBSTITUTE(TEXT(Overig!G219,""",""?00;"",""?-00;"",""?00;"", //"""),"'","""")&amp;SUBSTITUTE(TEXT(IF(ISTEXT(Overig!H219),Overig!H219,100*Overig!H219),""",""????0;"",""???-0;"",""????0;"", ////"""),"'","""")&amp;SUBSTITUTE(TEXT(Overig!I219,""",""?00;"",""?-00;"",""?00;"", //"""),"'","""")&amp;SUBSTITUTE(TEXT(IF(ISTEXT(Overig!J219),Overig!J219,100*Overig!J219),""",""?????0;"",""????-0;"",""?????0;"", /////"""),"'","""")&amp;SUBSTITUTE(TEXT(Overig!K219,""",""?00;"",""?-00;"",""?00;"", //"""),"'","""")&amp;SUBSTITUTE(TEXT(IF(ISTEXT(Overig!L219),Overig!L219,10*Overig!L219),""",""????0;"",""???-0;"",""????0;"", ////"""),"'","""")&amp;SUBSTITUTE(TEXT(Overig!M219,""",""?00;"",""?-00;"",""?00;"", //"""),"'","""")&amp;SUBSTITUTE(TEXT(IF(ISTEXT(Overig!N219),Overig!N219,10*Overig!N219),""",""????0;"",""???-0;"",""????0;"", ////"""),"'","""")&amp;SUBSTITUTE(TEXT(Overig!O219,""",""?00;"",""?-00;"",""?00;"", //"""),"'","""")&amp;SUBSTITUTE(TEXT(IF(ISTEXT(Overig!P219),Overig!P219,10*Overig!P219),""",""????0;"",""???-0;"",""????0;"", ////"""),"'","""")&amp;SUBSTITUTE(TEXT(Overig!Q219,""",""?00;"",""?-00;"",""?00;"", //"""),"'","""")&amp;SUBSTITUTE(TEXT(IF(ISTEXT(Overig!R219),Overig!R219,10*Overig!R219),""",""????0;"",""???-0;"",""????0;"", ////"""),"'","""")&amp;SUBSTITUTE(TEXT(Overig!S219,""",""?00;"",""?-00;"",""?00;"", //"""),"'","""")&amp;SUBSTITUTE(TEXT(Overig!T219,""",""???0;"",""??-0;"",""???0;"", ///"""),"'","""")&amp;SUBSTITUTE(TEXT(Overig!U219,""",""?00;"",""?-00;"",""?00;"", //"""),"'","""")&amp;SUBSTITUTE(TEXT(IF(ISTEXT(Overig!V219),Overig!V219,10*Overig!V219),""",""???0;"",""??-0;"",""???0;"", ///"""),"'","""")&amp;SUBSTITUTE(TEXT(Overig!W219,""",""?00;"",""?-00;"",""?00;"", //"""),"'","""")&amp;SUBSTITUTE(TEXT(IF(ISTEXT(Overig!X219),Overig!X219,10*Overig!X219),""",""????0;"",""???-0;"",""????0;"", ////"""),"'","""")&amp;SUBSTITUTE(TEXT(Overig!Y219,""",""?00;"",""?-00;"",""?00;"", //"""),"'","""")&amp;SUBSTITUTE(TEXT(IF(ISTEXT(Overig!Z219),Overig!Z219,10*Overig!Z219),""",""????0;"",""???-0;"",""????0;"", ////"""),"'","""")&amp;SUBSTITUTE(TEXT(Overig!AA219,""",""?00;"",""?-00;"",""?00;"", //"""),"'","""")&amp;SUBSTITUTE(TEXT(Overig!AB219,""",""???0;"",""??-0;"",""???0;"", ///"""),"'","""")&amp;SUBSTITUTE(TEXT(Overig!AC219,""",""?00;"",""?-00;"",""?00;"", //"""),"'","""")&amp;SUBSTITUTE(TEXT(IF(ISTEXT(Overig!AD219),Overig!AD219,10*Overig!AD219),""",""????0;"",""???-0;"",""????0;"", ////"""),"'","""")&amp;SUBSTITUTE(TEXT(Overig!AE219,""",""?00;"",""?-00;"",""?00;"", //"""),"'","""")&amp;SUBSTITUTE(TEXT(IF(ISTEXT(Overig!AF219),Overig!AF219,10*Overig!AF219),""",""????0;"",""???-0;"",""????0;"", ////"""),"'","""")&amp;SUBSTITUTE(TEXT(Overig!AG219,""",""?00;"",""?-00;"",""?00;"", //"""),"'","""")&amp;SUBSTITUTE(TEXT(Overig!AH219,""",""???0;"",""??-0;"",""???0;"", ///"""),"'","""")&amp;SUBSTITUTE(TEXT(Overig!AI219,""",""?00;"",""?-00;"",""?00;"", //"""),"'","""")&amp;SUBSTITUTE(TEXT(Overig!AJ219,""",""??0;"",""?-0;"",""??0;"", //"""),"'","""")&amp;SUBSTITUTE(TEXT(Overig!AK219,""",""?00;"",""?-00;"",""?00;"", //"""),"'","""")&amp;SUBSTITUTE(IF(EXACT(Overig!AL219,"—"),TEXT(Overig!AL219,""",""????0;"",""???-0;"",""????0;"", ////////////,"""),TEXT(Overig!AL219,"\, \'@""',""")&amp;REPT(" ",10-LEN(Overig!AL219))),"'","""")&amp;SUBSTITUTE(TEXT(Overig!AM219,"?00;?-00;?00;"" //"""),"'","""")&amp;SUBSTITUTE(TEXT(Overig!AN219,""",""???0;"",""??-0;"",""???0;"", ///"""),"'","""")&amp;SUBSTITUTE(TEXT(Overig!AO219,""",""?00;"",""?-00;"",""?00;"", //"""),"'","""")</f>
        <v>78989, 19130806, 0800, ////, 07, /////, 07, ////, 07, /////, 07, 7610, 00, ////, 07, ////, 07, ////, 07, ///, 07, ///, 07, ////, 07, ////, 07,  90, 00, ////, 07, ////, 07, ///, 07, //, 07, ////////////, 07, ///, 07</v>
      </c>
    </row>
    <row r="220" spans="1:1" x14ac:dyDescent="0.25">
      <c r="A220" s="75" t="str">
        <f ca="1">TEXT(Overig!A220,"000\,")&amp;TEXT(Overig!B220,"?00000000")&amp;TEXT(Overig!C220,""", ""0000")&amp;SUBSTITUTE(TEXT(IF(ISTEXT(Overig!D220),Overig!D220,10*Overig!D220),""",""????0;"",""???-0;"",""????0;"", ////"""),"'","""")&amp;SUBSTITUTE(TEXT(Overig!E220,""",""?00;"",""?-00;"",""?00;"", //"""),"'","""")&amp;SUBSTITUTE(TEXT(IF(ISTEXT(Overig!F220),Overig!F220,100*Overig!F220),""",""?????0;"",""????-0;"",""?????0;"", /////"""),"'","""")&amp;SUBSTITUTE(TEXT(Overig!G220,""",""?00;"",""?-00;"",""?00;"", //"""),"'","""")&amp;SUBSTITUTE(TEXT(IF(ISTEXT(Overig!H220),Overig!H220,100*Overig!H220),""",""????0;"",""???-0;"",""????0;"", ////"""),"'","""")&amp;SUBSTITUTE(TEXT(Overig!I220,""",""?00;"",""?-00;"",""?00;"", //"""),"'","""")&amp;SUBSTITUTE(TEXT(IF(ISTEXT(Overig!J220),Overig!J220,100*Overig!J220),""",""?????0;"",""????-0;"",""?????0;"", /////"""),"'","""")&amp;SUBSTITUTE(TEXT(Overig!K220,""",""?00;"",""?-00;"",""?00;"", //"""),"'","""")&amp;SUBSTITUTE(TEXT(IF(ISTEXT(Overig!L220),Overig!L220,10*Overig!L220),""",""????0;"",""???-0;"",""????0;"", ////"""),"'","""")&amp;SUBSTITUTE(TEXT(Overig!M220,""",""?00;"",""?-00;"",""?00;"", //"""),"'","""")&amp;SUBSTITUTE(TEXT(IF(ISTEXT(Overig!N220),Overig!N220,10*Overig!N220),""",""????0;"",""???-0;"",""????0;"", ////"""),"'","""")&amp;SUBSTITUTE(TEXT(Overig!O220,""",""?00;"",""?-00;"",""?00;"", //"""),"'","""")&amp;SUBSTITUTE(TEXT(IF(ISTEXT(Overig!P220),Overig!P220,10*Overig!P220),""",""????0;"",""???-0;"",""????0;"", ////"""),"'","""")&amp;SUBSTITUTE(TEXT(Overig!Q220,""",""?00;"",""?-00;"",""?00;"", //"""),"'","""")&amp;SUBSTITUTE(TEXT(IF(ISTEXT(Overig!R220),Overig!R220,10*Overig!R220),""",""????0;"",""???-0;"",""????0;"", ////"""),"'","""")&amp;SUBSTITUTE(TEXT(Overig!S220,""",""?00;"",""?-00;"",""?00;"", //"""),"'","""")&amp;SUBSTITUTE(TEXT(Overig!T220,""",""???0;"",""??-0;"",""???0;"", ///"""),"'","""")&amp;SUBSTITUTE(TEXT(Overig!U220,""",""?00;"",""?-00;"",""?00;"", //"""),"'","""")&amp;SUBSTITUTE(TEXT(IF(ISTEXT(Overig!V220),Overig!V220,10*Overig!V220),""",""???0;"",""??-0;"",""???0;"", ///"""),"'","""")&amp;SUBSTITUTE(TEXT(Overig!W220,""",""?00;"",""?-00;"",""?00;"", //"""),"'","""")&amp;SUBSTITUTE(TEXT(IF(ISTEXT(Overig!X220),Overig!X220,10*Overig!X220),""",""????0;"",""???-0;"",""????0;"", ////"""),"'","""")&amp;SUBSTITUTE(TEXT(Overig!Y220,""",""?00;"",""?-00;"",""?00;"", //"""),"'","""")&amp;SUBSTITUTE(TEXT(IF(ISTEXT(Overig!Z220),Overig!Z220,10*Overig!Z220),""",""????0;"",""???-0;"",""????0;"", ////"""),"'","""")&amp;SUBSTITUTE(TEXT(Overig!AA220,""",""?00;"",""?-00;"",""?00;"", //"""),"'","""")&amp;SUBSTITUTE(TEXT(Overig!AB220,""",""???0;"",""??-0;"",""???0;"", ///"""),"'","""")&amp;SUBSTITUTE(TEXT(Overig!AC220,""",""?00;"",""?-00;"",""?00;"", //"""),"'","""")&amp;SUBSTITUTE(TEXT(IF(ISTEXT(Overig!AD220),Overig!AD220,10*Overig!AD220),""",""????0;"",""???-0;"",""????0;"", ////"""),"'","""")&amp;SUBSTITUTE(TEXT(Overig!AE220,""",""?00;"",""?-00;"",""?00;"", //"""),"'","""")&amp;SUBSTITUTE(TEXT(IF(ISTEXT(Overig!AF220),Overig!AF220,10*Overig!AF220),""",""????0;"",""???-0;"",""????0;"", ////"""),"'","""")&amp;SUBSTITUTE(TEXT(Overig!AG220,""",""?00;"",""?-00;"",""?00;"", //"""),"'","""")&amp;SUBSTITUTE(TEXT(Overig!AH220,""",""???0;"",""??-0;"",""???0;"", ///"""),"'","""")&amp;SUBSTITUTE(TEXT(Overig!AI220,""",""?00;"",""?-00;"",""?00;"", //"""),"'","""")&amp;SUBSTITUTE(TEXT(Overig!AJ220,""",""??0;"",""?-0;"",""??0;"", //"""),"'","""")&amp;SUBSTITUTE(TEXT(Overig!AK220,""",""?00;"",""?-00;"",""?00;"", //"""),"'","""")&amp;SUBSTITUTE(IF(EXACT(Overig!AL220,"—"),TEXT(Overig!AL220,""",""????0;"",""???-0;"",""????0;"", ////////////,"""),TEXT(Overig!AL220,"\, \'@""',""")&amp;REPT(" ",10-LEN(Overig!AL220))),"'","""")&amp;SUBSTITUTE(TEXT(Overig!AM220,"?00;?-00;?00;"" //"""),"'","""")&amp;SUBSTITUTE(TEXT(Overig!AN220,""",""???0;"",""??-0;"",""???0;"", ///"""),"'","""")&amp;SUBSTITUTE(TEXT(Overig!AO220,""",""?00;"",""?-00;"",""?00;"", //"""),"'","""")</f>
        <v>78989, 19130807, 0800, ////, 07, /////, 07, ////, 07, /////, 07, 7605, 00, ////, 07, ////, 07, ////, 07, ///, 07, ///, 07, ////, 07, ////, 07, 135, 00, ////, 07, ////, 07, ///, 07, //, 07, ////////////, 07, ///, 07</v>
      </c>
    </row>
    <row r="221" spans="1:1" x14ac:dyDescent="0.25">
      <c r="A221" s="75" t="str">
        <f ca="1">TEXT(Overig!A221,"000\,")&amp;TEXT(Overig!B221,"?00000000")&amp;TEXT(Overig!C221,""", ""0000")&amp;SUBSTITUTE(TEXT(IF(ISTEXT(Overig!D221),Overig!D221,10*Overig!D221),""",""????0;"",""???-0;"",""????0;"", ////"""),"'","""")&amp;SUBSTITUTE(TEXT(Overig!E221,""",""?00;"",""?-00;"",""?00;"", //"""),"'","""")&amp;SUBSTITUTE(TEXT(IF(ISTEXT(Overig!F221),Overig!F221,100*Overig!F221),""",""?????0;"",""????-0;"",""?????0;"", /////"""),"'","""")&amp;SUBSTITUTE(TEXT(Overig!G221,""",""?00;"",""?-00;"",""?00;"", //"""),"'","""")&amp;SUBSTITUTE(TEXT(IF(ISTEXT(Overig!H221),Overig!H221,100*Overig!H221),""",""????0;"",""???-0;"",""????0;"", ////"""),"'","""")&amp;SUBSTITUTE(TEXT(Overig!I221,""",""?00;"",""?-00;"",""?00;"", //"""),"'","""")&amp;SUBSTITUTE(TEXT(IF(ISTEXT(Overig!J221),Overig!J221,100*Overig!J221),""",""?????0;"",""????-0;"",""?????0;"", /////"""),"'","""")&amp;SUBSTITUTE(TEXT(Overig!K221,""",""?00;"",""?-00;"",""?00;"", //"""),"'","""")&amp;SUBSTITUTE(TEXT(IF(ISTEXT(Overig!L221),Overig!L221,10*Overig!L221),""",""????0;"",""???-0;"",""????0;"", ////"""),"'","""")&amp;SUBSTITUTE(TEXT(Overig!M221,""",""?00;"",""?-00;"",""?00;"", //"""),"'","""")&amp;SUBSTITUTE(TEXT(IF(ISTEXT(Overig!N221),Overig!N221,10*Overig!N221),""",""????0;"",""???-0;"",""????0;"", ////"""),"'","""")&amp;SUBSTITUTE(TEXT(Overig!O221,""",""?00;"",""?-00;"",""?00;"", //"""),"'","""")&amp;SUBSTITUTE(TEXT(IF(ISTEXT(Overig!P221),Overig!P221,10*Overig!P221),""",""????0;"",""???-0;"",""????0;"", ////"""),"'","""")&amp;SUBSTITUTE(TEXT(Overig!Q221,""",""?00;"",""?-00;"",""?00;"", //"""),"'","""")&amp;SUBSTITUTE(TEXT(IF(ISTEXT(Overig!R221),Overig!R221,10*Overig!R221),""",""????0;"",""???-0;"",""????0;"", ////"""),"'","""")&amp;SUBSTITUTE(TEXT(Overig!S221,""",""?00;"",""?-00;"",""?00;"", //"""),"'","""")&amp;SUBSTITUTE(TEXT(Overig!T221,""",""???0;"",""??-0;"",""???0;"", ///"""),"'","""")&amp;SUBSTITUTE(TEXT(Overig!U221,""",""?00;"",""?-00;"",""?00;"", //"""),"'","""")&amp;SUBSTITUTE(TEXT(IF(ISTEXT(Overig!V221),Overig!V221,10*Overig!V221),""",""???0;"",""??-0;"",""???0;"", ///"""),"'","""")&amp;SUBSTITUTE(TEXT(Overig!W221,""",""?00;"",""?-00;"",""?00;"", //"""),"'","""")&amp;SUBSTITUTE(TEXT(IF(ISTEXT(Overig!X221),Overig!X221,10*Overig!X221),""",""????0;"",""???-0;"",""????0;"", ////"""),"'","""")&amp;SUBSTITUTE(TEXT(Overig!Y221,""",""?00;"",""?-00;"",""?00;"", //"""),"'","""")&amp;SUBSTITUTE(TEXT(IF(ISTEXT(Overig!Z221),Overig!Z221,10*Overig!Z221),""",""????0;"",""???-0;"",""????0;"", ////"""),"'","""")&amp;SUBSTITUTE(TEXT(Overig!AA221,""",""?00;"",""?-00;"",""?00;"", //"""),"'","""")&amp;SUBSTITUTE(TEXT(Overig!AB221,""",""???0;"",""??-0;"",""???0;"", ///"""),"'","""")&amp;SUBSTITUTE(TEXT(Overig!AC221,""",""?00;"",""?-00;"",""?00;"", //"""),"'","""")&amp;SUBSTITUTE(TEXT(IF(ISTEXT(Overig!AD221),Overig!AD221,10*Overig!AD221),""",""????0;"",""???-0;"",""????0;"", ////"""),"'","""")&amp;SUBSTITUTE(TEXT(Overig!AE221,""",""?00;"",""?-00;"",""?00;"", //"""),"'","""")&amp;SUBSTITUTE(TEXT(IF(ISTEXT(Overig!AF221),Overig!AF221,10*Overig!AF221),""",""????0;"",""???-0;"",""????0;"", ////"""),"'","""")&amp;SUBSTITUTE(TEXT(Overig!AG221,""",""?00;"",""?-00;"",""?00;"", //"""),"'","""")&amp;SUBSTITUTE(TEXT(Overig!AH221,""",""???0;"",""??-0;"",""???0;"", ///"""),"'","""")&amp;SUBSTITUTE(TEXT(Overig!AI221,""",""?00;"",""?-00;"",""?00;"", //"""),"'","""")&amp;SUBSTITUTE(TEXT(Overig!AJ221,""",""??0;"",""?-0;"",""??0;"", //"""),"'","""")&amp;SUBSTITUTE(TEXT(Overig!AK221,""",""?00;"",""?-00;"",""?00;"", //"""),"'","""")&amp;SUBSTITUTE(IF(EXACT(Overig!AL221,"—"),TEXT(Overig!AL221,""",""????0;"",""???-0;"",""????0;"", ////////////,"""),TEXT(Overig!AL221,"\, \'@""',""")&amp;REPT(" ",10-LEN(Overig!AL221))),"'","""")&amp;SUBSTITUTE(TEXT(Overig!AM221,"?00;?-00;?00;"" //"""),"'","""")&amp;SUBSTITUTE(TEXT(Overig!AN221,""",""???0;"",""??-0;"",""???0;"", ///"""),"'","""")&amp;SUBSTITUTE(TEXT(Overig!AO221,""",""?00;"",""?-00;"",""?00;"", //"""),"'","""")</f>
        <v>78989, 19130808, 0800, ////, 07, /////, 07, ////, 07, /////, 07, ////, 07, ////, 07, ////, 07, ////, 07, ///, 07, ///, 07, ////, 07, ////, 07, ///, 07, ////, 07, ////, 07, ///, 07, //, 07, ////////////, 07, ///, 07</v>
      </c>
    </row>
    <row r="222" spans="1:1" x14ac:dyDescent="0.25">
      <c r="A222" s="75" t="str">
        <f ca="1">TEXT(Overig!A222,"000\,")&amp;TEXT(Overig!B222,"?00000000")&amp;TEXT(Overig!C222,""", ""0000")&amp;SUBSTITUTE(TEXT(IF(ISTEXT(Overig!D222),Overig!D222,10*Overig!D222),""",""????0;"",""???-0;"",""????0;"", ////"""),"'","""")&amp;SUBSTITUTE(TEXT(Overig!E222,""",""?00;"",""?-00;"",""?00;"", //"""),"'","""")&amp;SUBSTITUTE(TEXT(IF(ISTEXT(Overig!F222),Overig!F222,100*Overig!F222),""",""?????0;"",""????-0;"",""?????0;"", /////"""),"'","""")&amp;SUBSTITUTE(TEXT(Overig!G222,""",""?00;"",""?-00;"",""?00;"", //"""),"'","""")&amp;SUBSTITUTE(TEXT(IF(ISTEXT(Overig!H222),Overig!H222,100*Overig!H222),""",""????0;"",""???-0;"",""????0;"", ////"""),"'","""")&amp;SUBSTITUTE(TEXT(Overig!I222,""",""?00;"",""?-00;"",""?00;"", //"""),"'","""")&amp;SUBSTITUTE(TEXT(IF(ISTEXT(Overig!J222),Overig!J222,100*Overig!J222),""",""?????0;"",""????-0;"",""?????0;"", /////"""),"'","""")&amp;SUBSTITUTE(TEXT(Overig!K222,""",""?00;"",""?-00;"",""?00;"", //"""),"'","""")&amp;SUBSTITUTE(TEXT(IF(ISTEXT(Overig!L222),Overig!L222,10*Overig!L222),""",""????0;"",""???-0;"",""????0;"", ////"""),"'","""")&amp;SUBSTITUTE(TEXT(Overig!M222,""",""?00;"",""?-00;"",""?00;"", //"""),"'","""")&amp;SUBSTITUTE(TEXT(IF(ISTEXT(Overig!N222),Overig!N222,10*Overig!N222),""",""????0;"",""???-0;"",""????0;"", ////"""),"'","""")&amp;SUBSTITUTE(TEXT(Overig!O222,""",""?00;"",""?-00;"",""?00;"", //"""),"'","""")&amp;SUBSTITUTE(TEXT(IF(ISTEXT(Overig!P222),Overig!P222,10*Overig!P222),""",""????0;"",""???-0;"",""????0;"", ////"""),"'","""")&amp;SUBSTITUTE(TEXT(Overig!Q222,""",""?00;"",""?-00;"",""?00;"", //"""),"'","""")&amp;SUBSTITUTE(TEXT(IF(ISTEXT(Overig!R222),Overig!R222,10*Overig!R222),""",""????0;"",""???-0;"",""????0;"", ////"""),"'","""")&amp;SUBSTITUTE(TEXT(Overig!S222,""",""?00;"",""?-00;"",""?00;"", //"""),"'","""")&amp;SUBSTITUTE(TEXT(Overig!T222,""",""???0;"",""??-0;"",""???0;"", ///"""),"'","""")&amp;SUBSTITUTE(TEXT(Overig!U222,""",""?00;"",""?-00;"",""?00;"", //"""),"'","""")&amp;SUBSTITUTE(TEXT(IF(ISTEXT(Overig!V222),Overig!V222,10*Overig!V222),""",""???0;"",""??-0;"",""???0;"", ///"""),"'","""")&amp;SUBSTITUTE(TEXT(Overig!W222,""",""?00;"",""?-00;"",""?00;"", //"""),"'","""")&amp;SUBSTITUTE(TEXT(IF(ISTEXT(Overig!X222),Overig!X222,10*Overig!X222),""",""????0;"",""???-0;"",""????0;"", ////"""),"'","""")&amp;SUBSTITUTE(TEXT(Overig!Y222,""",""?00;"",""?-00;"",""?00;"", //"""),"'","""")&amp;SUBSTITUTE(TEXT(IF(ISTEXT(Overig!Z222),Overig!Z222,10*Overig!Z222),""",""????0;"",""???-0;"",""????0;"", ////"""),"'","""")&amp;SUBSTITUTE(TEXT(Overig!AA222,""",""?00;"",""?-00;"",""?00;"", //"""),"'","""")&amp;SUBSTITUTE(TEXT(Overig!AB222,""",""???0;"",""??-0;"",""???0;"", ///"""),"'","""")&amp;SUBSTITUTE(TEXT(Overig!AC222,""",""?00;"",""?-00;"",""?00;"", //"""),"'","""")&amp;SUBSTITUTE(TEXT(IF(ISTEXT(Overig!AD222),Overig!AD222,10*Overig!AD222),""",""????0;"",""???-0;"",""????0;"", ////"""),"'","""")&amp;SUBSTITUTE(TEXT(Overig!AE222,""",""?00;"",""?-00;"",""?00;"", //"""),"'","""")&amp;SUBSTITUTE(TEXT(IF(ISTEXT(Overig!AF222),Overig!AF222,10*Overig!AF222),""",""????0;"",""???-0;"",""????0;"", ////"""),"'","""")&amp;SUBSTITUTE(TEXT(Overig!AG222,""",""?00;"",""?-00;"",""?00;"", //"""),"'","""")&amp;SUBSTITUTE(TEXT(Overig!AH222,""",""???0;"",""??-0;"",""???0;"", ///"""),"'","""")&amp;SUBSTITUTE(TEXT(Overig!AI222,""",""?00;"",""?-00;"",""?00;"", //"""),"'","""")&amp;SUBSTITUTE(TEXT(Overig!AJ222,""",""??0;"",""?-0;"",""??0;"", //"""),"'","""")&amp;SUBSTITUTE(TEXT(Overig!AK222,""",""?00;"",""?-00;"",""?00;"", //"""),"'","""")&amp;SUBSTITUTE(IF(EXACT(Overig!AL222,"—"),TEXT(Overig!AL222,""",""????0;"",""???-0;"",""????0;"", ////////////,"""),TEXT(Overig!AL222,"\, \'@""',""")&amp;REPT(" ",10-LEN(Overig!AL222))),"'","""")&amp;SUBSTITUTE(TEXT(Overig!AM222,"?00;?-00;?00;"" //"""),"'","""")&amp;SUBSTITUTE(TEXT(Overig!AN222,""",""???0;"",""??-0;"",""???0;"", ///"""),"'","""")&amp;SUBSTITUTE(TEXT(Overig!AO222,""",""?00;"",""?-00;"",""?00;"", //"""),"'","""")</f>
        <v>78989, 19130809, 0800, ////, 07, /////, 07, ////, 07, /////, 07, 7595, 00, ////, 07, ////, 07, ////, 07, ///, 07, ///, 07, ////, 07, ////, 07,  90, 00, ////, 07, ////, 07, ///, 07, //, 07, ////////////, 07, ///, 07</v>
      </c>
    </row>
    <row r="223" spans="1:1" x14ac:dyDescent="0.25">
      <c r="A223" s="75" t="str">
        <f ca="1">TEXT(Overig!A223,"000\,")&amp;TEXT(Overig!B223,"?00000000")&amp;TEXT(Overig!C223,""", ""0000")&amp;SUBSTITUTE(TEXT(IF(ISTEXT(Overig!D223),Overig!D223,10*Overig!D223),""",""????0;"",""???-0;"",""????0;"", ////"""),"'","""")&amp;SUBSTITUTE(TEXT(Overig!E223,""",""?00;"",""?-00;"",""?00;"", //"""),"'","""")&amp;SUBSTITUTE(TEXT(IF(ISTEXT(Overig!F223),Overig!F223,100*Overig!F223),""",""?????0;"",""????-0;"",""?????0;"", /////"""),"'","""")&amp;SUBSTITUTE(TEXT(Overig!G223,""",""?00;"",""?-00;"",""?00;"", //"""),"'","""")&amp;SUBSTITUTE(TEXT(IF(ISTEXT(Overig!H223),Overig!H223,100*Overig!H223),""",""????0;"",""???-0;"",""????0;"", ////"""),"'","""")&amp;SUBSTITUTE(TEXT(Overig!I223,""",""?00;"",""?-00;"",""?00;"", //"""),"'","""")&amp;SUBSTITUTE(TEXT(IF(ISTEXT(Overig!J223),Overig!J223,100*Overig!J223),""",""?????0;"",""????-0;"",""?????0;"", /////"""),"'","""")&amp;SUBSTITUTE(TEXT(Overig!K223,""",""?00;"",""?-00;"",""?00;"", //"""),"'","""")&amp;SUBSTITUTE(TEXT(IF(ISTEXT(Overig!L223),Overig!L223,10*Overig!L223),""",""????0;"",""???-0;"",""????0;"", ////"""),"'","""")&amp;SUBSTITUTE(TEXT(Overig!M223,""",""?00;"",""?-00;"",""?00;"", //"""),"'","""")&amp;SUBSTITUTE(TEXT(IF(ISTEXT(Overig!N223),Overig!N223,10*Overig!N223),""",""????0;"",""???-0;"",""????0;"", ////"""),"'","""")&amp;SUBSTITUTE(TEXT(Overig!O223,""",""?00;"",""?-00;"",""?00;"", //"""),"'","""")&amp;SUBSTITUTE(TEXT(IF(ISTEXT(Overig!P223),Overig!P223,10*Overig!P223),""",""????0;"",""???-0;"",""????0;"", ////"""),"'","""")&amp;SUBSTITUTE(TEXT(Overig!Q223,""",""?00;"",""?-00;"",""?00;"", //"""),"'","""")&amp;SUBSTITUTE(TEXT(IF(ISTEXT(Overig!R223),Overig!R223,10*Overig!R223),""",""????0;"",""???-0;"",""????0;"", ////"""),"'","""")&amp;SUBSTITUTE(TEXT(Overig!S223,""",""?00;"",""?-00;"",""?00;"", //"""),"'","""")&amp;SUBSTITUTE(TEXT(Overig!T223,""",""???0;"",""??-0;"",""???0;"", ///"""),"'","""")&amp;SUBSTITUTE(TEXT(Overig!U223,""",""?00;"",""?-00;"",""?00;"", //"""),"'","""")&amp;SUBSTITUTE(TEXT(IF(ISTEXT(Overig!V223),Overig!V223,10*Overig!V223),""",""???0;"",""??-0;"",""???0;"", ///"""),"'","""")&amp;SUBSTITUTE(TEXT(Overig!W223,""",""?00;"",""?-00;"",""?00;"", //"""),"'","""")&amp;SUBSTITUTE(TEXT(IF(ISTEXT(Overig!X223),Overig!X223,10*Overig!X223),""",""????0;"",""???-0;"",""????0;"", ////"""),"'","""")&amp;SUBSTITUTE(TEXT(Overig!Y223,""",""?00;"",""?-00;"",""?00;"", //"""),"'","""")&amp;SUBSTITUTE(TEXT(IF(ISTEXT(Overig!Z223),Overig!Z223,10*Overig!Z223),""",""????0;"",""???-0;"",""????0;"", ////"""),"'","""")&amp;SUBSTITUTE(TEXT(Overig!AA223,""",""?00;"",""?-00;"",""?00;"", //"""),"'","""")&amp;SUBSTITUTE(TEXT(Overig!AB223,""",""???0;"",""??-0;"",""???0;"", ///"""),"'","""")&amp;SUBSTITUTE(TEXT(Overig!AC223,""",""?00;"",""?-00;"",""?00;"", //"""),"'","""")&amp;SUBSTITUTE(TEXT(IF(ISTEXT(Overig!AD223),Overig!AD223,10*Overig!AD223),""",""????0;"",""???-0;"",""????0;"", ////"""),"'","""")&amp;SUBSTITUTE(TEXT(Overig!AE223,""",""?00;"",""?-00;"",""?00;"", //"""),"'","""")&amp;SUBSTITUTE(TEXT(IF(ISTEXT(Overig!AF223),Overig!AF223,10*Overig!AF223),""",""????0;"",""???-0;"",""????0;"", ////"""),"'","""")&amp;SUBSTITUTE(TEXT(Overig!AG223,""",""?00;"",""?-00;"",""?00;"", //"""),"'","""")&amp;SUBSTITUTE(TEXT(Overig!AH223,""",""???0;"",""??-0;"",""???0;"", ///"""),"'","""")&amp;SUBSTITUTE(TEXT(Overig!AI223,""",""?00;"",""?-00;"",""?00;"", //"""),"'","""")&amp;SUBSTITUTE(TEXT(Overig!AJ223,""",""??0;"",""?-0;"",""??0;"", //"""),"'","""")&amp;SUBSTITUTE(TEXT(Overig!AK223,""",""?00;"",""?-00;"",""?00;"", //"""),"'","""")&amp;SUBSTITUTE(IF(EXACT(Overig!AL223,"—"),TEXT(Overig!AL223,""",""????0;"",""???-0;"",""????0;"", ////////////,"""),TEXT(Overig!AL223,"\, \'@""',""")&amp;REPT(" ",10-LEN(Overig!AL223))),"'","""")&amp;SUBSTITUTE(TEXT(Overig!AM223,"?00;?-00;?00;"" //"""),"'","""")&amp;SUBSTITUTE(TEXT(Overig!AN223,""",""???0;"",""??-0;"",""???0;"", ///"""),"'","""")&amp;SUBSTITUTE(TEXT(Overig!AO223,""",""?00;"",""?-00;"",""?00;"", //"""),"'","""")</f>
        <v>78989, 19130810, 0800, ////, 07, /////, 07, ////, 07, /////, 07, 7605, 00, ////, 07, ////, 07, ////, 07, ///, 07, ///, 07, ////, 07, ////, 07,  90, 00, ////, 07, ////, 07, ///, 07, //, 07, ////////////, 07, ///, 07</v>
      </c>
    </row>
    <row r="224" spans="1:1" x14ac:dyDescent="0.25">
      <c r="A224" s="75" t="str">
        <f ca="1">TEXT(Overig!A224,"000\,")&amp;TEXT(Overig!B224,"?00000000")&amp;TEXT(Overig!C224,""", ""0000")&amp;SUBSTITUTE(TEXT(IF(ISTEXT(Overig!D224),Overig!D224,10*Overig!D224),""",""????0;"",""???-0;"",""????0;"", ////"""),"'","""")&amp;SUBSTITUTE(TEXT(Overig!E224,""",""?00;"",""?-00;"",""?00;"", //"""),"'","""")&amp;SUBSTITUTE(TEXT(IF(ISTEXT(Overig!F224),Overig!F224,100*Overig!F224),""",""?????0;"",""????-0;"",""?????0;"", /////"""),"'","""")&amp;SUBSTITUTE(TEXT(Overig!G224,""",""?00;"",""?-00;"",""?00;"", //"""),"'","""")&amp;SUBSTITUTE(TEXT(IF(ISTEXT(Overig!H224),Overig!H224,100*Overig!H224),""",""????0;"",""???-0;"",""????0;"", ////"""),"'","""")&amp;SUBSTITUTE(TEXT(Overig!I224,""",""?00;"",""?-00;"",""?00;"", //"""),"'","""")&amp;SUBSTITUTE(TEXT(IF(ISTEXT(Overig!J224),Overig!J224,100*Overig!J224),""",""?????0;"",""????-0;"",""?????0;"", /////"""),"'","""")&amp;SUBSTITUTE(TEXT(Overig!K224,""",""?00;"",""?-00;"",""?00;"", //"""),"'","""")&amp;SUBSTITUTE(TEXT(IF(ISTEXT(Overig!L224),Overig!L224,10*Overig!L224),""",""????0;"",""???-0;"",""????0;"", ////"""),"'","""")&amp;SUBSTITUTE(TEXT(Overig!M224,""",""?00;"",""?-00;"",""?00;"", //"""),"'","""")&amp;SUBSTITUTE(TEXT(IF(ISTEXT(Overig!N224),Overig!N224,10*Overig!N224),""",""????0;"",""???-0;"",""????0;"", ////"""),"'","""")&amp;SUBSTITUTE(TEXT(Overig!O224,""",""?00;"",""?-00;"",""?00;"", //"""),"'","""")&amp;SUBSTITUTE(TEXT(IF(ISTEXT(Overig!P224),Overig!P224,10*Overig!P224),""",""????0;"",""???-0;"",""????0;"", ////"""),"'","""")&amp;SUBSTITUTE(TEXT(Overig!Q224,""",""?00;"",""?-00;"",""?00;"", //"""),"'","""")&amp;SUBSTITUTE(TEXT(IF(ISTEXT(Overig!R224),Overig!R224,10*Overig!R224),""",""????0;"",""???-0;"",""????0;"", ////"""),"'","""")&amp;SUBSTITUTE(TEXT(Overig!S224,""",""?00;"",""?-00;"",""?00;"", //"""),"'","""")&amp;SUBSTITUTE(TEXT(Overig!T224,""",""???0;"",""??-0;"",""???0;"", ///"""),"'","""")&amp;SUBSTITUTE(TEXT(Overig!U224,""",""?00;"",""?-00;"",""?00;"", //"""),"'","""")&amp;SUBSTITUTE(TEXT(IF(ISTEXT(Overig!V224),Overig!V224,10*Overig!V224),""",""???0;"",""??-0;"",""???0;"", ///"""),"'","""")&amp;SUBSTITUTE(TEXT(Overig!W224,""",""?00;"",""?-00;"",""?00;"", //"""),"'","""")&amp;SUBSTITUTE(TEXT(IF(ISTEXT(Overig!X224),Overig!X224,10*Overig!X224),""",""????0;"",""???-0;"",""????0;"", ////"""),"'","""")&amp;SUBSTITUTE(TEXT(Overig!Y224,""",""?00;"",""?-00;"",""?00;"", //"""),"'","""")&amp;SUBSTITUTE(TEXT(IF(ISTEXT(Overig!Z224),Overig!Z224,10*Overig!Z224),""",""????0;"",""???-0;"",""????0;"", ////"""),"'","""")&amp;SUBSTITUTE(TEXT(Overig!AA224,""",""?00;"",""?-00;"",""?00;"", //"""),"'","""")&amp;SUBSTITUTE(TEXT(Overig!AB224,""",""???0;"",""??-0;"",""???0;"", ///"""),"'","""")&amp;SUBSTITUTE(TEXT(Overig!AC224,""",""?00;"",""?-00;"",""?00;"", //"""),"'","""")&amp;SUBSTITUTE(TEXT(IF(ISTEXT(Overig!AD224),Overig!AD224,10*Overig!AD224),""",""????0;"",""???-0;"",""????0;"", ////"""),"'","""")&amp;SUBSTITUTE(TEXT(Overig!AE224,""",""?00;"",""?-00;"",""?00;"", //"""),"'","""")&amp;SUBSTITUTE(TEXT(IF(ISTEXT(Overig!AF224),Overig!AF224,10*Overig!AF224),""",""????0;"",""???-0;"",""????0;"", ////"""),"'","""")&amp;SUBSTITUTE(TEXT(Overig!AG224,""",""?00;"",""?-00;"",""?00;"", //"""),"'","""")&amp;SUBSTITUTE(TEXT(Overig!AH224,""",""???0;"",""??-0;"",""???0;"", ///"""),"'","""")&amp;SUBSTITUTE(TEXT(Overig!AI224,""",""?00;"",""?-00;"",""?00;"", //"""),"'","""")&amp;SUBSTITUTE(TEXT(Overig!AJ224,""",""??0;"",""?-0;"",""??0;"", //"""),"'","""")&amp;SUBSTITUTE(TEXT(Overig!AK224,""",""?00;"",""?-00;"",""?00;"", //"""),"'","""")&amp;SUBSTITUTE(IF(EXACT(Overig!AL224,"—"),TEXT(Overig!AL224,""",""????0;"",""???-0;"",""????0;"", ////////////,"""),TEXT(Overig!AL224,"\, \'@""',""")&amp;REPT(" ",10-LEN(Overig!AL224))),"'","""")&amp;SUBSTITUTE(TEXT(Overig!AM224,"?00;?-00;?00;"" //"""),"'","""")&amp;SUBSTITUTE(TEXT(Overig!AN224,""",""???0;"",""??-0;"",""???0;"", ///"""),"'","""")&amp;SUBSTITUTE(TEXT(Overig!AO224,""",""?00;"",""?-00;"",""?00;"", //"""),"'","""")</f>
        <v>78989, 19130811, 0800, ////, 07, /////, 07, ////, 07, /////, 07, 7610, 00, ////, 07, ////, 07, ////, 07, ///, 07, ///, 07, ////, 07, ////, 07,  90, 00, ////, 07, ////, 07, ///, 07, //, 07, ////////////, 07, ///, 07</v>
      </c>
    </row>
    <row r="225" spans="1:1" x14ac:dyDescent="0.25">
      <c r="A225" s="75" t="str">
        <f ca="1">TEXT(Overig!A225,"000\,")&amp;TEXT(Overig!B225,"?00000000")&amp;TEXT(Overig!C225,""", ""0000")&amp;SUBSTITUTE(TEXT(IF(ISTEXT(Overig!D225),Overig!D225,10*Overig!D225),""",""????0;"",""???-0;"",""????0;"", ////"""),"'","""")&amp;SUBSTITUTE(TEXT(Overig!E225,""",""?00;"",""?-00;"",""?00;"", //"""),"'","""")&amp;SUBSTITUTE(TEXT(IF(ISTEXT(Overig!F225),Overig!F225,100*Overig!F225),""",""?????0;"",""????-0;"",""?????0;"", /////"""),"'","""")&amp;SUBSTITUTE(TEXT(Overig!G225,""",""?00;"",""?-00;"",""?00;"", //"""),"'","""")&amp;SUBSTITUTE(TEXT(IF(ISTEXT(Overig!H225),Overig!H225,100*Overig!H225),""",""????0;"",""???-0;"",""????0;"", ////"""),"'","""")&amp;SUBSTITUTE(TEXT(Overig!I225,""",""?00;"",""?-00;"",""?00;"", //"""),"'","""")&amp;SUBSTITUTE(TEXT(IF(ISTEXT(Overig!J225),Overig!J225,100*Overig!J225),""",""?????0;"",""????-0;"",""?????0;"", /////"""),"'","""")&amp;SUBSTITUTE(TEXT(Overig!K225,""",""?00;"",""?-00;"",""?00;"", //"""),"'","""")&amp;SUBSTITUTE(TEXT(IF(ISTEXT(Overig!L225),Overig!L225,10*Overig!L225),""",""????0;"",""???-0;"",""????0;"", ////"""),"'","""")&amp;SUBSTITUTE(TEXT(Overig!M225,""",""?00;"",""?-00;"",""?00;"", //"""),"'","""")&amp;SUBSTITUTE(TEXT(IF(ISTEXT(Overig!N225),Overig!N225,10*Overig!N225),""",""????0;"",""???-0;"",""????0;"", ////"""),"'","""")&amp;SUBSTITUTE(TEXT(Overig!O225,""",""?00;"",""?-00;"",""?00;"", //"""),"'","""")&amp;SUBSTITUTE(TEXT(IF(ISTEXT(Overig!P225),Overig!P225,10*Overig!P225),""",""????0;"",""???-0;"",""????0;"", ////"""),"'","""")&amp;SUBSTITUTE(TEXT(Overig!Q225,""",""?00;"",""?-00;"",""?00;"", //"""),"'","""")&amp;SUBSTITUTE(TEXT(IF(ISTEXT(Overig!R225),Overig!R225,10*Overig!R225),""",""????0;"",""???-0;"",""????0;"", ////"""),"'","""")&amp;SUBSTITUTE(TEXT(Overig!S225,""",""?00;"",""?-00;"",""?00;"", //"""),"'","""")&amp;SUBSTITUTE(TEXT(Overig!T225,""",""???0;"",""??-0;"",""???0;"", ///"""),"'","""")&amp;SUBSTITUTE(TEXT(Overig!U225,""",""?00;"",""?-00;"",""?00;"", //"""),"'","""")&amp;SUBSTITUTE(TEXT(IF(ISTEXT(Overig!V225),Overig!V225,10*Overig!V225),""",""???0;"",""??-0;"",""???0;"", ///"""),"'","""")&amp;SUBSTITUTE(TEXT(Overig!W225,""",""?00;"",""?-00;"",""?00;"", //"""),"'","""")&amp;SUBSTITUTE(TEXT(IF(ISTEXT(Overig!X225),Overig!X225,10*Overig!X225),""",""????0;"",""???-0;"",""????0;"", ////"""),"'","""")&amp;SUBSTITUTE(TEXT(Overig!Y225,""",""?00;"",""?-00;"",""?00;"", //"""),"'","""")&amp;SUBSTITUTE(TEXT(IF(ISTEXT(Overig!Z225),Overig!Z225,10*Overig!Z225),""",""????0;"",""???-0;"",""????0;"", ////"""),"'","""")&amp;SUBSTITUTE(TEXT(Overig!AA225,""",""?00;"",""?-00;"",""?00;"", //"""),"'","""")&amp;SUBSTITUTE(TEXT(Overig!AB225,""",""???0;"",""??-0;"",""???0;"", ///"""),"'","""")&amp;SUBSTITUTE(TEXT(Overig!AC225,""",""?00;"",""?-00;"",""?00;"", //"""),"'","""")&amp;SUBSTITUTE(TEXT(IF(ISTEXT(Overig!AD225),Overig!AD225,10*Overig!AD225),""",""????0;"",""???-0;"",""????0;"", ////"""),"'","""")&amp;SUBSTITUTE(TEXT(Overig!AE225,""",""?00;"",""?-00;"",""?00;"", //"""),"'","""")&amp;SUBSTITUTE(TEXT(IF(ISTEXT(Overig!AF225),Overig!AF225,10*Overig!AF225),""",""????0;"",""???-0;"",""????0;"", ////"""),"'","""")&amp;SUBSTITUTE(TEXT(Overig!AG225,""",""?00;"",""?-00;"",""?00;"", //"""),"'","""")&amp;SUBSTITUTE(TEXT(Overig!AH225,""",""???0;"",""??-0;"",""???0;"", ///"""),"'","""")&amp;SUBSTITUTE(TEXT(Overig!AI225,""",""?00;"",""?-00;"",""?00;"", //"""),"'","""")&amp;SUBSTITUTE(TEXT(Overig!AJ225,""",""??0;"",""?-0;"",""??0;"", //"""),"'","""")&amp;SUBSTITUTE(TEXT(Overig!AK225,""",""?00;"",""?-00;"",""?00;"", //"""),"'","""")&amp;SUBSTITUTE(IF(EXACT(Overig!AL225,"—"),TEXT(Overig!AL225,""",""????0;"",""???-0;"",""????0;"", ////////////,"""),TEXT(Overig!AL225,"\, \'@""',""")&amp;REPT(" ",10-LEN(Overig!AL225))),"'","""")&amp;SUBSTITUTE(TEXT(Overig!AM225,"?00;?-00;?00;"" //"""),"'","""")&amp;SUBSTITUTE(TEXT(Overig!AN225,""",""???0;"",""??-0;"",""???0;"", ///"""),"'","""")&amp;SUBSTITUTE(TEXT(Overig!AO225,""",""?00;"",""?-00;"",""?00;"", //"""),"'","""")</f>
        <v>78989, 19130812, 0800, ////, 07, /////, 07, ////, 07, /////, 07, 7615, 00, ////, 07, ////, 07, ////, 07, ///, 07, ///, 07, ////, 07, ////, 07,  90, 00, ////, 07, ////, 07, ///, 07, //, 07, ////////////, 07, ///, 07</v>
      </c>
    </row>
    <row r="226" spans="1:1" x14ac:dyDescent="0.25">
      <c r="A226" s="75" t="str">
        <f ca="1">TEXT(Overig!A226,"000\,")&amp;TEXT(Overig!B226,"?00000000")&amp;TEXT(Overig!C226,""", ""0000")&amp;SUBSTITUTE(TEXT(IF(ISTEXT(Overig!D226),Overig!D226,10*Overig!D226),""",""????0;"",""???-0;"",""????0;"", ////"""),"'","""")&amp;SUBSTITUTE(TEXT(Overig!E226,""",""?00;"",""?-00;"",""?00;"", //"""),"'","""")&amp;SUBSTITUTE(TEXT(IF(ISTEXT(Overig!F226),Overig!F226,100*Overig!F226),""",""?????0;"",""????-0;"",""?????0;"", /////"""),"'","""")&amp;SUBSTITUTE(TEXT(Overig!G226,""",""?00;"",""?-00;"",""?00;"", //"""),"'","""")&amp;SUBSTITUTE(TEXT(IF(ISTEXT(Overig!H226),Overig!H226,100*Overig!H226),""",""????0;"",""???-0;"",""????0;"", ////"""),"'","""")&amp;SUBSTITUTE(TEXT(Overig!I226,""",""?00;"",""?-00;"",""?00;"", //"""),"'","""")&amp;SUBSTITUTE(TEXT(IF(ISTEXT(Overig!J226),Overig!J226,100*Overig!J226),""",""?????0;"",""????-0;"",""?????0;"", /////"""),"'","""")&amp;SUBSTITUTE(TEXT(Overig!K226,""",""?00;"",""?-00;"",""?00;"", //"""),"'","""")&amp;SUBSTITUTE(TEXT(IF(ISTEXT(Overig!L226),Overig!L226,10*Overig!L226),""",""????0;"",""???-0;"",""????0;"", ////"""),"'","""")&amp;SUBSTITUTE(TEXT(Overig!M226,""",""?00;"",""?-00;"",""?00;"", //"""),"'","""")&amp;SUBSTITUTE(TEXT(IF(ISTEXT(Overig!N226),Overig!N226,10*Overig!N226),""",""????0;"",""???-0;"",""????0;"", ////"""),"'","""")&amp;SUBSTITUTE(TEXT(Overig!O226,""",""?00;"",""?-00;"",""?00;"", //"""),"'","""")&amp;SUBSTITUTE(TEXT(IF(ISTEXT(Overig!P226),Overig!P226,10*Overig!P226),""",""????0;"",""???-0;"",""????0;"", ////"""),"'","""")&amp;SUBSTITUTE(TEXT(Overig!Q226,""",""?00;"",""?-00;"",""?00;"", //"""),"'","""")&amp;SUBSTITUTE(TEXT(IF(ISTEXT(Overig!R226),Overig!R226,10*Overig!R226),""",""????0;"",""???-0;"",""????0;"", ////"""),"'","""")&amp;SUBSTITUTE(TEXT(Overig!S226,""",""?00;"",""?-00;"",""?00;"", //"""),"'","""")&amp;SUBSTITUTE(TEXT(Overig!T226,""",""???0;"",""??-0;"",""???0;"", ///"""),"'","""")&amp;SUBSTITUTE(TEXT(Overig!U226,""",""?00;"",""?-00;"",""?00;"", //"""),"'","""")&amp;SUBSTITUTE(TEXT(IF(ISTEXT(Overig!V226),Overig!V226,10*Overig!V226),""",""???0;"",""??-0;"",""???0;"", ///"""),"'","""")&amp;SUBSTITUTE(TEXT(Overig!W226,""",""?00;"",""?-00;"",""?00;"", //"""),"'","""")&amp;SUBSTITUTE(TEXT(IF(ISTEXT(Overig!X226),Overig!X226,10*Overig!X226),""",""????0;"",""???-0;"",""????0;"", ////"""),"'","""")&amp;SUBSTITUTE(TEXT(Overig!Y226,""",""?00;"",""?-00;"",""?00;"", //"""),"'","""")&amp;SUBSTITUTE(TEXT(IF(ISTEXT(Overig!Z226),Overig!Z226,10*Overig!Z226),""",""????0;"",""???-0;"",""????0;"", ////"""),"'","""")&amp;SUBSTITUTE(TEXT(Overig!AA226,""",""?00;"",""?-00;"",""?00;"", //"""),"'","""")&amp;SUBSTITUTE(TEXT(Overig!AB226,""",""???0;"",""??-0;"",""???0;"", ///"""),"'","""")&amp;SUBSTITUTE(TEXT(Overig!AC226,""",""?00;"",""?-00;"",""?00;"", //"""),"'","""")&amp;SUBSTITUTE(TEXT(IF(ISTEXT(Overig!AD226),Overig!AD226,10*Overig!AD226),""",""????0;"",""???-0;"",""????0;"", ////"""),"'","""")&amp;SUBSTITUTE(TEXT(Overig!AE226,""",""?00;"",""?-00;"",""?00;"", //"""),"'","""")&amp;SUBSTITUTE(TEXT(IF(ISTEXT(Overig!AF226),Overig!AF226,10*Overig!AF226),""",""????0;"",""???-0;"",""????0;"", ////"""),"'","""")&amp;SUBSTITUTE(TEXT(Overig!AG226,""",""?00;"",""?-00;"",""?00;"", //"""),"'","""")&amp;SUBSTITUTE(TEXT(Overig!AH226,""",""???0;"",""??-0;"",""???0;"", ///"""),"'","""")&amp;SUBSTITUTE(TEXT(Overig!AI226,""",""?00;"",""?-00;"",""?00;"", //"""),"'","""")&amp;SUBSTITUTE(TEXT(Overig!AJ226,""",""??0;"",""?-0;"",""??0;"", //"""),"'","""")&amp;SUBSTITUTE(TEXT(Overig!AK226,""",""?00;"",""?-00;"",""?00;"", //"""),"'","""")&amp;SUBSTITUTE(IF(EXACT(Overig!AL226,"—"),TEXT(Overig!AL226,""",""????0;"",""???-0;"",""????0;"", ////////////,"""),TEXT(Overig!AL226,"\, \'@""',""")&amp;REPT(" ",10-LEN(Overig!AL226))),"'","""")&amp;SUBSTITUTE(TEXT(Overig!AM226,"?00;?-00;?00;"" //"""),"'","""")&amp;SUBSTITUTE(TEXT(Overig!AN226,""",""???0;"",""??-0;"",""???0;"", ///"""),"'","""")&amp;SUBSTITUTE(TEXT(Overig!AO226,""",""?00;"",""?-00;"",""?00;"", //"""),"'","""")</f>
        <v>78989, 19130813, 0800, ////, 07, /////, 07, ////, 07, /////, 07, 7620, 00, ////, 07, ////, 07, ////, 07, ///, 07, ///, 07, ////, 07, ////, 07, 135, 00, ////, 07, ////, 07, ///, 07, //, 07, ////////////, 07, ///, 07</v>
      </c>
    </row>
    <row r="227" spans="1:1" x14ac:dyDescent="0.25">
      <c r="A227" s="75" t="str">
        <f ca="1">TEXT(Overig!A227,"000\,")&amp;TEXT(Overig!B227,"?00000000")&amp;TEXT(Overig!C227,""", ""0000")&amp;SUBSTITUTE(TEXT(IF(ISTEXT(Overig!D227),Overig!D227,10*Overig!D227),""",""????0;"",""???-0;"",""????0;"", ////"""),"'","""")&amp;SUBSTITUTE(TEXT(Overig!E227,""",""?00;"",""?-00;"",""?00;"", //"""),"'","""")&amp;SUBSTITUTE(TEXT(IF(ISTEXT(Overig!F227),Overig!F227,100*Overig!F227),""",""?????0;"",""????-0;"",""?????0;"", /////"""),"'","""")&amp;SUBSTITUTE(TEXT(Overig!G227,""",""?00;"",""?-00;"",""?00;"", //"""),"'","""")&amp;SUBSTITUTE(TEXT(IF(ISTEXT(Overig!H227),Overig!H227,100*Overig!H227),""",""????0;"",""???-0;"",""????0;"", ////"""),"'","""")&amp;SUBSTITUTE(TEXT(Overig!I227,""",""?00;"",""?-00;"",""?00;"", //"""),"'","""")&amp;SUBSTITUTE(TEXT(IF(ISTEXT(Overig!J227),Overig!J227,100*Overig!J227),""",""?????0;"",""????-0;"",""?????0;"", /////"""),"'","""")&amp;SUBSTITUTE(TEXT(Overig!K227,""",""?00;"",""?-00;"",""?00;"", //"""),"'","""")&amp;SUBSTITUTE(TEXT(IF(ISTEXT(Overig!L227),Overig!L227,10*Overig!L227),""",""????0;"",""???-0;"",""????0;"", ////"""),"'","""")&amp;SUBSTITUTE(TEXT(Overig!M227,""",""?00;"",""?-00;"",""?00;"", //"""),"'","""")&amp;SUBSTITUTE(TEXT(IF(ISTEXT(Overig!N227),Overig!N227,10*Overig!N227),""",""????0;"",""???-0;"",""????0;"", ////"""),"'","""")&amp;SUBSTITUTE(TEXT(Overig!O227,""",""?00;"",""?-00;"",""?00;"", //"""),"'","""")&amp;SUBSTITUTE(TEXT(IF(ISTEXT(Overig!P227),Overig!P227,10*Overig!P227),""",""????0;"",""???-0;"",""????0;"", ////"""),"'","""")&amp;SUBSTITUTE(TEXT(Overig!Q227,""",""?00;"",""?-00;"",""?00;"", //"""),"'","""")&amp;SUBSTITUTE(TEXT(IF(ISTEXT(Overig!R227),Overig!R227,10*Overig!R227),""",""????0;"",""???-0;"",""????0;"", ////"""),"'","""")&amp;SUBSTITUTE(TEXT(Overig!S227,""",""?00;"",""?-00;"",""?00;"", //"""),"'","""")&amp;SUBSTITUTE(TEXT(Overig!T227,""",""???0;"",""??-0;"",""???0;"", ///"""),"'","""")&amp;SUBSTITUTE(TEXT(Overig!U227,""",""?00;"",""?-00;"",""?00;"", //"""),"'","""")&amp;SUBSTITUTE(TEXT(IF(ISTEXT(Overig!V227),Overig!V227,10*Overig!V227),""",""???0;"",""??-0;"",""???0;"", ///"""),"'","""")&amp;SUBSTITUTE(TEXT(Overig!W227,""",""?00;"",""?-00;"",""?00;"", //"""),"'","""")&amp;SUBSTITUTE(TEXT(IF(ISTEXT(Overig!X227),Overig!X227,10*Overig!X227),""",""????0;"",""???-0;"",""????0;"", ////"""),"'","""")&amp;SUBSTITUTE(TEXT(Overig!Y227,""",""?00;"",""?-00;"",""?00;"", //"""),"'","""")&amp;SUBSTITUTE(TEXT(IF(ISTEXT(Overig!Z227),Overig!Z227,10*Overig!Z227),""",""????0;"",""???-0;"",""????0;"", ////"""),"'","""")&amp;SUBSTITUTE(TEXT(Overig!AA227,""",""?00;"",""?-00;"",""?00;"", //"""),"'","""")&amp;SUBSTITUTE(TEXT(Overig!AB227,""",""???0;"",""??-0;"",""???0;"", ///"""),"'","""")&amp;SUBSTITUTE(TEXT(Overig!AC227,""",""?00;"",""?-00;"",""?00;"", //"""),"'","""")&amp;SUBSTITUTE(TEXT(IF(ISTEXT(Overig!AD227),Overig!AD227,10*Overig!AD227),""",""????0;"",""???-0;"",""????0;"", ////"""),"'","""")&amp;SUBSTITUTE(TEXT(Overig!AE227,""",""?00;"",""?-00;"",""?00;"", //"""),"'","""")&amp;SUBSTITUTE(TEXT(IF(ISTEXT(Overig!AF227),Overig!AF227,10*Overig!AF227),""",""????0;"",""???-0;"",""????0;"", ////"""),"'","""")&amp;SUBSTITUTE(TEXT(Overig!AG227,""",""?00;"",""?-00;"",""?00;"", //"""),"'","""")&amp;SUBSTITUTE(TEXT(Overig!AH227,""",""???0;"",""??-0;"",""???0;"", ///"""),"'","""")&amp;SUBSTITUTE(TEXT(Overig!AI227,""",""?00;"",""?-00;"",""?00;"", //"""),"'","""")&amp;SUBSTITUTE(TEXT(Overig!AJ227,""",""??0;"",""?-0;"",""??0;"", //"""),"'","""")&amp;SUBSTITUTE(TEXT(Overig!AK227,""",""?00;"",""?-00;"",""?00;"", //"""),"'","""")&amp;SUBSTITUTE(IF(EXACT(Overig!AL227,"—"),TEXT(Overig!AL227,""",""????0;"",""???-0;"",""????0;"", ////////////,"""),TEXT(Overig!AL227,"\, \'@""',""")&amp;REPT(" ",10-LEN(Overig!AL227))),"'","""")&amp;SUBSTITUTE(TEXT(Overig!AM227,"?00;?-00;?00;"" //"""),"'","""")&amp;SUBSTITUTE(TEXT(Overig!AN227,""",""???0;"",""??-0;"",""???0;"", ///"""),"'","""")&amp;SUBSTITUTE(TEXT(Overig!AO227,""",""?00;"",""?-00;"",""?00;"", //"""),"'","""")</f>
        <v>78989, 19130814, 0800, ////, 07, /////, 07, ////, 07, /////, 07, 7615, 00, ////, 07, ////, 07, ////, 07, ///, 07, ///, 07, ////, 07, ////, 07,  90, 00, ////, 07, ////, 07, ///, 07, //, 07, ////////////, 07, ///, 07</v>
      </c>
    </row>
    <row r="228" spans="1:1" x14ac:dyDescent="0.25">
      <c r="A228" s="75" t="str">
        <f ca="1">TEXT(Overig!A228,"000\,")&amp;TEXT(Overig!B228,"?00000000")&amp;TEXT(Overig!C228,""", ""0000")&amp;SUBSTITUTE(TEXT(IF(ISTEXT(Overig!D228),Overig!D228,10*Overig!D228),""",""????0;"",""???-0;"",""????0;"", ////"""),"'","""")&amp;SUBSTITUTE(TEXT(Overig!E228,""",""?00;"",""?-00;"",""?00;"", //"""),"'","""")&amp;SUBSTITUTE(TEXT(IF(ISTEXT(Overig!F228),Overig!F228,100*Overig!F228),""",""?????0;"",""????-0;"",""?????0;"", /////"""),"'","""")&amp;SUBSTITUTE(TEXT(Overig!G228,""",""?00;"",""?-00;"",""?00;"", //"""),"'","""")&amp;SUBSTITUTE(TEXT(IF(ISTEXT(Overig!H228),Overig!H228,100*Overig!H228),""",""????0;"",""???-0;"",""????0;"", ////"""),"'","""")&amp;SUBSTITUTE(TEXT(Overig!I228,""",""?00;"",""?-00;"",""?00;"", //"""),"'","""")&amp;SUBSTITUTE(TEXT(IF(ISTEXT(Overig!J228),Overig!J228,100*Overig!J228),""",""?????0;"",""????-0;"",""?????0;"", /////"""),"'","""")&amp;SUBSTITUTE(TEXT(Overig!K228,""",""?00;"",""?-00;"",""?00;"", //"""),"'","""")&amp;SUBSTITUTE(TEXT(IF(ISTEXT(Overig!L228),Overig!L228,10*Overig!L228),""",""????0;"",""???-0;"",""????0;"", ////"""),"'","""")&amp;SUBSTITUTE(TEXT(Overig!M228,""",""?00;"",""?-00;"",""?00;"", //"""),"'","""")&amp;SUBSTITUTE(TEXT(IF(ISTEXT(Overig!N228),Overig!N228,10*Overig!N228),""",""????0;"",""???-0;"",""????0;"", ////"""),"'","""")&amp;SUBSTITUTE(TEXT(Overig!O228,""",""?00;"",""?-00;"",""?00;"", //"""),"'","""")&amp;SUBSTITUTE(TEXT(IF(ISTEXT(Overig!P228),Overig!P228,10*Overig!P228),""",""????0;"",""???-0;"",""????0;"", ////"""),"'","""")&amp;SUBSTITUTE(TEXT(Overig!Q228,""",""?00;"",""?-00;"",""?00;"", //"""),"'","""")&amp;SUBSTITUTE(TEXT(IF(ISTEXT(Overig!R228),Overig!R228,10*Overig!R228),""",""????0;"",""???-0;"",""????0;"", ////"""),"'","""")&amp;SUBSTITUTE(TEXT(Overig!S228,""",""?00;"",""?-00;"",""?00;"", //"""),"'","""")&amp;SUBSTITUTE(TEXT(Overig!T228,""",""???0;"",""??-0;"",""???0;"", ///"""),"'","""")&amp;SUBSTITUTE(TEXT(Overig!U228,""",""?00;"",""?-00;"",""?00;"", //"""),"'","""")&amp;SUBSTITUTE(TEXT(IF(ISTEXT(Overig!V228),Overig!V228,10*Overig!V228),""",""???0;"",""??-0;"",""???0;"", ///"""),"'","""")&amp;SUBSTITUTE(TEXT(Overig!W228,""",""?00;"",""?-00;"",""?00;"", //"""),"'","""")&amp;SUBSTITUTE(TEXT(IF(ISTEXT(Overig!X228),Overig!X228,10*Overig!X228),""",""????0;"",""???-0;"",""????0;"", ////"""),"'","""")&amp;SUBSTITUTE(TEXT(Overig!Y228,""",""?00;"",""?-00;"",""?00;"", //"""),"'","""")&amp;SUBSTITUTE(TEXT(IF(ISTEXT(Overig!Z228),Overig!Z228,10*Overig!Z228),""",""????0;"",""???-0;"",""????0;"", ////"""),"'","""")&amp;SUBSTITUTE(TEXT(Overig!AA228,""",""?00;"",""?-00;"",""?00;"", //"""),"'","""")&amp;SUBSTITUTE(TEXT(Overig!AB228,""",""???0;"",""??-0;"",""???0;"", ///"""),"'","""")&amp;SUBSTITUTE(TEXT(Overig!AC228,""",""?00;"",""?-00;"",""?00;"", //"""),"'","""")&amp;SUBSTITUTE(TEXT(IF(ISTEXT(Overig!AD228),Overig!AD228,10*Overig!AD228),""",""????0;"",""???-0;"",""????0;"", ////"""),"'","""")&amp;SUBSTITUTE(TEXT(Overig!AE228,""",""?00;"",""?-00;"",""?00;"", //"""),"'","""")&amp;SUBSTITUTE(TEXT(IF(ISTEXT(Overig!AF228),Overig!AF228,10*Overig!AF228),""",""????0;"",""???-0;"",""????0;"", ////"""),"'","""")&amp;SUBSTITUTE(TEXT(Overig!AG228,""",""?00;"",""?-00;"",""?00;"", //"""),"'","""")&amp;SUBSTITUTE(TEXT(Overig!AH228,""",""???0;"",""??-0;"",""???0;"", ///"""),"'","""")&amp;SUBSTITUTE(TEXT(Overig!AI228,""",""?00;"",""?-00;"",""?00;"", //"""),"'","""")&amp;SUBSTITUTE(TEXT(Overig!AJ228,""",""??0;"",""?-0;"",""??0;"", //"""),"'","""")&amp;SUBSTITUTE(TEXT(Overig!AK228,""",""?00;"",""?-00;"",""?00;"", //"""),"'","""")&amp;SUBSTITUTE(IF(EXACT(Overig!AL228,"—"),TEXT(Overig!AL228,""",""????0;"",""???-0;"",""????0;"", ////////////,"""),TEXT(Overig!AL228,"\, \'@""',""")&amp;REPT(" ",10-LEN(Overig!AL228))),"'","""")&amp;SUBSTITUTE(TEXT(Overig!AM228,"?00;?-00;?00;"" //"""),"'","""")&amp;SUBSTITUTE(TEXT(Overig!AN228,""",""???0;"",""??-0;"",""???0;"", ///"""),"'","""")&amp;SUBSTITUTE(TEXT(Overig!AO228,""",""?00;"",""?-00;"",""?00;"", //"""),"'","""")</f>
        <v>78989, 19130815, 0800, ////, 07, /////, 07, ////, 07, /////, 07, 7590, 00, ////, 07, ////, 07, ////, 07, ///, 07, ///, 07, ////, 07, ////, 07,  90, 00, ////, 07, ////, 07, ///, 07, //, 07, ////////////, 07, ///, 07</v>
      </c>
    </row>
    <row r="229" spans="1:1" x14ac:dyDescent="0.25">
      <c r="A229" s="75" t="str">
        <f ca="1">TEXT(Overig!A229,"000\,")&amp;TEXT(Overig!B229,"?00000000")&amp;TEXT(Overig!C229,""", ""0000")&amp;SUBSTITUTE(TEXT(IF(ISTEXT(Overig!D229),Overig!D229,10*Overig!D229),""",""????0;"",""???-0;"",""????0;"", ////"""),"'","""")&amp;SUBSTITUTE(TEXT(Overig!E229,""",""?00;"",""?-00;"",""?00;"", //"""),"'","""")&amp;SUBSTITUTE(TEXT(IF(ISTEXT(Overig!F229),Overig!F229,100*Overig!F229),""",""?????0;"",""????-0;"",""?????0;"", /////"""),"'","""")&amp;SUBSTITUTE(TEXT(Overig!G229,""",""?00;"",""?-00;"",""?00;"", //"""),"'","""")&amp;SUBSTITUTE(TEXT(IF(ISTEXT(Overig!H229),Overig!H229,100*Overig!H229),""",""????0;"",""???-0;"",""????0;"", ////"""),"'","""")&amp;SUBSTITUTE(TEXT(Overig!I229,""",""?00;"",""?-00;"",""?00;"", //"""),"'","""")&amp;SUBSTITUTE(TEXT(IF(ISTEXT(Overig!J229),Overig!J229,100*Overig!J229),""",""?????0;"",""????-0;"",""?????0;"", /////"""),"'","""")&amp;SUBSTITUTE(TEXT(Overig!K229,""",""?00;"",""?-00;"",""?00;"", //"""),"'","""")&amp;SUBSTITUTE(TEXT(IF(ISTEXT(Overig!L229),Overig!L229,10*Overig!L229),""",""????0;"",""???-0;"",""????0;"", ////"""),"'","""")&amp;SUBSTITUTE(TEXT(Overig!M229,""",""?00;"",""?-00;"",""?00;"", //"""),"'","""")&amp;SUBSTITUTE(TEXT(IF(ISTEXT(Overig!N229),Overig!N229,10*Overig!N229),""",""????0;"",""???-0;"",""????0;"", ////"""),"'","""")&amp;SUBSTITUTE(TEXT(Overig!O229,""",""?00;"",""?-00;"",""?00;"", //"""),"'","""")&amp;SUBSTITUTE(TEXT(IF(ISTEXT(Overig!P229),Overig!P229,10*Overig!P229),""",""????0;"",""???-0;"",""????0;"", ////"""),"'","""")&amp;SUBSTITUTE(TEXT(Overig!Q229,""",""?00;"",""?-00;"",""?00;"", //"""),"'","""")&amp;SUBSTITUTE(TEXT(IF(ISTEXT(Overig!R229),Overig!R229,10*Overig!R229),""",""????0;"",""???-0;"",""????0;"", ////"""),"'","""")&amp;SUBSTITUTE(TEXT(Overig!S229,""",""?00;"",""?-00;"",""?00;"", //"""),"'","""")&amp;SUBSTITUTE(TEXT(Overig!T229,""",""???0;"",""??-0;"",""???0;"", ///"""),"'","""")&amp;SUBSTITUTE(TEXT(Overig!U229,""",""?00;"",""?-00;"",""?00;"", //"""),"'","""")&amp;SUBSTITUTE(TEXT(IF(ISTEXT(Overig!V229),Overig!V229,10*Overig!V229),""",""???0;"",""??-0;"",""???0;"", ///"""),"'","""")&amp;SUBSTITUTE(TEXT(Overig!W229,""",""?00;"",""?-00;"",""?00;"", //"""),"'","""")&amp;SUBSTITUTE(TEXT(IF(ISTEXT(Overig!X229),Overig!X229,10*Overig!X229),""",""????0;"",""???-0;"",""????0;"", ////"""),"'","""")&amp;SUBSTITUTE(TEXT(Overig!Y229,""",""?00;"",""?-00;"",""?00;"", //"""),"'","""")&amp;SUBSTITUTE(TEXT(IF(ISTEXT(Overig!Z229),Overig!Z229,10*Overig!Z229),""",""????0;"",""???-0;"",""????0;"", ////"""),"'","""")&amp;SUBSTITUTE(TEXT(Overig!AA229,""",""?00;"",""?-00;"",""?00;"", //"""),"'","""")&amp;SUBSTITUTE(TEXT(Overig!AB229,""",""???0;"",""??-0;"",""???0;"", ///"""),"'","""")&amp;SUBSTITUTE(TEXT(Overig!AC229,""",""?00;"",""?-00;"",""?00;"", //"""),"'","""")&amp;SUBSTITUTE(TEXT(IF(ISTEXT(Overig!AD229),Overig!AD229,10*Overig!AD229),""",""????0;"",""???-0;"",""????0;"", ////"""),"'","""")&amp;SUBSTITUTE(TEXT(Overig!AE229,""",""?00;"",""?-00;"",""?00;"", //"""),"'","""")&amp;SUBSTITUTE(TEXT(IF(ISTEXT(Overig!AF229),Overig!AF229,10*Overig!AF229),""",""????0;"",""???-0;"",""????0;"", ////"""),"'","""")&amp;SUBSTITUTE(TEXT(Overig!AG229,""",""?00;"",""?-00;"",""?00;"", //"""),"'","""")&amp;SUBSTITUTE(TEXT(Overig!AH229,""",""???0;"",""??-0;"",""???0;"", ///"""),"'","""")&amp;SUBSTITUTE(TEXT(Overig!AI229,""",""?00;"",""?-00;"",""?00;"", //"""),"'","""")&amp;SUBSTITUTE(TEXT(Overig!AJ229,""",""??0;"",""?-0;"",""??0;"", //"""),"'","""")&amp;SUBSTITUTE(TEXT(Overig!AK229,""",""?00;"",""?-00;"",""?00;"", //"""),"'","""")&amp;SUBSTITUTE(IF(EXACT(Overig!AL229,"—"),TEXT(Overig!AL229,""",""????0;"",""???-0;"",""????0;"", ////////////,"""),TEXT(Overig!AL229,"\, \'@""',""")&amp;REPT(" ",10-LEN(Overig!AL229))),"'","""")&amp;SUBSTITUTE(TEXT(Overig!AM229,"?00;?-00;?00;"" //"""),"'","""")&amp;SUBSTITUTE(TEXT(Overig!AN229,""",""???0;"",""??-0;"",""???0;"", ///"""),"'","""")&amp;SUBSTITUTE(TEXT(Overig!AO229,""",""?00;"",""?-00;"",""?00;"", //"""),"'","""")</f>
        <v>78989, 19130816, 0800, ////, 07, /////, 07, ////, 07, /////, 07, 7584, 00, ////, 07, ////, 07, ////, 07, ///, 07, ///, 07, ////, 07, ////, 07,  90, 00, ////, 07, ////, 07, ///, 07, //, 07, ////////////, 07, ///, 07</v>
      </c>
    </row>
    <row r="230" spans="1:1" x14ac:dyDescent="0.25">
      <c r="A230" s="75" t="str">
        <f ca="1">TEXT(Overig!A230,"000\,")&amp;TEXT(Overig!B230,"?00000000")&amp;TEXT(Overig!C230,""", ""0000")&amp;SUBSTITUTE(TEXT(IF(ISTEXT(Overig!D230),Overig!D230,10*Overig!D230),""",""????0;"",""???-0;"",""????0;"", ////"""),"'","""")&amp;SUBSTITUTE(TEXT(Overig!E230,""",""?00;"",""?-00;"",""?00;"", //"""),"'","""")&amp;SUBSTITUTE(TEXT(IF(ISTEXT(Overig!F230),Overig!F230,100*Overig!F230),""",""?????0;"",""????-0;"",""?????0;"", /////"""),"'","""")&amp;SUBSTITUTE(TEXT(Overig!G230,""",""?00;"",""?-00;"",""?00;"", //"""),"'","""")&amp;SUBSTITUTE(TEXT(IF(ISTEXT(Overig!H230),Overig!H230,100*Overig!H230),""",""????0;"",""???-0;"",""????0;"", ////"""),"'","""")&amp;SUBSTITUTE(TEXT(Overig!I230,""",""?00;"",""?-00;"",""?00;"", //"""),"'","""")&amp;SUBSTITUTE(TEXT(IF(ISTEXT(Overig!J230),Overig!J230,100*Overig!J230),""",""?????0;"",""????-0;"",""?????0;"", /////"""),"'","""")&amp;SUBSTITUTE(TEXT(Overig!K230,""",""?00;"",""?-00;"",""?00;"", //"""),"'","""")&amp;SUBSTITUTE(TEXT(IF(ISTEXT(Overig!L230),Overig!L230,10*Overig!L230),""",""????0;"",""???-0;"",""????0;"", ////"""),"'","""")&amp;SUBSTITUTE(TEXT(Overig!M230,""",""?00;"",""?-00;"",""?00;"", //"""),"'","""")&amp;SUBSTITUTE(TEXT(IF(ISTEXT(Overig!N230),Overig!N230,10*Overig!N230),""",""????0;"",""???-0;"",""????0;"", ////"""),"'","""")&amp;SUBSTITUTE(TEXT(Overig!O230,""",""?00;"",""?-00;"",""?00;"", //"""),"'","""")&amp;SUBSTITUTE(TEXT(IF(ISTEXT(Overig!P230),Overig!P230,10*Overig!P230),""",""????0;"",""???-0;"",""????0;"", ////"""),"'","""")&amp;SUBSTITUTE(TEXT(Overig!Q230,""",""?00;"",""?-00;"",""?00;"", //"""),"'","""")&amp;SUBSTITUTE(TEXT(IF(ISTEXT(Overig!R230),Overig!R230,10*Overig!R230),""",""????0;"",""???-0;"",""????0;"", ////"""),"'","""")&amp;SUBSTITUTE(TEXT(Overig!S230,""",""?00;"",""?-00;"",""?00;"", //"""),"'","""")&amp;SUBSTITUTE(TEXT(Overig!T230,""",""???0;"",""??-0;"",""???0;"", ///"""),"'","""")&amp;SUBSTITUTE(TEXT(Overig!U230,""",""?00;"",""?-00;"",""?00;"", //"""),"'","""")&amp;SUBSTITUTE(TEXT(IF(ISTEXT(Overig!V230),Overig!V230,10*Overig!V230),""",""???0;"",""??-0;"",""???0;"", ///"""),"'","""")&amp;SUBSTITUTE(TEXT(Overig!W230,""",""?00;"",""?-00;"",""?00;"", //"""),"'","""")&amp;SUBSTITUTE(TEXT(IF(ISTEXT(Overig!X230),Overig!X230,10*Overig!X230),""",""????0;"",""???-0;"",""????0;"", ////"""),"'","""")&amp;SUBSTITUTE(TEXT(Overig!Y230,""",""?00;"",""?-00;"",""?00;"", //"""),"'","""")&amp;SUBSTITUTE(TEXT(IF(ISTEXT(Overig!Z230),Overig!Z230,10*Overig!Z230),""",""????0;"",""???-0;"",""????0;"", ////"""),"'","""")&amp;SUBSTITUTE(TEXT(Overig!AA230,""",""?00;"",""?-00;"",""?00;"", //"""),"'","""")&amp;SUBSTITUTE(TEXT(Overig!AB230,""",""???0;"",""??-0;"",""???0;"", ///"""),"'","""")&amp;SUBSTITUTE(TEXT(Overig!AC230,""",""?00;"",""?-00;"",""?00;"", //"""),"'","""")&amp;SUBSTITUTE(TEXT(IF(ISTEXT(Overig!AD230),Overig!AD230,10*Overig!AD230),""",""????0;"",""???-0;"",""????0;"", ////"""),"'","""")&amp;SUBSTITUTE(TEXT(Overig!AE230,""",""?00;"",""?-00;"",""?00;"", //"""),"'","""")&amp;SUBSTITUTE(TEXT(IF(ISTEXT(Overig!AF230),Overig!AF230,10*Overig!AF230),""",""????0;"",""???-0;"",""????0;"", ////"""),"'","""")&amp;SUBSTITUTE(TEXT(Overig!AG230,""",""?00;"",""?-00;"",""?00;"", //"""),"'","""")&amp;SUBSTITUTE(TEXT(Overig!AH230,""",""???0;"",""??-0;"",""???0;"", ///"""),"'","""")&amp;SUBSTITUTE(TEXT(Overig!AI230,""",""?00;"",""?-00;"",""?00;"", //"""),"'","""")&amp;SUBSTITUTE(TEXT(Overig!AJ230,""",""??0;"",""?-0;"",""??0;"", //"""),"'","""")&amp;SUBSTITUTE(TEXT(Overig!AK230,""",""?00;"",""?-00;"",""?00;"", //"""),"'","""")&amp;SUBSTITUTE(IF(EXACT(Overig!AL230,"—"),TEXT(Overig!AL230,""",""????0;"",""???-0;"",""????0;"", ////////////,"""),TEXT(Overig!AL230,"\, \'@""',""")&amp;REPT(" ",10-LEN(Overig!AL230))),"'","""")&amp;SUBSTITUTE(TEXT(Overig!AM230,"?00;?-00;?00;"" //"""),"'","""")&amp;SUBSTITUTE(TEXT(Overig!AN230,""",""???0;"",""??-0;"",""???0;"", ///"""),"'","""")&amp;SUBSTITUTE(TEXT(Overig!AO230,""",""?00;"",""?-00;"",""?00;"", //"""),"'","""")</f>
        <v>78989, 19130817, 0800, ////, 07, /////, 07, ////, 07, /////, 07, 7590, 00, ////, 07, ////, 07, ////, 07, ///, 07, ///, 07, ////, 07, ////, 07, 135, 00, ////, 07, ////, 07, ///, 07, //, 07, ////////////, 07, ///, 07</v>
      </c>
    </row>
    <row r="231" spans="1:1" x14ac:dyDescent="0.25">
      <c r="A231" s="75" t="str">
        <f ca="1">TEXT(Overig!A231,"000\,")&amp;TEXT(Overig!B231,"?00000000")&amp;TEXT(Overig!C231,""", ""0000")&amp;SUBSTITUTE(TEXT(IF(ISTEXT(Overig!D231),Overig!D231,10*Overig!D231),""",""????0;"",""???-0;"",""????0;"", ////"""),"'","""")&amp;SUBSTITUTE(TEXT(Overig!E231,""",""?00;"",""?-00;"",""?00;"", //"""),"'","""")&amp;SUBSTITUTE(TEXT(IF(ISTEXT(Overig!F231),Overig!F231,100*Overig!F231),""",""?????0;"",""????-0;"",""?????0;"", /////"""),"'","""")&amp;SUBSTITUTE(TEXT(Overig!G231,""",""?00;"",""?-00;"",""?00;"", //"""),"'","""")&amp;SUBSTITUTE(TEXT(IF(ISTEXT(Overig!H231),Overig!H231,100*Overig!H231),""",""????0;"",""???-0;"",""????0;"", ////"""),"'","""")&amp;SUBSTITUTE(TEXT(Overig!I231,""",""?00;"",""?-00;"",""?00;"", //"""),"'","""")&amp;SUBSTITUTE(TEXT(IF(ISTEXT(Overig!J231),Overig!J231,100*Overig!J231),""",""?????0;"",""????-0;"",""?????0;"", /////"""),"'","""")&amp;SUBSTITUTE(TEXT(Overig!K231,""",""?00;"",""?-00;"",""?00;"", //"""),"'","""")&amp;SUBSTITUTE(TEXT(IF(ISTEXT(Overig!L231),Overig!L231,10*Overig!L231),""",""????0;"",""???-0;"",""????0;"", ////"""),"'","""")&amp;SUBSTITUTE(TEXT(Overig!M231,""",""?00;"",""?-00;"",""?00;"", //"""),"'","""")&amp;SUBSTITUTE(TEXT(IF(ISTEXT(Overig!N231),Overig!N231,10*Overig!N231),""",""????0;"",""???-0;"",""????0;"", ////"""),"'","""")&amp;SUBSTITUTE(TEXT(Overig!O231,""",""?00;"",""?-00;"",""?00;"", //"""),"'","""")&amp;SUBSTITUTE(TEXT(IF(ISTEXT(Overig!P231),Overig!P231,10*Overig!P231),""",""????0;"",""???-0;"",""????0;"", ////"""),"'","""")&amp;SUBSTITUTE(TEXT(Overig!Q231,""",""?00;"",""?-00;"",""?00;"", //"""),"'","""")&amp;SUBSTITUTE(TEXT(IF(ISTEXT(Overig!R231),Overig!R231,10*Overig!R231),""",""????0;"",""???-0;"",""????0;"", ////"""),"'","""")&amp;SUBSTITUTE(TEXT(Overig!S231,""",""?00;"",""?-00;"",""?00;"", //"""),"'","""")&amp;SUBSTITUTE(TEXT(Overig!T231,""",""???0;"",""??-0;"",""???0;"", ///"""),"'","""")&amp;SUBSTITUTE(TEXT(Overig!U231,""",""?00;"",""?-00;"",""?00;"", //"""),"'","""")&amp;SUBSTITUTE(TEXT(IF(ISTEXT(Overig!V231),Overig!V231,10*Overig!V231),""",""???0;"",""??-0;"",""???0;"", ///"""),"'","""")&amp;SUBSTITUTE(TEXT(Overig!W231,""",""?00;"",""?-00;"",""?00;"", //"""),"'","""")&amp;SUBSTITUTE(TEXT(IF(ISTEXT(Overig!X231),Overig!X231,10*Overig!X231),""",""????0;"",""???-0;"",""????0;"", ////"""),"'","""")&amp;SUBSTITUTE(TEXT(Overig!Y231,""",""?00;"",""?-00;"",""?00;"", //"""),"'","""")&amp;SUBSTITUTE(TEXT(IF(ISTEXT(Overig!Z231),Overig!Z231,10*Overig!Z231),""",""????0;"",""???-0;"",""????0;"", ////"""),"'","""")&amp;SUBSTITUTE(TEXT(Overig!AA231,""",""?00;"",""?-00;"",""?00;"", //"""),"'","""")&amp;SUBSTITUTE(TEXT(Overig!AB231,""",""???0;"",""??-0;"",""???0;"", ///"""),"'","""")&amp;SUBSTITUTE(TEXT(Overig!AC231,""",""?00;"",""?-00;"",""?00;"", //"""),"'","""")&amp;SUBSTITUTE(TEXT(IF(ISTEXT(Overig!AD231),Overig!AD231,10*Overig!AD231),""",""????0;"",""???-0;"",""????0;"", ////"""),"'","""")&amp;SUBSTITUTE(TEXT(Overig!AE231,""",""?00;"",""?-00;"",""?00;"", //"""),"'","""")&amp;SUBSTITUTE(TEXT(IF(ISTEXT(Overig!AF231),Overig!AF231,10*Overig!AF231),""",""????0;"",""???-0;"",""????0;"", ////"""),"'","""")&amp;SUBSTITUTE(TEXT(Overig!AG231,""",""?00;"",""?-00;"",""?00;"", //"""),"'","""")&amp;SUBSTITUTE(TEXT(Overig!AH231,""",""???0;"",""??-0;"",""???0;"", ///"""),"'","""")&amp;SUBSTITUTE(TEXT(Overig!AI231,""",""?00;"",""?-00;"",""?00;"", //"""),"'","""")&amp;SUBSTITUTE(TEXT(Overig!AJ231,""",""??0;"",""?-0;"",""??0;"", //"""),"'","""")&amp;SUBSTITUTE(TEXT(Overig!AK231,""",""?00;"",""?-00;"",""?00;"", //"""),"'","""")&amp;SUBSTITUTE(IF(EXACT(Overig!AL231,"—"),TEXT(Overig!AL231,""",""????0;"",""???-0;"",""????0;"", ////////////,"""),TEXT(Overig!AL231,"\, \'@""',""")&amp;REPT(" ",10-LEN(Overig!AL231))),"'","""")&amp;SUBSTITUTE(TEXT(Overig!AM231,"?00;?-00;?00;"" //"""),"'","""")&amp;SUBSTITUTE(TEXT(Overig!AN231,""",""???0;"",""??-0;"",""???0;"", ///"""),"'","""")&amp;SUBSTITUTE(TEXT(Overig!AO231,""",""?00;"",""?-00;"",""?00;"", //"""),"'","""")</f>
        <v>78989, 19130818, 0800, ////, 07, /////, 07, ////, 07, /////, 07, 7595, 00, ////, 07, ////, 07, ////, 07, ///, 07, ///, 07, ////, 07, ////, 07, 135, 00, ////, 07, ////, 07, ///, 07, //, 07, ////////////, 07, ///, 07</v>
      </c>
    </row>
    <row r="232" spans="1:1" x14ac:dyDescent="0.25">
      <c r="A232" s="75" t="str">
        <f ca="1">TEXT(Overig!A232,"000\,")&amp;TEXT(Overig!B232,"?00000000")&amp;TEXT(Overig!C232,""", ""0000")&amp;SUBSTITUTE(TEXT(IF(ISTEXT(Overig!D232),Overig!D232,10*Overig!D232),""",""????0;"",""???-0;"",""????0;"", ////"""),"'","""")&amp;SUBSTITUTE(TEXT(Overig!E232,""",""?00;"",""?-00;"",""?00;"", //"""),"'","""")&amp;SUBSTITUTE(TEXT(IF(ISTEXT(Overig!F232),Overig!F232,100*Overig!F232),""",""?????0;"",""????-0;"",""?????0;"", /////"""),"'","""")&amp;SUBSTITUTE(TEXT(Overig!G232,""",""?00;"",""?-00;"",""?00;"", //"""),"'","""")&amp;SUBSTITUTE(TEXT(IF(ISTEXT(Overig!H232),Overig!H232,100*Overig!H232),""",""????0;"",""???-0;"",""????0;"", ////"""),"'","""")&amp;SUBSTITUTE(TEXT(Overig!I232,""",""?00;"",""?-00;"",""?00;"", //"""),"'","""")&amp;SUBSTITUTE(TEXT(IF(ISTEXT(Overig!J232),Overig!J232,100*Overig!J232),""",""?????0;"",""????-0;"",""?????0;"", /////"""),"'","""")&amp;SUBSTITUTE(TEXT(Overig!K232,""",""?00;"",""?-00;"",""?00;"", //"""),"'","""")&amp;SUBSTITUTE(TEXT(IF(ISTEXT(Overig!L232),Overig!L232,10*Overig!L232),""",""????0;"",""???-0;"",""????0;"", ////"""),"'","""")&amp;SUBSTITUTE(TEXT(Overig!M232,""",""?00;"",""?-00;"",""?00;"", //"""),"'","""")&amp;SUBSTITUTE(TEXT(IF(ISTEXT(Overig!N232),Overig!N232,10*Overig!N232),""",""????0;"",""???-0;"",""????0;"", ////"""),"'","""")&amp;SUBSTITUTE(TEXT(Overig!O232,""",""?00;"",""?-00;"",""?00;"", //"""),"'","""")&amp;SUBSTITUTE(TEXT(IF(ISTEXT(Overig!P232),Overig!P232,10*Overig!P232),""",""????0;"",""???-0;"",""????0;"", ////"""),"'","""")&amp;SUBSTITUTE(TEXT(Overig!Q232,""",""?00;"",""?-00;"",""?00;"", //"""),"'","""")&amp;SUBSTITUTE(TEXT(IF(ISTEXT(Overig!R232),Overig!R232,10*Overig!R232),""",""????0;"",""???-0;"",""????0;"", ////"""),"'","""")&amp;SUBSTITUTE(TEXT(Overig!S232,""",""?00;"",""?-00;"",""?00;"", //"""),"'","""")&amp;SUBSTITUTE(TEXT(Overig!T232,""",""???0;"",""??-0;"",""???0;"", ///"""),"'","""")&amp;SUBSTITUTE(TEXT(Overig!U232,""",""?00;"",""?-00;"",""?00;"", //"""),"'","""")&amp;SUBSTITUTE(TEXT(IF(ISTEXT(Overig!V232),Overig!V232,10*Overig!V232),""",""???0;"",""??-0;"",""???0;"", ///"""),"'","""")&amp;SUBSTITUTE(TEXT(Overig!W232,""",""?00;"",""?-00;"",""?00;"", //"""),"'","""")&amp;SUBSTITUTE(TEXT(IF(ISTEXT(Overig!X232),Overig!X232,10*Overig!X232),""",""????0;"",""???-0;"",""????0;"", ////"""),"'","""")&amp;SUBSTITUTE(TEXT(Overig!Y232,""",""?00;"",""?-00;"",""?00;"", //"""),"'","""")&amp;SUBSTITUTE(TEXT(IF(ISTEXT(Overig!Z232),Overig!Z232,10*Overig!Z232),""",""????0;"",""???-0;"",""????0;"", ////"""),"'","""")&amp;SUBSTITUTE(TEXT(Overig!AA232,""",""?00;"",""?-00;"",""?00;"", //"""),"'","""")&amp;SUBSTITUTE(TEXT(Overig!AB232,""",""???0;"",""??-0;"",""???0;"", ///"""),"'","""")&amp;SUBSTITUTE(TEXT(Overig!AC232,""",""?00;"",""?-00;"",""?00;"", //"""),"'","""")&amp;SUBSTITUTE(TEXT(IF(ISTEXT(Overig!AD232),Overig!AD232,10*Overig!AD232),""",""????0;"",""???-0;"",""????0;"", ////"""),"'","""")&amp;SUBSTITUTE(TEXT(Overig!AE232,""",""?00;"",""?-00;"",""?00;"", //"""),"'","""")&amp;SUBSTITUTE(TEXT(IF(ISTEXT(Overig!AF232),Overig!AF232,10*Overig!AF232),""",""????0;"",""???-0;"",""????0;"", ////"""),"'","""")&amp;SUBSTITUTE(TEXT(Overig!AG232,""",""?00;"",""?-00;"",""?00;"", //"""),"'","""")&amp;SUBSTITUTE(TEXT(Overig!AH232,""",""???0;"",""??-0;"",""???0;"", ///"""),"'","""")&amp;SUBSTITUTE(TEXT(Overig!AI232,""",""?00;"",""?-00;"",""?00;"", //"""),"'","""")&amp;SUBSTITUTE(TEXT(Overig!AJ232,""",""??0;"",""?-0;"",""??0;"", //"""),"'","""")&amp;SUBSTITUTE(TEXT(Overig!AK232,""",""?00;"",""?-00;"",""?00;"", //"""),"'","""")&amp;SUBSTITUTE(IF(EXACT(Overig!AL232,"—"),TEXT(Overig!AL232,""",""????0;"",""???-0;"",""????0;"", ////////////,"""),TEXT(Overig!AL232,"\, \'@""',""")&amp;REPT(" ",10-LEN(Overig!AL232))),"'","""")&amp;SUBSTITUTE(TEXT(Overig!AM232,"?00;?-00;?00;"" //"""),"'","""")&amp;SUBSTITUTE(TEXT(Overig!AN232,""",""???0;"",""??-0;"",""???0;"", ///"""),"'","""")&amp;SUBSTITUTE(TEXT(Overig!AO232,""",""?00;"",""?-00;"",""?00;"", //"""),"'","""")</f>
        <v>78989, 19130819, 0800, ////, 07, /////, 07, ////, 07, /////, 07, 7605, 00, ////, 07, ////, 07, ////, 07, ///, 07, ///, 07, ////, 07, ////, 07,  90, 00, ////, 07, ////, 07, ///, 07, //, 07, ////////////, 07, ///, 07</v>
      </c>
    </row>
    <row r="233" spans="1:1" x14ac:dyDescent="0.25">
      <c r="A233" s="75" t="str">
        <f ca="1">TEXT(Overig!A233,"000\,")&amp;TEXT(Overig!B233,"?00000000")&amp;TEXT(Overig!C233,""", ""0000")&amp;SUBSTITUTE(TEXT(IF(ISTEXT(Overig!D233),Overig!D233,10*Overig!D233),""",""????0;"",""???-0;"",""????0;"", ////"""),"'","""")&amp;SUBSTITUTE(TEXT(Overig!E233,""",""?00;"",""?-00;"",""?00;"", //"""),"'","""")&amp;SUBSTITUTE(TEXT(IF(ISTEXT(Overig!F233),Overig!F233,100*Overig!F233),""",""?????0;"",""????-0;"",""?????0;"", /////"""),"'","""")&amp;SUBSTITUTE(TEXT(Overig!G233,""",""?00;"",""?-00;"",""?00;"", //"""),"'","""")&amp;SUBSTITUTE(TEXT(IF(ISTEXT(Overig!H233),Overig!H233,100*Overig!H233),""",""????0;"",""???-0;"",""????0;"", ////"""),"'","""")&amp;SUBSTITUTE(TEXT(Overig!I233,""",""?00;"",""?-00;"",""?00;"", //"""),"'","""")&amp;SUBSTITUTE(TEXT(IF(ISTEXT(Overig!J233),Overig!J233,100*Overig!J233),""",""?????0;"",""????-0;"",""?????0;"", /////"""),"'","""")&amp;SUBSTITUTE(TEXT(Overig!K233,""",""?00;"",""?-00;"",""?00;"", //"""),"'","""")&amp;SUBSTITUTE(TEXT(IF(ISTEXT(Overig!L233),Overig!L233,10*Overig!L233),""",""????0;"",""???-0;"",""????0;"", ////"""),"'","""")&amp;SUBSTITUTE(TEXT(Overig!M233,""",""?00;"",""?-00;"",""?00;"", //"""),"'","""")&amp;SUBSTITUTE(TEXT(IF(ISTEXT(Overig!N233),Overig!N233,10*Overig!N233),""",""????0;"",""???-0;"",""????0;"", ////"""),"'","""")&amp;SUBSTITUTE(TEXT(Overig!O233,""",""?00;"",""?-00;"",""?00;"", //"""),"'","""")&amp;SUBSTITUTE(TEXT(IF(ISTEXT(Overig!P233),Overig!P233,10*Overig!P233),""",""????0;"",""???-0;"",""????0;"", ////"""),"'","""")&amp;SUBSTITUTE(TEXT(Overig!Q233,""",""?00;"",""?-00;"",""?00;"", //"""),"'","""")&amp;SUBSTITUTE(TEXT(IF(ISTEXT(Overig!R233),Overig!R233,10*Overig!R233),""",""????0;"",""???-0;"",""????0;"", ////"""),"'","""")&amp;SUBSTITUTE(TEXT(Overig!S233,""",""?00;"",""?-00;"",""?00;"", //"""),"'","""")&amp;SUBSTITUTE(TEXT(Overig!T233,""",""???0;"",""??-0;"",""???0;"", ///"""),"'","""")&amp;SUBSTITUTE(TEXT(Overig!U233,""",""?00;"",""?-00;"",""?00;"", //"""),"'","""")&amp;SUBSTITUTE(TEXT(IF(ISTEXT(Overig!V233),Overig!V233,10*Overig!V233),""",""???0;"",""??-0;"",""???0;"", ///"""),"'","""")&amp;SUBSTITUTE(TEXT(Overig!W233,""",""?00;"",""?-00;"",""?00;"", //"""),"'","""")&amp;SUBSTITUTE(TEXT(IF(ISTEXT(Overig!X233),Overig!X233,10*Overig!X233),""",""????0;"",""???-0;"",""????0;"", ////"""),"'","""")&amp;SUBSTITUTE(TEXT(Overig!Y233,""",""?00;"",""?-00;"",""?00;"", //"""),"'","""")&amp;SUBSTITUTE(TEXT(IF(ISTEXT(Overig!Z233),Overig!Z233,10*Overig!Z233),""",""????0;"",""???-0;"",""????0;"", ////"""),"'","""")&amp;SUBSTITUTE(TEXT(Overig!AA233,""",""?00;"",""?-00;"",""?00;"", //"""),"'","""")&amp;SUBSTITUTE(TEXT(Overig!AB233,""",""???0;"",""??-0;"",""???0;"", ///"""),"'","""")&amp;SUBSTITUTE(TEXT(Overig!AC233,""",""?00;"",""?-00;"",""?00;"", //"""),"'","""")&amp;SUBSTITUTE(TEXT(IF(ISTEXT(Overig!AD233),Overig!AD233,10*Overig!AD233),""",""????0;"",""???-0;"",""????0;"", ////"""),"'","""")&amp;SUBSTITUTE(TEXT(Overig!AE233,""",""?00;"",""?-00;"",""?00;"", //"""),"'","""")&amp;SUBSTITUTE(TEXT(IF(ISTEXT(Overig!AF233),Overig!AF233,10*Overig!AF233),""",""????0;"",""???-0;"",""????0;"", ////"""),"'","""")&amp;SUBSTITUTE(TEXT(Overig!AG233,""",""?00;"",""?-00;"",""?00;"", //"""),"'","""")&amp;SUBSTITUTE(TEXT(Overig!AH233,""",""???0;"",""??-0;"",""???0;"", ///"""),"'","""")&amp;SUBSTITUTE(TEXT(Overig!AI233,""",""?00;"",""?-00;"",""?00;"", //"""),"'","""")&amp;SUBSTITUTE(TEXT(Overig!AJ233,""",""??0;"",""?-0;"",""??0;"", //"""),"'","""")&amp;SUBSTITUTE(TEXT(Overig!AK233,""",""?00;"",""?-00;"",""?00;"", //"""),"'","""")&amp;SUBSTITUTE(IF(EXACT(Overig!AL233,"—"),TEXT(Overig!AL233,""",""????0;"",""???-0;"",""????0;"", ////////////,"""),TEXT(Overig!AL233,"\, \'@""',""")&amp;REPT(" ",10-LEN(Overig!AL233))),"'","""")&amp;SUBSTITUTE(TEXT(Overig!AM233,"?00;?-00;?00;"" //"""),"'","""")&amp;SUBSTITUTE(TEXT(Overig!AN233,""",""???0;"",""??-0;"",""???0;"", ///"""),"'","""")&amp;SUBSTITUTE(TEXT(Overig!AO233,""",""?00;"",""?-00;"",""?00;"", //"""),"'","""")</f>
        <v>78989, 19130820, 0800, ////, 07, /////, 07, ////, 07, /////, 07, 7610, 00, ////, 07, ////, 07, ////, 07, ///, 07, ///, 07, ////, 07, ////, 07,  90, 00, ////, 07, ////, 07, ///, 07, //, 07, ////////////, 07, ///, 07</v>
      </c>
    </row>
    <row r="234" spans="1:1" x14ac:dyDescent="0.25">
      <c r="A234" s="75" t="str">
        <f ca="1">TEXT(Overig!A234,"000\,")&amp;TEXT(Overig!B234,"?00000000")&amp;TEXT(Overig!C234,""", ""0000")&amp;SUBSTITUTE(TEXT(IF(ISTEXT(Overig!D234),Overig!D234,10*Overig!D234),""",""????0;"",""???-0;"",""????0;"", ////"""),"'","""")&amp;SUBSTITUTE(TEXT(Overig!E234,""",""?00;"",""?-00;"",""?00;"", //"""),"'","""")&amp;SUBSTITUTE(TEXT(IF(ISTEXT(Overig!F234),Overig!F234,100*Overig!F234),""",""?????0;"",""????-0;"",""?????0;"", /////"""),"'","""")&amp;SUBSTITUTE(TEXT(Overig!G234,""",""?00;"",""?-00;"",""?00;"", //"""),"'","""")&amp;SUBSTITUTE(TEXT(IF(ISTEXT(Overig!H234),Overig!H234,100*Overig!H234),""",""????0;"",""???-0;"",""????0;"", ////"""),"'","""")&amp;SUBSTITUTE(TEXT(Overig!I234,""",""?00;"",""?-00;"",""?00;"", //"""),"'","""")&amp;SUBSTITUTE(TEXT(IF(ISTEXT(Overig!J234),Overig!J234,100*Overig!J234),""",""?????0;"",""????-0;"",""?????0;"", /////"""),"'","""")&amp;SUBSTITUTE(TEXT(Overig!K234,""",""?00;"",""?-00;"",""?00;"", //"""),"'","""")&amp;SUBSTITUTE(TEXT(IF(ISTEXT(Overig!L234),Overig!L234,10*Overig!L234),""",""????0;"",""???-0;"",""????0;"", ////"""),"'","""")&amp;SUBSTITUTE(TEXT(Overig!M234,""",""?00;"",""?-00;"",""?00;"", //"""),"'","""")&amp;SUBSTITUTE(TEXT(IF(ISTEXT(Overig!N234),Overig!N234,10*Overig!N234),""",""????0;"",""???-0;"",""????0;"", ////"""),"'","""")&amp;SUBSTITUTE(TEXT(Overig!O234,""",""?00;"",""?-00;"",""?00;"", //"""),"'","""")&amp;SUBSTITUTE(TEXT(IF(ISTEXT(Overig!P234),Overig!P234,10*Overig!P234),""",""????0;"",""???-0;"",""????0;"", ////"""),"'","""")&amp;SUBSTITUTE(TEXT(Overig!Q234,""",""?00;"",""?-00;"",""?00;"", //"""),"'","""")&amp;SUBSTITUTE(TEXT(IF(ISTEXT(Overig!R234),Overig!R234,10*Overig!R234),""",""????0;"",""???-0;"",""????0;"", ////"""),"'","""")&amp;SUBSTITUTE(TEXT(Overig!S234,""",""?00;"",""?-00;"",""?00;"", //"""),"'","""")&amp;SUBSTITUTE(TEXT(Overig!T234,""",""???0;"",""??-0;"",""???0;"", ///"""),"'","""")&amp;SUBSTITUTE(TEXT(Overig!U234,""",""?00;"",""?-00;"",""?00;"", //"""),"'","""")&amp;SUBSTITUTE(TEXT(IF(ISTEXT(Overig!V234),Overig!V234,10*Overig!V234),""",""???0;"",""??-0;"",""???0;"", ///"""),"'","""")&amp;SUBSTITUTE(TEXT(Overig!W234,""",""?00;"",""?-00;"",""?00;"", //"""),"'","""")&amp;SUBSTITUTE(TEXT(IF(ISTEXT(Overig!X234),Overig!X234,10*Overig!X234),""",""????0;"",""???-0;"",""????0;"", ////"""),"'","""")&amp;SUBSTITUTE(TEXT(Overig!Y234,""",""?00;"",""?-00;"",""?00;"", //"""),"'","""")&amp;SUBSTITUTE(TEXT(IF(ISTEXT(Overig!Z234),Overig!Z234,10*Overig!Z234),""",""????0;"",""???-0;"",""????0;"", ////"""),"'","""")&amp;SUBSTITUTE(TEXT(Overig!AA234,""",""?00;"",""?-00;"",""?00;"", //"""),"'","""")&amp;SUBSTITUTE(TEXT(Overig!AB234,""",""???0;"",""??-0;"",""???0;"", ///"""),"'","""")&amp;SUBSTITUTE(TEXT(Overig!AC234,""",""?00;"",""?-00;"",""?00;"", //"""),"'","""")&amp;SUBSTITUTE(TEXT(IF(ISTEXT(Overig!AD234),Overig!AD234,10*Overig!AD234),""",""????0;"",""???-0;"",""????0;"", ////"""),"'","""")&amp;SUBSTITUTE(TEXT(Overig!AE234,""",""?00;"",""?-00;"",""?00;"", //"""),"'","""")&amp;SUBSTITUTE(TEXT(IF(ISTEXT(Overig!AF234),Overig!AF234,10*Overig!AF234),""",""????0;"",""???-0;"",""????0;"", ////"""),"'","""")&amp;SUBSTITUTE(TEXT(Overig!AG234,""",""?00;"",""?-00;"",""?00;"", //"""),"'","""")&amp;SUBSTITUTE(TEXT(Overig!AH234,""",""???0;"",""??-0;"",""???0;"", ///"""),"'","""")&amp;SUBSTITUTE(TEXT(Overig!AI234,""",""?00;"",""?-00;"",""?00;"", //"""),"'","""")&amp;SUBSTITUTE(TEXT(Overig!AJ234,""",""??0;"",""?-0;"",""??0;"", //"""),"'","""")&amp;SUBSTITUTE(TEXT(Overig!AK234,""",""?00;"",""?-00;"",""?00;"", //"""),"'","""")&amp;SUBSTITUTE(IF(EXACT(Overig!AL234,"—"),TEXT(Overig!AL234,""",""????0;"",""???-0;"",""????0;"", ////////////,"""),TEXT(Overig!AL234,"\, \'@""',""")&amp;REPT(" ",10-LEN(Overig!AL234))),"'","""")&amp;SUBSTITUTE(TEXT(Overig!AM234,"?00;?-00;?00;"" //"""),"'","""")&amp;SUBSTITUTE(TEXT(Overig!AN234,""",""???0;"",""??-0;"",""???0;"", ///"""),"'","""")&amp;SUBSTITUTE(TEXT(Overig!AO234,""",""?00;"",""?-00;"",""?00;"", //"""),"'","""")</f>
        <v>78989, 19130821, 0800, ////, 07, /////, 07, ////, 07, /////, 07, 7600, 00, ////, 07, ////, 07, ////, 07, ///, 07, ///, 07, ////, 07, ////, 07,  90, 00, ////, 07, ////, 07, ///, 07, //, 07, ////////////, 07, ///, 07</v>
      </c>
    </row>
    <row r="235" spans="1:1" x14ac:dyDescent="0.25">
      <c r="A235" s="75" t="str">
        <f ca="1">TEXT(Overig!A235,"000\,")&amp;TEXT(Overig!B235,"?00000000")&amp;TEXT(Overig!C235,""", ""0000")&amp;SUBSTITUTE(TEXT(IF(ISTEXT(Overig!D235),Overig!D235,10*Overig!D235),""",""????0;"",""???-0;"",""????0;"", ////"""),"'","""")&amp;SUBSTITUTE(TEXT(Overig!E235,""",""?00;"",""?-00;"",""?00;"", //"""),"'","""")&amp;SUBSTITUTE(TEXT(IF(ISTEXT(Overig!F235),Overig!F235,100*Overig!F235),""",""?????0;"",""????-0;"",""?????0;"", /////"""),"'","""")&amp;SUBSTITUTE(TEXT(Overig!G235,""",""?00;"",""?-00;"",""?00;"", //"""),"'","""")&amp;SUBSTITUTE(TEXT(IF(ISTEXT(Overig!H235),Overig!H235,100*Overig!H235),""",""????0;"",""???-0;"",""????0;"", ////"""),"'","""")&amp;SUBSTITUTE(TEXT(Overig!I235,""",""?00;"",""?-00;"",""?00;"", //"""),"'","""")&amp;SUBSTITUTE(TEXT(IF(ISTEXT(Overig!J235),Overig!J235,100*Overig!J235),""",""?????0;"",""????-0;"",""?????0;"", /////"""),"'","""")&amp;SUBSTITUTE(TEXT(Overig!K235,""",""?00;"",""?-00;"",""?00;"", //"""),"'","""")&amp;SUBSTITUTE(TEXT(IF(ISTEXT(Overig!L235),Overig!L235,10*Overig!L235),""",""????0;"",""???-0;"",""????0;"", ////"""),"'","""")&amp;SUBSTITUTE(TEXT(Overig!M235,""",""?00;"",""?-00;"",""?00;"", //"""),"'","""")&amp;SUBSTITUTE(TEXT(IF(ISTEXT(Overig!N235),Overig!N235,10*Overig!N235),""",""????0;"",""???-0;"",""????0;"", ////"""),"'","""")&amp;SUBSTITUTE(TEXT(Overig!O235,""",""?00;"",""?-00;"",""?00;"", //"""),"'","""")&amp;SUBSTITUTE(TEXT(IF(ISTEXT(Overig!P235),Overig!P235,10*Overig!P235),""",""????0;"",""???-0;"",""????0;"", ////"""),"'","""")&amp;SUBSTITUTE(TEXT(Overig!Q235,""",""?00;"",""?-00;"",""?00;"", //"""),"'","""")&amp;SUBSTITUTE(TEXT(IF(ISTEXT(Overig!R235),Overig!R235,10*Overig!R235),""",""????0;"",""???-0;"",""????0;"", ////"""),"'","""")&amp;SUBSTITUTE(TEXT(Overig!S235,""",""?00;"",""?-00;"",""?00;"", //"""),"'","""")&amp;SUBSTITUTE(TEXT(Overig!T235,""",""???0;"",""??-0;"",""???0;"", ///"""),"'","""")&amp;SUBSTITUTE(TEXT(Overig!U235,""",""?00;"",""?-00;"",""?00;"", //"""),"'","""")&amp;SUBSTITUTE(TEXT(IF(ISTEXT(Overig!V235),Overig!V235,10*Overig!V235),""",""???0;"",""??-0;"",""???0;"", ///"""),"'","""")&amp;SUBSTITUTE(TEXT(Overig!W235,""",""?00;"",""?-00;"",""?00;"", //"""),"'","""")&amp;SUBSTITUTE(TEXT(IF(ISTEXT(Overig!X235),Overig!X235,10*Overig!X235),""",""????0;"",""???-0;"",""????0;"", ////"""),"'","""")&amp;SUBSTITUTE(TEXT(Overig!Y235,""",""?00;"",""?-00;"",""?00;"", //"""),"'","""")&amp;SUBSTITUTE(TEXT(IF(ISTEXT(Overig!Z235),Overig!Z235,10*Overig!Z235),""",""????0;"",""???-0;"",""????0;"", ////"""),"'","""")&amp;SUBSTITUTE(TEXT(Overig!AA235,""",""?00;"",""?-00;"",""?00;"", //"""),"'","""")&amp;SUBSTITUTE(TEXT(Overig!AB235,""",""???0;"",""??-0;"",""???0;"", ///"""),"'","""")&amp;SUBSTITUTE(TEXT(Overig!AC235,""",""?00;"",""?-00;"",""?00;"", //"""),"'","""")&amp;SUBSTITUTE(TEXT(IF(ISTEXT(Overig!AD235),Overig!AD235,10*Overig!AD235),""",""????0;"",""???-0;"",""????0;"", ////"""),"'","""")&amp;SUBSTITUTE(TEXT(Overig!AE235,""",""?00;"",""?-00;"",""?00;"", //"""),"'","""")&amp;SUBSTITUTE(TEXT(IF(ISTEXT(Overig!AF235),Overig!AF235,10*Overig!AF235),""",""????0;"",""???-0;"",""????0;"", ////"""),"'","""")&amp;SUBSTITUTE(TEXT(Overig!AG235,""",""?00;"",""?-00;"",""?00;"", //"""),"'","""")&amp;SUBSTITUTE(TEXT(Overig!AH235,""",""???0;"",""??-0;"",""???0;"", ///"""),"'","""")&amp;SUBSTITUTE(TEXT(Overig!AI235,""",""?00;"",""?-00;"",""?00;"", //"""),"'","""")&amp;SUBSTITUTE(TEXT(Overig!AJ235,""",""??0;"",""?-0;"",""??0;"", //"""),"'","""")&amp;SUBSTITUTE(TEXT(Overig!AK235,""",""?00;"",""?-00;"",""?00;"", //"""),"'","""")&amp;SUBSTITUTE(IF(EXACT(Overig!AL235,"—"),TEXT(Overig!AL235,""",""????0;"",""???-0;"",""????0;"", ////////////,"""),TEXT(Overig!AL235,"\, \'@""',""")&amp;REPT(" ",10-LEN(Overig!AL235))),"'","""")&amp;SUBSTITUTE(TEXT(Overig!AM235,"?00;?-00;?00;"" //"""),"'","""")&amp;SUBSTITUTE(TEXT(Overig!AN235,""",""???0;"",""??-0;"",""???0;"", ///"""),"'","""")&amp;SUBSTITUTE(TEXT(Overig!AO235,""",""?00;"",""?-00;"",""?00;"", //"""),"'","""")</f>
        <v>78989, 19130822, 0800, ////, 07, /////, 07, ////, 07, /////, 07, 7600, 00, ////, 07, ////, 07, ////, 07, ///, 07, ///, 07, ////, 07, ////, 07,  90, 00, ////, 07, ////, 07, ///, 07, //, 07, ////////////, 07, ///, 07</v>
      </c>
    </row>
    <row r="236" spans="1:1" x14ac:dyDescent="0.25">
      <c r="A236" s="75" t="str">
        <f ca="1">TEXT(Overig!A236,"000\,")&amp;TEXT(Overig!B236,"?00000000")&amp;TEXT(Overig!C236,""", ""0000")&amp;SUBSTITUTE(TEXT(IF(ISTEXT(Overig!D236),Overig!D236,10*Overig!D236),""",""????0;"",""???-0;"",""????0;"", ////"""),"'","""")&amp;SUBSTITUTE(TEXT(Overig!E236,""",""?00;"",""?-00;"",""?00;"", //"""),"'","""")&amp;SUBSTITUTE(TEXT(IF(ISTEXT(Overig!F236),Overig!F236,100*Overig!F236),""",""?????0;"",""????-0;"",""?????0;"", /////"""),"'","""")&amp;SUBSTITUTE(TEXT(Overig!G236,""",""?00;"",""?-00;"",""?00;"", //"""),"'","""")&amp;SUBSTITUTE(TEXT(IF(ISTEXT(Overig!H236),Overig!H236,100*Overig!H236),""",""????0;"",""???-0;"",""????0;"", ////"""),"'","""")&amp;SUBSTITUTE(TEXT(Overig!I236,""",""?00;"",""?-00;"",""?00;"", //"""),"'","""")&amp;SUBSTITUTE(TEXT(IF(ISTEXT(Overig!J236),Overig!J236,100*Overig!J236),""",""?????0;"",""????-0;"",""?????0;"", /////"""),"'","""")&amp;SUBSTITUTE(TEXT(Overig!K236,""",""?00;"",""?-00;"",""?00;"", //"""),"'","""")&amp;SUBSTITUTE(TEXT(IF(ISTEXT(Overig!L236),Overig!L236,10*Overig!L236),""",""????0;"",""???-0;"",""????0;"", ////"""),"'","""")&amp;SUBSTITUTE(TEXT(Overig!M236,""",""?00;"",""?-00;"",""?00;"", //"""),"'","""")&amp;SUBSTITUTE(TEXT(IF(ISTEXT(Overig!N236),Overig!N236,10*Overig!N236),""",""????0;"",""???-0;"",""????0;"", ////"""),"'","""")&amp;SUBSTITUTE(TEXT(Overig!O236,""",""?00;"",""?-00;"",""?00;"", //"""),"'","""")&amp;SUBSTITUTE(TEXT(IF(ISTEXT(Overig!P236),Overig!P236,10*Overig!P236),""",""????0;"",""???-0;"",""????0;"", ////"""),"'","""")&amp;SUBSTITUTE(TEXT(Overig!Q236,""",""?00;"",""?-00;"",""?00;"", //"""),"'","""")&amp;SUBSTITUTE(TEXT(IF(ISTEXT(Overig!R236),Overig!R236,10*Overig!R236),""",""????0;"",""???-0;"",""????0;"", ////"""),"'","""")&amp;SUBSTITUTE(TEXT(Overig!S236,""",""?00;"",""?-00;"",""?00;"", //"""),"'","""")&amp;SUBSTITUTE(TEXT(Overig!T236,""",""???0;"",""??-0;"",""???0;"", ///"""),"'","""")&amp;SUBSTITUTE(TEXT(Overig!U236,""",""?00;"",""?-00;"",""?00;"", //"""),"'","""")&amp;SUBSTITUTE(TEXT(IF(ISTEXT(Overig!V236),Overig!V236,10*Overig!V236),""",""???0;"",""??-0;"",""???0;"", ///"""),"'","""")&amp;SUBSTITUTE(TEXT(Overig!W236,""",""?00;"",""?-00;"",""?00;"", //"""),"'","""")&amp;SUBSTITUTE(TEXT(IF(ISTEXT(Overig!X236),Overig!X236,10*Overig!X236),""",""????0;"",""???-0;"",""????0;"", ////"""),"'","""")&amp;SUBSTITUTE(TEXT(Overig!Y236,""",""?00;"",""?-00;"",""?00;"", //"""),"'","""")&amp;SUBSTITUTE(TEXT(IF(ISTEXT(Overig!Z236),Overig!Z236,10*Overig!Z236),""",""????0;"",""???-0;"",""????0;"", ////"""),"'","""")&amp;SUBSTITUTE(TEXT(Overig!AA236,""",""?00;"",""?-00;"",""?00;"", //"""),"'","""")&amp;SUBSTITUTE(TEXT(Overig!AB236,""",""???0;"",""??-0;"",""???0;"", ///"""),"'","""")&amp;SUBSTITUTE(TEXT(Overig!AC236,""",""?00;"",""?-00;"",""?00;"", //"""),"'","""")&amp;SUBSTITUTE(TEXT(IF(ISTEXT(Overig!AD236),Overig!AD236,10*Overig!AD236),""",""????0;"",""???-0;"",""????0;"", ////"""),"'","""")&amp;SUBSTITUTE(TEXT(Overig!AE236,""",""?00;"",""?-00;"",""?00;"", //"""),"'","""")&amp;SUBSTITUTE(TEXT(IF(ISTEXT(Overig!AF236),Overig!AF236,10*Overig!AF236),""",""????0;"",""???-0;"",""????0;"", ////"""),"'","""")&amp;SUBSTITUTE(TEXT(Overig!AG236,""",""?00;"",""?-00;"",""?00;"", //"""),"'","""")&amp;SUBSTITUTE(TEXT(Overig!AH236,""",""???0;"",""??-0;"",""???0;"", ///"""),"'","""")&amp;SUBSTITUTE(TEXT(Overig!AI236,""",""?00;"",""?-00;"",""?00;"", //"""),"'","""")&amp;SUBSTITUTE(TEXT(Overig!AJ236,""",""??0;"",""?-0;"",""??0;"", //"""),"'","""")&amp;SUBSTITUTE(TEXT(Overig!AK236,""",""?00;"",""?-00;"",""?00;"", //"""),"'","""")&amp;SUBSTITUTE(IF(EXACT(Overig!AL236,"—"),TEXT(Overig!AL236,""",""????0;"",""???-0;"",""????0;"", ////////////,"""),TEXT(Overig!AL236,"\, \'@""',""")&amp;REPT(" ",10-LEN(Overig!AL236))),"'","""")&amp;SUBSTITUTE(TEXT(Overig!AM236,"?00;?-00;?00;"" //"""),"'","""")&amp;SUBSTITUTE(TEXT(Overig!AN236,""",""???0;"",""??-0;"",""???0;"", ///"""),"'","""")&amp;SUBSTITUTE(TEXT(Overig!AO236,""",""?00;"",""?-00;"",""?00;"", //"""),"'","""")</f>
        <v>78989, 19130823, 0800, ////, 07, /////, 07, ////, 07, /////, 07, 7615, 00, ////, 07, ////, 07, ////, 07, ///, 07, ///, 07, ////, 07, ////, 07, 135, 00, ////, 07, ////, 07, ///, 07, //, 07, ////////////, 07, ///, 07</v>
      </c>
    </row>
    <row r="237" spans="1:1" x14ac:dyDescent="0.25">
      <c r="A237" s="75" t="str">
        <f ca="1">TEXT(Overig!A237,"000\,")&amp;TEXT(Overig!B237,"?00000000")&amp;TEXT(Overig!C237,""", ""0000")&amp;SUBSTITUTE(TEXT(IF(ISTEXT(Overig!D237),Overig!D237,10*Overig!D237),""",""????0;"",""???-0;"",""????0;"", ////"""),"'","""")&amp;SUBSTITUTE(TEXT(Overig!E237,""",""?00;"",""?-00;"",""?00;"", //"""),"'","""")&amp;SUBSTITUTE(TEXT(IF(ISTEXT(Overig!F237),Overig!F237,100*Overig!F237),""",""?????0;"",""????-0;"",""?????0;"", /////"""),"'","""")&amp;SUBSTITUTE(TEXT(Overig!G237,""",""?00;"",""?-00;"",""?00;"", //"""),"'","""")&amp;SUBSTITUTE(TEXT(IF(ISTEXT(Overig!H237),Overig!H237,100*Overig!H237),""",""????0;"",""???-0;"",""????0;"", ////"""),"'","""")&amp;SUBSTITUTE(TEXT(Overig!I237,""",""?00;"",""?-00;"",""?00;"", //"""),"'","""")&amp;SUBSTITUTE(TEXT(IF(ISTEXT(Overig!J237),Overig!J237,100*Overig!J237),""",""?????0;"",""????-0;"",""?????0;"", /////"""),"'","""")&amp;SUBSTITUTE(TEXT(Overig!K237,""",""?00;"",""?-00;"",""?00;"", //"""),"'","""")&amp;SUBSTITUTE(TEXT(IF(ISTEXT(Overig!L237),Overig!L237,10*Overig!L237),""",""????0;"",""???-0;"",""????0;"", ////"""),"'","""")&amp;SUBSTITUTE(TEXT(Overig!M237,""",""?00;"",""?-00;"",""?00;"", //"""),"'","""")&amp;SUBSTITUTE(TEXT(IF(ISTEXT(Overig!N237),Overig!N237,10*Overig!N237),""",""????0;"",""???-0;"",""????0;"", ////"""),"'","""")&amp;SUBSTITUTE(TEXT(Overig!O237,""",""?00;"",""?-00;"",""?00;"", //"""),"'","""")&amp;SUBSTITUTE(TEXT(IF(ISTEXT(Overig!P237),Overig!P237,10*Overig!P237),""",""????0;"",""???-0;"",""????0;"", ////"""),"'","""")&amp;SUBSTITUTE(TEXT(Overig!Q237,""",""?00;"",""?-00;"",""?00;"", //"""),"'","""")&amp;SUBSTITUTE(TEXT(IF(ISTEXT(Overig!R237),Overig!R237,10*Overig!R237),""",""????0;"",""???-0;"",""????0;"", ////"""),"'","""")&amp;SUBSTITUTE(TEXT(Overig!S237,""",""?00;"",""?-00;"",""?00;"", //"""),"'","""")&amp;SUBSTITUTE(TEXT(Overig!T237,""",""???0;"",""??-0;"",""???0;"", ///"""),"'","""")&amp;SUBSTITUTE(TEXT(Overig!U237,""",""?00;"",""?-00;"",""?00;"", //"""),"'","""")&amp;SUBSTITUTE(TEXT(IF(ISTEXT(Overig!V237),Overig!V237,10*Overig!V237),""",""???0;"",""??-0;"",""???0;"", ///"""),"'","""")&amp;SUBSTITUTE(TEXT(Overig!W237,""",""?00;"",""?-00;"",""?00;"", //"""),"'","""")&amp;SUBSTITUTE(TEXT(IF(ISTEXT(Overig!X237),Overig!X237,10*Overig!X237),""",""????0;"",""???-0;"",""????0;"", ////"""),"'","""")&amp;SUBSTITUTE(TEXT(Overig!Y237,""",""?00;"",""?-00;"",""?00;"", //"""),"'","""")&amp;SUBSTITUTE(TEXT(IF(ISTEXT(Overig!Z237),Overig!Z237,10*Overig!Z237),""",""????0;"",""???-0;"",""????0;"", ////"""),"'","""")&amp;SUBSTITUTE(TEXT(Overig!AA237,""",""?00;"",""?-00;"",""?00;"", //"""),"'","""")&amp;SUBSTITUTE(TEXT(Overig!AB237,""",""???0;"",""??-0;"",""???0;"", ///"""),"'","""")&amp;SUBSTITUTE(TEXT(Overig!AC237,""",""?00;"",""?-00;"",""?00;"", //"""),"'","""")&amp;SUBSTITUTE(TEXT(IF(ISTEXT(Overig!AD237),Overig!AD237,10*Overig!AD237),""",""????0;"",""???-0;"",""????0;"", ////"""),"'","""")&amp;SUBSTITUTE(TEXT(Overig!AE237,""",""?00;"",""?-00;"",""?00;"", //"""),"'","""")&amp;SUBSTITUTE(TEXT(IF(ISTEXT(Overig!AF237),Overig!AF237,10*Overig!AF237),""",""????0;"",""???-0;"",""????0;"", ////"""),"'","""")&amp;SUBSTITUTE(TEXT(Overig!AG237,""",""?00;"",""?-00;"",""?00;"", //"""),"'","""")&amp;SUBSTITUTE(TEXT(Overig!AH237,""",""???0;"",""??-0;"",""???0;"", ///"""),"'","""")&amp;SUBSTITUTE(TEXT(Overig!AI237,""",""?00;"",""?-00;"",""?00;"", //"""),"'","""")&amp;SUBSTITUTE(TEXT(Overig!AJ237,""",""??0;"",""?-0;"",""??0;"", //"""),"'","""")&amp;SUBSTITUTE(TEXT(Overig!AK237,""",""?00;"",""?-00;"",""?00;"", //"""),"'","""")&amp;SUBSTITUTE(IF(EXACT(Overig!AL237,"—"),TEXT(Overig!AL237,""",""????0;"",""???-0;"",""????0;"", ////////////,"""),TEXT(Overig!AL237,"\, \'@""',""")&amp;REPT(" ",10-LEN(Overig!AL237))),"'","""")&amp;SUBSTITUTE(TEXT(Overig!AM237,"?00;?-00;?00;"" //"""),"'","""")&amp;SUBSTITUTE(TEXT(Overig!AN237,""",""???0;"",""??-0;"",""???0;"", ///"""),"'","""")&amp;SUBSTITUTE(TEXT(Overig!AO237,""",""?00;"",""?-00;"",""?00;"", //"""),"'","""")</f>
        <v>78989, 19130824, 0800, ////, 07, /////, 07, ////, 07, /////, 07, ////, 07, ////, 07, ////, 07, ////, 07, ///, 07, ///, 07, ////, 07, ////, 07, ///, 07, ////, 07, ////, 07, ///, 07, //, 07, ////////////, 07, ///, 07</v>
      </c>
    </row>
    <row r="238" spans="1:1" x14ac:dyDescent="0.25">
      <c r="A238" s="75" t="str">
        <f ca="1">TEXT(Overig!A238,"000\,")&amp;TEXT(Overig!B238,"?00000000")&amp;TEXT(Overig!C238,""", ""0000")&amp;SUBSTITUTE(TEXT(IF(ISTEXT(Overig!D238),Overig!D238,10*Overig!D238),""",""????0;"",""???-0;"",""????0;"", ////"""),"'","""")&amp;SUBSTITUTE(TEXT(Overig!E238,""",""?00;"",""?-00;"",""?00;"", //"""),"'","""")&amp;SUBSTITUTE(TEXT(IF(ISTEXT(Overig!F238),Overig!F238,100*Overig!F238),""",""?????0;"",""????-0;"",""?????0;"", /////"""),"'","""")&amp;SUBSTITUTE(TEXT(Overig!G238,""",""?00;"",""?-00;"",""?00;"", //"""),"'","""")&amp;SUBSTITUTE(TEXT(IF(ISTEXT(Overig!H238),Overig!H238,100*Overig!H238),""",""????0;"",""???-0;"",""????0;"", ////"""),"'","""")&amp;SUBSTITUTE(TEXT(Overig!I238,""",""?00;"",""?-00;"",""?00;"", //"""),"'","""")&amp;SUBSTITUTE(TEXT(IF(ISTEXT(Overig!J238),Overig!J238,100*Overig!J238),""",""?????0;"",""????-0;"",""?????0;"", /////"""),"'","""")&amp;SUBSTITUTE(TEXT(Overig!K238,""",""?00;"",""?-00;"",""?00;"", //"""),"'","""")&amp;SUBSTITUTE(TEXT(IF(ISTEXT(Overig!L238),Overig!L238,10*Overig!L238),""",""????0;"",""???-0;"",""????0;"", ////"""),"'","""")&amp;SUBSTITUTE(TEXT(Overig!M238,""",""?00;"",""?-00;"",""?00;"", //"""),"'","""")&amp;SUBSTITUTE(TEXT(IF(ISTEXT(Overig!N238),Overig!N238,10*Overig!N238),""",""????0;"",""???-0;"",""????0;"", ////"""),"'","""")&amp;SUBSTITUTE(TEXT(Overig!O238,""",""?00;"",""?-00;"",""?00;"", //"""),"'","""")&amp;SUBSTITUTE(TEXT(IF(ISTEXT(Overig!P238),Overig!P238,10*Overig!P238),""",""????0;"",""???-0;"",""????0;"", ////"""),"'","""")&amp;SUBSTITUTE(TEXT(Overig!Q238,""",""?00;"",""?-00;"",""?00;"", //"""),"'","""")&amp;SUBSTITUTE(TEXT(IF(ISTEXT(Overig!R238),Overig!R238,10*Overig!R238),""",""????0;"",""???-0;"",""????0;"", ////"""),"'","""")&amp;SUBSTITUTE(TEXT(Overig!S238,""",""?00;"",""?-00;"",""?00;"", //"""),"'","""")&amp;SUBSTITUTE(TEXT(Overig!T238,""",""???0;"",""??-0;"",""???0;"", ///"""),"'","""")&amp;SUBSTITUTE(TEXT(Overig!U238,""",""?00;"",""?-00;"",""?00;"", //"""),"'","""")&amp;SUBSTITUTE(TEXT(IF(ISTEXT(Overig!V238),Overig!V238,10*Overig!V238),""",""???0;"",""??-0;"",""???0;"", ///"""),"'","""")&amp;SUBSTITUTE(TEXT(Overig!W238,""",""?00;"",""?-00;"",""?00;"", //"""),"'","""")&amp;SUBSTITUTE(TEXT(IF(ISTEXT(Overig!X238),Overig!X238,10*Overig!X238),""",""????0;"",""???-0;"",""????0;"", ////"""),"'","""")&amp;SUBSTITUTE(TEXT(Overig!Y238,""",""?00;"",""?-00;"",""?00;"", //"""),"'","""")&amp;SUBSTITUTE(TEXT(IF(ISTEXT(Overig!Z238),Overig!Z238,10*Overig!Z238),""",""????0;"",""???-0;"",""????0;"", ////"""),"'","""")&amp;SUBSTITUTE(TEXT(Overig!AA238,""",""?00;"",""?-00;"",""?00;"", //"""),"'","""")&amp;SUBSTITUTE(TEXT(Overig!AB238,""",""???0;"",""??-0;"",""???0;"", ///"""),"'","""")&amp;SUBSTITUTE(TEXT(Overig!AC238,""",""?00;"",""?-00;"",""?00;"", //"""),"'","""")&amp;SUBSTITUTE(TEXT(IF(ISTEXT(Overig!AD238),Overig!AD238,10*Overig!AD238),""",""????0;"",""???-0;"",""????0;"", ////"""),"'","""")&amp;SUBSTITUTE(TEXT(Overig!AE238,""",""?00;"",""?-00;"",""?00;"", //"""),"'","""")&amp;SUBSTITUTE(TEXT(IF(ISTEXT(Overig!AF238),Overig!AF238,10*Overig!AF238),""",""????0;"",""???-0;"",""????0;"", ////"""),"'","""")&amp;SUBSTITUTE(TEXT(Overig!AG238,""",""?00;"",""?-00;"",""?00;"", //"""),"'","""")&amp;SUBSTITUTE(TEXT(Overig!AH238,""",""???0;"",""??-0;"",""???0;"", ///"""),"'","""")&amp;SUBSTITUTE(TEXT(Overig!AI238,""",""?00;"",""?-00;"",""?00;"", //"""),"'","""")&amp;SUBSTITUTE(TEXT(Overig!AJ238,""",""??0;"",""?-0;"",""??0;"", //"""),"'","""")&amp;SUBSTITUTE(TEXT(Overig!AK238,""",""?00;"",""?-00;"",""?00;"", //"""),"'","""")&amp;SUBSTITUTE(IF(EXACT(Overig!AL238,"—"),TEXT(Overig!AL238,""",""????0;"",""???-0;"",""????0;"", ////////////,"""),TEXT(Overig!AL238,"\, \'@""',""")&amp;REPT(" ",10-LEN(Overig!AL238))),"'","""")&amp;SUBSTITUTE(TEXT(Overig!AM238,"?00;?-00;?00;"" //"""),"'","""")&amp;SUBSTITUTE(TEXT(Overig!AN238,""",""???0;"",""??-0;"",""???0;"", ///"""),"'","""")&amp;SUBSTITUTE(TEXT(Overig!AO238,""",""?00;"",""?-00;"",""?00;"", //"""),"'","""")</f>
        <v>78989, 19130825, 0800, ////, 07, /////, 07, ////, 07, /////, 07, 7605, 00, ////, 07, ////, 07, ////, 07, ///, 07, ///, 07, ////, 07, ////, 07,  90, 00, ////, 07, ////, 07, ///, 07, //, 07, ////////////, 07, ///, 07</v>
      </c>
    </row>
    <row r="239" spans="1:1" x14ac:dyDescent="0.25">
      <c r="A239" s="75" t="str">
        <f ca="1">TEXT(Overig!A239,"000\,")&amp;TEXT(Overig!B239,"?00000000")&amp;TEXT(Overig!C239,""", ""0000")&amp;SUBSTITUTE(TEXT(IF(ISTEXT(Overig!D239),Overig!D239,10*Overig!D239),""",""????0;"",""???-0;"",""????0;"", ////"""),"'","""")&amp;SUBSTITUTE(TEXT(Overig!E239,""",""?00;"",""?-00;"",""?00;"", //"""),"'","""")&amp;SUBSTITUTE(TEXT(IF(ISTEXT(Overig!F239),Overig!F239,100*Overig!F239),""",""?????0;"",""????-0;"",""?????0;"", /////"""),"'","""")&amp;SUBSTITUTE(TEXT(Overig!G239,""",""?00;"",""?-00;"",""?00;"", //"""),"'","""")&amp;SUBSTITUTE(TEXT(IF(ISTEXT(Overig!H239),Overig!H239,100*Overig!H239),""",""????0;"",""???-0;"",""????0;"", ////"""),"'","""")&amp;SUBSTITUTE(TEXT(Overig!I239,""",""?00;"",""?-00;"",""?00;"", //"""),"'","""")&amp;SUBSTITUTE(TEXT(IF(ISTEXT(Overig!J239),Overig!J239,100*Overig!J239),""",""?????0;"",""????-0;"",""?????0;"", /////"""),"'","""")&amp;SUBSTITUTE(TEXT(Overig!K239,""",""?00;"",""?-00;"",""?00;"", //"""),"'","""")&amp;SUBSTITUTE(TEXT(IF(ISTEXT(Overig!L239),Overig!L239,10*Overig!L239),""",""????0;"",""???-0;"",""????0;"", ////"""),"'","""")&amp;SUBSTITUTE(TEXT(Overig!M239,""",""?00;"",""?-00;"",""?00;"", //"""),"'","""")&amp;SUBSTITUTE(TEXT(IF(ISTEXT(Overig!N239),Overig!N239,10*Overig!N239),""",""????0;"",""???-0;"",""????0;"", ////"""),"'","""")&amp;SUBSTITUTE(TEXT(Overig!O239,""",""?00;"",""?-00;"",""?00;"", //"""),"'","""")&amp;SUBSTITUTE(TEXT(IF(ISTEXT(Overig!P239),Overig!P239,10*Overig!P239),""",""????0;"",""???-0;"",""????0;"", ////"""),"'","""")&amp;SUBSTITUTE(TEXT(Overig!Q239,""",""?00;"",""?-00;"",""?00;"", //"""),"'","""")&amp;SUBSTITUTE(TEXT(IF(ISTEXT(Overig!R239),Overig!R239,10*Overig!R239),""",""????0;"",""???-0;"",""????0;"", ////"""),"'","""")&amp;SUBSTITUTE(TEXT(Overig!S239,""",""?00;"",""?-00;"",""?00;"", //"""),"'","""")&amp;SUBSTITUTE(TEXT(Overig!T239,""",""???0;"",""??-0;"",""???0;"", ///"""),"'","""")&amp;SUBSTITUTE(TEXT(Overig!U239,""",""?00;"",""?-00;"",""?00;"", //"""),"'","""")&amp;SUBSTITUTE(TEXT(IF(ISTEXT(Overig!V239),Overig!V239,10*Overig!V239),""",""???0;"",""??-0;"",""???0;"", ///"""),"'","""")&amp;SUBSTITUTE(TEXT(Overig!W239,""",""?00;"",""?-00;"",""?00;"", //"""),"'","""")&amp;SUBSTITUTE(TEXT(IF(ISTEXT(Overig!X239),Overig!X239,10*Overig!X239),""",""????0;"",""???-0;"",""????0;"", ////"""),"'","""")&amp;SUBSTITUTE(TEXT(Overig!Y239,""",""?00;"",""?-00;"",""?00;"", //"""),"'","""")&amp;SUBSTITUTE(TEXT(IF(ISTEXT(Overig!Z239),Overig!Z239,10*Overig!Z239),""",""????0;"",""???-0;"",""????0;"", ////"""),"'","""")&amp;SUBSTITUTE(TEXT(Overig!AA239,""",""?00;"",""?-00;"",""?00;"", //"""),"'","""")&amp;SUBSTITUTE(TEXT(Overig!AB239,""",""???0;"",""??-0;"",""???0;"", ///"""),"'","""")&amp;SUBSTITUTE(TEXT(Overig!AC239,""",""?00;"",""?-00;"",""?00;"", //"""),"'","""")&amp;SUBSTITUTE(TEXT(IF(ISTEXT(Overig!AD239),Overig!AD239,10*Overig!AD239),""",""????0;"",""???-0;"",""????0;"", ////"""),"'","""")&amp;SUBSTITUTE(TEXT(Overig!AE239,""",""?00;"",""?-00;"",""?00;"", //"""),"'","""")&amp;SUBSTITUTE(TEXT(IF(ISTEXT(Overig!AF239),Overig!AF239,10*Overig!AF239),""",""????0;"",""???-0;"",""????0;"", ////"""),"'","""")&amp;SUBSTITUTE(TEXT(Overig!AG239,""",""?00;"",""?-00;"",""?00;"", //"""),"'","""")&amp;SUBSTITUTE(TEXT(Overig!AH239,""",""???0;"",""??-0;"",""???0;"", ///"""),"'","""")&amp;SUBSTITUTE(TEXT(Overig!AI239,""",""?00;"",""?-00;"",""?00;"", //"""),"'","""")&amp;SUBSTITUTE(TEXT(Overig!AJ239,""",""??0;"",""?-0;"",""??0;"", //"""),"'","""")&amp;SUBSTITUTE(TEXT(Overig!AK239,""",""?00;"",""?-00;"",""?00;"", //"""),"'","""")&amp;SUBSTITUTE(IF(EXACT(Overig!AL239,"—"),TEXT(Overig!AL239,""",""????0;"",""???-0;"",""????0;"", ////////////,"""),TEXT(Overig!AL239,"\, \'@""',""")&amp;REPT(" ",10-LEN(Overig!AL239))),"'","""")&amp;SUBSTITUTE(TEXT(Overig!AM239,"?00;?-00;?00;"" //"""),"'","""")&amp;SUBSTITUTE(TEXT(Overig!AN239,""",""???0;"",""??-0;"",""???0;"", ///"""),"'","""")&amp;SUBSTITUTE(TEXT(Overig!AO239,""",""?00;"",""?-00;"",""?00;"", //"""),"'","""")</f>
        <v>78989, 19130826, 0800, ////, 07, /////, 07, ////, 07, /////, 07, 7590, 00, ////, 07, ////, 07, ////, 07, ///, 07, ///, 07, ////, 07, ////, 07, 135, 00, ////, 07, ////, 07, ///, 07, //, 07, ////////////, 07, ///, 07</v>
      </c>
    </row>
    <row r="240" spans="1:1" x14ac:dyDescent="0.25">
      <c r="A240" s="75" t="str">
        <f ca="1">TEXT(Overig!A240,"000\,")&amp;TEXT(Overig!B240,"?00000000")&amp;TEXT(Overig!C240,""", ""0000")&amp;SUBSTITUTE(TEXT(IF(ISTEXT(Overig!D240),Overig!D240,10*Overig!D240),""",""????0;"",""???-0;"",""????0;"", ////"""),"'","""")&amp;SUBSTITUTE(TEXT(Overig!E240,""",""?00;"",""?-00;"",""?00;"", //"""),"'","""")&amp;SUBSTITUTE(TEXT(IF(ISTEXT(Overig!F240),Overig!F240,100*Overig!F240),""",""?????0;"",""????-0;"",""?????0;"", /////"""),"'","""")&amp;SUBSTITUTE(TEXT(Overig!G240,""",""?00;"",""?-00;"",""?00;"", //"""),"'","""")&amp;SUBSTITUTE(TEXT(IF(ISTEXT(Overig!H240),Overig!H240,100*Overig!H240),""",""????0;"",""???-0;"",""????0;"", ////"""),"'","""")&amp;SUBSTITUTE(TEXT(Overig!I240,""",""?00;"",""?-00;"",""?00;"", //"""),"'","""")&amp;SUBSTITUTE(TEXT(IF(ISTEXT(Overig!J240),Overig!J240,100*Overig!J240),""",""?????0;"",""????-0;"",""?????0;"", /////"""),"'","""")&amp;SUBSTITUTE(TEXT(Overig!K240,""",""?00;"",""?-00;"",""?00;"", //"""),"'","""")&amp;SUBSTITUTE(TEXT(IF(ISTEXT(Overig!L240),Overig!L240,10*Overig!L240),""",""????0;"",""???-0;"",""????0;"", ////"""),"'","""")&amp;SUBSTITUTE(TEXT(Overig!M240,""",""?00;"",""?-00;"",""?00;"", //"""),"'","""")&amp;SUBSTITUTE(TEXT(IF(ISTEXT(Overig!N240),Overig!N240,10*Overig!N240),""",""????0;"",""???-0;"",""????0;"", ////"""),"'","""")&amp;SUBSTITUTE(TEXT(Overig!O240,""",""?00;"",""?-00;"",""?00;"", //"""),"'","""")&amp;SUBSTITUTE(TEXT(IF(ISTEXT(Overig!P240),Overig!P240,10*Overig!P240),""",""????0;"",""???-0;"",""????0;"", ////"""),"'","""")&amp;SUBSTITUTE(TEXT(Overig!Q240,""",""?00;"",""?-00;"",""?00;"", //"""),"'","""")&amp;SUBSTITUTE(TEXT(IF(ISTEXT(Overig!R240),Overig!R240,10*Overig!R240),""",""????0;"",""???-0;"",""????0;"", ////"""),"'","""")&amp;SUBSTITUTE(TEXT(Overig!S240,""",""?00;"",""?-00;"",""?00;"", //"""),"'","""")&amp;SUBSTITUTE(TEXT(Overig!T240,""",""???0;"",""??-0;"",""???0;"", ///"""),"'","""")&amp;SUBSTITUTE(TEXT(Overig!U240,""",""?00;"",""?-00;"",""?00;"", //"""),"'","""")&amp;SUBSTITUTE(TEXT(IF(ISTEXT(Overig!V240),Overig!V240,10*Overig!V240),""",""???0;"",""??-0;"",""???0;"", ///"""),"'","""")&amp;SUBSTITUTE(TEXT(Overig!W240,""",""?00;"",""?-00;"",""?00;"", //"""),"'","""")&amp;SUBSTITUTE(TEXT(IF(ISTEXT(Overig!X240),Overig!X240,10*Overig!X240),""",""????0;"",""???-0;"",""????0;"", ////"""),"'","""")&amp;SUBSTITUTE(TEXT(Overig!Y240,""",""?00;"",""?-00;"",""?00;"", //"""),"'","""")&amp;SUBSTITUTE(TEXT(IF(ISTEXT(Overig!Z240),Overig!Z240,10*Overig!Z240),""",""????0;"",""???-0;"",""????0;"", ////"""),"'","""")&amp;SUBSTITUTE(TEXT(Overig!AA240,""",""?00;"",""?-00;"",""?00;"", //"""),"'","""")&amp;SUBSTITUTE(TEXT(Overig!AB240,""",""???0;"",""??-0;"",""???0;"", ///"""),"'","""")&amp;SUBSTITUTE(TEXT(Overig!AC240,""",""?00;"",""?-00;"",""?00;"", //"""),"'","""")&amp;SUBSTITUTE(TEXT(IF(ISTEXT(Overig!AD240),Overig!AD240,10*Overig!AD240),""",""????0;"",""???-0;"",""????0;"", ////"""),"'","""")&amp;SUBSTITUTE(TEXT(Overig!AE240,""",""?00;"",""?-00;"",""?00;"", //"""),"'","""")&amp;SUBSTITUTE(TEXT(IF(ISTEXT(Overig!AF240),Overig!AF240,10*Overig!AF240),""",""????0;"",""???-0;"",""????0;"", ////"""),"'","""")&amp;SUBSTITUTE(TEXT(Overig!AG240,""",""?00;"",""?-00;"",""?00;"", //"""),"'","""")&amp;SUBSTITUTE(TEXT(Overig!AH240,""",""???0;"",""??-0;"",""???0;"", ///"""),"'","""")&amp;SUBSTITUTE(TEXT(Overig!AI240,""",""?00;"",""?-00;"",""?00;"", //"""),"'","""")&amp;SUBSTITUTE(TEXT(Overig!AJ240,""",""??0;"",""?-0;"",""??0;"", //"""),"'","""")&amp;SUBSTITUTE(TEXT(Overig!AK240,""",""?00;"",""?-00;"",""?00;"", //"""),"'","""")&amp;SUBSTITUTE(IF(EXACT(Overig!AL240,"—"),TEXT(Overig!AL240,""",""????0;"",""???-0;"",""????0;"", ////////////,"""),TEXT(Overig!AL240,"\, \'@""',""")&amp;REPT(" ",10-LEN(Overig!AL240))),"'","""")&amp;SUBSTITUTE(TEXT(Overig!AM240,"?00;?-00;?00;"" //"""),"'","""")&amp;SUBSTITUTE(TEXT(Overig!AN240,""",""???0;"",""??-0;"",""???0;"", ///"""),"'","""")&amp;SUBSTITUTE(TEXT(Overig!AO240,""",""?00;"",""?-00;"",""?00;"", //"""),"'","""")</f>
        <v>78989, 19130827, 0800, ////, 07, /////, 07, ////, 07, /////, 07, 7600, 00, ////, 07, ////, 07, ////, 07, ///, 07, ///, 07, ////, 07, ////, 07,  90, 00, ////, 07, ////, 07, ///, 07, //, 07, ////////////, 07, ///, 07</v>
      </c>
    </row>
    <row r="241" spans="1:1" x14ac:dyDescent="0.25">
      <c r="A241" s="75" t="str">
        <f ca="1">TEXT(Overig!A241,"000\,")&amp;TEXT(Overig!B241,"?00000000")&amp;TEXT(Overig!C241,""", ""0000")&amp;SUBSTITUTE(TEXT(IF(ISTEXT(Overig!D241),Overig!D241,10*Overig!D241),""",""????0;"",""???-0;"",""????0;"", ////"""),"'","""")&amp;SUBSTITUTE(TEXT(Overig!E241,""",""?00;"",""?-00;"",""?00;"", //"""),"'","""")&amp;SUBSTITUTE(TEXT(IF(ISTEXT(Overig!F241),Overig!F241,100*Overig!F241),""",""?????0;"",""????-0;"",""?????0;"", /////"""),"'","""")&amp;SUBSTITUTE(TEXT(Overig!G241,""",""?00;"",""?-00;"",""?00;"", //"""),"'","""")&amp;SUBSTITUTE(TEXT(IF(ISTEXT(Overig!H241),Overig!H241,100*Overig!H241),""",""????0;"",""???-0;"",""????0;"", ////"""),"'","""")&amp;SUBSTITUTE(TEXT(Overig!I241,""",""?00;"",""?-00;"",""?00;"", //"""),"'","""")&amp;SUBSTITUTE(TEXT(IF(ISTEXT(Overig!J241),Overig!J241,100*Overig!J241),""",""?????0;"",""????-0;"",""?????0;"", /////"""),"'","""")&amp;SUBSTITUTE(TEXT(Overig!K241,""",""?00;"",""?-00;"",""?00;"", //"""),"'","""")&amp;SUBSTITUTE(TEXT(IF(ISTEXT(Overig!L241),Overig!L241,10*Overig!L241),""",""????0;"",""???-0;"",""????0;"", ////"""),"'","""")&amp;SUBSTITUTE(TEXT(Overig!M241,""",""?00;"",""?-00;"",""?00;"", //"""),"'","""")&amp;SUBSTITUTE(TEXT(IF(ISTEXT(Overig!N241),Overig!N241,10*Overig!N241),""",""????0;"",""???-0;"",""????0;"", ////"""),"'","""")&amp;SUBSTITUTE(TEXT(Overig!O241,""",""?00;"",""?-00;"",""?00;"", //"""),"'","""")&amp;SUBSTITUTE(TEXT(IF(ISTEXT(Overig!P241),Overig!P241,10*Overig!P241),""",""????0;"",""???-0;"",""????0;"", ////"""),"'","""")&amp;SUBSTITUTE(TEXT(Overig!Q241,""",""?00;"",""?-00;"",""?00;"", //"""),"'","""")&amp;SUBSTITUTE(TEXT(IF(ISTEXT(Overig!R241),Overig!R241,10*Overig!R241),""",""????0;"",""???-0;"",""????0;"", ////"""),"'","""")&amp;SUBSTITUTE(TEXT(Overig!S241,""",""?00;"",""?-00;"",""?00;"", //"""),"'","""")&amp;SUBSTITUTE(TEXT(Overig!T241,""",""???0;"",""??-0;"",""???0;"", ///"""),"'","""")&amp;SUBSTITUTE(TEXT(Overig!U241,""",""?00;"",""?-00;"",""?00;"", //"""),"'","""")&amp;SUBSTITUTE(TEXT(IF(ISTEXT(Overig!V241),Overig!V241,10*Overig!V241),""",""???0;"",""??-0;"",""???0;"", ///"""),"'","""")&amp;SUBSTITUTE(TEXT(Overig!W241,""",""?00;"",""?-00;"",""?00;"", //"""),"'","""")&amp;SUBSTITUTE(TEXT(IF(ISTEXT(Overig!X241),Overig!X241,10*Overig!X241),""",""????0;"",""???-0;"",""????0;"", ////"""),"'","""")&amp;SUBSTITUTE(TEXT(Overig!Y241,""",""?00;"",""?-00;"",""?00;"", //"""),"'","""")&amp;SUBSTITUTE(TEXT(IF(ISTEXT(Overig!Z241),Overig!Z241,10*Overig!Z241),""",""????0;"",""???-0;"",""????0;"", ////"""),"'","""")&amp;SUBSTITUTE(TEXT(Overig!AA241,""",""?00;"",""?-00;"",""?00;"", //"""),"'","""")&amp;SUBSTITUTE(TEXT(Overig!AB241,""",""???0;"",""??-0;"",""???0;"", ///"""),"'","""")&amp;SUBSTITUTE(TEXT(Overig!AC241,""",""?00;"",""?-00;"",""?00;"", //"""),"'","""")&amp;SUBSTITUTE(TEXT(IF(ISTEXT(Overig!AD241),Overig!AD241,10*Overig!AD241),""",""????0;"",""???-0;"",""????0;"", ////"""),"'","""")&amp;SUBSTITUTE(TEXT(Overig!AE241,""",""?00;"",""?-00;"",""?00;"", //"""),"'","""")&amp;SUBSTITUTE(TEXT(IF(ISTEXT(Overig!AF241),Overig!AF241,10*Overig!AF241),""",""????0;"",""???-0;"",""????0;"", ////"""),"'","""")&amp;SUBSTITUTE(TEXT(Overig!AG241,""",""?00;"",""?-00;"",""?00;"", //"""),"'","""")&amp;SUBSTITUTE(TEXT(Overig!AH241,""",""???0;"",""??-0;"",""???0;"", ///"""),"'","""")&amp;SUBSTITUTE(TEXT(Overig!AI241,""",""?00;"",""?-00;"",""?00;"", //"""),"'","""")&amp;SUBSTITUTE(TEXT(Overig!AJ241,""",""??0;"",""?-0;"",""??0;"", //"""),"'","""")&amp;SUBSTITUTE(TEXT(Overig!AK241,""",""?00;"",""?-00;"",""?00;"", //"""),"'","""")&amp;SUBSTITUTE(IF(EXACT(Overig!AL241,"—"),TEXT(Overig!AL241,""",""????0;"",""???-0;"",""????0;"", ////////////,"""),TEXT(Overig!AL241,"\, \'@""',""")&amp;REPT(" ",10-LEN(Overig!AL241))),"'","""")&amp;SUBSTITUTE(TEXT(Overig!AM241,"?00;?-00;?00;"" //"""),"'","""")&amp;SUBSTITUTE(TEXT(Overig!AN241,""",""???0;"",""??-0;"",""???0;"", ///"""),"'","""")&amp;SUBSTITUTE(TEXT(Overig!AO241,""",""?00;"",""?-00;"",""?00;"", //"""),"'","""")</f>
        <v>78989, 19130828, 0800, ////, 07, /////, 07, ////, 07, /////, 07, 7600, 00, ////, 07, ////, 07, ////, 07, ///, 07, ///, 07, ////, 07, ////, 07, 135, 00, ////, 07, ////, 07, ///, 07, //, 07, ////////////, 07, ///, 07</v>
      </c>
    </row>
    <row r="242" spans="1:1" x14ac:dyDescent="0.25">
      <c r="A242" s="75" t="str">
        <f ca="1">TEXT(Overig!A242,"000\,")&amp;TEXT(Overig!B242,"?00000000")&amp;TEXT(Overig!C242,""", ""0000")&amp;SUBSTITUTE(TEXT(IF(ISTEXT(Overig!D242),Overig!D242,10*Overig!D242),""",""????0;"",""???-0;"",""????0;"", ////"""),"'","""")&amp;SUBSTITUTE(TEXT(Overig!E242,""",""?00;"",""?-00;"",""?00;"", //"""),"'","""")&amp;SUBSTITUTE(TEXT(IF(ISTEXT(Overig!F242),Overig!F242,100*Overig!F242),""",""?????0;"",""????-0;"",""?????0;"", /////"""),"'","""")&amp;SUBSTITUTE(TEXT(Overig!G242,""",""?00;"",""?-00;"",""?00;"", //"""),"'","""")&amp;SUBSTITUTE(TEXT(IF(ISTEXT(Overig!H242),Overig!H242,100*Overig!H242),""",""????0;"",""???-0;"",""????0;"", ////"""),"'","""")&amp;SUBSTITUTE(TEXT(Overig!I242,""",""?00;"",""?-00;"",""?00;"", //"""),"'","""")&amp;SUBSTITUTE(TEXT(IF(ISTEXT(Overig!J242),Overig!J242,100*Overig!J242),""",""?????0;"",""????-0;"",""?????0;"", /////"""),"'","""")&amp;SUBSTITUTE(TEXT(Overig!K242,""",""?00;"",""?-00;"",""?00;"", //"""),"'","""")&amp;SUBSTITUTE(TEXT(IF(ISTEXT(Overig!L242),Overig!L242,10*Overig!L242),""",""????0;"",""???-0;"",""????0;"", ////"""),"'","""")&amp;SUBSTITUTE(TEXT(Overig!M242,""",""?00;"",""?-00;"",""?00;"", //"""),"'","""")&amp;SUBSTITUTE(TEXT(IF(ISTEXT(Overig!N242),Overig!N242,10*Overig!N242),""",""????0;"",""???-0;"",""????0;"", ////"""),"'","""")&amp;SUBSTITUTE(TEXT(Overig!O242,""",""?00;"",""?-00;"",""?00;"", //"""),"'","""")&amp;SUBSTITUTE(TEXT(IF(ISTEXT(Overig!P242),Overig!P242,10*Overig!P242),""",""????0;"",""???-0;"",""????0;"", ////"""),"'","""")&amp;SUBSTITUTE(TEXT(Overig!Q242,""",""?00;"",""?-00;"",""?00;"", //"""),"'","""")&amp;SUBSTITUTE(TEXT(IF(ISTEXT(Overig!R242),Overig!R242,10*Overig!R242),""",""????0;"",""???-0;"",""????0;"", ////"""),"'","""")&amp;SUBSTITUTE(TEXT(Overig!S242,""",""?00;"",""?-00;"",""?00;"", //"""),"'","""")&amp;SUBSTITUTE(TEXT(Overig!T242,""",""???0;"",""??-0;"",""???0;"", ///"""),"'","""")&amp;SUBSTITUTE(TEXT(Overig!U242,""",""?00;"",""?-00;"",""?00;"", //"""),"'","""")&amp;SUBSTITUTE(TEXT(IF(ISTEXT(Overig!V242),Overig!V242,10*Overig!V242),""",""???0;"",""??-0;"",""???0;"", ///"""),"'","""")&amp;SUBSTITUTE(TEXT(Overig!W242,""",""?00;"",""?-00;"",""?00;"", //"""),"'","""")&amp;SUBSTITUTE(TEXT(IF(ISTEXT(Overig!X242),Overig!X242,10*Overig!X242),""",""????0;"",""???-0;"",""????0;"", ////"""),"'","""")&amp;SUBSTITUTE(TEXT(Overig!Y242,""",""?00;"",""?-00;"",""?00;"", //"""),"'","""")&amp;SUBSTITUTE(TEXT(IF(ISTEXT(Overig!Z242),Overig!Z242,10*Overig!Z242),""",""????0;"",""???-0;"",""????0;"", ////"""),"'","""")&amp;SUBSTITUTE(TEXT(Overig!AA242,""",""?00;"",""?-00;"",""?00;"", //"""),"'","""")&amp;SUBSTITUTE(TEXT(Overig!AB242,""",""???0;"",""??-0;"",""???0;"", ///"""),"'","""")&amp;SUBSTITUTE(TEXT(Overig!AC242,""",""?00;"",""?-00;"",""?00;"", //"""),"'","""")&amp;SUBSTITUTE(TEXT(IF(ISTEXT(Overig!AD242),Overig!AD242,10*Overig!AD242),""",""????0;"",""???-0;"",""????0;"", ////"""),"'","""")&amp;SUBSTITUTE(TEXT(Overig!AE242,""",""?00;"",""?-00;"",""?00;"", //"""),"'","""")&amp;SUBSTITUTE(TEXT(IF(ISTEXT(Overig!AF242),Overig!AF242,10*Overig!AF242),""",""????0;"",""???-0;"",""????0;"", ////"""),"'","""")&amp;SUBSTITUTE(TEXT(Overig!AG242,""",""?00;"",""?-00;"",""?00;"", //"""),"'","""")&amp;SUBSTITUTE(TEXT(Overig!AH242,""",""???0;"",""??-0;"",""???0;"", ///"""),"'","""")&amp;SUBSTITUTE(TEXT(Overig!AI242,""",""?00;"",""?-00;"",""?00;"", //"""),"'","""")&amp;SUBSTITUTE(TEXT(Overig!AJ242,""",""??0;"",""?-0;"",""??0;"", //"""),"'","""")&amp;SUBSTITUTE(TEXT(Overig!AK242,""",""?00;"",""?-00;"",""?00;"", //"""),"'","""")&amp;SUBSTITUTE(IF(EXACT(Overig!AL242,"—"),TEXT(Overig!AL242,""",""????0;"",""???-0;"",""????0;"", ////////////,"""),TEXT(Overig!AL242,"\, \'@""',""")&amp;REPT(" ",10-LEN(Overig!AL242))),"'","""")&amp;SUBSTITUTE(TEXT(Overig!AM242,"?00;?-00;?00;"" //"""),"'","""")&amp;SUBSTITUTE(TEXT(Overig!AN242,""",""???0;"",""??-0;"",""???0;"", ///"""),"'","""")&amp;SUBSTITUTE(TEXT(Overig!AO242,""",""?00;"",""?-00;"",""?00;"", //"""),"'","""")</f>
        <v>78989, 19130829, 0800, ////, 07, /////, 07, ////, 07, /////, 07, 7590, 00, ////, 07, ////, 07, ////, 07, ///, 07, ///, 07, ////, 07, ////, 07, 135, 00, ////, 07, ////, 07, ///, 07, //, 07, ////////////, 07, ///, 07</v>
      </c>
    </row>
    <row r="243" spans="1:1" x14ac:dyDescent="0.25">
      <c r="A243" s="75" t="str">
        <f ca="1">TEXT(Overig!A243,"000\,")&amp;TEXT(Overig!B243,"?00000000")&amp;TEXT(Overig!C243,""", ""0000")&amp;SUBSTITUTE(TEXT(IF(ISTEXT(Overig!D243),Overig!D243,10*Overig!D243),""",""????0;"",""???-0;"",""????0;"", ////"""),"'","""")&amp;SUBSTITUTE(TEXT(Overig!E243,""",""?00;"",""?-00;"",""?00;"", //"""),"'","""")&amp;SUBSTITUTE(TEXT(IF(ISTEXT(Overig!F243),Overig!F243,100*Overig!F243),""",""?????0;"",""????-0;"",""?????0;"", /////"""),"'","""")&amp;SUBSTITUTE(TEXT(Overig!G243,""",""?00;"",""?-00;"",""?00;"", //"""),"'","""")&amp;SUBSTITUTE(TEXT(IF(ISTEXT(Overig!H243),Overig!H243,100*Overig!H243),""",""????0;"",""???-0;"",""????0;"", ////"""),"'","""")&amp;SUBSTITUTE(TEXT(Overig!I243,""",""?00;"",""?-00;"",""?00;"", //"""),"'","""")&amp;SUBSTITUTE(TEXT(IF(ISTEXT(Overig!J243),Overig!J243,100*Overig!J243),""",""?????0;"",""????-0;"",""?????0;"", /////"""),"'","""")&amp;SUBSTITUTE(TEXT(Overig!K243,""",""?00;"",""?-00;"",""?00;"", //"""),"'","""")&amp;SUBSTITUTE(TEXT(IF(ISTEXT(Overig!L243),Overig!L243,10*Overig!L243),""",""????0;"",""???-0;"",""????0;"", ////"""),"'","""")&amp;SUBSTITUTE(TEXT(Overig!M243,""",""?00;"",""?-00;"",""?00;"", //"""),"'","""")&amp;SUBSTITUTE(TEXT(IF(ISTEXT(Overig!N243),Overig!N243,10*Overig!N243),""",""????0;"",""???-0;"",""????0;"", ////"""),"'","""")&amp;SUBSTITUTE(TEXT(Overig!O243,""",""?00;"",""?-00;"",""?00;"", //"""),"'","""")&amp;SUBSTITUTE(TEXT(IF(ISTEXT(Overig!P243),Overig!P243,10*Overig!P243),""",""????0;"",""???-0;"",""????0;"", ////"""),"'","""")&amp;SUBSTITUTE(TEXT(Overig!Q243,""",""?00;"",""?-00;"",""?00;"", //"""),"'","""")&amp;SUBSTITUTE(TEXT(IF(ISTEXT(Overig!R243),Overig!R243,10*Overig!R243),""",""????0;"",""???-0;"",""????0;"", ////"""),"'","""")&amp;SUBSTITUTE(TEXT(Overig!S243,""",""?00;"",""?-00;"",""?00;"", //"""),"'","""")&amp;SUBSTITUTE(TEXT(Overig!T243,""",""???0;"",""??-0;"",""???0;"", ///"""),"'","""")&amp;SUBSTITUTE(TEXT(Overig!U243,""",""?00;"",""?-00;"",""?00;"", //"""),"'","""")&amp;SUBSTITUTE(TEXT(IF(ISTEXT(Overig!V243),Overig!V243,10*Overig!V243),""",""???0;"",""??-0;"",""???0;"", ///"""),"'","""")&amp;SUBSTITUTE(TEXT(Overig!W243,""",""?00;"",""?-00;"",""?00;"", //"""),"'","""")&amp;SUBSTITUTE(TEXT(IF(ISTEXT(Overig!X243),Overig!X243,10*Overig!X243),""",""????0;"",""???-0;"",""????0;"", ////"""),"'","""")&amp;SUBSTITUTE(TEXT(Overig!Y243,""",""?00;"",""?-00;"",""?00;"", //"""),"'","""")&amp;SUBSTITUTE(TEXT(IF(ISTEXT(Overig!Z243),Overig!Z243,10*Overig!Z243),""",""????0;"",""???-0;"",""????0;"", ////"""),"'","""")&amp;SUBSTITUTE(TEXT(Overig!AA243,""",""?00;"",""?-00;"",""?00;"", //"""),"'","""")&amp;SUBSTITUTE(TEXT(Overig!AB243,""",""???0;"",""??-0;"",""???0;"", ///"""),"'","""")&amp;SUBSTITUTE(TEXT(Overig!AC243,""",""?00;"",""?-00;"",""?00;"", //"""),"'","""")&amp;SUBSTITUTE(TEXT(IF(ISTEXT(Overig!AD243),Overig!AD243,10*Overig!AD243),""",""????0;"",""???-0;"",""????0;"", ////"""),"'","""")&amp;SUBSTITUTE(TEXT(Overig!AE243,""",""?00;"",""?-00;"",""?00;"", //"""),"'","""")&amp;SUBSTITUTE(TEXT(IF(ISTEXT(Overig!AF243),Overig!AF243,10*Overig!AF243),""",""????0;"",""???-0;"",""????0;"", ////"""),"'","""")&amp;SUBSTITUTE(TEXT(Overig!AG243,""",""?00;"",""?-00;"",""?00;"", //"""),"'","""")&amp;SUBSTITUTE(TEXT(Overig!AH243,""",""???0;"",""??-0;"",""???0;"", ///"""),"'","""")&amp;SUBSTITUTE(TEXT(Overig!AI243,""",""?00;"",""?-00;"",""?00;"", //"""),"'","""")&amp;SUBSTITUTE(TEXT(Overig!AJ243,""",""??0;"",""?-0;"",""??0;"", //"""),"'","""")&amp;SUBSTITUTE(TEXT(Overig!AK243,""",""?00;"",""?-00;"",""?00;"", //"""),"'","""")&amp;SUBSTITUTE(IF(EXACT(Overig!AL243,"—"),TEXT(Overig!AL243,""",""????0;"",""???-0;"",""????0;"", ////////////,"""),TEXT(Overig!AL243,"\, \'@""',""")&amp;REPT(" ",10-LEN(Overig!AL243))),"'","""")&amp;SUBSTITUTE(TEXT(Overig!AM243,"?00;?-00;?00;"" //"""),"'","""")&amp;SUBSTITUTE(TEXT(Overig!AN243,""",""???0;"",""??-0;"",""???0;"", ///"""),"'","""")&amp;SUBSTITUTE(TEXT(Overig!AO243,""",""?00;"",""?-00;"",""?00;"", //"""),"'","""")</f>
        <v>78989, 19130830, 0800, ////, 07, /////, 07, ////, 07, /////, 07, 7584, 00, ////, 07, ////, 07, ////, 07, ///, 07, ///, 07, ////, 07, ////, 07,  90, 00, ////, 07, ////, 07, ///, 07, //, 07, ////////////, 07, ///, 07</v>
      </c>
    </row>
    <row r="244" spans="1:1" x14ac:dyDescent="0.25">
      <c r="A244" s="75" t="str">
        <f ca="1">TEXT(Overig!A244,"000\,")&amp;TEXT(Overig!B244,"?00000000")&amp;TEXT(Overig!C244,""", ""0000")&amp;SUBSTITUTE(TEXT(IF(ISTEXT(Overig!D244),Overig!D244,10*Overig!D244),""",""????0;"",""???-0;"",""????0;"", ////"""),"'","""")&amp;SUBSTITUTE(TEXT(Overig!E244,""",""?00;"",""?-00;"",""?00;"", //"""),"'","""")&amp;SUBSTITUTE(TEXT(IF(ISTEXT(Overig!F244),Overig!F244,100*Overig!F244),""",""?????0;"",""????-0;"",""?????0;"", /////"""),"'","""")&amp;SUBSTITUTE(TEXT(Overig!G244,""",""?00;"",""?-00;"",""?00;"", //"""),"'","""")&amp;SUBSTITUTE(TEXT(IF(ISTEXT(Overig!H244),Overig!H244,100*Overig!H244),""",""????0;"",""???-0;"",""????0;"", ////"""),"'","""")&amp;SUBSTITUTE(TEXT(Overig!I244,""",""?00;"",""?-00;"",""?00;"", //"""),"'","""")&amp;SUBSTITUTE(TEXT(IF(ISTEXT(Overig!J244),Overig!J244,100*Overig!J244),""",""?????0;"",""????-0;"",""?????0;"", /////"""),"'","""")&amp;SUBSTITUTE(TEXT(Overig!K244,""",""?00;"",""?-00;"",""?00;"", //"""),"'","""")&amp;SUBSTITUTE(TEXT(IF(ISTEXT(Overig!L244),Overig!L244,10*Overig!L244),""",""????0;"",""???-0;"",""????0;"", ////"""),"'","""")&amp;SUBSTITUTE(TEXT(Overig!M244,""",""?00;"",""?-00;"",""?00;"", //"""),"'","""")&amp;SUBSTITUTE(TEXT(IF(ISTEXT(Overig!N244),Overig!N244,10*Overig!N244),""",""????0;"",""???-0;"",""????0;"", ////"""),"'","""")&amp;SUBSTITUTE(TEXT(Overig!O244,""",""?00;"",""?-00;"",""?00;"", //"""),"'","""")&amp;SUBSTITUTE(TEXT(IF(ISTEXT(Overig!P244),Overig!P244,10*Overig!P244),""",""????0;"",""???-0;"",""????0;"", ////"""),"'","""")&amp;SUBSTITUTE(TEXT(Overig!Q244,""",""?00;"",""?-00;"",""?00;"", //"""),"'","""")&amp;SUBSTITUTE(TEXT(IF(ISTEXT(Overig!R244),Overig!R244,10*Overig!R244),""",""????0;"",""???-0;"",""????0;"", ////"""),"'","""")&amp;SUBSTITUTE(TEXT(Overig!S244,""",""?00;"",""?-00;"",""?00;"", //"""),"'","""")&amp;SUBSTITUTE(TEXT(Overig!T244,""",""???0;"",""??-0;"",""???0;"", ///"""),"'","""")&amp;SUBSTITUTE(TEXT(Overig!U244,""",""?00;"",""?-00;"",""?00;"", //"""),"'","""")&amp;SUBSTITUTE(TEXT(IF(ISTEXT(Overig!V244),Overig!V244,10*Overig!V244),""",""???0;"",""??-0;"",""???0;"", ///"""),"'","""")&amp;SUBSTITUTE(TEXT(Overig!W244,""",""?00;"",""?-00;"",""?00;"", //"""),"'","""")&amp;SUBSTITUTE(TEXT(IF(ISTEXT(Overig!X244),Overig!X244,10*Overig!X244),""",""????0;"",""???-0;"",""????0;"", ////"""),"'","""")&amp;SUBSTITUTE(TEXT(Overig!Y244,""",""?00;"",""?-00;"",""?00;"", //"""),"'","""")&amp;SUBSTITUTE(TEXT(IF(ISTEXT(Overig!Z244),Overig!Z244,10*Overig!Z244),""",""????0;"",""???-0;"",""????0;"", ////"""),"'","""")&amp;SUBSTITUTE(TEXT(Overig!AA244,""",""?00;"",""?-00;"",""?00;"", //"""),"'","""")&amp;SUBSTITUTE(TEXT(Overig!AB244,""",""???0;"",""??-0;"",""???0;"", ///"""),"'","""")&amp;SUBSTITUTE(TEXT(Overig!AC244,""",""?00;"",""?-00;"",""?00;"", //"""),"'","""")&amp;SUBSTITUTE(TEXT(IF(ISTEXT(Overig!AD244),Overig!AD244,10*Overig!AD244),""",""????0;"",""???-0;"",""????0;"", ////"""),"'","""")&amp;SUBSTITUTE(TEXT(Overig!AE244,""",""?00;"",""?-00;"",""?00;"", //"""),"'","""")&amp;SUBSTITUTE(TEXT(IF(ISTEXT(Overig!AF244),Overig!AF244,10*Overig!AF244),""",""????0;"",""???-0;"",""????0;"", ////"""),"'","""")&amp;SUBSTITUTE(TEXT(Overig!AG244,""",""?00;"",""?-00;"",""?00;"", //"""),"'","""")&amp;SUBSTITUTE(TEXT(Overig!AH244,""",""???0;"",""??-0;"",""???0;"", ///"""),"'","""")&amp;SUBSTITUTE(TEXT(Overig!AI244,""",""?00;"",""?-00;"",""?00;"", //"""),"'","""")&amp;SUBSTITUTE(TEXT(Overig!AJ244,""",""??0;"",""?-0;"",""??0;"", //"""),"'","""")&amp;SUBSTITUTE(TEXT(Overig!AK244,""",""?00;"",""?-00;"",""?00;"", //"""),"'","""")&amp;SUBSTITUTE(IF(EXACT(Overig!AL244,"—"),TEXT(Overig!AL244,""",""????0;"",""???-0;"",""????0;"", ////////////,"""),TEXT(Overig!AL244,"\, \'@""',""")&amp;REPT(" ",10-LEN(Overig!AL244))),"'","""")&amp;SUBSTITUTE(TEXT(Overig!AM244,"?00;?-00;?00;"" //"""),"'","""")&amp;SUBSTITUTE(TEXT(Overig!AN244,""",""???0;"",""??-0;"",""???0;"", ///"""),"'","""")&amp;SUBSTITUTE(TEXT(Overig!AO244,""",""?00;"",""?-00;"",""?00;"", //"""),"'","""")</f>
        <v>78989, 19130831, 0800, ////, 07, /////, 07, ////, 07, /////, 07, 7595, 00, ////, 07, ////, 07, ////, 07, ///, 07, ///, 07, ////, 07, ////, 07, 135, 00, ////, 07, ////, 07, ///, 07, //, 07, ////////////, 07, ///, 07</v>
      </c>
    </row>
    <row r="245" spans="1:1" x14ac:dyDescent="0.25">
      <c r="A245" s="75" t="str">
        <f ca="1">TEXT(Overig!A245,"000\,")&amp;TEXT(Overig!B245,"?00000000")&amp;TEXT(Overig!C245,""", ""0000")&amp;SUBSTITUTE(TEXT(IF(ISTEXT(Overig!D245),Overig!D245,10*Overig!D245),""",""????0;"",""???-0;"",""????0;"", ////"""),"'","""")&amp;SUBSTITUTE(TEXT(Overig!E245,""",""?00;"",""?-00;"",""?00;"", //"""),"'","""")&amp;SUBSTITUTE(TEXT(IF(ISTEXT(Overig!F245),Overig!F245,100*Overig!F245),""",""?????0;"",""????-0;"",""?????0;"", /////"""),"'","""")&amp;SUBSTITUTE(TEXT(Overig!G245,""",""?00;"",""?-00;"",""?00;"", //"""),"'","""")&amp;SUBSTITUTE(TEXT(IF(ISTEXT(Overig!H245),Overig!H245,100*Overig!H245),""",""????0;"",""???-0;"",""????0;"", ////"""),"'","""")&amp;SUBSTITUTE(TEXT(Overig!I245,""",""?00;"",""?-00;"",""?00;"", //"""),"'","""")&amp;SUBSTITUTE(TEXT(IF(ISTEXT(Overig!J245),Overig!J245,100*Overig!J245),""",""?????0;"",""????-0;"",""?????0;"", /////"""),"'","""")&amp;SUBSTITUTE(TEXT(Overig!K245,""",""?00;"",""?-00;"",""?00;"", //"""),"'","""")&amp;SUBSTITUTE(TEXT(IF(ISTEXT(Overig!L245),Overig!L245,10*Overig!L245),""",""????0;"",""???-0;"",""????0;"", ////"""),"'","""")&amp;SUBSTITUTE(TEXT(Overig!M245,""",""?00;"",""?-00;"",""?00;"", //"""),"'","""")&amp;SUBSTITUTE(TEXT(IF(ISTEXT(Overig!N245),Overig!N245,10*Overig!N245),""",""????0;"",""???-0;"",""????0;"", ////"""),"'","""")&amp;SUBSTITUTE(TEXT(Overig!O245,""",""?00;"",""?-00;"",""?00;"", //"""),"'","""")&amp;SUBSTITUTE(TEXT(IF(ISTEXT(Overig!P245),Overig!P245,10*Overig!P245),""",""????0;"",""???-0;"",""????0;"", ////"""),"'","""")&amp;SUBSTITUTE(TEXT(Overig!Q245,""",""?00;"",""?-00;"",""?00;"", //"""),"'","""")&amp;SUBSTITUTE(TEXT(IF(ISTEXT(Overig!R245),Overig!R245,10*Overig!R245),""",""????0;"",""???-0;"",""????0;"", ////"""),"'","""")&amp;SUBSTITUTE(TEXT(Overig!S245,""",""?00;"",""?-00;"",""?00;"", //"""),"'","""")&amp;SUBSTITUTE(TEXT(Overig!T245,""",""???0;"",""??-0;"",""???0;"", ///"""),"'","""")&amp;SUBSTITUTE(TEXT(Overig!U245,""",""?00;"",""?-00;"",""?00;"", //"""),"'","""")&amp;SUBSTITUTE(TEXT(IF(ISTEXT(Overig!V245),Overig!V245,10*Overig!V245),""",""???0;"",""??-0;"",""???0;"", ///"""),"'","""")&amp;SUBSTITUTE(TEXT(Overig!W245,""",""?00;"",""?-00;"",""?00;"", //"""),"'","""")&amp;SUBSTITUTE(TEXT(IF(ISTEXT(Overig!X245),Overig!X245,10*Overig!X245),""",""????0;"",""???-0;"",""????0;"", ////"""),"'","""")&amp;SUBSTITUTE(TEXT(Overig!Y245,""",""?00;"",""?-00;"",""?00;"", //"""),"'","""")&amp;SUBSTITUTE(TEXT(IF(ISTEXT(Overig!Z245),Overig!Z245,10*Overig!Z245),""",""????0;"",""???-0;"",""????0;"", ////"""),"'","""")&amp;SUBSTITUTE(TEXT(Overig!AA245,""",""?00;"",""?-00;"",""?00;"", //"""),"'","""")&amp;SUBSTITUTE(TEXT(Overig!AB245,""",""???0;"",""??-0;"",""???0;"", ///"""),"'","""")&amp;SUBSTITUTE(TEXT(Overig!AC245,""",""?00;"",""?-00;"",""?00;"", //"""),"'","""")&amp;SUBSTITUTE(TEXT(IF(ISTEXT(Overig!AD245),Overig!AD245,10*Overig!AD245),""",""????0;"",""???-0;"",""????0;"", ////"""),"'","""")&amp;SUBSTITUTE(TEXT(Overig!AE245,""",""?00;"",""?-00;"",""?00;"", //"""),"'","""")&amp;SUBSTITUTE(TEXT(IF(ISTEXT(Overig!AF245),Overig!AF245,10*Overig!AF245),""",""????0;"",""???-0;"",""????0;"", ////"""),"'","""")&amp;SUBSTITUTE(TEXT(Overig!AG245,""",""?00;"",""?-00;"",""?00;"", //"""),"'","""")&amp;SUBSTITUTE(TEXT(Overig!AH245,""",""???0;"",""??-0;"",""???0;"", ///"""),"'","""")&amp;SUBSTITUTE(TEXT(Overig!AI245,""",""?00;"",""?-00;"",""?00;"", //"""),"'","""")&amp;SUBSTITUTE(TEXT(Overig!AJ245,""",""??0;"",""?-0;"",""??0;"", //"""),"'","""")&amp;SUBSTITUTE(TEXT(Overig!AK245,""",""?00;"",""?-00;"",""?00;"", //"""),"'","""")&amp;SUBSTITUTE(IF(EXACT(Overig!AL245,"—"),TEXT(Overig!AL245,""",""????0;"",""???-0;"",""????0;"", ////////////,"""),TEXT(Overig!AL245,"\, \'@""',""")&amp;REPT(" ",10-LEN(Overig!AL245))),"'","""")&amp;SUBSTITUTE(TEXT(Overig!AM245,"?00;?-00;?00;"" //"""),"'","""")&amp;SUBSTITUTE(TEXT(Overig!AN245,""",""???0;"",""??-0;"",""???0;"", ///"""),"'","""")&amp;SUBSTITUTE(TEXT(Overig!AO245,""",""?00;"",""?-00;"",""?00;"", //"""),"'","""")</f>
        <v>78989, 19130901, 0800, ////, 07, /////, 07, ////, 07, /////, 07, 7605, 00, ////, 07, ////, 07, ////, 07, ///, 07, ///, 07, ////, 07, ////, 07,  90, 00, ////, 07, ////, 07, ///, 07, //, 07, ////////////, 07, ///, 07</v>
      </c>
    </row>
    <row r="246" spans="1:1" x14ac:dyDescent="0.25">
      <c r="A246" s="75" t="str">
        <f ca="1">TEXT(Overig!A246,"000\,")&amp;TEXT(Overig!B246,"?00000000")&amp;TEXT(Overig!C246,""", ""0000")&amp;SUBSTITUTE(TEXT(IF(ISTEXT(Overig!D246),Overig!D246,10*Overig!D246),""",""????0;"",""???-0;"",""????0;"", ////"""),"'","""")&amp;SUBSTITUTE(TEXT(Overig!E246,""",""?00;"",""?-00;"",""?00;"", //"""),"'","""")&amp;SUBSTITUTE(TEXT(IF(ISTEXT(Overig!F246),Overig!F246,100*Overig!F246),""",""?????0;"",""????-0;"",""?????0;"", /////"""),"'","""")&amp;SUBSTITUTE(TEXT(Overig!G246,""",""?00;"",""?-00;"",""?00;"", //"""),"'","""")&amp;SUBSTITUTE(TEXT(IF(ISTEXT(Overig!H246),Overig!H246,100*Overig!H246),""",""????0;"",""???-0;"",""????0;"", ////"""),"'","""")&amp;SUBSTITUTE(TEXT(Overig!I246,""",""?00;"",""?-00;"",""?00;"", //"""),"'","""")&amp;SUBSTITUTE(TEXT(IF(ISTEXT(Overig!J246),Overig!J246,100*Overig!J246),""",""?????0;"",""????-0;"",""?????0;"", /////"""),"'","""")&amp;SUBSTITUTE(TEXT(Overig!K246,""",""?00;"",""?-00;"",""?00;"", //"""),"'","""")&amp;SUBSTITUTE(TEXT(IF(ISTEXT(Overig!L246),Overig!L246,10*Overig!L246),""",""????0;"",""???-0;"",""????0;"", ////"""),"'","""")&amp;SUBSTITUTE(TEXT(Overig!M246,""",""?00;"",""?-00;"",""?00;"", //"""),"'","""")&amp;SUBSTITUTE(TEXT(IF(ISTEXT(Overig!N246),Overig!N246,10*Overig!N246),""",""????0;"",""???-0;"",""????0;"", ////"""),"'","""")&amp;SUBSTITUTE(TEXT(Overig!O246,""",""?00;"",""?-00;"",""?00;"", //"""),"'","""")&amp;SUBSTITUTE(TEXT(IF(ISTEXT(Overig!P246),Overig!P246,10*Overig!P246),""",""????0;"",""???-0;"",""????0;"", ////"""),"'","""")&amp;SUBSTITUTE(TEXT(Overig!Q246,""",""?00;"",""?-00;"",""?00;"", //"""),"'","""")&amp;SUBSTITUTE(TEXT(IF(ISTEXT(Overig!R246),Overig!R246,10*Overig!R246),""",""????0;"",""???-0;"",""????0;"", ////"""),"'","""")&amp;SUBSTITUTE(TEXT(Overig!S246,""",""?00;"",""?-00;"",""?00;"", //"""),"'","""")&amp;SUBSTITUTE(TEXT(Overig!T246,""",""???0;"",""??-0;"",""???0;"", ///"""),"'","""")&amp;SUBSTITUTE(TEXT(Overig!U246,""",""?00;"",""?-00;"",""?00;"", //"""),"'","""")&amp;SUBSTITUTE(TEXT(IF(ISTEXT(Overig!V246),Overig!V246,10*Overig!V246),""",""???0;"",""??-0;"",""???0;"", ///"""),"'","""")&amp;SUBSTITUTE(TEXT(Overig!W246,""",""?00;"",""?-00;"",""?00;"", //"""),"'","""")&amp;SUBSTITUTE(TEXT(IF(ISTEXT(Overig!X246),Overig!X246,10*Overig!X246),""",""????0;"",""???-0;"",""????0;"", ////"""),"'","""")&amp;SUBSTITUTE(TEXT(Overig!Y246,""",""?00;"",""?-00;"",""?00;"", //"""),"'","""")&amp;SUBSTITUTE(TEXT(IF(ISTEXT(Overig!Z246),Overig!Z246,10*Overig!Z246),""",""????0;"",""???-0;"",""????0;"", ////"""),"'","""")&amp;SUBSTITUTE(TEXT(Overig!AA246,""",""?00;"",""?-00;"",""?00;"", //"""),"'","""")&amp;SUBSTITUTE(TEXT(Overig!AB246,""",""???0;"",""??-0;"",""???0;"", ///"""),"'","""")&amp;SUBSTITUTE(TEXT(Overig!AC246,""",""?00;"",""?-00;"",""?00;"", //"""),"'","""")&amp;SUBSTITUTE(TEXT(IF(ISTEXT(Overig!AD246),Overig!AD246,10*Overig!AD246),""",""????0;"",""???-0;"",""????0;"", ////"""),"'","""")&amp;SUBSTITUTE(TEXT(Overig!AE246,""",""?00;"",""?-00;"",""?00;"", //"""),"'","""")&amp;SUBSTITUTE(TEXT(IF(ISTEXT(Overig!AF246),Overig!AF246,10*Overig!AF246),""",""????0;"",""???-0;"",""????0;"", ////"""),"'","""")&amp;SUBSTITUTE(TEXT(Overig!AG246,""",""?00;"",""?-00;"",""?00;"", //"""),"'","""")&amp;SUBSTITUTE(TEXT(Overig!AH246,""",""???0;"",""??-0;"",""???0;"", ///"""),"'","""")&amp;SUBSTITUTE(TEXT(Overig!AI246,""",""?00;"",""?-00;"",""?00;"", //"""),"'","""")&amp;SUBSTITUTE(TEXT(Overig!AJ246,""",""??0;"",""?-0;"",""??0;"", //"""),"'","""")&amp;SUBSTITUTE(TEXT(Overig!AK246,""",""?00;"",""?-00;"",""?00;"", //"""),"'","""")&amp;SUBSTITUTE(IF(EXACT(Overig!AL246,"—"),TEXT(Overig!AL246,""",""????0;"",""???-0;"",""????0;"", ////////////,"""),TEXT(Overig!AL246,"\, \'@""',""")&amp;REPT(" ",10-LEN(Overig!AL246))),"'","""")&amp;SUBSTITUTE(TEXT(Overig!AM246,"?00;?-00;?00;"" //"""),"'","""")&amp;SUBSTITUTE(TEXT(Overig!AN246,""",""???0;"",""??-0;"",""???0;"", ///"""),"'","""")&amp;SUBSTITUTE(TEXT(Overig!AO246,""",""?00;"",""?-00;"",""?00;"", //"""),"'","""")</f>
        <v>78989, 19130902, 0800, ////, 07, /////, 07, ////, 07, /////, 07, 7595, 00, ////, 07, ////, 07, ////, 07, ///, 07, ///, 07, ////, 07, ////, 07,  90, 00, ////, 07, ////, 07, ///, 07, //, 07, ////////////, 07, ///, 07</v>
      </c>
    </row>
    <row r="247" spans="1:1" x14ac:dyDescent="0.25">
      <c r="A247" s="75" t="str">
        <f ca="1">TEXT(Overig!A247,"000\,")&amp;TEXT(Overig!B247,"?00000000")&amp;TEXT(Overig!C247,""", ""0000")&amp;SUBSTITUTE(TEXT(IF(ISTEXT(Overig!D247),Overig!D247,10*Overig!D247),""",""????0;"",""???-0;"",""????0;"", ////"""),"'","""")&amp;SUBSTITUTE(TEXT(Overig!E247,""",""?00;"",""?-00;"",""?00;"", //"""),"'","""")&amp;SUBSTITUTE(TEXT(IF(ISTEXT(Overig!F247),Overig!F247,100*Overig!F247),""",""?????0;"",""????-0;"",""?????0;"", /////"""),"'","""")&amp;SUBSTITUTE(TEXT(Overig!G247,""",""?00;"",""?-00;"",""?00;"", //"""),"'","""")&amp;SUBSTITUTE(TEXT(IF(ISTEXT(Overig!H247),Overig!H247,100*Overig!H247),""",""????0;"",""???-0;"",""????0;"", ////"""),"'","""")&amp;SUBSTITUTE(TEXT(Overig!I247,""",""?00;"",""?-00;"",""?00;"", //"""),"'","""")&amp;SUBSTITUTE(TEXT(IF(ISTEXT(Overig!J247),Overig!J247,100*Overig!J247),""",""?????0;"",""????-0;"",""?????0;"", /////"""),"'","""")&amp;SUBSTITUTE(TEXT(Overig!K247,""",""?00;"",""?-00;"",""?00;"", //"""),"'","""")&amp;SUBSTITUTE(TEXT(IF(ISTEXT(Overig!L247),Overig!L247,10*Overig!L247),""",""????0;"",""???-0;"",""????0;"", ////"""),"'","""")&amp;SUBSTITUTE(TEXT(Overig!M247,""",""?00;"",""?-00;"",""?00;"", //"""),"'","""")&amp;SUBSTITUTE(TEXT(IF(ISTEXT(Overig!N247),Overig!N247,10*Overig!N247),""",""????0;"",""???-0;"",""????0;"", ////"""),"'","""")&amp;SUBSTITUTE(TEXT(Overig!O247,""",""?00;"",""?-00;"",""?00;"", //"""),"'","""")&amp;SUBSTITUTE(TEXT(IF(ISTEXT(Overig!P247),Overig!P247,10*Overig!P247),""",""????0;"",""???-0;"",""????0;"", ////"""),"'","""")&amp;SUBSTITUTE(TEXT(Overig!Q247,""",""?00;"",""?-00;"",""?00;"", //"""),"'","""")&amp;SUBSTITUTE(TEXT(IF(ISTEXT(Overig!R247),Overig!R247,10*Overig!R247),""",""????0;"",""???-0;"",""????0;"", ////"""),"'","""")&amp;SUBSTITUTE(TEXT(Overig!S247,""",""?00;"",""?-00;"",""?00;"", //"""),"'","""")&amp;SUBSTITUTE(TEXT(Overig!T247,""",""???0;"",""??-0;"",""???0;"", ///"""),"'","""")&amp;SUBSTITUTE(TEXT(Overig!U247,""",""?00;"",""?-00;"",""?00;"", //"""),"'","""")&amp;SUBSTITUTE(TEXT(IF(ISTEXT(Overig!V247),Overig!V247,10*Overig!V247),""",""???0;"",""??-0;"",""???0;"", ///"""),"'","""")&amp;SUBSTITUTE(TEXT(Overig!W247,""",""?00;"",""?-00;"",""?00;"", //"""),"'","""")&amp;SUBSTITUTE(TEXT(IF(ISTEXT(Overig!X247),Overig!X247,10*Overig!X247),""",""????0;"",""???-0;"",""????0;"", ////"""),"'","""")&amp;SUBSTITUTE(TEXT(Overig!Y247,""",""?00;"",""?-00;"",""?00;"", //"""),"'","""")&amp;SUBSTITUTE(TEXT(IF(ISTEXT(Overig!Z247),Overig!Z247,10*Overig!Z247),""",""????0;"",""???-0;"",""????0;"", ////"""),"'","""")&amp;SUBSTITUTE(TEXT(Overig!AA247,""",""?00;"",""?-00;"",""?00;"", //"""),"'","""")&amp;SUBSTITUTE(TEXT(Overig!AB247,""",""???0;"",""??-0;"",""???0;"", ///"""),"'","""")&amp;SUBSTITUTE(TEXT(Overig!AC247,""",""?00;"",""?-00;"",""?00;"", //"""),"'","""")&amp;SUBSTITUTE(TEXT(IF(ISTEXT(Overig!AD247),Overig!AD247,10*Overig!AD247),""",""????0;"",""???-0;"",""????0;"", ////"""),"'","""")&amp;SUBSTITUTE(TEXT(Overig!AE247,""",""?00;"",""?-00;"",""?00;"", //"""),"'","""")&amp;SUBSTITUTE(TEXT(IF(ISTEXT(Overig!AF247),Overig!AF247,10*Overig!AF247),""",""????0;"",""???-0;"",""????0;"", ////"""),"'","""")&amp;SUBSTITUTE(TEXT(Overig!AG247,""",""?00;"",""?-00;"",""?00;"", //"""),"'","""")&amp;SUBSTITUTE(TEXT(Overig!AH247,""",""???0;"",""??-0;"",""???0;"", ///"""),"'","""")&amp;SUBSTITUTE(TEXT(Overig!AI247,""",""?00;"",""?-00;"",""?00;"", //"""),"'","""")&amp;SUBSTITUTE(TEXT(Overig!AJ247,""",""??0;"",""?-0;"",""??0;"", //"""),"'","""")&amp;SUBSTITUTE(TEXT(Overig!AK247,""",""?00;"",""?-00;"",""?00;"", //"""),"'","""")&amp;SUBSTITUTE(IF(EXACT(Overig!AL247,"—"),TEXT(Overig!AL247,""",""????0;"",""???-0;"",""????0;"", ////////////,"""),TEXT(Overig!AL247,"\, \'@""',""")&amp;REPT(" ",10-LEN(Overig!AL247))),"'","""")&amp;SUBSTITUTE(TEXT(Overig!AM247,"?00;?-00;?00;"" //"""),"'","""")&amp;SUBSTITUTE(TEXT(Overig!AN247,""",""???0;"",""??-0;"",""???0;"", ///"""),"'","""")&amp;SUBSTITUTE(TEXT(Overig!AO247,""",""?00;"",""?-00;"",""?00;"", //"""),"'","""")</f>
        <v>78989, 19130903, 0800, ////, 07, /////, 07, ////, 07, /////, 07, ////, 07, ////, 07, ////, 07, ////, 07, ///, 07, ///, 07, ////, 07, ////, 07, ///, 07, ////, 07, ////, 07, ///, 07, //, 07, ////////////, 07, ///, 07</v>
      </c>
    </row>
    <row r="248" spans="1:1" x14ac:dyDescent="0.25">
      <c r="A248" s="75" t="str">
        <f ca="1">TEXT(Overig!A248,"000\,")&amp;TEXT(Overig!B248,"?00000000")&amp;TEXT(Overig!C248,""", ""0000")&amp;SUBSTITUTE(TEXT(IF(ISTEXT(Overig!D248),Overig!D248,10*Overig!D248),""",""????0;"",""???-0;"",""????0;"", ////"""),"'","""")&amp;SUBSTITUTE(TEXT(Overig!E248,""",""?00;"",""?-00;"",""?00;"", //"""),"'","""")&amp;SUBSTITUTE(TEXT(IF(ISTEXT(Overig!F248),Overig!F248,100*Overig!F248),""",""?????0;"",""????-0;"",""?????0;"", /////"""),"'","""")&amp;SUBSTITUTE(TEXT(Overig!G248,""",""?00;"",""?-00;"",""?00;"", //"""),"'","""")&amp;SUBSTITUTE(TEXT(IF(ISTEXT(Overig!H248),Overig!H248,100*Overig!H248),""",""????0;"",""???-0;"",""????0;"", ////"""),"'","""")&amp;SUBSTITUTE(TEXT(Overig!I248,""",""?00;"",""?-00;"",""?00;"", //"""),"'","""")&amp;SUBSTITUTE(TEXT(IF(ISTEXT(Overig!J248),Overig!J248,100*Overig!J248),""",""?????0;"",""????-0;"",""?????0;"", /////"""),"'","""")&amp;SUBSTITUTE(TEXT(Overig!K248,""",""?00;"",""?-00;"",""?00;"", //"""),"'","""")&amp;SUBSTITUTE(TEXT(IF(ISTEXT(Overig!L248),Overig!L248,10*Overig!L248),""",""????0;"",""???-0;"",""????0;"", ////"""),"'","""")&amp;SUBSTITUTE(TEXT(Overig!M248,""",""?00;"",""?-00;"",""?00;"", //"""),"'","""")&amp;SUBSTITUTE(TEXT(IF(ISTEXT(Overig!N248),Overig!N248,10*Overig!N248),""",""????0;"",""???-0;"",""????0;"", ////"""),"'","""")&amp;SUBSTITUTE(TEXT(Overig!O248,""",""?00;"",""?-00;"",""?00;"", //"""),"'","""")&amp;SUBSTITUTE(TEXT(IF(ISTEXT(Overig!P248),Overig!P248,10*Overig!P248),""",""????0;"",""???-0;"",""????0;"", ////"""),"'","""")&amp;SUBSTITUTE(TEXT(Overig!Q248,""",""?00;"",""?-00;"",""?00;"", //"""),"'","""")&amp;SUBSTITUTE(TEXT(IF(ISTEXT(Overig!R248),Overig!R248,10*Overig!R248),""",""????0;"",""???-0;"",""????0;"", ////"""),"'","""")&amp;SUBSTITUTE(TEXT(Overig!S248,""",""?00;"",""?-00;"",""?00;"", //"""),"'","""")&amp;SUBSTITUTE(TEXT(Overig!T248,""",""???0;"",""??-0;"",""???0;"", ///"""),"'","""")&amp;SUBSTITUTE(TEXT(Overig!U248,""",""?00;"",""?-00;"",""?00;"", //"""),"'","""")&amp;SUBSTITUTE(TEXT(IF(ISTEXT(Overig!V248),Overig!V248,10*Overig!V248),""",""???0;"",""??-0;"",""???0;"", ///"""),"'","""")&amp;SUBSTITUTE(TEXT(Overig!W248,""",""?00;"",""?-00;"",""?00;"", //"""),"'","""")&amp;SUBSTITUTE(TEXT(IF(ISTEXT(Overig!X248),Overig!X248,10*Overig!X248),""",""????0;"",""???-0;"",""????0;"", ////"""),"'","""")&amp;SUBSTITUTE(TEXT(Overig!Y248,""",""?00;"",""?-00;"",""?00;"", //"""),"'","""")&amp;SUBSTITUTE(TEXT(IF(ISTEXT(Overig!Z248),Overig!Z248,10*Overig!Z248),""",""????0;"",""???-0;"",""????0;"", ////"""),"'","""")&amp;SUBSTITUTE(TEXT(Overig!AA248,""",""?00;"",""?-00;"",""?00;"", //"""),"'","""")&amp;SUBSTITUTE(TEXT(Overig!AB248,""",""???0;"",""??-0;"",""???0;"", ///"""),"'","""")&amp;SUBSTITUTE(TEXT(Overig!AC248,""",""?00;"",""?-00;"",""?00;"", //"""),"'","""")&amp;SUBSTITUTE(TEXT(IF(ISTEXT(Overig!AD248),Overig!AD248,10*Overig!AD248),""",""????0;"",""???-0;"",""????0;"", ////"""),"'","""")&amp;SUBSTITUTE(TEXT(Overig!AE248,""",""?00;"",""?-00;"",""?00;"", //"""),"'","""")&amp;SUBSTITUTE(TEXT(IF(ISTEXT(Overig!AF248),Overig!AF248,10*Overig!AF248),""",""????0;"",""???-0;"",""????0;"", ////"""),"'","""")&amp;SUBSTITUTE(TEXT(Overig!AG248,""",""?00;"",""?-00;"",""?00;"", //"""),"'","""")&amp;SUBSTITUTE(TEXT(Overig!AH248,""",""???0;"",""??-0;"",""???0;"", ///"""),"'","""")&amp;SUBSTITUTE(TEXT(Overig!AI248,""",""?00;"",""?-00;"",""?00;"", //"""),"'","""")&amp;SUBSTITUTE(TEXT(Overig!AJ248,""",""??0;"",""?-0;"",""??0;"", //"""),"'","""")&amp;SUBSTITUTE(TEXT(Overig!AK248,""",""?00;"",""?-00;"",""?00;"", //"""),"'","""")&amp;SUBSTITUTE(IF(EXACT(Overig!AL248,"—"),TEXT(Overig!AL248,""",""????0;"",""???-0;"",""????0;"", ////////////,"""),TEXT(Overig!AL248,"\, \'@""',""")&amp;REPT(" ",10-LEN(Overig!AL248))),"'","""")&amp;SUBSTITUTE(TEXT(Overig!AM248,"?00;?-00;?00;"" //"""),"'","""")&amp;SUBSTITUTE(TEXT(Overig!AN248,""",""???0;"",""??-0;"",""???0;"", ///"""),"'","""")&amp;SUBSTITUTE(TEXT(Overig!AO248,""",""?00;"",""?-00;"",""?00;"", //"""),"'","""")</f>
        <v>78989, 19130904, 0800, ////, 07, /////, 07, ////, 07, /////, 07, ////, 07, ////, 07, ////, 07, ////, 07, ///, 07, ///, 07, ////, 07, ////, 07, ///, 07, ////, 07, ////, 07, ///, 07, //, 07, ////////////, 07, ///, 07</v>
      </c>
    </row>
    <row r="249" spans="1:1" x14ac:dyDescent="0.25">
      <c r="A249" s="75" t="str">
        <f ca="1">TEXT(Overig!A249,"000\,")&amp;TEXT(Overig!B249,"?00000000")&amp;TEXT(Overig!C249,""", ""0000")&amp;SUBSTITUTE(TEXT(IF(ISTEXT(Overig!D249),Overig!D249,10*Overig!D249),""",""????0;"",""???-0;"",""????0;"", ////"""),"'","""")&amp;SUBSTITUTE(TEXT(Overig!E249,""",""?00;"",""?-00;"",""?00;"", //"""),"'","""")&amp;SUBSTITUTE(TEXT(IF(ISTEXT(Overig!F249),Overig!F249,100*Overig!F249),""",""?????0;"",""????-0;"",""?????0;"", /////"""),"'","""")&amp;SUBSTITUTE(TEXT(Overig!G249,""",""?00;"",""?-00;"",""?00;"", //"""),"'","""")&amp;SUBSTITUTE(TEXT(IF(ISTEXT(Overig!H249),Overig!H249,100*Overig!H249),""",""????0;"",""???-0;"",""????0;"", ////"""),"'","""")&amp;SUBSTITUTE(TEXT(Overig!I249,""",""?00;"",""?-00;"",""?00;"", //"""),"'","""")&amp;SUBSTITUTE(TEXT(IF(ISTEXT(Overig!J249),Overig!J249,100*Overig!J249),""",""?????0;"",""????-0;"",""?????0;"", /////"""),"'","""")&amp;SUBSTITUTE(TEXT(Overig!K249,""",""?00;"",""?-00;"",""?00;"", //"""),"'","""")&amp;SUBSTITUTE(TEXT(IF(ISTEXT(Overig!L249),Overig!L249,10*Overig!L249),""",""????0;"",""???-0;"",""????0;"", ////"""),"'","""")&amp;SUBSTITUTE(TEXT(Overig!M249,""",""?00;"",""?-00;"",""?00;"", //"""),"'","""")&amp;SUBSTITUTE(TEXT(IF(ISTEXT(Overig!N249),Overig!N249,10*Overig!N249),""",""????0;"",""???-0;"",""????0;"", ////"""),"'","""")&amp;SUBSTITUTE(TEXT(Overig!O249,""",""?00;"",""?-00;"",""?00;"", //"""),"'","""")&amp;SUBSTITUTE(TEXT(IF(ISTEXT(Overig!P249),Overig!P249,10*Overig!P249),""",""????0;"",""???-0;"",""????0;"", ////"""),"'","""")&amp;SUBSTITUTE(TEXT(Overig!Q249,""",""?00;"",""?-00;"",""?00;"", //"""),"'","""")&amp;SUBSTITUTE(TEXT(IF(ISTEXT(Overig!R249),Overig!R249,10*Overig!R249),""",""????0;"",""???-0;"",""????0;"", ////"""),"'","""")&amp;SUBSTITUTE(TEXT(Overig!S249,""",""?00;"",""?-00;"",""?00;"", //"""),"'","""")&amp;SUBSTITUTE(TEXT(Overig!T249,""",""???0;"",""??-0;"",""???0;"", ///"""),"'","""")&amp;SUBSTITUTE(TEXT(Overig!U249,""",""?00;"",""?-00;"",""?00;"", //"""),"'","""")&amp;SUBSTITUTE(TEXT(IF(ISTEXT(Overig!V249),Overig!V249,10*Overig!V249),""",""???0;"",""??-0;"",""???0;"", ///"""),"'","""")&amp;SUBSTITUTE(TEXT(Overig!W249,""",""?00;"",""?-00;"",""?00;"", //"""),"'","""")&amp;SUBSTITUTE(TEXT(IF(ISTEXT(Overig!X249),Overig!X249,10*Overig!X249),""",""????0;"",""???-0;"",""????0;"", ////"""),"'","""")&amp;SUBSTITUTE(TEXT(Overig!Y249,""",""?00;"",""?-00;"",""?00;"", //"""),"'","""")&amp;SUBSTITUTE(TEXT(IF(ISTEXT(Overig!Z249),Overig!Z249,10*Overig!Z249),""",""????0;"",""???-0;"",""????0;"", ////"""),"'","""")&amp;SUBSTITUTE(TEXT(Overig!AA249,""",""?00;"",""?-00;"",""?00;"", //"""),"'","""")&amp;SUBSTITUTE(TEXT(Overig!AB249,""",""???0;"",""??-0;"",""???0;"", ///"""),"'","""")&amp;SUBSTITUTE(TEXT(Overig!AC249,""",""?00;"",""?-00;"",""?00;"", //"""),"'","""")&amp;SUBSTITUTE(TEXT(IF(ISTEXT(Overig!AD249),Overig!AD249,10*Overig!AD249),""",""????0;"",""???-0;"",""????0;"", ////"""),"'","""")&amp;SUBSTITUTE(TEXT(Overig!AE249,""",""?00;"",""?-00;"",""?00;"", //"""),"'","""")&amp;SUBSTITUTE(TEXT(IF(ISTEXT(Overig!AF249),Overig!AF249,10*Overig!AF249),""",""????0;"",""???-0;"",""????0;"", ////"""),"'","""")&amp;SUBSTITUTE(TEXT(Overig!AG249,""",""?00;"",""?-00;"",""?00;"", //"""),"'","""")&amp;SUBSTITUTE(TEXT(Overig!AH249,""",""???0;"",""??-0;"",""???0;"", ///"""),"'","""")&amp;SUBSTITUTE(TEXT(Overig!AI249,""",""?00;"",""?-00;"",""?00;"", //"""),"'","""")&amp;SUBSTITUTE(TEXT(Overig!AJ249,""",""??0;"",""?-0;"",""??0;"", //"""),"'","""")&amp;SUBSTITUTE(TEXT(Overig!AK249,""",""?00;"",""?-00;"",""?00;"", //"""),"'","""")&amp;SUBSTITUTE(IF(EXACT(Overig!AL249,"—"),TEXT(Overig!AL249,""",""????0;"",""???-0;"",""????0;"", ////////////,"""),TEXT(Overig!AL249,"\, \'@""',""")&amp;REPT(" ",10-LEN(Overig!AL249))),"'","""")&amp;SUBSTITUTE(TEXT(Overig!AM249,"?00;?-00;?00;"" //"""),"'","""")&amp;SUBSTITUTE(TEXT(Overig!AN249,""",""???0;"",""??-0;"",""???0;"", ///"""),"'","""")&amp;SUBSTITUTE(TEXT(Overig!AO249,""",""?00;"",""?-00;"",""?00;"", //"""),"'","""")</f>
        <v>78989, 19130905, 0800, ////, 07, /////, 07, ////, 07, /////, 07, ////, 07, ////, 07, ////, 07, ////, 07, ///, 07, ///, 07, ////, 07, ////, 07, ///, 07, ////, 07, ////, 07, ///, 07, //, 07, ////////////, 07, ///, 07</v>
      </c>
    </row>
    <row r="250" spans="1:1" x14ac:dyDescent="0.25">
      <c r="A250" s="75" t="str">
        <f ca="1">TEXT(Overig!A250,"000\,")&amp;TEXT(Overig!B250,"?00000000")&amp;TEXT(Overig!C250,""", ""0000")&amp;SUBSTITUTE(TEXT(IF(ISTEXT(Overig!D250),Overig!D250,10*Overig!D250),""",""????0;"",""???-0;"",""????0;"", ////"""),"'","""")&amp;SUBSTITUTE(TEXT(Overig!E250,""",""?00;"",""?-00;"",""?00;"", //"""),"'","""")&amp;SUBSTITUTE(TEXT(IF(ISTEXT(Overig!F250),Overig!F250,100*Overig!F250),""",""?????0;"",""????-0;"",""?????0;"", /////"""),"'","""")&amp;SUBSTITUTE(TEXT(Overig!G250,""",""?00;"",""?-00;"",""?00;"", //"""),"'","""")&amp;SUBSTITUTE(TEXT(IF(ISTEXT(Overig!H250),Overig!H250,100*Overig!H250),""",""????0;"",""???-0;"",""????0;"", ////"""),"'","""")&amp;SUBSTITUTE(TEXT(Overig!I250,""",""?00;"",""?-00;"",""?00;"", //"""),"'","""")&amp;SUBSTITUTE(TEXT(IF(ISTEXT(Overig!J250),Overig!J250,100*Overig!J250),""",""?????0;"",""????-0;"",""?????0;"", /////"""),"'","""")&amp;SUBSTITUTE(TEXT(Overig!K250,""",""?00;"",""?-00;"",""?00;"", //"""),"'","""")&amp;SUBSTITUTE(TEXT(IF(ISTEXT(Overig!L250),Overig!L250,10*Overig!L250),""",""????0;"",""???-0;"",""????0;"", ////"""),"'","""")&amp;SUBSTITUTE(TEXT(Overig!M250,""",""?00;"",""?-00;"",""?00;"", //"""),"'","""")&amp;SUBSTITUTE(TEXT(IF(ISTEXT(Overig!N250),Overig!N250,10*Overig!N250),""",""????0;"",""???-0;"",""????0;"", ////"""),"'","""")&amp;SUBSTITUTE(TEXT(Overig!O250,""",""?00;"",""?-00;"",""?00;"", //"""),"'","""")&amp;SUBSTITUTE(TEXT(IF(ISTEXT(Overig!P250),Overig!P250,10*Overig!P250),""",""????0;"",""???-0;"",""????0;"", ////"""),"'","""")&amp;SUBSTITUTE(TEXT(Overig!Q250,""",""?00;"",""?-00;"",""?00;"", //"""),"'","""")&amp;SUBSTITUTE(TEXT(IF(ISTEXT(Overig!R250),Overig!R250,10*Overig!R250),""",""????0;"",""???-0;"",""????0;"", ////"""),"'","""")&amp;SUBSTITUTE(TEXT(Overig!S250,""",""?00;"",""?-00;"",""?00;"", //"""),"'","""")&amp;SUBSTITUTE(TEXT(Overig!T250,""",""???0;"",""??-0;"",""???0;"", ///"""),"'","""")&amp;SUBSTITUTE(TEXT(Overig!U250,""",""?00;"",""?-00;"",""?00;"", //"""),"'","""")&amp;SUBSTITUTE(TEXT(IF(ISTEXT(Overig!V250),Overig!V250,10*Overig!V250),""",""???0;"",""??-0;"",""???0;"", ///"""),"'","""")&amp;SUBSTITUTE(TEXT(Overig!W250,""",""?00;"",""?-00;"",""?00;"", //"""),"'","""")&amp;SUBSTITUTE(TEXT(IF(ISTEXT(Overig!X250),Overig!X250,10*Overig!X250),""",""????0;"",""???-0;"",""????0;"", ////"""),"'","""")&amp;SUBSTITUTE(TEXT(Overig!Y250,""",""?00;"",""?-00;"",""?00;"", //"""),"'","""")&amp;SUBSTITUTE(TEXT(IF(ISTEXT(Overig!Z250),Overig!Z250,10*Overig!Z250),""",""????0;"",""???-0;"",""????0;"", ////"""),"'","""")&amp;SUBSTITUTE(TEXT(Overig!AA250,""",""?00;"",""?-00;"",""?00;"", //"""),"'","""")&amp;SUBSTITUTE(TEXT(Overig!AB250,""",""???0;"",""??-0;"",""???0;"", ///"""),"'","""")&amp;SUBSTITUTE(TEXT(Overig!AC250,""",""?00;"",""?-00;"",""?00;"", //"""),"'","""")&amp;SUBSTITUTE(TEXT(IF(ISTEXT(Overig!AD250),Overig!AD250,10*Overig!AD250),""",""????0;"",""???-0;"",""????0;"", ////"""),"'","""")&amp;SUBSTITUTE(TEXT(Overig!AE250,""",""?00;"",""?-00;"",""?00;"", //"""),"'","""")&amp;SUBSTITUTE(TEXT(IF(ISTEXT(Overig!AF250),Overig!AF250,10*Overig!AF250),""",""????0;"",""???-0;"",""????0;"", ////"""),"'","""")&amp;SUBSTITUTE(TEXT(Overig!AG250,""",""?00;"",""?-00;"",""?00;"", //"""),"'","""")&amp;SUBSTITUTE(TEXT(Overig!AH250,""",""???0;"",""??-0;"",""???0;"", ///"""),"'","""")&amp;SUBSTITUTE(TEXT(Overig!AI250,""",""?00;"",""?-00;"",""?00;"", //"""),"'","""")&amp;SUBSTITUTE(TEXT(Overig!AJ250,""",""??0;"",""?-0;"",""??0;"", //"""),"'","""")&amp;SUBSTITUTE(TEXT(Overig!AK250,""",""?00;"",""?-00;"",""?00;"", //"""),"'","""")&amp;SUBSTITUTE(IF(EXACT(Overig!AL250,"—"),TEXT(Overig!AL250,""",""????0;"",""???-0;"",""????0;"", ////////////,"""),TEXT(Overig!AL250,"\, \'@""',""")&amp;REPT(" ",10-LEN(Overig!AL250))),"'","""")&amp;SUBSTITUTE(TEXT(Overig!AM250,"?00;?-00;?00;"" //"""),"'","""")&amp;SUBSTITUTE(TEXT(Overig!AN250,""",""???0;"",""??-0;"",""???0;"", ///"""),"'","""")&amp;SUBSTITUTE(TEXT(Overig!AO250,""",""?00;"",""?-00;"",""?00;"", //"""),"'","""")</f>
        <v>78989, 19130906, 0800, ////, 07, /////, 07, ////, 07, /////, 07, ////, 07, ////, 07, ////, 07, ////, 07, ///, 07, ///, 07, ////, 07, ////, 07, ///, 07, ////, 07, ////, 07, ///, 07, //, 07, ////////////, 07, ///, 07</v>
      </c>
    </row>
    <row r="251" spans="1:1" x14ac:dyDescent="0.25">
      <c r="A251" s="75" t="str">
        <f ca="1">TEXT(Overig!A251,"000\,")&amp;TEXT(Overig!B251,"?00000000")&amp;TEXT(Overig!C251,""", ""0000")&amp;SUBSTITUTE(TEXT(IF(ISTEXT(Overig!D251),Overig!D251,10*Overig!D251),""",""????0;"",""???-0;"",""????0;"", ////"""),"'","""")&amp;SUBSTITUTE(TEXT(Overig!E251,""",""?00;"",""?-00;"",""?00;"", //"""),"'","""")&amp;SUBSTITUTE(TEXT(IF(ISTEXT(Overig!F251),Overig!F251,100*Overig!F251),""",""?????0;"",""????-0;"",""?????0;"", /////"""),"'","""")&amp;SUBSTITUTE(TEXT(Overig!G251,""",""?00;"",""?-00;"",""?00;"", //"""),"'","""")&amp;SUBSTITUTE(TEXT(IF(ISTEXT(Overig!H251),Overig!H251,100*Overig!H251),""",""????0;"",""???-0;"",""????0;"", ////"""),"'","""")&amp;SUBSTITUTE(TEXT(Overig!I251,""",""?00;"",""?-00;"",""?00;"", //"""),"'","""")&amp;SUBSTITUTE(TEXT(IF(ISTEXT(Overig!J251),Overig!J251,100*Overig!J251),""",""?????0;"",""????-0;"",""?????0;"", /////"""),"'","""")&amp;SUBSTITUTE(TEXT(Overig!K251,""",""?00;"",""?-00;"",""?00;"", //"""),"'","""")&amp;SUBSTITUTE(TEXT(IF(ISTEXT(Overig!L251),Overig!L251,10*Overig!L251),""",""????0;"",""???-0;"",""????0;"", ////"""),"'","""")&amp;SUBSTITUTE(TEXT(Overig!M251,""",""?00;"",""?-00;"",""?00;"", //"""),"'","""")&amp;SUBSTITUTE(TEXT(IF(ISTEXT(Overig!N251),Overig!N251,10*Overig!N251),""",""????0;"",""???-0;"",""????0;"", ////"""),"'","""")&amp;SUBSTITUTE(TEXT(Overig!O251,""",""?00;"",""?-00;"",""?00;"", //"""),"'","""")&amp;SUBSTITUTE(TEXT(IF(ISTEXT(Overig!P251),Overig!P251,10*Overig!P251),""",""????0;"",""???-0;"",""????0;"", ////"""),"'","""")&amp;SUBSTITUTE(TEXT(Overig!Q251,""",""?00;"",""?-00;"",""?00;"", //"""),"'","""")&amp;SUBSTITUTE(TEXT(IF(ISTEXT(Overig!R251),Overig!R251,10*Overig!R251),""",""????0;"",""???-0;"",""????0;"", ////"""),"'","""")&amp;SUBSTITUTE(TEXT(Overig!S251,""",""?00;"",""?-00;"",""?00;"", //"""),"'","""")&amp;SUBSTITUTE(TEXT(Overig!T251,""",""???0;"",""??-0;"",""???0;"", ///"""),"'","""")&amp;SUBSTITUTE(TEXT(Overig!U251,""",""?00;"",""?-00;"",""?00;"", //"""),"'","""")&amp;SUBSTITUTE(TEXT(IF(ISTEXT(Overig!V251),Overig!V251,10*Overig!V251),""",""???0;"",""??-0;"",""???0;"", ///"""),"'","""")&amp;SUBSTITUTE(TEXT(Overig!W251,""",""?00;"",""?-00;"",""?00;"", //"""),"'","""")&amp;SUBSTITUTE(TEXT(IF(ISTEXT(Overig!X251),Overig!X251,10*Overig!X251),""",""????0;"",""???-0;"",""????0;"", ////"""),"'","""")&amp;SUBSTITUTE(TEXT(Overig!Y251,""",""?00;"",""?-00;"",""?00;"", //"""),"'","""")&amp;SUBSTITUTE(TEXT(IF(ISTEXT(Overig!Z251),Overig!Z251,10*Overig!Z251),""",""????0;"",""???-0;"",""????0;"", ////"""),"'","""")&amp;SUBSTITUTE(TEXT(Overig!AA251,""",""?00;"",""?-00;"",""?00;"", //"""),"'","""")&amp;SUBSTITUTE(TEXT(Overig!AB251,""",""???0;"",""??-0;"",""???0;"", ///"""),"'","""")&amp;SUBSTITUTE(TEXT(Overig!AC251,""",""?00;"",""?-00;"",""?00;"", //"""),"'","""")&amp;SUBSTITUTE(TEXT(IF(ISTEXT(Overig!AD251),Overig!AD251,10*Overig!AD251),""",""????0;"",""???-0;"",""????0;"", ////"""),"'","""")&amp;SUBSTITUTE(TEXT(Overig!AE251,""",""?00;"",""?-00;"",""?00;"", //"""),"'","""")&amp;SUBSTITUTE(TEXT(IF(ISTEXT(Overig!AF251),Overig!AF251,10*Overig!AF251),""",""????0;"",""???-0;"",""????0;"", ////"""),"'","""")&amp;SUBSTITUTE(TEXT(Overig!AG251,""",""?00;"",""?-00;"",""?00;"", //"""),"'","""")&amp;SUBSTITUTE(TEXT(Overig!AH251,""",""???0;"",""??-0;"",""???0;"", ///"""),"'","""")&amp;SUBSTITUTE(TEXT(Overig!AI251,""",""?00;"",""?-00;"",""?00;"", //"""),"'","""")&amp;SUBSTITUTE(TEXT(Overig!AJ251,""",""??0;"",""?-0;"",""??0;"", //"""),"'","""")&amp;SUBSTITUTE(TEXT(Overig!AK251,""",""?00;"",""?-00;"",""?00;"", //"""),"'","""")&amp;SUBSTITUTE(IF(EXACT(Overig!AL251,"—"),TEXT(Overig!AL251,""",""????0;"",""???-0;"",""????0;"", ////////////,"""),TEXT(Overig!AL251,"\, \'@""',""")&amp;REPT(" ",10-LEN(Overig!AL251))),"'","""")&amp;SUBSTITUTE(TEXT(Overig!AM251,"?00;?-00;?00;"" //"""),"'","""")&amp;SUBSTITUTE(TEXT(Overig!AN251,""",""???0;"",""??-0;"",""???0;"", ///"""),"'","""")&amp;SUBSTITUTE(TEXT(Overig!AO251,""",""?00;"",""?-00;"",""?00;"", //"""),"'","""")</f>
        <v>78989, 19130907, 0800, ////, 07, /////, 07, ////, 07, /////, 07, ////, 07, ////, 07, ////, 07, ////, 07, ///, 07, ///, 07, ////, 07, ////, 07, ///, 07, ////, 07, ////, 07, ///, 07, //, 07, ////////////, 07, ///, 07</v>
      </c>
    </row>
    <row r="252" spans="1:1" x14ac:dyDescent="0.25">
      <c r="A252" s="75" t="str">
        <f ca="1">TEXT(Overig!A252,"000\,")&amp;TEXT(Overig!B252,"?00000000")&amp;TEXT(Overig!C252,""", ""0000")&amp;SUBSTITUTE(TEXT(IF(ISTEXT(Overig!D252),Overig!D252,10*Overig!D252),""",""????0;"",""???-0;"",""????0;"", ////"""),"'","""")&amp;SUBSTITUTE(TEXT(Overig!E252,""",""?00;"",""?-00;"",""?00;"", //"""),"'","""")&amp;SUBSTITUTE(TEXT(IF(ISTEXT(Overig!F252),Overig!F252,100*Overig!F252),""",""?????0;"",""????-0;"",""?????0;"", /////"""),"'","""")&amp;SUBSTITUTE(TEXT(Overig!G252,""",""?00;"",""?-00;"",""?00;"", //"""),"'","""")&amp;SUBSTITUTE(TEXT(IF(ISTEXT(Overig!H252),Overig!H252,100*Overig!H252),""",""????0;"",""???-0;"",""????0;"", ////"""),"'","""")&amp;SUBSTITUTE(TEXT(Overig!I252,""",""?00;"",""?-00;"",""?00;"", //"""),"'","""")&amp;SUBSTITUTE(TEXT(IF(ISTEXT(Overig!J252),Overig!J252,100*Overig!J252),""",""?????0;"",""????-0;"",""?????0;"", /////"""),"'","""")&amp;SUBSTITUTE(TEXT(Overig!K252,""",""?00;"",""?-00;"",""?00;"", //"""),"'","""")&amp;SUBSTITUTE(TEXT(IF(ISTEXT(Overig!L252),Overig!L252,10*Overig!L252),""",""????0;"",""???-0;"",""????0;"", ////"""),"'","""")&amp;SUBSTITUTE(TEXT(Overig!M252,""",""?00;"",""?-00;"",""?00;"", //"""),"'","""")&amp;SUBSTITUTE(TEXT(IF(ISTEXT(Overig!N252),Overig!N252,10*Overig!N252),""",""????0;"",""???-0;"",""????0;"", ////"""),"'","""")&amp;SUBSTITUTE(TEXT(Overig!O252,""",""?00;"",""?-00;"",""?00;"", //"""),"'","""")&amp;SUBSTITUTE(TEXT(IF(ISTEXT(Overig!P252),Overig!P252,10*Overig!P252),""",""????0;"",""???-0;"",""????0;"", ////"""),"'","""")&amp;SUBSTITUTE(TEXT(Overig!Q252,""",""?00;"",""?-00;"",""?00;"", //"""),"'","""")&amp;SUBSTITUTE(TEXT(IF(ISTEXT(Overig!R252),Overig!R252,10*Overig!R252),""",""????0;"",""???-0;"",""????0;"", ////"""),"'","""")&amp;SUBSTITUTE(TEXT(Overig!S252,""",""?00;"",""?-00;"",""?00;"", //"""),"'","""")&amp;SUBSTITUTE(TEXT(Overig!T252,""",""???0;"",""??-0;"",""???0;"", ///"""),"'","""")&amp;SUBSTITUTE(TEXT(Overig!U252,""",""?00;"",""?-00;"",""?00;"", //"""),"'","""")&amp;SUBSTITUTE(TEXT(IF(ISTEXT(Overig!V252),Overig!V252,10*Overig!V252),""",""???0;"",""??-0;"",""???0;"", ///"""),"'","""")&amp;SUBSTITUTE(TEXT(Overig!W252,""",""?00;"",""?-00;"",""?00;"", //"""),"'","""")&amp;SUBSTITUTE(TEXT(IF(ISTEXT(Overig!X252),Overig!X252,10*Overig!X252),""",""????0;"",""???-0;"",""????0;"", ////"""),"'","""")&amp;SUBSTITUTE(TEXT(Overig!Y252,""",""?00;"",""?-00;"",""?00;"", //"""),"'","""")&amp;SUBSTITUTE(TEXT(IF(ISTEXT(Overig!Z252),Overig!Z252,10*Overig!Z252),""",""????0;"",""???-0;"",""????0;"", ////"""),"'","""")&amp;SUBSTITUTE(TEXT(Overig!AA252,""",""?00;"",""?-00;"",""?00;"", //"""),"'","""")&amp;SUBSTITUTE(TEXT(Overig!AB252,""",""???0;"",""??-0;"",""???0;"", ///"""),"'","""")&amp;SUBSTITUTE(TEXT(Overig!AC252,""",""?00;"",""?-00;"",""?00;"", //"""),"'","""")&amp;SUBSTITUTE(TEXT(IF(ISTEXT(Overig!AD252),Overig!AD252,10*Overig!AD252),""",""????0;"",""???-0;"",""????0;"", ////"""),"'","""")&amp;SUBSTITUTE(TEXT(Overig!AE252,""",""?00;"",""?-00;"",""?00;"", //"""),"'","""")&amp;SUBSTITUTE(TEXT(IF(ISTEXT(Overig!AF252),Overig!AF252,10*Overig!AF252),""",""????0;"",""???-0;"",""????0;"", ////"""),"'","""")&amp;SUBSTITUTE(TEXT(Overig!AG252,""",""?00;"",""?-00;"",""?00;"", //"""),"'","""")&amp;SUBSTITUTE(TEXT(Overig!AH252,""",""???0;"",""??-0;"",""???0;"", ///"""),"'","""")&amp;SUBSTITUTE(TEXT(Overig!AI252,""",""?00;"",""?-00;"",""?00;"", //"""),"'","""")&amp;SUBSTITUTE(TEXT(Overig!AJ252,""",""??0;"",""?-0;"",""??0;"", //"""),"'","""")&amp;SUBSTITUTE(TEXT(Overig!AK252,""",""?00;"",""?-00;"",""?00;"", //"""),"'","""")&amp;SUBSTITUTE(IF(EXACT(Overig!AL252,"—"),TEXT(Overig!AL252,""",""????0;"",""???-0;"",""????0;"", ////////////,"""),TEXT(Overig!AL252,"\, \'@""',""")&amp;REPT(" ",10-LEN(Overig!AL252))),"'","""")&amp;SUBSTITUTE(TEXT(Overig!AM252,"?00;?-00;?00;"" //"""),"'","""")&amp;SUBSTITUTE(TEXT(Overig!AN252,""",""???0;"",""??-0;"",""???0;"", ///"""),"'","""")&amp;SUBSTITUTE(TEXT(Overig!AO252,""",""?00;"",""?-00;"",""?00;"", //"""),"'","""")</f>
        <v>78989, 19130908, 0800, ////, 07, /////, 07, ////, 07, /////, 07, ////, 07, ////, 07, ////, 07, ////, 07, ///, 07, ///, 07, ////, 07, ////, 07, ///, 07, ////, 07, ////, 07, ///, 07, //, 07, ////////////, 07, ///, 07</v>
      </c>
    </row>
    <row r="253" spans="1:1" x14ac:dyDescent="0.25">
      <c r="A253" s="75" t="str">
        <f ca="1">TEXT(Overig!A253,"000\,")&amp;TEXT(Overig!B253,"?00000000")&amp;TEXT(Overig!C253,""", ""0000")&amp;SUBSTITUTE(TEXT(IF(ISTEXT(Overig!D253),Overig!D253,10*Overig!D253),""",""????0;"",""???-0;"",""????0;"", ////"""),"'","""")&amp;SUBSTITUTE(TEXT(Overig!E253,""",""?00;"",""?-00;"",""?00;"", //"""),"'","""")&amp;SUBSTITUTE(TEXT(IF(ISTEXT(Overig!F253),Overig!F253,100*Overig!F253),""",""?????0;"",""????-0;"",""?????0;"", /////"""),"'","""")&amp;SUBSTITUTE(TEXT(Overig!G253,""",""?00;"",""?-00;"",""?00;"", //"""),"'","""")&amp;SUBSTITUTE(TEXT(IF(ISTEXT(Overig!H253),Overig!H253,100*Overig!H253),""",""????0;"",""???-0;"",""????0;"", ////"""),"'","""")&amp;SUBSTITUTE(TEXT(Overig!I253,""",""?00;"",""?-00;"",""?00;"", //"""),"'","""")&amp;SUBSTITUTE(TEXT(IF(ISTEXT(Overig!J253),Overig!J253,100*Overig!J253),""",""?????0;"",""????-0;"",""?????0;"", /////"""),"'","""")&amp;SUBSTITUTE(TEXT(Overig!K253,""",""?00;"",""?-00;"",""?00;"", //"""),"'","""")&amp;SUBSTITUTE(TEXT(IF(ISTEXT(Overig!L253),Overig!L253,10*Overig!L253),""",""????0;"",""???-0;"",""????0;"", ////"""),"'","""")&amp;SUBSTITUTE(TEXT(Overig!M253,""",""?00;"",""?-00;"",""?00;"", //"""),"'","""")&amp;SUBSTITUTE(TEXT(IF(ISTEXT(Overig!N253),Overig!N253,10*Overig!N253),""",""????0;"",""???-0;"",""????0;"", ////"""),"'","""")&amp;SUBSTITUTE(TEXT(Overig!O253,""",""?00;"",""?-00;"",""?00;"", //"""),"'","""")&amp;SUBSTITUTE(TEXT(IF(ISTEXT(Overig!P253),Overig!P253,10*Overig!P253),""",""????0;"",""???-0;"",""????0;"", ////"""),"'","""")&amp;SUBSTITUTE(TEXT(Overig!Q253,""",""?00;"",""?-00;"",""?00;"", //"""),"'","""")&amp;SUBSTITUTE(TEXT(IF(ISTEXT(Overig!R253),Overig!R253,10*Overig!R253),""",""????0;"",""???-0;"",""????0;"", ////"""),"'","""")&amp;SUBSTITUTE(TEXT(Overig!S253,""",""?00;"",""?-00;"",""?00;"", //"""),"'","""")&amp;SUBSTITUTE(TEXT(Overig!T253,""",""???0;"",""??-0;"",""???0;"", ///"""),"'","""")&amp;SUBSTITUTE(TEXT(Overig!U253,""",""?00;"",""?-00;"",""?00;"", //"""),"'","""")&amp;SUBSTITUTE(TEXT(IF(ISTEXT(Overig!V253),Overig!V253,10*Overig!V253),""",""???0;"",""??-0;"",""???0;"", ///"""),"'","""")&amp;SUBSTITUTE(TEXT(Overig!W253,""",""?00;"",""?-00;"",""?00;"", //"""),"'","""")&amp;SUBSTITUTE(TEXT(IF(ISTEXT(Overig!X253),Overig!X253,10*Overig!X253),""",""????0;"",""???-0;"",""????0;"", ////"""),"'","""")&amp;SUBSTITUTE(TEXT(Overig!Y253,""",""?00;"",""?-00;"",""?00;"", //"""),"'","""")&amp;SUBSTITUTE(TEXT(IF(ISTEXT(Overig!Z253),Overig!Z253,10*Overig!Z253),""",""????0;"",""???-0;"",""????0;"", ////"""),"'","""")&amp;SUBSTITUTE(TEXT(Overig!AA253,""",""?00;"",""?-00;"",""?00;"", //"""),"'","""")&amp;SUBSTITUTE(TEXT(Overig!AB253,""",""???0;"",""??-0;"",""???0;"", ///"""),"'","""")&amp;SUBSTITUTE(TEXT(Overig!AC253,""",""?00;"",""?-00;"",""?00;"", //"""),"'","""")&amp;SUBSTITUTE(TEXT(IF(ISTEXT(Overig!AD253),Overig!AD253,10*Overig!AD253),""",""????0;"",""???-0;"",""????0;"", ////"""),"'","""")&amp;SUBSTITUTE(TEXT(Overig!AE253,""",""?00;"",""?-00;"",""?00;"", //"""),"'","""")&amp;SUBSTITUTE(TEXT(IF(ISTEXT(Overig!AF253),Overig!AF253,10*Overig!AF253),""",""????0;"",""???-0;"",""????0;"", ////"""),"'","""")&amp;SUBSTITUTE(TEXT(Overig!AG253,""",""?00;"",""?-00;"",""?00;"", //"""),"'","""")&amp;SUBSTITUTE(TEXT(Overig!AH253,""",""???0;"",""??-0;"",""???0;"", ///"""),"'","""")&amp;SUBSTITUTE(TEXT(Overig!AI253,""",""?00;"",""?-00;"",""?00;"", //"""),"'","""")&amp;SUBSTITUTE(TEXT(Overig!AJ253,""",""??0;"",""?-0;"",""??0;"", //"""),"'","""")&amp;SUBSTITUTE(TEXT(Overig!AK253,""",""?00;"",""?-00;"",""?00;"", //"""),"'","""")&amp;SUBSTITUTE(IF(EXACT(Overig!AL253,"—"),TEXT(Overig!AL253,""",""????0;"",""???-0;"",""????0;"", ////////////,"""),TEXT(Overig!AL253,"\, \'@""',""")&amp;REPT(" ",10-LEN(Overig!AL253))),"'","""")&amp;SUBSTITUTE(TEXT(Overig!AM253,"?00;?-00;?00;"" //"""),"'","""")&amp;SUBSTITUTE(TEXT(Overig!AN253,""",""???0;"",""??-0;"",""???0;"", ///"""),"'","""")&amp;SUBSTITUTE(TEXT(Overig!AO253,""",""?00;"",""?-00;"",""?00;"", //"""),"'","""")</f>
        <v>78989, 19130909, 0800, ////, 07, /////, 07, ////, 07, /////, 07, ////, 07, ////, 07, ////, 07, ////, 07, ///, 07, ///, 07, ////, 07, ////, 07, ///, 07, ////, 07, ////, 07, ///, 07, //, 07, ////////////, 07, ///, 07</v>
      </c>
    </row>
    <row r="254" spans="1:1" x14ac:dyDescent="0.25">
      <c r="A254" s="75" t="str">
        <f ca="1">TEXT(Overig!A254,"000\,")&amp;TEXT(Overig!B254,"?00000000")&amp;TEXT(Overig!C254,""", ""0000")&amp;SUBSTITUTE(TEXT(IF(ISTEXT(Overig!D254),Overig!D254,10*Overig!D254),""",""????0;"",""???-0;"",""????0;"", ////"""),"'","""")&amp;SUBSTITUTE(TEXT(Overig!E254,""",""?00;"",""?-00;"",""?00;"", //"""),"'","""")&amp;SUBSTITUTE(TEXT(IF(ISTEXT(Overig!F254),Overig!F254,100*Overig!F254),""",""?????0;"",""????-0;"",""?????0;"", /////"""),"'","""")&amp;SUBSTITUTE(TEXT(Overig!G254,""",""?00;"",""?-00;"",""?00;"", //"""),"'","""")&amp;SUBSTITUTE(TEXT(IF(ISTEXT(Overig!H254),Overig!H254,100*Overig!H254),""",""????0;"",""???-0;"",""????0;"", ////"""),"'","""")&amp;SUBSTITUTE(TEXT(Overig!I254,""",""?00;"",""?-00;"",""?00;"", //"""),"'","""")&amp;SUBSTITUTE(TEXT(IF(ISTEXT(Overig!J254),Overig!J254,100*Overig!J254),""",""?????0;"",""????-0;"",""?????0;"", /////"""),"'","""")&amp;SUBSTITUTE(TEXT(Overig!K254,""",""?00;"",""?-00;"",""?00;"", //"""),"'","""")&amp;SUBSTITUTE(TEXT(IF(ISTEXT(Overig!L254),Overig!L254,10*Overig!L254),""",""????0;"",""???-0;"",""????0;"", ////"""),"'","""")&amp;SUBSTITUTE(TEXT(Overig!M254,""",""?00;"",""?-00;"",""?00;"", //"""),"'","""")&amp;SUBSTITUTE(TEXT(IF(ISTEXT(Overig!N254),Overig!N254,10*Overig!N254),""",""????0;"",""???-0;"",""????0;"", ////"""),"'","""")&amp;SUBSTITUTE(TEXT(Overig!O254,""",""?00;"",""?-00;"",""?00;"", //"""),"'","""")&amp;SUBSTITUTE(TEXT(IF(ISTEXT(Overig!P254),Overig!P254,10*Overig!P254),""",""????0;"",""???-0;"",""????0;"", ////"""),"'","""")&amp;SUBSTITUTE(TEXT(Overig!Q254,""",""?00;"",""?-00;"",""?00;"", //"""),"'","""")&amp;SUBSTITUTE(TEXT(IF(ISTEXT(Overig!R254),Overig!R254,10*Overig!R254),""",""????0;"",""???-0;"",""????0;"", ////"""),"'","""")&amp;SUBSTITUTE(TEXT(Overig!S254,""",""?00;"",""?-00;"",""?00;"", //"""),"'","""")&amp;SUBSTITUTE(TEXT(Overig!T254,""",""???0;"",""??-0;"",""???0;"", ///"""),"'","""")&amp;SUBSTITUTE(TEXT(Overig!U254,""",""?00;"",""?-00;"",""?00;"", //"""),"'","""")&amp;SUBSTITUTE(TEXT(IF(ISTEXT(Overig!V254),Overig!V254,10*Overig!V254),""",""???0;"",""??-0;"",""???0;"", ///"""),"'","""")&amp;SUBSTITUTE(TEXT(Overig!W254,""",""?00;"",""?-00;"",""?00;"", //"""),"'","""")&amp;SUBSTITUTE(TEXT(IF(ISTEXT(Overig!X254),Overig!X254,10*Overig!X254),""",""????0;"",""???-0;"",""????0;"", ////"""),"'","""")&amp;SUBSTITUTE(TEXT(Overig!Y254,""",""?00;"",""?-00;"",""?00;"", //"""),"'","""")&amp;SUBSTITUTE(TEXT(IF(ISTEXT(Overig!Z254),Overig!Z254,10*Overig!Z254),""",""????0;"",""???-0;"",""????0;"", ////"""),"'","""")&amp;SUBSTITUTE(TEXT(Overig!AA254,""",""?00;"",""?-00;"",""?00;"", //"""),"'","""")&amp;SUBSTITUTE(TEXT(Overig!AB254,""",""???0;"",""??-0;"",""???0;"", ///"""),"'","""")&amp;SUBSTITUTE(TEXT(Overig!AC254,""",""?00;"",""?-00;"",""?00;"", //"""),"'","""")&amp;SUBSTITUTE(TEXT(IF(ISTEXT(Overig!AD254),Overig!AD254,10*Overig!AD254),""",""????0;"",""???-0;"",""????0;"", ////"""),"'","""")&amp;SUBSTITUTE(TEXT(Overig!AE254,""",""?00;"",""?-00;"",""?00;"", //"""),"'","""")&amp;SUBSTITUTE(TEXT(IF(ISTEXT(Overig!AF254),Overig!AF254,10*Overig!AF254),""",""????0;"",""???-0;"",""????0;"", ////"""),"'","""")&amp;SUBSTITUTE(TEXT(Overig!AG254,""",""?00;"",""?-00;"",""?00;"", //"""),"'","""")&amp;SUBSTITUTE(TEXT(Overig!AH254,""",""???0;"",""??-0;"",""???0;"", ///"""),"'","""")&amp;SUBSTITUTE(TEXT(Overig!AI254,""",""?00;"",""?-00;"",""?00;"", //"""),"'","""")&amp;SUBSTITUTE(TEXT(Overig!AJ254,""",""??0;"",""?-0;"",""??0;"", //"""),"'","""")&amp;SUBSTITUTE(TEXT(Overig!AK254,""",""?00;"",""?-00;"",""?00;"", //"""),"'","""")&amp;SUBSTITUTE(IF(EXACT(Overig!AL254,"—"),TEXT(Overig!AL254,""",""????0;"",""???-0;"",""????0;"", ////////////,"""),TEXT(Overig!AL254,"\, \'@""',""")&amp;REPT(" ",10-LEN(Overig!AL254))),"'","""")&amp;SUBSTITUTE(TEXT(Overig!AM254,"?00;?-00;?00;"" //"""),"'","""")&amp;SUBSTITUTE(TEXT(Overig!AN254,""",""???0;"",""??-0;"",""???0;"", ///"""),"'","""")&amp;SUBSTITUTE(TEXT(Overig!AO254,""",""?00;"",""?-00;"",""?00;"", //"""),"'","""")</f>
        <v>78989, 19130910, 0800, ////, 07, /////, 07, ////, 07, /////, 07, ////, 07, ////, 07, ////, 07, ////, 07, ///, 07, ///, 07, ////, 07, ////, 07, ///, 07, ////, 07, ////, 07, ///, 07, //, 07, ////////////, 07, ///, 07</v>
      </c>
    </row>
    <row r="255" spans="1:1" x14ac:dyDescent="0.25">
      <c r="A255" s="75" t="str">
        <f ca="1">TEXT(Overig!A255,"000\,")&amp;TEXT(Overig!B255,"?00000000")&amp;TEXT(Overig!C255,""", ""0000")&amp;SUBSTITUTE(TEXT(IF(ISTEXT(Overig!D255),Overig!D255,10*Overig!D255),""",""????0;"",""???-0;"",""????0;"", ////"""),"'","""")&amp;SUBSTITUTE(TEXT(Overig!E255,""",""?00;"",""?-00;"",""?00;"", //"""),"'","""")&amp;SUBSTITUTE(TEXT(IF(ISTEXT(Overig!F255),Overig!F255,100*Overig!F255),""",""?????0;"",""????-0;"",""?????0;"", /////"""),"'","""")&amp;SUBSTITUTE(TEXT(Overig!G255,""",""?00;"",""?-00;"",""?00;"", //"""),"'","""")&amp;SUBSTITUTE(TEXT(IF(ISTEXT(Overig!H255),Overig!H255,100*Overig!H255),""",""????0;"",""???-0;"",""????0;"", ////"""),"'","""")&amp;SUBSTITUTE(TEXT(Overig!I255,""",""?00;"",""?-00;"",""?00;"", //"""),"'","""")&amp;SUBSTITUTE(TEXT(IF(ISTEXT(Overig!J255),Overig!J255,100*Overig!J255),""",""?????0;"",""????-0;"",""?????0;"", /////"""),"'","""")&amp;SUBSTITUTE(TEXT(Overig!K255,""",""?00;"",""?-00;"",""?00;"", //"""),"'","""")&amp;SUBSTITUTE(TEXT(IF(ISTEXT(Overig!L255),Overig!L255,10*Overig!L255),""",""????0;"",""???-0;"",""????0;"", ////"""),"'","""")&amp;SUBSTITUTE(TEXT(Overig!M255,""",""?00;"",""?-00;"",""?00;"", //"""),"'","""")&amp;SUBSTITUTE(TEXT(IF(ISTEXT(Overig!N255),Overig!N255,10*Overig!N255),""",""????0;"",""???-0;"",""????0;"", ////"""),"'","""")&amp;SUBSTITUTE(TEXT(Overig!O255,""",""?00;"",""?-00;"",""?00;"", //"""),"'","""")&amp;SUBSTITUTE(TEXT(IF(ISTEXT(Overig!P255),Overig!P255,10*Overig!P255),""",""????0;"",""???-0;"",""????0;"", ////"""),"'","""")&amp;SUBSTITUTE(TEXT(Overig!Q255,""",""?00;"",""?-00;"",""?00;"", //"""),"'","""")&amp;SUBSTITUTE(TEXT(IF(ISTEXT(Overig!R255),Overig!R255,10*Overig!R255),""",""????0;"",""???-0;"",""????0;"", ////"""),"'","""")&amp;SUBSTITUTE(TEXT(Overig!S255,""",""?00;"",""?-00;"",""?00;"", //"""),"'","""")&amp;SUBSTITUTE(TEXT(Overig!T255,""",""???0;"",""??-0;"",""???0;"", ///"""),"'","""")&amp;SUBSTITUTE(TEXT(Overig!U255,""",""?00;"",""?-00;"",""?00;"", //"""),"'","""")&amp;SUBSTITUTE(TEXT(IF(ISTEXT(Overig!V255),Overig!V255,10*Overig!V255),""",""???0;"",""??-0;"",""???0;"", ///"""),"'","""")&amp;SUBSTITUTE(TEXT(Overig!W255,""",""?00;"",""?-00;"",""?00;"", //"""),"'","""")&amp;SUBSTITUTE(TEXT(IF(ISTEXT(Overig!X255),Overig!X255,10*Overig!X255),""",""????0;"",""???-0;"",""????0;"", ////"""),"'","""")&amp;SUBSTITUTE(TEXT(Overig!Y255,""",""?00;"",""?-00;"",""?00;"", //"""),"'","""")&amp;SUBSTITUTE(TEXT(IF(ISTEXT(Overig!Z255),Overig!Z255,10*Overig!Z255),""",""????0;"",""???-0;"",""????0;"", ////"""),"'","""")&amp;SUBSTITUTE(TEXT(Overig!AA255,""",""?00;"",""?-00;"",""?00;"", //"""),"'","""")&amp;SUBSTITUTE(TEXT(Overig!AB255,""",""???0;"",""??-0;"",""???0;"", ///"""),"'","""")&amp;SUBSTITUTE(TEXT(Overig!AC255,""",""?00;"",""?-00;"",""?00;"", //"""),"'","""")&amp;SUBSTITUTE(TEXT(IF(ISTEXT(Overig!AD255),Overig!AD255,10*Overig!AD255),""",""????0;"",""???-0;"",""????0;"", ////"""),"'","""")&amp;SUBSTITUTE(TEXT(Overig!AE255,""",""?00;"",""?-00;"",""?00;"", //"""),"'","""")&amp;SUBSTITUTE(TEXT(IF(ISTEXT(Overig!AF255),Overig!AF255,10*Overig!AF255),""",""????0;"",""???-0;"",""????0;"", ////"""),"'","""")&amp;SUBSTITUTE(TEXT(Overig!AG255,""",""?00;"",""?-00;"",""?00;"", //"""),"'","""")&amp;SUBSTITUTE(TEXT(Overig!AH255,""",""???0;"",""??-0;"",""???0;"", ///"""),"'","""")&amp;SUBSTITUTE(TEXT(Overig!AI255,""",""?00;"",""?-00;"",""?00;"", //"""),"'","""")&amp;SUBSTITUTE(TEXT(Overig!AJ255,""",""??0;"",""?-0;"",""??0;"", //"""),"'","""")&amp;SUBSTITUTE(TEXT(Overig!AK255,""",""?00;"",""?-00;"",""?00;"", //"""),"'","""")&amp;SUBSTITUTE(IF(EXACT(Overig!AL255,"—"),TEXT(Overig!AL255,""",""????0;"",""???-0;"",""????0;"", ////////////,"""),TEXT(Overig!AL255,"\, \'@""',""")&amp;REPT(" ",10-LEN(Overig!AL255))),"'","""")&amp;SUBSTITUTE(TEXT(Overig!AM255,"?00;?-00;?00;"" //"""),"'","""")&amp;SUBSTITUTE(TEXT(Overig!AN255,""",""???0;"",""??-0;"",""???0;"", ///"""),"'","""")&amp;SUBSTITUTE(TEXT(Overig!AO255,""",""?00;"",""?-00;"",""?00;"", //"""),"'","""")</f>
        <v>78989, 19130911, 0800, ////, 07, /////, 07, ////, 07, /////, 07, ////, 07, ////, 07, ////, 07, ////, 07, ///, 07, ///, 07, ////, 07, ////, 07, ///, 07, ////, 07, ////, 07, ///, 07, //, 07, ////////////, 07, ///, 07</v>
      </c>
    </row>
    <row r="256" spans="1:1" x14ac:dyDescent="0.25">
      <c r="A256" s="75" t="str">
        <f ca="1">TEXT(Overig!A256,"000\,")&amp;TEXT(Overig!B256,"?00000000")&amp;TEXT(Overig!C256,""", ""0000")&amp;SUBSTITUTE(TEXT(IF(ISTEXT(Overig!D256),Overig!D256,10*Overig!D256),""",""????0;"",""???-0;"",""????0;"", ////"""),"'","""")&amp;SUBSTITUTE(TEXT(Overig!E256,""",""?00;"",""?-00;"",""?00;"", //"""),"'","""")&amp;SUBSTITUTE(TEXT(IF(ISTEXT(Overig!F256),Overig!F256,100*Overig!F256),""",""?????0;"",""????-0;"",""?????0;"", /////"""),"'","""")&amp;SUBSTITUTE(TEXT(Overig!G256,""",""?00;"",""?-00;"",""?00;"", //"""),"'","""")&amp;SUBSTITUTE(TEXT(IF(ISTEXT(Overig!H256),Overig!H256,100*Overig!H256),""",""????0;"",""???-0;"",""????0;"", ////"""),"'","""")&amp;SUBSTITUTE(TEXT(Overig!I256,""",""?00;"",""?-00;"",""?00;"", //"""),"'","""")&amp;SUBSTITUTE(TEXT(IF(ISTEXT(Overig!J256),Overig!J256,100*Overig!J256),""",""?????0;"",""????-0;"",""?????0;"", /////"""),"'","""")&amp;SUBSTITUTE(TEXT(Overig!K256,""",""?00;"",""?-00;"",""?00;"", //"""),"'","""")&amp;SUBSTITUTE(TEXT(IF(ISTEXT(Overig!L256),Overig!L256,10*Overig!L256),""",""????0;"",""???-0;"",""????0;"", ////"""),"'","""")&amp;SUBSTITUTE(TEXT(Overig!M256,""",""?00;"",""?-00;"",""?00;"", //"""),"'","""")&amp;SUBSTITUTE(TEXT(IF(ISTEXT(Overig!N256),Overig!N256,10*Overig!N256),""",""????0;"",""???-0;"",""????0;"", ////"""),"'","""")&amp;SUBSTITUTE(TEXT(Overig!O256,""",""?00;"",""?-00;"",""?00;"", //"""),"'","""")&amp;SUBSTITUTE(TEXT(IF(ISTEXT(Overig!P256),Overig!P256,10*Overig!P256),""",""????0;"",""???-0;"",""????0;"", ////"""),"'","""")&amp;SUBSTITUTE(TEXT(Overig!Q256,""",""?00;"",""?-00;"",""?00;"", //"""),"'","""")&amp;SUBSTITUTE(TEXT(IF(ISTEXT(Overig!R256),Overig!R256,10*Overig!R256),""",""????0;"",""???-0;"",""????0;"", ////"""),"'","""")&amp;SUBSTITUTE(TEXT(Overig!S256,""",""?00;"",""?-00;"",""?00;"", //"""),"'","""")&amp;SUBSTITUTE(TEXT(Overig!T256,""",""???0;"",""??-0;"",""???0;"", ///"""),"'","""")&amp;SUBSTITUTE(TEXT(Overig!U256,""",""?00;"",""?-00;"",""?00;"", //"""),"'","""")&amp;SUBSTITUTE(TEXT(IF(ISTEXT(Overig!V256),Overig!V256,10*Overig!V256),""",""???0;"",""??-0;"",""???0;"", ///"""),"'","""")&amp;SUBSTITUTE(TEXT(Overig!W256,""",""?00;"",""?-00;"",""?00;"", //"""),"'","""")&amp;SUBSTITUTE(TEXT(IF(ISTEXT(Overig!X256),Overig!X256,10*Overig!X256),""",""????0;"",""???-0;"",""????0;"", ////"""),"'","""")&amp;SUBSTITUTE(TEXT(Overig!Y256,""",""?00;"",""?-00;"",""?00;"", //"""),"'","""")&amp;SUBSTITUTE(TEXT(IF(ISTEXT(Overig!Z256),Overig!Z256,10*Overig!Z256),""",""????0;"",""???-0;"",""????0;"", ////"""),"'","""")&amp;SUBSTITUTE(TEXT(Overig!AA256,""",""?00;"",""?-00;"",""?00;"", //"""),"'","""")&amp;SUBSTITUTE(TEXT(Overig!AB256,""",""???0;"",""??-0;"",""???0;"", ///"""),"'","""")&amp;SUBSTITUTE(TEXT(Overig!AC256,""",""?00;"",""?-00;"",""?00;"", //"""),"'","""")&amp;SUBSTITUTE(TEXT(IF(ISTEXT(Overig!AD256),Overig!AD256,10*Overig!AD256),""",""????0;"",""???-0;"",""????0;"", ////"""),"'","""")&amp;SUBSTITUTE(TEXT(Overig!AE256,""",""?00;"",""?-00;"",""?00;"", //"""),"'","""")&amp;SUBSTITUTE(TEXT(IF(ISTEXT(Overig!AF256),Overig!AF256,10*Overig!AF256),""",""????0;"",""???-0;"",""????0;"", ////"""),"'","""")&amp;SUBSTITUTE(TEXT(Overig!AG256,""",""?00;"",""?-00;"",""?00;"", //"""),"'","""")&amp;SUBSTITUTE(TEXT(Overig!AH256,""",""???0;"",""??-0;"",""???0;"", ///"""),"'","""")&amp;SUBSTITUTE(TEXT(Overig!AI256,""",""?00;"",""?-00;"",""?00;"", //"""),"'","""")&amp;SUBSTITUTE(TEXT(Overig!AJ256,""",""??0;"",""?-0;"",""??0;"", //"""),"'","""")&amp;SUBSTITUTE(TEXT(Overig!AK256,""",""?00;"",""?-00;"",""?00;"", //"""),"'","""")&amp;SUBSTITUTE(IF(EXACT(Overig!AL256,"—"),TEXT(Overig!AL256,""",""????0;"",""???-0;"",""????0;"", ////////////,"""),TEXT(Overig!AL256,"\, \'@""',""")&amp;REPT(" ",10-LEN(Overig!AL256))),"'","""")&amp;SUBSTITUTE(TEXT(Overig!AM256,"?00;?-00;?00;"" //"""),"'","""")&amp;SUBSTITUTE(TEXT(Overig!AN256,""",""???0;"",""??-0;"",""???0;"", ///"""),"'","""")&amp;SUBSTITUTE(TEXT(Overig!AO256,""",""?00;"",""?-00;"",""?00;"", //"""),"'","""")</f>
        <v>78989, 19130912, 0800, ////, 07, /////, 07, ////, 07, /////, 07, ////, 07, ////, 07, ////, 07, ////, 07, ///, 07, ///, 07, ////, 07, ////, 07, ///, 07, ////, 07, ////, 07, ///, 07, //, 07, ////////////, 07, ///, 07</v>
      </c>
    </row>
    <row r="257" spans="1:1" x14ac:dyDescent="0.25">
      <c r="A257" s="75" t="str">
        <f ca="1">TEXT(Overig!A257,"000\,")&amp;TEXT(Overig!B257,"?00000000")&amp;TEXT(Overig!C257,""", ""0000")&amp;SUBSTITUTE(TEXT(IF(ISTEXT(Overig!D257),Overig!D257,10*Overig!D257),""",""????0;"",""???-0;"",""????0;"", ////"""),"'","""")&amp;SUBSTITUTE(TEXT(Overig!E257,""",""?00;"",""?-00;"",""?00;"", //"""),"'","""")&amp;SUBSTITUTE(TEXT(IF(ISTEXT(Overig!F257),Overig!F257,100*Overig!F257),""",""?????0;"",""????-0;"",""?????0;"", /////"""),"'","""")&amp;SUBSTITUTE(TEXT(Overig!G257,""",""?00;"",""?-00;"",""?00;"", //"""),"'","""")&amp;SUBSTITUTE(TEXT(IF(ISTEXT(Overig!H257),Overig!H257,100*Overig!H257),""",""????0;"",""???-0;"",""????0;"", ////"""),"'","""")&amp;SUBSTITUTE(TEXT(Overig!I257,""",""?00;"",""?-00;"",""?00;"", //"""),"'","""")&amp;SUBSTITUTE(TEXT(IF(ISTEXT(Overig!J257),Overig!J257,100*Overig!J257),""",""?????0;"",""????-0;"",""?????0;"", /////"""),"'","""")&amp;SUBSTITUTE(TEXT(Overig!K257,""",""?00;"",""?-00;"",""?00;"", //"""),"'","""")&amp;SUBSTITUTE(TEXT(IF(ISTEXT(Overig!L257),Overig!L257,10*Overig!L257),""",""????0;"",""???-0;"",""????0;"", ////"""),"'","""")&amp;SUBSTITUTE(TEXT(Overig!M257,""",""?00;"",""?-00;"",""?00;"", //"""),"'","""")&amp;SUBSTITUTE(TEXT(IF(ISTEXT(Overig!N257),Overig!N257,10*Overig!N257),""",""????0;"",""???-0;"",""????0;"", ////"""),"'","""")&amp;SUBSTITUTE(TEXT(Overig!O257,""",""?00;"",""?-00;"",""?00;"", //"""),"'","""")&amp;SUBSTITUTE(TEXT(IF(ISTEXT(Overig!P257),Overig!P257,10*Overig!P257),""",""????0;"",""???-0;"",""????0;"", ////"""),"'","""")&amp;SUBSTITUTE(TEXT(Overig!Q257,""",""?00;"",""?-00;"",""?00;"", //"""),"'","""")&amp;SUBSTITUTE(TEXT(IF(ISTEXT(Overig!R257),Overig!R257,10*Overig!R257),""",""????0;"",""???-0;"",""????0;"", ////"""),"'","""")&amp;SUBSTITUTE(TEXT(Overig!S257,""",""?00;"",""?-00;"",""?00;"", //"""),"'","""")&amp;SUBSTITUTE(TEXT(Overig!T257,""",""???0;"",""??-0;"",""???0;"", ///"""),"'","""")&amp;SUBSTITUTE(TEXT(Overig!U257,""",""?00;"",""?-00;"",""?00;"", //"""),"'","""")&amp;SUBSTITUTE(TEXT(IF(ISTEXT(Overig!V257),Overig!V257,10*Overig!V257),""",""???0;"",""??-0;"",""???0;"", ///"""),"'","""")&amp;SUBSTITUTE(TEXT(Overig!W257,""",""?00;"",""?-00;"",""?00;"", //"""),"'","""")&amp;SUBSTITUTE(TEXT(IF(ISTEXT(Overig!X257),Overig!X257,10*Overig!X257),""",""????0;"",""???-0;"",""????0;"", ////"""),"'","""")&amp;SUBSTITUTE(TEXT(Overig!Y257,""",""?00;"",""?-00;"",""?00;"", //"""),"'","""")&amp;SUBSTITUTE(TEXT(IF(ISTEXT(Overig!Z257),Overig!Z257,10*Overig!Z257),""",""????0;"",""???-0;"",""????0;"", ////"""),"'","""")&amp;SUBSTITUTE(TEXT(Overig!AA257,""",""?00;"",""?-00;"",""?00;"", //"""),"'","""")&amp;SUBSTITUTE(TEXT(Overig!AB257,""",""???0;"",""??-0;"",""???0;"", ///"""),"'","""")&amp;SUBSTITUTE(TEXT(Overig!AC257,""",""?00;"",""?-00;"",""?00;"", //"""),"'","""")&amp;SUBSTITUTE(TEXT(IF(ISTEXT(Overig!AD257),Overig!AD257,10*Overig!AD257),""",""????0;"",""???-0;"",""????0;"", ////"""),"'","""")&amp;SUBSTITUTE(TEXT(Overig!AE257,""",""?00;"",""?-00;"",""?00;"", //"""),"'","""")&amp;SUBSTITUTE(TEXT(IF(ISTEXT(Overig!AF257),Overig!AF257,10*Overig!AF257),""",""????0;"",""???-0;"",""????0;"", ////"""),"'","""")&amp;SUBSTITUTE(TEXT(Overig!AG257,""",""?00;"",""?-00;"",""?00;"", //"""),"'","""")&amp;SUBSTITUTE(TEXT(Overig!AH257,""",""???0;"",""??-0;"",""???0;"", ///"""),"'","""")&amp;SUBSTITUTE(TEXT(Overig!AI257,""",""?00;"",""?-00;"",""?00;"", //"""),"'","""")&amp;SUBSTITUTE(TEXT(Overig!AJ257,""",""??0;"",""?-0;"",""??0;"", //"""),"'","""")&amp;SUBSTITUTE(TEXT(Overig!AK257,""",""?00;"",""?-00;"",""?00;"", //"""),"'","""")&amp;SUBSTITUTE(IF(EXACT(Overig!AL257,"—"),TEXT(Overig!AL257,""",""????0;"",""???-0;"",""????0;"", ////////////,"""),TEXT(Overig!AL257,"\, \'@""',""")&amp;REPT(" ",10-LEN(Overig!AL257))),"'","""")&amp;SUBSTITUTE(TEXT(Overig!AM257,"?00;?-00;?00;"" //"""),"'","""")&amp;SUBSTITUTE(TEXT(Overig!AN257,""",""???0;"",""??-0;"",""???0;"", ///"""),"'","""")&amp;SUBSTITUTE(TEXT(Overig!AO257,""",""?00;"",""?-00;"",""?00;"", //"""),"'","""")</f>
        <v>78989, 19130913, 0800, ////, 07, /////, 07, ////, 07, /////, 07, ////, 07, ////, 07, ////, 07, ////, 07, ///, 07, ///, 07, ////, 07, ////, 07, ///, 07, ////, 07, ////, 07, ///, 07, //, 07, ////////////, 07, ///, 07</v>
      </c>
    </row>
    <row r="258" spans="1:1" x14ac:dyDescent="0.25">
      <c r="A258" s="75" t="str">
        <f ca="1">TEXT(Overig!A258,"000\,")&amp;TEXT(Overig!B258,"?00000000")&amp;TEXT(Overig!C258,""", ""0000")&amp;SUBSTITUTE(TEXT(IF(ISTEXT(Overig!D258),Overig!D258,10*Overig!D258),""",""????0;"",""???-0;"",""????0;"", ////"""),"'","""")&amp;SUBSTITUTE(TEXT(Overig!E258,""",""?00;"",""?-00;"",""?00;"", //"""),"'","""")&amp;SUBSTITUTE(TEXT(IF(ISTEXT(Overig!F258),Overig!F258,100*Overig!F258),""",""?????0;"",""????-0;"",""?????0;"", /////"""),"'","""")&amp;SUBSTITUTE(TEXT(Overig!G258,""",""?00;"",""?-00;"",""?00;"", //"""),"'","""")&amp;SUBSTITUTE(TEXT(IF(ISTEXT(Overig!H258),Overig!H258,100*Overig!H258),""",""????0;"",""???-0;"",""????0;"", ////"""),"'","""")&amp;SUBSTITUTE(TEXT(Overig!I258,""",""?00;"",""?-00;"",""?00;"", //"""),"'","""")&amp;SUBSTITUTE(TEXT(IF(ISTEXT(Overig!J258),Overig!J258,100*Overig!J258),""",""?????0;"",""????-0;"",""?????0;"", /////"""),"'","""")&amp;SUBSTITUTE(TEXT(Overig!K258,""",""?00;"",""?-00;"",""?00;"", //"""),"'","""")&amp;SUBSTITUTE(TEXT(IF(ISTEXT(Overig!L258),Overig!L258,10*Overig!L258),""",""????0;"",""???-0;"",""????0;"", ////"""),"'","""")&amp;SUBSTITUTE(TEXT(Overig!M258,""",""?00;"",""?-00;"",""?00;"", //"""),"'","""")&amp;SUBSTITUTE(TEXT(IF(ISTEXT(Overig!N258),Overig!N258,10*Overig!N258),""",""????0;"",""???-0;"",""????0;"", ////"""),"'","""")&amp;SUBSTITUTE(TEXT(Overig!O258,""",""?00;"",""?-00;"",""?00;"", //"""),"'","""")&amp;SUBSTITUTE(TEXT(IF(ISTEXT(Overig!P258),Overig!P258,10*Overig!P258),""",""????0;"",""???-0;"",""????0;"", ////"""),"'","""")&amp;SUBSTITUTE(TEXT(Overig!Q258,""",""?00;"",""?-00;"",""?00;"", //"""),"'","""")&amp;SUBSTITUTE(TEXT(IF(ISTEXT(Overig!R258),Overig!R258,10*Overig!R258),""",""????0;"",""???-0;"",""????0;"", ////"""),"'","""")&amp;SUBSTITUTE(TEXT(Overig!S258,""",""?00;"",""?-00;"",""?00;"", //"""),"'","""")&amp;SUBSTITUTE(TEXT(Overig!T258,""",""???0;"",""??-0;"",""???0;"", ///"""),"'","""")&amp;SUBSTITUTE(TEXT(Overig!U258,""",""?00;"",""?-00;"",""?00;"", //"""),"'","""")&amp;SUBSTITUTE(TEXT(IF(ISTEXT(Overig!V258),Overig!V258,10*Overig!V258),""",""???0;"",""??-0;"",""???0;"", ///"""),"'","""")&amp;SUBSTITUTE(TEXT(Overig!W258,""",""?00;"",""?-00;"",""?00;"", //"""),"'","""")&amp;SUBSTITUTE(TEXT(IF(ISTEXT(Overig!X258),Overig!X258,10*Overig!X258),""",""????0;"",""???-0;"",""????0;"", ////"""),"'","""")&amp;SUBSTITUTE(TEXT(Overig!Y258,""",""?00;"",""?-00;"",""?00;"", //"""),"'","""")&amp;SUBSTITUTE(TEXT(IF(ISTEXT(Overig!Z258),Overig!Z258,10*Overig!Z258),""",""????0;"",""???-0;"",""????0;"", ////"""),"'","""")&amp;SUBSTITUTE(TEXT(Overig!AA258,""",""?00;"",""?-00;"",""?00;"", //"""),"'","""")&amp;SUBSTITUTE(TEXT(Overig!AB258,""",""???0;"",""??-0;"",""???0;"", ///"""),"'","""")&amp;SUBSTITUTE(TEXT(Overig!AC258,""",""?00;"",""?-00;"",""?00;"", //"""),"'","""")&amp;SUBSTITUTE(TEXT(IF(ISTEXT(Overig!AD258),Overig!AD258,10*Overig!AD258),""",""????0;"",""???-0;"",""????0;"", ////"""),"'","""")&amp;SUBSTITUTE(TEXT(Overig!AE258,""",""?00;"",""?-00;"",""?00;"", //"""),"'","""")&amp;SUBSTITUTE(TEXT(IF(ISTEXT(Overig!AF258),Overig!AF258,10*Overig!AF258),""",""????0;"",""???-0;"",""????0;"", ////"""),"'","""")&amp;SUBSTITUTE(TEXT(Overig!AG258,""",""?00;"",""?-00;"",""?00;"", //"""),"'","""")&amp;SUBSTITUTE(TEXT(Overig!AH258,""",""???0;"",""??-0;"",""???0;"", ///"""),"'","""")&amp;SUBSTITUTE(TEXT(Overig!AI258,""",""?00;"",""?-00;"",""?00;"", //"""),"'","""")&amp;SUBSTITUTE(TEXT(Overig!AJ258,""",""??0;"",""?-0;"",""??0;"", //"""),"'","""")&amp;SUBSTITUTE(TEXT(Overig!AK258,""",""?00;"",""?-00;"",""?00;"", //"""),"'","""")&amp;SUBSTITUTE(IF(EXACT(Overig!AL258,"—"),TEXT(Overig!AL258,""",""????0;"",""???-0;"",""????0;"", ////////////,"""),TEXT(Overig!AL258,"\, \'@""',""")&amp;REPT(" ",10-LEN(Overig!AL258))),"'","""")&amp;SUBSTITUTE(TEXT(Overig!AM258,"?00;?-00;?00;"" //"""),"'","""")&amp;SUBSTITUTE(TEXT(Overig!AN258,""",""???0;"",""??-0;"",""???0;"", ///"""),"'","""")&amp;SUBSTITUTE(TEXT(Overig!AO258,""",""?00;"",""?-00;"",""?00;"", //"""),"'","""")</f>
        <v>78989, 19130914, 0800, ////, 07, /////, 07, ////, 07, /////, 07, ////, 07, ////, 07, ////, 07, ////, 07, ///, 07, ///, 07, ////, 07, ////, 07, ///, 07, ////, 07, ////, 07, ///, 07, //, 07, ////////////, 07, ///, 07</v>
      </c>
    </row>
    <row r="259" spans="1:1" x14ac:dyDescent="0.25">
      <c r="A259" s="75" t="str">
        <f ca="1">TEXT(Overig!A259,"000\,")&amp;TEXT(Overig!B259,"?00000000")&amp;TEXT(Overig!C259,""", ""0000")&amp;SUBSTITUTE(TEXT(IF(ISTEXT(Overig!D259),Overig!D259,10*Overig!D259),""",""????0;"",""???-0;"",""????0;"", ////"""),"'","""")&amp;SUBSTITUTE(TEXT(Overig!E259,""",""?00;"",""?-00;"",""?00;"", //"""),"'","""")&amp;SUBSTITUTE(TEXT(IF(ISTEXT(Overig!F259),Overig!F259,100*Overig!F259),""",""?????0;"",""????-0;"",""?????0;"", /////"""),"'","""")&amp;SUBSTITUTE(TEXT(Overig!G259,""",""?00;"",""?-00;"",""?00;"", //"""),"'","""")&amp;SUBSTITUTE(TEXT(IF(ISTEXT(Overig!H259),Overig!H259,100*Overig!H259),""",""????0;"",""???-0;"",""????0;"", ////"""),"'","""")&amp;SUBSTITUTE(TEXT(Overig!I259,""",""?00;"",""?-00;"",""?00;"", //"""),"'","""")&amp;SUBSTITUTE(TEXT(IF(ISTEXT(Overig!J259),Overig!J259,100*Overig!J259),""",""?????0;"",""????-0;"",""?????0;"", /////"""),"'","""")&amp;SUBSTITUTE(TEXT(Overig!K259,""",""?00;"",""?-00;"",""?00;"", //"""),"'","""")&amp;SUBSTITUTE(TEXT(IF(ISTEXT(Overig!L259),Overig!L259,10*Overig!L259),""",""????0;"",""???-0;"",""????0;"", ////"""),"'","""")&amp;SUBSTITUTE(TEXT(Overig!M259,""",""?00;"",""?-00;"",""?00;"", //"""),"'","""")&amp;SUBSTITUTE(TEXT(IF(ISTEXT(Overig!N259),Overig!N259,10*Overig!N259),""",""????0;"",""???-0;"",""????0;"", ////"""),"'","""")&amp;SUBSTITUTE(TEXT(Overig!O259,""",""?00;"",""?-00;"",""?00;"", //"""),"'","""")&amp;SUBSTITUTE(TEXT(IF(ISTEXT(Overig!P259),Overig!P259,10*Overig!P259),""",""????0;"",""???-0;"",""????0;"", ////"""),"'","""")&amp;SUBSTITUTE(TEXT(Overig!Q259,""",""?00;"",""?-00;"",""?00;"", //"""),"'","""")&amp;SUBSTITUTE(TEXT(IF(ISTEXT(Overig!R259),Overig!R259,10*Overig!R259),""",""????0;"",""???-0;"",""????0;"", ////"""),"'","""")&amp;SUBSTITUTE(TEXT(Overig!S259,""",""?00;"",""?-00;"",""?00;"", //"""),"'","""")&amp;SUBSTITUTE(TEXT(Overig!T259,""",""???0;"",""??-0;"",""???0;"", ///"""),"'","""")&amp;SUBSTITUTE(TEXT(Overig!U259,""",""?00;"",""?-00;"",""?00;"", //"""),"'","""")&amp;SUBSTITUTE(TEXT(IF(ISTEXT(Overig!V259),Overig!V259,10*Overig!V259),""",""???0;"",""??-0;"",""???0;"", ///"""),"'","""")&amp;SUBSTITUTE(TEXT(Overig!W259,""",""?00;"",""?-00;"",""?00;"", //"""),"'","""")&amp;SUBSTITUTE(TEXT(IF(ISTEXT(Overig!X259),Overig!X259,10*Overig!X259),""",""????0;"",""???-0;"",""????0;"", ////"""),"'","""")&amp;SUBSTITUTE(TEXT(Overig!Y259,""",""?00;"",""?-00;"",""?00;"", //"""),"'","""")&amp;SUBSTITUTE(TEXT(IF(ISTEXT(Overig!Z259),Overig!Z259,10*Overig!Z259),""",""????0;"",""???-0;"",""????0;"", ////"""),"'","""")&amp;SUBSTITUTE(TEXT(Overig!AA259,""",""?00;"",""?-00;"",""?00;"", //"""),"'","""")&amp;SUBSTITUTE(TEXT(Overig!AB259,""",""???0;"",""??-0;"",""???0;"", ///"""),"'","""")&amp;SUBSTITUTE(TEXT(Overig!AC259,""",""?00;"",""?-00;"",""?00;"", //"""),"'","""")&amp;SUBSTITUTE(TEXT(IF(ISTEXT(Overig!AD259),Overig!AD259,10*Overig!AD259),""",""????0;"",""???-0;"",""????0;"", ////"""),"'","""")&amp;SUBSTITUTE(TEXT(Overig!AE259,""",""?00;"",""?-00;"",""?00;"", //"""),"'","""")&amp;SUBSTITUTE(TEXT(IF(ISTEXT(Overig!AF259),Overig!AF259,10*Overig!AF259),""",""????0;"",""???-0;"",""????0;"", ////"""),"'","""")&amp;SUBSTITUTE(TEXT(Overig!AG259,""",""?00;"",""?-00;"",""?00;"", //"""),"'","""")&amp;SUBSTITUTE(TEXT(Overig!AH259,""",""???0;"",""??-0;"",""???0;"", ///"""),"'","""")&amp;SUBSTITUTE(TEXT(Overig!AI259,""",""?00;"",""?-00;"",""?00;"", //"""),"'","""")&amp;SUBSTITUTE(TEXT(Overig!AJ259,""",""??0;"",""?-0;"",""??0;"", //"""),"'","""")&amp;SUBSTITUTE(TEXT(Overig!AK259,""",""?00;"",""?-00;"",""?00;"", //"""),"'","""")&amp;SUBSTITUTE(IF(EXACT(Overig!AL259,"—"),TEXT(Overig!AL259,""",""????0;"",""???-0;"",""????0;"", ////////////,"""),TEXT(Overig!AL259,"\, \'@""',""")&amp;REPT(" ",10-LEN(Overig!AL259))),"'","""")&amp;SUBSTITUTE(TEXT(Overig!AM259,"?00;?-00;?00;"" //"""),"'","""")&amp;SUBSTITUTE(TEXT(Overig!AN259,""",""???0;"",""??-0;"",""???0;"", ///"""),"'","""")&amp;SUBSTITUTE(TEXT(Overig!AO259,""",""?00;"",""?-00;"",""?00;"", //"""),"'","""")</f>
        <v>78989, 19130915, 0800, ////, 07, /////, 07, ////, 07, /////, 07, ////, 07, ////, 07, ////, 07, ////, 07, ///, 07, ///, 07, ////, 07, ////, 07, ///, 07, ////, 07, ////, 07, ///, 07, //, 07, ////////////, 07, ///, 07</v>
      </c>
    </row>
    <row r="260" spans="1:1" x14ac:dyDescent="0.25">
      <c r="A260" s="75" t="str">
        <f ca="1">TEXT(Overig!A260,"000\,")&amp;TEXT(Overig!B260,"?00000000")&amp;TEXT(Overig!C260,""", ""0000")&amp;SUBSTITUTE(TEXT(IF(ISTEXT(Overig!D260),Overig!D260,10*Overig!D260),""",""????0;"",""???-0;"",""????0;"", ////"""),"'","""")&amp;SUBSTITUTE(TEXT(Overig!E260,""",""?00;"",""?-00;"",""?00;"", //"""),"'","""")&amp;SUBSTITUTE(TEXT(IF(ISTEXT(Overig!F260),Overig!F260,100*Overig!F260),""",""?????0;"",""????-0;"",""?????0;"", /////"""),"'","""")&amp;SUBSTITUTE(TEXT(Overig!G260,""",""?00;"",""?-00;"",""?00;"", //"""),"'","""")&amp;SUBSTITUTE(TEXT(IF(ISTEXT(Overig!H260),Overig!H260,100*Overig!H260),""",""????0;"",""???-0;"",""????0;"", ////"""),"'","""")&amp;SUBSTITUTE(TEXT(Overig!I260,""",""?00;"",""?-00;"",""?00;"", //"""),"'","""")&amp;SUBSTITUTE(TEXT(IF(ISTEXT(Overig!J260),Overig!J260,100*Overig!J260),""",""?????0;"",""????-0;"",""?????0;"", /////"""),"'","""")&amp;SUBSTITUTE(TEXT(Overig!K260,""",""?00;"",""?-00;"",""?00;"", //"""),"'","""")&amp;SUBSTITUTE(TEXT(IF(ISTEXT(Overig!L260),Overig!L260,10*Overig!L260),""",""????0;"",""???-0;"",""????0;"", ////"""),"'","""")&amp;SUBSTITUTE(TEXT(Overig!M260,""",""?00;"",""?-00;"",""?00;"", //"""),"'","""")&amp;SUBSTITUTE(TEXT(IF(ISTEXT(Overig!N260),Overig!N260,10*Overig!N260),""",""????0;"",""???-0;"",""????0;"", ////"""),"'","""")&amp;SUBSTITUTE(TEXT(Overig!O260,""",""?00;"",""?-00;"",""?00;"", //"""),"'","""")&amp;SUBSTITUTE(TEXT(IF(ISTEXT(Overig!P260),Overig!P260,10*Overig!P260),""",""????0;"",""???-0;"",""????0;"", ////"""),"'","""")&amp;SUBSTITUTE(TEXT(Overig!Q260,""",""?00;"",""?-00;"",""?00;"", //"""),"'","""")&amp;SUBSTITUTE(TEXT(IF(ISTEXT(Overig!R260),Overig!R260,10*Overig!R260),""",""????0;"",""???-0;"",""????0;"", ////"""),"'","""")&amp;SUBSTITUTE(TEXT(Overig!S260,""",""?00;"",""?-00;"",""?00;"", //"""),"'","""")&amp;SUBSTITUTE(TEXT(Overig!T260,""",""???0;"",""??-0;"",""???0;"", ///"""),"'","""")&amp;SUBSTITUTE(TEXT(Overig!U260,""",""?00;"",""?-00;"",""?00;"", //"""),"'","""")&amp;SUBSTITUTE(TEXT(IF(ISTEXT(Overig!V260),Overig!V260,10*Overig!V260),""",""???0;"",""??-0;"",""???0;"", ///"""),"'","""")&amp;SUBSTITUTE(TEXT(Overig!W260,""",""?00;"",""?-00;"",""?00;"", //"""),"'","""")&amp;SUBSTITUTE(TEXT(IF(ISTEXT(Overig!X260),Overig!X260,10*Overig!X260),""",""????0;"",""???-0;"",""????0;"", ////"""),"'","""")&amp;SUBSTITUTE(TEXT(Overig!Y260,""",""?00;"",""?-00;"",""?00;"", //"""),"'","""")&amp;SUBSTITUTE(TEXT(IF(ISTEXT(Overig!Z260),Overig!Z260,10*Overig!Z260),""",""????0;"",""???-0;"",""????0;"", ////"""),"'","""")&amp;SUBSTITUTE(TEXT(Overig!AA260,""",""?00;"",""?-00;"",""?00;"", //"""),"'","""")&amp;SUBSTITUTE(TEXT(Overig!AB260,""",""???0;"",""??-0;"",""???0;"", ///"""),"'","""")&amp;SUBSTITUTE(TEXT(Overig!AC260,""",""?00;"",""?-00;"",""?00;"", //"""),"'","""")&amp;SUBSTITUTE(TEXT(IF(ISTEXT(Overig!AD260),Overig!AD260,10*Overig!AD260),""",""????0;"",""???-0;"",""????0;"", ////"""),"'","""")&amp;SUBSTITUTE(TEXT(Overig!AE260,""",""?00;"",""?-00;"",""?00;"", //"""),"'","""")&amp;SUBSTITUTE(TEXT(IF(ISTEXT(Overig!AF260),Overig!AF260,10*Overig!AF260),""",""????0;"",""???-0;"",""????0;"", ////"""),"'","""")&amp;SUBSTITUTE(TEXT(Overig!AG260,""",""?00;"",""?-00;"",""?00;"", //"""),"'","""")&amp;SUBSTITUTE(TEXT(Overig!AH260,""",""???0;"",""??-0;"",""???0;"", ///"""),"'","""")&amp;SUBSTITUTE(TEXT(Overig!AI260,""",""?00;"",""?-00;"",""?00;"", //"""),"'","""")&amp;SUBSTITUTE(TEXT(Overig!AJ260,""",""??0;"",""?-0;"",""??0;"", //"""),"'","""")&amp;SUBSTITUTE(TEXT(Overig!AK260,""",""?00;"",""?-00;"",""?00;"", //"""),"'","""")&amp;SUBSTITUTE(IF(EXACT(Overig!AL260,"—"),TEXT(Overig!AL260,""",""????0;"",""???-0;"",""????0;"", ////////////,"""),TEXT(Overig!AL260,"\, \'@""',""")&amp;REPT(" ",10-LEN(Overig!AL260))),"'","""")&amp;SUBSTITUTE(TEXT(Overig!AM260,"?00;?-00;?00;"" //"""),"'","""")&amp;SUBSTITUTE(TEXT(Overig!AN260,""",""???0;"",""??-0;"",""???0;"", ///"""),"'","""")&amp;SUBSTITUTE(TEXT(Overig!AO260,""",""?00;"",""?-00;"",""?00;"", //"""),"'","""")</f>
        <v>78989, 19130916, 0800, ////, 07, /////, 07, ////, 07, /////, 07, ////, 07, ////, 07, ////, 07, ////, 07, ///, 07, ///, 07, ////, 07, ////, 07, ///, 07, ////, 07, ////, 07, ///, 07, //, 07, ////////////, 07, ///, 07</v>
      </c>
    </row>
    <row r="261" spans="1:1" x14ac:dyDescent="0.25">
      <c r="A261" s="75" t="str">
        <f ca="1">TEXT(Overig!A261,"000\,")&amp;TEXT(Overig!B261,"?00000000")&amp;TEXT(Overig!C261,""", ""0000")&amp;SUBSTITUTE(TEXT(IF(ISTEXT(Overig!D261),Overig!D261,10*Overig!D261),""",""????0;"",""???-0;"",""????0;"", ////"""),"'","""")&amp;SUBSTITUTE(TEXT(Overig!E261,""",""?00;"",""?-00;"",""?00;"", //"""),"'","""")&amp;SUBSTITUTE(TEXT(IF(ISTEXT(Overig!F261),Overig!F261,100*Overig!F261),""",""?????0;"",""????-0;"",""?????0;"", /////"""),"'","""")&amp;SUBSTITUTE(TEXT(Overig!G261,""",""?00;"",""?-00;"",""?00;"", //"""),"'","""")&amp;SUBSTITUTE(TEXT(IF(ISTEXT(Overig!H261),Overig!H261,100*Overig!H261),""",""????0;"",""???-0;"",""????0;"", ////"""),"'","""")&amp;SUBSTITUTE(TEXT(Overig!I261,""",""?00;"",""?-00;"",""?00;"", //"""),"'","""")&amp;SUBSTITUTE(TEXT(IF(ISTEXT(Overig!J261),Overig!J261,100*Overig!J261),""",""?????0;"",""????-0;"",""?????0;"", /////"""),"'","""")&amp;SUBSTITUTE(TEXT(Overig!K261,""",""?00;"",""?-00;"",""?00;"", //"""),"'","""")&amp;SUBSTITUTE(TEXT(IF(ISTEXT(Overig!L261),Overig!L261,10*Overig!L261),""",""????0;"",""???-0;"",""????0;"", ////"""),"'","""")&amp;SUBSTITUTE(TEXT(Overig!M261,""",""?00;"",""?-00;"",""?00;"", //"""),"'","""")&amp;SUBSTITUTE(TEXT(IF(ISTEXT(Overig!N261),Overig!N261,10*Overig!N261),""",""????0;"",""???-0;"",""????0;"", ////"""),"'","""")&amp;SUBSTITUTE(TEXT(Overig!O261,""",""?00;"",""?-00;"",""?00;"", //"""),"'","""")&amp;SUBSTITUTE(TEXT(IF(ISTEXT(Overig!P261),Overig!P261,10*Overig!P261),""",""????0;"",""???-0;"",""????0;"", ////"""),"'","""")&amp;SUBSTITUTE(TEXT(Overig!Q261,""",""?00;"",""?-00;"",""?00;"", //"""),"'","""")&amp;SUBSTITUTE(TEXT(IF(ISTEXT(Overig!R261),Overig!R261,10*Overig!R261),""",""????0;"",""???-0;"",""????0;"", ////"""),"'","""")&amp;SUBSTITUTE(TEXT(Overig!S261,""",""?00;"",""?-00;"",""?00;"", //"""),"'","""")&amp;SUBSTITUTE(TEXT(Overig!T261,""",""???0;"",""??-0;"",""???0;"", ///"""),"'","""")&amp;SUBSTITUTE(TEXT(Overig!U261,""",""?00;"",""?-00;"",""?00;"", //"""),"'","""")&amp;SUBSTITUTE(TEXT(IF(ISTEXT(Overig!V261),Overig!V261,10*Overig!V261),""",""???0;"",""??-0;"",""???0;"", ///"""),"'","""")&amp;SUBSTITUTE(TEXT(Overig!W261,""",""?00;"",""?-00;"",""?00;"", //"""),"'","""")&amp;SUBSTITUTE(TEXT(IF(ISTEXT(Overig!X261),Overig!X261,10*Overig!X261),""",""????0;"",""???-0;"",""????0;"", ////"""),"'","""")&amp;SUBSTITUTE(TEXT(Overig!Y261,""",""?00;"",""?-00;"",""?00;"", //"""),"'","""")&amp;SUBSTITUTE(TEXT(IF(ISTEXT(Overig!Z261),Overig!Z261,10*Overig!Z261),""",""????0;"",""???-0;"",""????0;"", ////"""),"'","""")&amp;SUBSTITUTE(TEXT(Overig!AA261,""",""?00;"",""?-00;"",""?00;"", //"""),"'","""")&amp;SUBSTITUTE(TEXT(Overig!AB261,""",""???0;"",""??-0;"",""???0;"", ///"""),"'","""")&amp;SUBSTITUTE(TEXT(Overig!AC261,""",""?00;"",""?-00;"",""?00;"", //"""),"'","""")&amp;SUBSTITUTE(TEXT(IF(ISTEXT(Overig!AD261),Overig!AD261,10*Overig!AD261),""",""????0;"",""???-0;"",""????0;"", ////"""),"'","""")&amp;SUBSTITUTE(TEXT(Overig!AE261,""",""?00;"",""?-00;"",""?00;"", //"""),"'","""")&amp;SUBSTITUTE(TEXT(IF(ISTEXT(Overig!AF261),Overig!AF261,10*Overig!AF261),""",""????0;"",""???-0;"",""????0;"", ////"""),"'","""")&amp;SUBSTITUTE(TEXT(Overig!AG261,""",""?00;"",""?-00;"",""?00;"", //"""),"'","""")&amp;SUBSTITUTE(TEXT(Overig!AH261,""",""???0;"",""??-0;"",""???0;"", ///"""),"'","""")&amp;SUBSTITUTE(TEXT(Overig!AI261,""",""?00;"",""?-00;"",""?00;"", //"""),"'","""")&amp;SUBSTITUTE(TEXT(Overig!AJ261,""",""??0;"",""?-0;"",""??0;"", //"""),"'","""")&amp;SUBSTITUTE(TEXT(Overig!AK261,""",""?00;"",""?-00;"",""?00;"", //"""),"'","""")&amp;SUBSTITUTE(IF(EXACT(Overig!AL261,"—"),TEXT(Overig!AL261,""",""????0;"",""???-0;"",""????0;"", ////////////,"""),TEXT(Overig!AL261,"\, \'@""',""")&amp;REPT(" ",10-LEN(Overig!AL261))),"'","""")&amp;SUBSTITUTE(TEXT(Overig!AM261,"?00;?-00;?00;"" //"""),"'","""")&amp;SUBSTITUTE(TEXT(Overig!AN261,""",""???0;"",""??-0;"",""???0;"", ///"""),"'","""")&amp;SUBSTITUTE(TEXT(Overig!AO261,""",""?00;"",""?-00;"",""?00;"", //"""),"'","""")</f>
        <v>78989, 19130917, 0800, ////, 07, /////, 07, ////, 07, /////, 07, ////, 07, ////, 07, ////, 07, ////, 07, ///, 07, ///, 07, ////, 07, ////, 07, ///, 07, ////, 07, ////, 07, ///, 07, //, 07, ////////////, 07, ///, 07</v>
      </c>
    </row>
    <row r="262" spans="1:1" x14ac:dyDescent="0.25">
      <c r="A262" s="75" t="str">
        <f ca="1">TEXT(Overig!A262,"000\,")&amp;TEXT(Overig!B262,"?00000000")&amp;TEXT(Overig!C262,""", ""0000")&amp;SUBSTITUTE(TEXT(IF(ISTEXT(Overig!D262),Overig!D262,10*Overig!D262),""",""????0;"",""???-0;"",""????0;"", ////"""),"'","""")&amp;SUBSTITUTE(TEXT(Overig!E262,""",""?00;"",""?-00;"",""?00;"", //"""),"'","""")&amp;SUBSTITUTE(TEXT(IF(ISTEXT(Overig!F262),Overig!F262,100*Overig!F262),""",""?????0;"",""????-0;"",""?????0;"", /////"""),"'","""")&amp;SUBSTITUTE(TEXT(Overig!G262,""",""?00;"",""?-00;"",""?00;"", //"""),"'","""")&amp;SUBSTITUTE(TEXT(IF(ISTEXT(Overig!H262),Overig!H262,100*Overig!H262),""",""????0;"",""???-0;"",""????0;"", ////"""),"'","""")&amp;SUBSTITUTE(TEXT(Overig!I262,""",""?00;"",""?-00;"",""?00;"", //"""),"'","""")&amp;SUBSTITUTE(TEXT(IF(ISTEXT(Overig!J262),Overig!J262,100*Overig!J262),""",""?????0;"",""????-0;"",""?????0;"", /////"""),"'","""")&amp;SUBSTITUTE(TEXT(Overig!K262,""",""?00;"",""?-00;"",""?00;"", //"""),"'","""")&amp;SUBSTITUTE(TEXT(IF(ISTEXT(Overig!L262),Overig!L262,10*Overig!L262),""",""????0;"",""???-0;"",""????0;"", ////"""),"'","""")&amp;SUBSTITUTE(TEXT(Overig!M262,""",""?00;"",""?-00;"",""?00;"", //"""),"'","""")&amp;SUBSTITUTE(TEXT(IF(ISTEXT(Overig!N262),Overig!N262,10*Overig!N262),""",""????0;"",""???-0;"",""????0;"", ////"""),"'","""")&amp;SUBSTITUTE(TEXT(Overig!O262,""",""?00;"",""?-00;"",""?00;"", //"""),"'","""")&amp;SUBSTITUTE(TEXT(IF(ISTEXT(Overig!P262),Overig!P262,10*Overig!P262),""",""????0;"",""???-0;"",""????0;"", ////"""),"'","""")&amp;SUBSTITUTE(TEXT(Overig!Q262,""",""?00;"",""?-00;"",""?00;"", //"""),"'","""")&amp;SUBSTITUTE(TEXT(IF(ISTEXT(Overig!R262),Overig!R262,10*Overig!R262),""",""????0;"",""???-0;"",""????0;"", ////"""),"'","""")&amp;SUBSTITUTE(TEXT(Overig!S262,""",""?00;"",""?-00;"",""?00;"", //"""),"'","""")&amp;SUBSTITUTE(TEXT(Overig!T262,""",""???0;"",""??-0;"",""???0;"", ///"""),"'","""")&amp;SUBSTITUTE(TEXT(Overig!U262,""",""?00;"",""?-00;"",""?00;"", //"""),"'","""")&amp;SUBSTITUTE(TEXT(IF(ISTEXT(Overig!V262),Overig!V262,10*Overig!V262),""",""???0;"",""??-0;"",""???0;"", ///"""),"'","""")&amp;SUBSTITUTE(TEXT(Overig!W262,""",""?00;"",""?-00;"",""?00;"", //"""),"'","""")&amp;SUBSTITUTE(TEXT(IF(ISTEXT(Overig!X262),Overig!X262,10*Overig!X262),""",""????0;"",""???-0;"",""????0;"", ////"""),"'","""")&amp;SUBSTITUTE(TEXT(Overig!Y262,""",""?00;"",""?-00;"",""?00;"", //"""),"'","""")&amp;SUBSTITUTE(TEXT(IF(ISTEXT(Overig!Z262),Overig!Z262,10*Overig!Z262),""",""????0;"",""???-0;"",""????0;"", ////"""),"'","""")&amp;SUBSTITUTE(TEXT(Overig!AA262,""",""?00;"",""?-00;"",""?00;"", //"""),"'","""")&amp;SUBSTITUTE(TEXT(Overig!AB262,""",""???0;"",""??-0;"",""???0;"", ///"""),"'","""")&amp;SUBSTITUTE(TEXT(Overig!AC262,""",""?00;"",""?-00;"",""?00;"", //"""),"'","""")&amp;SUBSTITUTE(TEXT(IF(ISTEXT(Overig!AD262),Overig!AD262,10*Overig!AD262),""",""????0;"",""???-0;"",""????0;"", ////"""),"'","""")&amp;SUBSTITUTE(TEXT(Overig!AE262,""",""?00;"",""?-00;"",""?00;"", //"""),"'","""")&amp;SUBSTITUTE(TEXT(IF(ISTEXT(Overig!AF262),Overig!AF262,10*Overig!AF262),""",""????0;"",""???-0;"",""????0;"", ////"""),"'","""")&amp;SUBSTITUTE(TEXT(Overig!AG262,""",""?00;"",""?-00;"",""?00;"", //"""),"'","""")&amp;SUBSTITUTE(TEXT(Overig!AH262,""",""???0;"",""??-0;"",""???0;"", ///"""),"'","""")&amp;SUBSTITUTE(TEXT(Overig!AI262,""",""?00;"",""?-00;"",""?00;"", //"""),"'","""")&amp;SUBSTITUTE(TEXT(Overig!AJ262,""",""??0;"",""?-0;"",""??0;"", //"""),"'","""")&amp;SUBSTITUTE(TEXT(Overig!AK262,""",""?00;"",""?-00;"",""?00;"", //"""),"'","""")&amp;SUBSTITUTE(IF(EXACT(Overig!AL262,"—"),TEXT(Overig!AL262,""",""????0;"",""???-0;"",""????0;"", ////////////,"""),TEXT(Overig!AL262,"\, \'@""',""")&amp;REPT(" ",10-LEN(Overig!AL262))),"'","""")&amp;SUBSTITUTE(TEXT(Overig!AM262,"?00;?-00;?00;"" //"""),"'","""")&amp;SUBSTITUTE(TEXT(Overig!AN262,""",""???0;"",""??-0;"",""???0;"", ///"""),"'","""")&amp;SUBSTITUTE(TEXT(Overig!AO262,""",""?00;"",""?-00;"",""?00;"", //"""),"'","""")</f>
        <v>78989, 19130918, 0800, ////, 07, /////, 07, ////, 07, /////, 07, ////, 07, ////, 07, ////, 07, ////, 07, ///, 07, ///, 07, ////, 07, ////, 07, ///, 07, ////, 07, ////, 07, ///, 07, //, 07, ////////////, 07, ///, 07</v>
      </c>
    </row>
    <row r="263" spans="1:1" x14ac:dyDescent="0.25">
      <c r="A263" s="75" t="str">
        <f ca="1">TEXT(Overig!A263,"000\,")&amp;TEXT(Overig!B263,"?00000000")&amp;TEXT(Overig!C263,""", ""0000")&amp;SUBSTITUTE(TEXT(IF(ISTEXT(Overig!D263),Overig!D263,10*Overig!D263),""",""????0;"",""???-0;"",""????0;"", ////"""),"'","""")&amp;SUBSTITUTE(TEXT(Overig!E263,""",""?00;"",""?-00;"",""?00;"", //"""),"'","""")&amp;SUBSTITUTE(TEXT(IF(ISTEXT(Overig!F263),Overig!F263,100*Overig!F263),""",""?????0;"",""????-0;"",""?????0;"", /////"""),"'","""")&amp;SUBSTITUTE(TEXT(Overig!G263,""",""?00;"",""?-00;"",""?00;"", //"""),"'","""")&amp;SUBSTITUTE(TEXT(IF(ISTEXT(Overig!H263),Overig!H263,100*Overig!H263),""",""????0;"",""???-0;"",""????0;"", ////"""),"'","""")&amp;SUBSTITUTE(TEXT(Overig!I263,""",""?00;"",""?-00;"",""?00;"", //"""),"'","""")&amp;SUBSTITUTE(TEXT(IF(ISTEXT(Overig!J263),Overig!J263,100*Overig!J263),""",""?????0;"",""????-0;"",""?????0;"", /////"""),"'","""")&amp;SUBSTITUTE(TEXT(Overig!K263,""",""?00;"",""?-00;"",""?00;"", //"""),"'","""")&amp;SUBSTITUTE(TEXT(IF(ISTEXT(Overig!L263),Overig!L263,10*Overig!L263),""",""????0;"",""???-0;"",""????0;"", ////"""),"'","""")&amp;SUBSTITUTE(TEXT(Overig!M263,""",""?00;"",""?-00;"",""?00;"", //"""),"'","""")&amp;SUBSTITUTE(TEXT(IF(ISTEXT(Overig!N263),Overig!N263,10*Overig!N263),""",""????0;"",""???-0;"",""????0;"", ////"""),"'","""")&amp;SUBSTITUTE(TEXT(Overig!O263,""",""?00;"",""?-00;"",""?00;"", //"""),"'","""")&amp;SUBSTITUTE(TEXT(IF(ISTEXT(Overig!P263),Overig!P263,10*Overig!P263),""",""????0;"",""???-0;"",""????0;"", ////"""),"'","""")&amp;SUBSTITUTE(TEXT(Overig!Q263,""",""?00;"",""?-00;"",""?00;"", //"""),"'","""")&amp;SUBSTITUTE(TEXT(IF(ISTEXT(Overig!R263),Overig!R263,10*Overig!R263),""",""????0;"",""???-0;"",""????0;"", ////"""),"'","""")&amp;SUBSTITUTE(TEXT(Overig!S263,""",""?00;"",""?-00;"",""?00;"", //"""),"'","""")&amp;SUBSTITUTE(TEXT(Overig!T263,""",""???0;"",""??-0;"",""???0;"", ///"""),"'","""")&amp;SUBSTITUTE(TEXT(Overig!U263,""",""?00;"",""?-00;"",""?00;"", //"""),"'","""")&amp;SUBSTITUTE(TEXT(IF(ISTEXT(Overig!V263),Overig!V263,10*Overig!V263),""",""???0;"",""??-0;"",""???0;"", ///"""),"'","""")&amp;SUBSTITUTE(TEXT(Overig!W263,""",""?00;"",""?-00;"",""?00;"", //"""),"'","""")&amp;SUBSTITUTE(TEXT(IF(ISTEXT(Overig!X263),Overig!X263,10*Overig!X263),""",""????0;"",""???-0;"",""????0;"", ////"""),"'","""")&amp;SUBSTITUTE(TEXT(Overig!Y263,""",""?00;"",""?-00;"",""?00;"", //"""),"'","""")&amp;SUBSTITUTE(TEXT(IF(ISTEXT(Overig!Z263),Overig!Z263,10*Overig!Z263),""",""????0;"",""???-0;"",""????0;"", ////"""),"'","""")&amp;SUBSTITUTE(TEXT(Overig!AA263,""",""?00;"",""?-00;"",""?00;"", //"""),"'","""")&amp;SUBSTITUTE(TEXT(Overig!AB263,""",""???0;"",""??-0;"",""???0;"", ///"""),"'","""")&amp;SUBSTITUTE(TEXT(Overig!AC263,""",""?00;"",""?-00;"",""?00;"", //"""),"'","""")&amp;SUBSTITUTE(TEXT(IF(ISTEXT(Overig!AD263),Overig!AD263,10*Overig!AD263),""",""????0;"",""???-0;"",""????0;"", ////"""),"'","""")&amp;SUBSTITUTE(TEXT(Overig!AE263,""",""?00;"",""?-00;"",""?00;"", //"""),"'","""")&amp;SUBSTITUTE(TEXT(IF(ISTEXT(Overig!AF263),Overig!AF263,10*Overig!AF263),""",""????0;"",""???-0;"",""????0;"", ////"""),"'","""")&amp;SUBSTITUTE(TEXT(Overig!AG263,""",""?00;"",""?-00;"",""?00;"", //"""),"'","""")&amp;SUBSTITUTE(TEXT(Overig!AH263,""",""???0;"",""??-0;"",""???0;"", ///"""),"'","""")&amp;SUBSTITUTE(TEXT(Overig!AI263,""",""?00;"",""?-00;"",""?00;"", //"""),"'","""")&amp;SUBSTITUTE(TEXT(Overig!AJ263,""",""??0;"",""?-0;"",""??0;"", //"""),"'","""")&amp;SUBSTITUTE(TEXT(Overig!AK263,""",""?00;"",""?-00;"",""?00;"", //"""),"'","""")&amp;SUBSTITUTE(IF(EXACT(Overig!AL263,"—"),TEXT(Overig!AL263,""",""????0;"",""???-0;"",""????0;"", ////////////,"""),TEXT(Overig!AL263,"\, \'@""',""")&amp;REPT(" ",10-LEN(Overig!AL263))),"'","""")&amp;SUBSTITUTE(TEXT(Overig!AM263,"?00;?-00;?00;"" //"""),"'","""")&amp;SUBSTITUTE(TEXT(Overig!AN263,""",""???0;"",""??-0;"",""???0;"", ///"""),"'","""")&amp;SUBSTITUTE(TEXT(Overig!AO263,""",""?00;"",""?-00;"",""?00;"", //"""),"'","""")</f>
        <v>78989, 19130919, 0800, ////, 07, /////, 07, ////, 07, /////, 07, ////, 07, ////, 07, ////, 07, ////, 07, ///, 07, ///, 07, ////, 07, ////, 07, ///, 07, ////, 07, ////, 07, ///, 07, //, 07, ////////////, 07, ///, 07</v>
      </c>
    </row>
    <row r="264" spans="1:1" x14ac:dyDescent="0.25">
      <c r="A264" s="75" t="str">
        <f ca="1">TEXT(Overig!A264,"000\,")&amp;TEXT(Overig!B264,"?00000000")&amp;TEXT(Overig!C264,""", ""0000")&amp;SUBSTITUTE(TEXT(IF(ISTEXT(Overig!D264),Overig!D264,10*Overig!D264),""",""????0;"",""???-0;"",""????0;"", ////"""),"'","""")&amp;SUBSTITUTE(TEXT(Overig!E264,""",""?00;"",""?-00;"",""?00;"", //"""),"'","""")&amp;SUBSTITUTE(TEXT(IF(ISTEXT(Overig!F264),Overig!F264,100*Overig!F264),""",""?????0;"",""????-0;"",""?????0;"", /////"""),"'","""")&amp;SUBSTITUTE(TEXT(Overig!G264,""",""?00;"",""?-00;"",""?00;"", //"""),"'","""")&amp;SUBSTITUTE(TEXT(IF(ISTEXT(Overig!H264),Overig!H264,100*Overig!H264),""",""????0;"",""???-0;"",""????0;"", ////"""),"'","""")&amp;SUBSTITUTE(TEXT(Overig!I264,""",""?00;"",""?-00;"",""?00;"", //"""),"'","""")&amp;SUBSTITUTE(TEXT(IF(ISTEXT(Overig!J264),Overig!J264,100*Overig!J264),""",""?????0;"",""????-0;"",""?????0;"", /////"""),"'","""")&amp;SUBSTITUTE(TEXT(Overig!K264,""",""?00;"",""?-00;"",""?00;"", //"""),"'","""")&amp;SUBSTITUTE(TEXT(IF(ISTEXT(Overig!L264),Overig!L264,10*Overig!L264),""",""????0;"",""???-0;"",""????0;"", ////"""),"'","""")&amp;SUBSTITUTE(TEXT(Overig!M264,""",""?00;"",""?-00;"",""?00;"", //"""),"'","""")&amp;SUBSTITUTE(TEXT(IF(ISTEXT(Overig!N264),Overig!N264,10*Overig!N264),""",""????0;"",""???-0;"",""????0;"", ////"""),"'","""")&amp;SUBSTITUTE(TEXT(Overig!O264,""",""?00;"",""?-00;"",""?00;"", //"""),"'","""")&amp;SUBSTITUTE(TEXT(IF(ISTEXT(Overig!P264),Overig!P264,10*Overig!P264),""",""????0;"",""???-0;"",""????0;"", ////"""),"'","""")&amp;SUBSTITUTE(TEXT(Overig!Q264,""",""?00;"",""?-00;"",""?00;"", //"""),"'","""")&amp;SUBSTITUTE(TEXT(IF(ISTEXT(Overig!R264),Overig!R264,10*Overig!R264),""",""????0;"",""???-0;"",""????0;"", ////"""),"'","""")&amp;SUBSTITUTE(TEXT(Overig!S264,""",""?00;"",""?-00;"",""?00;"", //"""),"'","""")&amp;SUBSTITUTE(TEXT(Overig!T264,""",""???0;"",""??-0;"",""???0;"", ///"""),"'","""")&amp;SUBSTITUTE(TEXT(Overig!U264,""",""?00;"",""?-00;"",""?00;"", //"""),"'","""")&amp;SUBSTITUTE(TEXT(IF(ISTEXT(Overig!V264),Overig!V264,10*Overig!V264),""",""???0;"",""??-0;"",""???0;"", ///"""),"'","""")&amp;SUBSTITUTE(TEXT(Overig!W264,""",""?00;"",""?-00;"",""?00;"", //"""),"'","""")&amp;SUBSTITUTE(TEXT(IF(ISTEXT(Overig!X264),Overig!X264,10*Overig!X264),""",""????0;"",""???-0;"",""????0;"", ////"""),"'","""")&amp;SUBSTITUTE(TEXT(Overig!Y264,""",""?00;"",""?-00;"",""?00;"", //"""),"'","""")&amp;SUBSTITUTE(TEXT(IF(ISTEXT(Overig!Z264),Overig!Z264,10*Overig!Z264),""",""????0;"",""???-0;"",""????0;"", ////"""),"'","""")&amp;SUBSTITUTE(TEXT(Overig!AA264,""",""?00;"",""?-00;"",""?00;"", //"""),"'","""")&amp;SUBSTITUTE(TEXT(Overig!AB264,""",""???0;"",""??-0;"",""???0;"", ///"""),"'","""")&amp;SUBSTITUTE(TEXT(Overig!AC264,""",""?00;"",""?-00;"",""?00;"", //"""),"'","""")&amp;SUBSTITUTE(TEXT(IF(ISTEXT(Overig!AD264),Overig!AD264,10*Overig!AD264),""",""????0;"",""???-0;"",""????0;"", ////"""),"'","""")&amp;SUBSTITUTE(TEXT(Overig!AE264,""",""?00;"",""?-00;"",""?00;"", //"""),"'","""")&amp;SUBSTITUTE(TEXT(IF(ISTEXT(Overig!AF264),Overig!AF264,10*Overig!AF264),""",""????0;"",""???-0;"",""????0;"", ////"""),"'","""")&amp;SUBSTITUTE(TEXT(Overig!AG264,""",""?00;"",""?-00;"",""?00;"", //"""),"'","""")&amp;SUBSTITUTE(TEXT(Overig!AH264,""",""???0;"",""??-0;"",""???0;"", ///"""),"'","""")&amp;SUBSTITUTE(TEXT(Overig!AI264,""",""?00;"",""?-00;"",""?00;"", //"""),"'","""")&amp;SUBSTITUTE(TEXT(Overig!AJ264,""",""??0;"",""?-0;"",""??0;"", //"""),"'","""")&amp;SUBSTITUTE(TEXT(Overig!AK264,""",""?00;"",""?-00;"",""?00;"", //"""),"'","""")&amp;SUBSTITUTE(IF(EXACT(Overig!AL264,"—"),TEXT(Overig!AL264,""",""????0;"",""???-0;"",""????0;"", ////////////,"""),TEXT(Overig!AL264,"\, \'@""',""")&amp;REPT(" ",10-LEN(Overig!AL264))),"'","""")&amp;SUBSTITUTE(TEXT(Overig!AM264,"?00;?-00;?00;"" //"""),"'","""")&amp;SUBSTITUTE(TEXT(Overig!AN264,""",""???0;"",""??-0;"",""???0;"", ///"""),"'","""")&amp;SUBSTITUTE(TEXT(Overig!AO264,""",""?00;"",""?-00;"",""?00;"", //"""),"'","""")</f>
        <v>78989, 19130920, 0800, ////, 07, /////, 07, ////, 07, /////, 07, ////, 07, ////, 07, ////, 07, ////, 07, ///, 07, ///, 07, ////, 07, ////, 07, ///, 07, ////, 07, ////, 07, ///, 07, //, 07, ////////////, 07, ///, 07</v>
      </c>
    </row>
    <row r="265" spans="1:1" x14ac:dyDescent="0.25">
      <c r="A265" s="75" t="str">
        <f ca="1">TEXT(Overig!A265,"000\,")&amp;TEXT(Overig!B265,"?00000000")&amp;TEXT(Overig!C265,""", ""0000")&amp;SUBSTITUTE(TEXT(IF(ISTEXT(Overig!D265),Overig!D265,10*Overig!D265),""",""????0;"",""???-0;"",""????0;"", ////"""),"'","""")&amp;SUBSTITUTE(TEXT(Overig!E265,""",""?00;"",""?-00;"",""?00;"", //"""),"'","""")&amp;SUBSTITUTE(TEXT(IF(ISTEXT(Overig!F265),Overig!F265,100*Overig!F265),""",""?????0;"",""????-0;"",""?????0;"", /////"""),"'","""")&amp;SUBSTITUTE(TEXT(Overig!G265,""",""?00;"",""?-00;"",""?00;"", //"""),"'","""")&amp;SUBSTITUTE(TEXT(IF(ISTEXT(Overig!H265),Overig!H265,100*Overig!H265),""",""????0;"",""???-0;"",""????0;"", ////"""),"'","""")&amp;SUBSTITUTE(TEXT(Overig!I265,""",""?00;"",""?-00;"",""?00;"", //"""),"'","""")&amp;SUBSTITUTE(TEXT(IF(ISTEXT(Overig!J265),Overig!J265,100*Overig!J265),""",""?????0;"",""????-0;"",""?????0;"", /////"""),"'","""")&amp;SUBSTITUTE(TEXT(Overig!K265,""",""?00;"",""?-00;"",""?00;"", //"""),"'","""")&amp;SUBSTITUTE(TEXT(IF(ISTEXT(Overig!L265),Overig!L265,10*Overig!L265),""",""????0;"",""???-0;"",""????0;"", ////"""),"'","""")&amp;SUBSTITUTE(TEXT(Overig!M265,""",""?00;"",""?-00;"",""?00;"", //"""),"'","""")&amp;SUBSTITUTE(TEXT(IF(ISTEXT(Overig!N265),Overig!N265,10*Overig!N265),""",""????0;"",""???-0;"",""????0;"", ////"""),"'","""")&amp;SUBSTITUTE(TEXT(Overig!O265,""",""?00;"",""?-00;"",""?00;"", //"""),"'","""")&amp;SUBSTITUTE(TEXT(IF(ISTEXT(Overig!P265),Overig!P265,10*Overig!P265),""",""????0;"",""???-0;"",""????0;"", ////"""),"'","""")&amp;SUBSTITUTE(TEXT(Overig!Q265,""",""?00;"",""?-00;"",""?00;"", //"""),"'","""")&amp;SUBSTITUTE(TEXT(IF(ISTEXT(Overig!R265),Overig!R265,10*Overig!R265),""",""????0;"",""???-0;"",""????0;"", ////"""),"'","""")&amp;SUBSTITUTE(TEXT(Overig!S265,""",""?00;"",""?-00;"",""?00;"", //"""),"'","""")&amp;SUBSTITUTE(TEXT(Overig!T265,""",""???0;"",""??-0;"",""???0;"", ///"""),"'","""")&amp;SUBSTITUTE(TEXT(Overig!U265,""",""?00;"",""?-00;"",""?00;"", //"""),"'","""")&amp;SUBSTITUTE(TEXT(IF(ISTEXT(Overig!V265),Overig!V265,10*Overig!V265),""",""???0;"",""??-0;"",""???0;"", ///"""),"'","""")&amp;SUBSTITUTE(TEXT(Overig!W265,""",""?00;"",""?-00;"",""?00;"", //"""),"'","""")&amp;SUBSTITUTE(TEXT(IF(ISTEXT(Overig!X265),Overig!X265,10*Overig!X265),""",""????0;"",""???-0;"",""????0;"", ////"""),"'","""")&amp;SUBSTITUTE(TEXT(Overig!Y265,""",""?00;"",""?-00;"",""?00;"", //"""),"'","""")&amp;SUBSTITUTE(TEXT(IF(ISTEXT(Overig!Z265),Overig!Z265,10*Overig!Z265),""",""????0;"",""???-0;"",""????0;"", ////"""),"'","""")&amp;SUBSTITUTE(TEXT(Overig!AA265,""",""?00;"",""?-00;"",""?00;"", //"""),"'","""")&amp;SUBSTITUTE(TEXT(Overig!AB265,""",""???0;"",""??-0;"",""???0;"", ///"""),"'","""")&amp;SUBSTITUTE(TEXT(Overig!AC265,""",""?00;"",""?-00;"",""?00;"", //"""),"'","""")&amp;SUBSTITUTE(TEXT(IF(ISTEXT(Overig!AD265),Overig!AD265,10*Overig!AD265),""",""????0;"",""???-0;"",""????0;"", ////"""),"'","""")&amp;SUBSTITUTE(TEXT(Overig!AE265,""",""?00;"",""?-00;"",""?00;"", //"""),"'","""")&amp;SUBSTITUTE(TEXT(IF(ISTEXT(Overig!AF265),Overig!AF265,10*Overig!AF265),""",""????0;"",""???-0;"",""????0;"", ////"""),"'","""")&amp;SUBSTITUTE(TEXT(Overig!AG265,""",""?00;"",""?-00;"",""?00;"", //"""),"'","""")&amp;SUBSTITUTE(TEXT(Overig!AH265,""",""???0;"",""??-0;"",""???0;"", ///"""),"'","""")&amp;SUBSTITUTE(TEXT(Overig!AI265,""",""?00;"",""?-00;"",""?00;"", //"""),"'","""")&amp;SUBSTITUTE(TEXT(Overig!AJ265,""",""??0;"",""?-0;"",""??0;"", //"""),"'","""")&amp;SUBSTITUTE(TEXT(Overig!AK265,""",""?00;"",""?-00;"",""?00;"", //"""),"'","""")&amp;SUBSTITUTE(IF(EXACT(Overig!AL265,"—"),TEXT(Overig!AL265,""",""????0;"",""???-0;"",""????0;"", ////////////,"""),TEXT(Overig!AL265,"\, \'@""',""")&amp;REPT(" ",10-LEN(Overig!AL265))),"'","""")&amp;SUBSTITUTE(TEXT(Overig!AM265,"?00;?-00;?00;"" //"""),"'","""")&amp;SUBSTITUTE(TEXT(Overig!AN265,""",""???0;"",""??-0;"",""???0;"", ///"""),"'","""")&amp;SUBSTITUTE(TEXT(Overig!AO265,""",""?00;"",""?-00;"",""?00;"", //"""),"'","""")</f>
        <v>78989, 19130921, 0800, ////, 07, /////, 07, ////, 07, /////, 07, ////, 07, ////, 07, ////, 07, ////, 07, ///, 07, ///, 07, ////, 07, ////, 07, ///, 07, ////, 07, ////, 07, ///, 07, //, 07, ////////////, 07, ///, 07</v>
      </c>
    </row>
    <row r="266" spans="1:1" x14ac:dyDescent="0.25">
      <c r="A266" s="75" t="str">
        <f ca="1">TEXT(Overig!A266,"000\,")&amp;TEXT(Overig!B266,"?00000000")&amp;TEXT(Overig!C266,""", ""0000")&amp;SUBSTITUTE(TEXT(IF(ISTEXT(Overig!D266),Overig!D266,10*Overig!D266),""",""????0;"",""???-0;"",""????0;"", ////"""),"'","""")&amp;SUBSTITUTE(TEXT(Overig!E266,""",""?00;"",""?-00;"",""?00;"", //"""),"'","""")&amp;SUBSTITUTE(TEXT(IF(ISTEXT(Overig!F266),Overig!F266,100*Overig!F266),""",""?????0;"",""????-0;"",""?????0;"", /////"""),"'","""")&amp;SUBSTITUTE(TEXT(Overig!G266,""",""?00;"",""?-00;"",""?00;"", //"""),"'","""")&amp;SUBSTITUTE(TEXT(IF(ISTEXT(Overig!H266),Overig!H266,100*Overig!H266),""",""????0;"",""???-0;"",""????0;"", ////"""),"'","""")&amp;SUBSTITUTE(TEXT(Overig!I266,""",""?00;"",""?-00;"",""?00;"", //"""),"'","""")&amp;SUBSTITUTE(TEXT(IF(ISTEXT(Overig!J266),Overig!J266,100*Overig!J266),""",""?????0;"",""????-0;"",""?????0;"", /////"""),"'","""")&amp;SUBSTITUTE(TEXT(Overig!K266,""",""?00;"",""?-00;"",""?00;"", //"""),"'","""")&amp;SUBSTITUTE(TEXT(IF(ISTEXT(Overig!L266),Overig!L266,10*Overig!L266),""",""????0;"",""???-0;"",""????0;"", ////"""),"'","""")&amp;SUBSTITUTE(TEXT(Overig!M266,""",""?00;"",""?-00;"",""?00;"", //"""),"'","""")&amp;SUBSTITUTE(TEXT(IF(ISTEXT(Overig!N266),Overig!N266,10*Overig!N266),""",""????0;"",""???-0;"",""????0;"", ////"""),"'","""")&amp;SUBSTITUTE(TEXT(Overig!O266,""",""?00;"",""?-00;"",""?00;"", //"""),"'","""")&amp;SUBSTITUTE(TEXT(IF(ISTEXT(Overig!P266),Overig!P266,10*Overig!P266),""",""????0;"",""???-0;"",""????0;"", ////"""),"'","""")&amp;SUBSTITUTE(TEXT(Overig!Q266,""",""?00;"",""?-00;"",""?00;"", //"""),"'","""")&amp;SUBSTITUTE(TEXT(IF(ISTEXT(Overig!R266),Overig!R266,10*Overig!R266),""",""????0;"",""???-0;"",""????0;"", ////"""),"'","""")&amp;SUBSTITUTE(TEXT(Overig!S266,""",""?00;"",""?-00;"",""?00;"", //"""),"'","""")&amp;SUBSTITUTE(TEXT(Overig!T266,""",""???0;"",""??-0;"",""???0;"", ///"""),"'","""")&amp;SUBSTITUTE(TEXT(Overig!U266,""",""?00;"",""?-00;"",""?00;"", //"""),"'","""")&amp;SUBSTITUTE(TEXT(IF(ISTEXT(Overig!V266),Overig!V266,10*Overig!V266),""",""???0;"",""??-0;"",""???0;"", ///"""),"'","""")&amp;SUBSTITUTE(TEXT(Overig!W266,""",""?00;"",""?-00;"",""?00;"", //"""),"'","""")&amp;SUBSTITUTE(TEXT(IF(ISTEXT(Overig!X266),Overig!X266,10*Overig!X266),""",""????0;"",""???-0;"",""????0;"", ////"""),"'","""")&amp;SUBSTITUTE(TEXT(Overig!Y266,""",""?00;"",""?-00;"",""?00;"", //"""),"'","""")&amp;SUBSTITUTE(TEXT(IF(ISTEXT(Overig!Z266),Overig!Z266,10*Overig!Z266),""",""????0;"",""???-0;"",""????0;"", ////"""),"'","""")&amp;SUBSTITUTE(TEXT(Overig!AA266,""",""?00;"",""?-00;"",""?00;"", //"""),"'","""")&amp;SUBSTITUTE(TEXT(Overig!AB266,""",""???0;"",""??-0;"",""???0;"", ///"""),"'","""")&amp;SUBSTITUTE(TEXT(Overig!AC266,""",""?00;"",""?-00;"",""?00;"", //"""),"'","""")&amp;SUBSTITUTE(TEXT(IF(ISTEXT(Overig!AD266),Overig!AD266,10*Overig!AD266),""",""????0;"",""???-0;"",""????0;"", ////"""),"'","""")&amp;SUBSTITUTE(TEXT(Overig!AE266,""",""?00;"",""?-00;"",""?00;"", //"""),"'","""")&amp;SUBSTITUTE(TEXT(IF(ISTEXT(Overig!AF266),Overig!AF266,10*Overig!AF266),""",""????0;"",""???-0;"",""????0;"", ////"""),"'","""")&amp;SUBSTITUTE(TEXT(Overig!AG266,""",""?00;"",""?-00;"",""?00;"", //"""),"'","""")&amp;SUBSTITUTE(TEXT(Overig!AH266,""",""???0;"",""??-0;"",""???0;"", ///"""),"'","""")&amp;SUBSTITUTE(TEXT(Overig!AI266,""",""?00;"",""?-00;"",""?00;"", //"""),"'","""")&amp;SUBSTITUTE(TEXT(Overig!AJ266,""",""??0;"",""?-0;"",""??0;"", //"""),"'","""")&amp;SUBSTITUTE(TEXT(Overig!AK266,""",""?00;"",""?-00;"",""?00;"", //"""),"'","""")&amp;SUBSTITUTE(IF(EXACT(Overig!AL266,"—"),TEXT(Overig!AL266,""",""????0;"",""???-0;"",""????0;"", ////////////,"""),TEXT(Overig!AL266,"\, \'@""',""")&amp;REPT(" ",10-LEN(Overig!AL266))),"'","""")&amp;SUBSTITUTE(TEXT(Overig!AM266,"?00;?-00;?00;"" //"""),"'","""")&amp;SUBSTITUTE(TEXT(Overig!AN266,""",""???0;"",""??-0;"",""???0;"", ///"""),"'","""")&amp;SUBSTITUTE(TEXT(Overig!AO266,""",""?00;"",""?-00;"",""?00;"", //"""),"'","""")</f>
        <v>78989, 19130922, 0800, ////, 07, /////, 07, ////, 07, /////, 07, ////, 07, ////, 07, ////, 07, ////, 07, ///, 07, ///, 07, ////, 07, ////, 07, ///, 07, ////, 07, ////, 07, ///, 07, //, 07, ////////////, 07, ///, 07</v>
      </c>
    </row>
    <row r="267" spans="1:1" x14ac:dyDescent="0.25">
      <c r="A267" s="75" t="str">
        <f ca="1">TEXT(Overig!A267,"000\,")&amp;TEXT(Overig!B267,"?00000000")&amp;TEXT(Overig!C267,""", ""0000")&amp;SUBSTITUTE(TEXT(IF(ISTEXT(Overig!D267),Overig!D267,10*Overig!D267),""",""????0;"",""???-0;"",""????0;"", ////"""),"'","""")&amp;SUBSTITUTE(TEXT(Overig!E267,""",""?00;"",""?-00;"",""?00;"", //"""),"'","""")&amp;SUBSTITUTE(TEXT(IF(ISTEXT(Overig!F267),Overig!F267,100*Overig!F267),""",""?????0;"",""????-0;"",""?????0;"", /////"""),"'","""")&amp;SUBSTITUTE(TEXT(Overig!G267,""",""?00;"",""?-00;"",""?00;"", //"""),"'","""")&amp;SUBSTITUTE(TEXT(IF(ISTEXT(Overig!H267),Overig!H267,100*Overig!H267),""",""????0;"",""???-0;"",""????0;"", ////"""),"'","""")&amp;SUBSTITUTE(TEXT(Overig!I267,""",""?00;"",""?-00;"",""?00;"", //"""),"'","""")&amp;SUBSTITUTE(TEXT(IF(ISTEXT(Overig!J267),Overig!J267,100*Overig!J267),""",""?????0;"",""????-0;"",""?????0;"", /////"""),"'","""")&amp;SUBSTITUTE(TEXT(Overig!K267,""",""?00;"",""?-00;"",""?00;"", //"""),"'","""")&amp;SUBSTITUTE(TEXT(IF(ISTEXT(Overig!L267),Overig!L267,10*Overig!L267),""",""????0;"",""???-0;"",""????0;"", ////"""),"'","""")&amp;SUBSTITUTE(TEXT(Overig!M267,""",""?00;"",""?-00;"",""?00;"", //"""),"'","""")&amp;SUBSTITUTE(TEXT(IF(ISTEXT(Overig!N267),Overig!N267,10*Overig!N267),""",""????0;"",""???-0;"",""????0;"", ////"""),"'","""")&amp;SUBSTITUTE(TEXT(Overig!O267,""",""?00;"",""?-00;"",""?00;"", //"""),"'","""")&amp;SUBSTITUTE(TEXT(IF(ISTEXT(Overig!P267),Overig!P267,10*Overig!P267),""",""????0;"",""???-0;"",""????0;"", ////"""),"'","""")&amp;SUBSTITUTE(TEXT(Overig!Q267,""",""?00;"",""?-00;"",""?00;"", //"""),"'","""")&amp;SUBSTITUTE(TEXT(IF(ISTEXT(Overig!R267),Overig!R267,10*Overig!R267),""",""????0;"",""???-0;"",""????0;"", ////"""),"'","""")&amp;SUBSTITUTE(TEXT(Overig!S267,""",""?00;"",""?-00;"",""?00;"", //"""),"'","""")&amp;SUBSTITUTE(TEXT(Overig!T267,""",""???0;"",""??-0;"",""???0;"", ///"""),"'","""")&amp;SUBSTITUTE(TEXT(Overig!U267,""",""?00;"",""?-00;"",""?00;"", //"""),"'","""")&amp;SUBSTITUTE(TEXT(IF(ISTEXT(Overig!V267),Overig!V267,10*Overig!V267),""",""???0;"",""??-0;"",""???0;"", ///"""),"'","""")&amp;SUBSTITUTE(TEXT(Overig!W267,""",""?00;"",""?-00;"",""?00;"", //"""),"'","""")&amp;SUBSTITUTE(TEXT(IF(ISTEXT(Overig!X267),Overig!X267,10*Overig!X267),""",""????0;"",""???-0;"",""????0;"", ////"""),"'","""")&amp;SUBSTITUTE(TEXT(Overig!Y267,""",""?00;"",""?-00;"",""?00;"", //"""),"'","""")&amp;SUBSTITUTE(TEXT(IF(ISTEXT(Overig!Z267),Overig!Z267,10*Overig!Z267),""",""????0;"",""???-0;"",""????0;"", ////"""),"'","""")&amp;SUBSTITUTE(TEXT(Overig!AA267,""",""?00;"",""?-00;"",""?00;"", //"""),"'","""")&amp;SUBSTITUTE(TEXT(Overig!AB267,""",""???0;"",""??-0;"",""???0;"", ///"""),"'","""")&amp;SUBSTITUTE(TEXT(Overig!AC267,""",""?00;"",""?-00;"",""?00;"", //"""),"'","""")&amp;SUBSTITUTE(TEXT(IF(ISTEXT(Overig!AD267),Overig!AD267,10*Overig!AD267),""",""????0;"",""???-0;"",""????0;"", ////"""),"'","""")&amp;SUBSTITUTE(TEXT(Overig!AE267,""",""?00;"",""?-00;"",""?00;"", //"""),"'","""")&amp;SUBSTITUTE(TEXT(IF(ISTEXT(Overig!AF267),Overig!AF267,10*Overig!AF267),""",""????0;"",""???-0;"",""????0;"", ////"""),"'","""")&amp;SUBSTITUTE(TEXT(Overig!AG267,""",""?00;"",""?-00;"",""?00;"", //"""),"'","""")&amp;SUBSTITUTE(TEXT(Overig!AH267,""",""???0;"",""??-0;"",""???0;"", ///"""),"'","""")&amp;SUBSTITUTE(TEXT(Overig!AI267,""",""?00;"",""?-00;"",""?00;"", //"""),"'","""")&amp;SUBSTITUTE(TEXT(Overig!AJ267,""",""??0;"",""?-0;"",""??0;"", //"""),"'","""")&amp;SUBSTITUTE(TEXT(Overig!AK267,""",""?00;"",""?-00;"",""?00;"", //"""),"'","""")&amp;SUBSTITUTE(IF(EXACT(Overig!AL267,"—"),TEXT(Overig!AL267,""",""????0;"",""???-0;"",""????0;"", ////////////,"""),TEXT(Overig!AL267,"\, \'@""',""")&amp;REPT(" ",10-LEN(Overig!AL267))),"'","""")&amp;SUBSTITUTE(TEXT(Overig!AM267,"?00;?-00;?00;"" //"""),"'","""")&amp;SUBSTITUTE(TEXT(Overig!AN267,""",""???0;"",""??-0;"",""???0;"", ///"""),"'","""")&amp;SUBSTITUTE(TEXT(Overig!AO267,""",""?00;"",""?-00;"",""?00;"", //"""),"'","""")</f>
        <v>78989, 19130923, 0800, ////, 07, /////, 07, ////, 07, /////, 07, ////, 07, ////, 07, ////, 07, ////, 07, ///, 07, ///, 07, ////, 07, ////, 07, ///, 07, ////, 07, ////, 07, ///, 07, //, 07, ////////////, 07, ///, 07</v>
      </c>
    </row>
    <row r="268" spans="1:1" x14ac:dyDescent="0.25">
      <c r="A268" s="75" t="str">
        <f ca="1">TEXT(Overig!A268,"000\,")&amp;TEXT(Overig!B268,"?00000000")&amp;TEXT(Overig!C268,""", ""0000")&amp;SUBSTITUTE(TEXT(IF(ISTEXT(Overig!D268),Overig!D268,10*Overig!D268),""",""????0;"",""???-0;"",""????0;"", ////"""),"'","""")&amp;SUBSTITUTE(TEXT(Overig!E268,""",""?00;"",""?-00;"",""?00;"", //"""),"'","""")&amp;SUBSTITUTE(TEXT(IF(ISTEXT(Overig!F268),Overig!F268,100*Overig!F268),""",""?????0;"",""????-0;"",""?????0;"", /////"""),"'","""")&amp;SUBSTITUTE(TEXT(Overig!G268,""",""?00;"",""?-00;"",""?00;"", //"""),"'","""")&amp;SUBSTITUTE(TEXT(IF(ISTEXT(Overig!H268),Overig!H268,100*Overig!H268),""",""????0;"",""???-0;"",""????0;"", ////"""),"'","""")&amp;SUBSTITUTE(TEXT(Overig!I268,""",""?00;"",""?-00;"",""?00;"", //"""),"'","""")&amp;SUBSTITUTE(TEXT(IF(ISTEXT(Overig!J268),Overig!J268,100*Overig!J268),""",""?????0;"",""????-0;"",""?????0;"", /////"""),"'","""")&amp;SUBSTITUTE(TEXT(Overig!K268,""",""?00;"",""?-00;"",""?00;"", //"""),"'","""")&amp;SUBSTITUTE(TEXT(IF(ISTEXT(Overig!L268),Overig!L268,10*Overig!L268),""",""????0;"",""???-0;"",""????0;"", ////"""),"'","""")&amp;SUBSTITUTE(TEXT(Overig!M268,""",""?00;"",""?-00;"",""?00;"", //"""),"'","""")&amp;SUBSTITUTE(TEXT(IF(ISTEXT(Overig!N268),Overig!N268,10*Overig!N268),""",""????0;"",""???-0;"",""????0;"", ////"""),"'","""")&amp;SUBSTITUTE(TEXT(Overig!O268,""",""?00;"",""?-00;"",""?00;"", //"""),"'","""")&amp;SUBSTITUTE(TEXT(IF(ISTEXT(Overig!P268),Overig!P268,10*Overig!P268),""",""????0;"",""???-0;"",""????0;"", ////"""),"'","""")&amp;SUBSTITUTE(TEXT(Overig!Q268,""",""?00;"",""?-00;"",""?00;"", //"""),"'","""")&amp;SUBSTITUTE(TEXT(IF(ISTEXT(Overig!R268),Overig!R268,10*Overig!R268),""",""????0;"",""???-0;"",""????0;"", ////"""),"'","""")&amp;SUBSTITUTE(TEXT(Overig!S268,""",""?00;"",""?-00;"",""?00;"", //"""),"'","""")&amp;SUBSTITUTE(TEXT(Overig!T268,""",""???0;"",""??-0;"",""???0;"", ///"""),"'","""")&amp;SUBSTITUTE(TEXT(Overig!U268,""",""?00;"",""?-00;"",""?00;"", //"""),"'","""")&amp;SUBSTITUTE(TEXT(IF(ISTEXT(Overig!V268),Overig!V268,10*Overig!V268),""",""???0;"",""??-0;"",""???0;"", ///"""),"'","""")&amp;SUBSTITUTE(TEXT(Overig!W268,""",""?00;"",""?-00;"",""?00;"", //"""),"'","""")&amp;SUBSTITUTE(TEXT(IF(ISTEXT(Overig!X268),Overig!X268,10*Overig!X268),""",""????0;"",""???-0;"",""????0;"", ////"""),"'","""")&amp;SUBSTITUTE(TEXT(Overig!Y268,""",""?00;"",""?-00;"",""?00;"", //"""),"'","""")&amp;SUBSTITUTE(TEXT(IF(ISTEXT(Overig!Z268),Overig!Z268,10*Overig!Z268),""",""????0;"",""???-0;"",""????0;"", ////"""),"'","""")&amp;SUBSTITUTE(TEXT(Overig!AA268,""",""?00;"",""?-00;"",""?00;"", //"""),"'","""")&amp;SUBSTITUTE(TEXT(Overig!AB268,""",""???0;"",""??-0;"",""???0;"", ///"""),"'","""")&amp;SUBSTITUTE(TEXT(Overig!AC268,""",""?00;"",""?-00;"",""?00;"", //"""),"'","""")&amp;SUBSTITUTE(TEXT(IF(ISTEXT(Overig!AD268),Overig!AD268,10*Overig!AD268),""",""????0;"",""???-0;"",""????0;"", ////"""),"'","""")&amp;SUBSTITUTE(TEXT(Overig!AE268,""",""?00;"",""?-00;"",""?00;"", //"""),"'","""")&amp;SUBSTITUTE(TEXT(IF(ISTEXT(Overig!AF268),Overig!AF268,10*Overig!AF268),""",""????0;"",""???-0;"",""????0;"", ////"""),"'","""")&amp;SUBSTITUTE(TEXT(Overig!AG268,""",""?00;"",""?-00;"",""?00;"", //"""),"'","""")&amp;SUBSTITUTE(TEXT(Overig!AH268,""",""???0;"",""??-0;"",""???0;"", ///"""),"'","""")&amp;SUBSTITUTE(TEXT(Overig!AI268,""",""?00;"",""?-00;"",""?00;"", //"""),"'","""")&amp;SUBSTITUTE(TEXT(Overig!AJ268,""",""??0;"",""?-0;"",""??0;"", //"""),"'","""")&amp;SUBSTITUTE(TEXT(Overig!AK268,""",""?00;"",""?-00;"",""?00;"", //"""),"'","""")&amp;SUBSTITUTE(IF(EXACT(Overig!AL268,"—"),TEXT(Overig!AL268,""",""????0;"",""???-0;"",""????0;"", ////////////,"""),TEXT(Overig!AL268,"\, \'@""',""")&amp;REPT(" ",10-LEN(Overig!AL268))),"'","""")&amp;SUBSTITUTE(TEXT(Overig!AM268,"?00;?-00;?00;"" //"""),"'","""")&amp;SUBSTITUTE(TEXT(Overig!AN268,""",""???0;"",""??-0;"",""???0;"", ///"""),"'","""")&amp;SUBSTITUTE(TEXT(Overig!AO268,""",""?00;"",""?-00;"",""?00;"", //"""),"'","""")</f>
        <v>78989, 19130924, 0800, ////, 07, /////, 07, ////, 07, /////, 07, ////, 07, ////, 07, ////, 07, ////, 07, ///, 07, ///, 07, ////, 07, ////, 07, ///, 07, ////, 07, ////, 07, ///, 07, //, 07, ////////////, 07, ///, 07</v>
      </c>
    </row>
    <row r="269" spans="1:1" x14ac:dyDescent="0.25">
      <c r="A269" s="75" t="str">
        <f ca="1">TEXT(Overig!A269,"000\,")&amp;TEXT(Overig!B269,"?00000000")&amp;TEXT(Overig!C269,""", ""0000")&amp;SUBSTITUTE(TEXT(IF(ISTEXT(Overig!D269),Overig!D269,10*Overig!D269),""",""????0;"",""???-0;"",""????0;"", ////"""),"'","""")&amp;SUBSTITUTE(TEXT(Overig!E269,""",""?00;"",""?-00;"",""?00;"", //"""),"'","""")&amp;SUBSTITUTE(TEXT(IF(ISTEXT(Overig!F269),Overig!F269,100*Overig!F269),""",""?????0;"",""????-0;"",""?????0;"", /////"""),"'","""")&amp;SUBSTITUTE(TEXT(Overig!G269,""",""?00;"",""?-00;"",""?00;"", //"""),"'","""")&amp;SUBSTITUTE(TEXT(IF(ISTEXT(Overig!H269),Overig!H269,100*Overig!H269),""",""????0;"",""???-0;"",""????0;"", ////"""),"'","""")&amp;SUBSTITUTE(TEXT(Overig!I269,""",""?00;"",""?-00;"",""?00;"", //"""),"'","""")&amp;SUBSTITUTE(TEXT(IF(ISTEXT(Overig!J269),Overig!J269,100*Overig!J269),""",""?????0;"",""????-0;"",""?????0;"", /////"""),"'","""")&amp;SUBSTITUTE(TEXT(Overig!K269,""",""?00;"",""?-00;"",""?00;"", //"""),"'","""")&amp;SUBSTITUTE(TEXT(IF(ISTEXT(Overig!L269),Overig!L269,10*Overig!L269),""",""????0;"",""???-0;"",""????0;"", ////"""),"'","""")&amp;SUBSTITUTE(TEXT(Overig!M269,""",""?00;"",""?-00;"",""?00;"", //"""),"'","""")&amp;SUBSTITUTE(TEXT(IF(ISTEXT(Overig!N269),Overig!N269,10*Overig!N269),""",""????0;"",""???-0;"",""????0;"", ////"""),"'","""")&amp;SUBSTITUTE(TEXT(Overig!O269,""",""?00;"",""?-00;"",""?00;"", //"""),"'","""")&amp;SUBSTITUTE(TEXT(IF(ISTEXT(Overig!P269),Overig!P269,10*Overig!P269),""",""????0;"",""???-0;"",""????0;"", ////"""),"'","""")&amp;SUBSTITUTE(TEXT(Overig!Q269,""",""?00;"",""?-00;"",""?00;"", //"""),"'","""")&amp;SUBSTITUTE(TEXT(IF(ISTEXT(Overig!R269),Overig!R269,10*Overig!R269),""",""????0;"",""???-0;"",""????0;"", ////"""),"'","""")&amp;SUBSTITUTE(TEXT(Overig!S269,""",""?00;"",""?-00;"",""?00;"", //"""),"'","""")&amp;SUBSTITUTE(TEXT(Overig!T269,""",""???0;"",""??-0;"",""???0;"", ///"""),"'","""")&amp;SUBSTITUTE(TEXT(Overig!U269,""",""?00;"",""?-00;"",""?00;"", //"""),"'","""")&amp;SUBSTITUTE(TEXT(IF(ISTEXT(Overig!V269),Overig!V269,10*Overig!V269),""",""???0;"",""??-0;"",""???0;"", ///"""),"'","""")&amp;SUBSTITUTE(TEXT(Overig!W269,""",""?00;"",""?-00;"",""?00;"", //"""),"'","""")&amp;SUBSTITUTE(TEXT(IF(ISTEXT(Overig!X269),Overig!X269,10*Overig!X269),""",""????0;"",""???-0;"",""????0;"", ////"""),"'","""")&amp;SUBSTITUTE(TEXT(Overig!Y269,""",""?00;"",""?-00;"",""?00;"", //"""),"'","""")&amp;SUBSTITUTE(TEXT(IF(ISTEXT(Overig!Z269),Overig!Z269,10*Overig!Z269),""",""????0;"",""???-0;"",""????0;"", ////"""),"'","""")&amp;SUBSTITUTE(TEXT(Overig!AA269,""",""?00;"",""?-00;"",""?00;"", //"""),"'","""")&amp;SUBSTITUTE(TEXT(Overig!AB269,""",""???0;"",""??-0;"",""???0;"", ///"""),"'","""")&amp;SUBSTITUTE(TEXT(Overig!AC269,""",""?00;"",""?-00;"",""?00;"", //"""),"'","""")&amp;SUBSTITUTE(TEXT(IF(ISTEXT(Overig!AD269),Overig!AD269,10*Overig!AD269),""",""????0;"",""???-0;"",""????0;"", ////"""),"'","""")&amp;SUBSTITUTE(TEXT(Overig!AE269,""",""?00;"",""?-00;"",""?00;"", //"""),"'","""")&amp;SUBSTITUTE(TEXT(IF(ISTEXT(Overig!AF269),Overig!AF269,10*Overig!AF269),""",""????0;"",""???-0;"",""????0;"", ////"""),"'","""")&amp;SUBSTITUTE(TEXT(Overig!AG269,""",""?00;"",""?-00;"",""?00;"", //"""),"'","""")&amp;SUBSTITUTE(TEXT(Overig!AH269,""",""???0;"",""??-0;"",""???0;"", ///"""),"'","""")&amp;SUBSTITUTE(TEXT(Overig!AI269,""",""?00;"",""?-00;"",""?00;"", //"""),"'","""")&amp;SUBSTITUTE(TEXT(Overig!AJ269,""",""??0;"",""?-0;"",""??0;"", //"""),"'","""")&amp;SUBSTITUTE(TEXT(Overig!AK269,""",""?00;"",""?-00;"",""?00;"", //"""),"'","""")&amp;SUBSTITUTE(IF(EXACT(Overig!AL269,"—"),TEXT(Overig!AL269,""",""????0;"",""???-0;"",""????0;"", ////////////,"""),TEXT(Overig!AL269,"\, \'@""',""")&amp;REPT(" ",10-LEN(Overig!AL269))),"'","""")&amp;SUBSTITUTE(TEXT(Overig!AM269,"?00;?-00;?00;"" //"""),"'","""")&amp;SUBSTITUTE(TEXT(Overig!AN269,""",""???0;"",""??-0;"",""???0;"", ///"""),"'","""")&amp;SUBSTITUTE(TEXT(Overig!AO269,""",""?00;"",""?-00;"",""?00;"", //"""),"'","""")</f>
        <v>78989, 19130925, 0800, ////, 07, /////, 07, ////, 07, /////, 07, ////, 07, ////, 07, ////, 07, ////, 07, ///, 07, ///, 07, ////, 07, ////, 07, ///, 07, ////, 07, ////, 07, ///, 07, //, 07, ////////////, 07, ///, 07</v>
      </c>
    </row>
    <row r="270" spans="1:1" x14ac:dyDescent="0.25">
      <c r="A270" s="75" t="str">
        <f ca="1">TEXT(Overig!A270,"000\,")&amp;TEXT(Overig!B270,"?00000000")&amp;TEXT(Overig!C270,""", ""0000")&amp;SUBSTITUTE(TEXT(IF(ISTEXT(Overig!D270),Overig!D270,10*Overig!D270),""",""????0;"",""???-0;"",""????0;"", ////"""),"'","""")&amp;SUBSTITUTE(TEXT(Overig!E270,""",""?00;"",""?-00;"",""?00;"", //"""),"'","""")&amp;SUBSTITUTE(TEXT(IF(ISTEXT(Overig!F270),Overig!F270,100*Overig!F270),""",""?????0;"",""????-0;"",""?????0;"", /////"""),"'","""")&amp;SUBSTITUTE(TEXT(Overig!G270,""",""?00;"",""?-00;"",""?00;"", //"""),"'","""")&amp;SUBSTITUTE(TEXT(IF(ISTEXT(Overig!H270),Overig!H270,100*Overig!H270),""",""????0;"",""???-0;"",""????0;"", ////"""),"'","""")&amp;SUBSTITUTE(TEXT(Overig!I270,""",""?00;"",""?-00;"",""?00;"", //"""),"'","""")&amp;SUBSTITUTE(TEXT(IF(ISTEXT(Overig!J270),Overig!J270,100*Overig!J270),""",""?????0;"",""????-0;"",""?????0;"", /////"""),"'","""")&amp;SUBSTITUTE(TEXT(Overig!K270,""",""?00;"",""?-00;"",""?00;"", //"""),"'","""")&amp;SUBSTITUTE(TEXT(IF(ISTEXT(Overig!L270),Overig!L270,10*Overig!L270),""",""????0;"",""???-0;"",""????0;"", ////"""),"'","""")&amp;SUBSTITUTE(TEXT(Overig!M270,""",""?00;"",""?-00;"",""?00;"", //"""),"'","""")&amp;SUBSTITUTE(TEXT(IF(ISTEXT(Overig!N270),Overig!N270,10*Overig!N270),""",""????0;"",""???-0;"",""????0;"", ////"""),"'","""")&amp;SUBSTITUTE(TEXT(Overig!O270,""",""?00;"",""?-00;"",""?00;"", //"""),"'","""")&amp;SUBSTITUTE(TEXT(IF(ISTEXT(Overig!P270),Overig!P270,10*Overig!P270),""",""????0;"",""???-0;"",""????0;"", ////"""),"'","""")&amp;SUBSTITUTE(TEXT(Overig!Q270,""",""?00;"",""?-00;"",""?00;"", //"""),"'","""")&amp;SUBSTITUTE(TEXT(IF(ISTEXT(Overig!R270),Overig!R270,10*Overig!R270),""",""????0;"",""???-0;"",""????0;"", ////"""),"'","""")&amp;SUBSTITUTE(TEXT(Overig!S270,""",""?00;"",""?-00;"",""?00;"", //"""),"'","""")&amp;SUBSTITUTE(TEXT(Overig!T270,""",""???0;"",""??-0;"",""???0;"", ///"""),"'","""")&amp;SUBSTITUTE(TEXT(Overig!U270,""",""?00;"",""?-00;"",""?00;"", //"""),"'","""")&amp;SUBSTITUTE(TEXT(IF(ISTEXT(Overig!V270),Overig!V270,10*Overig!V270),""",""???0;"",""??-0;"",""???0;"", ///"""),"'","""")&amp;SUBSTITUTE(TEXT(Overig!W270,""",""?00;"",""?-00;"",""?00;"", //"""),"'","""")&amp;SUBSTITUTE(TEXT(IF(ISTEXT(Overig!X270),Overig!X270,10*Overig!X270),""",""????0;"",""???-0;"",""????0;"", ////"""),"'","""")&amp;SUBSTITUTE(TEXT(Overig!Y270,""",""?00;"",""?-00;"",""?00;"", //"""),"'","""")&amp;SUBSTITUTE(TEXT(IF(ISTEXT(Overig!Z270),Overig!Z270,10*Overig!Z270),""",""????0;"",""???-0;"",""????0;"", ////"""),"'","""")&amp;SUBSTITUTE(TEXT(Overig!AA270,""",""?00;"",""?-00;"",""?00;"", //"""),"'","""")&amp;SUBSTITUTE(TEXT(Overig!AB270,""",""???0;"",""??-0;"",""???0;"", ///"""),"'","""")&amp;SUBSTITUTE(TEXT(Overig!AC270,""",""?00;"",""?-00;"",""?00;"", //"""),"'","""")&amp;SUBSTITUTE(TEXT(IF(ISTEXT(Overig!AD270),Overig!AD270,10*Overig!AD270),""",""????0;"",""???-0;"",""????0;"", ////"""),"'","""")&amp;SUBSTITUTE(TEXT(Overig!AE270,""",""?00;"",""?-00;"",""?00;"", //"""),"'","""")&amp;SUBSTITUTE(TEXT(IF(ISTEXT(Overig!AF270),Overig!AF270,10*Overig!AF270),""",""????0;"",""???-0;"",""????0;"", ////"""),"'","""")&amp;SUBSTITUTE(TEXT(Overig!AG270,""",""?00;"",""?-00;"",""?00;"", //"""),"'","""")&amp;SUBSTITUTE(TEXT(Overig!AH270,""",""???0;"",""??-0;"",""???0;"", ///"""),"'","""")&amp;SUBSTITUTE(TEXT(Overig!AI270,""",""?00;"",""?-00;"",""?00;"", //"""),"'","""")&amp;SUBSTITUTE(TEXT(Overig!AJ270,""",""??0;"",""?-0;"",""??0;"", //"""),"'","""")&amp;SUBSTITUTE(TEXT(Overig!AK270,""",""?00;"",""?-00;"",""?00;"", //"""),"'","""")&amp;SUBSTITUTE(IF(EXACT(Overig!AL270,"—"),TEXT(Overig!AL270,""",""????0;"",""???-0;"",""????0;"", ////////////,"""),TEXT(Overig!AL270,"\, \'@""',""")&amp;REPT(" ",10-LEN(Overig!AL270))),"'","""")&amp;SUBSTITUTE(TEXT(Overig!AM270,"?00;?-00;?00;"" //"""),"'","""")&amp;SUBSTITUTE(TEXT(Overig!AN270,""",""???0;"",""??-0;"",""???0;"", ///"""),"'","""")&amp;SUBSTITUTE(TEXT(Overig!AO270,""",""?00;"",""?-00;"",""?00;"", //"""),"'","""")</f>
        <v>78989, 19130926, 0800, ////, 07, /////, 07, ////, 07, /////, 07, ////, 07, ////, 07, ////, 07, ////, 07, ///, 07, ///, 07, ////, 07, ////, 07, ///, 07, ////, 07, ////, 07, ///, 07, //, 07, ////////////, 07, ///, 07</v>
      </c>
    </row>
    <row r="271" spans="1:1" x14ac:dyDescent="0.25">
      <c r="A271" s="75" t="str">
        <f ca="1">TEXT(Overig!A271,"000\,")&amp;TEXT(Overig!B271,"?00000000")&amp;TEXT(Overig!C271,""", ""0000")&amp;SUBSTITUTE(TEXT(IF(ISTEXT(Overig!D271),Overig!D271,10*Overig!D271),""",""????0;"",""???-0;"",""????0;"", ////"""),"'","""")&amp;SUBSTITUTE(TEXT(Overig!E271,""",""?00;"",""?-00;"",""?00;"", //"""),"'","""")&amp;SUBSTITUTE(TEXT(IF(ISTEXT(Overig!F271),Overig!F271,100*Overig!F271),""",""?????0;"",""????-0;"",""?????0;"", /////"""),"'","""")&amp;SUBSTITUTE(TEXT(Overig!G271,""",""?00;"",""?-00;"",""?00;"", //"""),"'","""")&amp;SUBSTITUTE(TEXT(IF(ISTEXT(Overig!H271),Overig!H271,100*Overig!H271),""",""????0;"",""???-0;"",""????0;"", ////"""),"'","""")&amp;SUBSTITUTE(TEXT(Overig!I271,""",""?00;"",""?-00;"",""?00;"", //"""),"'","""")&amp;SUBSTITUTE(TEXT(IF(ISTEXT(Overig!J271),Overig!J271,100*Overig!J271),""",""?????0;"",""????-0;"",""?????0;"", /////"""),"'","""")&amp;SUBSTITUTE(TEXT(Overig!K271,""",""?00;"",""?-00;"",""?00;"", //"""),"'","""")&amp;SUBSTITUTE(TEXT(IF(ISTEXT(Overig!L271),Overig!L271,10*Overig!L271),""",""????0;"",""???-0;"",""????0;"", ////"""),"'","""")&amp;SUBSTITUTE(TEXT(Overig!M271,""",""?00;"",""?-00;"",""?00;"", //"""),"'","""")&amp;SUBSTITUTE(TEXT(IF(ISTEXT(Overig!N271),Overig!N271,10*Overig!N271),""",""????0;"",""???-0;"",""????0;"", ////"""),"'","""")&amp;SUBSTITUTE(TEXT(Overig!O271,""",""?00;"",""?-00;"",""?00;"", //"""),"'","""")&amp;SUBSTITUTE(TEXT(IF(ISTEXT(Overig!P271),Overig!P271,10*Overig!P271),""",""????0;"",""???-0;"",""????0;"", ////"""),"'","""")&amp;SUBSTITUTE(TEXT(Overig!Q271,""",""?00;"",""?-00;"",""?00;"", //"""),"'","""")&amp;SUBSTITUTE(TEXT(IF(ISTEXT(Overig!R271),Overig!R271,10*Overig!R271),""",""????0;"",""???-0;"",""????0;"", ////"""),"'","""")&amp;SUBSTITUTE(TEXT(Overig!S271,""",""?00;"",""?-00;"",""?00;"", //"""),"'","""")&amp;SUBSTITUTE(TEXT(Overig!T271,""",""???0;"",""??-0;"",""???0;"", ///"""),"'","""")&amp;SUBSTITUTE(TEXT(Overig!U271,""",""?00;"",""?-00;"",""?00;"", //"""),"'","""")&amp;SUBSTITUTE(TEXT(IF(ISTEXT(Overig!V271),Overig!V271,10*Overig!V271),""",""???0;"",""??-0;"",""???0;"", ///"""),"'","""")&amp;SUBSTITUTE(TEXT(Overig!W271,""",""?00;"",""?-00;"",""?00;"", //"""),"'","""")&amp;SUBSTITUTE(TEXT(IF(ISTEXT(Overig!X271),Overig!X271,10*Overig!X271),""",""????0;"",""???-0;"",""????0;"", ////"""),"'","""")&amp;SUBSTITUTE(TEXT(Overig!Y271,""",""?00;"",""?-00;"",""?00;"", //"""),"'","""")&amp;SUBSTITUTE(TEXT(IF(ISTEXT(Overig!Z271),Overig!Z271,10*Overig!Z271),""",""????0;"",""???-0;"",""????0;"", ////"""),"'","""")&amp;SUBSTITUTE(TEXT(Overig!AA271,""",""?00;"",""?-00;"",""?00;"", //"""),"'","""")&amp;SUBSTITUTE(TEXT(Overig!AB271,""",""???0;"",""??-0;"",""???0;"", ///"""),"'","""")&amp;SUBSTITUTE(TEXT(Overig!AC271,""",""?00;"",""?-00;"",""?00;"", //"""),"'","""")&amp;SUBSTITUTE(TEXT(IF(ISTEXT(Overig!AD271),Overig!AD271,10*Overig!AD271),""",""????0;"",""???-0;"",""????0;"", ////"""),"'","""")&amp;SUBSTITUTE(TEXT(Overig!AE271,""",""?00;"",""?-00;"",""?00;"", //"""),"'","""")&amp;SUBSTITUTE(TEXT(IF(ISTEXT(Overig!AF271),Overig!AF271,10*Overig!AF271),""",""????0;"",""???-0;"",""????0;"", ////"""),"'","""")&amp;SUBSTITUTE(TEXT(Overig!AG271,""",""?00;"",""?-00;"",""?00;"", //"""),"'","""")&amp;SUBSTITUTE(TEXT(Overig!AH271,""",""???0;"",""??-0;"",""???0;"", ///"""),"'","""")&amp;SUBSTITUTE(TEXT(Overig!AI271,""",""?00;"",""?-00;"",""?00;"", //"""),"'","""")&amp;SUBSTITUTE(TEXT(Overig!AJ271,""",""??0;"",""?-0;"",""??0;"", //"""),"'","""")&amp;SUBSTITUTE(TEXT(Overig!AK271,""",""?00;"",""?-00;"",""?00;"", //"""),"'","""")&amp;SUBSTITUTE(IF(EXACT(Overig!AL271,"—"),TEXT(Overig!AL271,""",""????0;"",""???-0;"",""????0;"", ////////////,"""),TEXT(Overig!AL271,"\, \'@""',""")&amp;REPT(" ",10-LEN(Overig!AL271))),"'","""")&amp;SUBSTITUTE(TEXT(Overig!AM271,"?00;?-00;?00;"" //"""),"'","""")&amp;SUBSTITUTE(TEXT(Overig!AN271,""",""???0;"",""??-0;"",""???0;"", ///"""),"'","""")&amp;SUBSTITUTE(TEXT(Overig!AO271,""",""?00;"",""?-00;"",""?00;"", //"""),"'","""")</f>
        <v>78989, 19130927, 0800, ////, 07, /////, 07, ////, 07, /////, 07, ////, 07, ////, 07, ////, 07, ////, 07, ///, 07, ///, 07, ////, 07, ////, 07, ///, 07, ////, 07, ////, 07, ///, 07, //, 07, ////////////, 07, ///, 07</v>
      </c>
    </row>
    <row r="272" spans="1:1" x14ac:dyDescent="0.25">
      <c r="A272" s="75" t="str">
        <f ca="1">TEXT(Overig!A272,"000\,")&amp;TEXT(Overig!B272,"?00000000")&amp;TEXT(Overig!C272,""", ""0000")&amp;SUBSTITUTE(TEXT(IF(ISTEXT(Overig!D272),Overig!D272,10*Overig!D272),""",""????0;"",""???-0;"",""????0;"", ////"""),"'","""")&amp;SUBSTITUTE(TEXT(Overig!E272,""",""?00;"",""?-00;"",""?00;"", //"""),"'","""")&amp;SUBSTITUTE(TEXT(IF(ISTEXT(Overig!F272),Overig!F272,100*Overig!F272),""",""?????0;"",""????-0;"",""?????0;"", /////"""),"'","""")&amp;SUBSTITUTE(TEXT(Overig!G272,""",""?00;"",""?-00;"",""?00;"", //"""),"'","""")&amp;SUBSTITUTE(TEXT(IF(ISTEXT(Overig!H272),Overig!H272,100*Overig!H272),""",""????0;"",""???-0;"",""????0;"", ////"""),"'","""")&amp;SUBSTITUTE(TEXT(Overig!I272,""",""?00;"",""?-00;"",""?00;"", //"""),"'","""")&amp;SUBSTITUTE(TEXT(IF(ISTEXT(Overig!J272),Overig!J272,100*Overig!J272),""",""?????0;"",""????-0;"",""?????0;"", /////"""),"'","""")&amp;SUBSTITUTE(TEXT(Overig!K272,""",""?00;"",""?-00;"",""?00;"", //"""),"'","""")&amp;SUBSTITUTE(TEXT(IF(ISTEXT(Overig!L272),Overig!L272,10*Overig!L272),""",""????0;"",""???-0;"",""????0;"", ////"""),"'","""")&amp;SUBSTITUTE(TEXT(Overig!M272,""",""?00;"",""?-00;"",""?00;"", //"""),"'","""")&amp;SUBSTITUTE(TEXT(IF(ISTEXT(Overig!N272),Overig!N272,10*Overig!N272),""",""????0;"",""???-0;"",""????0;"", ////"""),"'","""")&amp;SUBSTITUTE(TEXT(Overig!O272,""",""?00;"",""?-00;"",""?00;"", //"""),"'","""")&amp;SUBSTITUTE(TEXT(IF(ISTEXT(Overig!P272),Overig!P272,10*Overig!P272),""",""????0;"",""???-0;"",""????0;"", ////"""),"'","""")&amp;SUBSTITUTE(TEXT(Overig!Q272,""",""?00;"",""?-00;"",""?00;"", //"""),"'","""")&amp;SUBSTITUTE(TEXT(IF(ISTEXT(Overig!R272),Overig!R272,10*Overig!R272),""",""????0;"",""???-0;"",""????0;"", ////"""),"'","""")&amp;SUBSTITUTE(TEXT(Overig!S272,""",""?00;"",""?-00;"",""?00;"", //"""),"'","""")&amp;SUBSTITUTE(TEXT(Overig!T272,""",""???0;"",""??-0;"",""???0;"", ///"""),"'","""")&amp;SUBSTITUTE(TEXT(Overig!U272,""",""?00;"",""?-00;"",""?00;"", //"""),"'","""")&amp;SUBSTITUTE(TEXT(IF(ISTEXT(Overig!V272),Overig!V272,10*Overig!V272),""",""???0;"",""??-0;"",""???0;"", ///"""),"'","""")&amp;SUBSTITUTE(TEXT(Overig!W272,""",""?00;"",""?-00;"",""?00;"", //"""),"'","""")&amp;SUBSTITUTE(TEXT(IF(ISTEXT(Overig!X272),Overig!X272,10*Overig!X272),""",""????0;"",""???-0;"",""????0;"", ////"""),"'","""")&amp;SUBSTITUTE(TEXT(Overig!Y272,""",""?00;"",""?-00;"",""?00;"", //"""),"'","""")&amp;SUBSTITUTE(TEXT(IF(ISTEXT(Overig!Z272),Overig!Z272,10*Overig!Z272),""",""????0;"",""???-0;"",""????0;"", ////"""),"'","""")&amp;SUBSTITUTE(TEXT(Overig!AA272,""",""?00;"",""?-00;"",""?00;"", //"""),"'","""")&amp;SUBSTITUTE(TEXT(Overig!AB272,""",""???0;"",""??-0;"",""???0;"", ///"""),"'","""")&amp;SUBSTITUTE(TEXT(Overig!AC272,""",""?00;"",""?-00;"",""?00;"", //"""),"'","""")&amp;SUBSTITUTE(TEXT(IF(ISTEXT(Overig!AD272),Overig!AD272,10*Overig!AD272),""",""????0;"",""???-0;"",""????0;"", ////"""),"'","""")&amp;SUBSTITUTE(TEXT(Overig!AE272,""",""?00;"",""?-00;"",""?00;"", //"""),"'","""")&amp;SUBSTITUTE(TEXT(IF(ISTEXT(Overig!AF272),Overig!AF272,10*Overig!AF272),""",""????0;"",""???-0;"",""????0;"", ////"""),"'","""")&amp;SUBSTITUTE(TEXT(Overig!AG272,""",""?00;"",""?-00;"",""?00;"", //"""),"'","""")&amp;SUBSTITUTE(TEXT(Overig!AH272,""",""???0;"",""??-0;"",""???0;"", ///"""),"'","""")&amp;SUBSTITUTE(TEXT(Overig!AI272,""",""?00;"",""?-00;"",""?00;"", //"""),"'","""")&amp;SUBSTITUTE(TEXT(Overig!AJ272,""",""??0;"",""?-0;"",""??0;"", //"""),"'","""")&amp;SUBSTITUTE(TEXT(Overig!AK272,""",""?00;"",""?-00;"",""?00;"", //"""),"'","""")&amp;SUBSTITUTE(IF(EXACT(Overig!AL272,"—"),TEXT(Overig!AL272,""",""????0;"",""???-0;"",""????0;"", ////////////,"""),TEXT(Overig!AL272,"\, \'@""',""")&amp;REPT(" ",10-LEN(Overig!AL272))),"'","""")&amp;SUBSTITUTE(TEXT(Overig!AM272,"?00;?-00;?00;"" //"""),"'","""")&amp;SUBSTITUTE(TEXT(Overig!AN272,""",""???0;"",""??-0;"",""???0;"", ///"""),"'","""")&amp;SUBSTITUTE(TEXT(Overig!AO272,""",""?00;"",""?-00;"",""?00;"", //"""),"'","""")</f>
        <v>78989, 19130928, 0800, ////, 07, /////, 07, ////, 07, /////, 07, ////, 07, ////, 07, ////, 07, ////, 07, ///, 07, ///, 07, ////, 07, ////, 07, ///, 07, ////, 07, ////, 07, ///, 07, //, 07, ////////////, 07, ///, 07</v>
      </c>
    </row>
    <row r="273" spans="1:1" x14ac:dyDescent="0.25">
      <c r="A273" s="75" t="str">
        <f ca="1">TEXT(Overig!A273,"000\,")&amp;TEXT(Overig!B273,"?00000000")&amp;TEXT(Overig!C273,""", ""0000")&amp;SUBSTITUTE(TEXT(IF(ISTEXT(Overig!D273),Overig!D273,10*Overig!D273),""",""????0;"",""???-0;"",""????0;"", ////"""),"'","""")&amp;SUBSTITUTE(TEXT(Overig!E273,""",""?00;"",""?-00;"",""?00;"", //"""),"'","""")&amp;SUBSTITUTE(TEXT(IF(ISTEXT(Overig!F273),Overig!F273,100*Overig!F273),""",""?????0;"",""????-0;"",""?????0;"", /////"""),"'","""")&amp;SUBSTITUTE(TEXT(Overig!G273,""",""?00;"",""?-00;"",""?00;"", //"""),"'","""")&amp;SUBSTITUTE(TEXT(IF(ISTEXT(Overig!H273),Overig!H273,100*Overig!H273),""",""????0;"",""???-0;"",""????0;"", ////"""),"'","""")&amp;SUBSTITUTE(TEXT(Overig!I273,""",""?00;"",""?-00;"",""?00;"", //"""),"'","""")&amp;SUBSTITUTE(TEXT(IF(ISTEXT(Overig!J273),Overig!J273,100*Overig!J273),""",""?????0;"",""????-0;"",""?????0;"", /////"""),"'","""")&amp;SUBSTITUTE(TEXT(Overig!K273,""",""?00;"",""?-00;"",""?00;"", //"""),"'","""")&amp;SUBSTITUTE(TEXT(IF(ISTEXT(Overig!L273),Overig!L273,10*Overig!L273),""",""????0;"",""???-0;"",""????0;"", ////"""),"'","""")&amp;SUBSTITUTE(TEXT(Overig!M273,""",""?00;"",""?-00;"",""?00;"", //"""),"'","""")&amp;SUBSTITUTE(TEXT(IF(ISTEXT(Overig!N273),Overig!N273,10*Overig!N273),""",""????0;"",""???-0;"",""????0;"", ////"""),"'","""")&amp;SUBSTITUTE(TEXT(Overig!O273,""",""?00;"",""?-00;"",""?00;"", //"""),"'","""")&amp;SUBSTITUTE(TEXT(IF(ISTEXT(Overig!P273),Overig!P273,10*Overig!P273),""",""????0;"",""???-0;"",""????0;"", ////"""),"'","""")&amp;SUBSTITUTE(TEXT(Overig!Q273,""",""?00;"",""?-00;"",""?00;"", //"""),"'","""")&amp;SUBSTITUTE(TEXT(IF(ISTEXT(Overig!R273),Overig!R273,10*Overig!R273),""",""????0;"",""???-0;"",""????0;"", ////"""),"'","""")&amp;SUBSTITUTE(TEXT(Overig!S273,""",""?00;"",""?-00;"",""?00;"", //"""),"'","""")&amp;SUBSTITUTE(TEXT(Overig!T273,""",""???0;"",""??-0;"",""???0;"", ///"""),"'","""")&amp;SUBSTITUTE(TEXT(Overig!U273,""",""?00;"",""?-00;"",""?00;"", //"""),"'","""")&amp;SUBSTITUTE(TEXT(IF(ISTEXT(Overig!V273),Overig!V273,10*Overig!V273),""",""???0;"",""??-0;"",""???0;"", ///"""),"'","""")&amp;SUBSTITUTE(TEXT(Overig!W273,""",""?00;"",""?-00;"",""?00;"", //"""),"'","""")&amp;SUBSTITUTE(TEXT(IF(ISTEXT(Overig!X273),Overig!X273,10*Overig!X273),""",""????0;"",""???-0;"",""????0;"", ////"""),"'","""")&amp;SUBSTITUTE(TEXT(Overig!Y273,""",""?00;"",""?-00;"",""?00;"", //"""),"'","""")&amp;SUBSTITUTE(TEXT(IF(ISTEXT(Overig!Z273),Overig!Z273,10*Overig!Z273),""",""????0;"",""???-0;"",""????0;"", ////"""),"'","""")&amp;SUBSTITUTE(TEXT(Overig!AA273,""",""?00;"",""?-00;"",""?00;"", //"""),"'","""")&amp;SUBSTITUTE(TEXT(Overig!AB273,""",""???0;"",""??-0;"",""???0;"", ///"""),"'","""")&amp;SUBSTITUTE(TEXT(Overig!AC273,""",""?00;"",""?-00;"",""?00;"", //"""),"'","""")&amp;SUBSTITUTE(TEXT(IF(ISTEXT(Overig!AD273),Overig!AD273,10*Overig!AD273),""",""????0;"",""???-0;"",""????0;"", ////"""),"'","""")&amp;SUBSTITUTE(TEXT(Overig!AE273,""",""?00;"",""?-00;"",""?00;"", //"""),"'","""")&amp;SUBSTITUTE(TEXT(IF(ISTEXT(Overig!AF273),Overig!AF273,10*Overig!AF273),""",""????0;"",""???-0;"",""????0;"", ////"""),"'","""")&amp;SUBSTITUTE(TEXT(Overig!AG273,""",""?00;"",""?-00;"",""?00;"", //"""),"'","""")&amp;SUBSTITUTE(TEXT(Overig!AH273,""",""???0;"",""??-0;"",""???0;"", ///"""),"'","""")&amp;SUBSTITUTE(TEXT(Overig!AI273,""",""?00;"",""?-00;"",""?00;"", //"""),"'","""")&amp;SUBSTITUTE(TEXT(Overig!AJ273,""",""??0;"",""?-0;"",""??0;"", //"""),"'","""")&amp;SUBSTITUTE(TEXT(Overig!AK273,""",""?00;"",""?-00;"",""?00;"", //"""),"'","""")&amp;SUBSTITUTE(IF(EXACT(Overig!AL273,"—"),TEXT(Overig!AL273,""",""????0;"",""???-0;"",""????0;"", ////////////,"""),TEXT(Overig!AL273,"\, \'@""',""")&amp;REPT(" ",10-LEN(Overig!AL273))),"'","""")&amp;SUBSTITUTE(TEXT(Overig!AM273,"?00;?-00;?00;"" //"""),"'","""")&amp;SUBSTITUTE(TEXT(Overig!AN273,""",""???0;"",""??-0;"",""???0;"", ///"""),"'","""")&amp;SUBSTITUTE(TEXT(Overig!AO273,""",""?00;"",""?-00;"",""?00;"", //"""),"'","""")</f>
        <v>78989, 19130929, 0800, ////, 07, /////, 07, ////, 07, /////, 07, ////, 07, ////, 07, ////, 07, ////, 07, ///, 07, ///, 07, ////, 07, ////, 07, ///, 07, ////, 07, ////, 07, ///, 07, //, 07, ////////////, 07, ///, 07</v>
      </c>
    </row>
    <row r="274" spans="1:1" x14ac:dyDescent="0.25">
      <c r="A274" s="75" t="str">
        <f ca="1">TEXT(Overig!A274,"000\,")&amp;TEXT(Overig!B274,"?00000000")&amp;TEXT(Overig!C274,""", ""0000")&amp;SUBSTITUTE(TEXT(IF(ISTEXT(Overig!D274),Overig!D274,10*Overig!D274),""",""????0;"",""???-0;"",""????0;"", ////"""),"'","""")&amp;SUBSTITUTE(TEXT(Overig!E274,""",""?00;"",""?-00;"",""?00;"", //"""),"'","""")&amp;SUBSTITUTE(TEXT(IF(ISTEXT(Overig!F274),Overig!F274,100*Overig!F274),""",""?????0;"",""????-0;"",""?????0;"", /////"""),"'","""")&amp;SUBSTITUTE(TEXT(Overig!G274,""",""?00;"",""?-00;"",""?00;"", //"""),"'","""")&amp;SUBSTITUTE(TEXT(IF(ISTEXT(Overig!H274),Overig!H274,100*Overig!H274),""",""????0;"",""???-0;"",""????0;"", ////"""),"'","""")&amp;SUBSTITUTE(TEXT(Overig!I274,""",""?00;"",""?-00;"",""?00;"", //"""),"'","""")&amp;SUBSTITUTE(TEXT(IF(ISTEXT(Overig!J274),Overig!J274,100*Overig!J274),""",""?????0;"",""????-0;"",""?????0;"", /////"""),"'","""")&amp;SUBSTITUTE(TEXT(Overig!K274,""",""?00;"",""?-00;"",""?00;"", //"""),"'","""")&amp;SUBSTITUTE(TEXT(IF(ISTEXT(Overig!L274),Overig!L274,10*Overig!L274),""",""????0;"",""???-0;"",""????0;"", ////"""),"'","""")&amp;SUBSTITUTE(TEXT(Overig!M274,""",""?00;"",""?-00;"",""?00;"", //"""),"'","""")&amp;SUBSTITUTE(TEXT(IF(ISTEXT(Overig!N274),Overig!N274,10*Overig!N274),""",""????0;"",""???-0;"",""????0;"", ////"""),"'","""")&amp;SUBSTITUTE(TEXT(Overig!O274,""",""?00;"",""?-00;"",""?00;"", //"""),"'","""")&amp;SUBSTITUTE(TEXT(IF(ISTEXT(Overig!P274),Overig!P274,10*Overig!P274),""",""????0;"",""???-0;"",""????0;"", ////"""),"'","""")&amp;SUBSTITUTE(TEXT(Overig!Q274,""",""?00;"",""?-00;"",""?00;"", //"""),"'","""")&amp;SUBSTITUTE(TEXT(IF(ISTEXT(Overig!R274),Overig!R274,10*Overig!R274),""",""????0;"",""???-0;"",""????0;"", ////"""),"'","""")&amp;SUBSTITUTE(TEXT(Overig!S274,""",""?00;"",""?-00;"",""?00;"", //"""),"'","""")&amp;SUBSTITUTE(TEXT(Overig!T274,""",""???0;"",""??-0;"",""???0;"", ///"""),"'","""")&amp;SUBSTITUTE(TEXT(Overig!U274,""",""?00;"",""?-00;"",""?00;"", //"""),"'","""")&amp;SUBSTITUTE(TEXT(IF(ISTEXT(Overig!V274),Overig!V274,10*Overig!V274),""",""???0;"",""??-0;"",""???0;"", ///"""),"'","""")&amp;SUBSTITUTE(TEXT(Overig!W274,""",""?00;"",""?-00;"",""?00;"", //"""),"'","""")&amp;SUBSTITUTE(TEXT(IF(ISTEXT(Overig!X274),Overig!X274,10*Overig!X274),""",""????0;"",""???-0;"",""????0;"", ////"""),"'","""")&amp;SUBSTITUTE(TEXT(Overig!Y274,""",""?00;"",""?-00;"",""?00;"", //"""),"'","""")&amp;SUBSTITUTE(TEXT(IF(ISTEXT(Overig!Z274),Overig!Z274,10*Overig!Z274),""",""????0;"",""???-0;"",""????0;"", ////"""),"'","""")&amp;SUBSTITUTE(TEXT(Overig!AA274,""",""?00;"",""?-00;"",""?00;"", //"""),"'","""")&amp;SUBSTITUTE(TEXT(Overig!AB274,""",""???0;"",""??-0;"",""???0;"", ///"""),"'","""")&amp;SUBSTITUTE(TEXT(Overig!AC274,""",""?00;"",""?-00;"",""?00;"", //"""),"'","""")&amp;SUBSTITUTE(TEXT(IF(ISTEXT(Overig!AD274),Overig!AD274,10*Overig!AD274),""",""????0;"",""???-0;"",""????0;"", ////"""),"'","""")&amp;SUBSTITUTE(TEXT(Overig!AE274,""",""?00;"",""?-00;"",""?00;"", //"""),"'","""")&amp;SUBSTITUTE(TEXT(IF(ISTEXT(Overig!AF274),Overig!AF274,10*Overig!AF274),""",""????0;"",""???-0;"",""????0;"", ////"""),"'","""")&amp;SUBSTITUTE(TEXT(Overig!AG274,""",""?00;"",""?-00;"",""?00;"", //"""),"'","""")&amp;SUBSTITUTE(TEXT(Overig!AH274,""",""???0;"",""??-0;"",""???0;"", ///"""),"'","""")&amp;SUBSTITUTE(TEXT(Overig!AI274,""",""?00;"",""?-00;"",""?00;"", //"""),"'","""")&amp;SUBSTITUTE(TEXT(Overig!AJ274,""",""??0;"",""?-0;"",""??0;"", //"""),"'","""")&amp;SUBSTITUTE(TEXT(Overig!AK274,""",""?00;"",""?-00;"",""?00;"", //"""),"'","""")&amp;SUBSTITUTE(IF(EXACT(Overig!AL274,"—"),TEXT(Overig!AL274,""",""????0;"",""???-0;"",""????0;"", ////////////,"""),TEXT(Overig!AL274,"\, \'@""',""")&amp;REPT(" ",10-LEN(Overig!AL274))),"'","""")&amp;SUBSTITUTE(TEXT(Overig!AM274,"?00;?-00;?00;"" //"""),"'","""")&amp;SUBSTITUTE(TEXT(Overig!AN274,""",""???0;"",""??-0;"",""???0;"", ///"""),"'","""")&amp;SUBSTITUTE(TEXT(Overig!AO274,""",""?00;"",""?-00;"",""?00;"", //"""),"'","""")</f>
        <v>78989, 19130930, 0800, ////, 07, /////, 07, ////, 07, /////, 07, ////, 07, ////, 07, ////, 07, ////, 07, ///, 07, ///, 07, ////, 07, ////, 07, ///, 07, ////, 07, ////, 07, ///, 07, //, 07, ////////////, 07, ///, 07</v>
      </c>
    </row>
    <row r="275" spans="1:1" x14ac:dyDescent="0.25">
      <c r="A275" s="75" t="str">
        <f ca="1">TEXT(Overig!A275,"000\,")&amp;TEXT(Overig!B275,"?00000000")&amp;TEXT(Overig!C275,""", ""0000")&amp;SUBSTITUTE(TEXT(IF(ISTEXT(Overig!D275),Overig!D275,10*Overig!D275),""",""????0;"",""???-0;"",""????0;"", ////"""),"'","""")&amp;SUBSTITUTE(TEXT(Overig!E275,""",""?00;"",""?-00;"",""?00;"", //"""),"'","""")&amp;SUBSTITUTE(TEXT(IF(ISTEXT(Overig!F275),Overig!F275,100*Overig!F275),""",""?????0;"",""????-0;"",""?????0;"", /////"""),"'","""")&amp;SUBSTITUTE(TEXT(Overig!G275,""",""?00;"",""?-00;"",""?00;"", //"""),"'","""")&amp;SUBSTITUTE(TEXT(IF(ISTEXT(Overig!H275),Overig!H275,100*Overig!H275),""",""????0;"",""???-0;"",""????0;"", ////"""),"'","""")&amp;SUBSTITUTE(TEXT(Overig!I275,""",""?00;"",""?-00;"",""?00;"", //"""),"'","""")&amp;SUBSTITUTE(TEXT(IF(ISTEXT(Overig!J275),Overig!J275,100*Overig!J275),""",""?????0;"",""????-0;"",""?????0;"", /////"""),"'","""")&amp;SUBSTITUTE(TEXT(Overig!K275,""",""?00;"",""?-00;"",""?00;"", //"""),"'","""")&amp;SUBSTITUTE(TEXT(IF(ISTEXT(Overig!L275),Overig!L275,10*Overig!L275),""",""????0;"",""???-0;"",""????0;"", ////"""),"'","""")&amp;SUBSTITUTE(TEXT(Overig!M275,""",""?00;"",""?-00;"",""?00;"", //"""),"'","""")&amp;SUBSTITUTE(TEXT(IF(ISTEXT(Overig!N275),Overig!N275,10*Overig!N275),""",""????0;"",""???-0;"",""????0;"", ////"""),"'","""")&amp;SUBSTITUTE(TEXT(Overig!O275,""",""?00;"",""?-00;"",""?00;"", //"""),"'","""")&amp;SUBSTITUTE(TEXT(IF(ISTEXT(Overig!P275),Overig!P275,10*Overig!P275),""",""????0;"",""???-0;"",""????0;"", ////"""),"'","""")&amp;SUBSTITUTE(TEXT(Overig!Q275,""",""?00;"",""?-00;"",""?00;"", //"""),"'","""")&amp;SUBSTITUTE(TEXT(IF(ISTEXT(Overig!R275),Overig!R275,10*Overig!R275),""",""????0;"",""???-0;"",""????0;"", ////"""),"'","""")&amp;SUBSTITUTE(TEXT(Overig!S275,""",""?00;"",""?-00;"",""?00;"", //"""),"'","""")&amp;SUBSTITUTE(TEXT(Overig!T275,""",""???0;"",""??-0;"",""???0;"", ///"""),"'","""")&amp;SUBSTITUTE(TEXT(Overig!U275,""",""?00;"",""?-00;"",""?00;"", //"""),"'","""")&amp;SUBSTITUTE(TEXT(IF(ISTEXT(Overig!V275),Overig!V275,10*Overig!V275),""",""???0;"",""??-0;"",""???0;"", ///"""),"'","""")&amp;SUBSTITUTE(TEXT(Overig!W275,""",""?00;"",""?-00;"",""?00;"", //"""),"'","""")&amp;SUBSTITUTE(TEXT(IF(ISTEXT(Overig!X275),Overig!X275,10*Overig!X275),""",""????0;"",""???-0;"",""????0;"", ////"""),"'","""")&amp;SUBSTITUTE(TEXT(Overig!Y275,""",""?00;"",""?-00;"",""?00;"", //"""),"'","""")&amp;SUBSTITUTE(TEXT(IF(ISTEXT(Overig!Z275),Overig!Z275,10*Overig!Z275),""",""????0;"",""???-0;"",""????0;"", ////"""),"'","""")&amp;SUBSTITUTE(TEXT(Overig!AA275,""",""?00;"",""?-00;"",""?00;"", //"""),"'","""")&amp;SUBSTITUTE(TEXT(Overig!AB275,""",""???0;"",""??-0;"",""???0;"", ///"""),"'","""")&amp;SUBSTITUTE(TEXT(Overig!AC275,""",""?00;"",""?-00;"",""?00;"", //"""),"'","""")&amp;SUBSTITUTE(TEXT(IF(ISTEXT(Overig!AD275),Overig!AD275,10*Overig!AD275),""",""????0;"",""???-0;"",""????0;"", ////"""),"'","""")&amp;SUBSTITUTE(TEXT(Overig!AE275,""",""?00;"",""?-00;"",""?00;"", //"""),"'","""")&amp;SUBSTITUTE(TEXT(IF(ISTEXT(Overig!AF275),Overig!AF275,10*Overig!AF275),""",""????0;"",""???-0;"",""????0;"", ////"""),"'","""")&amp;SUBSTITUTE(TEXT(Overig!AG275,""",""?00;"",""?-00;"",""?00;"", //"""),"'","""")&amp;SUBSTITUTE(TEXT(Overig!AH275,""",""???0;"",""??-0;"",""???0;"", ///"""),"'","""")&amp;SUBSTITUTE(TEXT(Overig!AI275,""",""?00;"",""?-00;"",""?00;"", //"""),"'","""")&amp;SUBSTITUTE(TEXT(Overig!AJ275,""",""??0;"",""?-0;"",""??0;"", //"""),"'","""")&amp;SUBSTITUTE(TEXT(Overig!AK275,""",""?00;"",""?-00;"",""?00;"", //"""),"'","""")&amp;SUBSTITUTE(IF(EXACT(Overig!AL275,"—"),TEXT(Overig!AL275,""",""????0;"",""???-0;"",""????0;"", ////////////,"""),TEXT(Overig!AL275,"\, \'@""',""")&amp;REPT(" ",10-LEN(Overig!AL275))),"'","""")&amp;SUBSTITUTE(TEXT(Overig!AM275,"?00;?-00;?00;"" //"""),"'","""")&amp;SUBSTITUTE(TEXT(Overig!AN275,""",""???0;"",""??-0;"",""???0;"", ///"""),"'","""")&amp;SUBSTITUTE(TEXT(Overig!AO275,""",""?00;"",""?-00;"",""?00;"", //"""),"'","""")</f>
        <v>78989, 19131001, 0800, ////, 07, /////, 07, ////, 07, /////, 07, ////, 07, ////, 07, ////, 07, ////, 07, ///, 07, ///, 07, ////, 07, ////, 07, ///, 07, ////, 07, ////, 07, ///, 07, //, 07, ////////////, 07, ///, 07</v>
      </c>
    </row>
    <row r="276" spans="1:1" x14ac:dyDescent="0.25">
      <c r="A276" s="75" t="str">
        <f ca="1">TEXT(Overig!A276,"000\,")&amp;TEXT(Overig!B276,"?00000000")&amp;TEXT(Overig!C276,""", ""0000")&amp;SUBSTITUTE(TEXT(IF(ISTEXT(Overig!D276),Overig!D276,10*Overig!D276),""",""????0;"",""???-0;"",""????0;"", ////"""),"'","""")&amp;SUBSTITUTE(TEXT(Overig!E276,""",""?00;"",""?-00;"",""?00;"", //"""),"'","""")&amp;SUBSTITUTE(TEXT(IF(ISTEXT(Overig!F276),Overig!F276,100*Overig!F276),""",""?????0;"",""????-0;"",""?????0;"", /////"""),"'","""")&amp;SUBSTITUTE(TEXT(Overig!G276,""",""?00;"",""?-00;"",""?00;"", //"""),"'","""")&amp;SUBSTITUTE(TEXT(IF(ISTEXT(Overig!H276),Overig!H276,100*Overig!H276),""",""????0;"",""???-0;"",""????0;"", ////"""),"'","""")&amp;SUBSTITUTE(TEXT(Overig!I276,""",""?00;"",""?-00;"",""?00;"", //"""),"'","""")&amp;SUBSTITUTE(TEXT(IF(ISTEXT(Overig!J276),Overig!J276,100*Overig!J276),""",""?????0;"",""????-0;"",""?????0;"", /////"""),"'","""")&amp;SUBSTITUTE(TEXT(Overig!K276,""",""?00;"",""?-00;"",""?00;"", //"""),"'","""")&amp;SUBSTITUTE(TEXT(IF(ISTEXT(Overig!L276),Overig!L276,10*Overig!L276),""",""????0;"",""???-0;"",""????0;"", ////"""),"'","""")&amp;SUBSTITUTE(TEXT(Overig!M276,""",""?00;"",""?-00;"",""?00;"", //"""),"'","""")&amp;SUBSTITUTE(TEXT(IF(ISTEXT(Overig!N276),Overig!N276,10*Overig!N276),""",""????0;"",""???-0;"",""????0;"", ////"""),"'","""")&amp;SUBSTITUTE(TEXT(Overig!O276,""",""?00;"",""?-00;"",""?00;"", //"""),"'","""")&amp;SUBSTITUTE(TEXT(IF(ISTEXT(Overig!P276),Overig!P276,10*Overig!P276),""",""????0;"",""???-0;"",""????0;"", ////"""),"'","""")&amp;SUBSTITUTE(TEXT(Overig!Q276,""",""?00;"",""?-00;"",""?00;"", //"""),"'","""")&amp;SUBSTITUTE(TEXT(IF(ISTEXT(Overig!R276),Overig!R276,10*Overig!R276),""",""????0;"",""???-0;"",""????0;"", ////"""),"'","""")&amp;SUBSTITUTE(TEXT(Overig!S276,""",""?00;"",""?-00;"",""?00;"", //"""),"'","""")&amp;SUBSTITUTE(TEXT(Overig!T276,""",""???0;"",""??-0;"",""???0;"", ///"""),"'","""")&amp;SUBSTITUTE(TEXT(Overig!U276,""",""?00;"",""?-00;"",""?00;"", //"""),"'","""")&amp;SUBSTITUTE(TEXT(IF(ISTEXT(Overig!V276),Overig!V276,10*Overig!V276),""",""???0;"",""??-0;"",""???0;"", ///"""),"'","""")&amp;SUBSTITUTE(TEXT(Overig!W276,""",""?00;"",""?-00;"",""?00;"", //"""),"'","""")&amp;SUBSTITUTE(TEXT(IF(ISTEXT(Overig!X276),Overig!X276,10*Overig!X276),""",""????0;"",""???-0;"",""????0;"", ////"""),"'","""")&amp;SUBSTITUTE(TEXT(Overig!Y276,""",""?00;"",""?-00;"",""?00;"", //"""),"'","""")&amp;SUBSTITUTE(TEXT(IF(ISTEXT(Overig!Z276),Overig!Z276,10*Overig!Z276),""",""????0;"",""???-0;"",""????0;"", ////"""),"'","""")&amp;SUBSTITUTE(TEXT(Overig!AA276,""",""?00;"",""?-00;"",""?00;"", //"""),"'","""")&amp;SUBSTITUTE(TEXT(Overig!AB276,""",""???0;"",""??-0;"",""???0;"", ///"""),"'","""")&amp;SUBSTITUTE(TEXT(Overig!AC276,""",""?00;"",""?-00;"",""?00;"", //"""),"'","""")&amp;SUBSTITUTE(TEXT(IF(ISTEXT(Overig!AD276),Overig!AD276,10*Overig!AD276),""",""????0;"",""???-0;"",""????0;"", ////"""),"'","""")&amp;SUBSTITUTE(TEXT(Overig!AE276,""",""?00;"",""?-00;"",""?00;"", //"""),"'","""")&amp;SUBSTITUTE(TEXT(IF(ISTEXT(Overig!AF276),Overig!AF276,10*Overig!AF276),""",""????0;"",""???-0;"",""????0;"", ////"""),"'","""")&amp;SUBSTITUTE(TEXT(Overig!AG276,""",""?00;"",""?-00;"",""?00;"", //"""),"'","""")&amp;SUBSTITUTE(TEXT(Overig!AH276,""",""???0;"",""??-0;"",""???0;"", ///"""),"'","""")&amp;SUBSTITUTE(TEXT(Overig!AI276,""",""?00;"",""?-00;"",""?00;"", //"""),"'","""")&amp;SUBSTITUTE(TEXT(Overig!AJ276,""",""??0;"",""?-0;"",""??0;"", //"""),"'","""")&amp;SUBSTITUTE(TEXT(Overig!AK276,""",""?00;"",""?-00;"",""?00;"", //"""),"'","""")&amp;SUBSTITUTE(IF(EXACT(Overig!AL276,"—"),TEXT(Overig!AL276,""",""????0;"",""???-0;"",""????0;"", ////////////,"""),TEXT(Overig!AL276,"\, \'@""',""")&amp;REPT(" ",10-LEN(Overig!AL276))),"'","""")&amp;SUBSTITUTE(TEXT(Overig!AM276,"?00;?-00;?00;"" //"""),"'","""")&amp;SUBSTITUTE(TEXT(Overig!AN276,""",""???0;"",""??-0;"",""???0;"", ///"""),"'","""")&amp;SUBSTITUTE(TEXT(Overig!AO276,""",""?00;"",""?-00;"",""?00;"", //"""),"'","""")</f>
        <v>78989, 19131002, 0800, ////, 07, /////, 07, ////, 07, /////, 07, ////, 07, ////, 07, ////, 07, ////, 07, ///, 07, ///, 07, ////, 07, ////, 07, ///, 07, ////, 07, ////, 07, ///, 07, //, 07, ////////////, 07, ///, 07</v>
      </c>
    </row>
    <row r="277" spans="1:1" x14ac:dyDescent="0.25">
      <c r="A277" s="75" t="str">
        <f ca="1">TEXT(Overig!A277,"000\,")&amp;TEXT(Overig!B277,"?00000000")&amp;TEXT(Overig!C277,""", ""0000")&amp;SUBSTITUTE(TEXT(IF(ISTEXT(Overig!D277),Overig!D277,10*Overig!D277),""",""????0;"",""???-0;"",""????0;"", ////"""),"'","""")&amp;SUBSTITUTE(TEXT(Overig!E277,""",""?00;"",""?-00;"",""?00;"", //"""),"'","""")&amp;SUBSTITUTE(TEXT(IF(ISTEXT(Overig!F277),Overig!F277,100*Overig!F277),""",""?????0;"",""????-0;"",""?????0;"", /////"""),"'","""")&amp;SUBSTITUTE(TEXT(Overig!G277,""",""?00;"",""?-00;"",""?00;"", //"""),"'","""")&amp;SUBSTITUTE(TEXT(IF(ISTEXT(Overig!H277),Overig!H277,100*Overig!H277),""",""????0;"",""???-0;"",""????0;"", ////"""),"'","""")&amp;SUBSTITUTE(TEXT(Overig!I277,""",""?00;"",""?-00;"",""?00;"", //"""),"'","""")&amp;SUBSTITUTE(TEXT(IF(ISTEXT(Overig!J277),Overig!J277,100*Overig!J277),""",""?????0;"",""????-0;"",""?????0;"", /////"""),"'","""")&amp;SUBSTITUTE(TEXT(Overig!K277,""",""?00;"",""?-00;"",""?00;"", //"""),"'","""")&amp;SUBSTITUTE(TEXT(IF(ISTEXT(Overig!L277),Overig!L277,10*Overig!L277),""",""????0;"",""???-0;"",""????0;"", ////"""),"'","""")&amp;SUBSTITUTE(TEXT(Overig!M277,""",""?00;"",""?-00;"",""?00;"", //"""),"'","""")&amp;SUBSTITUTE(TEXT(IF(ISTEXT(Overig!N277),Overig!N277,10*Overig!N277),""",""????0;"",""???-0;"",""????0;"", ////"""),"'","""")&amp;SUBSTITUTE(TEXT(Overig!O277,""",""?00;"",""?-00;"",""?00;"", //"""),"'","""")&amp;SUBSTITUTE(TEXT(IF(ISTEXT(Overig!P277),Overig!P277,10*Overig!P277),""",""????0;"",""???-0;"",""????0;"", ////"""),"'","""")&amp;SUBSTITUTE(TEXT(Overig!Q277,""",""?00;"",""?-00;"",""?00;"", //"""),"'","""")&amp;SUBSTITUTE(TEXT(IF(ISTEXT(Overig!R277),Overig!R277,10*Overig!R277),""",""????0;"",""???-0;"",""????0;"", ////"""),"'","""")&amp;SUBSTITUTE(TEXT(Overig!S277,""",""?00;"",""?-00;"",""?00;"", //"""),"'","""")&amp;SUBSTITUTE(TEXT(Overig!T277,""",""???0;"",""??-0;"",""???0;"", ///"""),"'","""")&amp;SUBSTITUTE(TEXT(Overig!U277,""",""?00;"",""?-00;"",""?00;"", //"""),"'","""")&amp;SUBSTITUTE(TEXT(IF(ISTEXT(Overig!V277),Overig!V277,10*Overig!V277),""",""???0;"",""??-0;"",""???0;"", ///"""),"'","""")&amp;SUBSTITUTE(TEXT(Overig!W277,""",""?00;"",""?-00;"",""?00;"", //"""),"'","""")&amp;SUBSTITUTE(TEXT(IF(ISTEXT(Overig!X277),Overig!X277,10*Overig!X277),""",""????0;"",""???-0;"",""????0;"", ////"""),"'","""")&amp;SUBSTITUTE(TEXT(Overig!Y277,""",""?00;"",""?-00;"",""?00;"", //"""),"'","""")&amp;SUBSTITUTE(TEXT(IF(ISTEXT(Overig!Z277),Overig!Z277,10*Overig!Z277),""",""????0;"",""???-0;"",""????0;"", ////"""),"'","""")&amp;SUBSTITUTE(TEXT(Overig!AA277,""",""?00;"",""?-00;"",""?00;"", //"""),"'","""")&amp;SUBSTITUTE(TEXT(Overig!AB277,""",""???0;"",""??-0;"",""???0;"", ///"""),"'","""")&amp;SUBSTITUTE(TEXT(Overig!AC277,""",""?00;"",""?-00;"",""?00;"", //"""),"'","""")&amp;SUBSTITUTE(TEXT(IF(ISTEXT(Overig!AD277),Overig!AD277,10*Overig!AD277),""",""????0;"",""???-0;"",""????0;"", ////"""),"'","""")&amp;SUBSTITUTE(TEXT(Overig!AE277,""",""?00;"",""?-00;"",""?00;"", //"""),"'","""")&amp;SUBSTITUTE(TEXT(IF(ISTEXT(Overig!AF277),Overig!AF277,10*Overig!AF277),""",""????0;"",""???-0;"",""????0;"", ////"""),"'","""")&amp;SUBSTITUTE(TEXT(Overig!AG277,""",""?00;"",""?-00;"",""?00;"", //"""),"'","""")&amp;SUBSTITUTE(TEXT(Overig!AH277,""",""???0;"",""??-0;"",""???0;"", ///"""),"'","""")&amp;SUBSTITUTE(TEXT(Overig!AI277,""",""?00;"",""?-00;"",""?00;"", //"""),"'","""")&amp;SUBSTITUTE(TEXT(Overig!AJ277,""",""??0;"",""?-0;"",""??0;"", //"""),"'","""")&amp;SUBSTITUTE(TEXT(Overig!AK277,""",""?00;"",""?-00;"",""?00;"", //"""),"'","""")&amp;SUBSTITUTE(IF(EXACT(Overig!AL277,"—"),TEXT(Overig!AL277,""",""????0;"",""???-0;"",""????0;"", ////////////,"""),TEXT(Overig!AL277,"\, \'@""',""")&amp;REPT(" ",10-LEN(Overig!AL277))),"'","""")&amp;SUBSTITUTE(TEXT(Overig!AM277,"?00;?-00;?00;"" //"""),"'","""")&amp;SUBSTITUTE(TEXT(Overig!AN277,""",""???0;"",""??-0;"",""???0;"", ///"""),"'","""")&amp;SUBSTITUTE(TEXT(Overig!AO277,""",""?00;"",""?-00;"",""?00;"", //"""),"'","""")</f>
        <v>78989, 19131003, 0800, ////, 07, /////, 07, ////, 07, /////, 07, ////, 07, ////, 07, ////, 07, ////, 07, ///, 07, ///, 07, ////, 07, ////, 07, ///, 07, ////, 07, ////, 07, ///, 07, //, 07, ////////////, 07, ///, 07</v>
      </c>
    </row>
    <row r="278" spans="1:1" x14ac:dyDescent="0.25">
      <c r="A278" s="75" t="str">
        <f ca="1">TEXT(Overig!A278,"000\,")&amp;TEXT(Overig!B278,"?00000000")&amp;TEXT(Overig!C278,""", ""0000")&amp;SUBSTITUTE(TEXT(IF(ISTEXT(Overig!D278),Overig!D278,10*Overig!D278),""",""????0;"",""???-0;"",""????0;"", ////"""),"'","""")&amp;SUBSTITUTE(TEXT(Overig!E278,""",""?00;"",""?-00;"",""?00;"", //"""),"'","""")&amp;SUBSTITUTE(TEXT(IF(ISTEXT(Overig!F278),Overig!F278,100*Overig!F278),""",""?????0;"",""????-0;"",""?????0;"", /////"""),"'","""")&amp;SUBSTITUTE(TEXT(Overig!G278,""",""?00;"",""?-00;"",""?00;"", //"""),"'","""")&amp;SUBSTITUTE(TEXT(IF(ISTEXT(Overig!H278),Overig!H278,100*Overig!H278),""",""????0;"",""???-0;"",""????0;"", ////"""),"'","""")&amp;SUBSTITUTE(TEXT(Overig!I278,""",""?00;"",""?-00;"",""?00;"", //"""),"'","""")&amp;SUBSTITUTE(TEXT(IF(ISTEXT(Overig!J278),Overig!J278,100*Overig!J278),""",""?????0;"",""????-0;"",""?????0;"", /////"""),"'","""")&amp;SUBSTITUTE(TEXT(Overig!K278,""",""?00;"",""?-00;"",""?00;"", //"""),"'","""")&amp;SUBSTITUTE(TEXT(IF(ISTEXT(Overig!L278),Overig!L278,10*Overig!L278),""",""????0;"",""???-0;"",""????0;"", ////"""),"'","""")&amp;SUBSTITUTE(TEXT(Overig!M278,""",""?00;"",""?-00;"",""?00;"", //"""),"'","""")&amp;SUBSTITUTE(TEXT(IF(ISTEXT(Overig!N278),Overig!N278,10*Overig!N278),""",""????0;"",""???-0;"",""????0;"", ////"""),"'","""")&amp;SUBSTITUTE(TEXT(Overig!O278,""",""?00;"",""?-00;"",""?00;"", //"""),"'","""")&amp;SUBSTITUTE(TEXT(IF(ISTEXT(Overig!P278),Overig!P278,10*Overig!P278),""",""????0;"",""???-0;"",""????0;"", ////"""),"'","""")&amp;SUBSTITUTE(TEXT(Overig!Q278,""",""?00;"",""?-00;"",""?00;"", //"""),"'","""")&amp;SUBSTITUTE(TEXT(IF(ISTEXT(Overig!R278),Overig!R278,10*Overig!R278),""",""????0;"",""???-0;"",""????0;"", ////"""),"'","""")&amp;SUBSTITUTE(TEXT(Overig!S278,""",""?00;"",""?-00;"",""?00;"", //"""),"'","""")&amp;SUBSTITUTE(TEXT(Overig!T278,""",""???0;"",""??-0;"",""???0;"", ///"""),"'","""")&amp;SUBSTITUTE(TEXT(Overig!U278,""",""?00;"",""?-00;"",""?00;"", //"""),"'","""")&amp;SUBSTITUTE(TEXT(IF(ISTEXT(Overig!V278),Overig!V278,10*Overig!V278),""",""???0;"",""??-0;"",""???0;"", ///"""),"'","""")&amp;SUBSTITUTE(TEXT(Overig!W278,""",""?00;"",""?-00;"",""?00;"", //"""),"'","""")&amp;SUBSTITUTE(TEXT(IF(ISTEXT(Overig!X278),Overig!X278,10*Overig!X278),""",""????0;"",""???-0;"",""????0;"", ////"""),"'","""")&amp;SUBSTITUTE(TEXT(Overig!Y278,""",""?00;"",""?-00;"",""?00;"", //"""),"'","""")&amp;SUBSTITUTE(TEXT(IF(ISTEXT(Overig!Z278),Overig!Z278,10*Overig!Z278),""",""????0;"",""???-0;"",""????0;"", ////"""),"'","""")&amp;SUBSTITUTE(TEXT(Overig!AA278,""",""?00;"",""?-00;"",""?00;"", //"""),"'","""")&amp;SUBSTITUTE(TEXT(Overig!AB278,""",""???0;"",""??-0;"",""???0;"", ///"""),"'","""")&amp;SUBSTITUTE(TEXT(Overig!AC278,""",""?00;"",""?-00;"",""?00;"", //"""),"'","""")&amp;SUBSTITUTE(TEXT(IF(ISTEXT(Overig!AD278),Overig!AD278,10*Overig!AD278),""",""????0;"",""???-0;"",""????0;"", ////"""),"'","""")&amp;SUBSTITUTE(TEXT(Overig!AE278,""",""?00;"",""?-00;"",""?00;"", //"""),"'","""")&amp;SUBSTITUTE(TEXT(IF(ISTEXT(Overig!AF278),Overig!AF278,10*Overig!AF278),""",""????0;"",""???-0;"",""????0;"", ////"""),"'","""")&amp;SUBSTITUTE(TEXT(Overig!AG278,""",""?00;"",""?-00;"",""?00;"", //"""),"'","""")&amp;SUBSTITUTE(TEXT(Overig!AH278,""",""???0;"",""??-0;"",""???0;"", ///"""),"'","""")&amp;SUBSTITUTE(TEXT(Overig!AI278,""",""?00;"",""?-00;"",""?00;"", //"""),"'","""")&amp;SUBSTITUTE(TEXT(Overig!AJ278,""",""??0;"",""?-0;"",""??0;"", //"""),"'","""")&amp;SUBSTITUTE(TEXT(Overig!AK278,""",""?00;"",""?-00;"",""?00;"", //"""),"'","""")&amp;SUBSTITUTE(IF(EXACT(Overig!AL278,"—"),TEXT(Overig!AL278,""",""????0;"",""???-0;"",""????0;"", ////////////,"""),TEXT(Overig!AL278,"\, \'@""',""")&amp;REPT(" ",10-LEN(Overig!AL278))),"'","""")&amp;SUBSTITUTE(TEXT(Overig!AM278,"?00;?-00;?00;"" //"""),"'","""")&amp;SUBSTITUTE(TEXT(Overig!AN278,""",""???0;"",""??-0;"",""???0;"", ///"""),"'","""")&amp;SUBSTITUTE(TEXT(Overig!AO278,""",""?00;"",""?-00;"",""?00;"", //"""),"'","""")</f>
        <v>78989, 19131004, 0800, ////, 07, /////, 07, ////, 07, /////, 07, ////, 07, ////, 07, ////, 07, ////, 07, ///, 07, ///, 07, ////, 07, ////, 07, ///, 07, ////, 07, ////, 07, ///, 07, //, 07, ////////////, 07, ///, 07</v>
      </c>
    </row>
    <row r="279" spans="1:1" x14ac:dyDescent="0.25">
      <c r="A279" s="75" t="str">
        <f ca="1">TEXT(Overig!A279,"000\,")&amp;TEXT(Overig!B279,"?00000000")&amp;TEXT(Overig!C279,""", ""0000")&amp;SUBSTITUTE(TEXT(IF(ISTEXT(Overig!D279),Overig!D279,10*Overig!D279),""",""????0;"",""???-0;"",""????0;"", ////"""),"'","""")&amp;SUBSTITUTE(TEXT(Overig!E279,""",""?00;"",""?-00;"",""?00;"", //"""),"'","""")&amp;SUBSTITUTE(TEXT(IF(ISTEXT(Overig!F279),Overig!F279,100*Overig!F279),""",""?????0;"",""????-0;"",""?????0;"", /////"""),"'","""")&amp;SUBSTITUTE(TEXT(Overig!G279,""",""?00;"",""?-00;"",""?00;"", //"""),"'","""")&amp;SUBSTITUTE(TEXT(IF(ISTEXT(Overig!H279),Overig!H279,100*Overig!H279),""",""????0;"",""???-0;"",""????0;"", ////"""),"'","""")&amp;SUBSTITUTE(TEXT(Overig!I279,""",""?00;"",""?-00;"",""?00;"", //"""),"'","""")&amp;SUBSTITUTE(TEXT(IF(ISTEXT(Overig!J279),Overig!J279,100*Overig!J279),""",""?????0;"",""????-0;"",""?????0;"", /////"""),"'","""")&amp;SUBSTITUTE(TEXT(Overig!K279,""",""?00;"",""?-00;"",""?00;"", //"""),"'","""")&amp;SUBSTITUTE(TEXT(IF(ISTEXT(Overig!L279),Overig!L279,10*Overig!L279),""",""????0;"",""???-0;"",""????0;"", ////"""),"'","""")&amp;SUBSTITUTE(TEXT(Overig!M279,""",""?00;"",""?-00;"",""?00;"", //"""),"'","""")&amp;SUBSTITUTE(TEXT(IF(ISTEXT(Overig!N279),Overig!N279,10*Overig!N279),""",""????0;"",""???-0;"",""????0;"", ////"""),"'","""")&amp;SUBSTITUTE(TEXT(Overig!O279,""",""?00;"",""?-00;"",""?00;"", //"""),"'","""")&amp;SUBSTITUTE(TEXT(IF(ISTEXT(Overig!P279),Overig!P279,10*Overig!P279),""",""????0;"",""???-0;"",""????0;"", ////"""),"'","""")&amp;SUBSTITUTE(TEXT(Overig!Q279,""",""?00;"",""?-00;"",""?00;"", //"""),"'","""")&amp;SUBSTITUTE(TEXT(IF(ISTEXT(Overig!R279),Overig!R279,10*Overig!R279),""",""????0;"",""???-0;"",""????0;"", ////"""),"'","""")&amp;SUBSTITUTE(TEXT(Overig!S279,""",""?00;"",""?-00;"",""?00;"", //"""),"'","""")&amp;SUBSTITUTE(TEXT(Overig!T279,""",""???0;"",""??-0;"",""???0;"", ///"""),"'","""")&amp;SUBSTITUTE(TEXT(Overig!U279,""",""?00;"",""?-00;"",""?00;"", //"""),"'","""")&amp;SUBSTITUTE(TEXT(IF(ISTEXT(Overig!V279),Overig!V279,10*Overig!V279),""",""???0;"",""??-0;"",""???0;"", ///"""),"'","""")&amp;SUBSTITUTE(TEXT(Overig!W279,""",""?00;"",""?-00;"",""?00;"", //"""),"'","""")&amp;SUBSTITUTE(TEXT(IF(ISTEXT(Overig!X279),Overig!X279,10*Overig!X279),""",""????0;"",""???-0;"",""????0;"", ////"""),"'","""")&amp;SUBSTITUTE(TEXT(Overig!Y279,""",""?00;"",""?-00;"",""?00;"", //"""),"'","""")&amp;SUBSTITUTE(TEXT(IF(ISTEXT(Overig!Z279),Overig!Z279,10*Overig!Z279),""",""????0;"",""???-0;"",""????0;"", ////"""),"'","""")&amp;SUBSTITUTE(TEXT(Overig!AA279,""",""?00;"",""?-00;"",""?00;"", //"""),"'","""")&amp;SUBSTITUTE(TEXT(Overig!AB279,""",""???0;"",""??-0;"",""???0;"", ///"""),"'","""")&amp;SUBSTITUTE(TEXT(Overig!AC279,""",""?00;"",""?-00;"",""?00;"", //"""),"'","""")&amp;SUBSTITUTE(TEXT(IF(ISTEXT(Overig!AD279),Overig!AD279,10*Overig!AD279),""",""????0;"",""???-0;"",""????0;"", ////"""),"'","""")&amp;SUBSTITUTE(TEXT(Overig!AE279,""",""?00;"",""?-00;"",""?00;"", //"""),"'","""")&amp;SUBSTITUTE(TEXT(IF(ISTEXT(Overig!AF279),Overig!AF279,10*Overig!AF279),""",""????0;"",""???-0;"",""????0;"", ////"""),"'","""")&amp;SUBSTITUTE(TEXT(Overig!AG279,""",""?00;"",""?-00;"",""?00;"", //"""),"'","""")&amp;SUBSTITUTE(TEXT(Overig!AH279,""",""???0;"",""??-0;"",""???0;"", ///"""),"'","""")&amp;SUBSTITUTE(TEXT(Overig!AI279,""",""?00;"",""?-00;"",""?00;"", //"""),"'","""")&amp;SUBSTITUTE(TEXT(Overig!AJ279,""",""??0;"",""?-0;"",""??0;"", //"""),"'","""")&amp;SUBSTITUTE(TEXT(Overig!AK279,""",""?00;"",""?-00;"",""?00;"", //"""),"'","""")&amp;SUBSTITUTE(IF(EXACT(Overig!AL279,"—"),TEXT(Overig!AL279,""",""????0;"",""???-0;"",""????0;"", ////////////,"""),TEXT(Overig!AL279,"\, \'@""',""")&amp;REPT(" ",10-LEN(Overig!AL279))),"'","""")&amp;SUBSTITUTE(TEXT(Overig!AM279,"?00;?-00;?00;"" //"""),"'","""")&amp;SUBSTITUTE(TEXT(Overig!AN279,""",""???0;"",""??-0;"",""???0;"", ///"""),"'","""")&amp;SUBSTITUTE(TEXT(Overig!AO279,""",""?00;"",""?-00;"",""?00;"", //"""),"'","""")</f>
        <v>78989, 19131005, 0800, ////, 07, /////, 07, ////, 07, /////, 07, 7595, 00, ////, 07, ////, 07, ////, 07, ///, 07, ///, 07, ////, 07, ////, 07,  90, 00, ////, 07, ////, 07, ///, 07, //, 07, ////////////, 07, ///, 07</v>
      </c>
    </row>
    <row r="280" spans="1:1" x14ac:dyDescent="0.25">
      <c r="A280" s="75" t="str">
        <f ca="1">TEXT(Overig!A280,"000\,")&amp;TEXT(Overig!B280,"?00000000")&amp;TEXT(Overig!C280,""", ""0000")&amp;SUBSTITUTE(TEXT(IF(ISTEXT(Overig!D280),Overig!D280,10*Overig!D280),""",""????0;"",""???-0;"",""????0;"", ////"""),"'","""")&amp;SUBSTITUTE(TEXT(Overig!E280,""",""?00;"",""?-00;"",""?00;"", //"""),"'","""")&amp;SUBSTITUTE(TEXT(IF(ISTEXT(Overig!F280),Overig!F280,100*Overig!F280),""",""?????0;"",""????-0;"",""?????0;"", /////"""),"'","""")&amp;SUBSTITUTE(TEXT(Overig!G280,""",""?00;"",""?-00;"",""?00;"", //"""),"'","""")&amp;SUBSTITUTE(TEXT(IF(ISTEXT(Overig!H280),Overig!H280,100*Overig!H280),""",""????0;"",""???-0;"",""????0;"", ////"""),"'","""")&amp;SUBSTITUTE(TEXT(Overig!I280,""",""?00;"",""?-00;"",""?00;"", //"""),"'","""")&amp;SUBSTITUTE(TEXT(IF(ISTEXT(Overig!J280),Overig!J280,100*Overig!J280),""",""?????0;"",""????-0;"",""?????0;"", /////"""),"'","""")&amp;SUBSTITUTE(TEXT(Overig!K280,""",""?00;"",""?-00;"",""?00;"", //"""),"'","""")&amp;SUBSTITUTE(TEXT(IF(ISTEXT(Overig!L280),Overig!L280,10*Overig!L280),""",""????0;"",""???-0;"",""????0;"", ////"""),"'","""")&amp;SUBSTITUTE(TEXT(Overig!M280,""",""?00;"",""?-00;"",""?00;"", //"""),"'","""")&amp;SUBSTITUTE(TEXT(IF(ISTEXT(Overig!N280),Overig!N280,10*Overig!N280),""",""????0;"",""???-0;"",""????0;"", ////"""),"'","""")&amp;SUBSTITUTE(TEXT(Overig!O280,""",""?00;"",""?-00;"",""?00;"", //"""),"'","""")&amp;SUBSTITUTE(TEXT(IF(ISTEXT(Overig!P280),Overig!P280,10*Overig!P280),""",""????0;"",""???-0;"",""????0;"", ////"""),"'","""")&amp;SUBSTITUTE(TEXT(Overig!Q280,""",""?00;"",""?-00;"",""?00;"", //"""),"'","""")&amp;SUBSTITUTE(TEXT(IF(ISTEXT(Overig!R280),Overig!R280,10*Overig!R280),""",""????0;"",""???-0;"",""????0;"", ////"""),"'","""")&amp;SUBSTITUTE(TEXT(Overig!S280,""",""?00;"",""?-00;"",""?00;"", //"""),"'","""")&amp;SUBSTITUTE(TEXT(Overig!T280,""",""???0;"",""??-0;"",""???0;"", ///"""),"'","""")&amp;SUBSTITUTE(TEXT(Overig!U280,""",""?00;"",""?-00;"",""?00;"", //"""),"'","""")&amp;SUBSTITUTE(TEXT(IF(ISTEXT(Overig!V280),Overig!V280,10*Overig!V280),""",""???0;"",""??-0;"",""???0;"", ///"""),"'","""")&amp;SUBSTITUTE(TEXT(Overig!W280,""",""?00;"",""?-00;"",""?00;"", //"""),"'","""")&amp;SUBSTITUTE(TEXT(IF(ISTEXT(Overig!X280),Overig!X280,10*Overig!X280),""",""????0;"",""???-0;"",""????0;"", ////"""),"'","""")&amp;SUBSTITUTE(TEXT(Overig!Y280,""",""?00;"",""?-00;"",""?00;"", //"""),"'","""")&amp;SUBSTITUTE(TEXT(IF(ISTEXT(Overig!Z280),Overig!Z280,10*Overig!Z280),""",""????0;"",""???-0;"",""????0;"", ////"""),"'","""")&amp;SUBSTITUTE(TEXT(Overig!AA280,""",""?00;"",""?-00;"",""?00;"", //"""),"'","""")&amp;SUBSTITUTE(TEXT(Overig!AB280,""",""???0;"",""??-0;"",""???0;"", ///"""),"'","""")&amp;SUBSTITUTE(TEXT(Overig!AC280,""",""?00;"",""?-00;"",""?00;"", //"""),"'","""")&amp;SUBSTITUTE(TEXT(IF(ISTEXT(Overig!AD280),Overig!AD280,10*Overig!AD280),""",""????0;"",""???-0;"",""????0;"", ////"""),"'","""")&amp;SUBSTITUTE(TEXT(Overig!AE280,""",""?00;"",""?-00;"",""?00;"", //"""),"'","""")&amp;SUBSTITUTE(TEXT(IF(ISTEXT(Overig!AF280),Overig!AF280,10*Overig!AF280),""",""????0;"",""???-0;"",""????0;"", ////"""),"'","""")&amp;SUBSTITUTE(TEXT(Overig!AG280,""",""?00;"",""?-00;"",""?00;"", //"""),"'","""")&amp;SUBSTITUTE(TEXT(Overig!AH280,""",""???0;"",""??-0;"",""???0;"", ///"""),"'","""")&amp;SUBSTITUTE(TEXT(Overig!AI280,""",""?00;"",""?-00;"",""?00;"", //"""),"'","""")&amp;SUBSTITUTE(TEXT(Overig!AJ280,""",""??0;"",""?-0;"",""??0;"", //"""),"'","""")&amp;SUBSTITUTE(TEXT(Overig!AK280,""",""?00;"",""?-00;"",""?00;"", //"""),"'","""")&amp;SUBSTITUTE(IF(EXACT(Overig!AL280,"—"),TEXT(Overig!AL280,""",""????0;"",""???-0;"",""????0;"", ////////////,"""),TEXT(Overig!AL280,"\, \'@""',""")&amp;REPT(" ",10-LEN(Overig!AL280))),"'","""")&amp;SUBSTITUTE(TEXT(Overig!AM280,"?00;?-00;?00;"" //"""),"'","""")&amp;SUBSTITUTE(TEXT(Overig!AN280,""",""???0;"",""??-0;"",""???0;"", ///"""),"'","""")&amp;SUBSTITUTE(TEXT(Overig!AO280,""",""?00;"",""?-00;"",""?00;"", //"""),"'","""")</f>
        <v>78989, 19131006, 0800, ////, 07, /////, 07, ////, 07, /////, 07, 7595, 00, ////, 07, ////, 07, ////, 07, ///, 07, ///, 07, ////, 07, ////, 07,  90, 00, ////, 07, ////, 07, ///, 07, //, 07, ////////////, 07, ///, 07</v>
      </c>
    </row>
    <row r="281" spans="1:1" x14ac:dyDescent="0.25">
      <c r="A281" s="75" t="str">
        <f ca="1">TEXT(Overig!A281,"000\,")&amp;TEXT(Overig!B281,"?00000000")&amp;TEXT(Overig!C281,""", ""0000")&amp;SUBSTITUTE(TEXT(IF(ISTEXT(Overig!D281),Overig!D281,10*Overig!D281),""",""????0;"",""???-0;"",""????0;"", ////"""),"'","""")&amp;SUBSTITUTE(TEXT(Overig!E281,""",""?00;"",""?-00;"",""?00;"", //"""),"'","""")&amp;SUBSTITUTE(TEXT(IF(ISTEXT(Overig!F281),Overig!F281,100*Overig!F281),""",""?????0;"",""????-0;"",""?????0;"", /////"""),"'","""")&amp;SUBSTITUTE(TEXT(Overig!G281,""",""?00;"",""?-00;"",""?00;"", //"""),"'","""")&amp;SUBSTITUTE(TEXT(IF(ISTEXT(Overig!H281),Overig!H281,100*Overig!H281),""",""????0;"",""???-0;"",""????0;"", ////"""),"'","""")&amp;SUBSTITUTE(TEXT(Overig!I281,""",""?00;"",""?-00;"",""?00;"", //"""),"'","""")&amp;SUBSTITUTE(TEXT(IF(ISTEXT(Overig!J281),Overig!J281,100*Overig!J281),""",""?????0;"",""????-0;"",""?????0;"", /////"""),"'","""")&amp;SUBSTITUTE(TEXT(Overig!K281,""",""?00;"",""?-00;"",""?00;"", //"""),"'","""")&amp;SUBSTITUTE(TEXT(IF(ISTEXT(Overig!L281),Overig!L281,10*Overig!L281),""",""????0;"",""???-0;"",""????0;"", ////"""),"'","""")&amp;SUBSTITUTE(TEXT(Overig!M281,""",""?00;"",""?-00;"",""?00;"", //"""),"'","""")&amp;SUBSTITUTE(TEXT(IF(ISTEXT(Overig!N281),Overig!N281,10*Overig!N281),""",""????0;"",""???-0;"",""????0;"", ////"""),"'","""")&amp;SUBSTITUTE(TEXT(Overig!O281,""",""?00;"",""?-00;"",""?00;"", //"""),"'","""")&amp;SUBSTITUTE(TEXT(IF(ISTEXT(Overig!P281),Overig!P281,10*Overig!P281),""",""????0;"",""???-0;"",""????0;"", ////"""),"'","""")&amp;SUBSTITUTE(TEXT(Overig!Q281,""",""?00;"",""?-00;"",""?00;"", //"""),"'","""")&amp;SUBSTITUTE(TEXT(IF(ISTEXT(Overig!R281),Overig!R281,10*Overig!R281),""",""????0;"",""???-0;"",""????0;"", ////"""),"'","""")&amp;SUBSTITUTE(TEXT(Overig!S281,""",""?00;"",""?-00;"",""?00;"", //"""),"'","""")&amp;SUBSTITUTE(TEXT(Overig!T281,""",""???0;"",""??-0;"",""???0;"", ///"""),"'","""")&amp;SUBSTITUTE(TEXT(Overig!U281,""",""?00;"",""?-00;"",""?00;"", //"""),"'","""")&amp;SUBSTITUTE(TEXT(IF(ISTEXT(Overig!V281),Overig!V281,10*Overig!V281),""",""???0;"",""??-0;"",""???0;"", ///"""),"'","""")&amp;SUBSTITUTE(TEXT(Overig!W281,""",""?00;"",""?-00;"",""?00;"", //"""),"'","""")&amp;SUBSTITUTE(TEXT(IF(ISTEXT(Overig!X281),Overig!X281,10*Overig!X281),""",""????0;"",""???-0;"",""????0;"", ////"""),"'","""")&amp;SUBSTITUTE(TEXT(Overig!Y281,""",""?00;"",""?-00;"",""?00;"", //"""),"'","""")&amp;SUBSTITUTE(TEXT(IF(ISTEXT(Overig!Z281),Overig!Z281,10*Overig!Z281),""",""????0;"",""???-0;"",""????0;"", ////"""),"'","""")&amp;SUBSTITUTE(TEXT(Overig!AA281,""",""?00;"",""?-00;"",""?00;"", //"""),"'","""")&amp;SUBSTITUTE(TEXT(Overig!AB281,""",""???0;"",""??-0;"",""???0;"", ///"""),"'","""")&amp;SUBSTITUTE(TEXT(Overig!AC281,""",""?00;"",""?-00;"",""?00;"", //"""),"'","""")&amp;SUBSTITUTE(TEXT(IF(ISTEXT(Overig!AD281),Overig!AD281,10*Overig!AD281),""",""????0;"",""???-0;"",""????0;"", ////"""),"'","""")&amp;SUBSTITUTE(TEXT(Overig!AE281,""",""?00;"",""?-00;"",""?00;"", //"""),"'","""")&amp;SUBSTITUTE(TEXT(IF(ISTEXT(Overig!AF281),Overig!AF281,10*Overig!AF281),""",""????0;"",""???-0;"",""????0;"", ////"""),"'","""")&amp;SUBSTITUTE(TEXT(Overig!AG281,""",""?00;"",""?-00;"",""?00;"", //"""),"'","""")&amp;SUBSTITUTE(TEXT(Overig!AH281,""",""???0;"",""??-0;"",""???0;"", ///"""),"'","""")&amp;SUBSTITUTE(TEXT(Overig!AI281,""",""?00;"",""?-00;"",""?00;"", //"""),"'","""")&amp;SUBSTITUTE(TEXT(Overig!AJ281,""",""??0;"",""?-0;"",""??0;"", //"""),"'","""")&amp;SUBSTITUTE(TEXT(Overig!AK281,""",""?00;"",""?-00;"",""?00;"", //"""),"'","""")&amp;SUBSTITUTE(IF(EXACT(Overig!AL281,"—"),TEXT(Overig!AL281,""",""????0;"",""???-0;"",""????0;"", ////////////,"""),TEXT(Overig!AL281,"\, \'@""',""")&amp;REPT(" ",10-LEN(Overig!AL281))),"'","""")&amp;SUBSTITUTE(TEXT(Overig!AM281,"?00;?-00;?00;"" //"""),"'","""")&amp;SUBSTITUTE(TEXT(Overig!AN281,""",""???0;"",""??-0;"",""???0;"", ///"""),"'","""")&amp;SUBSTITUTE(TEXT(Overig!AO281,""",""?00;"",""?-00;"",""?00;"", //"""),"'","""")</f>
        <v>78989, 19131007, 0800, ////, 07, /////, 07, ////, 07, /////, 07, ////, 07, ////, 07, ////, 07, ////, 07, ///, 07, ///, 07, ////, 07, ////, 07, ///, 07, ////, 07, ////, 07, ///, 07, //, 07, ////////////, 07, ///, 07</v>
      </c>
    </row>
    <row r="282" spans="1:1" x14ac:dyDescent="0.25">
      <c r="A282" s="75" t="str">
        <f ca="1">TEXT(Overig!A282,"000\,")&amp;TEXT(Overig!B282,"?00000000")&amp;TEXT(Overig!C282,""", ""0000")&amp;SUBSTITUTE(TEXT(IF(ISTEXT(Overig!D282),Overig!D282,10*Overig!D282),""",""????0;"",""???-0;"",""????0;"", ////"""),"'","""")&amp;SUBSTITUTE(TEXT(Overig!E282,""",""?00;"",""?-00;"",""?00;"", //"""),"'","""")&amp;SUBSTITUTE(TEXT(IF(ISTEXT(Overig!F282),Overig!F282,100*Overig!F282),""",""?????0;"",""????-0;"",""?????0;"", /////"""),"'","""")&amp;SUBSTITUTE(TEXT(Overig!G282,""",""?00;"",""?-00;"",""?00;"", //"""),"'","""")&amp;SUBSTITUTE(TEXT(IF(ISTEXT(Overig!H282),Overig!H282,100*Overig!H282),""",""????0;"",""???-0;"",""????0;"", ////"""),"'","""")&amp;SUBSTITUTE(TEXT(Overig!I282,""",""?00;"",""?-00;"",""?00;"", //"""),"'","""")&amp;SUBSTITUTE(TEXT(IF(ISTEXT(Overig!J282),Overig!J282,100*Overig!J282),""",""?????0;"",""????-0;"",""?????0;"", /////"""),"'","""")&amp;SUBSTITUTE(TEXT(Overig!K282,""",""?00;"",""?-00;"",""?00;"", //"""),"'","""")&amp;SUBSTITUTE(TEXT(IF(ISTEXT(Overig!L282),Overig!L282,10*Overig!L282),""",""????0;"",""???-0;"",""????0;"", ////"""),"'","""")&amp;SUBSTITUTE(TEXT(Overig!M282,""",""?00;"",""?-00;"",""?00;"", //"""),"'","""")&amp;SUBSTITUTE(TEXT(IF(ISTEXT(Overig!N282),Overig!N282,10*Overig!N282),""",""????0;"",""???-0;"",""????0;"", ////"""),"'","""")&amp;SUBSTITUTE(TEXT(Overig!O282,""",""?00;"",""?-00;"",""?00;"", //"""),"'","""")&amp;SUBSTITUTE(TEXT(IF(ISTEXT(Overig!P282),Overig!P282,10*Overig!P282),""",""????0;"",""???-0;"",""????0;"", ////"""),"'","""")&amp;SUBSTITUTE(TEXT(Overig!Q282,""",""?00;"",""?-00;"",""?00;"", //"""),"'","""")&amp;SUBSTITUTE(TEXT(IF(ISTEXT(Overig!R282),Overig!R282,10*Overig!R282),""",""????0;"",""???-0;"",""????0;"", ////"""),"'","""")&amp;SUBSTITUTE(TEXT(Overig!S282,""",""?00;"",""?-00;"",""?00;"", //"""),"'","""")&amp;SUBSTITUTE(TEXT(Overig!T282,""",""???0;"",""??-0;"",""???0;"", ///"""),"'","""")&amp;SUBSTITUTE(TEXT(Overig!U282,""",""?00;"",""?-00;"",""?00;"", //"""),"'","""")&amp;SUBSTITUTE(TEXT(IF(ISTEXT(Overig!V282),Overig!V282,10*Overig!V282),""",""???0;"",""??-0;"",""???0;"", ///"""),"'","""")&amp;SUBSTITUTE(TEXT(Overig!W282,""",""?00;"",""?-00;"",""?00;"", //"""),"'","""")&amp;SUBSTITUTE(TEXT(IF(ISTEXT(Overig!X282),Overig!X282,10*Overig!X282),""",""????0;"",""???-0;"",""????0;"", ////"""),"'","""")&amp;SUBSTITUTE(TEXT(Overig!Y282,""",""?00;"",""?-00;"",""?00;"", //"""),"'","""")&amp;SUBSTITUTE(TEXT(IF(ISTEXT(Overig!Z282),Overig!Z282,10*Overig!Z282),""",""????0;"",""???-0;"",""????0;"", ////"""),"'","""")&amp;SUBSTITUTE(TEXT(Overig!AA282,""",""?00;"",""?-00;"",""?00;"", //"""),"'","""")&amp;SUBSTITUTE(TEXT(Overig!AB282,""",""???0;"",""??-0;"",""???0;"", ///"""),"'","""")&amp;SUBSTITUTE(TEXT(Overig!AC282,""",""?00;"",""?-00;"",""?00;"", //"""),"'","""")&amp;SUBSTITUTE(TEXT(IF(ISTEXT(Overig!AD282),Overig!AD282,10*Overig!AD282),""",""????0;"",""???-0;"",""????0;"", ////"""),"'","""")&amp;SUBSTITUTE(TEXT(Overig!AE282,""",""?00;"",""?-00;"",""?00;"", //"""),"'","""")&amp;SUBSTITUTE(TEXT(IF(ISTEXT(Overig!AF282),Overig!AF282,10*Overig!AF282),""",""????0;"",""???-0;"",""????0;"", ////"""),"'","""")&amp;SUBSTITUTE(TEXT(Overig!AG282,""",""?00;"",""?-00;"",""?00;"", //"""),"'","""")&amp;SUBSTITUTE(TEXT(Overig!AH282,""",""???0;"",""??-0;"",""???0;"", ///"""),"'","""")&amp;SUBSTITUTE(TEXT(Overig!AI282,""",""?00;"",""?-00;"",""?00;"", //"""),"'","""")&amp;SUBSTITUTE(TEXT(Overig!AJ282,""",""??0;"",""?-0;"",""??0;"", //"""),"'","""")&amp;SUBSTITUTE(TEXT(Overig!AK282,""",""?00;"",""?-00;"",""?00;"", //"""),"'","""")&amp;SUBSTITUTE(IF(EXACT(Overig!AL282,"—"),TEXT(Overig!AL282,""",""????0;"",""???-0;"",""????0;"", ////////////,"""),TEXT(Overig!AL282,"\, \'@""',""")&amp;REPT(" ",10-LEN(Overig!AL282))),"'","""")&amp;SUBSTITUTE(TEXT(Overig!AM282,"?00;?-00;?00;"" //"""),"'","""")&amp;SUBSTITUTE(TEXT(Overig!AN282,""",""???0;"",""??-0;"",""???0;"", ///"""),"'","""")&amp;SUBSTITUTE(TEXT(Overig!AO282,""",""?00;"",""?-00;"",""?00;"", //"""),"'","""")</f>
        <v>78989, 19131008, 0800, ////, 07, /////, 07, ////, 07, /////, 07, 7584, 00, ////, 07, ////, 07, ////, 07, ///, 07, ///, 07, ////, 07, ////, 07,  90, 00, ////, 07, ////, 07, ///, 07, //, 07, ////////////, 07, ///, 07</v>
      </c>
    </row>
    <row r="283" spans="1:1" x14ac:dyDescent="0.25">
      <c r="A283" s="75" t="str">
        <f ca="1">TEXT(Overig!A283,"000\,")&amp;TEXT(Overig!B283,"?00000000")&amp;TEXT(Overig!C283,""", ""0000")&amp;SUBSTITUTE(TEXT(IF(ISTEXT(Overig!D283),Overig!D283,10*Overig!D283),""",""????0;"",""???-0;"",""????0;"", ////"""),"'","""")&amp;SUBSTITUTE(TEXT(Overig!E283,""",""?00;"",""?-00;"",""?00;"", //"""),"'","""")&amp;SUBSTITUTE(TEXT(IF(ISTEXT(Overig!F283),Overig!F283,100*Overig!F283),""",""?????0;"",""????-0;"",""?????0;"", /////"""),"'","""")&amp;SUBSTITUTE(TEXT(Overig!G283,""",""?00;"",""?-00;"",""?00;"", //"""),"'","""")&amp;SUBSTITUTE(TEXT(IF(ISTEXT(Overig!H283),Overig!H283,100*Overig!H283),""",""????0;"",""???-0;"",""????0;"", ////"""),"'","""")&amp;SUBSTITUTE(TEXT(Overig!I283,""",""?00;"",""?-00;"",""?00;"", //"""),"'","""")&amp;SUBSTITUTE(TEXT(IF(ISTEXT(Overig!J283),Overig!J283,100*Overig!J283),""",""?????0;"",""????-0;"",""?????0;"", /////"""),"'","""")&amp;SUBSTITUTE(TEXT(Overig!K283,""",""?00;"",""?-00;"",""?00;"", //"""),"'","""")&amp;SUBSTITUTE(TEXT(IF(ISTEXT(Overig!L283),Overig!L283,10*Overig!L283),""",""????0;"",""???-0;"",""????0;"", ////"""),"'","""")&amp;SUBSTITUTE(TEXT(Overig!M283,""",""?00;"",""?-00;"",""?00;"", //"""),"'","""")&amp;SUBSTITUTE(TEXT(IF(ISTEXT(Overig!N283),Overig!N283,10*Overig!N283),""",""????0;"",""???-0;"",""????0;"", ////"""),"'","""")&amp;SUBSTITUTE(TEXT(Overig!O283,""",""?00;"",""?-00;"",""?00;"", //"""),"'","""")&amp;SUBSTITUTE(TEXT(IF(ISTEXT(Overig!P283),Overig!P283,10*Overig!P283),""",""????0;"",""???-0;"",""????0;"", ////"""),"'","""")&amp;SUBSTITUTE(TEXT(Overig!Q283,""",""?00;"",""?-00;"",""?00;"", //"""),"'","""")&amp;SUBSTITUTE(TEXT(IF(ISTEXT(Overig!R283),Overig!R283,10*Overig!R283),""",""????0;"",""???-0;"",""????0;"", ////"""),"'","""")&amp;SUBSTITUTE(TEXT(Overig!S283,""",""?00;"",""?-00;"",""?00;"", //"""),"'","""")&amp;SUBSTITUTE(TEXT(Overig!T283,""",""???0;"",""??-0;"",""???0;"", ///"""),"'","""")&amp;SUBSTITUTE(TEXT(Overig!U283,""",""?00;"",""?-00;"",""?00;"", //"""),"'","""")&amp;SUBSTITUTE(TEXT(IF(ISTEXT(Overig!V283),Overig!V283,10*Overig!V283),""",""???0;"",""??-0;"",""???0;"", ///"""),"'","""")&amp;SUBSTITUTE(TEXT(Overig!W283,""",""?00;"",""?-00;"",""?00;"", //"""),"'","""")&amp;SUBSTITUTE(TEXT(IF(ISTEXT(Overig!X283),Overig!X283,10*Overig!X283),""",""????0;"",""???-0;"",""????0;"", ////"""),"'","""")&amp;SUBSTITUTE(TEXT(Overig!Y283,""",""?00;"",""?-00;"",""?00;"", //"""),"'","""")&amp;SUBSTITUTE(TEXT(IF(ISTEXT(Overig!Z283),Overig!Z283,10*Overig!Z283),""",""????0;"",""???-0;"",""????0;"", ////"""),"'","""")&amp;SUBSTITUTE(TEXT(Overig!AA283,""",""?00;"",""?-00;"",""?00;"", //"""),"'","""")&amp;SUBSTITUTE(TEXT(Overig!AB283,""",""???0;"",""??-0;"",""???0;"", ///"""),"'","""")&amp;SUBSTITUTE(TEXT(Overig!AC283,""",""?00;"",""?-00;"",""?00;"", //"""),"'","""")&amp;SUBSTITUTE(TEXT(IF(ISTEXT(Overig!AD283),Overig!AD283,10*Overig!AD283),""",""????0;"",""???-0;"",""????0;"", ////"""),"'","""")&amp;SUBSTITUTE(TEXT(Overig!AE283,""",""?00;"",""?-00;"",""?00;"", //"""),"'","""")&amp;SUBSTITUTE(TEXT(IF(ISTEXT(Overig!AF283),Overig!AF283,10*Overig!AF283),""",""????0;"",""???-0;"",""????0;"", ////"""),"'","""")&amp;SUBSTITUTE(TEXT(Overig!AG283,""",""?00;"",""?-00;"",""?00;"", //"""),"'","""")&amp;SUBSTITUTE(TEXT(Overig!AH283,""",""???0;"",""??-0;"",""???0;"", ///"""),"'","""")&amp;SUBSTITUTE(TEXT(Overig!AI283,""",""?00;"",""?-00;"",""?00;"", //"""),"'","""")&amp;SUBSTITUTE(TEXT(Overig!AJ283,""",""??0;"",""?-0;"",""??0;"", //"""),"'","""")&amp;SUBSTITUTE(TEXT(Overig!AK283,""",""?00;"",""?-00;"",""?00;"", //"""),"'","""")&amp;SUBSTITUTE(IF(EXACT(Overig!AL283,"—"),TEXT(Overig!AL283,""",""????0;"",""???-0;"",""????0;"", ////////////,"""),TEXT(Overig!AL283,"\, \'@""',""")&amp;REPT(" ",10-LEN(Overig!AL283))),"'","""")&amp;SUBSTITUTE(TEXT(Overig!AM283,"?00;?-00;?00;"" //"""),"'","""")&amp;SUBSTITUTE(TEXT(Overig!AN283,""",""???0;"",""??-0;"",""???0;"", ///"""),"'","""")&amp;SUBSTITUTE(TEXT(Overig!AO283,""",""?00;"",""?-00;"",""?00;"", //"""),"'","""")</f>
        <v>78989, 19131009, 0800, ////, 07, /////, 07, ////, 07, /////, 07, 7590, 00, ////, 07, ////, 07, ////, 07, ///, 07, ///, 07, ////, 07, ////, 07,  90, 00, ////, 07, ////, 07, ///, 07, //, 07, ////////////, 07, ///, 07</v>
      </c>
    </row>
    <row r="284" spans="1:1" x14ac:dyDescent="0.25">
      <c r="A284" s="75" t="str">
        <f ca="1">TEXT(Overig!A284,"000\,")&amp;TEXT(Overig!B284,"?00000000")&amp;TEXT(Overig!C284,""", ""0000")&amp;SUBSTITUTE(TEXT(IF(ISTEXT(Overig!D284),Overig!D284,10*Overig!D284),""",""????0;"",""???-0;"",""????0;"", ////"""),"'","""")&amp;SUBSTITUTE(TEXT(Overig!E284,""",""?00;"",""?-00;"",""?00;"", //"""),"'","""")&amp;SUBSTITUTE(TEXT(IF(ISTEXT(Overig!F284),Overig!F284,100*Overig!F284),""",""?????0;"",""????-0;"",""?????0;"", /////"""),"'","""")&amp;SUBSTITUTE(TEXT(Overig!G284,""",""?00;"",""?-00;"",""?00;"", //"""),"'","""")&amp;SUBSTITUTE(TEXT(IF(ISTEXT(Overig!H284),Overig!H284,100*Overig!H284),""",""????0;"",""???-0;"",""????0;"", ////"""),"'","""")&amp;SUBSTITUTE(TEXT(Overig!I284,""",""?00;"",""?-00;"",""?00;"", //"""),"'","""")&amp;SUBSTITUTE(TEXT(IF(ISTEXT(Overig!J284),Overig!J284,100*Overig!J284),""",""?????0;"",""????-0;"",""?????0;"", /////"""),"'","""")&amp;SUBSTITUTE(TEXT(Overig!K284,""",""?00;"",""?-00;"",""?00;"", //"""),"'","""")&amp;SUBSTITUTE(TEXT(IF(ISTEXT(Overig!L284),Overig!L284,10*Overig!L284),""",""????0;"",""???-0;"",""????0;"", ////"""),"'","""")&amp;SUBSTITUTE(TEXT(Overig!M284,""",""?00;"",""?-00;"",""?00;"", //"""),"'","""")&amp;SUBSTITUTE(TEXT(IF(ISTEXT(Overig!N284),Overig!N284,10*Overig!N284),""",""????0;"",""???-0;"",""????0;"", ////"""),"'","""")&amp;SUBSTITUTE(TEXT(Overig!O284,""",""?00;"",""?-00;"",""?00;"", //"""),"'","""")&amp;SUBSTITUTE(TEXT(IF(ISTEXT(Overig!P284),Overig!P284,10*Overig!P284),""",""????0;"",""???-0;"",""????0;"", ////"""),"'","""")&amp;SUBSTITUTE(TEXT(Overig!Q284,""",""?00;"",""?-00;"",""?00;"", //"""),"'","""")&amp;SUBSTITUTE(TEXT(IF(ISTEXT(Overig!R284),Overig!R284,10*Overig!R284),""",""????0;"",""???-0;"",""????0;"", ////"""),"'","""")&amp;SUBSTITUTE(TEXT(Overig!S284,""",""?00;"",""?-00;"",""?00;"", //"""),"'","""")&amp;SUBSTITUTE(TEXT(Overig!T284,""",""???0;"",""??-0;"",""???0;"", ///"""),"'","""")&amp;SUBSTITUTE(TEXT(Overig!U284,""",""?00;"",""?-00;"",""?00;"", //"""),"'","""")&amp;SUBSTITUTE(TEXT(IF(ISTEXT(Overig!V284),Overig!V284,10*Overig!V284),""",""???0;"",""??-0;"",""???0;"", ///"""),"'","""")&amp;SUBSTITUTE(TEXT(Overig!W284,""",""?00;"",""?-00;"",""?00;"", //"""),"'","""")&amp;SUBSTITUTE(TEXT(IF(ISTEXT(Overig!X284),Overig!X284,10*Overig!X284),""",""????0;"",""???-0;"",""????0;"", ////"""),"'","""")&amp;SUBSTITUTE(TEXT(Overig!Y284,""",""?00;"",""?-00;"",""?00;"", //"""),"'","""")&amp;SUBSTITUTE(TEXT(IF(ISTEXT(Overig!Z284),Overig!Z284,10*Overig!Z284),""",""????0;"",""???-0;"",""????0;"", ////"""),"'","""")&amp;SUBSTITUTE(TEXT(Overig!AA284,""",""?00;"",""?-00;"",""?00;"", //"""),"'","""")&amp;SUBSTITUTE(TEXT(Overig!AB284,""",""???0;"",""??-0;"",""???0;"", ///"""),"'","""")&amp;SUBSTITUTE(TEXT(Overig!AC284,""",""?00;"",""?-00;"",""?00;"", //"""),"'","""")&amp;SUBSTITUTE(TEXT(IF(ISTEXT(Overig!AD284),Overig!AD284,10*Overig!AD284),""",""????0;"",""???-0;"",""????0;"", ////"""),"'","""")&amp;SUBSTITUTE(TEXT(Overig!AE284,""",""?00;"",""?-00;"",""?00;"", //"""),"'","""")&amp;SUBSTITUTE(TEXT(IF(ISTEXT(Overig!AF284),Overig!AF284,10*Overig!AF284),""",""????0;"",""???-0;"",""????0;"", ////"""),"'","""")&amp;SUBSTITUTE(TEXT(Overig!AG284,""",""?00;"",""?-00;"",""?00;"", //"""),"'","""")&amp;SUBSTITUTE(TEXT(Overig!AH284,""",""???0;"",""??-0;"",""???0;"", ///"""),"'","""")&amp;SUBSTITUTE(TEXT(Overig!AI284,""",""?00;"",""?-00;"",""?00;"", //"""),"'","""")&amp;SUBSTITUTE(TEXT(Overig!AJ284,""",""??0;"",""?-0;"",""??0;"", //"""),"'","""")&amp;SUBSTITUTE(TEXT(Overig!AK284,""",""?00;"",""?-00;"",""?00;"", //"""),"'","""")&amp;SUBSTITUTE(IF(EXACT(Overig!AL284,"—"),TEXT(Overig!AL284,""",""????0;"",""???-0;"",""????0;"", ////////////,"""),TEXT(Overig!AL284,"\, \'@""',""")&amp;REPT(" ",10-LEN(Overig!AL284))),"'","""")&amp;SUBSTITUTE(TEXT(Overig!AM284,"?00;?-00;?00;"" //"""),"'","""")&amp;SUBSTITUTE(TEXT(Overig!AN284,""",""???0;"",""??-0;"",""???0;"", ///"""),"'","""")&amp;SUBSTITUTE(TEXT(Overig!AO284,""",""?00;"",""?-00;"",""?00;"", //"""),"'","""")</f>
        <v>78989, 19131010, 0800, ////, 07, /////, 07, ////, 07, /////, 07, ////, 07, ////, 07, ////, 07, ////, 07, ///, 07, ///, 07, ////, 07, ////, 07, ///, 07, ////, 07, ////, 07, ///, 07, //, 07, ////////////, 07, ///, 07</v>
      </c>
    </row>
    <row r="285" spans="1:1" x14ac:dyDescent="0.25">
      <c r="A285" s="75" t="str">
        <f ca="1">TEXT(Overig!A285,"000\,")&amp;TEXT(Overig!B285,"?00000000")&amp;TEXT(Overig!C285,""", ""0000")&amp;SUBSTITUTE(TEXT(IF(ISTEXT(Overig!D285),Overig!D285,10*Overig!D285),""",""????0;"",""???-0;"",""????0;"", ////"""),"'","""")&amp;SUBSTITUTE(TEXT(Overig!E285,""",""?00;"",""?-00;"",""?00;"", //"""),"'","""")&amp;SUBSTITUTE(TEXT(IF(ISTEXT(Overig!F285),Overig!F285,100*Overig!F285),""",""?????0;"",""????-0;"",""?????0;"", /////"""),"'","""")&amp;SUBSTITUTE(TEXT(Overig!G285,""",""?00;"",""?-00;"",""?00;"", //"""),"'","""")&amp;SUBSTITUTE(TEXT(IF(ISTEXT(Overig!H285),Overig!H285,100*Overig!H285),""",""????0;"",""???-0;"",""????0;"", ////"""),"'","""")&amp;SUBSTITUTE(TEXT(Overig!I285,""",""?00;"",""?-00;"",""?00;"", //"""),"'","""")&amp;SUBSTITUTE(TEXT(IF(ISTEXT(Overig!J285),Overig!J285,100*Overig!J285),""",""?????0;"",""????-0;"",""?????0;"", /////"""),"'","""")&amp;SUBSTITUTE(TEXT(Overig!K285,""",""?00;"",""?-00;"",""?00;"", //"""),"'","""")&amp;SUBSTITUTE(TEXT(IF(ISTEXT(Overig!L285),Overig!L285,10*Overig!L285),""",""????0;"",""???-0;"",""????0;"", ////"""),"'","""")&amp;SUBSTITUTE(TEXT(Overig!M285,""",""?00;"",""?-00;"",""?00;"", //"""),"'","""")&amp;SUBSTITUTE(TEXT(IF(ISTEXT(Overig!N285),Overig!N285,10*Overig!N285),""",""????0;"",""???-0;"",""????0;"", ////"""),"'","""")&amp;SUBSTITUTE(TEXT(Overig!O285,""",""?00;"",""?-00;"",""?00;"", //"""),"'","""")&amp;SUBSTITUTE(TEXT(IF(ISTEXT(Overig!P285),Overig!P285,10*Overig!P285),""",""????0;"",""???-0;"",""????0;"", ////"""),"'","""")&amp;SUBSTITUTE(TEXT(Overig!Q285,""",""?00;"",""?-00;"",""?00;"", //"""),"'","""")&amp;SUBSTITUTE(TEXT(IF(ISTEXT(Overig!R285),Overig!R285,10*Overig!R285),""",""????0;"",""???-0;"",""????0;"", ////"""),"'","""")&amp;SUBSTITUTE(TEXT(Overig!S285,""",""?00;"",""?-00;"",""?00;"", //"""),"'","""")&amp;SUBSTITUTE(TEXT(Overig!T285,""",""???0;"",""??-0;"",""???0;"", ///"""),"'","""")&amp;SUBSTITUTE(TEXT(Overig!U285,""",""?00;"",""?-00;"",""?00;"", //"""),"'","""")&amp;SUBSTITUTE(TEXT(IF(ISTEXT(Overig!V285),Overig!V285,10*Overig!V285),""",""???0;"",""??-0;"",""???0;"", ///"""),"'","""")&amp;SUBSTITUTE(TEXT(Overig!W285,""",""?00;"",""?-00;"",""?00;"", //"""),"'","""")&amp;SUBSTITUTE(TEXT(IF(ISTEXT(Overig!X285),Overig!X285,10*Overig!X285),""",""????0;"",""???-0;"",""????0;"", ////"""),"'","""")&amp;SUBSTITUTE(TEXT(Overig!Y285,""",""?00;"",""?-00;"",""?00;"", //"""),"'","""")&amp;SUBSTITUTE(TEXT(IF(ISTEXT(Overig!Z285),Overig!Z285,10*Overig!Z285),""",""????0;"",""???-0;"",""????0;"", ////"""),"'","""")&amp;SUBSTITUTE(TEXT(Overig!AA285,""",""?00;"",""?-00;"",""?00;"", //"""),"'","""")&amp;SUBSTITUTE(TEXT(Overig!AB285,""",""???0;"",""??-0;"",""???0;"", ///"""),"'","""")&amp;SUBSTITUTE(TEXT(Overig!AC285,""",""?00;"",""?-00;"",""?00;"", //"""),"'","""")&amp;SUBSTITUTE(TEXT(IF(ISTEXT(Overig!AD285),Overig!AD285,10*Overig!AD285),""",""????0;"",""???-0;"",""????0;"", ////"""),"'","""")&amp;SUBSTITUTE(TEXT(Overig!AE285,""",""?00;"",""?-00;"",""?00;"", //"""),"'","""")&amp;SUBSTITUTE(TEXT(IF(ISTEXT(Overig!AF285),Overig!AF285,10*Overig!AF285),""",""????0;"",""???-0;"",""????0;"", ////"""),"'","""")&amp;SUBSTITUTE(TEXT(Overig!AG285,""",""?00;"",""?-00;"",""?00;"", //"""),"'","""")&amp;SUBSTITUTE(TEXT(Overig!AH285,""",""???0;"",""??-0;"",""???0;"", ///"""),"'","""")&amp;SUBSTITUTE(TEXT(Overig!AI285,""",""?00;"",""?-00;"",""?00;"", //"""),"'","""")&amp;SUBSTITUTE(TEXT(Overig!AJ285,""",""??0;"",""?-0;"",""??0;"", //"""),"'","""")&amp;SUBSTITUTE(TEXT(Overig!AK285,""",""?00;"",""?-00;"",""?00;"", //"""),"'","""")&amp;SUBSTITUTE(IF(EXACT(Overig!AL285,"—"),TEXT(Overig!AL285,""",""????0;"",""???-0;"",""????0;"", ////////////,"""),TEXT(Overig!AL285,"\, \'@""',""")&amp;REPT(" ",10-LEN(Overig!AL285))),"'","""")&amp;SUBSTITUTE(TEXT(Overig!AM285,"?00;?-00;?00;"" //"""),"'","""")&amp;SUBSTITUTE(TEXT(Overig!AN285,""",""???0;"",""??-0;"",""???0;"", ///"""),"'","""")&amp;SUBSTITUTE(TEXT(Overig!AO285,""",""?00;"",""?-00;"",""?00;"", //"""),"'","""")</f>
        <v>78989, 19131011, 0800, ////, 07, /////, 07, ////, 07, /////, 07, 7600, 00, ////, 07, ////, 07, ////, 07, ///, 07, ///, 07, ////, 07, ////, 07,  45, 00, ////, 07, ////, 07, ///, 07, //, 07, ////////////, 07, ///, 07</v>
      </c>
    </row>
    <row r="286" spans="1:1" x14ac:dyDescent="0.25">
      <c r="A286" s="75" t="str">
        <f ca="1">TEXT(Overig!A286,"000\,")&amp;TEXT(Overig!B286,"?00000000")&amp;TEXT(Overig!C286,""", ""0000")&amp;SUBSTITUTE(TEXT(IF(ISTEXT(Overig!D286),Overig!D286,10*Overig!D286),""",""????0;"",""???-0;"",""????0;"", ////"""),"'","""")&amp;SUBSTITUTE(TEXT(Overig!E286,""",""?00;"",""?-00;"",""?00;"", //"""),"'","""")&amp;SUBSTITUTE(TEXT(IF(ISTEXT(Overig!F286),Overig!F286,100*Overig!F286),""",""?????0;"",""????-0;"",""?????0;"", /////"""),"'","""")&amp;SUBSTITUTE(TEXT(Overig!G286,""",""?00;"",""?-00;"",""?00;"", //"""),"'","""")&amp;SUBSTITUTE(TEXT(IF(ISTEXT(Overig!H286),Overig!H286,100*Overig!H286),""",""????0;"",""???-0;"",""????0;"", ////"""),"'","""")&amp;SUBSTITUTE(TEXT(Overig!I286,""",""?00;"",""?-00;"",""?00;"", //"""),"'","""")&amp;SUBSTITUTE(TEXT(IF(ISTEXT(Overig!J286),Overig!J286,100*Overig!J286),""",""?????0;"",""????-0;"",""?????0;"", /////"""),"'","""")&amp;SUBSTITUTE(TEXT(Overig!K286,""",""?00;"",""?-00;"",""?00;"", //"""),"'","""")&amp;SUBSTITUTE(TEXT(IF(ISTEXT(Overig!L286),Overig!L286,10*Overig!L286),""",""????0;"",""???-0;"",""????0;"", ////"""),"'","""")&amp;SUBSTITUTE(TEXT(Overig!M286,""",""?00;"",""?-00;"",""?00;"", //"""),"'","""")&amp;SUBSTITUTE(TEXT(IF(ISTEXT(Overig!N286),Overig!N286,10*Overig!N286),""",""????0;"",""???-0;"",""????0;"", ////"""),"'","""")&amp;SUBSTITUTE(TEXT(Overig!O286,""",""?00;"",""?-00;"",""?00;"", //"""),"'","""")&amp;SUBSTITUTE(TEXT(IF(ISTEXT(Overig!P286),Overig!P286,10*Overig!P286),""",""????0;"",""???-0;"",""????0;"", ////"""),"'","""")&amp;SUBSTITUTE(TEXT(Overig!Q286,""",""?00;"",""?-00;"",""?00;"", //"""),"'","""")&amp;SUBSTITUTE(TEXT(IF(ISTEXT(Overig!R286),Overig!R286,10*Overig!R286),""",""????0;"",""???-0;"",""????0;"", ////"""),"'","""")&amp;SUBSTITUTE(TEXT(Overig!S286,""",""?00;"",""?-00;"",""?00;"", //"""),"'","""")&amp;SUBSTITUTE(TEXT(Overig!T286,""",""???0;"",""??-0;"",""???0;"", ///"""),"'","""")&amp;SUBSTITUTE(TEXT(Overig!U286,""",""?00;"",""?-00;"",""?00;"", //"""),"'","""")&amp;SUBSTITUTE(TEXT(IF(ISTEXT(Overig!V286),Overig!V286,10*Overig!V286),""",""???0;"",""??-0;"",""???0;"", ///"""),"'","""")&amp;SUBSTITUTE(TEXT(Overig!W286,""",""?00;"",""?-00;"",""?00;"", //"""),"'","""")&amp;SUBSTITUTE(TEXT(IF(ISTEXT(Overig!X286),Overig!X286,10*Overig!X286),""",""????0;"",""???-0;"",""????0;"", ////"""),"'","""")&amp;SUBSTITUTE(TEXT(Overig!Y286,""",""?00;"",""?-00;"",""?00;"", //"""),"'","""")&amp;SUBSTITUTE(TEXT(IF(ISTEXT(Overig!Z286),Overig!Z286,10*Overig!Z286),""",""????0;"",""???-0;"",""????0;"", ////"""),"'","""")&amp;SUBSTITUTE(TEXT(Overig!AA286,""",""?00;"",""?-00;"",""?00;"", //"""),"'","""")&amp;SUBSTITUTE(TEXT(Overig!AB286,""",""???0;"",""??-0;"",""???0;"", ///"""),"'","""")&amp;SUBSTITUTE(TEXT(Overig!AC286,""",""?00;"",""?-00;"",""?00;"", //"""),"'","""")&amp;SUBSTITUTE(TEXT(IF(ISTEXT(Overig!AD286),Overig!AD286,10*Overig!AD286),""",""????0;"",""???-0;"",""????0;"", ////"""),"'","""")&amp;SUBSTITUTE(TEXT(Overig!AE286,""",""?00;"",""?-00;"",""?00;"", //"""),"'","""")&amp;SUBSTITUTE(TEXT(IF(ISTEXT(Overig!AF286),Overig!AF286,10*Overig!AF286),""",""????0;"",""???-0;"",""????0;"", ////"""),"'","""")&amp;SUBSTITUTE(TEXT(Overig!AG286,""",""?00;"",""?-00;"",""?00;"", //"""),"'","""")&amp;SUBSTITUTE(TEXT(Overig!AH286,""",""???0;"",""??-0;"",""???0;"", ///"""),"'","""")&amp;SUBSTITUTE(TEXT(Overig!AI286,""",""?00;"",""?-00;"",""?00;"", //"""),"'","""")&amp;SUBSTITUTE(TEXT(Overig!AJ286,""",""??0;"",""?-0;"",""??0;"", //"""),"'","""")&amp;SUBSTITUTE(TEXT(Overig!AK286,""",""?00;"",""?-00;"",""?00;"", //"""),"'","""")&amp;SUBSTITUTE(IF(EXACT(Overig!AL286,"—"),TEXT(Overig!AL286,""",""????0;"",""???-0;"",""????0;"", ////////////,"""),TEXT(Overig!AL286,"\, \'@""',""")&amp;REPT(" ",10-LEN(Overig!AL286))),"'","""")&amp;SUBSTITUTE(TEXT(Overig!AM286,"?00;?-00;?00;"" //"""),"'","""")&amp;SUBSTITUTE(TEXT(Overig!AN286,""",""???0;"",""??-0;"",""???0;"", ///"""),"'","""")&amp;SUBSTITUTE(TEXT(Overig!AO286,""",""?00;"",""?-00;"",""?00;"", //"""),"'","""")</f>
        <v>78989, 19131012, 0800, ////, 07, /////, 07, ////, 07, /////, 07, 7590, 00, ////, 07, ////, 07, ////, 07, ///, 07, ///, 07, ////, 07, ////, 07,  90, 00, ////, 07, ////, 07, ///, 07, //, 07, ////////////, 07, ///, 07</v>
      </c>
    </row>
    <row r="287" spans="1:1" x14ac:dyDescent="0.25">
      <c r="A287" s="75" t="str">
        <f ca="1">TEXT(Overig!A287,"000\,")&amp;TEXT(Overig!B287,"?00000000")&amp;TEXT(Overig!C287,""", ""0000")&amp;SUBSTITUTE(TEXT(IF(ISTEXT(Overig!D287),Overig!D287,10*Overig!D287),""",""????0;"",""???-0;"",""????0;"", ////"""),"'","""")&amp;SUBSTITUTE(TEXT(Overig!E287,""",""?00;"",""?-00;"",""?00;"", //"""),"'","""")&amp;SUBSTITUTE(TEXT(IF(ISTEXT(Overig!F287),Overig!F287,100*Overig!F287),""",""?????0;"",""????-0;"",""?????0;"", /////"""),"'","""")&amp;SUBSTITUTE(TEXT(Overig!G287,""",""?00;"",""?-00;"",""?00;"", //"""),"'","""")&amp;SUBSTITUTE(TEXT(IF(ISTEXT(Overig!H287),Overig!H287,100*Overig!H287),""",""????0;"",""???-0;"",""????0;"", ////"""),"'","""")&amp;SUBSTITUTE(TEXT(Overig!I287,""",""?00;"",""?-00;"",""?00;"", //"""),"'","""")&amp;SUBSTITUTE(TEXT(IF(ISTEXT(Overig!J287),Overig!J287,100*Overig!J287),""",""?????0;"",""????-0;"",""?????0;"", /////"""),"'","""")&amp;SUBSTITUTE(TEXT(Overig!K287,""",""?00;"",""?-00;"",""?00;"", //"""),"'","""")&amp;SUBSTITUTE(TEXT(IF(ISTEXT(Overig!L287),Overig!L287,10*Overig!L287),""",""????0;"",""???-0;"",""????0;"", ////"""),"'","""")&amp;SUBSTITUTE(TEXT(Overig!M287,""",""?00;"",""?-00;"",""?00;"", //"""),"'","""")&amp;SUBSTITUTE(TEXT(IF(ISTEXT(Overig!N287),Overig!N287,10*Overig!N287),""",""????0;"",""???-0;"",""????0;"", ////"""),"'","""")&amp;SUBSTITUTE(TEXT(Overig!O287,""",""?00;"",""?-00;"",""?00;"", //"""),"'","""")&amp;SUBSTITUTE(TEXT(IF(ISTEXT(Overig!P287),Overig!P287,10*Overig!P287),""",""????0;"",""???-0;"",""????0;"", ////"""),"'","""")&amp;SUBSTITUTE(TEXT(Overig!Q287,""",""?00;"",""?-00;"",""?00;"", //"""),"'","""")&amp;SUBSTITUTE(TEXT(IF(ISTEXT(Overig!R287),Overig!R287,10*Overig!R287),""",""????0;"",""???-0;"",""????0;"", ////"""),"'","""")&amp;SUBSTITUTE(TEXT(Overig!S287,""",""?00;"",""?-00;"",""?00;"", //"""),"'","""")&amp;SUBSTITUTE(TEXT(Overig!T287,""",""???0;"",""??-0;"",""???0;"", ///"""),"'","""")&amp;SUBSTITUTE(TEXT(Overig!U287,""",""?00;"",""?-00;"",""?00;"", //"""),"'","""")&amp;SUBSTITUTE(TEXT(IF(ISTEXT(Overig!V287),Overig!V287,10*Overig!V287),""",""???0;"",""??-0;"",""???0;"", ///"""),"'","""")&amp;SUBSTITUTE(TEXT(Overig!W287,""",""?00;"",""?-00;"",""?00;"", //"""),"'","""")&amp;SUBSTITUTE(TEXT(IF(ISTEXT(Overig!X287),Overig!X287,10*Overig!X287),""",""????0;"",""???-0;"",""????0;"", ////"""),"'","""")&amp;SUBSTITUTE(TEXT(Overig!Y287,""",""?00;"",""?-00;"",""?00;"", //"""),"'","""")&amp;SUBSTITUTE(TEXT(IF(ISTEXT(Overig!Z287),Overig!Z287,10*Overig!Z287),""",""????0;"",""???-0;"",""????0;"", ////"""),"'","""")&amp;SUBSTITUTE(TEXT(Overig!AA287,""",""?00;"",""?-00;"",""?00;"", //"""),"'","""")&amp;SUBSTITUTE(TEXT(Overig!AB287,""",""???0;"",""??-0;"",""???0;"", ///"""),"'","""")&amp;SUBSTITUTE(TEXT(Overig!AC287,""",""?00;"",""?-00;"",""?00;"", //"""),"'","""")&amp;SUBSTITUTE(TEXT(IF(ISTEXT(Overig!AD287),Overig!AD287,10*Overig!AD287),""",""????0;"",""???-0;"",""????0;"", ////"""),"'","""")&amp;SUBSTITUTE(TEXT(Overig!AE287,""",""?00;"",""?-00;"",""?00;"", //"""),"'","""")&amp;SUBSTITUTE(TEXT(IF(ISTEXT(Overig!AF287),Overig!AF287,10*Overig!AF287),""",""????0;"",""???-0;"",""????0;"", ////"""),"'","""")&amp;SUBSTITUTE(TEXT(Overig!AG287,""",""?00;"",""?-00;"",""?00;"", //"""),"'","""")&amp;SUBSTITUTE(TEXT(Overig!AH287,""",""???0;"",""??-0;"",""???0;"", ///"""),"'","""")&amp;SUBSTITUTE(TEXT(Overig!AI287,""",""?00;"",""?-00;"",""?00;"", //"""),"'","""")&amp;SUBSTITUTE(TEXT(Overig!AJ287,""",""??0;"",""?-0;"",""??0;"", //"""),"'","""")&amp;SUBSTITUTE(TEXT(Overig!AK287,""",""?00;"",""?-00;"",""?00;"", //"""),"'","""")&amp;SUBSTITUTE(IF(EXACT(Overig!AL287,"—"),TEXT(Overig!AL287,""",""????0;"",""???-0;"",""????0;"", ////////////,"""),TEXT(Overig!AL287,"\, \'@""',""")&amp;REPT(" ",10-LEN(Overig!AL287))),"'","""")&amp;SUBSTITUTE(TEXT(Overig!AM287,"?00;?-00;?00;"" //"""),"'","""")&amp;SUBSTITUTE(TEXT(Overig!AN287,""",""???0;"",""??-0;"",""???0;"", ///"""),"'","""")&amp;SUBSTITUTE(TEXT(Overig!AO287,""",""?00;"",""?-00;"",""?00;"", //"""),"'","""")</f>
        <v>78989, 19131013, 0800, ////, 07, /////, 07, ////, 07, /////, 07, 7590, 00, ////, 07, ////, 07, ////, 07, ///, 07, ///, 07, ////, 07, ////, 07,  90, 00, ////, 07, ////, 07, ///, 07, //, 07, ////////////, 07, ///, 07</v>
      </c>
    </row>
    <row r="288" spans="1:1" x14ac:dyDescent="0.25">
      <c r="A288" s="75" t="str">
        <f ca="1">TEXT(Overig!A288,"000\,")&amp;TEXT(Overig!B288,"?00000000")&amp;TEXT(Overig!C288,""", ""0000")&amp;SUBSTITUTE(TEXT(IF(ISTEXT(Overig!D288),Overig!D288,10*Overig!D288),""",""????0;"",""???-0;"",""????0;"", ////"""),"'","""")&amp;SUBSTITUTE(TEXT(Overig!E288,""",""?00;"",""?-00;"",""?00;"", //"""),"'","""")&amp;SUBSTITUTE(TEXT(IF(ISTEXT(Overig!F288),Overig!F288,100*Overig!F288),""",""?????0;"",""????-0;"",""?????0;"", /////"""),"'","""")&amp;SUBSTITUTE(TEXT(Overig!G288,""",""?00;"",""?-00;"",""?00;"", //"""),"'","""")&amp;SUBSTITUTE(TEXT(IF(ISTEXT(Overig!H288),Overig!H288,100*Overig!H288),""",""????0;"",""???-0;"",""????0;"", ////"""),"'","""")&amp;SUBSTITUTE(TEXT(Overig!I288,""",""?00;"",""?-00;"",""?00;"", //"""),"'","""")&amp;SUBSTITUTE(TEXT(IF(ISTEXT(Overig!J288),Overig!J288,100*Overig!J288),""",""?????0;"",""????-0;"",""?????0;"", /////"""),"'","""")&amp;SUBSTITUTE(TEXT(Overig!K288,""",""?00;"",""?-00;"",""?00;"", //"""),"'","""")&amp;SUBSTITUTE(TEXT(IF(ISTEXT(Overig!L288),Overig!L288,10*Overig!L288),""",""????0;"",""???-0;"",""????0;"", ////"""),"'","""")&amp;SUBSTITUTE(TEXT(Overig!M288,""",""?00;"",""?-00;"",""?00;"", //"""),"'","""")&amp;SUBSTITUTE(TEXT(IF(ISTEXT(Overig!N288),Overig!N288,10*Overig!N288),""",""????0;"",""???-0;"",""????0;"", ////"""),"'","""")&amp;SUBSTITUTE(TEXT(Overig!O288,""",""?00;"",""?-00;"",""?00;"", //"""),"'","""")&amp;SUBSTITUTE(TEXT(IF(ISTEXT(Overig!P288),Overig!P288,10*Overig!P288),""",""????0;"",""???-0;"",""????0;"", ////"""),"'","""")&amp;SUBSTITUTE(TEXT(Overig!Q288,""",""?00;"",""?-00;"",""?00;"", //"""),"'","""")&amp;SUBSTITUTE(TEXT(IF(ISTEXT(Overig!R288),Overig!R288,10*Overig!R288),""",""????0;"",""???-0;"",""????0;"", ////"""),"'","""")&amp;SUBSTITUTE(TEXT(Overig!S288,""",""?00;"",""?-00;"",""?00;"", //"""),"'","""")&amp;SUBSTITUTE(TEXT(Overig!T288,""",""???0;"",""??-0;"",""???0;"", ///"""),"'","""")&amp;SUBSTITUTE(TEXT(Overig!U288,""",""?00;"",""?-00;"",""?00;"", //"""),"'","""")&amp;SUBSTITUTE(TEXT(IF(ISTEXT(Overig!V288),Overig!V288,10*Overig!V288),""",""???0;"",""??-0;"",""???0;"", ///"""),"'","""")&amp;SUBSTITUTE(TEXT(Overig!W288,""",""?00;"",""?-00;"",""?00;"", //"""),"'","""")&amp;SUBSTITUTE(TEXT(IF(ISTEXT(Overig!X288),Overig!X288,10*Overig!X288),""",""????0;"",""???-0;"",""????0;"", ////"""),"'","""")&amp;SUBSTITUTE(TEXT(Overig!Y288,""",""?00;"",""?-00;"",""?00;"", //"""),"'","""")&amp;SUBSTITUTE(TEXT(IF(ISTEXT(Overig!Z288),Overig!Z288,10*Overig!Z288),""",""????0;"",""???-0;"",""????0;"", ////"""),"'","""")&amp;SUBSTITUTE(TEXT(Overig!AA288,""",""?00;"",""?-00;"",""?00;"", //"""),"'","""")&amp;SUBSTITUTE(TEXT(Overig!AB288,""",""???0;"",""??-0;"",""???0;"", ///"""),"'","""")&amp;SUBSTITUTE(TEXT(Overig!AC288,""",""?00;"",""?-00;"",""?00;"", //"""),"'","""")&amp;SUBSTITUTE(TEXT(IF(ISTEXT(Overig!AD288),Overig!AD288,10*Overig!AD288),""",""????0;"",""???-0;"",""????0;"", ////"""),"'","""")&amp;SUBSTITUTE(TEXT(Overig!AE288,""",""?00;"",""?-00;"",""?00;"", //"""),"'","""")&amp;SUBSTITUTE(TEXT(IF(ISTEXT(Overig!AF288),Overig!AF288,10*Overig!AF288),""",""????0;"",""???-0;"",""????0;"", ////"""),"'","""")&amp;SUBSTITUTE(TEXT(Overig!AG288,""",""?00;"",""?-00;"",""?00;"", //"""),"'","""")&amp;SUBSTITUTE(TEXT(Overig!AH288,""",""???0;"",""??-0;"",""???0;"", ///"""),"'","""")&amp;SUBSTITUTE(TEXT(Overig!AI288,""",""?00;"",""?-00;"",""?00;"", //"""),"'","""")&amp;SUBSTITUTE(TEXT(Overig!AJ288,""",""??0;"",""?-0;"",""??0;"", //"""),"'","""")&amp;SUBSTITUTE(TEXT(Overig!AK288,""",""?00;"",""?-00;"",""?00;"", //"""),"'","""")&amp;SUBSTITUTE(IF(EXACT(Overig!AL288,"—"),TEXT(Overig!AL288,""",""????0;"",""???-0;"",""????0;"", ////////////,"""),TEXT(Overig!AL288,"\, \'@""',""")&amp;REPT(" ",10-LEN(Overig!AL288))),"'","""")&amp;SUBSTITUTE(TEXT(Overig!AM288,"?00;?-00;?00;"" //"""),"'","""")&amp;SUBSTITUTE(TEXT(Overig!AN288,""",""???0;"",""??-0;"",""???0;"", ///"""),"'","""")&amp;SUBSTITUTE(TEXT(Overig!AO288,""",""?00;"",""?-00;"",""?00;"", //"""),"'","""")</f>
        <v>78989, 19131014, 0800, ////, 07, /////, 07, ////, 07, /////, 07, 7595, 00, ////, 07, ////, 07, ////, 07, ///, 07, ///, 07, ////, 07, ////, 07,  45, 00, ////, 07, ////, 07, ///, 07, //, 07, ////////////, 07, ///, 07</v>
      </c>
    </row>
    <row r="289" spans="1:1" x14ac:dyDescent="0.25">
      <c r="A289" s="75" t="str">
        <f ca="1">TEXT(Overig!A289,"000\,")&amp;TEXT(Overig!B289,"?00000000")&amp;TEXT(Overig!C289,""", ""0000")&amp;SUBSTITUTE(TEXT(IF(ISTEXT(Overig!D289),Overig!D289,10*Overig!D289),""",""????0;"",""???-0;"",""????0;"", ////"""),"'","""")&amp;SUBSTITUTE(TEXT(Overig!E289,""",""?00;"",""?-00;"",""?00;"", //"""),"'","""")&amp;SUBSTITUTE(TEXT(IF(ISTEXT(Overig!F289),Overig!F289,100*Overig!F289),""",""?????0;"",""????-0;"",""?????0;"", /////"""),"'","""")&amp;SUBSTITUTE(TEXT(Overig!G289,""",""?00;"",""?-00;"",""?00;"", //"""),"'","""")&amp;SUBSTITUTE(TEXT(IF(ISTEXT(Overig!H289),Overig!H289,100*Overig!H289),""",""????0;"",""???-0;"",""????0;"", ////"""),"'","""")&amp;SUBSTITUTE(TEXT(Overig!I289,""",""?00;"",""?-00;"",""?00;"", //"""),"'","""")&amp;SUBSTITUTE(TEXT(IF(ISTEXT(Overig!J289),Overig!J289,100*Overig!J289),""",""?????0;"",""????-0;"",""?????0;"", /////"""),"'","""")&amp;SUBSTITUTE(TEXT(Overig!K289,""",""?00;"",""?-00;"",""?00;"", //"""),"'","""")&amp;SUBSTITUTE(TEXT(IF(ISTEXT(Overig!L289),Overig!L289,10*Overig!L289),""",""????0;"",""???-0;"",""????0;"", ////"""),"'","""")&amp;SUBSTITUTE(TEXT(Overig!M289,""",""?00;"",""?-00;"",""?00;"", //"""),"'","""")&amp;SUBSTITUTE(TEXT(IF(ISTEXT(Overig!N289),Overig!N289,10*Overig!N289),""",""????0;"",""???-0;"",""????0;"", ////"""),"'","""")&amp;SUBSTITUTE(TEXT(Overig!O289,""",""?00;"",""?-00;"",""?00;"", //"""),"'","""")&amp;SUBSTITUTE(TEXT(IF(ISTEXT(Overig!P289),Overig!P289,10*Overig!P289),""",""????0;"",""???-0;"",""????0;"", ////"""),"'","""")&amp;SUBSTITUTE(TEXT(Overig!Q289,""",""?00;"",""?-00;"",""?00;"", //"""),"'","""")&amp;SUBSTITUTE(TEXT(IF(ISTEXT(Overig!R289),Overig!R289,10*Overig!R289),""",""????0;"",""???-0;"",""????0;"", ////"""),"'","""")&amp;SUBSTITUTE(TEXT(Overig!S289,""",""?00;"",""?-00;"",""?00;"", //"""),"'","""")&amp;SUBSTITUTE(TEXT(Overig!T289,""",""???0;"",""??-0;"",""???0;"", ///"""),"'","""")&amp;SUBSTITUTE(TEXT(Overig!U289,""",""?00;"",""?-00;"",""?00;"", //"""),"'","""")&amp;SUBSTITUTE(TEXT(IF(ISTEXT(Overig!V289),Overig!V289,10*Overig!V289),""",""???0;"",""??-0;"",""???0;"", ///"""),"'","""")&amp;SUBSTITUTE(TEXT(Overig!W289,""",""?00;"",""?-00;"",""?00;"", //"""),"'","""")&amp;SUBSTITUTE(TEXT(IF(ISTEXT(Overig!X289),Overig!X289,10*Overig!X289),""",""????0;"",""???-0;"",""????0;"", ////"""),"'","""")&amp;SUBSTITUTE(TEXT(Overig!Y289,""",""?00;"",""?-00;"",""?00;"", //"""),"'","""")&amp;SUBSTITUTE(TEXT(IF(ISTEXT(Overig!Z289),Overig!Z289,10*Overig!Z289),""",""????0;"",""???-0;"",""????0;"", ////"""),"'","""")&amp;SUBSTITUTE(TEXT(Overig!AA289,""",""?00;"",""?-00;"",""?00;"", //"""),"'","""")&amp;SUBSTITUTE(TEXT(Overig!AB289,""",""???0;"",""??-0;"",""???0;"", ///"""),"'","""")&amp;SUBSTITUTE(TEXT(Overig!AC289,""",""?00;"",""?-00;"",""?00;"", //"""),"'","""")&amp;SUBSTITUTE(TEXT(IF(ISTEXT(Overig!AD289),Overig!AD289,10*Overig!AD289),""",""????0;"",""???-0;"",""????0;"", ////"""),"'","""")&amp;SUBSTITUTE(TEXT(Overig!AE289,""",""?00;"",""?-00;"",""?00;"", //"""),"'","""")&amp;SUBSTITUTE(TEXT(IF(ISTEXT(Overig!AF289),Overig!AF289,10*Overig!AF289),""",""????0;"",""???-0;"",""????0;"", ////"""),"'","""")&amp;SUBSTITUTE(TEXT(Overig!AG289,""",""?00;"",""?-00;"",""?00;"", //"""),"'","""")&amp;SUBSTITUTE(TEXT(Overig!AH289,""",""???0;"",""??-0;"",""???0;"", ///"""),"'","""")&amp;SUBSTITUTE(TEXT(Overig!AI289,""",""?00;"",""?-00;"",""?00;"", //"""),"'","""")&amp;SUBSTITUTE(TEXT(Overig!AJ289,""",""??0;"",""?-0;"",""??0;"", //"""),"'","""")&amp;SUBSTITUTE(TEXT(Overig!AK289,""",""?00;"",""?-00;"",""?00;"", //"""),"'","""")&amp;SUBSTITUTE(IF(EXACT(Overig!AL289,"—"),TEXT(Overig!AL289,""",""????0;"",""???-0;"",""????0;"", ////////////,"""),TEXT(Overig!AL289,"\, \'@""',""")&amp;REPT(" ",10-LEN(Overig!AL289))),"'","""")&amp;SUBSTITUTE(TEXT(Overig!AM289,"?00;?-00;?00;"" //"""),"'","""")&amp;SUBSTITUTE(TEXT(Overig!AN289,""",""???0;"",""??-0;"",""???0;"", ///"""),"'","""")&amp;SUBSTITUTE(TEXT(Overig!AO289,""",""?00;"",""?-00;"",""?00;"", //"""),"'","""")</f>
        <v>78989, 19131015, 0800, ////, 07, /////, 07, ////, 07, /////, 07, 7600, 00, ////, 07, ////, 07, ////, 07, ///, 07, ///, 07, ////, 07, ////, 07,  45, 00, ////, 07, ////, 07, ///, 07, //, 07, ////////////, 07, ///, 07</v>
      </c>
    </row>
    <row r="290" spans="1:1" x14ac:dyDescent="0.25">
      <c r="A290" s="75" t="str">
        <f ca="1">TEXT(Overig!A290,"000\,")&amp;TEXT(Overig!B290,"?00000000")&amp;TEXT(Overig!C290,""", ""0000")&amp;SUBSTITUTE(TEXT(IF(ISTEXT(Overig!D290),Overig!D290,10*Overig!D290),""",""????0;"",""???-0;"",""????0;"", ////"""),"'","""")&amp;SUBSTITUTE(TEXT(Overig!E290,""",""?00;"",""?-00;"",""?00;"", //"""),"'","""")&amp;SUBSTITUTE(TEXT(IF(ISTEXT(Overig!F290),Overig!F290,100*Overig!F290),""",""?????0;"",""????-0;"",""?????0;"", /////"""),"'","""")&amp;SUBSTITUTE(TEXT(Overig!G290,""",""?00;"",""?-00;"",""?00;"", //"""),"'","""")&amp;SUBSTITUTE(TEXT(IF(ISTEXT(Overig!H290),Overig!H290,100*Overig!H290),""",""????0;"",""???-0;"",""????0;"", ////"""),"'","""")&amp;SUBSTITUTE(TEXT(Overig!I290,""",""?00;"",""?-00;"",""?00;"", //"""),"'","""")&amp;SUBSTITUTE(TEXT(IF(ISTEXT(Overig!J290),Overig!J290,100*Overig!J290),""",""?????0;"",""????-0;"",""?????0;"", /////"""),"'","""")&amp;SUBSTITUTE(TEXT(Overig!K290,""",""?00;"",""?-00;"",""?00;"", //"""),"'","""")&amp;SUBSTITUTE(TEXT(IF(ISTEXT(Overig!L290),Overig!L290,10*Overig!L290),""",""????0;"",""???-0;"",""????0;"", ////"""),"'","""")&amp;SUBSTITUTE(TEXT(Overig!M290,""",""?00;"",""?-00;"",""?00;"", //"""),"'","""")&amp;SUBSTITUTE(TEXT(IF(ISTEXT(Overig!N290),Overig!N290,10*Overig!N290),""",""????0;"",""???-0;"",""????0;"", ////"""),"'","""")&amp;SUBSTITUTE(TEXT(Overig!O290,""",""?00;"",""?-00;"",""?00;"", //"""),"'","""")&amp;SUBSTITUTE(TEXT(IF(ISTEXT(Overig!P290),Overig!P290,10*Overig!P290),""",""????0;"",""???-0;"",""????0;"", ////"""),"'","""")&amp;SUBSTITUTE(TEXT(Overig!Q290,""",""?00;"",""?-00;"",""?00;"", //"""),"'","""")&amp;SUBSTITUTE(TEXT(IF(ISTEXT(Overig!R290),Overig!R290,10*Overig!R290),""",""????0;"",""???-0;"",""????0;"", ////"""),"'","""")&amp;SUBSTITUTE(TEXT(Overig!S290,""",""?00;"",""?-00;"",""?00;"", //"""),"'","""")&amp;SUBSTITUTE(TEXT(Overig!T290,""",""???0;"",""??-0;"",""???0;"", ///"""),"'","""")&amp;SUBSTITUTE(TEXT(Overig!U290,""",""?00;"",""?-00;"",""?00;"", //"""),"'","""")&amp;SUBSTITUTE(TEXT(IF(ISTEXT(Overig!V290),Overig!V290,10*Overig!V290),""",""???0;"",""??-0;"",""???0;"", ///"""),"'","""")&amp;SUBSTITUTE(TEXT(Overig!W290,""",""?00;"",""?-00;"",""?00;"", //"""),"'","""")&amp;SUBSTITUTE(TEXT(IF(ISTEXT(Overig!X290),Overig!X290,10*Overig!X290),""",""????0;"",""???-0;"",""????0;"", ////"""),"'","""")&amp;SUBSTITUTE(TEXT(Overig!Y290,""",""?00;"",""?-00;"",""?00;"", //"""),"'","""")&amp;SUBSTITUTE(TEXT(IF(ISTEXT(Overig!Z290),Overig!Z290,10*Overig!Z290),""",""????0;"",""???-0;"",""????0;"", ////"""),"'","""")&amp;SUBSTITUTE(TEXT(Overig!AA290,""",""?00;"",""?-00;"",""?00;"", //"""),"'","""")&amp;SUBSTITUTE(TEXT(Overig!AB290,""",""???0;"",""??-0;"",""???0;"", ///"""),"'","""")&amp;SUBSTITUTE(TEXT(Overig!AC290,""",""?00;"",""?-00;"",""?00;"", //"""),"'","""")&amp;SUBSTITUTE(TEXT(IF(ISTEXT(Overig!AD290),Overig!AD290,10*Overig!AD290),""",""????0;"",""???-0;"",""????0;"", ////"""),"'","""")&amp;SUBSTITUTE(TEXT(Overig!AE290,""",""?00;"",""?-00;"",""?00;"", //"""),"'","""")&amp;SUBSTITUTE(TEXT(IF(ISTEXT(Overig!AF290),Overig!AF290,10*Overig!AF290),""",""????0;"",""???-0;"",""????0;"", ////"""),"'","""")&amp;SUBSTITUTE(TEXT(Overig!AG290,""",""?00;"",""?-00;"",""?00;"", //"""),"'","""")&amp;SUBSTITUTE(TEXT(Overig!AH290,""",""???0;"",""??-0;"",""???0;"", ///"""),"'","""")&amp;SUBSTITUTE(TEXT(Overig!AI290,""",""?00;"",""?-00;"",""?00;"", //"""),"'","""")&amp;SUBSTITUTE(TEXT(Overig!AJ290,""",""??0;"",""?-0;"",""??0;"", //"""),"'","""")&amp;SUBSTITUTE(TEXT(Overig!AK290,""",""?00;"",""?-00;"",""?00;"", //"""),"'","""")&amp;SUBSTITUTE(IF(EXACT(Overig!AL290,"—"),TEXT(Overig!AL290,""",""????0;"",""???-0;"",""????0;"", ////////////,"""),TEXT(Overig!AL290,"\, \'@""',""")&amp;REPT(" ",10-LEN(Overig!AL290))),"'","""")&amp;SUBSTITUTE(TEXT(Overig!AM290,"?00;?-00;?00;"" //"""),"'","""")&amp;SUBSTITUTE(TEXT(Overig!AN290,""",""???0;"",""??-0;"",""???0;"", ///"""),"'","""")&amp;SUBSTITUTE(TEXT(Overig!AO290,""",""?00;"",""?-00;"",""?00;"", //"""),"'","""")</f>
        <v>78989, 19131016, 0800, ////, 07, /////, 07, ////, 07, /////, 07, ////, 07, ////, 07, ////, 07, ////, 07, ///, 07, ///, 07, ////, 07, ////, 07, ///, 07, ////, 07, ////, 07, ///, 07, //, 07, ////////////, 07, ///, 07</v>
      </c>
    </row>
    <row r="291" spans="1:1" x14ac:dyDescent="0.25">
      <c r="A291" s="75" t="str">
        <f ca="1">TEXT(Overig!A291,"000\,")&amp;TEXT(Overig!B291,"?00000000")&amp;TEXT(Overig!C291,""", ""0000")&amp;SUBSTITUTE(TEXT(IF(ISTEXT(Overig!D291),Overig!D291,10*Overig!D291),""",""????0;"",""???-0;"",""????0;"", ////"""),"'","""")&amp;SUBSTITUTE(TEXT(Overig!E291,""",""?00;"",""?-00;"",""?00;"", //"""),"'","""")&amp;SUBSTITUTE(TEXT(IF(ISTEXT(Overig!F291),Overig!F291,100*Overig!F291),""",""?????0;"",""????-0;"",""?????0;"", /////"""),"'","""")&amp;SUBSTITUTE(TEXT(Overig!G291,""",""?00;"",""?-00;"",""?00;"", //"""),"'","""")&amp;SUBSTITUTE(TEXT(IF(ISTEXT(Overig!H291),Overig!H291,100*Overig!H291),""",""????0;"",""???-0;"",""????0;"", ////"""),"'","""")&amp;SUBSTITUTE(TEXT(Overig!I291,""",""?00;"",""?-00;"",""?00;"", //"""),"'","""")&amp;SUBSTITUTE(TEXT(IF(ISTEXT(Overig!J291),Overig!J291,100*Overig!J291),""",""?????0;"",""????-0;"",""?????0;"", /////"""),"'","""")&amp;SUBSTITUTE(TEXT(Overig!K291,""",""?00;"",""?-00;"",""?00;"", //"""),"'","""")&amp;SUBSTITUTE(TEXT(IF(ISTEXT(Overig!L291),Overig!L291,10*Overig!L291),""",""????0;"",""???-0;"",""????0;"", ////"""),"'","""")&amp;SUBSTITUTE(TEXT(Overig!M291,""",""?00;"",""?-00;"",""?00;"", //"""),"'","""")&amp;SUBSTITUTE(TEXT(IF(ISTEXT(Overig!N291),Overig!N291,10*Overig!N291),""",""????0;"",""???-0;"",""????0;"", ////"""),"'","""")&amp;SUBSTITUTE(TEXT(Overig!O291,""",""?00;"",""?-00;"",""?00;"", //"""),"'","""")&amp;SUBSTITUTE(TEXT(IF(ISTEXT(Overig!P291),Overig!P291,10*Overig!P291),""",""????0;"",""???-0;"",""????0;"", ////"""),"'","""")&amp;SUBSTITUTE(TEXT(Overig!Q291,""",""?00;"",""?-00;"",""?00;"", //"""),"'","""")&amp;SUBSTITUTE(TEXT(IF(ISTEXT(Overig!R291),Overig!R291,10*Overig!R291),""",""????0;"",""???-0;"",""????0;"", ////"""),"'","""")&amp;SUBSTITUTE(TEXT(Overig!S291,""",""?00;"",""?-00;"",""?00;"", //"""),"'","""")&amp;SUBSTITUTE(TEXT(Overig!T291,""",""???0;"",""??-0;"",""???0;"", ///"""),"'","""")&amp;SUBSTITUTE(TEXT(Overig!U291,""",""?00;"",""?-00;"",""?00;"", //"""),"'","""")&amp;SUBSTITUTE(TEXT(IF(ISTEXT(Overig!V291),Overig!V291,10*Overig!V291),""",""???0;"",""??-0;"",""???0;"", ///"""),"'","""")&amp;SUBSTITUTE(TEXT(Overig!W291,""",""?00;"",""?-00;"",""?00;"", //"""),"'","""")&amp;SUBSTITUTE(TEXT(IF(ISTEXT(Overig!X291),Overig!X291,10*Overig!X291),""",""????0;"",""???-0;"",""????0;"", ////"""),"'","""")&amp;SUBSTITUTE(TEXT(Overig!Y291,""",""?00;"",""?-00;"",""?00;"", //"""),"'","""")&amp;SUBSTITUTE(TEXT(IF(ISTEXT(Overig!Z291),Overig!Z291,10*Overig!Z291),""",""????0;"",""???-0;"",""????0;"", ////"""),"'","""")&amp;SUBSTITUTE(TEXT(Overig!AA291,""",""?00;"",""?-00;"",""?00;"", //"""),"'","""")&amp;SUBSTITUTE(TEXT(Overig!AB291,""",""???0;"",""??-0;"",""???0;"", ///"""),"'","""")&amp;SUBSTITUTE(TEXT(Overig!AC291,""",""?00;"",""?-00;"",""?00;"", //"""),"'","""")&amp;SUBSTITUTE(TEXT(IF(ISTEXT(Overig!AD291),Overig!AD291,10*Overig!AD291),""",""????0;"",""???-0;"",""????0;"", ////"""),"'","""")&amp;SUBSTITUTE(TEXT(Overig!AE291,""",""?00;"",""?-00;"",""?00;"", //"""),"'","""")&amp;SUBSTITUTE(TEXT(IF(ISTEXT(Overig!AF291),Overig!AF291,10*Overig!AF291),""",""????0;"",""???-0;"",""????0;"", ////"""),"'","""")&amp;SUBSTITUTE(TEXT(Overig!AG291,""",""?00;"",""?-00;"",""?00;"", //"""),"'","""")&amp;SUBSTITUTE(TEXT(Overig!AH291,""",""???0;"",""??-0;"",""???0;"", ///"""),"'","""")&amp;SUBSTITUTE(TEXT(Overig!AI291,""",""?00;"",""?-00;"",""?00;"", //"""),"'","""")&amp;SUBSTITUTE(TEXT(Overig!AJ291,""",""??0;"",""?-0;"",""??0;"", //"""),"'","""")&amp;SUBSTITUTE(TEXT(Overig!AK291,""",""?00;"",""?-00;"",""?00;"", //"""),"'","""")&amp;SUBSTITUTE(IF(EXACT(Overig!AL291,"—"),TEXT(Overig!AL291,""",""????0;"",""???-0;"",""????0;"", ////////////,"""),TEXT(Overig!AL291,"\, \'@""',""")&amp;REPT(" ",10-LEN(Overig!AL291))),"'","""")&amp;SUBSTITUTE(TEXT(Overig!AM291,"?00;?-00;?00;"" //"""),"'","""")&amp;SUBSTITUTE(TEXT(Overig!AN291,""",""???0;"",""??-0;"",""???0;"", ///"""),"'","""")&amp;SUBSTITUTE(TEXT(Overig!AO291,""",""?00;"",""?-00;"",""?00;"", //"""),"'","""")</f>
        <v>78989, 19131017, 0800, ////, 07, /////, 07, ////, 07, /////, 07, ////, 07, ////, 07, ////, 07, ////, 07, ///, 07, ///, 07, ////, 07, ////, 07, ///, 07, ////, 07, ////, 07, ///, 07, //, 07, ////////////, 07, ///, 07</v>
      </c>
    </row>
    <row r="292" spans="1:1" x14ac:dyDescent="0.25">
      <c r="A292" s="75" t="str">
        <f ca="1">TEXT(Overig!A292,"000\,")&amp;TEXT(Overig!B292,"?00000000")&amp;TEXT(Overig!C292,""", ""0000")&amp;SUBSTITUTE(TEXT(IF(ISTEXT(Overig!D292),Overig!D292,10*Overig!D292),""",""????0;"",""???-0;"",""????0;"", ////"""),"'","""")&amp;SUBSTITUTE(TEXT(Overig!E292,""",""?00;"",""?-00;"",""?00;"", //"""),"'","""")&amp;SUBSTITUTE(TEXT(IF(ISTEXT(Overig!F292),Overig!F292,100*Overig!F292),""",""?????0;"",""????-0;"",""?????0;"", /////"""),"'","""")&amp;SUBSTITUTE(TEXT(Overig!G292,""",""?00;"",""?-00;"",""?00;"", //"""),"'","""")&amp;SUBSTITUTE(TEXT(IF(ISTEXT(Overig!H292),Overig!H292,100*Overig!H292),""",""????0;"",""???-0;"",""????0;"", ////"""),"'","""")&amp;SUBSTITUTE(TEXT(Overig!I292,""",""?00;"",""?-00;"",""?00;"", //"""),"'","""")&amp;SUBSTITUTE(TEXT(IF(ISTEXT(Overig!J292),Overig!J292,100*Overig!J292),""",""?????0;"",""????-0;"",""?????0;"", /////"""),"'","""")&amp;SUBSTITUTE(TEXT(Overig!K292,""",""?00;"",""?-00;"",""?00;"", //"""),"'","""")&amp;SUBSTITUTE(TEXT(IF(ISTEXT(Overig!L292),Overig!L292,10*Overig!L292),""",""????0;"",""???-0;"",""????0;"", ////"""),"'","""")&amp;SUBSTITUTE(TEXT(Overig!M292,""",""?00;"",""?-00;"",""?00;"", //"""),"'","""")&amp;SUBSTITUTE(TEXT(IF(ISTEXT(Overig!N292),Overig!N292,10*Overig!N292),""",""????0;"",""???-0;"",""????0;"", ////"""),"'","""")&amp;SUBSTITUTE(TEXT(Overig!O292,""",""?00;"",""?-00;"",""?00;"", //"""),"'","""")&amp;SUBSTITUTE(TEXT(IF(ISTEXT(Overig!P292),Overig!P292,10*Overig!P292),""",""????0;"",""???-0;"",""????0;"", ////"""),"'","""")&amp;SUBSTITUTE(TEXT(Overig!Q292,""",""?00;"",""?-00;"",""?00;"", //"""),"'","""")&amp;SUBSTITUTE(TEXT(IF(ISTEXT(Overig!R292),Overig!R292,10*Overig!R292),""",""????0;"",""???-0;"",""????0;"", ////"""),"'","""")&amp;SUBSTITUTE(TEXT(Overig!S292,""",""?00;"",""?-00;"",""?00;"", //"""),"'","""")&amp;SUBSTITUTE(TEXT(Overig!T292,""",""???0;"",""??-0;"",""???0;"", ///"""),"'","""")&amp;SUBSTITUTE(TEXT(Overig!U292,""",""?00;"",""?-00;"",""?00;"", //"""),"'","""")&amp;SUBSTITUTE(TEXT(IF(ISTEXT(Overig!V292),Overig!V292,10*Overig!V292),""",""???0;"",""??-0;"",""???0;"", ///"""),"'","""")&amp;SUBSTITUTE(TEXT(Overig!W292,""",""?00;"",""?-00;"",""?00;"", //"""),"'","""")&amp;SUBSTITUTE(TEXT(IF(ISTEXT(Overig!X292),Overig!X292,10*Overig!X292),""",""????0;"",""???-0;"",""????0;"", ////"""),"'","""")&amp;SUBSTITUTE(TEXT(Overig!Y292,""",""?00;"",""?-00;"",""?00;"", //"""),"'","""")&amp;SUBSTITUTE(TEXT(IF(ISTEXT(Overig!Z292),Overig!Z292,10*Overig!Z292),""",""????0;"",""???-0;"",""????0;"", ////"""),"'","""")&amp;SUBSTITUTE(TEXT(Overig!AA292,""",""?00;"",""?-00;"",""?00;"", //"""),"'","""")&amp;SUBSTITUTE(TEXT(Overig!AB292,""",""???0;"",""??-0;"",""???0;"", ///"""),"'","""")&amp;SUBSTITUTE(TEXT(Overig!AC292,""",""?00;"",""?-00;"",""?00;"", //"""),"'","""")&amp;SUBSTITUTE(TEXT(IF(ISTEXT(Overig!AD292),Overig!AD292,10*Overig!AD292),""",""????0;"",""???-0;"",""????0;"", ////"""),"'","""")&amp;SUBSTITUTE(TEXT(Overig!AE292,""",""?00;"",""?-00;"",""?00;"", //"""),"'","""")&amp;SUBSTITUTE(TEXT(IF(ISTEXT(Overig!AF292),Overig!AF292,10*Overig!AF292),""",""????0;"",""???-0;"",""????0;"", ////"""),"'","""")&amp;SUBSTITUTE(TEXT(Overig!AG292,""",""?00;"",""?-00;"",""?00;"", //"""),"'","""")&amp;SUBSTITUTE(TEXT(Overig!AH292,""",""???0;"",""??-0;"",""???0;"", ///"""),"'","""")&amp;SUBSTITUTE(TEXT(Overig!AI292,""",""?00;"",""?-00;"",""?00;"", //"""),"'","""")&amp;SUBSTITUTE(TEXT(Overig!AJ292,""",""??0;"",""?-0;"",""??0;"", //"""),"'","""")&amp;SUBSTITUTE(TEXT(Overig!AK292,""",""?00;"",""?-00;"",""?00;"", //"""),"'","""")&amp;SUBSTITUTE(IF(EXACT(Overig!AL292,"—"),TEXT(Overig!AL292,""",""????0;"",""???-0;"",""????0;"", ////////////,"""),TEXT(Overig!AL292,"\, \'@""',""")&amp;REPT(" ",10-LEN(Overig!AL292))),"'","""")&amp;SUBSTITUTE(TEXT(Overig!AM292,"?00;?-00;?00;"" //"""),"'","""")&amp;SUBSTITUTE(TEXT(Overig!AN292,""",""???0;"",""??-0;"",""???0;"", ///"""),"'","""")&amp;SUBSTITUTE(TEXT(Overig!AO292,""",""?00;"",""?-00;"",""?00;"", //"""),"'","""")</f>
        <v>78989, 19131018, 0800, ////, 07, /////, 07, ////, 07, /////, 07, ////, 07, ////, 07, ////, 07, ////, 07, ///, 07, ///, 07, ////, 07, ////, 07, ///, 07, ////, 07, ////, 07, ///, 07, //, 07, ////////////, 07, ///, 07</v>
      </c>
    </row>
    <row r="293" spans="1:1" x14ac:dyDescent="0.25">
      <c r="A293" s="75" t="str">
        <f ca="1">TEXT(Overig!A293,"000\,")&amp;TEXT(Overig!B293,"?00000000")&amp;TEXT(Overig!C293,""", ""0000")&amp;SUBSTITUTE(TEXT(IF(ISTEXT(Overig!D293),Overig!D293,10*Overig!D293),""",""????0;"",""???-0;"",""????0;"", ////"""),"'","""")&amp;SUBSTITUTE(TEXT(Overig!E293,""",""?00;"",""?-00;"",""?00;"", //"""),"'","""")&amp;SUBSTITUTE(TEXT(IF(ISTEXT(Overig!F293),Overig!F293,100*Overig!F293),""",""?????0;"",""????-0;"",""?????0;"", /////"""),"'","""")&amp;SUBSTITUTE(TEXT(Overig!G293,""",""?00;"",""?-00;"",""?00;"", //"""),"'","""")&amp;SUBSTITUTE(TEXT(IF(ISTEXT(Overig!H293),Overig!H293,100*Overig!H293),""",""????0;"",""???-0;"",""????0;"", ////"""),"'","""")&amp;SUBSTITUTE(TEXT(Overig!I293,""",""?00;"",""?-00;"",""?00;"", //"""),"'","""")&amp;SUBSTITUTE(TEXT(IF(ISTEXT(Overig!J293),Overig!J293,100*Overig!J293),""",""?????0;"",""????-0;"",""?????0;"", /////"""),"'","""")&amp;SUBSTITUTE(TEXT(Overig!K293,""",""?00;"",""?-00;"",""?00;"", //"""),"'","""")&amp;SUBSTITUTE(TEXT(IF(ISTEXT(Overig!L293),Overig!L293,10*Overig!L293),""",""????0;"",""???-0;"",""????0;"", ////"""),"'","""")&amp;SUBSTITUTE(TEXT(Overig!M293,""",""?00;"",""?-00;"",""?00;"", //"""),"'","""")&amp;SUBSTITUTE(TEXT(IF(ISTEXT(Overig!N293),Overig!N293,10*Overig!N293),""",""????0;"",""???-0;"",""????0;"", ////"""),"'","""")&amp;SUBSTITUTE(TEXT(Overig!O293,""",""?00;"",""?-00;"",""?00;"", //"""),"'","""")&amp;SUBSTITUTE(TEXT(IF(ISTEXT(Overig!P293),Overig!P293,10*Overig!P293),""",""????0;"",""???-0;"",""????0;"", ////"""),"'","""")&amp;SUBSTITUTE(TEXT(Overig!Q293,""",""?00;"",""?-00;"",""?00;"", //"""),"'","""")&amp;SUBSTITUTE(TEXT(IF(ISTEXT(Overig!R293),Overig!R293,10*Overig!R293),""",""????0;"",""???-0;"",""????0;"", ////"""),"'","""")&amp;SUBSTITUTE(TEXT(Overig!S293,""",""?00;"",""?-00;"",""?00;"", //"""),"'","""")&amp;SUBSTITUTE(TEXT(Overig!T293,""",""???0;"",""??-0;"",""???0;"", ///"""),"'","""")&amp;SUBSTITUTE(TEXT(Overig!U293,""",""?00;"",""?-00;"",""?00;"", //"""),"'","""")&amp;SUBSTITUTE(TEXT(IF(ISTEXT(Overig!V293),Overig!V293,10*Overig!V293),""",""???0;"",""??-0;"",""???0;"", ///"""),"'","""")&amp;SUBSTITUTE(TEXT(Overig!W293,""",""?00;"",""?-00;"",""?00;"", //"""),"'","""")&amp;SUBSTITUTE(TEXT(IF(ISTEXT(Overig!X293),Overig!X293,10*Overig!X293),""",""????0;"",""???-0;"",""????0;"", ////"""),"'","""")&amp;SUBSTITUTE(TEXT(Overig!Y293,""",""?00;"",""?-00;"",""?00;"", //"""),"'","""")&amp;SUBSTITUTE(TEXT(IF(ISTEXT(Overig!Z293),Overig!Z293,10*Overig!Z293),""",""????0;"",""???-0;"",""????0;"", ////"""),"'","""")&amp;SUBSTITUTE(TEXT(Overig!AA293,""",""?00;"",""?-00;"",""?00;"", //"""),"'","""")&amp;SUBSTITUTE(TEXT(Overig!AB293,""",""???0;"",""??-0;"",""???0;"", ///"""),"'","""")&amp;SUBSTITUTE(TEXT(Overig!AC293,""",""?00;"",""?-00;"",""?00;"", //"""),"'","""")&amp;SUBSTITUTE(TEXT(IF(ISTEXT(Overig!AD293),Overig!AD293,10*Overig!AD293),""",""????0;"",""???-0;"",""????0;"", ////"""),"'","""")&amp;SUBSTITUTE(TEXT(Overig!AE293,""",""?00;"",""?-00;"",""?00;"", //"""),"'","""")&amp;SUBSTITUTE(TEXT(IF(ISTEXT(Overig!AF293),Overig!AF293,10*Overig!AF293),""",""????0;"",""???-0;"",""????0;"", ////"""),"'","""")&amp;SUBSTITUTE(TEXT(Overig!AG293,""",""?00;"",""?-00;"",""?00;"", //"""),"'","""")&amp;SUBSTITUTE(TEXT(Overig!AH293,""",""???0;"",""??-0;"",""???0;"", ///"""),"'","""")&amp;SUBSTITUTE(TEXT(Overig!AI293,""",""?00;"",""?-00;"",""?00;"", //"""),"'","""")&amp;SUBSTITUTE(TEXT(Overig!AJ293,""",""??0;"",""?-0;"",""??0;"", //"""),"'","""")&amp;SUBSTITUTE(TEXT(Overig!AK293,""",""?00;"",""?-00;"",""?00;"", //"""),"'","""")&amp;SUBSTITUTE(IF(EXACT(Overig!AL293,"—"),TEXT(Overig!AL293,""",""????0;"",""???-0;"",""????0;"", ////////////,"""),TEXT(Overig!AL293,"\, \'@""',""")&amp;REPT(" ",10-LEN(Overig!AL293))),"'","""")&amp;SUBSTITUTE(TEXT(Overig!AM293,"?00;?-00;?00;"" //"""),"'","""")&amp;SUBSTITUTE(TEXT(Overig!AN293,""",""???0;"",""??-0;"",""???0;"", ///"""),"'","""")&amp;SUBSTITUTE(TEXT(Overig!AO293,""",""?00;"",""?-00;"",""?00;"", //"""),"'","""")</f>
        <v>78989, 19131019, 0800, ////, 07, /////, 07, ////, 07, /////, 07, ////, 07, ////, 07, ////, 07, ////, 07, ///, 07, ///, 07, ////, 07, ////, 07, ///, 07, ////, 07, ////, 07, ///, 07, //, 07, ////////////, 07, ///, 07</v>
      </c>
    </row>
    <row r="294" spans="1:1" x14ac:dyDescent="0.25">
      <c r="A294" s="75" t="str">
        <f ca="1">TEXT(Overig!A294,"000\,")&amp;TEXT(Overig!B294,"?00000000")&amp;TEXT(Overig!C294,""", ""0000")&amp;SUBSTITUTE(TEXT(IF(ISTEXT(Overig!D294),Overig!D294,10*Overig!D294),""",""????0;"",""???-0;"",""????0;"", ////"""),"'","""")&amp;SUBSTITUTE(TEXT(Overig!E294,""",""?00;"",""?-00;"",""?00;"", //"""),"'","""")&amp;SUBSTITUTE(TEXT(IF(ISTEXT(Overig!F294),Overig!F294,100*Overig!F294),""",""?????0;"",""????-0;"",""?????0;"", /////"""),"'","""")&amp;SUBSTITUTE(TEXT(Overig!G294,""",""?00;"",""?-00;"",""?00;"", //"""),"'","""")&amp;SUBSTITUTE(TEXT(IF(ISTEXT(Overig!H294),Overig!H294,100*Overig!H294),""",""????0;"",""???-0;"",""????0;"", ////"""),"'","""")&amp;SUBSTITUTE(TEXT(Overig!I294,""",""?00;"",""?-00;"",""?00;"", //"""),"'","""")&amp;SUBSTITUTE(TEXT(IF(ISTEXT(Overig!J294),Overig!J294,100*Overig!J294),""",""?????0;"",""????-0;"",""?????0;"", /////"""),"'","""")&amp;SUBSTITUTE(TEXT(Overig!K294,""",""?00;"",""?-00;"",""?00;"", //"""),"'","""")&amp;SUBSTITUTE(TEXT(IF(ISTEXT(Overig!L294),Overig!L294,10*Overig!L294),""",""????0;"",""???-0;"",""????0;"", ////"""),"'","""")&amp;SUBSTITUTE(TEXT(Overig!M294,""",""?00;"",""?-00;"",""?00;"", //"""),"'","""")&amp;SUBSTITUTE(TEXT(IF(ISTEXT(Overig!N294),Overig!N294,10*Overig!N294),""",""????0;"",""???-0;"",""????0;"", ////"""),"'","""")&amp;SUBSTITUTE(TEXT(Overig!O294,""",""?00;"",""?-00;"",""?00;"", //"""),"'","""")&amp;SUBSTITUTE(TEXT(IF(ISTEXT(Overig!P294),Overig!P294,10*Overig!P294),""",""????0;"",""???-0;"",""????0;"", ////"""),"'","""")&amp;SUBSTITUTE(TEXT(Overig!Q294,""",""?00;"",""?-00;"",""?00;"", //"""),"'","""")&amp;SUBSTITUTE(TEXT(IF(ISTEXT(Overig!R294),Overig!R294,10*Overig!R294),""",""????0;"",""???-0;"",""????0;"", ////"""),"'","""")&amp;SUBSTITUTE(TEXT(Overig!S294,""",""?00;"",""?-00;"",""?00;"", //"""),"'","""")&amp;SUBSTITUTE(TEXT(Overig!T294,""",""???0;"",""??-0;"",""???0;"", ///"""),"'","""")&amp;SUBSTITUTE(TEXT(Overig!U294,""",""?00;"",""?-00;"",""?00;"", //"""),"'","""")&amp;SUBSTITUTE(TEXT(IF(ISTEXT(Overig!V294),Overig!V294,10*Overig!V294),""",""???0;"",""??-0;"",""???0;"", ///"""),"'","""")&amp;SUBSTITUTE(TEXT(Overig!W294,""",""?00;"",""?-00;"",""?00;"", //"""),"'","""")&amp;SUBSTITUTE(TEXT(IF(ISTEXT(Overig!X294),Overig!X294,10*Overig!X294),""",""????0;"",""???-0;"",""????0;"", ////"""),"'","""")&amp;SUBSTITUTE(TEXT(Overig!Y294,""",""?00;"",""?-00;"",""?00;"", //"""),"'","""")&amp;SUBSTITUTE(TEXT(IF(ISTEXT(Overig!Z294),Overig!Z294,10*Overig!Z294),""",""????0;"",""???-0;"",""????0;"", ////"""),"'","""")&amp;SUBSTITUTE(TEXT(Overig!AA294,""",""?00;"",""?-00;"",""?00;"", //"""),"'","""")&amp;SUBSTITUTE(TEXT(Overig!AB294,""",""???0;"",""??-0;"",""???0;"", ///"""),"'","""")&amp;SUBSTITUTE(TEXT(Overig!AC294,""",""?00;"",""?-00;"",""?00;"", //"""),"'","""")&amp;SUBSTITUTE(TEXT(IF(ISTEXT(Overig!AD294),Overig!AD294,10*Overig!AD294),""",""????0;"",""???-0;"",""????0;"", ////"""),"'","""")&amp;SUBSTITUTE(TEXT(Overig!AE294,""",""?00;"",""?-00;"",""?00;"", //"""),"'","""")&amp;SUBSTITUTE(TEXT(IF(ISTEXT(Overig!AF294),Overig!AF294,10*Overig!AF294),""",""????0;"",""???-0;"",""????0;"", ////"""),"'","""")&amp;SUBSTITUTE(TEXT(Overig!AG294,""",""?00;"",""?-00;"",""?00;"", //"""),"'","""")&amp;SUBSTITUTE(TEXT(Overig!AH294,""",""???0;"",""??-0;"",""???0;"", ///"""),"'","""")&amp;SUBSTITUTE(TEXT(Overig!AI294,""",""?00;"",""?-00;"",""?00;"", //"""),"'","""")&amp;SUBSTITUTE(TEXT(Overig!AJ294,""",""??0;"",""?-0;"",""??0;"", //"""),"'","""")&amp;SUBSTITUTE(TEXT(Overig!AK294,""",""?00;"",""?-00;"",""?00;"", //"""),"'","""")&amp;SUBSTITUTE(IF(EXACT(Overig!AL294,"—"),TEXT(Overig!AL294,""",""????0;"",""???-0;"",""????0;"", ////////////,"""),TEXT(Overig!AL294,"\, \'@""',""")&amp;REPT(" ",10-LEN(Overig!AL294))),"'","""")&amp;SUBSTITUTE(TEXT(Overig!AM294,"?00;?-00;?00;"" //"""),"'","""")&amp;SUBSTITUTE(TEXT(Overig!AN294,""",""???0;"",""??-0;"",""???0;"", ///"""),"'","""")&amp;SUBSTITUTE(TEXT(Overig!AO294,""",""?00;"",""?-00;"",""?00;"", //"""),"'","""")</f>
        <v>78989, 19131020, 0800, ////, 07, /////, 07, ////, 07, /////, 07, ////, 07, ////, 07, ////, 07, ////, 07, ///, 07, ///, 07, ////, 07, ////, 07, ///, 07, ////, 07, ////, 07, ///, 07, //, 07, ////////////, 07, ///, 07</v>
      </c>
    </row>
    <row r="295" spans="1:1" x14ac:dyDescent="0.25">
      <c r="A295" s="75" t="str">
        <f ca="1">TEXT(Overig!A295,"000\,")&amp;TEXT(Overig!B295,"?00000000")&amp;TEXT(Overig!C295,""", ""0000")&amp;SUBSTITUTE(TEXT(IF(ISTEXT(Overig!D295),Overig!D295,10*Overig!D295),""",""????0;"",""???-0;"",""????0;"", ////"""),"'","""")&amp;SUBSTITUTE(TEXT(Overig!E295,""",""?00;"",""?-00;"",""?00;"", //"""),"'","""")&amp;SUBSTITUTE(TEXT(IF(ISTEXT(Overig!F295),Overig!F295,100*Overig!F295),""",""?????0;"",""????-0;"",""?????0;"", /////"""),"'","""")&amp;SUBSTITUTE(TEXT(Overig!G295,""",""?00;"",""?-00;"",""?00;"", //"""),"'","""")&amp;SUBSTITUTE(TEXT(IF(ISTEXT(Overig!H295),Overig!H295,100*Overig!H295),""",""????0;"",""???-0;"",""????0;"", ////"""),"'","""")&amp;SUBSTITUTE(TEXT(Overig!I295,""",""?00;"",""?-00;"",""?00;"", //"""),"'","""")&amp;SUBSTITUTE(TEXT(IF(ISTEXT(Overig!J295),Overig!J295,100*Overig!J295),""",""?????0;"",""????-0;"",""?????0;"", /////"""),"'","""")&amp;SUBSTITUTE(TEXT(Overig!K295,""",""?00;"",""?-00;"",""?00;"", //"""),"'","""")&amp;SUBSTITUTE(TEXT(IF(ISTEXT(Overig!L295),Overig!L295,10*Overig!L295),""",""????0;"",""???-0;"",""????0;"", ////"""),"'","""")&amp;SUBSTITUTE(TEXT(Overig!M295,""",""?00;"",""?-00;"",""?00;"", //"""),"'","""")&amp;SUBSTITUTE(TEXT(IF(ISTEXT(Overig!N295),Overig!N295,10*Overig!N295),""",""????0;"",""???-0;"",""????0;"", ////"""),"'","""")&amp;SUBSTITUTE(TEXT(Overig!O295,""",""?00;"",""?-00;"",""?00;"", //"""),"'","""")&amp;SUBSTITUTE(TEXT(IF(ISTEXT(Overig!P295),Overig!P295,10*Overig!P295),""",""????0;"",""???-0;"",""????0;"", ////"""),"'","""")&amp;SUBSTITUTE(TEXT(Overig!Q295,""",""?00;"",""?-00;"",""?00;"", //"""),"'","""")&amp;SUBSTITUTE(TEXT(IF(ISTEXT(Overig!R295),Overig!R295,10*Overig!R295),""",""????0;"",""???-0;"",""????0;"", ////"""),"'","""")&amp;SUBSTITUTE(TEXT(Overig!S295,""",""?00;"",""?-00;"",""?00;"", //"""),"'","""")&amp;SUBSTITUTE(TEXT(Overig!T295,""",""???0;"",""??-0;"",""???0;"", ///"""),"'","""")&amp;SUBSTITUTE(TEXT(Overig!U295,""",""?00;"",""?-00;"",""?00;"", //"""),"'","""")&amp;SUBSTITUTE(TEXT(IF(ISTEXT(Overig!V295),Overig!V295,10*Overig!V295),""",""???0;"",""??-0;"",""???0;"", ///"""),"'","""")&amp;SUBSTITUTE(TEXT(Overig!W295,""",""?00;"",""?-00;"",""?00;"", //"""),"'","""")&amp;SUBSTITUTE(TEXT(IF(ISTEXT(Overig!X295),Overig!X295,10*Overig!X295),""",""????0;"",""???-0;"",""????0;"", ////"""),"'","""")&amp;SUBSTITUTE(TEXT(Overig!Y295,""",""?00;"",""?-00;"",""?00;"", //"""),"'","""")&amp;SUBSTITUTE(TEXT(IF(ISTEXT(Overig!Z295),Overig!Z295,10*Overig!Z295),""",""????0;"",""???-0;"",""????0;"", ////"""),"'","""")&amp;SUBSTITUTE(TEXT(Overig!AA295,""",""?00;"",""?-00;"",""?00;"", //"""),"'","""")&amp;SUBSTITUTE(TEXT(Overig!AB295,""",""???0;"",""??-0;"",""???0;"", ///"""),"'","""")&amp;SUBSTITUTE(TEXT(Overig!AC295,""",""?00;"",""?-00;"",""?00;"", //"""),"'","""")&amp;SUBSTITUTE(TEXT(IF(ISTEXT(Overig!AD295),Overig!AD295,10*Overig!AD295),""",""????0;"",""???-0;"",""????0;"", ////"""),"'","""")&amp;SUBSTITUTE(TEXT(Overig!AE295,""",""?00;"",""?-00;"",""?00;"", //"""),"'","""")&amp;SUBSTITUTE(TEXT(IF(ISTEXT(Overig!AF295),Overig!AF295,10*Overig!AF295),""",""????0;"",""???-0;"",""????0;"", ////"""),"'","""")&amp;SUBSTITUTE(TEXT(Overig!AG295,""",""?00;"",""?-00;"",""?00;"", //"""),"'","""")&amp;SUBSTITUTE(TEXT(Overig!AH295,""",""???0;"",""??-0;"",""???0;"", ///"""),"'","""")&amp;SUBSTITUTE(TEXT(Overig!AI295,""",""?00;"",""?-00;"",""?00;"", //"""),"'","""")&amp;SUBSTITUTE(TEXT(Overig!AJ295,""",""??0;"",""?-0;"",""??0;"", //"""),"'","""")&amp;SUBSTITUTE(TEXT(Overig!AK295,""",""?00;"",""?-00;"",""?00;"", //"""),"'","""")&amp;SUBSTITUTE(IF(EXACT(Overig!AL295,"—"),TEXT(Overig!AL295,""",""????0;"",""???-0;"",""????0;"", ////////////,"""),TEXT(Overig!AL295,"\, \'@""',""")&amp;REPT(" ",10-LEN(Overig!AL295))),"'","""")&amp;SUBSTITUTE(TEXT(Overig!AM295,"?00;?-00;?00;"" //"""),"'","""")&amp;SUBSTITUTE(TEXT(Overig!AN295,""",""???0;"",""??-0;"",""???0;"", ///"""),"'","""")&amp;SUBSTITUTE(TEXT(Overig!AO295,""",""?00;"",""?-00;"",""?00;"", //"""),"'","""")</f>
        <v>78989, 19131021, 0800, ////, 07, /////, 07, ////, 07, /////, 07, ////, 07, ////, 07, ////, 07, ////, 07, ///, 07, ///, 07, ////, 07, ////, 07, ///, 07, ////, 07, ////, 07, ///, 07, //, 07, ////////////, 07, ///, 07</v>
      </c>
    </row>
    <row r="296" spans="1:1" x14ac:dyDescent="0.25">
      <c r="A296" s="75" t="str">
        <f ca="1">TEXT(Overig!A296,"000\,")&amp;TEXT(Overig!B296,"?00000000")&amp;TEXT(Overig!C296,""", ""0000")&amp;SUBSTITUTE(TEXT(IF(ISTEXT(Overig!D296),Overig!D296,10*Overig!D296),""",""????0;"",""???-0;"",""????0;"", ////"""),"'","""")&amp;SUBSTITUTE(TEXT(Overig!E296,""",""?00;"",""?-00;"",""?00;"", //"""),"'","""")&amp;SUBSTITUTE(TEXT(IF(ISTEXT(Overig!F296),Overig!F296,100*Overig!F296),""",""?????0;"",""????-0;"",""?????0;"", /////"""),"'","""")&amp;SUBSTITUTE(TEXT(Overig!G296,""",""?00;"",""?-00;"",""?00;"", //"""),"'","""")&amp;SUBSTITUTE(TEXT(IF(ISTEXT(Overig!H296),Overig!H296,100*Overig!H296),""",""????0;"",""???-0;"",""????0;"", ////"""),"'","""")&amp;SUBSTITUTE(TEXT(Overig!I296,""",""?00;"",""?-00;"",""?00;"", //"""),"'","""")&amp;SUBSTITUTE(TEXT(IF(ISTEXT(Overig!J296),Overig!J296,100*Overig!J296),""",""?????0;"",""????-0;"",""?????0;"", /////"""),"'","""")&amp;SUBSTITUTE(TEXT(Overig!K296,""",""?00;"",""?-00;"",""?00;"", //"""),"'","""")&amp;SUBSTITUTE(TEXT(IF(ISTEXT(Overig!L296),Overig!L296,10*Overig!L296),""",""????0;"",""???-0;"",""????0;"", ////"""),"'","""")&amp;SUBSTITUTE(TEXT(Overig!M296,""",""?00;"",""?-00;"",""?00;"", //"""),"'","""")&amp;SUBSTITUTE(TEXT(IF(ISTEXT(Overig!N296),Overig!N296,10*Overig!N296),""",""????0;"",""???-0;"",""????0;"", ////"""),"'","""")&amp;SUBSTITUTE(TEXT(Overig!O296,""",""?00;"",""?-00;"",""?00;"", //"""),"'","""")&amp;SUBSTITUTE(TEXT(IF(ISTEXT(Overig!P296),Overig!P296,10*Overig!P296),""",""????0;"",""???-0;"",""????0;"", ////"""),"'","""")&amp;SUBSTITUTE(TEXT(Overig!Q296,""",""?00;"",""?-00;"",""?00;"", //"""),"'","""")&amp;SUBSTITUTE(TEXT(IF(ISTEXT(Overig!R296),Overig!R296,10*Overig!R296),""",""????0;"",""???-0;"",""????0;"", ////"""),"'","""")&amp;SUBSTITUTE(TEXT(Overig!S296,""",""?00;"",""?-00;"",""?00;"", //"""),"'","""")&amp;SUBSTITUTE(TEXT(Overig!T296,""",""???0;"",""??-0;"",""???0;"", ///"""),"'","""")&amp;SUBSTITUTE(TEXT(Overig!U296,""",""?00;"",""?-00;"",""?00;"", //"""),"'","""")&amp;SUBSTITUTE(TEXT(IF(ISTEXT(Overig!V296),Overig!V296,10*Overig!V296),""",""???0;"",""??-0;"",""???0;"", ///"""),"'","""")&amp;SUBSTITUTE(TEXT(Overig!W296,""",""?00;"",""?-00;"",""?00;"", //"""),"'","""")&amp;SUBSTITUTE(TEXT(IF(ISTEXT(Overig!X296),Overig!X296,10*Overig!X296),""",""????0;"",""???-0;"",""????0;"", ////"""),"'","""")&amp;SUBSTITUTE(TEXT(Overig!Y296,""",""?00;"",""?-00;"",""?00;"", //"""),"'","""")&amp;SUBSTITUTE(TEXT(IF(ISTEXT(Overig!Z296),Overig!Z296,10*Overig!Z296),""",""????0;"",""???-0;"",""????0;"", ////"""),"'","""")&amp;SUBSTITUTE(TEXT(Overig!AA296,""",""?00;"",""?-00;"",""?00;"", //"""),"'","""")&amp;SUBSTITUTE(TEXT(Overig!AB296,""",""???0;"",""??-0;"",""???0;"", ///"""),"'","""")&amp;SUBSTITUTE(TEXT(Overig!AC296,""",""?00;"",""?-00;"",""?00;"", //"""),"'","""")&amp;SUBSTITUTE(TEXT(IF(ISTEXT(Overig!AD296),Overig!AD296,10*Overig!AD296),""",""????0;"",""???-0;"",""????0;"", ////"""),"'","""")&amp;SUBSTITUTE(TEXT(Overig!AE296,""",""?00;"",""?-00;"",""?00;"", //"""),"'","""")&amp;SUBSTITUTE(TEXT(IF(ISTEXT(Overig!AF296),Overig!AF296,10*Overig!AF296),""",""????0;"",""???-0;"",""????0;"", ////"""),"'","""")&amp;SUBSTITUTE(TEXT(Overig!AG296,""",""?00;"",""?-00;"",""?00;"", //"""),"'","""")&amp;SUBSTITUTE(TEXT(Overig!AH296,""",""???0;"",""??-0;"",""???0;"", ///"""),"'","""")&amp;SUBSTITUTE(TEXT(Overig!AI296,""",""?00;"",""?-00;"",""?00;"", //"""),"'","""")&amp;SUBSTITUTE(TEXT(Overig!AJ296,""",""??0;"",""?-0;"",""??0;"", //"""),"'","""")&amp;SUBSTITUTE(TEXT(Overig!AK296,""",""?00;"",""?-00;"",""?00;"", //"""),"'","""")&amp;SUBSTITUTE(IF(EXACT(Overig!AL296,"—"),TEXT(Overig!AL296,""",""????0;"",""???-0;"",""????0;"", ////////////,"""),TEXT(Overig!AL296,"\, \'@""',""")&amp;REPT(" ",10-LEN(Overig!AL296))),"'","""")&amp;SUBSTITUTE(TEXT(Overig!AM296,"?00;?-00;?00;"" //"""),"'","""")&amp;SUBSTITUTE(TEXT(Overig!AN296,""",""???0;"",""??-0;"",""???0;"", ///"""),"'","""")&amp;SUBSTITUTE(TEXT(Overig!AO296,""",""?00;"",""?-00;"",""?00;"", //"""),"'","""")</f>
        <v>78989, 19131022, 0800, ////, 07, /////, 07, ////, 07, /////, 07, ////, 07, ////, 07, ////, 07, ////, 07, ///, 07, ///, 07, ////, 07, ////, 07, ///, 07, ////, 07, ////, 07, ///, 07, //, 07, ////////////, 07, ///, 07</v>
      </c>
    </row>
    <row r="297" spans="1:1" x14ac:dyDescent="0.25">
      <c r="A297" s="75" t="str">
        <f ca="1">TEXT(Overig!A297,"000\,")&amp;TEXT(Overig!B297,"?00000000")&amp;TEXT(Overig!C297,""", ""0000")&amp;SUBSTITUTE(TEXT(IF(ISTEXT(Overig!D297),Overig!D297,10*Overig!D297),""",""????0;"",""???-0;"",""????0;"", ////"""),"'","""")&amp;SUBSTITUTE(TEXT(Overig!E297,""",""?00;"",""?-00;"",""?00;"", //"""),"'","""")&amp;SUBSTITUTE(TEXT(IF(ISTEXT(Overig!F297),Overig!F297,100*Overig!F297),""",""?????0;"",""????-0;"",""?????0;"", /////"""),"'","""")&amp;SUBSTITUTE(TEXT(Overig!G297,""",""?00;"",""?-00;"",""?00;"", //"""),"'","""")&amp;SUBSTITUTE(TEXT(IF(ISTEXT(Overig!H297),Overig!H297,100*Overig!H297),""",""????0;"",""???-0;"",""????0;"", ////"""),"'","""")&amp;SUBSTITUTE(TEXT(Overig!I297,""",""?00;"",""?-00;"",""?00;"", //"""),"'","""")&amp;SUBSTITUTE(TEXT(IF(ISTEXT(Overig!J297),Overig!J297,100*Overig!J297),""",""?????0;"",""????-0;"",""?????0;"", /////"""),"'","""")&amp;SUBSTITUTE(TEXT(Overig!K297,""",""?00;"",""?-00;"",""?00;"", //"""),"'","""")&amp;SUBSTITUTE(TEXT(IF(ISTEXT(Overig!L297),Overig!L297,10*Overig!L297),""",""????0;"",""???-0;"",""????0;"", ////"""),"'","""")&amp;SUBSTITUTE(TEXT(Overig!M297,""",""?00;"",""?-00;"",""?00;"", //"""),"'","""")&amp;SUBSTITUTE(TEXT(IF(ISTEXT(Overig!N297),Overig!N297,10*Overig!N297),""",""????0;"",""???-0;"",""????0;"", ////"""),"'","""")&amp;SUBSTITUTE(TEXT(Overig!O297,""",""?00;"",""?-00;"",""?00;"", //"""),"'","""")&amp;SUBSTITUTE(TEXT(IF(ISTEXT(Overig!P297),Overig!P297,10*Overig!P297),""",""????0;"",""???-0;"",""????0;"", ////"""),"'","""")&amp;SUBSTITUTE(TEXT(Overig!Q297,""",""?00;"",""?-00;"",""?00;"", //"""),"'","""")&amp;SUBSTITUTE(TEXT(IF(ISTEXT(Overig!R297),Overig!R297,10*Overig!R297),""",""????0;"",""???-0;"",""????0;"", ////"""),"'","""")&amp;SUBSTITUTE(TEXT(Overig!S297,""",""?00;"",""?-00;"",""?00;"", //"""),"'","""")&amp;SUBSTITUTE(TEXT(Overig!T297,""",""???0;"",""??-0;"",""???0;"", ///"""),"'","""")&amp;SUBSTITUTE(TEXT(Overig!U297,""",""?00;"",""?-00;"",""?00;"", //"""),"'","""")&amp;SUBSTITUTE(TEXT(IF(ISTEXT(Overig!V297),Overig!V297,10*Overig!V297),""",""???0;"",""??-0;"",""???0;"", ///"""),"'","""")&amp;SUBSTITUTE(TEXT(Overig!W297,""",""?00;"",""?-00;"",""?00;"", //"""),"'","""")&amp;SUBSTITUTE(TEXT(IF(ISTEXT(Overig!X297),Overig!X297,10*Overig!X297),""",""????0;"",""???-0;"",""????0;"", ////"""),"'","""")&amp;SUBSTITUTE(TEXT(Overig!Y297,""",""?00;"",""?-00;"",""?00;"", //"""),"'","""")&amp;SUBSTITUTE(TEXT(IF(ISTEXT(Overig!Z297),Overig!Z297,10*Overig!Z297),""",""????0;"",""???-0;"",""????0;"", ////"""),"'","""")&amp;SUBSTITUTE(TEXT(Overig!AA297,""",""?00;"",""?-00;"",""?00;"", //"""),"'","""")&amp;SUBSTITUTE(TEXT(Overig!AB297,""",""???0;"",""??-0;"",""???0;"", ///"""),"'","""")&amp;SUBSTITUTE(TEXT(Overig!AC297,""",""?00;"",""?-00;"",""?00;"", //"""),"'","""")&amp;SUBSTITUTE(TEXT(IF(ISTEXT(Overig!AD297),Overig!AD297,10*Overig!AD297),""",""????0;"",""???-0;"",""????0;"", ////"""),"'","""")&amp;SUBSTITUTE(TEXT(Overig!AE297,""",""?00;"",""?-00;"",""?00;"", //"""),"'","""")&amp;SUBSTITUTE(TEXT(IF(ISTEXT(Overig!AF297),Overig!AF297,10*Overig!AF297),""",""????0;"",""???-0;"",""????0;"", ////"""),"'","""")&amp;SUBSTITUTE(TEXT(Overig!AG297,""",""?00;"",""?-00;"",""?00;"", //"""),"'","""")&amp;SUBSTITUTE(TEXT(Overig!AH297,""",""???0;"",""??-0;"",""???0;"", ///"""),"'","""")&amp;SUBSTITUTE(TEXT(Overig!AI297,""",""?00;"",""?-00;"",""?00;"", //"""),"'","""")&amp;SUBSTITUTE(TEXT(Overig!AJ297,""",""??0;"",""?-0;"",""??0;"", //"""),"'","""")&amp;SUBSTITUTE(TEXT(Overig!AK297,""",""?00;"",""?-00;"",""?00;"", //"""),"'","""")&amp;SUBSTITUTE(IF(EXACT(Overig!AL297,"—"),TEXT(Overig!AL297,""",""????0;"",""???-0;"",""????0;"", ////////////,"""),TEXT(Overig!AL297,"\, \'@""',""")&amp;REPT(" ",10-LEN(Overig!AL297))),"'","""")&amp;SUBSTITUTE(TEXT(Overig!AM297,"?00;?-00;?00;"" //"""),"'","""")&amp;SUBSTITUTE(TEXT(Overig!AN297,""",""???0;"",""??-0;"",""???0;"", ///"""),"'","""")&amp;SUBSTITUTE(TEXT(Overig!AO297,""",""?00;"",""?-00;"",""?00;"", //"""),"'","""")</f>
        <v>78989, 19131023, 0800, ////, 07, /////, 07, ////, 07, /////, 07, ////, 07, ////, 07, ////, 07, ////, 07, ///, 07, ///, 07, ////, 07, ////, 07, ///, 07, ////, 07, ////, 07, ///, 07, //, 07, ////////////, 07, ///, 07</v>
      </c>
    </row>
    <row r="298" spans="1:1" x14ac:dyDescent="0.25">
      <c r="A298" s="75" t="str">
        <f ca="1">TEXT(Overig!A298,"000\,")&amp;TEXT(Overig!B298,"?00000000")&amp;TEXT(Overig!C298,""", ""0000")&amp;SUBSTITUTE(TEXT(IF(ISTEXT(Overig!D298),Overig!D298,10*Overig!D298),""",""????0;"",""???-0;"",""????0;"", ////"""),"'","""")&amp;SUBSTITUTE(TEXT(Overig!E298,""",""?00;"",""?-00;"",""?00;"", //"""),"'","""")&amp;SUBSTITUTE(TEXT(IF(ISTEXT(Overig!F298),Overig!F298,100*Overig!F298),""",""?????0;"",""????-0;"",""?????0;"", /////"""),"'","""")&amp;SUBSTITUTE(TEXT(Overig!G298,""",""?00;"",""?-00;"",""?00;"", //"""),"'","""")&amp;SUBSTITUTE(TEXT(IF(ISTEXT(Overig!H298),Overig!H298,100*Overig!H298),""",""????0;"",""???-0;"",""????0;"", ////"""),"'","""")&amp;SUBSTITUTE(TEXT(Overig!I298,""",""?00;"",""?-00;"",""?00;"", //"""),"'","""")&amp;SUBSTITUTE(TEXT(IF(ISTEXT(Overig!J298),Overig!J298,100*Overig!J298),""",""?????0;"",""????-0;"",""?????0;"", /////"""),"'","""")&amp;SUBSTITUTE(TEXT(Overig!K298,""",""?00;"",""?-00;"",""?00;"", //"""),"'","""")&amp;SUBSTITUTE(TEXT(IF(ISTEXT(Overig!L298),Overig!L298,10*Overig!L298),""",""????0;"",""???-0;"",""????0;"", ////"""),"'","""")&amp;SUBSTITUTE(TEXT(Overig!M298,""",""?00;"",""?-00;"",""?00;"", //"""),"'","""")&amp;SUBSTITUTE(TEXT(IF(ISTEXT(Overig!N298),Overig!N298,10*Overig!N298),""",""????0;"",""???-0;"",""????0;"", ////"""),"'","""")&amp;SUBSTITUTE(TEXT(Overig!O298,""",""?00;"",""?-00;"",""?00;"", //"""),"'","""")&amp;SUBSTITUTE(TEXT(IF(ISTEXT(Overig!P298),Overig!P298,10*Overig!P298),""",""????0;"",""???-0;"",""????0;"", ////"""),"'","""")&amp;SUBSTITUTE(TEXT(Overig!Q298,""",""?00;"",""?-00;"",""?00;"", //"""),"'","""")&amp;SUBSTITUTE(TEXT(IF(ISTEXT(Overig!R298),Overig!R298,10*Overig!R298),""",""????0;"",""???-0;"",""????0;"", ////"""),"'","""")&amp;SUBSTITUTE(TEXT(Overig!S298,""",""?00;"",""?-00;"",""?00;"", //"""),"'","""")&amp;SUBSTITUTE(TEXT(Overig!T298,""",""???0;"",""??-0;"",""???0;"", ///"""),"'","""")&amp;SUBSTITUTE(TEXT(Overig!U298,""",""?00;"",""?-00;"",""?00;"", //"""),"'","""")&amp;SUBSTITUTE(TEXT(IF(ISTEXT(Overig!V298),Overig!V298,10*Overig!V298),""",""???0;"",""??-0;"",""???0;"", ///"""),"'","""")&amp;SUBSTITUTE(TEXT(Overig!W298,""",""?00;"",""?-00;"",""?00;"", //"""),"'","""")&amp;SUBSTITUTE(TEXT(IF(ISTEXT(Overig!X298),Overig!X298,10*Overig!X298),""",""????0;"",""???-0;"",""????0;"", ////"""),"'","""")&amp;SUBSTITUTE(TEXT(Overig!Y298,""",""?00;"",""?-00;"",""?00;"", //"""),"'","""")&amp;SUBSTITUTE(TEXT(IF(ISTEXT(Overig!Z298),Overig!Z298,10*Overig!Z298),""",""????0;"",""???-0;"",""????0;"", ////"""),"'","""")&amp;SUBSTITUTE(TEXT(Overig!AA298,""",""?00;"",""?-00;"",""?00;"", //"""),"'","""")&amp;SUBSTITUTE(TEXT(Overig!AB298,""",""???0;"",""??-0;"",""???0;"", ///"""),"'","""")&amp;SUBSTITUTE(TEXT(Overig!AC298,""",""?00;"",""?-00;"",""?00;"", //"""),"'","""")&amp;SUBSTITUTE(TEXT(IF(ISTEXT(Overig!AD298),Overig!AD298,10*Overig!AD298),""",""????0;"",""???-0;"",""????0;"", ////"""),"'","""")&amp;SUBSTITUTE(TEXT(Overig!AE298,""",""?00;"",""?-00;"",""?00;"", //"""),"'","""")&amp;SUBSTITUTE(TEXT(IF(ISTEXT(Overig!AF298),Overig!AF298,10*Overig!AF298),""",""????0;"",""???-0;"",""????0;"", ////"""),"'","""")&amp;SUBSTITUTE(TEXT(Overig!AG298,""",""?00;"",""?-00;"",""?00;"", //"""),"'","""")&amp;SUBSTITUTE(TEXT(Overig!AH298,""",""???0;"",""??-0;"",""???0;"", ///"""),"'","""")&amp;SUBSTITUTE(TEXT(Overig!AI298,""",""?00;"",""?-00;"",""?00;"", //"""),"'","""")&amp;SUBSTITUTE(TEXT(Overig!AJ298,""",""??0;"",""?-0;"",""??0;"", //"""),"'","""")&amp;SUBSTITUTE(TEXT(Overig!AK298,""",""?00;"",""?-00;"",""?00;"", //"""),"'","""")&amp;SUBSTITUTE(IF(EXACT(Overig!AL298,"—"),TEXT(Overig!AL298,""",""????0;"",""???-0;"",""????0;"", ////////////,"""),TEXT(Overig!AL298,"\, \'@""',""")&amp;REPT(" ",10-LEN(Overig!AL298))),"'","""")&amp;SUBSTITUTE(TEXT(Overig!AM298,"?00;?-00;?00;"" //"""),"'","""")&amp;SUBSTITUTE(TEXT(Overig!AN298,""",""???0;"",""??-0;"",""???0;"", ///"""),"'","""")&amp;SUBSTITUTE(TEXT(Overig!AO298,""",""?00;"",""?-00;"",""?00;"", //"""),"'","""")</f>
        <v>78989, 19131024, 0800, ////, 07, /////, 07, ////, 07, /////, 07, ////, 07, ////, 07, ////, 07, ////, 07, ///, 07, ///, 07, ////, 07, ////, 07, ///, 07, ////, 07, ////, 07, ///, 07, //, 07, ////////////, 07, ///, 07</v>
      </c>
    </row>
    <row r="299" spans="1:1" x14ac:dyDescent="0.25">
      <c r="A299" s="75" t="str">
        <f ca="1">TEXT(Overig!A299,"000\,")&amp;TEXT(Overig!B299,"?00000000")&amp;TEXT(Overig!C299,""", ""0000")&amp;SUBSTITUTE(TEXT(IF(ISTEXT(Overig!D299),Overig!D299,10*Overig!D299),""",""????0;"",""???-0;"",""????0;"", ////"""),"'","""")&amp;SUBSTITUTE(TEXT(Overig!E299,""",""?00;"",""?-00;"",""?00;"", //"""),"'","""")&amp;SUBSTITUTE(TEXT(IF(ISTEXT(Overig!F299),Overig!F299,100*Overig!F299),""",""?????0;"",""????-0;"",""?????0;"", /////"""),"'","""")&amp;SUBSTITUTE(TEXT(Overig!G299,""",""?00;"",""?-00;"",""?00;"", //"""),"'","""")&amp;SUBSTITUTE(TEXT(IF(ISTEXT(Overig!H299),Overig!H299,100*Overig!H299),""",""????0;"",""???-0;"",""????0;"", ////"""),"'","""")&amp;SUBSTITUTE(TEXT(Overig!I299,""",""?00;"",""?-00;"",""?00;"", //"""),"'","""")&amp;SUBSTITUTE(TEXT(IF(ISTEXT(Overig!J299),Overig!J299,100*Overig!J299),""",""?????0;"",""????-0;"",""?????0;"", /////"""),"'","""")&amp;SUBSTITUTE(TEXT(Overig!K299,""",""?00;"",""?-00;"",""?00;"", //"""),"'","""")&amp;SUBSTITUTE(TEXT(IF(ISTEXT(Overig!L299),Overig!L299,10*Overig!L299),""",""????0;"",""???-0;"",""????0;"", ////"""),"'","""")&amp;SUBSTITUTE(TEXT(Overig!M299,""",""?00;"",""?-00;"",""?00;"", //"""),"'","""")&amp;SUBSTITUTE(TEXT(IF(ISTEXT(Overig!N299),Overig!N299,10*Overig!N299),""",""????0;"",""???-0;"",""????0;"", ////"""),"'","""")&amp;SUBSTITUTE(TEXT(Overig!O299,""",""?00;"",""?-00;"",""?00;"", //"""),"'","""")&amp;SUBSTITUTE(TEXT(IF(ISTEXT(Overig!P299),Overig!P299,10*Overig!P299),""",""????0;"",""???-0;"",""????0;"", ////"""),"'","""")&amp;SUBSTITUTE(TEXT(Overig!Q299,""",""?00;"",""?-00;"",""?00;"", //"""),"'","""")&amp;SUBSTITUTE(TEXT(IF(ISTEXT(Overig!R299),Overig!R299,10*Overig!R299),""",""????0;"",""???-0;"",""????0;"", ////"""),"'","""")&amp;SUBSTITUTE(TEXT(Overig!S299,""",""?00;"",""?-00;"",""?00;"", //"""),"'","""")&amp;SUBSTITUTE(TEXT(Overig!T299,""",""???0;"",""??-0;"",""???0;"", ///"""),"'","""")&amp;SUBSTITUTE(TEXT(Overig!U299,""",""?00;"",""?-00;"",""?00;"", //"""),"'","""")&amp;SUBSTITUTE(TEXT(IF(ISTEXT(Overig!V299),Overig!V299,10*Overig!V299),""",""???0;"",""??-0;"",""???0;"", ///"""),"'","""")&amp;SUBSTITUTE(TEXT(Overig!W299,""",""?00;"",""?-00;"",""?00;"", //"""),"'","""")&amp;SUBSTITUTE(TEXT(IF(ISTEXT(Overig!X299),Overig!X299,10*Overig!X299),""",""????0;"",""???-0;"",""????0;"", ////"""),"'","""")&amp;SUBSTITUTE(TEXT(Overig!Y299,""",""?00;"",""?-00;"",""?00;"", //"""),"'","""")&amp;SUBSTITUTE(TEXT(IF(ISTEXT(Overig!Z299),Overig!Z299,10*Overig!Z299),""",""????0;"",""???-0;"",""????0;"", ////"""),"'","""")&amp;SUBSTITUTE(TEXT(Overig!AA299,""",""?00;"",""?-00;"",""?00;"", //"""),"'","""")&amp;SUBSTITUTE(TEXT(Overig!AB299,""",""???0;"",""??-0;"",""???0;"", ///"""),"'","""")&amp;SUBSTITUTE(TEXT(Overig!AC299,""",""?00;"",""?-00;"",""?00;"", //"""),"'","""")&amp;SUBSTITUTE(TEXT(IF(ISTEXT(Overig!AD299),Overig!AD299,10*Overig!AD299),""",""????0;"",""???-0;"",""????0;"", ////"""),"'","""")&amp;SUBSTITUTE(TEXT(Overig!AE299,""",""?00;"",""?-00;"",""?00;"", //"""),"'","""")&amp;SUBSTITUTE(TEXT(IF(ISTEXT(Overig!AF299),Overig!AF299,10*Overig!AF299),""",""????0;"",""???-0;"",""????0;"", ////"""),"'","""")&amp;SUBSTITUTE(TEXT(Overig!AG299,""",""?00;"",""?-00;"",""?00;"", //"""),"'","""")&amp;SUBSTITUTE(TEXT(Overig!AH299,""",""???0;"",""??-0;"",""???0;"", ///"""),"'","""")&amp;SUBSTITUTE(TEXT(Overig!AI299,""",""?00;"",""?-00;"",""?00;"", //"""),"'","""")&amp;SUBSTITUTE(TEXT(Overig!AJ299,""",""??0;"",""?-0;"",""??0;"", //"""),"'","""")&amp;SUBSTITUTE(TEXT(Overig!AK299,""",""?00;"",""?-00;"",""?00;"", //"""),"'","""")&amp;SUBSTITUTE(IF(EXACT(Overig!AL299,"—"),TEXT(Overig!AL299,""",""????0;"",""???-0;"",""????0;"", ////////////,"""),TEXT(Overig!AL299,"\, \'@""',""")&amp;REPT(" ",10-LEN(Overig!AL299))),"'","""")&amp;SUBSTITUTE(TEXT(Overig!AM299,"?00;?-00;?00;"" //"""),"'","""")&amp;SUBSTITUTE(TEXT(Overig!AN299,""",""???0;"",""??-0;"",""???0;"", ///"""),"'","""")&amp;SUBSTITUTE(TEXT(Overig!AO299,""",""?00;"",""?-00;"",""?00;"", //"""),"'","""")</f>
        <v>78989, 19131025, 0800, ////, 07, /////, 07, ////, 07, /////, 07, ////, 07, ////, 07, ////, 07, ////, 07, ///, 07, ///, 07, ////, 07, ////, 07, ///, 07, ////, 07, ////, 07, ///, 07, //, 07, ////////////, 07, ///, 07</v>
      </c>
    </row>
    <row r="300" spans="1:1" x14ac:dyDescent="0.25">
      <c r="A300" s="75" t="str">
        <f ca="1">TEXT(Overig!A300,"000\,")&amp;TEXT(Overig!B300,"?00000000")&amp;TEXT(Overig!C300,""", ""0000")&amp;SUBSTITUTE(TEXT(IF(ISTEXT(Overig!D300),Overig!D300,10*Overig!D300),""",""????0;"",""???-0;"",""????0;"", ////"""),"'","""")&amp;SUBSTITUTE(TEXT(Overig!E300,""",""?00;"",""?-00;"",""?00;"", //"""),"'","""")&amp;SUBSTITUTE(TEXT(IF(ISTEXT(Overig!F300),Overig!F300,100*Overig!F300),""",""?????0;"",""????-0;"",""?????0;"", /////"""),"'","""")&amp;SUBSTITUTE(TEXT(Overig!G300,""",""?00;"",""?-00;"",""?00;"", //"""),"'","""")&amp;SUBSTITUTE(TEXT(IF(ISTEXT(Overig!H300),Overig!H300,100*Overig!H300),""",""????0;"",""???-0;"",""????0;"", ////"""),"'","""")&amp;SUBSTITUTE(TEXT(Overig!I300,""",""?00;"",""?-00;"",""?00;"", //"""),"'","""")&amp;SUBSTITUTE(TEXT(IF(ISTEXT(Overig!J300),Overig!J300,100*Overig!J300),""",""?????0;"",""????-0;"",""?????0;"", /////"""),"'","""")&amp;SUBSTITUTE(TEXT(Overig!K300,""",""?00;"",""?-00;"",""?00;"", //"""),"'","""")&amp;SUBSTITUTE(TEXT(IF(ISTEXT(Overig!L300),Overig!L300,10*Overig!L300),""",""????0;"",""???-0;"",""????0;"", ////"""),"'","""")&amp;SUBSTITUTE(TEXT(Overig!M300,""",""?00;"",""?-00;"",""?00;"", //"""),"'","""")&amp;SUBSTITUTE(TEXT(IF(ISTEXT(Overig!N300),Overig!N300,10*Overig!N300),""",""????0;"",""???-0;"",""????0;"", ////"""),"'","""")&amp;SUBSTITUTE(TEXT(Overig!O300,""",""?00;"",""?-00;"",""?00;"", //"""),"'","""")&amp;SUBSTITUTE(TEXT(IF(ISTEXT(Overig!P300),Overig!P300,10*Overig!P300),""",""????0;"",""???-0;"",""????0;"", ////"""),"'","""")&amp;SUBSTITUTE(TEXT(Overig!Q300,""",""?00;"",""?-00;"",""?00;"", //"""),"'","""")&amp;SUBSTITUTE(TEXT(IF(ISTEXT(Overig!R300),Overig!R300,10*Overig!R300),""",""????0;"",""???-0;"",""????0;"", ////"""),"'","""")&amp;SUBSTITUTE(TEXT(Overig!S300,""",""?00;"",""?-00;"",""?00;"", //"""),"'","""")&amp;SUBSTITUTE(TEXT(Overig!T300,""",""???0;"",""??-0;"",""???0;"", ///"""),"'","""")&amp;SUBSTITUTE(TEXT(Overig!U300,""",""?00;"",""?-00;"",""?00;"", //"""),"'","""")&amp;SUBSTITUTE(TEXT(IF(ISTEXT(Overig!V300),Overig!V300,10*Overig!V300),""",""???0;"",""??-0;"",""???0;"", ///"""),"'","""")&amp;SUBSTITUTE(TEXT(Overig!W300,""",""?00;"",""?-00;"",""?00;"", //"""),"'","""")&amp;SUBSTITUTE(TEXT(IF(ISTEXT(Overig!X300),Overig!X300,10*Overig!X300),""",""????0;"",""???-0;"",""????0;"", ////"""),"'","""")&amp;SUBSTITUTE(TEXT(Overig!Y300,""",""?00;"",""?-00;"",""?00;"", //"""),"'","""")&amp;SUBSTITUTE(TEXT(IF(ISTEXT(Overig!Z300),Overig!Z300,10*Overig!Z300),""",""????0;"",""???-0;"",""????0;"", ////"""),"'","""")&amp;SUBSTITUTE(TEXT(Overig!AA300,""",""?00;"",""?-00;"",""?00;"", //"""),"'","""")&amp;SUBSTITUTE(TEXT(Overig!AB300,""",""???0;"",""??-0;"",""???0;"", ///"""),"'","""")&amp;SUBSTITUTE(TEXT(Overig!AC300,""",""?00;"",""?-00;"",""?00;"", //"""),"'","""")&amp;SUBSTITUTE(TEXT(IF(ISTEXT(Overig!AD300),Overig!AD300,10*Overig!AD300),""",""????0;"",""???-0;"",""????0;"", ////"""),"'","""")&amp;SUBSTITUTE(TEXT(Overig!AE300,""",""?00;"",""?-00;"",""?00;"", //"""),"'","""")&amp;SUBSTITUTE(TEXT(IF(ISTEXT(Overig!AF300),Overig!AF300,10*Overig!AF300),""",""????0;"",""???-0;"",""????0;"", ////"""),"'","""")&amp;SUBSTITUTE(TEXT(Overig!AG300,""",""?00;"",""?-00;"",""?00;"", //"""),"'","""")&amp;SUBSTITUTE(TEXT(Overig!AH300,""",""???0;"",""??-0;"",""???0;"", ///"""),"'","""")&amp;SUBSTITUTE(TEXT(Overig!AI300,""",""?00;"",""?-00;"",""?00;"", //"""),"'","""")&amp;SUBSTITUTE(TEXT(Overig!AJ300,""",""??0;"",""?-0;"",""??0;"", //"""),"'","""")&amp;SUBSTITUTE(TEXT(Overig!AK300,""",""?00;"",""?-00;"",""?00;"", //"""),"'","""")&amp;SUBSTITUTE(IF(EXACT(Overig!AL300,"—"),TEXT(Overig!AL300,""",""????0;"",""???-0;"",""????0;"", ////////////,"""),TEXT(Overig!AL300,"\, \'@""',""")&amp;REPT(" ",10-LEN(Overig!AL300))),"'","""")&amp;SUBSTITUTE(TEXT(Overig!AM300,"?00;?-00;?00;"" //"""),"'","""")&amp;SUBSTITUTE(TEXT(Overig!AN300,""",""???0;"",""??-0;"",""???0;"", ///"""),"'","""")&amp;SUBSTITUTE(TEXT(Overig!AO300,""",""?00;"",""?-00;"",""?00;"", //"""),"'","""")</f>
        <v>78989, 19131026, 0800, ////, 07, /////, 07, ////, 07, /////, 07, ////, 07, ////, 07, ////, 07, ////, 07, ///, 07, ///, 07, ////, 07, ////, 07, ///, 07, ////, 07, ////, 07, ///, 07, //, 07, ////////////, 07, ///, 07</v>
      </c>
    </row>
    <row r="301" spans="1:1" x14ac:dyDescent="0.25">
      <c r="A301" s="75" t="str">
        <f ca="1">TEXT(Overig!A301,"000\,")&amp;TEXT(Overig!B301,"?00000000")&amp;TEXT(Overig!C301,""", ""0000")&amp;SUBSTITUTE(TEXT(IF(ISTEXT(Overig!D301),Overig!D301,10*Overig!D301),""",""????0;"",""???-0;"",""????0;"", ////"""),"'","""")&amp;SUBSTITUTE(TEXT(Overig!E301,""",""?00;"",""?-00;"",""?00;"", //"""),"'","""")&amp;SUBSTITUTE(TEXT(IF(ISTEXT(Overig!F301),Overig!F301,100*Overig!F301),""",""?????0;"",""????-0;"",""?????0;"", /////"""),"'","""")&amp;SUBSTITUTE(TEXT(Overig!G301,""",""?00;"",""?-00;"",""?00;"", //"""),"'","""")&amp;SUBSTITUTE(TEXT(IF(ISTEXT(Overig!H301),Overig!H301,100*Overig!H301),""",""????0;"",""???-0;"",""????0;"", ////"""),"'","""")&amp;SUBSTITUTE(TEXT(Overig!I301,""",""?00;"",""?-00;"",""?00;"", //"""),"'","""")&amp;SUBSTITUTE(TEXT(IF(ISTEXT(Overig!J301),Overig!J301,100*Overig!J301),""",""?????0;"",""????-0;"",""?????0;"", /////"""),"'","""")&amp;SUBSTITUTE(TEXT(Overig!K301,""",""?00;"",""?-00;"",""?00;"", //"""),"'","""")&amp;SUBSTITUTE(TEXT(IF(ISTEXT(Overig!L301),Overig!L301,10*Overig!L301),""",""????0;"",""???-0;"",""????0;"", ////"""),"'","""")&amp;SUBSTITUTE(TEXT(Overig!M301,""",""?00;"",""?-00;"",""?00;"", //"""),"'","""")&amp;SUBSTITUTE(TEXT(IF(ISTEXT(Overig!N301),Overig!N301,10*Overig!N301),""",""????0;"",""???-0;"",""????0;"", ////"""),"'","""")&amp;SUBSTITUTE(TEXT(Overig!O301,""",""?00;"",""?-00;"",""?00;"", //"""),"'","""")&amp;SUBSTITUTE(TEXT(IF(ISTEXT(Overig!P301),Overig!P301,10*Overig!P301),""",""????0;"",""???-0;"",""????0;"", ////"""),"'","""")&amp;SUBSTITUTE(TEXT(Overig!Q301,""",""?00;"",""?-00;"",""?00;"", //"""),"'","""")&amp;SUBSTITUTE(TEXT(IF(ISTEXT(Overig!R301),Overig!R301,10*Overig!R301),""",""????0;"",""???-0;"",""????0;"", ////"""),"'","""")&amp;SUBSTITUTE(TEXT(Overig!S301,""",""?00;"",""?-00;"",""?00;"", //"""),"'","""")&amp;SUBSTITUTE(TEXT(Overig!T301,""",""???0;"",""??-0;"",""???0;"", ///"""),"'","""")&amp;SUBSTITUTE(TEXT(Overig!U301,""",""?00;"",""?-00;"",""?00;"", //"""),"'","""")&amp;SUBSTITUTE(TEXT(IF(ISTEXT(Overig!V301),Overig!V301,10*Overig!V301),""",""???0;"",""??-0;"",""???0;"", ///"""),"'","""")&amp;SUBSTITUTE(TEXT(Overig!W301,""",""?00;"",""?-00;"",""?00;"", //"""),"'","""")&amp;SUBSTITUTE(TEXT(IF(ISTEXT(Overig!X301),Overig!X301,10*Overig!X301),""",""????0;"",""???-0;"",""????0;"", ////"""),"'","""")&amp;SUBSTITUTE(TEXT(Overig!Y301,""",""?00;"",""?-00;"",""?00;"", //"""),"'","""")&amp;SUBSTITUTE(TEXT(IF(ISTEXT(Overig!Z301),Overig!Z301,10*Overig!Z301),""",""????0;"",""???-0;"",""????0;"", ////"""),"'","""")&amp;SUBSTITUTE(TEXT(Overig!AA301,""",""?00;"",""?-00;"",""?00;"", //"""),"'","""")&amp;SUBSTITUTE(TEXT(Overig!AB301,""",""???0;"",""??-0;"",""???0;"", ///"""),"'","""")&amp;SUBSTITUTE(TEXT(Overig!AC301,""",""?00;"",""?-00;"",""?00;"", //"""),"'","""")&amp;SUBSTITUTE(TEXT(IF(ISTEXT(Overig!AD301),Overig!AD301,10*Overig!AD301),""",""????0;"",""???-0;"",""????0;"", ////"""),"'","""")&amp;SUBSTITUTE(TEXT(Overig!AE301,""",""?00;"",""?-00;"",""?00;"", //"""),"'","""")&amp;SUBSTITUTE(TEXT(IF(ISTEXT(Overig!AF301),Overig!AF301,10*Overig!AF301),""",""????0;"",""???-0;"",""????0;"", ////"""),"'","""")&amp;SUBSTITUTE(TEXT(Overig!AG301,""",""?00;"",""?-00;"",""?00;"", //"""),"'","""")&amp;SUBSTITUTE(TEXT(Overig!AH301,""",""???0;"",""??-0;"",""???0;"", ///"""),"'","""")&amp;SUBSTITUTE(TEXT(Overig!AI301,""",""?00;"",""?-00;"",""?00;"", //"""),"'","""")&amp;SUBSTITUTE(TEXT(Overig!AJ301,""",""??0;"",""?-0;"",""??0;"", //"""),"'","""")&amp;SUBSTITUTE(TEXT(Overig!AK301,""",""?00;"",""?-00;"",""?00;"", //"""),"'","""")&amp;SUBSTITUTE(IF(EXACT(Overig!AL301,"—"),TEXT(Overig!AL301,""",""????0;"",""???-0;"",""????0;"", ////////////,"""),TEXT(Overig!AL301,"\, \'@""',""")&amp;REPT(" ",10-LEN(Overig!AL301))),"'","""")&amp;SUBSTITUTE(TEXT(Overig!AM301,"?00;?-00;?00;"" //"""),"'","""")&amp;SUBSTITUTE(TEXT(Overig!AN301,""",""???0;"",""??-0;"",""???0;"", ///"""),"'","""")&amp;SUBSTITUTE(TEXT(Overig!AO301,""",""?00;"",""?-00;"",""?00;"", //"""),"'","""")</f>
        <v>78989, 19131027, 0800, ////, 07, /////, 07, ////, 07, /////, 07, ////, 07, ////, 07, ////, 07, ////, 07, ///, 07, ///, 07, ////, 07, ////, 07, ///, 07, ////, 07, ////, 07, ///, 07, //, 07, ////////////, 07, ///, 07</v>
      </c>
    </row>
    <row r="302" spans="1:1" x14ac:dyDescent="0.25">
      <c r="A302" s="75" t="str">
        <f ca="1">TEXT(Overig!A302,"000\,")&amp;TEXT(Overig!B302,"?00000000")&amp;TEXT(Overig!C302,""", ""0000")&amp;SUBSTITUTE(TEXT(IF(ISTEXT(Overig!D302),Overig!D302,10*Overig!D302),""",""????0;"",""???-0;"",""????0;"", ////"""),"'","""")&amp;SUBSTITUTE(TEXT(Overig!E302,""",""?00;"",""?-00;"",""?00;"", //"""),"'","""")&amp;SUBSTITUTE(TEXT(IF(ISTEXT(Overig!F302),Overig!F302,100*Overig!F302),""",""?????0;"",""????-0;"",""?????0;"", /////"""),"'","""")&amp;SUBSTITUTE(TEXT(Overig!G302,""",""?00;"",""?-00;"",""?00;"", //"""),"'","""")&amp;SUBSTITUTE(TEXT(IF(ISTEXT(Overig!H302),Overig!H302,100*Overig!H302),""",""????0;"",""???-0;"",""????0;"", ////"""),"'","""")&amp;SUBSTITUTE(TEXT(Overig!I302,""",""?00;"",""?-00;"",""?00;"", //"""),"'","""")&amp;SUBSTITUTE(TEXT(IF(ISTEXT(Overig!J302),Overig!J302,100*Overig!J302),""",""?????0;"",""????-0;"",""?????0;"", /////"""),"'","""")&amp;SUBSTITUTE(TEXT(Overig!K302,""",""?00;"",""?-00;"",""?00;"", //"""),"'","""")&amp;SUBSTITUTE(TEXT(IF(ISTEXT(Overig!L302),Overig!L302,10*Overig!L302),""",""????0;"",""???-0;"",""????0;"", ////"""),"'","""")&amp;SUBSTITUTE(TEXT(Overig!M302,""",""?00;"",""?-00;"",""?00;"", //"""),"'","""")&amp;SUBSTITUTE(TEXT(IF(ISTEXT(Overig!N302),Overig!N302,10*Overig!N302),""",""????0;"",""???-0;"",""????0;"", ////"""),"'","""")&amp;SUBSTITUTE(TEXT(Overig!O302,""",""?00;"",""?-00;"",""?00;"", //"""),"'","""")&amp;SUBSTITUTE(TEXT(IF(ISTEXT(Overig!P302),Overig!P302,10*Overig!P302),""",""????0;"",""???-0;"",""????0;"", ////"""),"'","""")&amp;SUBSTITUTE(TEXT(Overig!Q302,""",""?00;"",""?-00;"",""?00;"", //"""),"'","""")&amp;SUBSTITUTE(TEXT(IF(ISTEXT(Overig!R302),Overig!R302,10*Overig!R302),""",""????0;"",""???-0;"",""????0;"", ////"""),"'","""")&amp;SUBSTITUTE(TEXT(Overig!S302,""",""?00;"",""?-00;"",""?00;"", //"""),"'","""")&amp;SUBSTITUTE(TEXT(Overig!T302,""",""???0;"",""??-0;"",""???0;"", ///"""),"'","""")&amp;SUBSTITUTE(TEXT(Overig!U302,""",""?00;"",""?-00;"",""?00;"", //"""),"'","""")&amp;SUBSTITUTE(TEXT(IF(ISTEXT(Overig!V302),Overig!V302,10*Overig!V302),""",""???0;"",""??-0;"",""???0;"", ///"""),"'","""")&amp;SUBSTITUTE(TEXT(Overig!W302,""",""?00;"",""?-00;"",""?00;"", //"""),"'","""")&amp;SUBSTITUTE(TEXT(IF(ISTEXT(Overig!X302),Overig!X302,10*Overig!X302),""",""????0;"",""???-0;"",""????0;"", ////"""),"'","""")&amp;SUBSTITUTE(TEXT(Overig!Y302,""",""?00;"",""?-00;"",""?00;"", //"""),"'","""")&amp;SUBSTITUTE(TEXT(IF(ISTEXT(Overig!Z302),Overig!Z302,10*Overig!Z302),""",""????0;"",""???-0;"",""????0;"", ////"""),"'","""")&amp;SUBSTITUTE(TEXT(Overig!AA302,""",""?00;"",""?-00;"",""?00;"", //"""),"'","""")&amp;SUBSTITUTE(TEXT(Overig!AB302,""",""???0;"",""??-0;"",""???0;"", ///"""),"'","""")&amp;SUBSTITUTE(TEXT(Overig!AC302,""",""?00;"",""?-00;"",""?00;"", //"""),"'","""")&amp;SUBSTITUTE(TEXT(IF(ISTEXT(Overig!AD302),Overig!AD302,10*Overig!AD302),""",""????0;"",""???-0;"",""????0;"", ////"""),"'","""")&amp;SUBSTITUTE(TEXT(Overig!AE302,""",""?00;"",""?-00;"",""?00;"", //"""),"'","""")&amp;SUBSTITUTE(TEXT(IF(ISTEXT(Overig!AF302),Overig!AF302,10*Overig!AF302),""",""????0;"",""???-0;"",""????0;"", ////"""),"'","""")&amp;SUBSTITUTE(TEXT(Overig!AG302,""",""?00;"",""?-00;"",""?00;"", //"""),"'","""")&amp;SUBSTITUTE(TEXT(Overig!AH302,""",""???0;"",""??-0;"",""???0;"", ///"""),"'","""")&amp;SUBSTITUTE(TEXT(Overig!AI302,""",""?00;"",""?-00;"",""?00;"", //"""),"'","""")&amp;SUBSTITUTE(TEXT(Overig!AJ302,""",""??0;"",""?-0;"",""??0;"", //"""),"'","""")&amp;SUBSTITUTE(TEXT(Overig!AK302,""",""?00;"",""?-00;"",""?00;"", //"""),"'","""")&amp;SUBSTITUTE(IF(EXACT(Overig!AL302,"—"),TEXT(Overig!AL302,""",""????0;"",""???-0;"",""????0;"", ////////////,"""),TEXT(Overig!AL302,"\, \'@""',""")&amp;REPT(" ",10-LEN(Overig!AL302))),"'","""")&amp;SUBSTITUTE(TEXT(Overig!AM302,"?00;?-00;?00;"" //"""),"'","""")&amp;SUBSTITUTE(TEXT(Overig!AN302,""",""???0;"",""??-0;"",""???0;"", ///"""),"'","""")&amp;SUBSTITUTE(TEXT(Overig!AO302,""",""?00;"",""?-00;"",""?00;"", //"""),"'","""")</f>
        <v>78989, 19131028, 0800, ////, 07, /////, 07, ////, 07, /////, 07, ////, 07, ////, 07, ////, 07, ////, 07, ///, 07, ///, 07, ////, 07, ////, 07, ///, 07, ////, 07, ////, 07, ///, 07, //, 07, ////////////, 07, ///, 07</v>
      </c>
    </row>
    <row r="303" spans="1:1" x14ac:dyDescent="0.25">
      <c r="A303" s="75" t="str">
        <f ca="1">TEXT(Overig!A303,"000\,")&amp;TEXT(Overig!B303,"?00000000")&amp;TEXT(Overig!C303,""", ""0000")&amp;SUBSTITUTE(TEXT(IF(ISTEXT(Overig!D303),Overig!D303,10*Overig!D303),""",""????0;"",""???-0;"",""????0;"", ////"""),"'","""")&amp;SUBSTITUTE(TEXT(Overig!E303,""",""?00;"",""?-00;"",""?00;"", //"""),"'","""")&amp;SUBSTITUTE(TEXT(IF(ISTEXT(Overig!F303),Overig!F303,100*Overig!F303),""",""?????0;"",""????-0;"",""?????0;"", /////"""),"'","""")&amp;SUBSTITUTE(TEXT(Overig!G303,""",""?00;"",""?-00;"",""?00;"", //"""),"'","""")&amp;SUBSTITUTE(TEXT(IF(ISTEXT(Overig!H303),Overig!H303,100*Overig!H303),""",""????0;"",""???-0;"",""????0;"", ////"""),"'","""")&amp;SUBSTITUTE(TEXT(Overig!I303,""",""?00;"",""?-00;"",""?00;"", //"""),"'","""")&amp;SUBSTITUTE(TEXT(IF(ISTEXT(Overig!J303),Overig!J303,100*Overig!J303),""",""?????0;"",""????-0;"",""?????0;"", /////"""),"'","""")&amp;SUBSTITUTE(TEXT(Overig!K303,""",""?00;"",""?-00;"",""?00;"", //"""),"'","""")&amp;SUBSTITUTE(TEXT(IF(ISTEXT(Overig!L303),Overig!L303,10*Overig!L303),""",""????0;"",""???-0;"",""????0;"", ////"""),"'","""")&amp;SUBSTITUTE(TEXT(Overig!M303,""",""?00;"",""?-00;"",""?00;"", //"""),"'","""")&amp;SUBSTITUTE(TEXT(IF(ISTEXT(Overig!N303),Overig!N303,10*Overig!N303),""",""????0;"",""???-0;"",""????0;"", ////"""),"'","""")&amp;SUBSTITUTE(TEXT(Overig!O303,""",""?00;"",""?-00;"",""?00;"", //"""),"'","""")&amp;SUBSTITUTE(TEXT(IF(ISTEXT(Overig!P303),Overig!P303,10*Overig!P303),""",""????0;"",""???-0;"",""????0;"", ////"""),"'","""")&amp;SUBSTITUTE(TEXT(Overig!Q303,""",""?00;"",""?-00;"",""?00;"", //"""),"'","""")&amp;SUBSTITUTE(TEXT(IF(ISTEXT(Overig!R303),Overig!R303,10*Overig!R303),""",""????0;"",""???-0;"",""????0;"", ////"""),"'","""")&amp;SUBSTITUTE(TEXT(Overig!S303,""",""?00;"",""?-00;"",""?00;"", //"""),"'","""")&amp;SUBSTITUTE(TEXT(Overig!T303,""",""???0;"",""??-0;"",""???0;"", ///"""),"'","""")&amp;SUBSTITUTE(TEXT(Overig!U303,""",""?00;"",""?-00;"",""?00;"", //"""),"'","""")&amp;SUBSTITUTE(TEXT(IF(ISTEXT(Overig!V303),Overig!V303,10*Overig!V303),""",""???0;"",""??-0;"",""???0;"", ///"""),"'","""")&amp;SUBSTITUTE(TEXT(Overig!W303,""",""?00;"",""?-00;"",""?00;"", //"""),"'","""")&amp;SUBSTITUTE(TEXT(IF(ISTEXT(Overig!X303),Overig!X303,10*Overig!X303),""",""????0;"",""???-0;"",""????0;"", ////"""),"'","""")&amp;SUBSTITUTE(TEXT(Overig!Y303,""",""?00;"",""?-00;"",""?00;"", //"""),"'","""")&amp;SUBSTITUTE(TEXT(IF(ISTEXT(Overig!Z303),Overig!Z303,10*Overig!Z303),""",""????0;"",""???-0;"",""????0;"", ////"""),"'","""")&amp;SUBSTITUTE(TEXT(Overig!AA303,""",""?00;"",""?-00;"",""?00;"", //"""),"'","""")&amp;SUBSTITUTE(TEXT(Overig!AB303,""",""???0;"",""??-0;"",""???0;"", ///"""),"'","""")&amp;SUBSTITUTE(TEXT(Overig!AC303,""",""?00;"",""?-00;"",""?00;"", //"""),"'","""")&amp;SUBSTITUTE(TEXT(IF(ISTEXT(Overig!AD303),Overig!AD303,10*Overig!AD303),""",""????0;"",""???-0;"",""????0;"", ////"""),"'","""")&amp;SUBSTITUTE(TEXT(Overig!AE303,""",""?00;"",""?-00;"",""?00;"", //"""),"'","""")&amp;SUBSTITUTE(TEXT(IF(ISTEXT(Overig!AF303),Overig!AF303,10*Overig!AF303),""",""????0;"",""???-0;"",""????0;"", ////"""),"'","""")&amp;SUBSTITUTE(TEXT(Overig!AG303,""",""?00;"",""?-00;"",""?00;"", //"""),"'","""")&amp;SUBSTITUTE(TEXT(Overig!AH303,""",""???0;"",""??-0;"",""???0;"", ///"""),"'","""")&amp;SUBSTITUTE(TEXT(Overig!AI303,""",""?00;"",""?-00;"",""?00;"", //"""),"'","""")&amp;SUBSTITUTE(TEXT(Overig!AJ303,""",""??0;"",""?-0;"",""??0;"", //"""),"'","""")&amp;SUBSTITUTE(TEXT(Overig!AK303,""",""?00;"",""?-00;"",""?00;"", //"""),"'","""")&amp;SUBSTITUTE(IF(EXACT(Overig!AL303,"—"),TEXT(Overig!AL303,""",""????0;"",""???-0;"",""????0;"", ////////////,"""),TEXT(Overig!AL303,"\, \'@""',""")&amp;REPT(" ",10-LEN(Overig!AL303))),"'","""")&amp;SUBSTITUTE(TEXT(Overig!AM303,"?00;?-00;?00;"" //"""),"'","""")&amp;SUBSTITUTE(TEXT(Overig!AN303,""",""???0;"",""??-0;"",""???0;"", ///"""),"'","""")&amp;SUBSTITUTE(TEXT(Overig!AO303,""",""?00;"",""?-00;"",""?00;"", //"""),"'","""")</f>
        <v>78989, 19131029, 0800, ////, 07, /////, 07, ////, 07, /////, 07, ////, 07, ////, 07, ////, 07, ////, 07, ///, 07, ///, 07, ////, 07, ////, 07, ///, 07, ////, 07, ////, 07, ///, 07, //, 07, ////////////, 07, ///, 07</v>
      </c>
    </row>
    <row r="304" spans="1:1" x14ac:dyDescent="0.25">
      <c r="A304" s="75" t="str">
        <f ca="1">TEXT(Overig!A304,"000\,")&amp;TEXT(Overig!B304,"?00000000")&amp;TEXT(Overig!C304,""", ""0000")&amp;SUBSTITUTE(TEXT(IF(ISTEXT(Overig!D304),Overig!D304,10*Overig!D304),""",""????0;"",""???-0;"",""????0;"", ////"""),"'","""")&amp;SUBSTITUTE(TEXT(Overig!E304,""",""?00;"",""?-00;"",""?00;"", //"""),"'","""")&amp;SUBSTITUTE(TEXT(IF(ISTEXT(Overig!F304),Overig!F304,100*Overig!F304),""",""?????0;"",""????-0;"",""?????0;"", /////"""),"'","""")&amp;SUBSTITUTE(TEXT(Overig!G304,""",""?00;"",""?-00;"",""?00;"", //"""),"'","""")&amp;SUBSTITUTE(TEXT(IF(ISTEXT(Overig!H304),Overig!H304,100*Overig!H304),""",""????0;"",""???-0;"",""????0;"", ////"""),"'","""")&amp;SUBSTITUTE(TEXT(Overig!I304,""",""?00;"",""?-00;"",""?00;"", //"""),"'","""")&amp;SUBSTITUTE(TEXT(IF(ISTEXT(Overig!J304),Overig!J304,100*Overig!J304),""",""?????0;"",""????-0;"",""?????0;"", /////"""),"'","""")&amp;SUBSTITUTE(TEXT(Overig!K304,""",""?00;"",""?-00;"",""?00;"", //"""),"'","""")&amp;SUBSTITUTE(TEXT(IF(ISTEXT(Overig!L304),Overig!L304,10*Overig!L304),""",""????0;"",""???-0;"",""????0;"", ////"""),"'","""")&amp;SUBSTITUTE(TEXT(Overig!M304,""",""?00;"",""?-00;"",""?00;"", //"""),"'","""")&amp;SUBSTITUTE(TEXT(IF(ISTEXT(Overig!N304),Overig!N304,10*Overig!N304),""",""????0;"",""???-0;"",""????0;"", ////"""),"'","""")&amp;SUBSTITUTE(TEXT(Overig!O304,""",""?00;"",""?-00;"",""?00;"", //"""),"'","""")&amp;SUBSTITUTE(TEXT(IF(ISTEXT(Overig!P304),Overig!P304,10*Overig!P304),""",""????0;"",""???-0;"",""????0;"", ////"""),"'","""")&amp;SUBSTITUTE(TEXT(Overig!Q304,""",""?00;"",""?-00;"",""?00;"", //"""),"'","""")&amp;SUBSTITUTE(TEXT(IF(ISTEXT(Overig!R304),Overig!R304,10*Overig!R304),""",""????0;"",""???-0;"",""????0;"", ////"""),"'","""")&amp;SUBSTITUTE(TEXT(Overig!S304,""",""?00;"",""?-00;"",""?00;"", //"""),"'","""")&amp;SUBSTITUTE(TEXT(Overig!T304,""",""???0;"",""??-0;"",""???0;"", ///"""),"'","""")&amp;SUBSTITUTE(TEXT(Overig!U304,""",""?00;"",""?-00;"",""?00;"", //"""),"'","""")&amp;SUBSTITUTE(TEXT(IF(ISTEXT(Overig!V304),Overig!V304,10*Overig!V304),""",""???0;"",""??-0;"",""???0;"", ///"""),"'","""")&amp;SUBSTITUTE(TEXT(Overig!W304,""",""?00;"",""?-00;"",""?00;"", //"""),"'","""")&amp;SUBSTITUTE(TEXT(IF(ISTEXT(Overig!X304),Overig!X304,10*Overig!X304),""",""????0;"",""???-0;"",""????0;"", ////"""),"'","""")&amp;SUBSTITUTE(TEXT(Overig!Y304,""",""?00;"",""?-00;"",""?00;"", //"""),"'","""")&amp;SUBSTITUTE(TEXT(IF(ISTEXT(Overig!Z304),Overig!Z304,10*Overig!Z304),""",""????0;"",""???-0;"",""????0;"", ////"""),"'","""")&amp;SUBSTITUTE(TEXT(Overig!AA304,""",""?00;"",""?-00;"",""?00;"", //"""),"'","""")&amp;SUBSTITUTE(TEXT(Overig!AB304,""",""???0;"",""??-0;"",""???0;"", ///"""),"'","""")&amp;SUBSTITUTE(TEXT(Overig!AC304,""",""?00;"",""?-00;"",""?00;"", //"""),"'","""")&amp;SUBSTITUTE(TEXT(IF(ISTEXT(Overig!AD304),Overig!AD304,10*Overig!AD304),""",""????0;"",""???-0;"",""????0;"", ////"""),"'","""")&amp;SUBSTITUTE(TEXT(Overig!AE304,""",""?00;"",""?-00;"",""?00;"", //"""),"'","""")&amp;SUBSTITUTE(TEXT(IF(ISTEXT(Overig!AF304),Overig!AF304,10*Overig!AF304),""",""????0;"",""???-0;"",""????0;"", ////"""),"'","""")&amp;SUBSTITUTE(TEXT(Overig!AG304,""",""?00;"",""?-00;"",""?00;"", //"""),"'","""")&amp;SUBSTITUTE(TEXT(Overig!AH304,""",""???0;"",""??-0;"",""???0;"", ///"""),"'","""")&amp;SUBSTITUTE(TEXT(Overig!AI304,""",""?00;"",""?-00;"",""?00;"", //"""),"'","""")&amp;SUBSTITUTE(TEXT(Overig!AJ304,""",""??0;"",""?-0;"",""??0;"", //"""),"'","""")&amp;SUBSTITUTE(TEXT(Overig!AK304,""",""?00;"",""?-00;"",""?00;"", //"""),"'","""")&amp;SUBSTITUTE(IF(EXACT(Overig!AL304,"—"),TEXT(Overig!AL304,""",""????0;"",""???-0;"",""????0;"", ////////////,"""),TEXT(Overig!AL304,"\, \'@""',""")&amp;REPT(" ",10-LEN(Overig!AL304))),"'","""")&amp;SUBSTITUTE(TEXT(Overig!AM304,"?00;?-00;?00;"" //"""),"'","""")&amp;SUBSTITUTE(TEXT(Overig!AN304,""",""???0;"",""??-0;"",""???0;"", ///"""),"'","""")&amp;SUBSTITUTE(TEXT(Overig!AO304,""",""?00;"",""?-00;"",""?00;"", //"""),"'","""")</f>
        <v>78989, 19131030, 0800, ////, 07, /////, 07, ////, 07, /////, 07, ////, 07, ////, 07, ////, 07, ////, 07, ///, 07, ///, 07, ////, 07, ////, 07, ///, 07, ////, 07, ////, 07, ///, 07, //, 07, ////////////, 07, ///, 07</v>
      </c>
    </row>
    <row r="305" spans="1:1" x14ac:dyDescent="0.25">
      <c r="A305" s="75" t="str">
        <f ca="1">TEXT(Overig!A305,"000\,")&amp;TEXT(Overig!B305,"?00000000")&amp;TEXT(Overig!C305,""", ""0000")&amp;SUBSTITUTE(TEXT(IF(ISTEXT(Overig!D305),Overig!D305,10*Overig!D305),""",""????0;"",""???-0;"",""????0;"", ////"""),"'","""")&amp;SUBSTITUTE(TEXT(Overig!E305,""",""?00;"",""?-00;"",""?00;"", //"""),"'","""")&amp;SUBSTITUTE(TEXT(IF(ISTEXT(Overig!F305),Overig!F305,100*Overig!F305),""",""?????0;"",""????-0;"",""?????0;"", /////"""),"'","""")&amp;SUBSTITUTE(TEXT(Overig!G305,""",""?00;"",""?-00;"",""?00;"", //"""),"'","""")&amp;SUBSTITUTE(TEXT(IF(ISTEXT(Overig!H305),Overig!H305,100*Overig!H305),""",""????0;"",""???-0;"",""????0;"", ////"""),"'","""")&amp;SUBSTITUTE(TEXT(Overig!I305,""",""?00;"",""?-00;"",""?00;"", //"""),"'","""")&amp;SUBSTITUTE(TEXT(IF(ISTEXT(Overig!J305),Overig!J305,100*Overig!J305),""",""?????0;"",""????-0;"",""?????0;"", /////"""),"'","""")&amp;SUBSTITUTE(TEXT(Overig!K305,""",""?00;"",""?-00;"",""?00;"", //"""),"'","""")&amp;SUBSTITUTE(TEXT(IF(ISTEXT(Overig!L305),Overig!L305,10*Overig!L305),""",""????0;"",""???-0;"",""????0;"", ////"""),"'","""")&amp;SUBSTITUTE(TEXT(Overig!M305,""",""?00;"",""?-00;"",""?00;"", //"""),"'","""")&amp;SUBSTITUTE(TEXT(IF(ISTEXT(Overig!N305),Overig!N305,10*Overig!N305),""",""????0;"",""???-0;"",""????0;"", ////"""),"'","""")&amp;SUBSTITUTE(TEXT(Overig!O305,""",""?00;"",""?-00;"",""?00;"", //"""),"'","""")&amp;SUBSTITUTE(TEXT(IF(ISTEXT(Overig!P305),Overig!P305,10*Overig!P305),""",""????0;"",""???-0;"",""????0;"", ////"""),"'","""")&amp;SUBSTITUTE(TEXT(Overig!Q305,""",""?00;"",""?-00;"",""?00;"", //"""),"'","""")&amp;SUBSTITUTE(TEXT(IF(ISTEXT(Overig!R305),Overig!R305,10*Overig!R305),""",""????0;"",""???-0;"",""????0;"", ////"""),"'","""")&amp;SUBSTITUTE(TEXT(Overig!S305,""",""?00;"",""?-00;"",""?00;"", //"""),"'","""")&amp;SUBSTITUTE(TEXT(Overig!T305,""",""???0;"",""??-0;"",""???0;"", ///"""),"'","""")&amp;SUBSTITUTE(TEXT(Overig!U305,""",""?00;"",""?-00;"",""?00;"", //"""),"'","""")&amp;SUBSTITUTE(TEXT(IF(ISTEXT(Overig!V305),Overig!V305,10*Overig!V305),""",""???0;"",""??-0;"",""???0;"", ///"""),"'","""")&amp;SUBSTITUTE(TEXT(Overig!W305,""",""?00;"",""?-00;"",""?00;"", //"""),"'","""")&amp;SUBSTITUTE(TEXT(IF(ISTEXT(Overig!X305),Overig!X305,10*Overig!X305),""",""????0;"",""???-0;"",""????0;"", ////"""),"'","""")&amp;SUBSTITUTE(TEXT(Overig!Y305,""",""?00;"",""?-00;"",""?00;"", //"""),"'","""")&amp;SUBSTITUTE(TEXT(IF(ISTEXT(Overig!Z305),Overig!Z305,10*Overig!Z305),""",""????0;"",""???-0;"",""????0;"", ////"""),"'","""")&amp;SUBSTITUTE(TEXT(Overig!AA305,""",""?00;"",""?-00;"",""?00;"", //"""),"'","""")&amp;SUBSTITUTE(TEXT(Overig!AB305,""",""???0;"",""??-0;"",""???0;"", ///"""),"'","""")&amp;SUBSTITUTE(TEXT(Overig!AC305,""",""?00;"",""?-00;"",""?00;"", //"""),"'","""")&amp;SUBSTITUTE(TEXT(IF(ISTEXT(Overig!AD305),Overig!AD305,10*Overig!AD305),""",""????0;"",""???-0;"",""????0;"", ////"""),"'","""")&amp;SUBSTITUTE(TEXT(Overig!AE305,""",""?00;"",""?-00;"",""?00;"", //"""),"'","""")&amp;SUBSTITUTE(TEXT(IF(ISTEXT(Overig!AF305),Overig!AF305,10*Overig!AF305),""",""????0;"",""???-0;"",""????0;"", ////"""),"'","""")&amp;SUBSTITUTE(TEXT(Overig!AG305,""",""?00;"",""?-00;"",""?00;"", //"""),"'","""")&amp;SUBSTITUTE(TEXT(Overig!AH305,""",""???0;"",""??-0;"",""???0;"", ///"""),"'","""")&amp;SUBSTITUTE(TEXT(Overig!AI305,""",""?00;"",""?-00;"",""?00;"", //"""),"'","""")&amp;SUBSTITUTE(TEXT(Overig!AJ305,""",""??0;"",""?-0;"",""??0;"", //"""),"'","""")&amp;SUBSTITUTE(TEXT(Overig!AK305,""",""?00;"",""?-00;"",""?00;"", //"""),"'","""")&amp;SUBSTITUTE(IF(EXACT(Overig!AL305,"—"),TEXT(Overig!AL305,""",""????0;"",""???-0;"",""????0;"", ////////////,"""),TEXT(Overig!AL305,"\, \'@""',""")&amp;REPT(" ",10-LEN(Overig!AL305))),"'","""")&amp;SUBSTITUTE(TEXT(Overig!AM305,"?00;?-00;?00;"" //"""),"'","""")&amp;SUBSTITUTE(TEXT(Overig!AN305,""",""???0;"",""??-0;"",""???0;"", ///"""),"'","""")&amp;SUBSTITUTE(TEXT(Overig!AO305,""",""?00;"",""?-00;"",""?00;"", //"""),"'","""")</f>
        <v>78989, 19131031, 0800, ////, 07, /////, 07, ////, 07, /////, 07, ////, 07, ////, 07, ////, 07, ////, 07, ///, 07, ///, 07, ////, 07, ////, 07, ///, 07, ////, 07, ////, 07, ///, 07, //, 07, ////////////, 07, ///, 07</v>
      </c>
    </row>
    <row r="306" spans="1:1" x14ac:dyDescent="0.25">
      <c r="A306" s="75" t="str">
        <f ca="1">TEXT(Overig!A306,"000\,")&amp;TEXT(Overig!B306,"?00000000")&amp;TEXT(Overig!C306,""", ""0000")&amp;SUBSTITUTE(TEXT(IF(ISTEXT(Overig!D306),Overig!D306,10*Overig!D306),""",""????0;"",""???-0;"",""????0;"", ////"""),"'","""")&amp;SUBSTITUTE(TEXT(Overig!E306,""",""?00;"",""?-00;"",""?00;"", //"""),"'","""")&amp;SUBSTITUTE(TEXT(IF(ISTEXT(Overig!F306),Overig!F306,100*Overig!F306),""",""?????0;"",""????-0;"",""?????0;"", /////"""),"'","""")&amp;SUBSTITUTE(TEXT(Overig!G306,""",""?00;"",""?-00;"",""?00;"", //"""),"'","""")&amp;SUBSTITUTE(TEXT(IF(ISTEXT(Overig!H306),Overig!H306,100*Overig!H306),""",""????0;"",""???-0;"",""????0;"", ////"""),"'","""")&amp;SUBSTITUTE(TEXT(Overig!I306,""",""?00;"",""?-00;"",""?00;"", //"""),"'","""")&amp;SUBSTITUTE(TEXT(IF(ISTEXT(Overig!J306),Overig!J306,100*Overig!J306),""",""?????0;"",""????-0;"",""?????0;"", /////"""),"'","""")&amp;SUBSTITUTE(TEXT(Overig!K306,""",""?00;"",""?-00;"",""?00;"", //"""),"'","""")&amp;SUBSTITUTE(TEXT(IF(ISTEXT(Overig!L306),Overig!L306,10*Overig!L306),""",""????0;"",""???-0;"",""????0;"", ////"""),"'","""")&amp;SUBSTITUTE(TEXT(Overig!M306,""",""?00;"",""?-00;"",""?00;"", //"""),"'","""")&amp;SUBSTITUTE(TEXT(IF(ISTEXT(Overig!N306),Overig!N306,10*Overig!N306),""",""????0;"",""???-0;"",""????0;"", ////"""),"'","""")&amp;SUBSTITUTE(TEXT(Overig!O306,""",""?00;"",""?-00;"",""?00;"", //"""),"'","""")&amp;SUBSTITUTE(TEXT(IF(ISTEXT(Overig!P306),Overig!P306,10*Overig!P306),""",""????0;"",""???-0;"",""????0;"", ////"""),"'","""")&amp;SUBSTITUTE(TEXT(Overig!Q306,""",""?00;"",""?-00;"",""?00;"", //"""),"'","""")&amp;SUBSTITUTE(TEXT(IF(ISTEXT(Overig!R306),Overig!R306,10*Overig!R306),""",""????0;"",""???-0;"",""????0;"", ////"""),"'","""")&amp;SUBSTITUTE(TEXT(Overig!S306,""",""?00;"",""?-00;"",""?00;"", //"""),"'","""")&amp;SUBSTITUTE(TEXT(Overig!T306,""",""???0;"",""??-0;"",""???0;"", ///"""),"'","""")&amp;SUBSTITUTE(TEXT(Overig!U306,""",""?00;"",""?-00;"",""?00;"", //"""),"'","""")&amp;SUBSTITUTE(TEXT(IF(ISTEXT(Overig!V306),Overig!V306,10*Overig!V306),""",""???0;"",""??-0;"",""???0;"", ///"""),"'","""")&amp;SUBSTITUTE(TEXT(Overig!W306,""",""?00;"",""?-00;"",""?00;"", //"""),"'","""")&amp;SUBSTITUTE(TEXT(IF(ISTEXT(Overig!X306),Overig!X306,10*Overig!X306),""",""????0;"",""???-0;"",""????0;"", ////"""),"'","""")&amp;SUBSTITUTE(TEXT(Overig!Y306,""",""?00;"",""?-00;"",""?00;"", //"""),"'","""")&amp;SUBSTITUTE(TEXT(IF(ISTEXT(Overig!Z306),Overig!Z306,10*Overig!Z306),""",""????0;"",""???-0;"",""????0;"", ////"""),"'","""")&amp;SUBSTITUTE(TEXT(Overig!AA306,""",""?00;"",""?-00;"",""?00;"", //"""),"'","""")&amp;SUBSTITUTE(TEXT(Overig!AB306,""",""???0;"",""??-0;"",""???0;"", ///"""),"'","""")&amp;SUBSTITUTE(TEXT(Overig!AC306,""",""?00;"",""?-00;"",""?00;"", //"""),"'","""")&amp;SUBSTITUTE(TEXT(IF(ISTEXT(Overig!AD306),Overig!AD306,10*Overig!AD306),""",""????0;"",""???-0;"",""????0;"", ////"""),"'","""")&amp;SUBSTITUTE(TEXT(Overig!AE306,""",""?00;"",""?-00;"",""?00;"", //"""),"'","""")&amp;SUBSTITUTE(TEXT(IF(ISTEXT(Overig!AF306),Overig!AF306,10*Overig!AF306),""",""????0;"",""???-0;"",""????0;"", ////"""),"'","""")&amp;SUBSTITUTE(TEXT(Overig!AG306,""",""?00;"",""?-00;"",""?00;"", //"""),"'","""")&amp;SUBSTITUTE(TEXT(Overig!AH306,""",""???0;"",""??-0;"",""???0;"", ///"""),"'","""")&amp;SUBSTITUTE(TEXT(Overig!AI306,""",""?00;"",""?-00;"",""?00;"", //"""),"'","""")&amp;SUBSTITUTE(TEXT(Overig!AJ306,""",""??0;"",""?-0;"",""??0;"", //"""),"'","""")&amp;SUBSTITUTE(TEXT(Overig!AK306,""",""?00;"",""?-00;"",""?00;"", //"""),"'","""")&amp;SUBSTITUTE(IF(EXACT(Overig!AL306,"—"),TEXT(Overig!AL306,""",""????0;"",""???-0;"",""????0;"", ////////////,"""),TEXT(Overig!AL306,"\, \'@""',""")&amp;REPT(" ",10-LEN(Overig!AL306))),"'","""")&amp;SUBSTITUTE(TEXT(Overig!AM306,"?00;?-00;?00;"" //"""),"'","""")&amp;SUBSTITUTE(TEXT(Overig!AN306,""",""???0;"",""??-0;"",""???0;"", ///"""),"'","""")&amp;SUBSTITUTE(TEXT(Overig!AO306,""",""?00;"",""?-00;"",""?00;"", //"""),"'","""")</f>
        <v>78989, 19131101, 0800, ////, 07, /////, 07, ////, 07, /////, 07, ////, 07, ////, 07, ////, 07, ////, 07, ///, 07, ///, 07, ////, 07, ////, 07, ///, 07, ////, 07, ////, 07, ///, 07, //, 07, ////////////, 07, ///, 07</v>
      </c>
    </row>
    <row r="307" spans="1:1" x14ac:dyDescent="0.25">
      <c r="A307" s="75" t="str">
        <f ca="1">TEXT(Overig!A307,"000\,")&amp;TEXT(Overig!B307,"?00000000")&amp;TEXT(Overig!C307,""", ""0000")&amp;SUBSTITUTE(TEXT(IF(ISTEXT(Overig!D307),Overig!D307,10*Overig!D307),""",""????0;"",""???-0;"",""????0;"", ////"""),"'","""")&amp;SUBSTITUTE(TEXT(Overig!E307,""",""?00;"",""?-00;"",""?00;"", //"""),"'","""")&amp;SUBSTITUTE(TEXT(IF(ISTEXT(Overig!F307),Overig!F307,100*Overig!F307),""",""?????0;"",""????-0;"",""?????0;"", /////"""),"'","""")&amp;SUBSTITUTE(TEXT(Overig!G307,""",""?00;"",""?-00;"",""?00;"", //"""),"'","""")&amp;SUBSTITUTE(TEXT(IF(ISTEXT(Overig!H307),Overig!H307,100*Overig!H307),""",""????0;"",""???-0;"",""????0;"", ////"""),"'","""")&amp;SUBSTITUTE(TEXT(Overig!I307,""",""?00;"",""?-00;"",""?00;"", //"""),"'","""")&amp;SUBSTITUTE(TEXT(IF(ISTEXT(Overig!J307),Overig!J307,100*Overig!J307),""",""?????0;"",""????-0;"",""?????0;"", /////"""),"'","""")&amp;SUBSTITUTE(TEXT(Overig!K307,""",""?00;"",""?-00;"",""?00;"", //"""),"'","""")&amp;SUBSTITUTE(TEXT(IF(ISTEXT(Overig!L307),Overig!L307,10*Overig!L307),""",""????0;"",""???-0;"",""????0;"", ////"""),"'","""")&amp;SUBSTITUTE(TEXT(Overig!M307,""",""?00;"",""?-00;"",""?00;"", //"""),"'","""")&amp;SUBSTITUTE(TEXT(IF(ISTEXT(Overig!N307),Overig!N307,10*Overig!N307),""",""????0;"",""???-0;"",""????0;"", ////"""),"'","""")&amp;SUBSTITUTE(TEXT(Overig!O307,""",""?00;"",""?-00;"",""?00;"", //"""),"'","""")&amp;SUBSTITUTE(TEXT(IF(ISTEXT(Overig!P307),Overig!P307,10*Overig!P307),""",""????0;"",""???-0;"",""????0;"", ////"""),"'","""")&amp;SUBSTITUTE(TEXT(Overig!Q307,""",""?00;"",""?-00;"",""?00;"", //"""),"'","""")&amp;SUBSTITUTE(TEXT(IF(ISTEXT(Overig!R307),Overig!R307,10*Overig!R307),""",""????0;"",""???-0;"",""????0;"", ////"""),"'","""")&amp;SUBSTITUTE(TEXT(Overig!S307,""",""?00;"",""?-00;"",""?00;"", //"""),"'","""")&amp;SUBSTITUTE(TEXT(Overig!T307,""",""???0;"",""??-0;"",""???0;"", ///"""),"'","""")&amp;SUBSTITUTE(TEXT(Overig!U307,""",""?00;"",""?-00;"",""?00;"", //"""),"'","""")&amp;SUBSTITUTE(TEXT(IF(ISTEXT(Overig!V307),Overig!V307,10*Overig!V307),""",""???0;"",""??-0;"",""???0;"", ///"""),"'","""")&amp;SUBSTITUTE(TEXT(Overig!W307,""",""?00;"",""?-00;"",""?00;"", //"""),"'","""")&amp;SUBSTITUTE(TEXT(IF(ISTEXT(Overig!X307),Overig!X307,10*Overig!X307),""",""????0;"",""???-0;"",""????0;"", ////"""),"'","""")&amp;SUBSTITUTE(TEXT(Overig!Y307,""",""?00;"",""?-00;"",""?00;"", //"""),"'","""")&amp;SUBSTITUTE(TEXT(IF(ISTEXT(Overig!Z307),Overig!Z307,10*Overig!Z307),""",""????0;"",""???-0;"",""????0;"", ////"""),"'","""")&amp;SUBSTITUTE(TEXT(Overig!AA307,""",""?00;"",""?-00;"",""?00;"", //"""),"'","""")&amp;SUBSTITUTE(TEXT(Overig!AB307,""",""???0;"",""??-0;"",""???0;"", ///"""),"'","""")&amp;SUBSTITUTE(TEXT(Overig!AC307,""",""?00;"",""?-00;"",""?00;"", //"""),"'","""")&amp;SUBSTITUTE(TEXT(IF(ISTEXT(Overig!AD307),Overig!AD307,10*Overig!AD307),""",""????0;"",""???-0;"",""????0;"", ////"""),"'","""")&amp;SUBSTITUTE(TEXT(Overig!AE307,""",""?00;"",""?-00;"",""?00;"", //"""),"'","""")&amp;SUBSTITUTE(TEXT(IF(ISTEXT(Overig!AF307),Overig!AF307,10*Overig!AF307),""",""????0;"",""???-0;"",""????0;"", ////"""),"'","""")&amp;SUBSTITUTE(TEXT(Overig!AG307,""",""?00;"",""?-00;"",""?00;"", //"""),"'","""")&amp;SUBSTITUTE(TEXT(Overig!AH307,""",""???0;"",""??-0;"",""???0;"", ///"""),"'","""")&amp;SUBSTITUTE(TEXT(Overig!AI307,""",""?00;"",""?-00;"",""?00;"", //"""),"'","""")&amp;SUBSTITUTE(TEXT(Overig!AJ307,""",""??0;"",""?-0;"",""??0;"", //"""),"'","""")&amp;SUBSTITUTE(TEXT(Overig!AK307,""",""?00;"",""?-00;"",""?00;"", //"""),"'","""")&amp;SUBSTITUTE(IF(EXACT(Overig!AL307,"—"),TEXT(Overig!AL307,""",""????0;"",""???-0;"",""????0;"", ////////////,"""),TEXT(Overig!AL307,"\, \'@""',""")&amp;REPT(" ",10-LEN(Overig!AL307))),"'","""")&amp;SUBSTITUTE(TEXT(Overig!AM307,"?00;?-00;?00;"" //"""),"'","""")&amp;SUBSTITUTE(TEXT(Overig!AN307,""",""???0;"",""??-0;"",""???0;"", ///"""),"'","""")&amp;SUBSTITUTE(TEXT(Overig!AO307,""",""?00;"",""?-00;"",""?00;"", //"""),"'","""")</f>
        <v>78989, 19131102, 0800, ////, 07, /////, 07, ////, 07, /////, 07, ////, 07, ////, 07, ////, 07, ////, 07, ///, 07, ///, 07, ////, 07, ////, 07, ///, 07, ////, 07, ////, 07, ///, 07, //, 07, ////////////, 07, ///, 07</v>
      </c>
    </row>
    <row r="308" spans="1:1" x14ac:dyDescent="0.25">
      <c r="A308" s="75" t="str">
        <f ca="1">TEXT(Overig!A308,"000\,")&amp;TEXT(Overig!B308,"?00000000")&amp;TEXT(Overig!C308,""", ""0000")&amp;SUBSTITUTE(TEXT(IF(ISTEXT(Overig!D308),Overig!D308,10*Overig!D308),""",""????0;"",""???-0;"",""????0;"", ////"""),"'","""")&amp;SUBSTITUTE(TEXT(Overig!E308,""",""?00;"",""?-00;"",""?00;"", //"""),"'","""")&amp;SUBSTITUTE(TEXT(IF(ISTEXT(Overig!F308),Overig!F308,100*Overig!F308),""",""?????0;"",""????-0;"",""?????0;"", /////"""),"'","""")&amp;SUBSTITUTE(TEXT(Overig!G308,""",""?00;"",""?-00;"",""?00;"", //"""),"'","""")&amp;SUBSTITUTE(TEXT(IF(ISTEXT(Overig!H308),Overig!H308,100*Overig!H308),""",""????0;"",""???-0;"",""????0;"", ////"""),"'","""")&amp;SUBSTITUTE(TEXT(Overig!I308,""",""?00;"",""?-00;"",""?00;"", //"""),"'","""")&amp;SUBSTITUTE(TEXT(IF(ISTEXT(Overig!J308),Overig!J308,100*Overig!J308),""",""?????0;"",""????-0;"",""?????0;"", /////"""),"'","""")&amp;SUBSTITUTE(TEXT(Overig!K308,""",""?00;"",""?-00;"",""?00;"", //"""),"'","""")&amp;SUBSTITUTE(TEXT(IF(ISTEXT(Overig!L308),Overig!L308,10*Overig!L308),""",""????0;"",""???-0;"",""????0;"", ////"""),"'","""")&amp;SUBSTITUTE(TEXT(Overig!M308,""",""?00;"",""?-00;"",""?00;"", //"""),"'","""")&amp;SUBSTITUTE(TEXT(IF(ISTEXT(Overig!N308),Overig!N308,10*Overig!N308),""",""????0;"",""???-0;"",""????0;"", ////"""),"'","""")&amp;SUBSTITUTE(TEXT(Overig!O308,""",""?00;"",""?-00;"",""?00;"", //"""),"'","""")&amp;SUBSTITUTE(TEXT(IF(ISTEXT(Overig!P308),Overig!P308,10*Overig!P308),""",""????0;"",""???-0;"",""????0;"", ////"""),"'","""")&amp;SUBSTITUTE(TEXT(Overig!Q308,""",""?00;"",""?-00;"",""?00;"", //"""),"'","""")&amp;SUBSTITUTE(TEXT(IF(ISTEXT(Overig!R308),Overig!R308,10*Overig!R308),""",""????0;"",""???-0;"",""????0;"", ////"""),"'","""")&amp;SUBSTITUTE(TEXT(Overig!S308,""",""?00;"",""?-00;"",""?00;"", //"""),"'","""")&amp;SUBSTITUTE(TEXT(Overig!T308,""",""???0;"",""??-0;"",""???0;"", ///"""),"'","""")&amp;SUBSTITUTE(TEXT(Overig!U308,""",""?00;"",""?-00;"",""?00;"", //"""),"'","""")&amp;SUBSTITUTE(TEXT(IF(ISTEXT(Overig!V308),Overig!V308,10*Overig!V308),""",""???0;"",""??-0;"",""???0;"", ///"""),"'","""")&amp;SUBSTITUTE(TEXT(Overig!W308,""",""?00;"",""?-00;"",""?00;"", //"""),"'","""")&amp;SUBSTITUTE(TEXT(IF(ISTEXT(Overig!X308),Overig!X308,10*Overig!X308),""",""????0;"",""???-0;"",""????0;"", ////"""),"'","""")&amp;SUBSTITUTE(TEXT(Overig!Y308,""",""?00;"",""?-00;"",""?00;"", //"""),"'","""")&amp;SUBSTITUTE(TEXT(IF(ISTEXT(Overig!Z308),Overig!Z308,10*Overig!Z308),""",""????0;"",""???-0;"",""????0;"", ////"""),"'","""")&amp;SUBSTITUTE(TEXT(Overig!AA308,""",""?00;"",""?-00;"",""?00;"", //"""),"'","""")&amp;SUBSTITUTE(TEXT(Overig!AB308,""",""???0;"",""??-0;"",""???0;"", ///"""),"'","""")&amp;SUBSTITUTE(TEXT(Overig!AC308,""",""?00;"",""?-00;"",""?00;"", //"""),"'","""")&amp;SUBSTITUTE(TEXT(IF(ISTEXT(Overig!AD308),Overig!AD308,10*Overig!AD308),""",""????0;"",""???-0;"",""????0;"", ////"""),"'","""")&amp;SUBSTITUTE(TEXT(Overig!AE308,""",""?00;"",""?-00;"",""?00;"", //"""),"'","""")&amp;SUBSTITUTE(TEXT(IF(ISTEXT(Overig!AF308),Overig!AF308,10*Overig!AF308),""",""????0;"",""???-0;"",""????0;"", ////"""),"'","""")&amp;SUBSTITUTE(TEXT(Overig!AG308,""",""?00;"",""?-00;"",""?00;"", //"""),"'","""")&amp;SUBSTITUTE(TEXT(Overig!AH308,""",""???0;"",""??-0;"",""???0;"", ///"""),"'","""")&amp;SUBSTITUTE(TEXT(Overig!AI308,""",""?00;"",""?-00;"",""?00;"", //"""),"'","""")&amp;SUBSTITUTE(TEXT(Overig!AJ308,""",""??0;"",""?-0;"",""??0;"", //"""),"'","""")&amp;SUBSTITUTE(TEXT(Overig!AK308,""",""?00;"",""?-00;"",""?00;"", //"""),"'","""")&amp;SUBSTITUTE(IF(EXACT(Overig!AL308,"—"),TEXT(Overig!AL308,""",""????0;"",""???-0;"",""????0;"", ////////////,"""),TEXT(Overig!AL308,"\, \'@""',""")&amp;REPT(" ",10-LEN(Overig!AL308))),"'","""")&amp;SUBSTITUTE(TEXT(Overig!AM308,"?00;?-00;?00;"" //"""),"'","""")&amp;SUBSTITUTE(TEXT(Overig!AN308,""",""???0;"",""??-0;"",""???0;"", ///"""),"'","""")&amp;SUBSTITUTE(TEXT(Overig!AO308,""",""?00;"",""?-00;"",""?00;"", //"""),"'","""")</f>
        <v>78989, 19131103, 0800, ////, 07, /////, 07, ////, 07, /////, 07, ////, 07, ////, 07, ////, 07, ////, 07, ///, 07, ///, 07, ////, 07, ////, 07, ///, 07, ////, 07, ////, 07, ///, 07, //, 07, ////////////, 07, ///, 07</v>
      </c>
    </row>
    <row r="309" spans="1:1" x14ac:dyDescent="0.25">
      <c r="A309" s="75" t="str">
        <f ca="1">TEXT(Overig!A309,"000\,")&amp;TEXT(Overig!B309,"?00000000")&amp;TEXT(Overig!C309,""", ""0000")&amp;SUBSTITUTE(TEXT(IF(ISTEXT(Overig!D309),Overig!D309,10*Overig!D309),""",""????0;"",""???-0;"",""????0;"", ////"""),"'","""")&amp;SUBSTITUTE(TEXT(Overig!E309,""",""?00;"",""?-00;"",""?00;"", //"""),"'","""")&amp;SUBSTITUTE(TEXT(IF(ISTEXT(Overig!F309),Overig!F309,100*Overig!F309),""",""?????0;"",""????-0;"",""?????0;"", /////"""),"'","""")&amp;SUBSTITUTE(TEXT(Overig!G309,""",""?00;"",""?-00;"",""?00;"", //"""),"'","""")&amp;SUBSTITUTE(TEXT(IF(ISTEXT(Overig!H309),Overig!H309,100*Overig!H309),""",""????0;"",""???-0;"",""????0;"", ////"""),"'","""")&amp;SUBSTITUTE(TEXT(Overig!I309,""",""?00;"",""?-00;"",""?00;"", //"""),"'","""")&amp;SUBSTITUTE(TEXT(IF(ISTEXT(Overig!J309),Overig!J309,100*Overig!J309),""",""?????0;"",""????-0;"",""?????0;"", /////"""),"'","""")&amp;SUBSTITUTE(TEXT(Overig!K309,""",""?00;"",""?-00;"",""?00;"", //"""),"'","""")&amp;SUBSTITUTE(TEXT(IF(ISTEXT(Overig!L309),Overig!L309,10*Overig!L309),""",""????0;"",""???-0;"",""????0;"", ////"""),"'","""")&amp;SUBSTITUTE(TEXT(Overig!M309,""",""?00;"",""?-00;"",""?00;"", //"""),"'","""")&amp;SUBSTITUTE(TEXT(IF(ISTEXT(Overig!N309),Overig!N309,10*Overig!N309),""",""????0;"",""???-0;"",""????0;"", ////"""),"'","""")&amp;SUBSTITUTE(TEXT(Overig!O309,""",""?00;"",""?-00;"",""?00;"", //"""),"'","""")&amp;SUBSTITUTE(TEXT(IF(ISTEXT(Overig!P309),Overig!P309,10*Overig!P309),""",""????0;"",""???-0;"",""????0;"", ////"""),"'","""")&amp;SUBSTITUTE(TEXT(Overig!Q309,""",""?00;"",""?-00;"",""?00;"", //"""),"'","""")&amp;SUBSTITUTE(TEXT(IF(ISTEXT(Overig!R309),Overig!R309,10*Overig!R309),""",""????0;"",""???-0;"",""????0;"", ////"""),"'","""")&amp;SUBSTITUTE(TEXT(Overig!S309,""",""?00;"",""?-00;"",""?00;"", //"""),"'","""")&amp;SUBSTITUTE(TEXT(Overig!T309,""",""???0;"",""??-0;"",""???0;"", ///"""),"'","""")&amp;SUBSTITUTE(TEXT(Overig!U309,""",""?00;"",""?-00;"",""?00;"", //"""),"'","""")&amp;SUBSTITUTE(TEXT(IF(ISTEXT(Overig!V309),Overig!V309,10*Overig!V309),""",""???0;"",""??-0;"",""???0;"", ///"""),"'","""")&amp;SUBSTITUTE(TEXT(Overig!W309,""",""?00;"",""?-00;"",""?00;"", //"""),"'","""")&amp;SUBSTITUTE(TEXT(IF(ISTEXT(Overig!X309),Overig!X309,10*Overig!X309),""",""????0;"",""???-0;"",""????0;"", ////"""),"'","""")&amp;SUBSTITUTE(TEXT(Overig!Y309,""",""?00;"",""?-00;"",""?00;"", //"""),"'","""")&amp;SUBSTITUTE(TEXT(IF(ISTEXT(Overig!Z309),Overig!Z309,10*Overig!Z309),""",""????0;"",""???-0;"",""????0;"", ////"""),"'","""")&amp;SUBSTITUTE(TEXT(Overig!AA309,""",""?00;"",""?-00;"",""?00;"", //"""),"'","""")&amp;SUBSTITUTE(TEXT(Overig!AB309,""",""???0;"",""??-0;"",""???0;"", ///"""),"'","""")&amp;SUBSTITUTE(TEXT(Overig!AC309,""",""?00;"",""?-00;"",""?00;"", //"""),"'","""")&amp;SUBSTITUTE(TEXT(IF(ISTEXT(Overig!AD309),Overig!AD309,10*Overig!AD309),""",""????0;"",""???-0;"",""????0;"", ////"""),"'","""")&amp;SUBSTITUTE(TEXT(Overig!AE309,""",""?00;"",""?-00;"",""?00;"", //"""),"'","""")&amp;SUBSTITUTE(TEXT(IF(ISTEXT(Overig!AF309),Overig!AF309,10*Overig!AF309),""",""????0;"",""???-0;"",""????0;"", ////"""),"'","""")&amp;SUBSTITUTE(TEXT(Overig!AG309,""",""?00;"",""?-00;"",""?00;"", //"""),"'","""")&amp;SUBSTITUTE(TEXT(Overig!AH309,""",""???0;"",""??-0;"",""???0;"", ///"""),"'","""")&amp;SUBSTITUTE(TEXT(Overig!AI309,""",""?00;"",""?-00;"",""?00;"", //"""),"'","""")&amp;SUBSTITUTE(TEXT(Overig!AJ309,""",""??0;"",""?-0;"",""??0;"", //"""),"'","""")&amp;SUBSTITUTE(TEXT(Overig!AK309,""",""?00;"",""?-00;"",""?00;"", //"""),"'","""")&amp;SUBSTITUTE(IF(EXACT(Overig!AL309,"—"),TEXT(Overig!AL309,""",""????0;"",""???-0;"",""????0;"", ////////////,"""),TEXT(Overig!AL309,"\, \'@""',""")&amp;REPT(" ",10-LEN(Overig!AL309))),"'","""")&amp;SUBSTITUTE(TEXT(Overig!AM309,"?00;?-00;?00;"" //"""),"'","""")&amp;SUBSTITUTE(TEXT(Overig!AN309,""",""???0;"",""??-0;"",""???0;"", ///"""),"'","""")&amp;SUBSTITUTE(TEXT(Overig!AO309,""",""?00;"",""?-00;"",""?00;"", //"""),"'","""")</f>
        <v>78989, 19131104, 0800, ////, 07, /////, 07, ////, 07, /////, 07, ////, 07, ////, 07, ////, 07, ////, 07, ///, 07, ///, 07, ////, 07, ////, 07, ///, 07, ////, 07, ////, 07, ///, 07, //, 07, ////////////, 07, ///, 07</v>
      </c>
    </row>
    <row r="310" spans="1:1" x14ac:dyDescent="0.25">
      <c r="A310" s="75" t="str">
        <f ca="1">TEXT(Overig!A310,"000\,")&amp;TEXT(Overig!B310,"?00000000")&amp;TEXT(Overig!C310,""", ""0000")&amp;SUBSTITUTE(TEXT(IF(ISTEXT(Overig!D310),Overig!D310,10*Overig!D310),""",""????0;"",""???-0;"",""????0;"", ////"""),"'","""")&amp;SUBSTITUTE(TEXT(Overig!E310,""",""?00;"",""?-00;"",""?00;"", //"""),"'","""")&amp;SUBSTITUTE(TEXT(IF(ISTEXT(Overig!F310),Overig!F310,100*Overig!F310),""",""?????0;"",""????-0;"",""?????0;"", /////"""),"'","""")&amp;SUBSTITUTE(TEXT(Overig!G310,""",""?00;"",""?-00;"",""?00;"", //"""),"'","""")&amp;SUBSTITUTE(TEXT(IF(ISTEXT(Overig!H310),Overig!H310,100*Overig!H310),""",""????0;"",""???-0;"",""????0;"", ////"""),"'","""")&amp;SUBSTITUTE(TEXT(Overig!I310,""",""?00;"",""?-00;"",""?00;"", //"""),"'","""")&amp;SUBSTITUTE(TEXT(IF(ISTEXT(Overig!J310),Overig!J310,100*Overig!J310),""",""?????0;"",""????-0;"",""?????0;"", /////"""),"'","""")&amp;SUBSTITUTE(TEXT(Overig!K310,""",""?00;"",""?-00;"",""?00;"", //"""),"'","""")&amp;SUBSTITUTE(TEXT(IF(ISTEXT(Overig!L310),Overig!L310,10*Overig!L310),""",""????0;"",""???-0;"",""????0;"", ////"""),"'","""")&amp;SUBSTITUTE(TEXT(Overig!M310,""",""?00;"",""?-00;"",""?00;"", //"""),"'","""")&amp;SUBSTITUTE(TEXT(IF(ISTEXT(Overig!N310),Overig!N310,10*Overig!N310),""",""????0;"",""???-0;"",""????0;"", ////"""),"'","""")&amp;SUBSTITUTE(TEXT(Overig!O310,""",""?00;"",""?-00;"",""?00;"", //"""),"'","""")&amp;SUBSTITUTE(TEXT(IF(ISTEXT(Overig!P310),Overig!P310,10*Overig!P310),""",""????0;"",""???-0;"",""????0;"", ////"""),"'","""")&amp;SUBSTITUTE(TEXT(Overig!Q310,""",""?00;"",""?-00;"",""?00;"", //"""),"'","""")&amp;SUBSTITUTE(TEXT(IF(ISTEXT(Overig!R310),Overig!R310,10*Overig!R310),""",""????0;"",""???-0;"",""????0;"", ////"""),"'","""")&amp;SUBSTITUTE(TEXT(Overig!S310,""",""?00;"",""?-00;"",""?00;"", //"""),"'","""")&amp;SUBSTITUTE(TEXT(Overig!T310,""",""???0;"",""??-0;"",""???0;"", ///"""),"'","""")&amp;SUBSTITUTE(TEXT(Overig!U310,""",""?00;"",""?-00;"",""?00;"", //"""),"'","""")&amp;SUBSTITUTE(TEXT(IF(ISTEXT(Overig!V310),Overig!V310,10*Overig!V310),""",""???0;"",""??-0;"",""???0;"", ///"""),"'","""")&amp;SUBSTITUTE(TEXT(Overig!W310,""",""?00;"",""?-00;"",""?00;"", //"""),"'","""")&amp;SUBSTITUTE(TEXT(IF(ISTEXT(Overig!X310),Overig!X310,10*Overig!X310),""",""????0;"",""???-0;"",""????0;"", ////"""),"'","""")&amp;SUBSTITUTE(TEXT(Overig!Y310,""",""?00;"",""?-00;"",""?00;"", //"""),"'","""")&amp;SUBSTITUTE(TEXT(IF(ISTEXT(Overig!Z310),Overig!Z310,10*Overig!Z310),""",""????0;"",""???-0;"",""????0;"", ////"""),"'","""")&amp;SUBSTITUTE(TEXT(Overig!AA310,""",""?00;"",""?-00;"",""?00;"", //"""),"'","""")&amp;SUBSTITUTE(TEXT(Overig!AB310,""",""???0;"",""??-0;"",""???0;"", ///"""),"'","""")&amp;SUBSTITUTE(TEXT(Overig!AC310,""",""?00;"",""?-00;"",""?00;"", //"""),"'","""")&amp;SUBSTITUTE(TEXT(IF(ISTEXT(Overig!AD310),Overig!AD310,10*Overig!AD310),""",""????0;"",""???-0;"",""????0;"", ////"""),"'","""")&amp;SUBSTITUTE(TEXT(Overig!AE310,""",""?00;"",""?-00;"",""?00;"", //"""),"'","""")&amp;SUBSTITUTE(TEXT(IF(ISTEXT(Overig!AF310),Overig!AF310,10*Overig!AF310),""",""????0;"",""???-0;"",""????0;"", ////"""),"'","""")&amp;SUBSTITUTE(TEXT(Overig!AG310,""",""?00;"",""?-00;"",""?00;"", //"""),"'","""")&amp;SUBSTITUTE(TEXT(Overig!AH310,""",""???0;"",""??-0;"",""???0;"", ///"""),"'","""")&amp;SUBSTITUTE(TEXT(Overig!AI310,""",""?00;"",""?-00;"",""?00;"", //"""),"'","""")&amp;SUBSTITUTE(TEXT(Overig!AJ310,""",""??0;"",""?-0;"",""??0;"", //"""),"'","""")&amp;SUBSTITUTE(TEXT(Overig!AK310,""",""?00;"",""?-00;"",""?00;"", //"""),"'","""")&amp;SUBSTITUTE(IF(EXACT(Overig!AL310,"—"),TEXT(Overig!AL310,""",""????0;"",""???-0;"",""????0;"", ////////////,"""),TEXT(Overig!AL310,"\, \'@""',""")&amp;REPT(" ",10-LEN(Overig!AL310))),"'","""")&amp;SUBSTITUTE(TEXT(Overig!AM310,"?00;?-00;?00;"" //"""),"'","""")&amp;SUBSTITUTE(TEXT(Overig!AN310,""",""???0;"",""??-0;"",""???0;"", ///"""),"'","""")&amp;SUBSTITUTE(TEXT(Overig!AO310,""",""?00;"",""?-00;"",""?00;"", //"""),"'","""")</f>
        <v>78989, 19131105, 0800, ////, 07, /////, 07, ////, 07, /////, 07, ////, 07, ////, 07, ////, 07, ////, 07, ///, 07, ///, 07, ////, 07, ////, 07, ///, 07, ////, 07, ////, 07, ///, 07, //, 07, ////////////, 07, ///, 07</v>
      </c>
    </row>
    <row r="311" spans="1:1" x14ac:dyDescent="0.25">
      <c r="A311" s="75" t="str">
        <f ca="1">TEXT(Overig!A311,"000\,")&amp;TEXT(Overig!B311,"?00000000")&amp;TEXT(Overig!C311,""", ""0000")&amp;SUBSTITUTE(TEXT(IF(ISTEXT(Overig!D311),Overig!D311,10*Overig!D311),""",""????0;"",""???-0;"",""????0;"", ////"""),"'","""")&amp;SUBSTITUTE(TEXT(Overig!E311,""",""?00;"",""?-00;"",""?00;"", //"""),"'","""")&amp;SUBSTITUTE(TEXT(IF(ISTEXT(Overig!F311),Overig!F311,100*Overig!F311),""",""?????0;"",""????-0;"",""?????0;"", /////"""),"'","""")&amp;SUBSTITUTE(TEXT(Overig!G311,""",""?00;"",""?-00;"",""?00;"", //"""),"'","""")&amp;SUBSTITUTE(TEXT(IF(ISTEXT(Overig!H311),Overig!H311,100*Overig!H311),""",""????0;"",""???-0;"",""????0;"", ////"""),"'","""")&amp;SUBSTITUTE(TEXT(Overig!I311,""",""?00;"",""?-00;"",""?00;"", //"""),"'","""")&amp;SUBSTITUTE(TEXT(IF(ISTEXT(Overig!J311),Overig!J311,100*Overig!J311),""",""?????0;"",""????-0;"",""?????0;"", /////"""),"'","""")&amp;SUBSTITUTE(TEXT(Overig!K311,""",""?00;"",""?-00;"",""?00;"", //"""),"'","""")&amp;SUBSTITUTE(TEXT(IF(ISTEXT(Overig!L311),Overig!L311,10*Overig!L311),""",""????0;"",""???-0;"",""????0;"", ////"""),"'","""")&amp;SUBSTITUTE(TEXT(Overig!M311,""",""?00;"",""?-00;"",""?00;"", //"""),"'","""")&amp;SUBSTITUTE(TEXT(IF(ISTEXT(Overig!N311),Overig!N311,10*Overig!N311),""",""????0;"",""???-0;"",""????0;"", ////"""),"'","""")&amp;SUBSTITUTE(TEXT(Overig!O311,""",""?00;"",""?-00;"",""?00;"", //"""),"'","""")&amp;SUBSTITUTE(TEXT(IF(ISTEXT(Overig!P311),Overig!P311,10*Overig!P311),""",""????0;"",""???-0;"",""????0;"", ////"""),"'","""")&amp;SUBSTITUTE(TEXT(Overig!Q311,""",""?00;"",""?-00;"",""?00;"", //"""),"'","""")&amp;SUBSTITUTE(TEXT(IF(ISTEXT(Overig!R311),Overig!R311,10*Overig!R311),""",""????0;"",""???-0;"",""????0;"", ////"""),"'","""")&amp;SUBSTITUTE(TEXT(Overig!S311,""",""?00;"",""?-00;"",""?00;"", //"""),"'","""")&amp;SUBSTITUTE(TEXT(Overig!T311,""",""???0;"",""??-0;"",""???0;"", ///"""),"'","""")&amp;SUBSTITUTE(TEXT(Overig!U311,""",""?00;"",""?-00;"",""?00;"", //"""),"'","""")&amp;SUBSTITUTE(TEXT(IF(ISTEXT(Overig!V311),Overig!V311,10*Overig!V311),""",""???0;"",""??-0;"",""???0;"", ///"""),"'","""")&amp;SUBSTITUTE(TEXT(Overig!W311,""",""?00;"",""?-00;"",""?00;"", //"""),"'","""")&amp;SUBSTITUTE(TEXT(IF(ISTEXT(Overig!X311),Overig!X311,10*Overig!X311),""",""????0;"",""???-0;"",""????0;"", ////"""),"'","""")&amp;SUBSTITUTE(TEXT(Overig!Y311,""",""?00;"",""?-00;"",""?00;"", //"""),"'","""")&amp;SUBSTITUTE(TEXT(IF(ISTEXT(Overig!Z311),Overig!Z311,10*Overig!Z311),""",""????0;"",""???-0;"",""????0;"", ////"""),"'","""")&amp;SUBSTITUTE(TEXT(Overig!AA311,""",""?00;"",""?-00;"",""?00;"", //"""),"'","""")&amp;SUBSTITUTE(TEXT(Overig!AB311,""",""???0;"",""??-0;"",""???0;"", ///"""),"'","""")&amp;SUBSTITUTE(TEXT(Overig!AC311,""",""?00;"",""?-00;"",""?00;"", //"""),"'","""")&amp;SUBSTITUTE(TEXT(IF(ISTEXT(Overig!AD311),Overig!AD311,10*Overig!AD311),""",""????0;"",""???-0;"",""????0;"", ////"""),"'","""")&amp;SUBSTITUTE(TEXT(Overig!AE311,""",""?00;"",""?-00;"",""?00;"", //"""),"'","""")&amp;SUBSTITUTE(TEXT(IF(ISTEXT(Overig!AF311),Overig!AF311,10*Overig!AF311),""",""????0;"",""???-0;"",""????0;"", ////"""),"'","""")&amp;SUBSTITUTE(TEXT(Overig!AG311,""",""?00;"",""?-00;"",""?00;"", //"""),"'","""")&amp;SUBSTITUTE(TEXT(Overig!AH311,""",""???0;"",""??-0;"",""???0;"", ///"""),"'","""")&amp;SUBSTITUTE(TEXT(Overig!AI311,""",""?00;"",""?-00;"",""?00;"", //"""),"'","""")&amp;SUBSTITUTE(TEXT(Overig!AJ311,""",""??0;"",""?-0;"",""??0;"", //"""),"'","""")&amp;SUBSTITUTE(TEXT(Overig!AK311,""",""?00;"",""?-00;"",""?00;"", //"""),"'","""")&amp;SUBSTITUTE(IF(EXACT(Overig!AL311,"—"),TEXT(Overig!AL311,""",""????0;"",""???-0;"",""????0;"", ////////////,"""),TEXT(Overig!AL311,"\, \'@""',""")&amp;REPT(" ",10-LEN(Overig!AL311))),"'","""")&amp;SUBSTITUTE(TEXT(Overig!AM311,"?00;?-00;?00;"" //"""),"'","""")&amp;SUBSTITUTE(TEXT(Overig!AN311,""",""???0;"",""??-0;"",""???0;"", ///"""),"'","""")&amp;SUBSTITUTE(TEXT(Overig!AO311,""",""?00;"",""?-00;"",""?00;"", //"""),"'","""")</f>
        <v>78989, 19131106, 0800, ////, 07, /////, 07, ////, 07, /////, 07, ////, 07, ////, 07, ////, 07, ////, 07, ///, 07, ///, 07, ////, 07, ////, 07, ///, 07, ////, 07, ////, 07, ///, 07, //, 07, ////////////, 07, ///, 07</v>
      </c>
    </row>
    <row r="312" spans="1:1" x14ac:dyDescent="0.25">
      <c r="A312" s="75" t="str">
        <f ca="1">TEXT(Overig!A312,"000\,")&amp;TEXT(Overig!B312,"?00000000")&amp;TEXT(Overig!C312,""", ""0000")&amp;SUBSTITUTE(TEXT(IF(ISTEXT(Overig!D312),Overig!D312,10*Overig!D312),""",""????0;"",""???-0;"",""????0;"", ////"""),"'","""")&amp;SUBSTITUTE(TEXT(Overig!E312,""",""?00;"",""?-00;"",""?00;"", //"""),"'","""")&amp;SUBSTITUTE(TEXT(IF(ISTEXT(Overig!F312),Overig!F312,100*Overig!F312),""",""?????0;"",""????-0;"",""?????0;"", /////"""),"'","""")&amp;SUBSTITUTE(TEXT(Overig!G312,""",""?00;"",""?-00;"",""?00;"", //"""),"'","""")&amp;SUBSTITUTE(TEXT(IF(ISTEXT(Overig!H312),Overig!H312,100*Overig!H312),""",""????0;"",""???-0;"",""????0;"", ////"""),"'","""")&amp;SUBSTITUTE(TEXT(Overig!I312,""",""?00;"",""?-00;"",""?00;"", //"""),"'","""")&amp;SUBSTITUTE(TEXT(IF(ISTEXT(Overig!J312),Overig!J312,100*Overig!J312),""",""?????0;"",""????-0;"",""?????0;"", /////"""),"'","""")&amp;SUBSTITUTE(TEXT(Overig!K312,""",""?00;"",""?-00;"",""?00;"", //"""),"'","""")&amp;SUBSTITUTE(TEXT(IF(ISTEXT(Overig!L312),Overig!L312,10*Overig!L312),""",""????0;"",""???-0;"",""????0;"", ////"""),"'","""")&amp;SUBSTITUTE(TEXT(Overig!M312,""",""?00;"",""?-00;"",""?00;"", //"""),"'","""")&amp;SUBSTITUTE(TEXT(IF(ISTEXT(Overig!N312),Overig!N312,10*Overig!N312),""",""????0;"",""???-0;"",""????0;"", ////"""),"'","""")&amp;SUBSTITUTE(TEXT(Overig!O312,""",""?00;"",""?-00;"",""?00;"", //"""),"'","""")&amp;SUBSTITUTE(TEXT(IF(ISTEXT(Overig!P312),Overig!P312,10*Overig!P312),""",""????0;"",""???-0;"",""????0;"", ////"""),"'","""")&amp;SUBSTITUTE(TEXT(Overig!Q312,""",""?00;"",""?-00;"",""?00;"", //"""),"'","""")&amp;SUBSTITUTE(TEXT(IF(ISTEXT(Overig!R312),Overig!R312,10*Overig!R312),""",""????0;"",""???-0;"",""????0;"", ////"""),"'","""")&amp;SUBSTITUTE(TEXT(Overig!S312,""",""?00;"",""?-00;"",""?00;"", //"""),"'","""")&amp;SUBSTITUTE(TEXT(Overig!T312,""",""???0;"",""??-0;"",""???0;"", ///"""),"'","""")&amp;SUBSTITUTE(TEXT(Overig!U312,""",""?00;"",""?-00;"",""?00;"", //"""),"'","""")&amp;SUBSTITUTE(TEXT(IF(ISTEXT(Overig!V312),Overig!V312,10*Overig!V312),""",""???0;"",""??-0;"",""???0;"", ///"""),"'","""")&amp;SUBSTITUTE(TEXT(Overig!W312,""",""?00;"",""?-00;"",""?00;"", //"""),"'","""")&amp;SUBSTITUTE(TEXT(IF(ISTEXT(Overig!X312),Overig!X312,10*Overig!X312),""",""????0;"",""???-0;"",""????0;"", ////"""),"'","""")&amp;SUBSTITUTE(TEXT(Overig!Y312,""",""?00;"",""?-00;"",""?00;"", //"""),"'","""")&amp;SUBSTITUTE(TEXT(IF(ISTEXT(Overig!Z312),Overig!Z312,10*Overig!Z312),""",""????0;"",""???-0;"",""????0;"", ////"""),"'","""")&amp;SUBSTITUTE(TEXT(Overig!AA312,""",""?00;"",""?-00;"",""?00;"", //"""),"'","""")&amp;SUBSTITUTE(TEXT(Overig!AB312,""",""???0;"",""??-0;"",""???0;"", ///"""),"'","""")&amp;SUBSTITUTE(TEXT(Overig!AC312,""",""?00;"",""?-00;"",""?00;"", //"""),"'","""")&amp;SUBSTITUTE(TEXT(IF(ISTEXT(Overig!AD312),Overig!AD312,10*Overig!AD312),""",""????0;"",""???-0;"",""????0;"", ////"""),"'","""")&amp;SUBSTITUTE(TEXT(Overig!AE312,""",""?00;"",""?-00;"",""?00;"", //"""),"'","""")&amp;SUBSTITUTE(TEXT(IF(ISTEXT(Overig!AF312),Overig!AF312,10*Overig!AF312),""",""????0;"",""???-0;"",""????0;"", ////"""),"'","""")&amp;SUBSTITUTE(TEXT(Overig!AG312,""",""?00;"",""?-00;"",""?00;"", //"""),"'","""")&amp;SUBSTITUTE(TEXT(Overig!AH312,""",""???0;"",""??-0;"",""???0;"", ///"""),"'","""")&amp;SUBSTITUTE(TEXT(Overig!AI312,""",""?00;"",""?-00;"",""?00;"", //"""),"'","""")&amp;SUBSTITUTE(TEXT(Overig!AJ312,""",""??0;"",""?-0;"",""??0;"", //"""),"'","""")&amp;SUBSTITUTE(TEXT(Overig!AK312,""",""?00;"",""?-00;"",""?00;"", //"""),"'","""")&amp;SUBSTITUTE(IF(EXACT(Overig!AL312,"—"),TEXT(Overig!AL312,""",""????0;"",""???-0;"",""????0;"", ////////////,"""),TEXT(Overig!AL312,"\, \'@""',""")&amp;REPT(" ",10-LEN(Overig!AL312))),"'","""")&amp;SUBSTITUTE(TEXT(Overig!AM312,"?00;?-00;?00;"" //"""),"'","""")&amp;SUBSTITUTE(TEXT(Overig!AN312,""",""???0;"",""??-0;"",""???0;"", ///"""),"'","""")&amp;SUBSTITUTE(TEXT(Overig!AO312,""",""?00;"",""?-00;"",""?00;"", //"""),"'","""")</f>
        <v>78989, 19131107, 0800, ////, 07, /////, 07, ////, 07, /////, 07, ////, 07, ////, 07, ////, 07, ////, 07, ///, 07, ///, 07, ////, 07, ////, 07, ///, 07, ////, 07, ////, 07, ///, 07, //, 07, ////////////, 07, ///, 07</v>
      </c>
    </row>
    <row r="313" spans="1:1" x14ac:dyDescent="0.25">
      <c r="A313" s="75" t="str">
        <f ca="1">TEXT(Overig!A313,"000\,")&amp;TEXT(Overig!B313,"?00000000")&amp;TEXT(Overig!C313,""", ""0000")&amp;SUBSTITUTE(TEXT(IF(ISTEXT(Overig!D313),Overig!D313,10*Overig!D313),""",""????0;"",""???-0;"",""????0;"", ////"""),"'","""")&amp;SUBSTITUTE(TEXT(Overig!E313,""",""?00;"",""?-00;"",""?00;"", //"""),"'","""")&amp;SUBSTITUTE(TEXT(IF(ISTEXT(Overig!F313),Overig!F313,100*Overig!F313),""",""?????0;"",""????-0;"",""?????0;"", /////"""),"'","""")&amp;SUBSTITUTE(TEXT(Overig!G313,""",""?00;"",""?-00;"",""?00;"", //"""),"'","""")&amp;SUBSTITUTE(TEXT(IF(ISTEXT(Overig!H313),Overig!H313,100*Overig!H313),""",""????0;"",""???-0;"",""????0;"", ////"""),"'","""")&amp;SUBSTITUTE(TEXT(Overig!I313,""",""?00;"",""?-00;"",""?00;"", //"""),"'","""")&amp;SUBSTITUTE(TEXT(IF(ISTEXT(Overig!J313),Overig!J313,100*Overig!J313),""",""?????0;"",""????-0;"",""?????0;"", /////"""),"'","""")&amp;SUBSTITUTE(TEXT(Overig!K313,""",""?00;"",""?-00;"",""?00;"", //"""),"'","""")&amp;SUBSTITUTE(TEXT(IF(ISTEXT(Overig!L313),Overig!L313,10*Overig!L313),""",""????0;"",""???-0;"",""????0;"", ////"""),"'","""")&amp;SUBSTITUTE(TEXT(Overig!M313,""",""?00;"",""?-00;"",""?00;"", //"""),"'","""")&amp;SUBSTITUTE(TEXT(IF(ISTEXT(Overig!N313),Overig!N313,10*Overig!N313),""",""????0;"",""???-0;"",""????0;"", ////"""),"'","""")&amp;SUBSTITUTE(TEXT(Overig!O313,""",""?00;"",""?-00;"",""?00;"", //"""),"'","""")&amp;SUBSTITUTE(TEXT(IF(ISTEXT(Overig!P313),Overig!P313,10*Overig!P313),""",""????0;"",""???-0;"",""????0;"", ////"""),"'","""")&amp;SUBSTITUTE(TEXT(Overig!Q313,""",""?00;"",""?-00;"",""?00;"", //"""),"'","""")&amp;SUBSTITUTE(TEXT(IF(ISTEXT(Overig!R313),Overig!R313,10*Overig!R313),""",""????0;"",""???-0;"",""????0;"", ////"""),"'","""")&amp;SUBSTITUTE(TEXT(Overig!S313,""",""?00;"",""?-00;"",""?00;"", //"""),"'","""")&amp;SUBSTITUTE(TEXT(Overig!T313,""",""???0;"",""??-0;"",""???0;"", ///"""),"'","""")&amp;SUBSTITUTE(TEXT(Overig!U313,""",""?00;"",""?-00;"",""?00;"", //"""),"'","""")&amp;SUBSTITUTE(TEXT(IF(ISTEXT(Overig!V313),Overig!V313,10*Overig!V313),""",""???0;"",""??-0;"",""???0;"", ///"""),"'","""")&amp;SUBSTITUTE(TEXT(Overig!W313,""",""?00;"",""?-00;"",""?00;"", //"""),"'","""")&amp;SUBSTITUTE(TEXT(IF(ISTEXT(Overig!X313),Overig!X313,10*Overig!X313),""",""????0;"",""???-0;"",""????0;"", ////"""),"'","""")&amp;SUBSTITUTE(TEXT(Overig!Y313,""",""?00;"",""?-00;"",""?00;"", //"""),"'","""")&amp;SUBSTITUTE(TEXT(IF(ISTEXT(Overig!Z313),Overig!Z313,10*Overig!Z313),""",""????0;"",""???-0;"",""????0;"", ////"""),"'","""")&amp;SUBSTITUTE(TEXT(Overig!AA313,""",""?00;"",""?-00;"",""?00;"", //"""),"'","""")&amp;SUBSTITUTE(TEXT(Overig!AB313,""",""???0;"",""??-0;"",""???0;"", ///"""),"'","""")&amp;SUBSTITUTE(TEXT(Overig!AC313,""",""?00;"",""?-00;"",""?00;"", //"""),"'","""")&amp;SUBSTITUTE(TEXT(IF(ISTEXT(Overig!AD313),Overig!AD313,10*Overig!AD313),""",""????0;"",""???-0;"",""????0;"", ////"""),"'","""")&amp;SUBSTITUTE(TEXT(Overig!AE313,""",""?00;"",""?-00;"",""?00;"", //"""),"'","""")&amp;SUBSTITUTE(TEXT(IF(ISTEXT(Overig!AF313),Overig!AF313,10*Overig!AF313),""",""????0;"",""???-0;"",""????0;"", ////"""),"'","""")&amp;SUBSTITUTE(TEXT(Overig!AG313,""",""?00;"",""?-00;"",""?00;"", //"""),"'","""")&amp;SUBSTITUTE(TEXT(Overig!AH313,""",""???0;"",""??-0;"",""???0;"", ///"""),"'","""")&amp;SUBSTITUTE(TEXT(Overig!AI313,""",""?00;"",""?-00;"",""?00;"", //"""),"'","""")&amp;SUBSTITUTE(TEXT(Overig!AJ313,""",""??0;"",""?-0;"",""??0;"", //"""),"'","""")&amp;SUBSTITUTE(TEXT(Overig!AK313,""",""?00;"",""?-00;"",""?00;"", //"""),"'","""")&amp;SUBSTITUTE(IF(EXACT(Overig!AL313,"—"),TEXT(Overig!AL313,""",""????0;"",""???-0;"",""????0;"", ////////////,"""),TEXT(Overig!AL313,"\, \'@""',""")&amp;REPT(" ",10-LEN(Overig!AL313))),"'","""")&amp;SUBSTITUTE(TEXT(Overig!AM313,"?00;?-00;?00;"" //"""),"'","""")&amp;SUBSTITUTE(TEXT(Overig!AN313,""",""???0;"",""??-0;"",""???0;"", ///"""),"'","""")&amp;SUBSTITUTE(TEXT(Overig!AO313,""",""?00;"",""?-00;"",""?00;"", //"""),"'","""")</f>
        <v>78989, 19131108, 0800, ////, 07, /////, 07, ////, 07, /////, 07, ////, 07, ////, 07, ////, 07, ////, 07, ///, 07, ///, 07, ////, 07, ////, 07, ///, 07, ////, 07, ////, 07, ///, 07, //, 07, ////////////, 07, ///, 07</v>
      </c>
    </row>
    <row r="314" spans="1:1" x14ac:dyDescent="0.25">
      <c r="A314" s="75" t="str">
        <f ca="1">TEXT(Overig!A314,"000\,")&amp;TEXT(Overig!B314,"?00000000")&amp;TEXT(Overig!C314,""", ""0000")&amp;SUBSTITUTE(TEXT(IF(ISTEXT(Overig!D314),Overig!D314,10*Overig!D314),""",""????0;"",""???-0;"",""????0;"", ////"""),"'","""")&amp;SUBSTITUTE(TEXT(Overig!E314,""",""?00;"",""?-00;"",""?00;"", //"""),"'","""")&amp;SUBSTITUTE(TEXT(IF(ISTEXT(Overig!F314),Overig!F314,100*Overig!F314),""",""?????0;"",""????-0;"",""?????0;"", /////"""),"'","""")&amp;SUBSTITUTE(TEXT(Overig!G314,""",""?00;"",""?-00;"",""?00;"", //"""),"'","""")&amp;SUBSTITUTE(TEXT(IF(ISTEXT(Overig!H314),Overig!H314,100*Overig!H314),""",""????0;"",""???-0;"",""????0;"", ////"""),"'","""")&amp;SUBSTITUTE(TEXT(Overig!I314,""",""?00;"",""?-00;"",""?00;"", //"""),"'","""")&amp;SUBSTITUTE(TEXT(IF(ISTEXT(Overig!J314),Overig!J314,100*Overig!J314),""",""?????0;"",""????-0;"",""?????0;"", /////"""),"'","""")&amp;SUBSTITUTE(TEXT(Overig!K314,""",""?00;"",""?-00;"",""?00;"", //"""),"'","""")&amp;SUBSTITUTE(TEXT(IF(ISTEXT(Overig!L314),Overig!L314,10*Overig!L314),""",""????0;"",""???-0;"",""????0;"", ////"""),"'","""")&amp;SUBSTITUTE(TEXT(Overig!M314,""",""?00;"",""?-00;"",""?00;"", //"""),"'","""")&amp;SUBSTITUTE(TEXT(IF(ISTEXT(Overig!N314),Overig!N314,10*Overig!N314),""",""????0;"",""???-0;"",""????0;"", ////"""),"'","""")&amp;SUBSTITUTE(TEXT(Overig!O314,""",""?00;"",""?-00;"",""?00;"", //"""),"'","""")&amp;SUBSTITUTE(TEXT(IF(ISTEXT(Overig!P314),Overig!P314,10*Overig!P314),""",""????0;"",""???-0;"",""????0;"", ////"""),"'","""")&amp;SUBSTITUTE(TEXT(Overig!Q314,""",""?00;"",""?-00;"",""?00;"", //"""),"'","""")&amp;SUBSTITUTE(TEXT(IF(ISTEXT(Overig!R314),Overig!R314,10*Overig!R314),""",""????0;"",""???-0;"",""????0;"", ////"""),"'","""")&amp;SUBSTITUTE(TEXT(Overig!S314,""",""?00;"",""?-00;"",""?00;"", //"""),"'","""")&amp;SUBSTITUTE(TEXT(Overig!T314,""",""???0;"",""??-0;"",""???0;"", ///"""),"'","""")&amp;SUBSTITUTE(TEXT(Overig!U314,""",""?00;"",""?-00;"",""?00;"", //"""),"'","""")&amp;SUBSTITUTE(TEXT(IF(ISTEXT(Overig!V314),Overig!V314,10*Overig!V314),""",""???0;"",""??-0;"",""???0;"", ///"""),"'","""")&amp;SUBSTITUTE(TEXT(Overig!W314,""",""?00;"",""?-00;"",""?00;"", //"""),"'","""")&amp;SUBSTITUTE(TEXT(IF(ISTEXT(Overig!X314),Overig!X314,10*Overig!X314),""",""????0;"",""???-0;"",""????0;"", ////"""),"'","""")&amp;SUBSTITUTE(TEXT(Overig!Y314,""",""?00;"",""?-00;"",""?00;"", //"""),"'","""")&amp;SUBSTITUTE(TEXT(IF(ISTEXT(Overig!Z314),Overig!Z314,10*Overig!Z314),""",""????0;"",""???-0;"",""????0;"", ////"""),"'","""")&amp;SUBSTITUTE(TEXT(Overig!AA314,""",""?00;"",""?-00;"",""?00;"", //"""),"'","""")&amp;SUBSTITUTE(TEXT(Overig!AB314,""",""???0;"",""??-0;"",""???0;"", ///"""),"'","""")&amp;SUBSTITUTE(TEXT(Overig!AC314,""",""?00;"",""?-00;"",""?00;"", //"""),"'","""")&amp;SUBSTITUTE(TEXT(IF(ISTEXT(Overig!AD314),Overig!AD314,10*Overig!AD314),""",""????0;"",""???-0;"",""????0;"", ////"""),"'","""")&amp;SUBSTITUTE(TEXT(Overig!AE314,""",""?00;"",""?-00;"",""?00;"", //"""),"'","""")&amp;SUBSTITUTE(TEXT(IF(ISTEXT(Overig!AF314),Overig!AF314,10*Overig!AF314),""",""????0;"",""???-0;"",""????0;"", ////"""),"'","""")&amp;SUBSTITUTE(TEXT(Overig!AG314,""",""?00;"",""?-00;"",""?00;"", //"""),"'","""")&amp;SUBSTITUTE(TEXT(Overig!AH314,""",""???0;"",""??-0;"",""???0;"", ///"""),"'","""")&amp;SUBSTITUTE(TEXT(Overig!AI314,""",""?00;"",""?-00;"",""?00;"", //"""),"'","""")&amp;SUBSTITUTE(TEXT(Overig!AJ314,""",""??0;"",""?-0;"",""??0;"", //"""),"'","""")&amp;SUBSTITUTE(TEXT(Overig!AK314,""",""?00;"",""?-00;"",""?00;"", //"""),"'","""")&amp;SUBSTITUTE(IF(EXACT(Overig!AL314,"—"),TEXT(Overig!AL314,""",""????0;"",""???-0;"",""????0;"", ////////////,"""),TEXT(Overig!AL314,"\, \'@""',""")&amp;REPT(" ",10-LEN(Overig!AL314))),"'","""")&amp;SUBSTITUTE(TEXT(Overig!AM314,"?00;?-00;?00;"" //"""),"'","""")&amp;SUBSTITUTE(TEXT(Overig!AN314,""",""???0;"",""??-0;"",""???0;"", ///"""),"'","""")&amp;SUBSTITUTE(TEXT(Overig!AO314,""",""?00;"",""?-00;"",""?00;"", //"""),"'","""")</f>
        <v>78989, 19131109, 0800, ////, 07, /////, 07, ////, 07, /////, 07, ////, 07, ////, 07, ////, 07, ////, 07, ///, 07, ///, 07, ////, 07, ////, 07, ///, 07, ////, 07, ////, 07, ///, 07, //, 07, ////////////, 07, ///, 07</v>
      </c>
    </row>
    <row r="315" spans="1:1" x14ac:dyDescent="0.25">
      <c r="A315" s="75" t="str">
        <f ca="1">TEXT(Overig!A315,"000\,")&amp;TEXT(Overig!B315,"?00000000")&amp;TEXT(Overig!C315,""", ""0000")&amp;SUBSTITUTE(TEXT(IF(ISTEXT(Overig!D315),Overig!D315,10*Overig!D315),""",""????0;"",""???-0;"",""????0;"", ////"""),"'","""")&amp;SUBSTITUTE(TEXT(Overig!E315,""",""?00;"",""?-00;"",""?00;"", //"""),"'","""")&amp;SUBSTITUTE(TEXT(IF(ISTEXT(Overig!F315),Overig!F315,100*Overig!F315),""",""?????0;"",""????-0;"",""?????0;"", /////"""),"'","""")&amp;SUBSTITUTE(TEXT(Overig!G315,""",""?00;"",""?-00;"",""?00;"", //"""),"'","""")&amp;SUBSTITUTE(TEXT(IF(ISTEXT(Overig!H315),Overig!H315,100*Overig!H315),""",""????0;"",""???-0;"",""????0;"", ////"""),"'","""")&amp;SUBSTITUTE(TEXT(Overig!I315,""",""?00;"",""?-00;"",""?00;"", //"""),"'","""")&amp;SUBSTITUTE(TEXT(IF(ISTEXT(Overig!J315),Overig!J315,100*Overig!J315),""",""?????0;"",""????-0;"",""?????0;"", /////"""),"'","""")&amp;SUBSTITUTE(TEXT(Overig!K315,""",""?00;"",""?-00;"",""?00;"", //"""),"'","""")&amp;SUBSTITUTE(TEXT(IF(ISTEXT(Overig!L315),Overig!L315,10*Overig!L315),""",""????0;"",""???-0;"",""????0;"", ////"""),"'","""")&amp;SUBSTITUTE(TEXT(Overig!M315,""",""?00;"",""?-00;"",""?00;"", //"""),"'","""")&amp;SUBSTITUTE(TEXT(IF(ISTEXT(Overig!N315),Overig!N315,10*Overig!N315),""",""????0;"",""???-0;"",""????0;"", ////"""),"'","""")&amp;SUBSTITUTE(TEXT(Overig!O315,""",""?00;"",""?-00;"",""?00;"", //"""),"'","""")&amp;SUBSTITUTE(TEXT(IF(ISTEXT(Overig!P315),Overig!P315,10*Overig!P315),""",""????0;"",""???-0;"",""????0;"", ////"""),"'","""")&amp;SUBSTITUTE(TEXT(Overig!Q315,""",""?00;"",""?-00;"",""?00;"", //"""),"'","""")&amp;SUBSTITUTE(TEXT(IF(ISTEXT(Overig!R315),Overig!R315,10*Overig!R315),""",""????0;"",""???-0;"",""????0;"", ////"""),"'","""")&amp;SUBSTITUTE(TEXT(Overig!S315,""",""?00;"",""?-00;"",""?00;"", //"""),"'","""")&amp;SUBSTITUTE(TEXT(Overig!T315,""",""???0;"",""??-0;"",""???0;"", ///"""),"'","""")&amp;SUBSTITUTE(TEXT(Overig!U315,""",""?00;"",""?-00;"",""?00;"", //"""),"'","""")&amp;SUBSTITUTE(TEXT(IF(ISTEXT(Overig!V315),Overig!V315,10*Overig!V315),""",""???0;"",""??-0;"",""???0;"", ///"""),"'","""")&amp;SUBSTITUTE(TEXT(Overig!W315,""",""?00;"",""?-00;"",""?00;"", //"""),"'","""")&amp;SUBSTITUTE(TEXT(IF(ISTEXT(Overig!X315),Overig!X315,10*Overig!X315),""",""????0;"",""???-0;"",""????0;"", ////"""),"'","""")&amp;SUBSTITUTE(TEXT(Overig!Y315,""",""?00;"",""?-00;"",""?00;"", //"""),"'","""")&amp;SUBSTITUTE(TEXT(IF(ISTEXT(Overig!Z315),Overig!Z315,10*Overig!Z315),""",""????0;"",""???-0;"",""????0;"", ////"""),"'","""")&amp;SUBSTITUTE(TEXT(Overig!AA315,""",""?00;"",""?-00;"",""?00;"", //"""),"'","""")&amp;SUBSTITUTE(TEXT(Overig!AB315,""",""???0;"",""??-0;"",""???0;"", ///"""),"'","""")&amp;SUBSTITUTE(TEXT(Overig!AC315,""",""?00;"",""?-00;"",""?00;"", //"""),"'","""")&amp;SUBSTITUTE(TEXT(IF(ISTEXT(Overig!AD315),Overig!AD315,10*Overig!AD315),""",""????0;"",""???-0;"",""????0;"", ////"""),"'","""")&amp;SUBSTITUTE(TEXT(Overig!AE315,""",""?00;"",""?-00;"",""?00;"", //"""),"'","""")&amp;SUBSTITUTE(TEXT(IF(ISTEXT(Overig!AF315),Overig!AF315,10*Overig!AF315),""",""????0;"",""???-0;"",""????0;"", ////"""),"'","""")&amp;SUBSTITUTE(TEXT(Overig!AG315,""",""?00;"",""?-00;"",""?00;"", //"""),"'","""")&amp;SUBSTITUTE(TEXT(Overig!AH315,""",""???0;"",""??-0;"",""???0;"", ///"""),"'","""")&amp;SUBSTITUTE(TEXT(Overig!AI315,""",""?00;"",""?-00;"",""?00;"", //"""),"'","""")&amp;SUBSTITUTE(TEXT(Overig!AJ315,""",""??0;"",""?-0;"",""??0;"", //"""),"'","""")&amp;SUBSTITUTE(TEXT(Overig!AK315,""",""?00;"",""?-00;"",""?00;"", //"""),"'","""")&amp;SUBSTITUTE(IF(EXACT(Overig!AL315,"—"),TEXT(Overig!AL315,""",""????0;"",""???-0;"",""????0;"", ////////////,"""),TEXT(Overig!AL315,"\, \'@""',""")&amp;REPT(" ",10-LEN(Overig!AL315))),"'","""")&amp;SUBSTITUTE(TEXT(Overig!AM315,"?00;?-00;?00;"" //"""),"'","""")&amp;SUBSTITUTE(TEXT(Overig!AN315,""",""???0;"",""??-0;"",""???0;"", ///"""),"'","""")&amp;SUBSTITUTE(TEXT(Overig!AO315,""",""?00;"",""?-00;"",""?00;"", //"""),"'","""")</f>
        <v>78989, 19131110, 0800, ////, 07, /////, 07, ////, 07, /////, 07, ////, 07, ////, 07, ////, 07, ////, 07, ///, 07, ///, 07, ////, 07, ////, 07, ///, 07, ////, 07, ////, 07, ///, 07, //, 07, ////////////, 07, ///, 07</v>
      </c>
    </row>
    <row r="316" spans="1:1" x14ac:dyDescent="0.25">
      <c r="A316" s="75" t="str">
        <f ca="1">TEXT(Overig!A316,"000\,")&amp;TEXT(Overig!B316,"?00000000")&amp;TEXT(Overig!C316,""", ""0000")&amp;SUBSTITUTE(TEXT(IF(ISTEXT(Overig!D316),Overig!D316,10*Overig!D316),""",""????0;"",""???-0;"",""????0;"", ////"""),"'","""")&amp;SUBSTITUTE(TEXT(Overig!E316,""",""?00;"",""?-00;"",""?00;"", //"""),"'","""")&amp;SUBSTITUTE(TEXT(IF(ISTEXT(Overig!F316),Overig!F316,100*Overig!F316),""",""?????0;"",""????-0;"",""?????0;"", /////"""),"'","""")&amp;SUBSTITUTE(TEXT(Overig!G316,""",""?00;"",""?-00;"",""?00;"", //"""),"'","""")&amp;SUBSTITUTE(TEXT(IF(ISTEXT(Overig!H316),Overig!H316,100*Overig!H316),""",""????0;"",""???-0;"",""????0;"", ////"""),"'","""")&amp;SUBSTITUTE(TEXT(Overig!I316,""",""?00;"",""?-00;"",""?00;"", //"""),"'","""")&amp;SUBSTITUTE(TEXT(IF(ISTEXT(Overig!J316),Overig!J316,100*Overig!J316),""",""?????0;"",""????-0;"",""?????0;"", /////"""),"'","""")&amp;SUBSTITUTE(TEXT(Overig!K316,""",""?00;"",""?-00;"",""?00;"", //"""),"'","""")&amp;SUBSTITUTE(TEXT(IF(ISTEXT(Overig!L316),Overig!L316,10*Overig!L316),""",""????0;"",""???-0;"",""????0;"", ////"""),"'","""")&amp;SUBSTITUTE(TEXT(Overig!M316,""",""?00;"",""?-00;"",""?00;"", //"""),"'","""")&amp;SUBSTITUTE(TEXT(IF(ISTEXT(Overig!N316),Overig!N316,10*Overig!N316),""",""????0;"",""???-0;"",""????0;"", ////"""),"'","""")&amp;SUBSTITUTE(TEXT(Overig!O316,""",""?00;"",""?-00;"",""?00;"", //"""),"'","""")&amp;SUBSTITUTE(TEXT(IF(ISTEXT(Overig!P316),Overig!P316,10*Overig!P316),""",""????0;"",""???-0;"",""????0;"", ////"""),"'","""")&amp;SUBSTITUTE(TEXT(Overig!Q316,""",""?00;"",""?-00;"",""?00;"", //"""),"'","""")&amp;SUBSTITUTE(TEXT(IF(ISTEXT(Overig!R316),Overig!R316,10*Overig!R316),""",""????0;"",""???-0;"",""????0;"", ////"""),"'","""")&amp;SUBSTITUTE(TEXT(Overig!S316,""",""?00;"",""?-00;"",""?00;"", //"""),"'","""")&amp;SUBSTITUTE(TEXT(Overig!T316,""",""???0;"",""??-0;"",""???0;"", ///"""),"'","""")&amp;SUBSTITUTE(TEXT(Overig!U316,""",""?00;"",""?-00;"",""?00;"", //"""),"'","""")&amp;SUBSTITUTE(TEXT(IF(ISTEXT(Overig!V316),Overig!V316,10*Overig!V316),""",""???0;"",""??-0;"",""???0;"", ///"""),"'","""")&amp;SUBSTITUTE(TEXT(Overig!W316,""",""?00;"",""?-00;"",""?00;"", //"""),"'","""")&amp;SUBSTITUTE(TEXT(IF(ISTEXT(Overig!X316),Overig!X316,10*Overig!X316),""",""????0;"",""???-0;"",""????0;"", ////"""),"'","""")&amp;SUBSTITUTE(TEXT(Overig!Y316,""",""?00;"",""?-00;"",""?00;"", //"""),"'","""")&amp;SUBSTITUTE(TEXT(IF(ISTEXT(Overig!Z316),Overig!Z316,10*Overig!Z316),""",""????0;"",""???-0;"",""????0;"", ////"""),"'","""")&amp;SUBSTITUTE(TEXT(Overig!AA316,""",""?00;"",""?-00;"",""?00;"", //"""),"'","""")&amp;SUBSTITUTE(TEXT(Overig!AB316,""",""???0;"",""??-0;"",""???0;"", ///"""),"'","""")&amp;SUBSTITUTE(TEXT(Overig!AC316,""",""?00;"",""?-00;"",""?00;"", //"""),"'","""")&amp;SUBSTITUTE(TEXT(IF(ISTEXT(Overig!AD316),Overig!AD316,10*Overig!AD316),""",""????0;"",""???-0;"",""????0;"", ////"""),"'","""")&amp;SUBSTITUTE(TEXT(Overig!AE316,""",""?00;"",""?-00;"",""?00;"", //"""),"'","""")&amp;SUBSTITUTE(TEXT(IF(ISTEXT(Overig!AF316),Overig!AF316,10*Overig!AF316),""",""????0;"",""???-0;"",""????0;"", ////"""),"'","""")&amp;SUBSTITUTE(TEXT(Overig!AG316,""",""?00;"",""?-00;"",""?00;"", //"""),"'","""")&amp;SUBSTITUTE(TEXT(Overig!AH316,""",""???0;"",""??-0;"",""???0;"", ///"""),"'","""")&amp;SUBSTITUTE(TEXT(Overig!AI316,""",""?00;"",""?-00;"",""?00;"", //"""),"'","""")&amp;SUBSTITUTE(TEXT(Overig!AJ316,""",""??0;"",""?-0;"",""??0;"", //"""),"'","""")&amp;SUBSTITUTE(TEXT(Overig!AK316,""",""?00;"",""?-00;"",""?00;"", //"""),"'","""")&amp;SUBSTITUTE(IF(EXACT(Overig!AL316,"—"),TEXT(Overig!AL316,""",""????0;"",""???-0;"",""????0;"", ////////////,"""),TEXT(Overig!AL316,"\, \'@""',""")&amp;REPT(" ",10-LEN(Overig!AL316))),"'","""")&amp;SUBSTITUTE(TEXT(Overig!AM316,"?00;?-00;?00;"" //"""),"'","""")&amp;SUBSTITUTE(TEXT(Overig!AN316,""",""???0;"",""??-0;"",""???0;"", ///"""),"'","""")&amp;SUBSTITUTE(TEXT(Overig!AO316,""",""?00;"",""?-00;"",""?00;"", //"""),"'","""")</f>
        <v>78989, 19131111, 0800, ////, 07, /////, 07, ////, 07, /////, 07, ////, 07, ////, 07, ////, 07, ////, 07, ///, 07, ///, 07, ////, 07, ////, 07, ///, 07, ////, 07, ////, 07, ///, 07, //, 07, ////////////, 07, ///, 07</v>
      </c>
    </row>
    <row r="317" spans="1:1" x14ac:dyDescent="0.25">
      <c r="A317" s="75" t="str">
        <f ca="1">TEXT(Overig!A317,"000\,")&amp;TEXT(Overig!B317,"?00000000")&amp;TEXT(Overig!C317,""", ""0000")&amp;SUBSTITUTE(TEXT(IF(ISTEXT(Overig!D317),Overig!D317,10*Overig!D317),""",""????0;"",""???-0;"",""????0;"", ////"""),"'","""")&amp;SUBSTITUTE(TEXT(Overig!E317,""",""?00;"",""?-00;"",""?00;"", //"""),"'","""")&amp;SUBSTITUTE(TEXT(IF(ISTEXT(Overig!F317),Overig!F317,100*Overig!F317),""",""?????0;"",""????-0;"",""?????0;"", /////"""),"'","""")&amp;SUBSTITUTE(TEXT(Overig!G317,""",""?00;"",""?-00;"",""?00;"", //"""),"'","""")&amp;SUBSTITUTE(TEXT(IF(ISTEXT(Overig!H317),Overig!H317,100*Overig!H317),""",""????0;"",""???-0;"",""????0;"", ////"""),"'","""")&amp;SUBSTITUTE(TEXT(Overig!I317,""",""?00;"",""?-00;"",""?00;"", //"""),"'","""")&amp;SUBSTITUTE(TEXT(IF(ISTEXT(Overig!J317),Overig!J317,100*Overig!J317),""",""?????0;"",""????-0;"",""?????0;"", /////"""),"'","""")&amp;SUBSTITUTE(TEXT(Overig!K317,""",""?00;"",""?-00;"",""?00;"", //"""),"'","""")&amp;SUBSTITUTE(TEXT(IF(ISTEXT(Overig!L317),Overig!L317,10*Overig!L317),""",""????0;"",""???-0;"",""????0;"", ////"""),"'","""")&amp;SUBSTITUTE(TEXT(Overig!M317,""",""?00;"",""?-00;"",""?00;"", //"""),"'","""")&amp;SUBSTITUTE(TEXT(IF(ISTEXT(Overig!N317),Overig!N317,10*Overig!N317),""",""????0;"",""???-0;"",""????0;"", ////"""),"'","""")&amp;SUBSTITUTE(TEXT(Overig!O317,""",""?00;"",""?-00;"",""?00;"", //"""),"'","""")&amp;SUBSTITUTE(TEXT(IF(ISTEXT(Overig!P317),Overig!P317,10*Overig!P317),""",""????0;"",""???-0;"",""????0;"", ////"""),"'","""")&amp;SUBSTITUTE(TEXT(Overig!Q317,""",""?00;"",""?-00;"",""?00;"", //"""),"'","""")&amp;SUBSTITUTE(TEXT(IF(ISTEXT(Overig!R317),Overig!R317,10*Overig!R317),""",""????0;"",""???-0;"",""????0;"", ////"""),"'","""")&amp;SUBSTITUTE(TEXT(Overig!S317,""",""?00;"",""?-00;"",""?00;"", //"""),"'","""")&amp;SUBSTITUTE(TEXT(Overig!T317,""",""???0;"",""??-0;"",""???0;"", ///"""),"'","""")&amp;SUBSTITUTE(TEXT(Overig!U317,""",""?00;"",""?-00;"",""?00;"", //"""),"'","""")&amp;SUBSTITUTE(TEXT(IF(ISTEXT(Overig!V317),Overig!V317,10*Overig!V317),""",""???0;"",""??-0;"",""???0;"", ///"""),"'","""")&amp;SUBSTITUTE(TEXT(Overig!W317,""",""?00;"",""?-00;"",""?00;"", //"""),"'","""")&amp;SUBSTITUTE(TEXT(IF(ISTEXT(Overig!X317),Overig!X317,10*Overig!X317),""",""????0;"",""???-0;"",""????0;"", ////"""),"'","""")&amp;SUBSTITUTE(TEXT(Overig!Y317,""",""?00;"",""?-00;"",""?00;"", //"""),"'","""")&amp;SUBSTITUTE(TEXT(IF(ISTEXT(Overig!Z317),Overig!Z317,10*Overig!Z317),""",""????0;"",""???-0;"",""????0;"", ////"""),"'","""")&amp;SUBSTITUTE(TEXT(Overig!AA317,""",""?00;"",""?-00;"",""?00;"", //"""),"'","""")&amp;SUBSTITUTE(TEXT(Overig!AB317,""",""???0;"",""??-0;"",""???0;"", ///"""),"'","""")&amp;SUBSTITUTE(TEXT(Overig!AC317,""",""?00;"",""?-00;"",""?00;"", //"""),"'","""")&amp;SUBSTITUTE(TEXT(IF(ISTEXT(Overig!AD317),Overig!AD317,10*Overig!AD317),""",""????0;"",""???-0;"",""????0;"", ////"""),"'","""")&amp;SUBSTITUTE(TEXT(Overig!AE317,""",""?00;"",""?-00;"",""?00;"", //"""),"'","""")&amp;SUBSTITUTE(TEXT(IF(ISTEXT(Overig!AF317),Overig!AF317,10*Overig!AF317),""",""????0;"",""???-0;"",""????0;"", ////"""),"'","""")&amp;SUBSTITUTE(TEXT(Overig!AG317,""",""?00;"",""?-00;"",""?00;"", //"""),"'","""")&amp;SUBSTITUTE(TEXT(Overig!AH317,""",""???0;"",""??-0;"",""???0;"", ///"""),"'","""")&amp;SUBSTITUTE(TEXT(Overig!AI317,""",""?00;"",""?-00;"",""?00;"", //"""),"'","""")&amp;SUBSTITUTE(TEXT(Overig!AJ317,""",""??0;"",""?-0;"",""??0;"", //"""),"'","""")&amp;SUBSTITUTE(TEXT(Overig!AK317,""",""?00;"",""?-00;"",""?00;"", //"""),"'","""")&amp;SUBSTITUTE(IF(EXACT(Overig!AL317,"—"),TEXT(Overig!AL317,""",""????0;"",""???-0;"",""????0;"", ////////////,"""),TEXT(Overig!AL317,"\, \'@""',""")&amp;REPT(" ",10-LEN(Overig!AL317))),"'","""")&amp;SUBSTITUTE(TEXT(Overig!AM317,"?00;?-00;?00;"" //"""),"'","""")&amp;SUBSTITUTE(TEXT(Overig!AN317,""",""???0;"",""??-0;"",""???0;"", ///"""),"'","""")&amp;SUBSTITUTE(TEXT(Overig!AO317,""",""?00;"",""?-00;"",""?00;"", //"""),"'","""")</f>
        <v>78989, 19131112, 0800, ////, 07, /////, 07, ////, 07, /////, 07, ////, 07, ////, 07, ////, 07, ////, 07, ///, 07, ///, 07, ////, 07, ////, 07, ///, 07, ////, 07, ////, 07, ///, 07, //, 07, ////////////, 07, ///, 07</v>
      </c>
    </row>
    <row r="318" spans="1:1" x14ac:dyDescent="0.25">
      <c r="A318" s="75" t="str">
        <f ca="1">TEXT(Overig!A318,"000\,")&amp;TEXT(Overig!B318,"?00000000")&amp;TEXT(Overig!C318,""", ""0000")&amp;SUBSTITUTE(TEXT(IF(ISTEXT(Overig!D318),Overig!D318,10*Overig!D318),""",""????0;"",""???-0;"",""????0;"", ////"""),"'","""")&amp;SUBSTITUTE(TEXT(Overig!E318,""",""?00;"",""?-00;"",""?00;"", //"""),"'","""")&amp;SUBSTITUTE(TEXT(IF(ISTEXT(Overig!F318),Overig!F318,100*Overig!F318),""",""?????0;"",""????-0;"",""?????0;"", /////"""),"'","""")&amp;SUBSTITUTE(TEXT(Overig!G318,""",""?00;"",""?-00;"",""?00;"", //"""),"'","""")&amp;SUBSTITUTE(TEXT(IF(ISTEXT(Overig!H318),Overig!H318,100*Overig!H318),""",""????0;"",""???-0;"",""????0;"", ////"""),"'","""")&amp;SUBSTITUTE(TEXT(Overig!I318,""",""?00;"",""?-00;"",""?00;"", //"""),"'","""")&amp;SUBSTITUTE(TEXT(IF(ISTEXT(Overig!J318),Overig!J318,100*Overig!J318),""",""?????0;"",""????-0;"",""?????0;"", /////"""),"'","""")&amp;SUBSTITUTE(TEXT(Overig!K318,""",""?00;"",""?-00;"",""?00;"", //"""),"'","""")&amp;SUBSTITUTE(TEXT(IF(ISTEXT(Overig!L318),Overig!L318,10*Overig!L318),""",""????0;"",""???-0;"",""????0;"", ////"""),"'","""")&amp;SUBSTITUTE(TEXT(Overig!M318,""",""?00;"",""?-00;"",""?00;"", //"""),"'","""")&amp;SUBSTITUTE(TEXT(IF(ISTEXT(Overig!N318),Overig!N318,10*Overig!N318),""",""????0;"",""???-0;"",""????0;"", ////"""),"'","""")&amp;SUBSTITUTE(TEXT(Overig!O318,""",""?00;"",""?-00;"",""?00;"", //"""),"'","""")&amp;SUBSTITUTE(TEXT(IF(ISTEXT(Overig!P318),Overig!P318,10*Overig!P318),""",""????0;"",""???-0;"",""????0;"", ////"""),"'","""")&amp;SUBSTITUTE(TEXT(Overig!Q318,""",""?00;"",""?-00;"",""?00;"", //"""),"'","""")&amp;SUBSTITUTE(TEXT(IF(ISTEXT(Overig!R318),Overig!R318,10*Overig!R318),""",""????0;"",""???-0;"",""????0;"", ////"""),"'","""")&amp;SUBSTITUTE(TEXT(Overig!S318,""",""?00;"",""?-00;"",""?00;"", //"""),"'","""")&amp;SUBSTITUTE(TEXT(Overig!T318,""",""???0;"",""??-0;"",""???0;"", ///"""),"'","""")&amp;SUBSTITUTE(TEXT(Overig!U318,""",""?00;"",""?-00;"",""?00;"", //"""),"'","""")&amp;SUBSTITUTE(TEXT(IF(ISTEXT(Overig!V318),Overig!V318,10*Overig!V318),""",""???0;"",""??-0;"",""???0;"", ///"""),"'","""")&amp;SUBSTITUTE(TEXT(Overig!W318,""",""?00;"",""?-00;"",""?00;"", //"""),"'","""")&amp;SUBSTITUTE(TEXT(IF(ISTEXT(Overig!X318),Overig!X318,10*Overig!X318),""",""????0;"",""???-0;"",""????0;"", ////"""),"'","""")&amp;SUBSTITUTE(TEXT(Overig!Y318,""",""?00;"",""?-00;"",""?00;"", //"""),"'","""")&amp;SUBSTITUTE(TEXT(IF(ISTEXT(Overig!Z318),Overig!Z318,10*Overig!Z318),""",""????0;"",""???-0;"",""????0;"", ////"""),"'","""")&amp;SUBSTITUTE(TEXT(Overig!AA318,""",""?00;"",""?-00;"",""?00;"", //"""),"'","""")&amp;SUBSTITUTE(TEXT(Overig!AB318,""",""???0;"",""??-0;"",""???0;"", ///"""),"'","""")&amp;SUBSTITUTE(TEXT(Overig!AC318,""",""?00;"",""?-00;"",""?00;"", //"""),"'","""")&amp;SUBSTITUTE(TEXT(IF(ISTEXT(Overig!AD318),Overig!AD318,10*Overig!AD318),""",""????0;"",""???-0;"",""????0;"", ////"""),"'","""")&amp;SUBSTITUTE(TEXT(Overig!AE318,""",""?00;"",""?-00;"",""?00;"", //"""),"'","""")&amp;SUBSTITUTE(TEXT(IF(ISTEXT(Overig!AF318),Overig!AF318,10*Overig!AF318),""",""????0;"",""???-0;"",""????0;"", ////"""),"'","""")&amp;SUBSTITUTE(TEXT(Overig!AG318,""",""?00;"",""?-00;"",""?00;"", //"""),"'","""")&amp;SUBSTITUTE(TEXT(Overig!AH318,""",""???0;"",""??-0;"",""???0;"", ///"""),"'","""")&amp;SUBSTITUTE(TEXT(Overig!AI318,""",""?00;"",""?-00;"",""?00;"", //"""),"'","""")&amp;SUBSTITUTE(TEXT(Overig!AJ318,""",""??0;"",""?-0;"",""??0;"", //"""),"'","""")&amp;SUBSTITUTE(TEXT(Overig!AK318,""",""?00;"",""?-00;"",""?00;"", //"""),"'","""")&amp;SUBSTITUTE(IF(EXACT(Overig!AL318,"—"),TEXT(Overig!AL318,""",""????0;"",""???-0;"",""????0;"", ////////////,"""),TEXT(Overig!AL318,"\, \'@""',""")&amp;REPT(" ",10-LEN(Overig!AL318))),"'","""")&amp;SUBSTITUTE(TEXT(Overig!AM318,"?00;?-00;?00;"" //"""),"'","""")&amp;SUBSTITUTE(TEXT(Overig!AN318,""",""???0;"",""??-0;"",""???0;"", ///"""),"'","""")&amp;SUBSTITUTE(TEXT(Overig!AO318,""",""?00;"",""?-00;"",""?00;"", //"""),"'","""")</f>
        <v>78989, 19131113, 0800, ////, 07, /////, 07, ////, 07, /////, 07, ////, 07, ////, 07, ////, 07, ////, 07, ///, 07, ///, 07, ////, 07, ////, 07, ///, 07, ////, 07, ////, 07, ///, 07, //, 07, ////////////, 07, ///, 07</v>
      </c>
    </row>
    <row r="319" spans="1:1" x14ac:dyDescent="0.25">
      <c r="A319" s="75" t="str">
        <f ca="1">TEXT(Overig!A319,"000\,")&amp;TEXT(Overig!B319,"?00000000")&amp;TEXT(Overig!C319,""", ""0000")&amp;SUBSTITUTE(TEXT(IF(ISTEXT(Overig!D319),Overig!D319,10*Overig!D319),""",""????0;"",""???-0;"",""????0;"", ////"""),"'","""")&amp;SUBSTITUTE(TEXT(Overig!E319,""",""?00;"",""?-00;"",""?00;"", //"""),"'","""")&amp;SUBSTITUTE(TEXT(IF(ISTEXT(Overig!F319),Overig!F319,100*Overig!F319),""",""?????0;"",""????-0;"",""?????0;"", /////"""),"'","""")&amp;SUBSTITUTE(TEXT(Overig!G319,""",""?00;"",""?-00;"",""?00;"", //"""),"'","""")&amp;SUBSTITUTE(TEXT(IF(ISTEXT(Overig!H319),Overig!H319,100*Overig!H319),""",""????0;"",""???-0;"",""????0;"", ////"""),"'","""")&amp;SUBSTITUTE(TEXT(Overig!I319,""",""?00;"",""?-00;"",""?00;"", //"""),"'","""")&amp;SUBSTITUTE(TEXT(IF(ISTEXT(Overig!J319),Overig!J319,100*Overig!J319),""",""?????0;"",""????-0;"",""?????0;"", /////"""),"'","""")&amp;SUBSTITUTE(TEXT(Overig!K319,""",""?00;"",""?-00;"",""?00;"", //"""),"'","""")&amp;SUBSTITUTE(TEXT(IF(ISTEXT(Overig!L319),Overig!L319,10*Overig!L319),""",""????0;"",""???-0;"",""????0;"", ////"""),"'","""")&amp;SUBSTITUTE(TEXT(Overig!M319,""",""?00;"",""?-00;"",""?00;"", //"""),"'","""")&amp;SUBSTITUTE(TEXT(IF(ISTEXT(Overig!N319),Overig!N319,10*Overig!N319),""",""????0;"",""???-0;"",""????0;"", ////"""),"'","""")&amp;SUBSTITUTE(TEXT(Overig!O319,""",""?00;"",""?-00;"",""?00;"", //"""),"'","""")&amp;SUBSTITUTE(TEXT(IF(ISTEXT(Overig!P319),Overig!P319,10*Overig!P319),""",""????0;"",""???-0;"",""????0;"", ////"""),"'","""")&amp;SUBSTITUTE(TEXT(Overig!Q319,""",""?00;"",""?-00;"",""?00;"", //"""),"'","""")&amp;SUBSTITUTE(TEXT(IF(ISTEXT(Overig!R319),Overig!R319,10*Overig!R319),""",""????0;"",""???-0;"",""????0;"", ////"""),"'","""")&amp;SUBSTITUTE(TEXT(Overig!S319,""",""?00;"",""?-00;"",""?00;"", //"""),"'","""")&amp;SUBSTITUTE(TEXT(Overig!T319,""",""???0;"",""??-0;"",""???0;"", ///"""),"'","""")&amp;SUBSTITUTE(TEXT(Overig!U319,""",""?00;"",""?-00;"",""?00;"", //"""),"'","""")&amp;SUBSTITUTE(TEXT(IF(ISTEXT(Overig!V319),Overig!V319,10*Overig!V319),""",""???0;"",""??-0;"",""???0;"", ///"""),"'","""")&amp;SUBSTITUTE(TEXT(Overig!W319,""",""?00;"",""?-00;"",""?00;"", //"""),"'","""")&amp;SUBSTITUTE(TEXT(IF(ISTEXT(Overig!X319),Overig!X319,10*Overig!X319),""",""????0;"",""???-0;"",""????0;"", ////"""),"'","""")&amp;SUBSTITUTE(TEXT(Overig!Y319,""",""?00;"",""?-00;"",""?00;"", //"""),"'","""")&amp;SUBSTITUTE(TEXT(IF(ISTEXT(Overig!Z319),Overig!Z319,10*Overig!Z319),""",""????0;"",""???-0;"",""????0;"", ////"""),"'","""")&amp;SUBSTITUTE(TEXT(Overig!AA319,""",""?00;"",""?-00;"",""?00;"", //"""),"'","""")&amp;SUBSTITUTE(TEXT(Overig!AB319,""",""???0;"",""??-0;"",""???0;"", ///"""),"'","""")&amp;SUBSTITUTE(TEXT(Overig!AC319,""",""?00;"",""?-00;"",""?00;"", //"""),"'","""")&amp;SUBSTITUTE(TEXT(IF(ISTEXT(Overig!AD319),Overig!AD319,10*Overig!AD319),""",""????0;"",""???-0;"",""????0;"", ////"""),"'","""")&amp;SUBSTITUTE(TEXT(Overig!AE319,""",""?00;"",""?-00;"",""?00;"", //"""),"'","""")&amp;SUBSTITUTE(TEXT(IF(ISTEXT(Overig!AF319),Overig!AF319,10*Overig!AF319),""",""????0;"",""???-0;"",""????0;"", ////"""),"'","""")&amp;SUBSTITUTE(TEXT(Overig!AG319,""",""?00;"",""?-00;"",""?00;"", //"""),"'","""")&amp;SUBSTITUTE(TEXT(Overig!AH319,""",""???0;"",""??-0;"",""???0;"", ///"""),"'","""")&amp;SUBSTITUTE(TEXT(Overig!AI319,""",""?00;"",""?-00;"",""?00;"", //"""),"'","""")&amp;SUBSTITUTE(TEXT(Overig!AJ319,""",""??0;"",""?-0;"",""??0;"", //"""),"'","""")&amp;SUBSTITUTE(TEXT(Overig!AK319,""",""?00;"",""?-00;"",""?00;"", //"""),"'","""")&amp;SUBSTITUTE(IF(EXACT(Overig!AL319,"—"),TEXT(Overig!AL319,""",""????0;"",""???-0;"",""????0;"", ////////////,"""),TEXT(Overig!AL319,"\, \'@""',""")&amp;REPT(" ",10-LEN(Overig!AL319))),"'","""")&amp;SUBSTITUTE(TEXT(Overig!AM319,"?00;?-00;?00;"" //"""),"'","""")&amp;SUBSTITUTE(TEXT(Overig!AN319,""",""???0;"",""??-0;"",""???0;"", ///"""),"'","""")&amp;SUBSTITUTE(TEXT(Overig!AO319,""",""?00;"",""?-00;"",""?00;"", //"""),"'","""")</f>
        <v>78989, 19131114, 0800, ////, 07, /////, 07, ////, 07, /////, 07, ////, 07, ////, 07, ////, 07, ////, 07, ///, 07, ///, 07, ////, 07, ////, 07, ///, 07, ////, 07, ////, 07, ///, 07, //, 07, ////////////, 07, ///, 07</v>
      </c>
    </row>
    <row r="320" spans="1:1" x14ac:dyDescent="0.25">
      <c r="A320" s="75" t="str">
        <f ca="1">TEXT(Overig!A320,"000\,")&amp;TEXT(Overig!B320,"?00000000")&amp;TEXT(Overig!C320,""", ""0000")&amp;SUBSTITUTE(TEXT(IF(ISTEXT(Overig!D320),Overig!D320,10*Overig!D320),""",""????0;"",""???-0;"",""????0;"", ////"""),"'","""")&amp;SUBSTITUTE(TEXT(Overig!E320,""",""?00;"",""?-00;"",""?00;"", //"""),"'","""")&amp;SUBSTITUTE(TEXT(IF(ISTEXT(Overig!F320),Overig!F320,100*Overig!F320),""",""?????0;"",""????-0;"",""?????0;"", /////"""),"'","""")&amp;SUBSTITUTE(TEXT(Overig!G320,""",""?00;"",""?-00;"",""?00;"", //"""),"'","""")&amp;SUBSTITUTE(TEXT(IF(ISTEXT(Overig!H320),Overig!H320,100*Overig!H320),""",""????0;"",""???-0;"",""????0;"", ////"""),"'","""")&amp;SUBSTITUTE(TEXT(Overig!I320,""",""?00;"",""?-00;"",""?00;"", //"""),"'","""")&amp;SUBSTITUTE(TEXT(IF(ISTEXT(Overig!J320),Overig!J320,100*Overig!J320),""",""?????0;"",""????-0;"",""?????0;"", /////"""),"'","""")&amp;SUBSTITUTE(TEXT(Overig!K320,""",""?00;"",""?-00;"",""?00;"", //"""),"'","""")&amp;SUBSTITUTE(TEXT(IF(ISTEXT(Overig!L320),Overig!L320,10*Overig!L320),""",""????0;"",""???-0;"",""????0;"", ////"""),"'","""")&amp;SUBSTITUTE(TEXT(Overig!M320,""",""?00;"",""?-00;"",""?00;"", //"""),"'","""")&amp;SUBSTITUTE(TEXT(IF(ISTEXT(Overig!N320),Overig!N320,10*Overig!N320),""",""????0;"",""???-0;"",""????0;"", ////"""),"'","""")&amp;SUBSTITUTE(TEXT(Overig!O320,""",""?00;"",""?-00;"",""?00;"", //"""),"'","""")&amp;SUBSTITUTE(TEXT(IF(ISTEXT(Overig!P320),Overig!P320,10*Overig!P320),""",""????0;"",""???-0;"",""????0;"", ////"""),"'","""")&amp;SUBSTITUTE(TEXT(Overig!Q320,""",""?00;"",""?-00;"",""?00;"", //"""),"'","""")&amp;SUBSTITUTE(TEXT(IF(ISTEXT(Overig!R320),Overig!R320,10*Overig!R320),""",""????0;"",""???-0;"",""????0;"", ////"""),"'","""")&amp;SUBSTITUTE(TEXT(Overig!S320,""",""?00;"",""?-00;"",""?00;"", //"""),"'","""")&amp;SUBSTITUTE(TEXT(Overig!T320,""",""???0;"",""??-0;"",""???0;"", ///"""),"'","""")&amp;SUBSTITUTE(TEXT(Overig!U320,""",""?00;"",""?-00;"",""?00;"", //"""),"'","""")&amp;SUBSTITUTE(TEXT(IF(ISTEXT(Overig!V320),Overig!V320,10*Overig!V320),""",""???0;"",""??-0;"",""???0;"", ///"""),"'","""")&amp;SUBSTITUTE(TEXT(Overig!W320,""",""?00;"",""?-00;"",""?00;"", //"""),"'","""")&amp;SUBSTITUTE(TEXT(IF(ISTEXT(Overig!X320),Overig!X320,10*Overig!X320),""",""????0;"",""???-0;"",""????0;"", ////"""),"'","""")&amp;SUBSTITUTE(TEXT(Overig!Y320,""",""?00;"",""?-00;"",""?00;"", //"""),"'","""")&amp;SUBSTITUTE(TEXT(IF(ISTEXT(Overig!Z320),Overig!Z320,10*Overig!Z320),""",""????0;"",""???-0;"",""????0;"", ////"""),"'","""")&amp;SUBSTITUTE(TEXT(Overig!AA320,""",""?00;"",""?-00;"",""?00;"", //"""),"'","""")&amp;SUBSTITUTE(TEXT(Overig!AB320,""",""???0;"",""??-0;"",""???0;"", ///"""),"'","""")&amp;SUBSTITUTE(TEXT(Overig!AC320,""",""?00;"",""?-00;"",""?00;"", //"""),"'","""")&amp;SUBSTITUTE(TEXT(IF(ISTEXT(Overig!AD320),Overig!AD320,10*Overig!AD320),""",""????0;"",""???-0;"",""????0;"", ////"""),"'","""")&amp;SUBSTITUTE(TEXT(Overig!AE320,""",""?00;"",""?-00;"",""?00;"", //"""),"'","""")&amp;SUBSTITUTE(TEXT(IF(ISTEXT(Overig!AF320),Overig!AF320,10*Overig!AF320),""",""????0;"",""???-0;"",""????0;"", ////"""),"'","""")&amp;SUBSTITUTE(TEXT(Overig!AG320,""",""?00;"",""?-00;"",""?00;"", //"""),"'","""")&amp;SUBSTITUTE(TEXT(Overig!AH320,""",""???0;"",""??-0;"",""???0;"", ///"""),"'","""")&amp;SUBSTITUTE(TEXT(Overig!AI320,""",""?00;"",""?-00;"",""?00;"", //"""),"'","""")&amp;SUBSTITUTE(TEXT(Overig!AJ320,""",""??0;"",""?-0;"",""??0;"", //"""),"'","""")&amp;SUBSTITUTE(TEXT(Overig!AK320,""",""?00;"",""?-00;"",""?00;"", //"""),"'","""")&amp;SUBSTITUTE(IF(EXACT(Overig!AL320,"—"),TEXT(Overig!AL320,""",""????0;"",""???-0;"",""????0;"", ////////////,"""),TEXT(Overig!AL320,"\, \'@""',""")&amp;REPT(" ",10-LEN(Overig!AL320))),"'","""")&amp;SUBSTITUTE(TEXT(Overig!AM320,"?00;?-00;?00;"" //"""),"'","""")&amp;SUBSTITUTE(TEXT(Overig!AN320,""",""???0;"",""??-0;"",""???0;"", ///"""),"'","""")&amp;SUBSTITUTE(TEXT(Overig!AO320,""",""?00;"",""?-00;"",""?00;"", //"""),"'","""")</f>
        <v>78989, 19131115, 0800, ////, 07, /////, 07, ////, 07, /////, 07, ////, 07, ////, 07, ////, 07, ////, 07, ///, 07, ///, 07, ////, 07, ////, 07, ///, 07, ////, 07, ////, 07, ///, 07, //, 07, ////////////, 07, ///, 07</v>
      </c>
    </row>
    <row r="321" spans="1:1" x14ac:dyDescent="0.25">
      <c r="A321" s="75" t="str">
        <f ca="1">TEXT(Overig!A321,"000\,")&amp;TEXT(Overig!B321,"?00000000")&amp;TEXT(Overig!C321,""", ""0000")&amp;SUBSTITUTE(TEXT(IF(ISTEXT(Overig!D321),Overig!D321,10*Overig!D321),""",""????0;"",""???-0;"",""????0;"", ////"""),"'","""")&amp;SUBSTITUTE(TEXT(Overig!E321,""",""?00;"",""?-00;"",""?00;"", //"""),"'","""")&amp;SUBSTITUTE(TEXT(IF(ISTEXT(Overig!F321),Overig!F321,100*Overig!F321),""",""?????0;"",""????-0;"",""?????0;"", /////"""),"'","""")&amp;SUBSTITUTE(TEXT(Overig!G321,""",""?00;"",""?-00;"",""?00;"", //"""),"'","""")&amp;SUBSTITUTE(TEXT(IF(ISTEXT(Overig!H321),Overig!H321,100*Overig!H321),""",""????0;"",""???-0;"",""????0;"", ////"""),"'","""")&amp;SUBSTITUTE(TEXT(Overig!I321,""",""?00;"",""?-00;"",""?00;"", //"""),"'","""")&amp;SUBSTITUTE(TEXT(IF(ISTEXT(Overig!J321),Overig!J321,100*Overig!J321),""",""?????0;"",""????-0;"",""?????0;"", /////"""),"'","""")&amp;SUBSTITUTE(TEXT(Overig!K321,""",""?00;"",""?-00;"",""?00;"", //"""),"'","""")&amp;SUBSTITUTE(TEXT(IF(ISTEXT(Overig!L321),Overig!L321,10*Overig!L321),""",""????0;"",""???-0;"",""????0;"", ////"""),"'","""")&amp;SUBSTITUTE(TEXT(Overig!M321,""",""?00;"",""?-00;"",""?00;"", //"""),"'","""")&amp;SUBSTITUTE(TEXT(IF(ISTEXT(Overig!N321),Overig!N321,10*Overig!N321),""",""????0;"",""???-0;"",""????0;"", ////"""),"'","""")&amp;SUBSTITUTE(TEXT(Overig!O321,""",""?00;"",""?-00;"",""?00;"", //"""),"'","""")&amp;SUBSTITUTE(TEXT(IF(ISTEXT(Overig!P321),Overig!P321,10*Overig!P321),""",""????0;"",""???-0;"",""????0;"", ////"""),"'","""")&amp;SUBSTITUTE(TEXT(Overig!Q321,""",""?00;"",""?-00;"",""?00;"", //"""),"'","""")&amp;SUBSTITUTE(TEXT(IF(ISTEXT(Overig!R321),Overig!R321,10*Overig!R321),""",""????0;"",""???-0;"",""????0;"", ////"""),"'","""")&amp;SUBSTITUTE(TEXT(Overig!S321,""",""?00;"",""?-00;"",""?00;"", //"""),"'","""")&amp;SUBSTITUTE(TEXT(Overig!T321,""",""???0;"",""??-0;"",""???0;"", ///"""),"'","""")&amp;SUBSTITUTE(TEXT(Overig!U321,""",""?00;"",""?-00;"",""?00;"", //"""),"'","""")&amp;SUBSTITUTE(TEXT(IF(ISTEXT(Overig!V321),Overig!V321,10*Overig!V321),""",""???0;"",""??-0;"",""???0;"", ///"""),"'","""")&amp;SUBSTITUTE(TEXT(Overig!W321,""",""?00;"",""?-00;"",""?00;"", //"""),"'","""")&amp;SUBSTITUTE(TEXT(IF(ISTEXT(Overig!X321),Overig!X321,10*Overig!X321),""",""????0;"",""???-0;"",""????0;"", ////"""),"'","""")&amp;SUBSTITUTE(TEXT(Overig!Y321,""",""?00;"",""?-00;"",""?00;"", //"""),"'","""")&amp;SUBSTITUTE(TEXT(IF(ISTEXT(Overig!Z321),Overig!Z321,10*Overig!Z321),""",""????0;"",""???-0;"",""????0;"", ////"""),"'","""")&amp;SUBSTITUTE(TEXT(Overig!AA321,""",""?00;"",""?-00;"",""?00;"", //"""),"'","""")&amp;SUBSTITUTE(TEXT(Overig!AB321,""",""???0;"",""??-0;"",""???0;"", ///"""),"'","""")&amp;SUBSTITUTE(TEXT(Overig!AC321,""",""?00;"",""?-00;"",""?00;"", //"""),"'","""")&amp;SUBSTITUTE(TEXT(IF(ISTEXT(Overig!AD321),Overig!AD321,10*Overig!AD321),""",""????0;"",""???-0;"",""????0;"", ////"""),"'","""")&amp;SUBSTITUTE(TEXT(Overig!AE321,""",""?00;"",""?-00;"",""?00;"", //"""),"'","""")&amp;SUBSTITUTE(TEXT(IF(ISTEXT(Overig!AF321),Overig!AF321,10*Overig!AF321),""",""????0;"",""???-0;"",""????0;"", ////"""),"'","""")&amp;SUBSTITUTE(TEXT(Overig!AG321,""",""?00;"",""?-00;"",""?00;"", //"""),"'","""")&amp;SUBSTITUTE(TEXT(Overig!AH321,""",""???0;"",""??-0;"",""???0;"", ///"""),"'","""")&amp;SUBSTITUTE(TEXT(Overig!AI321,""",""?00;"",""?-00;"",""?00;"", //"""),"'","""")&amp;SUBSTITUTE(TEXT(Overig!AJ321,""",""??0;"",""?-0;"",""??0;"", //"""),"'","""")&amp;SUBSTITUTE(TEXT(Overig!AK321,""",""?00;"",""?-00;"",""?00;"", //"""),"'","""")&amp;SUBSTITUTE(IF(EXACT(Overig!AL321,"—"),TEXT(Overig!AL321,""",""????0;"",""???-0;"",""????0;"", ////////////,"""),TEXT(Overig!AL321,"\, \'@""',""")&amp;REPT(" ",10-LEN(Overig!AL321))),"'","""")&amp;SUBSTITUTE(TEXT(Overig!AM321,"?00;?-00;?00;"" //"""),"'","""")&amp;SUBSTITUTE(TEXT(Overig!AN321,""",""???0;"",""??-0;"",""???0;"", ///"""),"'","""")&amp;SUBSTITUTE(TEXT(Overig!AO321,""",""?00;"",""?-00;"",""?00;"", //"""),"'","""")</f>
        <v>78989, 19131116, 0800, ////, 07, /////, 07, ////, 07, /////, 07, ////, 07, ////, 07, ////, 07, ////, 07, ///, 07, ///, 07, ////, 07, ////, 07, ///, 07, ////, 07, ////, 07, ///, 07, //, 07, ////////////, 07, ///, 07</v>
      </c>
    </row>
    <row r="322" spans="1:1" x14ac:dyDescent="0.25">
      <c r="A322" s="75" t="str">
        <f ca="1">TEXT(Overig!A322,"000\,")&amp;TEXT(Overig!B322,"?00000000")&amp;TEXT(Overig!C322,""", ""0000")&amp;SUBSTITUTE(TEXT(IF(ISTEXT(Overig!D322),Overig!D322,10*Overig!D322),""",""????0;"",""???-0;"",""????0;"", ////"""),"'","""")&amp;SUBSTITUTE(TEXT(Overig!E322,""",""?00;"",""?-00;"",""?00;"", //"""),"'","""")&amp;SUBSTITUTE(TEXT(IF(ISTEXT(Overig!F322),Overig!F322,100*Overig!F322),""",""?????0;"",""????-0;"",""?????0;"", /////"""),"'","""")&amp;SUBSTITUTE(TEXT(Overig!G322,""",""?00;"",""?-00;"",""?00;"", //"""),"'","""")&amp;SUBSTITUTE(TEXT(IF(ISTEXT(Overig!H322),Overig!H322,100*Overig!H322),""",""????0;"",""???-0;"",""????0;"", ////"""),"'","""")&amp;SUBSTITUTE(TEXT(Overig!I322,""",""?00;"",""?-00;"",""?00;"", //"""),"'","""")&amp;SUBSTITUTE(TEXT(IF(ISTEXT(Overig!J322),Overig!J322,100*Overig!J322),""",""?????0;"",""????-0;"",""?????0;"", /////"""),"'","""")&amp;SUBSTITUTE(TEXT(Overig!K322,""",""?00;"",""?-00;"",""?00;"", //"""),"'","""")&amp;SUBSTITUTE(TEXT(IF(ISTEXT(Overig!L322),Overig!L322,10*Overig!L322),""",""????0;"",""???-0;"",""????0;"", ////"""),"'","""")&amp;SUBSTITUTE(TEXT(Overig!M322,""",""?00;"",""?-00;"",""?00;"", //"""),"'","""")&amp;SUBSTITUTE(TEXT(IF(ISTEXT(Overig!N322),Overig!N322,10*Overig!N322),""",""????0;"",""???-0;"",""????0;"", ////"""),"'","""")&amp;SUBSTITUTE(TEXT(Overig!O322,""",""?00;"",""?-00;"",""?00;"", //"""),"'","""")&amp;SUBSTITUTE(TEXT(IF(ISTEXT(Overig!P322),Overig!P322,10*Overig!P322),""",""????0;"",""???-0;"",""????0;"", ////"""),"'","""")&amp;SUBSTITUTE(TEXT(Overig!Q322,""",""?00;"",""?-00;"",""?00;"", //"""),"'","""")&amp;SUBSTITUTE(TEXT(IF(ISTEXT(Overig!R322),Overig!R322,10*Overig!R322),""",""????0;"",""???-0;"",""????0;"", ////"""),"'","""")&amp;SUBSTITUTE(TEXT(Overig!S322,""",""?00;"",""?-00;"",""?00;"", //"""),"'","""")&amp;SUBSTITUTE(TEXT(Overig!T322,""",""???0;"",""??-0;"",""???0;"", ///"""),"'","""")&amp;SUBSTITUTE(TEXT(Overig!U322,""",""?00;"",""?-00;"",""?00;"", //"""),"'","""")&amp;SUBSTITUTE(TEXT(IF(ISTEXT(Overig!V322),Overig!V322,10*Overig!V322),""",""???0;"",""??-0;"",""???0;"", ///"""),"'","""")&amp;SUBSTITUTE(TEXT(Overig!W322,""",""?00;"",""?-00;"",""?00;"", //"""),"'","""")&amp;SUBSTITUTE(TEXT(IF(ISTEXT(Overig!X322),Overig!X322,10*Overig!X322),""",""????0;"",""???-0;"",""????0;"", ////"""),"'","""")&amp;SUBSTITUTE(TEXT(Overig!Y322,""",""?00;"",""?-00;"",""?00;"", //"""),"'","""")&amp;SUBSTITUTE(TEXT(IF(ISTEXT(Overig!Z322),Overig!Z322,10*Overig!Z322),""",""????0;"",""???-0;"",""????0;"", ////"""),"'","""")&amp;SUBSTITUTE(TEXT(Overig!AA322,""",""?00;"",""?-00;"",""?00;"", //"""),"'","""")&amp;SUBSTITUTE(TEXT(Overig!AB322,""",""???0;"",""??-0;"",""???0;"", ///"""),"'","""")&amp;SUBSTITUTE(TEXT(Overig!AC322,""",""?00;"",""?-00;"",""?00;"", //"""),"'","""")&amp;SUBSTITUTE(TEXT(IF(ISTEXT(Overig!AD322),Overig!AD322,10*Overig!AD322),""",""????0;"",""???-0;"",""????0;"", ////"""),"'","""")&amp;SUBSTITUTE(TEXT(Overig!AE322,""",""?00;"",""?-00;"",""?00;"", //"""),"'","""")&amp;SUBSTITUTE(TEXT(IF(ISTEXT(Overig!AF322),Overig!AF322,10*Overig!AF322),""",""????0;"",""???-0;"",""????0;"", ////"""),"'","""")&amp;SUBSTITUTE(TEXT(Overig!AG322,""",""?00;"",""?-00;"",""?00;"", //"""),"'","""")&amp;SUBSTITUTE(TEXT(Overig!AH322,""",""???0;"",""??-0;"",""???0;"", ///"""),"'","""")&amp;SUBSTITUTE(TEXT(Overig!AI322,""",""?00;"",""?-00;"",""?00;"", //"""),"'","""")&amp;SUBSTITUTE(TEXT(Overig!AJ322,""",""??0;"",""?-0;"",""??0;"", //"""),"'","""")&amp;SUBSTITUTE(TEXT(Overig!AK322,""",""?00;"",""?-00;"",""?00;"", //"""),"'","""")&amp;SUBSTITUTE(IF(EXACT(Overig!AL322,"—"),TEXT(Overig!AL322,""",""????0;"",""???-0;"",""????0;"", ////////////,"""),TEXT(Overig!AL322,"\, \'@""',""")&amp;REPT(" ",10-LEN(Overig!AL322))),"'","""")&amp;SUBSTITUTE(TEXT(Overig!AM322,"?00;?-00;?00;"" //"""),"'","""")&amp;SUBSTITUTE(TEXT(Overig!AN322,""",""???0;"",""??-0;"",""???0;"", ///"""),"'","""")&amp;SUBSTITUTE(TEXT(Overig!AO322,""",""?00;"",""?-00;"",""?00;"", //"""),"'","""")</f>
        <v>78989, 19131117, 0800, ////, 07, /////, 07, ////, 07, /////, 07, ////, 07, ////, 07, ////, 07, ////, 07, ///, 07, ///, 07, ////, 07, ////, 07, ///, 07, ////, 07, ////, 07, ///, 07, //, 07, ////////////, 07, ///, 07</v>
      </c>
    </row>
    <row r="323" spans="1:1" x14ac:dyDescent="0.25">
      <c r="A323" s="75" t="str">
        <f ca="1">TEXT(Overig!A323,"000\,")&amp;TEXT(Overig!B323,"?00000000")&amp;TEXT(Overig!C323,""", ""0000")&amp;SUBSTITUTE(TEXT(IF(ISTEXT(Overig!D323),Overig!D323,10*Overig!D323),""",""????0;"",""???-0;"",""????0;"", ////"""),"'","""")&amp;SUBSTITUTE(TEXT(Overig!E323,""",""?00;"",""?-00;"",""?00;"", //"""),"'","""")&amp;SUBSTITUTE(TEXT(IF(ISTEXT(Overig!F323),Overig!F323,100*Overig!F323),""",""?????0;"",""????-0;"",""?????0;"", /////"""),"'","""")&amp;SUBSTITUTE(TEXT(Overig!G323,""",""?00;"",""?-00;"",""?00;"", //"""),"'","""")&amp;SUBSTITUTE(TEXT(IF(ISTEXT(Overig!H323),Overig!H323,100*Overig!H323),""",""????0;"",""???-0;"",""????0;"", ////"""),"'","""")&amp;SUBSTITUTE(TEXT(Overig!I323,""",""?00;"",""?-00;"",""?00;"", //"""),"'","""")&amp;SUBSTITUTE(TEXT(IF(ISTEXT(Overig!J323),Overig!J323,100*Overig!J323),""",""?????0;"",""????-0;"",""?????0;"", /////"""),"'","""")&amp;SUBSTITUTE(TEXT(Overig!K323,""",""?00;"",""?-00;"",""?00;"", //"""),"'","""")&amp;SUBSTITUTE(TEXT(IF(ISTEXT(Overig!L323),Overig!L323,10*Overig!L323),""",""????0;"",""???-0;"",""????0;"", ////"""),"'","""")&amp;SUBSTITUTE(TEXT(Overig!M323,""",""?00;"",""?-00;"",""?00;"", //"""),"'","""")&amp;SUBSTITUTE(TEXT(IF(ISTEXT(Overig!N323),Overig!N323,10*Overig!N323),""",""????0;"",""???-0;"",""????0;"", ////"""),"'","""")&amp;SUBSTITUTE(TEXT(Overig!O323,""",""?00;"",""?-00;"",""?00;"", //"""),"'","""")&amp;SUBSTITUTE(TEXT(IF(ISTEXT(Overig!P323),Overig!P323,10*Overig!P323),""",""????0;"",""???-0;"",""????0;"", ////"""),"'","""")&amp;SUBSTITUTE(TEXT(Overig!Q323,""",""?00;"",""?-00;"",""?00;"", //"""),"'","""")&amp;SUBSTITUTE(TEXT(IF(ISTEXT(Overig!R323),Overig!R323,10*Overig!R323),""",""????0;"",""???-0;"",""????0;"", ////"""),"'","""")&amp;SUBSTITUTE(TEXT(Overig!S323,""",""?00;"",""?-00;"",""?00;"", //"""),"'","""")&amp;SUBSTITUTE(TEXT(Overig!T323,""",""???0;"",""??-0;"",""???0;"", ///"""),"'","""")&amp;SUBSTITUTE(TEXT(Overig!U323,""",""?00;"",""?-00;"",""?00;"", //"""),"'","""")&amp;SUBSTITUTE(TEXT(IF(ISTEXT(Overig!V323),Overig!V323,10*Overig!V323),""",""???0;"",""??-0;"",""???0;"", ///"""),"'","""")&amp;SUBSTITUTE(TEXT(Overig!W323,""",""?00;"",""?-00;"",""?00;"", //"""),"'","""")&amp;SUBSTITUTE(TEXT(IF(ISTEXT(Overig!X323),Overig!X323,10*Overig!X323),""",""????0;"",""???-0;"",""????0;"", ////"""),"'","""")&amp;SUBSTITUTE(TEXT(Overig!Y323,""",""?00;"",""?-00;"",""?00;"", //"""),"'","""")&amp;SUBSTITUTE(TEXT(IF(ISTEXT(Overig!Z323),Overig!Z323,10*Overig!Z323),""",""????0;"",""???-0;"",""????0;"", ////"""),"'","""")&amp;SUBSTITUTE(TEXT(Overig!AA323,""",""?00;"",""?-00;"",""?00;"", //"""),"'","""")&amp;SUBSTITUTE(TEXT(Overig!AB323,""",""???0;"",""??-0;"",""???0;"", ///"""),"'","""")&amp;SUBSTITUTE(TEXT(Overig!AC323,""",""?00;"",""?-00;"",""?00;"", //"""),"'","""")&amp;SUBSTITUTE(TEXT(IF(ISTEXT(Overig!AD323),Overig!AD323,10*Overig!AD323),""",""????0;"",""???-0;"",""????0;"", ////"""),"'","""")&amp;SUBSTITUTE(TEXT(Overig!AE323,""",""?00;"",""?-00;"",""?00;"", //"""),"'","""")&amp;SUBSTITUTE(TEXT(IF(ISTEXT(Overig!AF323),Overig!AF323,10*Overig!AF323),""",""????0;"",""???-0;"",""????0;"", ////"""),"'","""")&amp;SUBSTITUTE(TEXT(Overig!AG323,""",""?00;"",""?-00;"",""?00;"", //"""),"'","""")&amp;SUBSTITUTE(TEXT(Overig!AH323,""",""???0;"",""??-0;"",""???0;"", ///"""),"'","""")&amp;SUBSTITUTE(TEXT(Overig!AI323,""",""?00;"",""?-00;"",""?00;"", //"""),"'","""")&amp;SUBSTITUTE(TEXT(Overig!AJ323,""",""??0;"",""?-0;"",""??0;"", //"""),"'","""")&amp;SUBSTITUTE(TEXT(Overig!AK323,""",""?00;"",""?-00;"",""?00;"", //"""),"'","""")&amp;SUBSTITUTE(IF(EXACT(Overig!AL323,"—"),TEXT(Overig!AL323,""",""????0;"",""???-0;"",""????0;"", ////////////,"""),TEXT(Overig!AL323,"\, \'@""',""")&amp;REPT(" ",10-LEN(Overig!AL323))),"'","""")&amp;SUBSTITUTE(TEXT(Overig!AM323,"?00;?-00;?00;"" //"""),"'","""")&amp;SUBSTITUTE(TEXT(Overig!AN323,""",""???0;"",""??-0;"",""???0;"", ///"""),"'","""")&amp;SUBSTITUTE(TEXT(Overig!AO323,""",""?00;"",""?-00;"",""?00;"", //"""),"'","""")</f>
        <v>78989, 19131118, 0800, ////, 07, /////, 07, ////, 07, /////, 07, ////, 07, ////, 07, ////, 07, ////, 07, ///, 07, ///, 07, ////, 07, ////, 07, ///, 07, ////, 07, ////, 07, ///, 07, //, 07, ////////////, 07, ///, 07</v>
      </c>
    </row>
    <row r="324" spans="1:1" x14ac:dyDescent="0.25">
      <c r="A324" s="75" t="str">
        <f ca="1">TEXT(Overig!A324,"000\,")&amp;TEXT(Overig!B324,"?00000000")&amp;TEXT(Overig!C324,""", ""0000")&amp;SUBSTITUTE(TEXT(IF(ISTEXT(Overig!D324),Overig!D324,10*Overig!D324),""",""????0;"",""???-0;"",""????0;"", ////"""),"'","""")&amp;SUBSTITUTE(TEXT(Overig!E324,""",""?00;"",""?-00;"",""?00;"", //"""),"'","""")&amp;SUBSTITUTE(TEXT(IF(ISTEXT(Overig!F324),Overig!F324,100*Overig!F324),""",""?????0;"",""????-0;"",""?????0;"", /////"""),"'","""")&amp;SUBSTITUTE(TEXT(Overig!G324,""",""?00;"",""?-00;"",""?00;"", //"""),"'","""")&amp;SUBSTITUTE(TEXT(IF(ISTEXT(Overig!H324),Overig!H324,100*Overig!H324),""",""????0;"",""???-0;"",""????0;"", ////"""),"'","""")&amp;SUBSTITUTE(TEXT(Overig!I324,""",""?00;"",""?-00;"",""?00;"", //"""),"'","""")&amp;SUBSTITUTE(TEXT(IF(ISTEXT(Overig!J324),Overig!J324,100*Overig!J324),""",""?????0;"",""????-0;"",""?????0;"", /////"""),"'","""")&amp;SUBSTITUTE(TEXT(Overig!K324,""",""?00;"",""?-00;"",""?00;"", //"""),"'","""")&amp;SUBSTITUTE(TEXT(IF(ISTEXT(Overig!L324),Overig!L324,10*Overig!L324),""",""????0;"",""???-0;"",""????0;"", ////"""),"'","""")&amp;SUBSTITUTE(TEXT(Overig!M324,""",""?00;"",""?-00;"",""?00;"", //"""),"'","""")&amp;SUBSTITUTE(TEXT(IF(ISTEXT(Overig!N324),Overig!N324,10*Overig!N324),""",""????0;"",""???-0;"",""????0;"", ////"""),"'","""")&amp;SUBSTITUTE(TEXT(Overig!O324,""",""?00;"",""?-00;"",""?00;"", //"""),"'","""")&amp;SUBSTITUTE(TEXT(IF(ISTEXT(Overig!P324),Overig!P324,10*Overig!P324),""",""????0;"",""???-0;"",""????0;"", ////"""),"'","""")&amp;SUBSTITUTE(TEXT(Overig!Q324,""",""?00;"",""?-00;"",""?00;"", //"""),"'","""")&amp;SUBSTITUTE(TEXT(IF(ISTEXT(Overig!R324),Overig!R324,10*Overig!R324),""",""????0;"",""???-0;"",""????0;"", ////"""),"'","""")&amp;SUBSTITUTE(TEXT(Overig!S324,""",""?00;"",""?-00;"",""?00;"", //"""),"'","""")&amp;SUBSTITUTE(TEXT(Overig!T324,""",""???0;"",""??-0;"",""???0;"", ///"""),"'","""")&amp;SUBSTITUTE(TEXT(Overig!U324,""",""?00;"",""?-00;"",""?00;"", //"""),"'","""")&amp;SUBSTITUTE(TEXT(IF(ISTEXT(Overig!V324),Overig!V324,10*Overig!V324),""",""???0;"",""??-0;"",""???0;"", ///"""),"'","""")&amp;SUBSTITUTE(TEXT(Overig!W324,""",""?00;"",""?-00;"",""?00;"", //"""),"'","""")&amp;SUBSTITUTE(TEXT(IF(ISTEXT(Overig!X324),Overig!X324,10*Overig!X324),""",""????0;"",""???-0;"",""????0;"", ////"""),"'","""")&amp;SUBSTITUTE(TEXT(Overig!Y324,""",""?00;"",""?-00;"",""?00;"", //"""),"'","""")&amp;SUBSTITUTE(TEXT(IF(ISTEXT(Overig!Z324),Overig!Z324,10*Overig!Z324),""",""????0;"",""???-0;"",""????0;"", ////"""),"'","""")&amp;SUBSTITUTE(TEXT(Overig!AA324,""",""?00;"",""?-00;"",""?00;"", //"""),"'","""")&amp;SUBSTITUTE(TEXT(Overig!AB324,""",""???0;"",""??-0;"",""???0;"", ///"""),"'","""")&amp;SUBSTITUTE(TEXT(Overig!AC324,""",""?00;"",""?-00;"",""?00;"", //"""),"'","""")&amp;SUBSTITUTE(TEXT(IF(ISTEXT(Overig!AD324),Overig!AD324,10*Overig!AD324),""",""????0;"",""???-0;"",""????0;"", ////"""),"'","""")&amp;SUBSTITUTE(TEXT(Overig!AE324,""",""?00;"",""?-00;"",""?00;"", //"""),"'","""")&amp;SUBSTITUTE(TEXT(IF(ISTEXT(Overig!AF324),Overig!AF324,10*Overig!AF324),""",""????0;"",""???-0;"",""????0;"", ////"""),"'","""")&amp;SUBSTITUTE(TEXT(Overig!AG324,""",""?00;"",""?-00;"",""?00;"", //"""),"'","""")&amp;SUBSTITUTE(TEXT(Overig!AH324,""",""???0;"",""??-0;"",""???0;"", ///"""),"'","""")&amp;SUBSTITUTE(TEXT(Overig!AI324,""",""?00;"",""?-00;"",""?00;"", //"""),"'","""")&amp;SUBSTITUTE(TEXT(Overig!AJ324,""",""??0;"",""?-0;"",""??0;"", //"""),"'","""")&amp;SUBSTITUTE(TEXT(Overig!AK324,""",""?00;"",""?-00;"",""?00;"", //"""),"'","""")&amp;SUBSTITUTE(IF(EXACT(Overig!AL324,"—"),TEXT(Overig!AL324,""",""????0;"",""???-0;"",""????0;"", ////////////,"""),TEXT(Overig!AL324,"\, \'@""',""")&amp;REPT(" ",10-LEN(Overig!AL324))),"'","""")&amp;SUBSTITUTE(TEXT(Overig!AM324,"?00;?-00;?00;"" //"""),"'","""")&amp;SUBSTITUTE(TEXT(Overig!AN324,""",""???0;"",""??-0;"",""???0;"", ///"""),"'","""")&amp;SUBSTITUTE(TEXT(Overig!AO324,""",""?00;"",""?-00;"",""?00;"", //"""),"'","""")</f>
        <v>78989, 19131119, 0800, ////, 07, /////, 07, ////, 07, /////, 07, ////, 07, ////, 07, ////, 07, ////, 07, ///, 07, ///, 07, ////, 07, ////, 07, ///, 07, ////, 07, ////, 07, ///, 07, //, 07, ////////////, 07, ///, 07</v>
      </c>
    </row>
    <row r="325" spans="1:1" x14ac:dyDescent="0.25">
      <c r="A325" s="75" t="str">
        <f ca="1">TEXT(Overig!A325,"000\,")&amp;TEXT(Overig!B325,"?00000000")&amp;TEXT(Overig!C325,""", ""0000")&amp;SUBSTITUTE(TEXT(IF(ISTEXT(Overig!D325),Overig!D325,10*Overig!D325),""",""????0;"",""???-0;"",""????0;"", ////"""),"'","""")&amp;SUBSTITUTE(TEXT(Overig!E325,""",""?00;"",""?-00;"",""?00;"", //"""),"'","""")&amp;SUBSTITUTE(TEXT(IF(ISTEXT(Overig!F325),Overig!F325,100*Overig!F325),""",""?????0;"",""????-0;"",""?????0;"", /////"""),"'","""")&amp;SUBSTITUTE(TEXT(Overig!G325,""",""?00;"",""?-00;"",""?00;"", //"""),"'","""")&amp;SUBSTITUTE(TEXT(IF(ISTEXT(Overig!H325),Overig!H325,100*Overig!H325),""",""????0;"",""???-0;"",""????0;"", ////"""),"'","""")&amp;SUBSTITUTE(TEXT(Overig!I325,""",""?00;"",""?-00;"",""?00;"", //"""),"'","""")&amp;SUBSTITUTE(TEXT(IF(ISTEXT(Overig!J325),Overig!J325,100*Overig!J325),""",""?????0;"",""????-0;"",""?????0;"", /////"""),"'","""")&amp;SUBSTITUTE(TEXT(Overig!K325,""",""?00;"",""?-00;"",""?00;"", //"""),"'","""")&amp;SUBSTITUTE(TEXT(IF(ISTEXT(Overig!L325),Overig!L325,10*Overig!L325),""",""????0;"",""???-0;"",""????0;"", ////"""),"'","""")&amp;SUBSTITUTE(TEXT(Overig!M325,""",""?00;"",""?-00;"",""?00;"", //"""),"'","""")&amp;SUBSTITUTE(TEXT(IF(ISTEXT(Overig!N325),Overig!N325,10*Overig!N325),""",""????0;"",""???-0;"",""????0;"", ////"""),"'","""")&amp;SUBSTITUTE(TEXT(Overig!O325,""",""?00;"",""?-00;"",""?00;"", //"""),"'","""")&amp;SUBSTITUTE(TEXT(IF(ISTEXT(Overig!P325),Overig!P325,10*Overig!P325),""",""????0;"",""???-0;"",""????0;"", ////"""),"'","""")&amp;SUBSTITUTE(TEXT(Overig!Q325,""",""?00;"",""?-00;"",""?00;"", //"""),"'","""")&amp;SUBSTITUTE(TEXT(IF(ISTEXT(Overig!R325),Overig!R325,10*Overig!R325),""",""????0;"",""???-0;"",""????0;"", ////"""),"'","""")&amp;SUBSTITUTE(TEXT(Overig!S325,""",""?00;"",""?-00;"",""?00;"", //"""),"'","""")&amp;SUBSTITUTE(TEXT(Overig!T325,""",""???0;"",""??-0;"",""???0;"", ///"""),"'","""")&amp;SUBSTITUTE(TEXT(Overig!U325,""",""?00;"",""?-00;"",""?00;"", //"""),"'","""")&amp;SUBSTITUTE(TEXT(IF(ISTEXT(Overig!V325),Overig!V325,10*Overig!V325),""",""???0;"",""??-0;"",""???0;"", ///"""),"'","""")&amp;SUBSTITUTE(TEXT(Overig!W325,""",""?00;"",""?-00;"",""?00;"", //"""),"'","""")&amp;SUBSTITUTE(TEXT(IF(ISTEXT(Overig!X325),Overig!X325,10*Overig!X325),""",""????0;"",""???-0;"",""????0;"", ////"""),"'","""")&amp;SUBSTITUTE(TEXT(Overig!Y325,""",""?00;"",""?-00;"",""?00;"", //"""),"'","""")&amp;SUBSTITUTE(TEXT(IF(ISTEXT(Overig!Z325),Overig!Z325,10*Overig!Z325),""",""????0;"",""???-0;"",""????0;"", ////"""),"'","""")&amp;SUBSTITUTE(TEXT(Overig!AA325,""",""?00;"",""?-00;"",""?00;"", //"""),"'","""")&amp;SUBSTITUTE(TEXT(Overig!AB325,""",""???0;"",""??-0;"",""???0;"", ///"""),"'","""")&amp;SUBSTITUTE(TEXT(Overig!AC325,""",""?00;"",""?-00;"",""?00;"", //"""),"'","""")&amp;SUBSTITUTE(TEXT(IF(ISTEXT(Overig!AD325),Overig!AD325,10*Overig!AD325),""",""????0;"",""???-0;"",""????0;"", ////"""),"'","""")&amp;SUBSTITUTE(TEXT(Overig!AE325,""",""?00;"",""?-00;"",""?00;"", //"""),"'","""")&amp;SUBSTITUTE(TEXT(IF(ISTEXT(Overig!AF325),Overig!AF325,10*Overig!AF325),""",""????0;"",""???-0;"",""????0;"", ////"""),"'","""")&amp;SUBSTITUTE(TEXT(Overig!AG325,""",""?00;"",""?-00;"",""?00;"", //"""),"'","""")&amp;SUBSTITUTE(TEXT(Overig!AH325,""",""???0;"",""??-0;"",""???0;"", ///"""),"'","""")&amp;SUBSTITUTE(TEXT(Overig!AI325,""",""?00;"",""?-00;"",""?00;"", //"""),"'","""")&amp;SUBSTITUTE(TEXT(Overig!AJ325,""",""??0;"",""?-0;"",""??0;"", //"""),"'","""")&amp;SUBSTITUTE(TEXT(Overig!AK325,""",""?00;"",""?-00;"",""?00;"", //"""),"'","""")&amp;SUBSTITUTE(IF(EXACT(Overig!AL325,"—"),TEXT(Overig!AL325,""",""????0;"",""???-0;"",""????0;"", ////////////,"""),TEXT(Overig!AL325,"\, \'@""',""")&amp;REPT(" ",10-LEN(Overig!AL325))),"'","""")&amp;SUBSTITUTE(TEXT(Overig!AM325,"?00;?-00;?00;"" //"""),"'","""")&amp;SUBSTITUTE(TEXT(Overig!AN325,""",""???0;"",""??-0;"",""???0;"", ///"""),"'","""")&amp;SUBSTITUTE(TEXT(Overig!AO325,""",""?00;"",""?-00;"",""?00;"", //"""),"'","""")</f>
        <v>78989, 19131120, 0800, ////, 07, /////, 07, ////, 07, /////, 07, ////, 07, ////, 07, ////, 07, ////, 07, ///, 07, ///, 07, ////, 07, ////, 07, ///, 07, ////, 07, ////, 07, ///, 07, //, 07, ////////////, 07, ///, 07</v>
      </c>
    </row>
    <row r="326" spans="1:1" x14ac:dyDescent="0.25">
      <c r="A326" s="75" t="str">
        <f ca="1">TEXT(Overig!A326,"000\,")&amp;TEXT(Overig!B326,"?00000000")&amp;TEXT(Overig!C326,""", ""0000")&amp;SUBSTITUTE(TEXT(IF(ISTEXT(Overig!D326),Overig!D326,10*Overig!D326),""",""????0;"",""???-0;"",""????0;"", ////"""),"'","""")&amp;SUBSTITUTE(TEXT(Overig!E326,""",""?00;"",""?-00;"",""?00;"", //"""),"'","""")&amp;SUBSTITUTE(TEXT(IF(ISTEXT(Overig!F326),Overig!F326,100*Overig!F326),""",""?????0;"",""????-0;"",""?????0;"", /////"""),"'","""")&amp;SUBSTITUTE(TEXT(Overig!G326,""",""?00;"",""?-00;"",""?00;"", //"""),"'","""")&amp;SUBSTITUTE(TEXT(IF(ISTEXT(Overig!H326),Overig!H326,100*Overig!H326),""",""????0;"",""???-0;"",""????0;"", ////"""),"'","""")&amp;SUBSTITUTE(TEXT(Overig!I326,""",""?00;"",""?-00;"",""?00;"", //"""),"'","""")&amp;SUBSTITUTE(TEXT(IF(ISTEXT(Overig!J326),Overig!J326,100*Overig!J326),""",""?????0;"",""????-0;"",""?????0;"", /////"""),"'","""")&amp;SUBSTITUTE(TEXT(Overig!K326,""",""?00;"",""?-00;"",""?00;"", //"""),"'","""")&amp;SUBSTITUTE(TEXT(IF(ISTEXT(Overig!L326),Overig!L326,10*Overig!L326),""",""????0;"",""???-0;"",""????0;"", ////"""),"'","""")&amp;SUBSTITUTE(TEXT(Overig!M326,""",""?00;"",""?-00;"",""?00;"", //"""),"'","""")&amp;SUBSTITUTE(TEXT(IF(ISTEXT(Overig!N326),Overig!N326,10*Overig!N326),""",""????0;"",""???-0;"",""????0;"", ////"""),"'","""")&amp;SUBSTITUTE(TEXT(Overig!O326,""",""?00;"",""?-00;"",""?00;"", //"""),"'","""")&amp;SUBSTITUTE(TEXT(IF(ISTEXT(Overig!P326),Overig!P326,10*Overig!P326),""",""????0;"",""???-0;"",""????0;"", ////"""),"'","""")&amp;SUBSTITUTE(TEXT(Overig!Q326,""",""?00;"",""?-00;"",""?00;"", //"""),"'","""")&amp;SUBSTITUTE(TEXT(IF(ISTEXT(Overig!R326),Overig!R326,10*Overig!R326),""",""????0;"",""???-0;"",""????0;"", ////"""),"'","""")&amp;SUBSTITUTE(TEXT(Overig!S326,""",""?00;"",""?-00;"",""?00;"", //"""),"'","""")&amp;SUBSTITUTE(TEXT(Overig!T326,""",""???0;"",""??-0;"",""???0;"", ///"""),"'","""")&amp;SUBSTITUTE(TEXT(Overig!U326,""",""?00;"",""?-00;"",""?00;"", //"""),"'","""")&amp;SUBSTITUTE(TEXT(IF(ISTEXT(Overig!V326),Overig!V326,10*Overig!V326),""",""???0;"",""??-0;"",""???0;"", ///"""),"'","""")&amp;SUBSTITUTE(TEXT(Overig!W326,""",""?00;"",""?-00;"",""?00;"", //"""),"'","""")&amp;SUBSTITUTE(TEXT(IF(ISTEXT(Overig!X326),Overig!X326,10*Overig!X326),""",""????0;"",""???-0;"",""????0;"", ////"""),"'","""")&amp;SUBSTITUTE(TEXT(Overig!Y326,""",""?00;"",""?-00;"",""?00;"", //"""),"'","""")&amp;SUBSTITUTE(TEXT(IF(ISTEXT(Overig!Z326),Overig!Z326,10*Overig!Z326),""",""????0;"",""???-0;"",""????0;"", ////"""),"'","""")&amp;SUBSTITUTE(TEXT(Overig!AA326,""",""?00;"",""?-00;"",""?00;"", //"""),"'","""")&amp;SUBSTITUTE(TEXT(Overig!AB326,""",""???0;"",""??-0;"",""???0;"", ///"""),"'","""")&amp;SUBSTITUTE(TEXT(Overig!AC326,""",""?00;"",""?-00;"",""?00;"", //"""),"'","""")&amp;SUBSTITUTE(TEXT(IF(ISTEXT(Overig!AD326),Overig!AD326,10*Overig!AD326),""",""????0;"",""???-0;"",""????0;"", ////"""),"'","""")&amp;SUBSTITUTE(TEXT(Overig!AE326,""",""?00;"",""?-00;"",""?00;"", //"""),"'","""")&amp;SUBSTITUTE(TEXT(IF(ISTEXT(Overig!AF326),Overig!AF326,10*Overig!AF326),""",""????0;"",""???-0;"",""????0;"", ////"""),"'","""")&amp;SUBSTITUTE(TEXT(Overig!AG326,""",""?00;"",""?-00;"",""?00;"", //"""),"'","""")&amp;SUBSTITUTE(TEXT(Overig!AH326,""",""???0;"",""??-0;"",""???0;"", ///"""),"'","""")&amp;SUBSTITUTE(TEXT(Overig!AI326,""",""?00;"",""?-00;"",""?00;"", //"""),"'","""")&amp;SUBSTITUTE(TEXT(Overig!AJ326,""",""??0;"",""?-0;"",""??0;"", //"""),"'","""")&amp;SUBSTITUTE(TEXT(Overig!AK326,""",""?00;"",""?-00;"",""?00;"", //"""),"'","""")&amp;SUBSTITUTE(IF(EXACT(Overig!AL326,"—"),TEXT(Overig!AL326,""",""????0;"",""???-0;"",""????0;"", ////////////,"""),TEXT(Overig!AL326,"\, \'@""',""")&amp;REPT(" ",10-LEN(Overig!AL326))),"'","""")&amp;SUBSTITUTE(TEXT(Overig!AM326,"?00;?-00;?00;"" //"""),"'","""")&amp;SUBSTITUTE(TEXT(Overig!AN326,""",""???0;"",""??-0;"",""???0;"", ///"""),"'","""")&amp;SUBSTITUTE(TEXT(Overig!AO326,""",""?00;"",""?-00;"",""?00;"", //"""),"'","""")</f>
        <v>78989, 19131121, 0800, ////, 07, /////, 07, ////, 07, /////, 07, ////, 07, ////, 07, ////, 07, ////, 07, ///, 07, ///, 07, ////, 07, ////, 07, ///, 07, ////, 07, ////, 07, ///, 07, //, 07, ////////////, 07, ///, 07</v>
      </c>
    </row>
    <row r="327" spans="1:1" x14ac:dyDescent="0.25">
      <c r="A327" s="75" t="str">
        <f ca="1">TEXT(Overig!A327,"000\,")&amp;TEXT(Overig!B327,"?00000000")&amp;TEXT(Overig!C327,""", ""0000")&amp;SUBSTITUTE(TEXT(IF(ISTEXT(Overig!D327),Overig!D327,10*Overig!D327),""",""????0;"",""???-0;"",""????0;"", ////"""),"'","""")&amp;SUBSTITUTE(TEXT(Overig!E327,""",""?00;"",""?-00;"",""?00;"", //"""),"'","""")&amp;SUBSTITUTE(TEXT(IF(ISTEXT(Overig!F327),Overig!F327,100*Overig!F327),""",""?????0;"",""????-0;"",""?????0;"", /////"""),"'","""")&amp;SUBSTITUTE(TEXT(Overig!G327,""",""?00;"",""?-00;"",""?00;"", //"""),"'","""")&amp;SUBSTITUTE(TEXT(IF(ISTEXT(Overig!H327),Overig!H327,100*Overig!H327),""",""????0;"",""???-0;"",""????0;"", ////"""),"'","""")&amp;SUBSTITUTE(TEXT(Overig!I327,""",""?00;"",""?-00;"",""?00;"", //"""),"'","""")&amp;SUBSTITUTE(TEXT(IF(ISTEXT(Overig!J327),Overig!J327,100*Overig!J327),""",""?????0;"",""????-0;"",""?????0;"", /////"""),"'","""")&amp;SUBSTITUTE(TEXT(Overig!K327,""",""?00;"",""?-00;"",""?00;"", //"""),"'","""")&amp;SUBSTITUTE(TEXT(IF(ISTEXT(Overig!L327),Overig!L327,10*Overig!L327),""",""????0;"",""???-0;"",""????0;"", ////"""),"'","""")&amp;SUBSTITUTE(TEXT(Overig!M327,""",""?00;"",""?-00;"",""?00;"", //"""),"'","""")&amp;SUBSTITUTE(TEXT(IF(ISTEXT(Overig!N327),Overig!N327,10*Overig!N327),""",""????0;"",""???-0;"",""????0;"", ////"""),"'","""")&amp;SUBSTITUTE(TEXT(Overig!O327,""",""?00;"",""?-00;"",""?00;"", //"""),"'","""")&amp;SUBSTITUTE(TEXT(IF(ISTEXT(Overig!P327),Overig!P327,10*Overig!P327),""",""????0;"",""???-0;"",""????0;"", ////"""),"'","""")&amp;SUBSTITUTE(TEXT(Overig!Q327,""",""?00;"",""?-00;"",""?00;"", //"""),"'","""")&amp;SUBSTITUTE(TEXT(IF(ISTEXT(Overig!R327),Overig!R327,10*Overig!R327),""",""????0;"",""???-0;"",""????0;"", ////"""),"'","""")&amp;SUBSTITUTE(TEXT(Overig!S327,""",""?00;"",""?-00;"",""?00;"", //"""),"'","""")&amp;SUBSTITUTE(TEXT(Overig!T327,""",""???0;"",""??-0;"",""???0;"", ///"""),"'","""")&amp;SUBSTITUTE(TEXT(Overig!U327,""",""?00;"",""?-00;"",""?00;"", //"""),"'","""")&amp;SUBSTITUTE(TEXT(IF(ISTEXT(Overig!V327),Overig!V327,10*Overig!V327),""",""???0;"",""??-0;"",""???0;"", ///"""),"'","""")&amp;SUBSTITUTE(TEXT(Overig!W327,""",""?00;"",""?-00;"",""?00;"", //"""),"'","""")&amp;SUBSTITUTE(TEXT(IF(ISTEXT(Overig!X327),Overig!X327,10*Overig!X327),""",""????0;"",""???-0;"",""????0;"", ////"""),"'","""")&amp;SUBSTITUTE(TEXT(Overig!Y327,""",""?00;"",""?-00;"",""?00;"", //"""),"'","""")&amp;SUBSTITUTE(TEXT(IF(ISTEXT(Overig!Z327),Overig!Z327,10*Overig!Z327),""",""????0;"",""???-0;"",""????0;"", ////"""),"'","""")&amp;SUBSTITUTE(TEXT(Overig!AA327,""",""?00;"",""?-00;"",""?00;"", //"""),"'","""")&amp;SUBSTITUTE(TEXT(Overig!AB327,""",""???0;"",""??-0;"",""???0;"", ///"""),"'","""")&amp;SUBSTITUTE(TEXT(Overig!AC327,""",""?00;"",""?-00;"",""?00;"", //"""),"'","""")&amp;SUBSTITUTE(TEXT(IF(ISTEXT(Overig!AD327),Overig!AD327,10*Overig!AD327),""",""????0;"",""???-0;"",""????0;"", ////"""),"'","""")&amp;SUBSTITUTE(TEXT(Overig!AE327,""",""?00;"",""?-00;"",""?00;"", //"""),"'","""")&amp;SUBSTITUTE(TEXT(IF(ISTEXT(Overig!AF327),Overig!AF327,10*Overig!AF327),""",""????0;"",""???-0;"",""????0;"", ////"""),"'","""")&amp;SUBSTITUTE(TEXT(Overig!AG327,""",""?00;"",""?-00;"",""?00;"", //"""),"'","""")&amp;SUBSTITUTE(TEXT(Overig!AH327,""",""???0;"",""??-0;"",""???0;"", ///"""),"'","""")&amp;SUBSTITUTE(TEXT(Overig!AI327,""",""?00;"",""?-00;"",""?00;"", //"""),"'","""")&amp;SUBSTITUTE(TEXT(Overig!AJ327,""",""??0;"",""?-0;"",""??0;"", //"""),"'","""")&amp;SUBSTITUTE(TEXT(Overig!AK327,""",""?00;"",""?-00;"",""?00;"", //"""),"'","""")&amp;SUBSTITUTE(IF(EXACT(Overig!AL327,"—"),TEXT(Overig!AL327,""",""????0;"",""???-0;"",""????0;"", ////////////,"""),TEXT(Overig!AL327,"\, \'@""',""")&amp;REPT(" ",10-LEN(Overig!AL327))),"'","""")&amp;SUBSTITUTE(TEXT(Overig!AM327,"?00;?-00;?00;"" //"""),"'","""")&amp;SUBSTITUTE(TEXT(Overig!AN327,""",""???0;"",""??-0;"",""???0;"", ///"""),"'","""")&amp;SUBSTITUTE(TEXT(Overig!AO327,""",""?00;"",""?-00;"",""?00;"", //"""),"'","""")</f>
        <v>78989, 19131122, 0800, ////, 07, /////, 07, ////, 07, /////, 07, ////, 07, ////, 07, ////, 07, ////, 07, ///, 07, ///, 07, ////, 07, ////, 07, ///, 07, ////, 07, ////, 07, ///, 07, //, 07, ////////////, 07, ///, 07</v>
      </c>
    </row>
    <row r="328" spans="1:1" x14ac:dyDescent="0.25">
      <c r="A328" s="75" t="str">
        <f ca="1">TEXT(Overig!A328,"000\,")&amp;TEXT(Overig!B328,"?00000000")&amp;TEXT(Overig!C328,""", ""0000")&amp;SUBSTITUTE(TEXT(IF(ISTEXT(Overig!D328),Overig!D328,10*Overig!D328),""",""????0;"",""???-0;"",""????0;"", ////"""),"'","""")&amp;SUBSTITUTE(TEXT(Overig!E328,""",""?00;"",""?-00;"",""?00;"", //"""),"'","""")&amp;SUBSTITUTE(TEXT(IF(ISTEXT(Overig!F328),Overig!F328,100*Overig!F328),""",""?????0;"",""????-0;"",""?????0;"", /////"""),"'","""")&amp;SUBSTITUTE(TEXT(Overig!G328,""",""?00;"",""?-00;"",""?00;"", //"""),"'","""")&amp;SUBSTITUTE(TEXT(IF(ISTEXT(Overig!H328),Overig!H328,100*Overig!H328),""",""????0;"",""???-0;"",""????0;"", ////"""),"'","""")&amp;SUBSTITUTE(TEXT(Overig!I328,""",""?00;"",""?-00;"",""?00;"", //"""),"'","""")&amp;SUBSTITUTE(TEXT(IF(ISTEXT(Overig!J328),Overig!J328,100*Overig!J328),""",""?????0;"",""????-0;"",""?????0;"", /////"""),"'","""")&amp;SUBSTITUTE(TEXT(Overig!K328,""",""?00;"",""?-00;"",""?00;"", //"""),"'","""")&amp;SUBSTITUTE(TEXT(IF(ISTEXT(Overig!L328),Overig!L328,10*Overig!L328),""",""????0;"",""???-0;"",""????0;"", ////"""),"'","""")&amp;SUBSTITUTE(TEXT(Overig!M328,""",""?00;"",""?-00;"",""?00;"", //"""),"'","""")&amp;SUBSTITUTE(TEXT(IF(ISTEXT(Overig!N328),Overig!N328,10*Overig!N328),""",""????0;"",""???-0;"",""????0;"", ////"""),"'","""")&amp;SUBSTITUTE(TEXT(Overig!O328,""",""?00;"",""?-00;"",""?00;"", //"""),"'","""")&amp;SUBSTITUTE(TEXT(IF(ISTEXT(Overig!P328),Overig!P328,10*Overig!P328),""",""????0;"",""???-0;"",""????0;"", ////"""),"'","""")&amp;SUBSTITUTE(TEXT(Overig!Q328,""",""?00;"",""?-00;"",""?00;"", //"""),"'","""")&amp;SUBSTITUTE(TEXT(IF(ISTEXT(Overig!R328),Overig!R328,10*Overig!R328),""",""????0;"",""???-0;"",""????0;"", ////"""),"'","""")&amp;SUBSTITUTE(TEXT(Overig!S328,""",""?00;"",""?-00;"",""?00;"", //"""),"'","""")&amp;SUBSTITUTE(TEXT(Overig!T328,""",""???0;"",""??-0;"",""???0;"", ///"""),"'","""")&amp;SUBSTITUTE(TEXT(Overig!U328,""",""?00;"",""?-00;"",""?00;"", //"""),"'","""")&amp;SUBSTITUTE(TEXT(IF(ISTEXT(Overig!V328),Overig!V328,10*Overig!V328),""",""???0;"",""??-0;"",""???0;"", ///"""),"'","""")&amp;SUBSTITUTE(TEXT(Overig!W328,""",""?00;"",""?-00;"",""?00;"", //"""),"'","""")&amp;SUBSTITUTE(TEXT(IF(ISTEXT(Overig!X328),Overig!X328,10*Overig!X328),""",""????0;"",""???-0;"",""????0;"", ////"""),"'","""")&amp;SUBSTITUTE(TEXT(Overig!Y328,""",""?00;"",""?-00;"",""?00;"", //"""),"'","""")&amp;SUBSTITUTE(TEXT(IF(ISTEXT(Overig!Z328),Overig!Z328,10*Overig!Z328),""",""????0;"",""???-0;"",""????0;"", ////"""),"'","""")&amp;SUBSTITUTE(TEXT(Overig!AA328,""",""?00;"",""?-00;"",""?00;"", //"""),"'","""")&amp;SUBSTITUTE(TEXT(Overig!AB328,""",""???0;"",""??-0;"",""???0;"", ///"""),"'","""")&amp;SUBSTITUTE(TEXT(Overig!AC328,""",""?00;"",""?-00;"",""?00;"", //"""),"'","""")&amp;SUBSTITUTE(TEXT(IF(ISTEXT(Overig!AD328),Overig!AD328,10*Overig!AD328),""",""????0;"",""???-0;"",""????0;"", ////"""),"'","""")&amp;SUBSTITUTE(TEXT(Overig!AE328,""",""?00;"",""?-00;"",""?00;"", //"""),"'","""")&amp;SUBSTITUTE(TEXT(IF(ISTEXT(Overig!AF328),Overig!AF328,10*Overig!AF328),""",""????0;"",""???-0;"",""????0;"", ////"""),"'","""")&amp;SUBSTITUTE(TEXT(Overig!AG328,""",""?00;"",""?-00;"",""?00;"", //"""),"'","""")&amp;SUBSTITUTE(TEXT(Overig!AH328,""",""???0;"",""??-0;"",""???0;"", ///"""),"'","""")&amp;SUBSTITUTE(TEXT(Overig!AI328,""",""?00;"",""?-00;"",""?00;"", //"""),"'","""")&amp;SUBSTITUTE(TEXT(Overig!AJ328,""",""??0;"",""?-0;"",""??0;"", //"""),"'","""")&amp;SUBSTITUTE(TEXT(Overig!AK328,""",""?00;"",""?-00;"",""?00;"", //"""),"'","""")&amp;SUBSTITUTE(IF(EXACT(Overig!AL328,"—"),TEXT(Overig!AL328,""",""????0;"",""???-0;"",""????0;"", ////////////,"""),TEXT(Overig!AL328,"\, \'@""',""")&amp;REPT(" ",10-LEN(Overig!AL328))),"'","""")&amp;SUBSTITUTE(TEXT(Overig!AM328,"?00;?-00;?00;"" //"""),"'","""")&amp;SUBSTITUTE(TEXT(Overig!AN328,""",""???0;"",""??-0;"",""???0;"", ///"""),"'","""")&amp;SUBSTITUTE(TEXT(Overig!AO328,""",""?00;"",""?-00;"",""?00;"", //"""),"'","""")</f>
        <v>78989, 19131123, 0800, ////, 07, /////, 07, ////, 07, /////, 07, ////, 07, ////, 07, ////, 07, ////, 07, ///, 07, ///, 07, ////, 07, ////, 07, ///, 07, ////, 07, ////, 07, ///, 07, //, 07, ////////////, 07, ///, 07</v>
      </c>
    </row>
    <row r="329" spans="1:1" x14ac:dyDescent="0.25">
      <c r="A329" s="75" t="str">
        <f ca="1">TEXT(Overig!A329,"000\,")&amp;TEXT(Overig!B329,"?00000000")&amp;TEXT(Overig!C329,""", ""0000")&amp;SUBSTITUTE(TEXT(IF(ISTEXT(Overig!D329),Overig!D329,10*Overig!D329),""",""????0;"",""???-0;"",""????0;"", ////"""),"'","""")&amp;SUBSTITUTE(TEXT(Overig!E329,""",""?00;"",""?-00;"",""?00;"", //"""),"'","""")&amp;SUBSTITUTE(TEXT(IF(ISTEXT(Overig!F329),Overig!F329,100*Overig!F329),""",""?????0;"",""????-0;"",""?????0;"", /////"""),"'","""")&amp;SUBSTITUTE(TEXT(Overig!G329,""",""?00;"",""?-00;"",""?00;"", //"""),"'","""")&amp;SUBSTITUTE(TEXT(IF(ISTEXT(Overig!H329),Overig!H329,100*Overig!H329),""",""????0;"",""???-0;"",""????0;"", ////"""),"'","""")&amp;SUBSTITUTE(TEXT(Overig!I329,""",""?00;"",""?-00;"",""?00;"", //"""),"'","""")&amp;SUBSTITUTE(TEXT(IF(ISTEXT(Overig!J329),Overig!J329,100*Overig!J329),""",""?????0;"",""????-0;"",""?????0;"", /////"""),"'","""")&amp;SUBSTITUTE(TEXT(Overig!K329,""",""?00;"",""?-00;"",""?00;"", //"""),"'","""")&amp;SUBSTITUTE(TEXT(IF(ISTEXT(Overig!L329),Overig!L329,10*Overig!L329),""",""????0;"",""???-0;"",""????0;"", ////"""),"'","""")&amp;SUBSTITUTE(TEXT(Overig!M329,""",""?00;"",""?-00;"",""?00;"", //"""),"'","""")&amp;SUBSTITUTE(TEXT(IF(ISTEXT(Overig!N329),Overig!N329,10*Overig!N329),""",""????0;"",""???-0;"",""????0;"", ////"""),"'","""")&amp;SUBSTITUTE(TEXT(Overig!O329,""",""?00;"",""?-00;"",""?00;"", //"""),"'","""")&amp;SUBSTITUTE(TEXT(IF(ISTEXT(Overig!P329),Overig!P329,10*Overig!P329),""",""????0;"",""???-0;"",""????0;"", ////"""),"'","""")&amp;SUBSTITUTE(TEXT(Overig!Q329,""",""?00;"",""?-00;"",""?00;"", //"""),"'","""")&amp;SUBSTITUTE(TEXT(IF(ISTEXT(Overig!R329),Overig!R329,10*Overig!R329),""",""????0;"",""???-0;"",""????0;"", ////"""),"'","""")&amp;SUBSTITUTE(TEXT(Overig!S329,""",""?00;"",""?-00;"",""?00;"", //"""),"'","""")&amp;SUBSTITUTE(TEXT(Overig!T329,""",""???0;"",""??-0;"",""???0;"", ///"""),"'","""")&amp;SUBSTITUTE(TEXT(Overig!U329,""",""?00;"",""?-00;"",""?00;"", //"""),"'","""")&amp;SUBSTITUTE(TEXT(IF(ISTEXT(Overig!V329),Overig!V329,10*Overig!V329),""",""???0;"",""??-0;"",""???0;"", ///"""),"'","""")&amp;SUBSTITUTE(TEXT(Overig!W329,""",""?00;"",""?-00;"",""?00;"", //"""),"'","""")&amp;SUBSTITUTE(TEXT(IF(ISTEXT(Overig!X329),Overig!X329,10*Overig!X329),""",""????0;"",""???-0;"",""????0;"", ////"""),"'","""")&amp;SUBSTITUTE(TEXT(Overig!Y329,""",""?00;"",""?-00;"",""?00;"", //"""),"'","""")&amp;SUBSTITUTE(TEXT(IF(ISTEXT(Overig!Z329),Overig!Z329,10*Overig!Z329),""",""????0;"",""???-0;"",""????0;"", ////"""),"'","""")&amp;SUBSTITUTE(TEXT(Overig!AA329,""",""?00;"",""?-00;"",""?00;"", //"""),"'","""")&amp;SUBSTITUTE(TEXT(Overig!AB329,""",""???0;"",""??-0;"",""???0;"", ///"""),"'","""")&amp;SUBSTITUTE(TEXT(Overig!AC329,""",""?00;"",""?-00;"",""?00;"", //"""),"'","""")&amp;SUBSTITUTE(TEXT(IF(ISTEXT(Overig!AD329),Overig!AD329,10*Overig!AD329),""",""????0;"",""???-0;"",""????0;"", ////"""),"'","""")&amp;SUBSTITUTE(TEXT(Overig!AE329,""",""?00;"",""?-00;"",""?00;"", //"""),"'","""")&amp;SUBSTITUTE(TEXT(IF(ISTEXT(Overig!AF329),Overig!AF329,10*Overig!AF329),""",""????0;"",""???-0;"",""????0;"", ////"""),"'","""")&amp;SUBSTITUTE(TEXT(Overig!AG329,""",""?00;"",""?-00;"",""?00;"", //"""),"'","""")&amp;SUBSTITUTE(TEXT(Overig!AH329,""",""???0;"",""??-0;"",""???0;"", ///"""),"'","""")&amp;SUBSTITUTE(TEXT(Overig!AI329,""",""?00;"",""?-00;"",""?00;"", //"""),"'","""")&amp;SUBSTITUTE(TEXT(Overig!AJ329,""",""??0;"",""?-0;"",""??0;"", //"""),"'","""")&amp;SUBSTITUTE(TEXT(Overig!AK329,""",""?00;"",""?-00;"",""?00;"", //"""),"'","""")&amp;SUBSTITUTE(IF(EXACT(Overig!AL329,"—"),TEXT(Overig!AL329,""",""????0;"",""???-0;"",""????0;"", ////////////,"""),TEXT(Overig!AL329,"\, \'@""',""")&amp;REPT(" ",10-LEN(Overig!AL329))),"'","""")&amp;SUBSTITUTE(TEXT(Overig!AM329,"?00;?-00;?00;"" //"""),"'","""")&amp;SUBSTITUTE(TEXT(Overig!AN329,""",""???0;"",""??-0;"",""???0;"", ///"""),"'","""")&amp;SUBSTITUTE(TEXT(Overig!AO329,""",""?00;"",""?-00;"",""?00;"", //"""),"'","""")</f>
        <v>78989, 19131124, 0800, ////, 07, /////, 07, ////, 07, /////, 07, ////, 07, ////, 07, ////, 07, ////, 07, ///, 07, ///, 07, ////, 07, ////, 07, ///, 07, ////, 07, ////, 07, ///, 07, //, 07, ////////////, 07, ///, 07</v>
      </c>
    </row>
    <row r="330" spans="1:1" x14ac:dyDescent="0.25">
      <c r="A330" s="75" t="str">
        <f ca="1">TEXT(Overig!A330,"000\,")&amp;TEXT(Overig!B330,"?00000000")&amp;TEXT(Overig!C330,""", ""0000")&amp;SUBSTITUTE(TEXT(IF(ISTEXT(Overig!D330),Overig!D330,10*Overig!D330),""",""????0;"",""???-0;"",""????0;"", ////"""),"'","""")&amp;SUBSTITUTE(TEXT(Overig!E330,""",""?00;"",""?-00;"",""?00;"", //"""),"'","""")&amp;SUBSTITUTE(TEXT(IF(ISTEXT(Overig!F330),Overig!F330,100*Overig!F330),""",""?????0;"",""????-0;"",""?????0;"", /////"""),"'","""")&amp;SUBSTITUTE(TEXT(Overig!G330,""",""?00;"",""?-00;"",""?00;"", //"""),"'","""")&amp;SUBSTITUTE(TEXT(IF(ISTEXT(Overig!H330),Overig!H330,100*Overig!H330),""",""????0;"",""???-0;"",""????0;"", ////"""),"'","""")&amp;SUBSTITUTE(TEXT(Overig!I330,""",""?00;"",""?-00;"",""?00;"", //"""),"'","""")&amp;SUBSTITUTE(TEXT(IF(ISTEXT(Overig!J330),Overig!J330,100*Overig!J330),""",""?????0;"",""????-0;"",""?????0;"", /////"""),"'","""")&amp;SUBSTITUTE(TEXT(Overig!K330,""",""?00;"",""?-00;"",""?00;"", //"""),"'","""")&amp;SUBSTITUTE(TEXT(IF(ISTEXT(Overig!L330),Overig!L330,10*Overig!L330),""",""????0;"",""???-0;"",""????0;"", ////"""),"'","""")&amp;SUBSTITUTE(TEXT(Overig!M330,""",""?00;"",""?-00;"",""?00;"", //"""),"'","""")&amp;SUBSTITUTE(TEXT(IF(ISTEXT(Overig!N330),Overig!N330,10*Overig!N330),""",""????0;"",""???-0;"",""????0;"", ////"""),"'","""")&amp;SUBSTITUTE(TEXT(Overig!O330,""",""?00;"",""?-00;"",""?00;"", //"""),"'","""")&amp;SUBSTITUTE(TEXT(IF(ISTEXT(Overig!P330),Overig!P330,10*Overig!P330),""",""????0;"",""???-0;"",""????0;"", ////"""),"'","""")&amp;SUBSTITUTE(TEXT(Overig!Q330,""",""?00;"",""?-00;"",""?00;"", //"""),"'","""")&amp;SUBSTITUTE(TEXT(IF(ISTEXT(Overig!R330),Overig!R330,10*Overig!R330),""",""????0;"",""???-0;"",""????0;"", ////"""),"'","""")&amp;SUBSTITUTE(TEXT(Overig!S330,""",""?00;"",""?-00;"",""?00;"", //"""),"'","""")&amp;SUBSTITUTE(TEXT(Overig!T330,""",""???0;"",""??-0;"",""???0;"", ///"""),"'","""")&amp;SUBSTITUTE(TEXT(Overig!U330,""",""?00;"",""?-00;"",""?00;"", //"""),"'","""")&amp;SUBSTITUTE(TEXT(IF(ISTEXT(Overig!V330),Overig!V330,10*Overig!V330),""",""???0;"",""??-0;"",""???0;"", ///"""),"'","""")&amp;SUBSTITUTE(TEXT(Overig!W330,""",""?00;"",""?-00;"",""?00;"", //"""),"'","""")&amp;SUBSTITUTE(TEXT(IF(ISTEXT(Overig!X330),Overig!X330,10*Overig!X330),""",""????0;"",""???-0;"",""????0;"", ////"""),"'","""")&amp;SUBSTITUTE(TEXT(Overig!Y330,""",""?00;"",""?-00;"",""?00;"", //"""),"'","""")&amp;SUBSTITUTE(TEXT(IF(ISTEXT(Overig!Z330),Overig!Z330,10*Overig!Z330),""",""????0;"",""???-0;"",""????0;"", ////"""),"'","""")&amp;SUBSTITUTE(TEXT(Overig!AA330,""",""?00;"",""?-00;"",""?00;"", //"""),"'","""")&amp;SUBSTITUTE(TEXT(Overig!AB330,""",""???0;"",""??-0;"",""???0;"", ///"""),"'","""")&amp;SUBSTITUTE(TEXT(Overig!AC330,""",""?00;"",""?-00;"",""?00;"", //"""),"'","""")&amp;SUBSTITUTE(TEXT(IF(ISTEXT(Overig!AD330),Overig!AD330,10*Overig!AD330),""",""????0;"",""???-0;"",""????0;"", ////"""),"'","""")&amp;SUBSTITUTE(TEXT(Overig!AE330,""",""?00;"",""?-00;"",""?00;"", //"""),"'","""")&amp;SUBSTITUTE(TEXT(IF(ISTEXT(Overig!AF330),Overig!AF330,10*Overig!AF330),""",""????0;"",""???-0;"",""????0;"", ////"""),"'","""")&amp;SUBSTITUTE(TEXT(Overig!AG330,""",""?00;"",""?-00;"",""?00;"", //"""),"'","""")&amp;SUBSTITUTE(TEXT(Overig!AH330,""",""???0;"",""??-0;"",""???0;"", ///"""),"'","""")&amp;SUBSTITUTE(TEXT(Overig!AI330,""",""?00;"",""?-00;"",""?00;"", //"""),"'","""")&amp;SUBSTITUTE(TEXT(Overig!AJ330,""",""??0;"",""?-0;"",""??0;"", //"""),"'","""")&amp;SUBSTITUTE(TEXT(Overig!AK330,""",""?00;"",""?-00;"",""?00;"", //"""),"'","""")&amp;SUBSTITUTE(IF(EXACT(Overig!AL330,"—"),TEXT(Overig!AL330,""",""????0;"",""???-0;"",""????0;"", ////////////,"""),TEXT(Overig!AL330,"\, \'@""',""")&amp;REPT(" ",10-LEN(Overig!AL330))),"'","""")&amp;SUBSTITUTE(TEXT(Overig!AM330,"?00;?-00;?00;"" //"""),"'","""")&amp;SUBSTITUTE(TEXT(Overig!AN330,""",""???0;"",""??-0;"",""???0;"", ///"""),"'","""")&amp;SUBSTITUTE(TEXT(Overig!AO330,""",""?00;"",""?-00;"",""?00;"", //"""),"'","""")</f>
        <v>78989, 19131125, 0800, ////, 07, /////, 07, ////, 07, /////, 07, ////, 07, ////, 07, ////, 07, ////, 07, ///, 07, ///, 07, ////, 07, ////, 07, ///, 07, ////, 07, ////, 07, ///, 07, //, 07, ////////////, 07, ///, 07</v>
      </c>
    </row>
    <row r="331" spans="1:1" x14ac:dyDescent="0.25">
      <c r="A331" s="75" t="str">
        <f ca="1">TEXT(Overig!A331,"000\,")&amp;TEXT(Overig!B331,"?00000000")&amp;TEXT(Overig!C331,""", ""0000")&amp;SUBSTITUTE(TEXT(IF(ISTEXT(Overig!D331),Overig!D331,10*Overig!D331),""",""????0;"",""???-0;"",""????0;"", ////"""),"'","""")&amp;SUBSTITUTE(TEXT(Overig!E331,""",""?00;"",""?-00;"",""?00;"", //"""),"'","""")&amp;SUBSTITUTE(TEXT(IF(ISTEXT(Overig!F331),Overig!F331,100*Overig!F331),""",""?????0;"",""????-0;"",""?????0;"", /////"""),"'","""")&amp;SUBSTITUTE(TEXT(Overig!G331,""",""?00;"",""?-00;"",""?00;"", //"""),"'","""")&amp;SUBSTITUTE(TEXT(IF(ISTEXT(Overig!H331),Overig!H331,100*Overig!H331),""",""????0;"",""???-0;"",""????0;"", ////"""),"'","""")&amp;SUBSTITUTE(TEXT(Overig!I331,""",""?00;"",""?-00;"",""?00;"", //"""),"'","""")&amp;SUBSTITUTE(TEXT(IF(ISTEXT(Overig!J331),Overig!J331,100*Overig!J331),""",""?????0;"",""????-0;"",""?????0;"", /////"""),"'","""")&amp;SUBSTITUTE(TEXT(Overig!K331,""",""?00;"",""?-00;"",""?00;"", //"""),"'","""")&amp;SUBSTITUTE(TEXT(IF(ISTEXT(Overig!L331),Overig!L331,10*Overig!L331),""",""????0;"",""???-0;"",""????0;"", ////"""),"'","""")&amp;SUBSTITUTE(TEXT(Overig!M331,""",""?00;"",""?-00;"",""?00;"", //"""),"'","""")&amp;SUBSTITUTE(TEXT(IF(ISTEXT(Overig!N331),Overig!N331,10*Overig!N331),""",""????0;"",""???-0;"",""????0;"", ////"""),"'","""")&amp;SUBSTITUTE(TEXT(Overig!O331,""",""?00;"",""?-00;"",""?00;"", //"""),"'","""")&amp;SUBSTITUTE(TEXT(IF(ISTEXT(Overig!P331),Overig!P331,10*Overig!P331),""",""????0;"",""???-0;"",""????0;"", ////"""),"'","""")&amp;SUBSTITUTE(TEXT(Overig!Q331,""",""?00;"",""?-00;"",""?00;"", //"""),"'","""")&amp;SUBSTITUTE(TEXT(IF(ISTEXT(Overig!R331),Overig!R331,10*Overig!R331),""",""????0;"",""???-0;"",""????0;"", ////"""),"'","""")&amp;SUBSTITUTE(TEXT(Overig!S331,""",""?00;"",""?-00;"",""?00;"", //"""),"'","""")&amp;SUBSTITUTE(TEXT(Overig!T331,""",""???0;"",""??-0;"",""???0;"", ///"""),"'","""")&amp;SUBSTITUTE(TEXT(Overig!U331,""",""?00;"",""?-00;"",""?00;"", //"""),"'","""")&amp;SUBSTITUTE(TEXT(IF(ISTEXT(Overig!V331),Overig!V331,10*Overig!V331),""",""???0;"",""??-0;"",""???0;"", ///"""),"'","""")&amp;SUBSTITUTE(TEXT(Overig!W331,""",""?00;"",""?-00;"",""?00;"", //"""),"'","""")&amp;SUBSTITUTE(TEXT(IF(ISTEXT(Overig!X331),Overig!X331,10*Overig!X331),""",""????0;"",""???-0;"",""????0;"", ////"""),"'","""")&amp;SUBSTITUTE(TEXT(Overig!Y331,""",""?00;"",""?-00;"",""?00;"", //"""),"'","""")&amp;SUBSTITUTE(TEXT(IF(ISTEXT(Overig!Z331),Overig!Z331,10*Overig!Z331),""",""????0;"",""???-0;"",""????0;"", ////"""),"'","""")&amp;SUBSTITUTE(TEXT(Overig!AA331,""",""?00;"",""?-00;"",""?00;"", //"""),"'","""")&amp;SUBSTITUTE(TEXT(Overig!AB331,""",""???0;"",""??-0;"",""???0;"", ///"""),"'","""")&amp;SUBSTITUTE(TEXT(Overig!AC331,""",""?00;"",""?-00;"",""?00;"", //"""),"'","""")&amp;SUBSTITUTE(TEXT(IF(ISTEXT(Overig!AD331),Overig!AD331,10*Overig!AD331),""",""????0;"",""???-0;"",""????0;"", ////"""),"'","""")&amp;SUBSTITUTE(TEXT(Overig!AE331,""",""?00;"",""?-00;"",""?00;"", //"""),"'","""")&amp;SUBSTITUTE(TEXT(IF(ISTEXT(Overig!AF331),Overig!AF331,10*Overig!AF331),""",""????0;"",""???-0;"",""????0;"", ////"""),"'","""")&amp;SUBSTITUTE(TEXT(Overig!AG331,""",""?00;"",""?-00;"",""?00;"", //"""),"'","""")&amp;SUBSTITUTE(TEXT(Overig!AH331,""",""???0;"",""??-0;"",""???0;"", ///"""),"'","""")&amp;SUBSTITUTE(TEXT(Overig!AI331,""",""?00;"",""?-00;"",""?00;"", //"""),"'","""")&amp;SUBSTITUTE(TEXT(Overig!AJ331,""",""??0;"",""?-0;"",""??0;"", //"""),"'","""")&amp;SUBSTITUTE(TEXT(Overig!AK331,""",""?00;"",""?-00;"",""?00;"", //"""),"'","""")&amp;SUBSTITUTE(IF(EXACT(Overig!AL331,"—"),TEXT(Overig!AL331,""",""????0;"",""???-0;"",""????0;"", ////////////,"""),TEXT(Overig!AL331,"\, \'@""',""")&amp;REPT(" ",10-LEN(Overig!AL331))),"'","""")&amp;SUBSTITUTE(TEXT(Overig!AM331,"?00;?-00;?00;"" //"""),"'","""")&amp;SUBSTITUTE(TEXT(Overig!AN331,""",""???0;"",""??-0;"",""???0;"", ///"""),"'","""")&amp;SUBSTITUTE(TEXT(Overig!AO331,""",""?00;"",""?-00;"",""?00;"", //"""),"'","""")</f>
        <v>78989, 19131126, 0800, ////, 07, /////, 07, ////, 07, /////, 07, ////, 07, ////, 07, ////, 07, ////, 07, ///, 07, ///, 07, ////, 07, ////, 07, ///, 07, ////, 07, ////, 07, ///, 07, //, 07, ////////////, 07, ///, 07</v>
      </c>
    </row>
    <row r="332" spans="1:1" x14ac:dyDescent="0.25">
      <c r="A332" s="75" t="str">
        <f ca="1">TEXT(Overig!A332,"000\,")&amp;TEXT(Overig!B332,"?00000000")&amp;TEXT(Overig!C332,""", ""0000")&amp;SUBSTITUTE(TEXT(IF(ISTEXT(Overig!D332),Overig!D332,10*Overig!D332),""",""????0;"",""???-0;"",""????0;"", ////"""),"'","""")&amp;SUBSTITUTE(TEXT(Overig!E332,""",""?00;"",""?-00;"",""?00;"", //"""),"'","""")&amp;SUBSTITUTE(TEXT(IF(ISTEXT(Overig!F332),Overig!F332,100*Overig!F332),""",""?????0;"",""????-0;"",""?????0;"", /////"""),"'","""")&amp;SUBSTITUTE(TEXT(Overig!G332,""",""?00;"",""?-00;"",""?00;"", //"""),"'","""")&amp;SUBSTITUTE(TEXT(IF(ISTEXT(Overig!H332),Overig!H332,100*Overig!H332),""",""????0;"",""???-0;"",""????0;"", ////"""),"'","""")&amp;SUBSTITUTE(TEXT(Overig!I332,""",""?00;"",""?-00;"",""?00;"", //"""),"'","""")&amp;SUBSTITUTE(TEXT(IF(ISTEXT(Overig!J332),Overig!J332,100*Overig!J332),""",""?????0;"",""????-0;"",""?????0;"", /////"""),"'","""")&amp;SUBSTITUTE(TEXT(Overig!K332,""",""?00;"",""?-00;"",""?00;"", //"""),"'","""")&amp;SUBSTITUTE(TEXT(IF(ISTEXT(Overig!L332),Overig!L332,10*Overig!L332),""",""????0;"",""???-0;"",""????0;"", ////"""),"'","""")&amp;SUBSTITUTE(TEXT(Overig!M332,""",""?00;"",""?-00;"",""?00;"", //"""),"'","""")&amp;SUBSTITUTE(TEXT(IF(ISTEXT(Overig!N332),Overig!N332,10*Overig!N332),""",""????0;"",""???-0;"",""????0;"", ////"""),"'","""")&amp;SUBSTITUTE(TEXT(Overig!O332,""",""?00;"",""?-00;"",""?00;"", //"""),"'","""")&amp;SUBSTITUTE(TEXT(IF(ISTEXT(Overig!P332),Overig!P332,10*Overig!P332),""",""????0;"",""???-0;"",""????0;"", ////"""),"'","""")&amp;SUBSTITUTE(TEXT(Overig!Q332,""",""?00;"",""?-00;"",""?00;"", //"""),"'","""")&amp;SUBSTITUTE(TEXT(IF(ISTEXT(Overig!R332),Overig!R332,10*Overig!R332),""",""????0;"",""???-0;"",""????0;"", ////"""),"'","""")&amp;SUBSTITUTE(TEXT(Overig!S332,""",""?00;"",""?-00;"",""?00;"", //"""),"'","""")&amp;SUBSTITUTE(TEXT(Overig!T332,""",""???0;"",""??-0;"",""???0;"", ///"""),"'","""")&amp;SUBSTITUTE(TEXT(Overig!U332,""",""?00;"",""?-00;"",""?00;"", //"""),"'","""")&amp;SUBSTITUTE(TEXT(IF(ISTEXT(Overig!V332),Overig!V332,10*Overig!V332),""",""???0;"",""??-0;"",""???0;"", ///"""),"'","""")&amp;SUBSTITUTE(TEXT(Overig!W332,""",""?00;"",""?-00;"",""?00;"", //"""),"'","""")&amp;SUBSTITUTE(TEXT(IF(ISTEXT(Overig!X332),Overig!X332,10*Overig!X332),""",""????0;"",""???-0;"",""????0;"", ////"""),"'","""")&amp;SUBSTITUTE(TEXT(Overig!Y332,""",""?00;"",""?-00;"",""?00;"", //"""),"'","""")&amp;SUBSTITUTE(TEXT(IF(ISTEXT(Overig!Z332),Overig!Z332,10*Overig!Z332),""",""????0;"",""???-0;"",""????0;"", ////"""),"'","""")&amp;SUBSTITUTE(TEXT(Overig!AA332,""",""?00;"",""?-00;"",""?00;"", //"""),"'","""")&amp;SUBSTITUTE(TEXT(Overig!AB332,""",""???0;"",""??-0;"",""???0;"", ///"""),"'","""")&amp;SUBSTITUTE(TEXT(Overig!AC332,""",""?00;"",""?-00;"",""?00;"", //"""),"'","""")&amp;SUBSTITUTE(TEXT(IF(ISTEXT(Overig!AD332),Overig!AD332,10*Overig!AD332),""",""????0;"",""???-0;"",""????0;"", ////"""),"'","""")&amp;SUBSTITUTE(TEXT(Overig!AE332,""",""?00;"",""?-00;"",""?00;"", //"""),"'","""")&amp;SUBSTITUTE(TEXT(IF(ISTEXT(Overig!AF332),Overig!AF332,10*Overig!AF332),""",""????0;"",""???-0;"",""????0;"", ////"""),"'","""")&amp;SUBSTITUTE(TEXT(Overig!AG332,""",""?00;"",""?-00;"",""?00;"", //"""),"'","""")&amp;SUBSTITUTE(TEXT(Overig!AH332,""",""???0;"",""??-0;"",""???0;"", ///"""),"'","""")&amp;SUBSTITUTE(TEXT(Overig!AI332,""",""?00;"",""?-00;"",""?00;"", //"""),"'","""")&amp;SUBSTITUTE(TEXT(Overig!AJ332,""",""??0;"",""?-0;"",""??0;"", //"""),"'","""")&amp;SUBSTITUTE(TEXT(Overig!AK332,""",""?00;"",""?-00;"",""?00;"", //"""),"'","""")&amp;SUBSTITUTE(IF(EXACT(Overig!AL332,"—"),TEXT(Overig!AL332,""",""????0;"",""???-0;"",""????0;"", ////////////,"""),TEXT(Overig!AL332,"\, \'@""',""")&amp;REPT(" ",10-LEN(Overig!AL332))),"'","""")&amp;SUBSTITUTE(TEXT(Overig!AM332,"?00;?-00;?00;"" //"""),"'","""")&amp;SUBSTITUTE(TEXT(Overig!AN332,""",""???0;"",""??-0;"",""???0;"", ///"""),"'","""")&amp;SUBSTITUTE(TEXT(Overig!AO332,""",""?00;"",""?-00;"",""?00;"", //"""),"'","""")</f>
        <v>78989, 19131127, 0800, ////, 07, /////, 07, ////, 07, /////, 07, ////, 07, ////, 07, ////, 07, ////, 07, ///, 07, ///, 07, ////, 07, ////, 07, ///, 07, ////, 07, ////, 07, ///, 07, //, 07, ////////////, 07, ///, 07</v>
      </c>
    </row>
    <row r="333" spans="1:1" x14ac:dyDescent="0.25">
      <c r="A333" s="75" t="str">
        <f ca="1">TEXT(Overig!A333,"000\,")&amp;TEXT(Overig!B333,"?00000000")&amp;TEXT(Overig!C333,""", ""0000")&amp;SUBSTITUTE(TEXT(IF(ISTEXT(Overig!D333),Overig!D333,10*Overig!D333),""",""????0;"",""???-0;"",""????0;"", ////"""),"'","""")&amp;SUBSTITUTE(TEXT(Overig!E333,""",""?00;"",""?-00;"",""?00;"", //"""),"'","""")&amp;SUBSTITUTE(TEXT(IF(ISTEXT(Overig!F333),Overig!F333,100*Overig!F333),""",""?????0;"",""????-0;"",""?????0;"", /////"""),"'","""")&amp;SUBSTITUTE(TEXT(Overig!G333,""",""?00;"",""?-00;"",""?00;"", //"""),"'","""")&amp;SUBSTITUTE(TEXT(IF(ISTEXT(Overig!H333),Overig!H333,100*Overig!H333),""",""????0;"",""???-0;"",""????0;"", ////"""),"'","""")&amp;SUBSTITUTE(TEXT(Overig!I333,""",""?00;"",""?-00;"",""?00;"", //"""),"'","""")&amp;SUBSTITUTE(TEXT(IF(ISTEXT(Overig!J333),Overig!J333,100*Overig!J333),""",""?????0;"",""????-0;"",""?????0;"", /////"""),"'","""")&amp;SUBSTITUTE(TEXT(Overig!K333,""",""?00;"",""?-00;"",""?00;"", //"""),"'","""")&amp;SUBSTITUTE(TEXT(IF(ISTEXT(Overig!L333),Overig!L333,10*Overig!L333),""",""????0;"",""???-0;"",""????0;"", ////"""),"'","""")&amp;SUBSTITUTE(TEXT(Overig!M333,""",""?00;"",""?-00;"",""?00;"", //"""),"'","""")&amp;SUBSTITUTE(TEXT(IF(ISTEXT(Overig!N333),Overig!N333,10*Overig!N333),""",""????0;"",""???-0;"",""????0;"", ////"""),"'","""")&amp;SUBSTITUTE(TEXT(Overig!O333,""",""?00;"",""?-00;"",""?00;"", //"""),"'","""")&amp;SUBSTITUTE(TEXT(IF(ISTEXT(Overig!P333),Overig!P333,10*Overig!P333),""",""????0;"",""???-0;"",""????0;"", ////"""),"'","""")&amp;SUBSTITUTE(TEXT(Overig!Q333,""",""?00;"",""?-00;"",""?00;"", //"""),"'","""")&amp;SUBSTITUTE(TEXT(IF(ISTEXT(Overig!R333),Overig!R333,10*Overig!R333),""",""????0;"",""???-0;"",""????0;"", ////"""),"'","""")&amp;SUBSTITUTE(TEXT(Overig!S333,""",""?00;"",""?-00;"",""?00;"", //"""),"'","""")&amp;SUBSTITUTE(TEXT(Overig!T333,""",""???0;"",""??-0;"",""???0;"", ///"""),"'","""")&amp;SUBSTITUTE(TEXT(Overig!U333,""",""?00;"",""?-00;"",""?00;"", //"""),"'","""")&amp;SUBSTITUTE(TEXT(IF(ISTEXT(Overig!V333),Overig!V333,10*Overig!V333),""",""???0;"",""??-0;"",""???0;"", ///"""),"'","""")&amp;SUBSTITUTE(TEXT(Overig!W333,""",""?00;"",""?-00;"",""?00;"", //"""),"'","""")&amp;SUBSTITUTE(TEXT(IF(ISTEXT(Overig!X333),Overig!X333,10*Overig!X333),""",""????0;"",""???-0;"",""????0;"", ////"""),"'","""")&amp;SUBSTITUTE(TEXT(Overig!Y333,""",""?00;"",""?-00;"",""?00;"", //"""),"'","""")&amp;SUBSTITUTE(TEXT(IF(ISTEXT(Overig!Z333),Overig!Z333,10*Overig!Z333),""",""????0;"",""???-0;"",""????0;"", ////"""),"'","""")&amp;SUBSTITUTE(TEXT(Overig!AA333,""",""?00;"",""?-00;"",""?00;"", //"""),"'","""")&amp;SUBSTITUTE(TEXT(Overig!AB333,""",""???0;"",""??-0;"",""???0;"", ///"""),"'","""")&amp;SUBSTITUTE(TEXT(Overig!AC333,""",""?00;"",""?-00;"",""?00;"", //"""),"'","""")&amp;SUBSTITUTE(TEXT(IF(ISTEXT(Overig!AD333),Overig!AD333,10*Overig!AD333),""",""????0;"",""???-0;"",""????0;"", ////"""),"'","""")&amp;SUBSTITUTE(TEXT(Overig!AE333,""",""?00;"",""?-00;"",""?00;"", //"""),"'","""")&amp;SUBSTITUTE(TEXT(IF(ISTEXT(Overig!AF333),Overig!AF333,10*Overig!AF333),""",""????0;"",""???-0;"",""????0;"", ////"""),"'","""")&amp;SUBSTITUTE(TEXT(Overig!AG333,""",""?00;"",""?-00;"",""?00;"", //"""),"'","""")&amp;SUBSTITUTE(TEXT(Overig!AH333,""",""???0;"",""??-0;"",""???0;"", ///"""),"'","""")&amp;SUBSTITUTE(TEXT(Overig!AI333,""",""?00;"",""?-00;"",""?00;"", //"""),"'","""")&amp;SUBSTITUTE(TEXT(Overig!AJ333,""",""??0;"",""?-0;"",""??0;"", //"""),"'","""")&amp;SUBSTITUTE(TEXT(Overig!AK333,""",""?00;"",""?-00;"",""?00;"", //"""),"'","""")&amp;SUBSTITUTE(IF(EXACT(Overig!AL333,"—"),TEXT(Overig!AL333,""",""????0;"",""???-0;"",""????0;"", ////////////,"""),TEXT(Overig!AL333,"\, \'@""',""")&amp;REPT(" ",10-LEN(Overig!AL333))),"'","""")&amp;SUBSTITUTE(TEXT(Overig!AM333,"?00;?-00;?00;"" //"""),"'","""")&amp;SUBSTITUTE(TEXT(Overig!AN333,""",""???0;"",""??-0;"",""???0;"", ///"""),"'","""")&amp;SUBSTITUTE(TEXT(Overig!AO333,""",""?00;"",""?-00;"",""?00;"", //"""),"'","""")</f>
        <v>78989, 19131128, 0800, ////, 07, /////, 07, ////, 07, /////, 07, ////, 07, ////, 07, ////, 07, ////, 07, ///, 07, ///, 07, ////, 07, ////, 07, ///, 07, ////, 07, ////, 07, ///, 07, //, 07, ////////////, 07, ///, 07</v>
      </c>
    </row>
    <row r="334" spans="1:1" x14ac:dyDescent="0.25">
      <c r="A334" s="75" t="str">
        <f ca="1">TEXT(Overig!A334,"000\,")&amp;TEXT(Overig!B334,"?00000000")&amp;TEXT(Overig!C334,""", ""0000")&amp;SUBSTITUTE(TEXT(IF(ISTEXT(Overig!D334),Overig!D334,10*Overig!D334),""",""????0;"",""???-0;"",""????0;"", ////"""),"'","""")&amp;SUBSTITUTE(TEXT(Overig!E334,""",""?00;"",""?-00;"",""?00;"", //"""),"'","""")&amp;SUBSTITUTE(TEXT(IF(ISTEXT(Overig!F334),Overig!F334,100*Overig!F334),""",""?????0;"",""????-0;"",""?????0;"", /////"""),"'","""")&amp;SUBSTITUTE(TEXT(Overig!G334,""",""?00;"",""?-00;"",""?00;"", //"""),"'","""")&amp;SUBSTITUTE(TEXT(IF(ISTEXT(Overig!H334),Overig!H334,100*Overig!H334),""",""????0;"",""???-0;"",""????0;"", ////"""),"'","""")&amp;SUBSTITUTE(TEXT(Overig!I334,""",""?00;"",""?-00;"",""?00;"", //"""),"'","""")&amp;SUBSTITUTE(TEXT(IF(ISTEXT(Overig!J334),Overig!J334,100*Overig!J334),""",""?????0;"",""????-0;"",""?????0;"", /////"""),"'","""")&amp;SUBSTITUTE(TEXT(Overig!K334,""",""?00;"",""?-00;"",""?00;"", //"""),"'","""")&amp;SUBSTITUTE(TEXT(IF(ISTEXT(Overig!L334),Overig!L334,10*Overig!L334),""",""????0;"",""???-0;"",""????0;"", ////"""),"'","""")&amp;SUBSTITUTE(TEXT(Overig!M334,""",""?00;"",""?-00;"",""?00;"", //"""),"'","""")&amp;SUBSTITUTE(TEXT(IF(ISTEXT(Overig!N334),Overig!N334,10*Overig!N334),""",""????0;"",""???-0;"",""????0;"", ////"""),"'","""")&amp;SUBSTITUTE(TEXT(Overig!O334,""",""?00;"",""?-00;"",""?00;"", //"""),"'","""")&amp;SUBSTITUTE(TEXT(IF(ISTEXT(Overig!P334),Overig!P334,10*Overig!P334),""",""????0;"",""???-0;"",""????0;"", ////"""),"'","""")&amp;SUBSTITUTE(TEXT(Overig!Q334,""",""?00;"",""?-00;"",""?00;"", //"""),"'","""")&amp;SUBSTITUTE(TEXT(IF(ISTEXT(Overig!R334),Overig!R334,10*Overig!R334),""",""????0;"",""???-0;"",""????0;"", ////"""),"'","""")&amp;SUBSTITUTE(TEXT(Overig!S334,""",""?00;"",""?-00;"",""?00;"", //"""),"'","""")&amp;SUBSTITUTE(TEXT(Overig!T334,""",""???0;"",""??-0;"",""???0;"", ///"""),"'","""")&amp;SUBSTITUTE(TEXT(Overig!U334,""",""?00;"",""?-00;"",""?00;"", //"""),"'","""")&amp;SUBSTITUTE(TEXT(IF(ISTEXT(Overig!V334),Overig!V334,10*Overig!V334),""",""???0;"",""??-0;"",""???0;"", ///"""),"'","""")&amp;SUBSTITUTE(TEXT(Overig!W334,""",""?00;"",""?-00;"",""?00;"", //"""),"'","""")&amp;SUBSTITUTE(TEXT(IF(ISTEXT(Overig!X334),Overig!X334,10*Overig!X334),""",""????0;"",""???-0;"",""????0;"", ////"""),"'","""")&amp;SUBSTITUTE(TEXT(Overig!Y334,""",""?00;"",""?-00;"",""?00;"", //"""),"'","""")&amp;SUBSTITUTE(TEXT(IF(ISTEXT(Overig!Z334),Overig!Z334,10*Overig!Z334),""",""????0;"",""???-0;"",""????0;"", ////"""),"'","""")&amp;SUBSTITUTE(TEXT(Overig!AA334,""",""?00;"",""?-00;"",""?00;"", //"""),"'","""")&amp;SUBSTITUTE(TEXT(Overig!AB334,""",""???0;"",""??-0;"",""???0;"", ///"""),"'","""")&amp;SUBSTITUTE(TEXT(Overig!AC334,""",""?00;"",""?-00;"",""?00;"", //"""),"'","""")&amp;SUBSTITUTE(TEXT(IF(ISTEXT(Overig!AD334),Overig!AD334,10*Overig!AD334),""",""????0;"",""???-0;"",""????0;"", ////"""),"'","""")&amp;SUBSTITUTE(TEXT(Overig!AE334,""",""?00;"",""?-00;"",""?00;"", //"""),"'","""")&amp;SUBSTITUTE(TEXT(IF(ISTEXT(Overig!AF334),Overig!AF334,10*Overig!AF334),""",""????0;"",""???-0;"",""????0;"", ////"""),"'","""")&amp;SUBSTITUTE(TEXT(Overig!AG334,""",""?00;"",""?-00;"",""?00;"", //"""),"'","""")&amp;SUBSTITUTE(TEXT(Overig!AH334,""",""???0;"",""??-0;"",""???0;"", ///"""),"'","""")&amp;SUBSTITUTE(TEXT(Overig!AI334,""",""?00;"",""?-00;"",""?00;"", //"""),"'","""")&amp;SUBSTITUTE(TEXT(Overig!AJ334,""",""??0;"",""?-0;"",""??0;"", //"""),"'","""")&amp;SUBSTITUTE(TEXT(Overig!AK334,""",""?00;"",""?-00;"",""?00;"", //"""),"'","""")&amp;SUBSTITUTE(IF(EXACT(Overig!AL334,"—"),TEXT(Overig!AL334,""",""????0;"",""???-0;"",""????0;"", ////////////,"""),TEXT(Overig!AL334,"\, \'@""',""")&amp;REPT(" ",10-LEN(Overig!AL334))),"'","""")&amp;SUBSTITUTE(TEXT(Overig!AM334,"?00;?-00;?00;"" //"""),"'","""")&amp;SUBSTITUTE(TEXT(Overig!AN334,""",""???0;"",""??-0;"",""???0;"", ///"""),"'","""")&amp;SUBSTITUTE(TEXT(Overig!AO334,""",""?00;"",""?-00;"",""?00;"", //"""),"'","""")</f>
        <v>78989, 19131129, 0800, ////, 07, /////, 07, ////, 07, /////, 07, ////, 07, ////, 07, ////, 07, ////, 07, ///, 07, ///, 07, ////, 07, ////, 07, ///, 07, ////, 07, ////, 07, ///, 07, //, 07, ////////////, 07, ///, 07</v>
      </c>
    </row>
    <row r="335" spans="1:1" x14ac:dyDescent="0.25">
      <c r="A335" s="75" t="str">
        <f ca="1">TEXT(Overig!A335,"000\,")&amp;TEXT(Overig!B335,"?00000000")&amp;TEXT(Overig!C335,""", ""0000")&amp;SUBSTITUTE(TEXT(IF(ISTEXT(Overig!D335),Overig!D335,10*Overig!D335),""",""????0;"",""???-0;"",""????0;"", ////"""),"'","""")&amp;SUBSTITUTE(TEXT(Overig!E335,""",""?00;"",""?-00;"",""?00;"", //"""),"'","""")&amp;SUBSTITUTE(TEXT(IF(ISTEXT(Overig!F335),Overig!F335,100*Overig!F335),""",""?????0;"",""????-0;"",""?????0;"", /////"""),"'","""")&amp;SUBSTITUTE(TEXT(Overig!G335,""",""?00;"",""?-00;"",""?00;"", //"""),"'","""")&amp;SUBSTITUTE(TEXT(IF(ISTEXT(Overig!H335),Overig!H335,100*Overig!H335),""",""????0;"",""???-0;"",""????0;"", ////"""),"'","""")&amp;SUBSTITUTE(TEXT(Overig!I335,""",""?00;"",""?-00;"",""?00;"", //"""),"'","""")&amp;SUBSTITUTE(TEXT(IF(ISTEXT(Overig!J335),Overig!J335,100*Overig!J335),""",""?????0;"",""????-0;"",""?????0;"", /////"""),"'","""")&amp;SUBSTITUTE(TEXT(Overig!K335,""",""?00;"",""?-00;"",""?00;"", //"""),"'","""")&amp;SUBSTITUTE(TEXT(IF(ISTEXT(Overig!L335),Overig!L335,10*Overig!L335),""",""????0;"",""???-0;"",""????0;"", ////"""),"'","""")&amp;SUBSTITUTE(TEXT(Overig!M335,""",""?00;"",""?-00;"",""?00;"", //"""),"'","""")&amp;SUBSTITUTE(TEXT(IF(ISTEXT(Overig!N335),Overig!N335,10*Overig!N335),""",""????0;"",""???-0;"",""????0;"", ////"""),"'","""")&amp;SUBSTITUTE(TEXT(Overig!O335,""",""?00;"",""?-00;"",""?00;"", //"""),"'","""")&amp;SUBSTITUTE(TEXT(IF(ISTEXT(Overig!P335),Overig!P335,10*Overig!P335),""",""????0;"",""???-0;"",""????0;"", ////"""),"'","""")&amp;SUBSTITUTE(TEXT(Overig!Q335,""",""?00;"",""?-00;"",""?00;"", //"""),"'","""")&amp;SUBSTITUTE(TEXT(IF(ISTEXT(Overig!R335),Overig!R335,10*Overig!R335),""",""????0;"",""???-0;"",""????0;"", ////"""),"'","""")&amp;SUBSTITUTE(TEXT(Overig!S335,""",""?00;"",""?-00;"",""?00;"", //"""),"'","""")&amp;SUBSTITUTE(TEXT(Overig!T335,""",""???0;"",""??-0;"",""???0;"", ///"""),"'","""")&amp;SUBSTITUTE(TEXT(Overig!U335,""",""?00;"",""?-00;"",""?00;"", //"""),"'","""")&amp;SUBSTITUTE(TEXT(IF(ISTEXT(Overig!V335),Overig!V335,10*Overig!V335),""",""???0;"",""??-0;"",""???0;"", ///"""),"'","""")&amp;SUBSTITUTE(TEXT(Overig!W335,""",""?00;"",""?-00;"",""?00;"", //"""),"'","""")&amp;SUBSTITUTE(TEXT(IF(ISTEXT(Overig!X335),Overig!X335,10*Overig!X335),""",""????0;"",""???-0;"",""????0;"", ////"""),"'","""")&amp;SUBSTITUTE(TEXT(Overig!Y335,""",""?00;"",""?-00;"",""?00;"", //"""),"'","""")&amp;SUBSTITUTE(TEXT(IF(ISTEXT(Overig!Z335),Overig!Z335,10*Overig!Z335),""",""????0;"",""???-0;"",""????0;"", ////"""),"'","""")&amp;SUBSTITUTE(TEXT(Overig!AA335,""",""?00;"",""?-00;"",""?00;"", //"""),"'","""")&amp;SUBSTITUTE(TEXT(Overig!AB335,""",""???0;"",""??-0;"",""???0;"", ///"""),"'","""")&amp;SUBSTITUTE(TEXT(Overig!AC335,""",""?00;"",""?-00;"",""?00;"", //"""),"'","""")&amp;SUBSTITUTE(TEXT(IF(ISTEXT(Overig!AD335),Overig!AD335,10*Overig!AD335),""",""????0;"",""???-0;"",""????0;"", ////"""),"'","""")&amp;SUBSTITUTE(TEXT(Overig!AE335,""",""?00;"",""?-00;"",""?00;"", //"""),"'","""")&amp;SUBSTITUTE(TEXT(IF(ISTEXT(Overig!AF335),Overig!AF335,10*Overig!AF335),""",""????0;"",""???-0;"",""????0;"", ////"""),"'","""")&amp;SUBSTITUTE(TEXT(Overig!AG335,""",""?00;"",""?-00;"",""?00;"", //"""),"'","""")&amp;SUBSTITUTE(TEXT(Overig!AH335,""",""???0;"",""??-0;"",""???0;"", ///"""),"'","""")&amp;SUBSTITUTE(TEXT(Overig!AI335,""",""?00;"",""?-00;"",""?00;"", //"""),"'","""")&amp;SUBSTITUTE(TEXT(Overig!AJ335,""",""??0;"",""?-0;"",""??0;"", //"""),"'","""")&amp;SUBSTITUTE(TEXT(Overig!AK335,""",""?00;"",""?-00;"",""?00;"", //"""),"'","""")&amp;SUBSTITUTE(IF(EXACT(Overig!AL335,"—"),TEXT(Overig!AL335,""",""????0;"",""???-0;"",""????0;"", ////////////,"""),TEXT(Overig!AL335,"\, \'@""',""")&amp;REPT(" ",10-LEN(Overig!AL335))),"'","""")&amp;SUBSTITUTE(TEXT(Overig!AM335,"?00;?-00;?00;"" //"""),"'","""")&amp;SUBSTITUTE(TEXT(Overig!AN335,""",""???0;"",""??-0;"",""???0;"", ///"""),"'","""")&amp;SUBSTITUTE(TEXT(Overig!AO335,""",""?00;"",""?-00;"",""?00;"", //"""),"'","""")</f>
        <v>78989, 19131130, 0800, ////, 07, /////, 07, ////, 07, /////, 07, ////, 07, ////, 07, ////, 07, ////, 07, ///, 07, ///, 07, ////, 07, ////, 07, ///, 07, ////, 07, ////, 07, ///, 07, //, 07, ////////////, 07, ///, 07</v>
      </c>
    </row>
    <row r="336" spans="1:1" x14ac:dyDescent="0.25">
      <c r="A336" s="75" t="str">
        <f ca="1">TEXT(Overig!A336,"000\,")&amp;TEXT(Overig!B336,"?00000000")&amp;TEXT(Overig!C336,""", ""0000")&amp;SUBSTITUTE(TEXT(IF(ISTEXT(Overig!D336),Overig!D336,10*Overig!D336),""",""????0;"",""???-0;"",""????0;"", ////"""),"'","""")&amp;SUBSTITUTE(TEXT(Overig!E336,""",""?00;"",""?-00;"",""?00;"", //"""),"'","""")&amp;SUBSTITUTE(TEXT(IF(ISTEXT(Overig!F336),Overig!F336,100*Overig!F336),""",""?????0;"",""????-0;"",""?????0;"", /////"""),"'","""")&amp;SUBSTITUTE(TEXT(Overig!G336,""",""?00;"",""?-00;"",""?00;"", //"""),"'","""")&amp;SUBSTITUTE(TEXT(IF(ISTEXT(Overig!H336),Overig!H336,100*Overig!H336),""",""????0;"",""???-0;"",""????0;"", ////"""),"'","""")&amp;SUBSTITUTE(TEXT(Overig!I336,""",""?00;"",""?-00;"",""?00;"", //"""),"'","""")&amp;SUBSTITUTE(TEXT(IF(ISTEXT(Overig!J336),Overig!J336,100*Overig!J336),""",""?????0;"",""????-0;"",""?????0;"", /////"""),"'","""")&amp;SUBSTITUTE(TEXT(Overig!K336,""",""?00;"",""?-00;"",""?00;"", //"""),"'","""")&amp;SUBSTITUTE(TEXT(IF(ISTEXT(Overig!L336),Overig!L336,10*Overig!L336),""",""????0;"",""???-0;"",""????0;"", ////"""),"'","""")&amp;SUBSTITUTE(TEXT(Overig!M336,""",""?00;"",""?-00;"",""?00;"", //"""),"'","""")&amp;SUBSTITUTE(TEXT(IF(ISTEXT(Overig!N336),Overig!N336,10*Overig!N336),""",""????0;"",""???-0;"",""????0;"", ////"""),"'","""")&amp;SUBSTITUTE(TEXT(Overig!O336,""",""?00;"",""?-00;"",""?00;"", //"""),"'","""")&amp;SUBSTITUTE(TEXT(IF(ISTEXT(Overig!P336),Overig!P336,10*Overig!P336),""",""????0;"",""???-0;"",""????0;"", ////"""),"'","""")&amp;SUBSTITUTE(TEXT(Overig!Q336,""",""?00;"",""?-00;"",""?00;"", //"""),"'","""")&amp;SUBSTITUTE(TEXT(IF(ISTEXT(Overig!R336),Overig!R336,10*Overig!R336),""",""????0;"",""???-0;"",""????0;"", ////"""),"'","""")&amp;SUBSTITUTE(TEXT(Overig!S336,""",""?00;"",""?-00;"",""?00;"", //"""),"'","""")&amp;SUBSTITUTE(TEXT(Overig!T336,""",""???0;"",""??-0;"",""???0;"", ///"""),"'","""")&amp;SUBSTITUTE(TEXT(Overig!U336,""",""?00;"",""?-00;"",""?00;"", //"""),"'","""")&amp;SUBSTITUTE(TEXT(IF(ISTEXT(Overig!V336),Overig!V336,10*Overig!V336),""",""???0;"",""??-0;"",""???0;"", ///"""),"'","""")&amp;SUBSTITUTE(TEXT(Overig!W336,""",""?00;"",""?-00;"",""?00;"", //"""),"'","""")&amp;SUBSTITUTE(TEXT(IF(ISTEXT(Overig!X336),Overig!X336,10*Overig!X336),""",""????0;"",""???-0;"",""????0;"", ////"""),"'","""")&amp;SUBSTITUTE(TEXT(Overig!Y336,""",""?00;"",""?-00;"",""?00;"", //"""),"'","""")&amp;SUBSTITUTE(TEXT(IF(ISTEXT(Overig!Z336),Overig!Z336,10*Overig!Z336),""",""????0;"",""???-0;"",""????0;"", ////"""),"'","""")&amp;SUBSTITUTE(TEXT(Overig!AA336,""",""?00;"",""?-00;"",""?00;"", //"""),"'","""")&amp;SUBSTITUTE(TEXT(Overig!AB336,""",""???0;"",""??-0;"",""???0;"", ///"""),"'","""")&amp;SUBSTITUTE(TEXT(Overig!AC336,""",""?00;"",""?-00;"",""?00;"", //"""),"'","""")&amp;SUBSTITUTE(TEXT(IF(ISTEXT(Overig!AD336),Overig!AD336,10*Overig!AD336),""",""????0;"",""???-0;"",""????0;"", ////"""),"'","""")&amp;SUBSTITUTE(TEXT(Overig!AE336,""",""?00;"",""?-00;"",""?00;"", //"""),"'","""")&amp;SUBSTITUTE(TEXT(IF(ISTEXT(Overig!AF336),Overig!AF336,10*Overig!AF336),""",""????0;"",""???-0;"",""????0;"", ////"""),"'","""")&amp;SUBSTITUTE(TEXT(Overig!AG336,""",""?00;"",""?-00;"",""?00;"", //"""),"'","""")&amp;SUBSTITUTE(TEXT(Overig!AH336,""",""???0;"",""??-0;"",""???0;"", ///"""),"'","""")&amp;SUBSTITUTE(TEXT(Overig!AI336,""",""?00;"",""?-00;"",""?00;"", //"""),"'","""")&amp;SUBSTITUTE(TEXT(Overig!AJ336,""",""??0;"",""?-0;"",""??0;"", //"""),"'","""")&amp;SUBSTITUTE(TEXT(Overig!AK336,""",""?00;"",""?-00;"",""?00;"", //"""),"'","""")&amp;SUBSTITUTE(IF(EXACT(Overig!AL336,"—"),TEXT(Overig!AL336,""",""????0;"",""???-0;"",""????0;"", ////////////,"""),TEXT(Overig!AL336,"\, \'@""',""")&amp;REPT(" ",10-LEN(Overig!AL336))),"'","""")&amp;SUBSTITUTE(TEXT(Overig!AM336,"?00;?-00;?00;"" //"""),"'","""")&amp;SUBSTITUTE(TEXT(Overig!AN336,""",""???0;"",""??-0;"",""???0;"", ///"""),"'","""")&amp;SUBSTITUTE(TEXT(Overig!AO336,""",""?00;"",""?-00;"",""?00;"", //"""),"'","""")</f>
        <v>78989, 19131201, 0800, ////, 07, /////, 07, ////, 07, /////, 07, ////, 07, ////, 07, ////, 07, ////, 07, ///, 07, ///, 07, ////, 07, ////, 07, ///, 07, ////, 07, ////, 07, ///, 07, //, 07, ////////////, 07, ///, 07</v>
      </c>
    </row>
    <row r="337" spans="1:1" x14ac:dyDescent="0.25">
      <c r="A337" s="75" t="str">
        <f ca="1">TEXT(Overig!A337,"000\,")&amp;TEXT(Overig!B337,"?00000000")&amp;TEXT(Overig!C337,""", ""0000")&amp;SUBSTITUTE(TEXT(IF(ISTEXT(Overig!D337),Overig!D337,10*Overig!D337),""",""????0;"",""???-0;"",""????0;"", ////"""),"'","""")&amp;SUBSTITUTE(TEXT(Overig!E337,""",""?00;"",""?-00;"",""?00;"", //"""),"'","""")&amp;SUBSTITUTE(TEXT(IF(ISTEXT(Overig!F337),Overig!F337,100*Overig!F337),""",""?????0;"",""????-0;"",""?????0;"", /////"""),"'","""")&amp;SUBSTITUTE(TEXT(Overig!G337,""",""?00;"",""?-00;"",""?00;"", //"""),"'","""")&amp;SUBSTITUTE(TEXT(IF(ISTEXT(Overig!H337),Overig!H337,100*Overig!H337),""",""????0;"",""???-0;"",""????0;"", ////"""),"'","""")&amp;SUBSTITUTE(TEXT(Overig!I337,""",""?00;"",""?-00;"",""?00;"", //"""),"'","""")&amp;SUBSTITUTE(TEXT(IF(ISTEXT(Overig!J337),Overig!J337,100*Overig!J337),""",""?????0;"",""????-0;"",""?????0;"", /////"""),"'","""")&amp;SUBSTITUTE(TEXT(Overig!K337,""",""?00;"",""?-00;"",""?00;"", //"""),"'","""")&amp;SUBSTITUTE(TEXT(IF(ISTEXT(Overig!L337),Overig!L337,10*Overig!L337),""",""????0;"",""???-0;"",""????0;"", ////"""),"'","""")&amp;SUBSTITUTE(TEXT(Overig!M337,""",""?00;"",""?-00;"",""?00;"", //"""),"'","""")&amp;SUBSTITUTE(TEXT(IF(ISTEXT(Overig!N337),Overig!N337,10*Overig!N337),""",""????0;"",""???-0;"",""????0;"", ////"""),"'","""")&amp;SUBSTITUTE(TEXT(Overig!O337,""",""?00;"",""?-00;"",""?00;"", //"""),"'","""")&amp;SUBSTITUTE(TEXT(IF(ISTEXT(Overig!P337),Overig!P337,10*Overig!P337),""",""????0;"",""???-0;"",""????0;"", ////"""),"'","""")&amp;SUBSTITUTE(TEXT(Overig!Q337,""",""?00;"",""?-00;"",""?00;"", //"""),"'","""")&amp;SUBSTITUTE(TEXT(IF(ISTEXT(Overig!R337),Overig!R337,10*Overig!R337),""",""????0;"",""???-0;"",""????0;"", ////"""),"'","""")&amp;SUBSTITUTE(TEXT(Overig!S337,""",""?00;"",""?-00;"",""?00;"", //"""),"'","""")&amp;SUBSTITUTE(TEXT(Overig!T337,""",""???0;"",""??-0;"",""???0;"", ///"""),"'","""")&amp;SUBSTITUTE(TEXT(Overig!U337,""",""?00;"",""?-00;"",""?00;"", //"""),"'","""")&amp;SUBSTITUTE(TEXT(IF(ISTEXT(Overig!V337),Overig!V337,10*Overig!V337),""",""???0;"",""??-0;"",""???0;"", ///"""),"'","""")&amp;SUBSTITUTE(TEXT(Overig!W337,""",""?00;"",""?-00;"",""?00;"", //"""),"'","""")&amp;SUBSTITUTE(TEXT(IF(ISTEXT(Overig!X337),Overig!X337,10*Overig!X337),""",""????0;"",""???-0;"",""????0;"", ////"""),"'","""")&amp;SUBSTITUTE(TEXT(Overig!Y337,""",""?00;"",""?-00;"",""?00;"", //"""),"'","""")&amp;SUBSTITUTE(TEXT(IF(ISTEXT(Overig!Z337),Overig!Z337,10*Overig!Z337),""",""????0;"",""???-0;"",""????0;"", ////"""),"'","""")&amp;SUBSTITUTE(TEXT(Overig!AA337,""",""?00;"",""?-00;"",""?00;"", //"""),"'","""")&amp;SUBSTITUTE(TEXT(Overig!AB337,""",""???0;"",""??-0;"",""???0;"", ///"""),"'","""")&amp;SUBSTITUTE(TEXT(Overig!AC337,""",""?00;"",""?-00;"",""?00;"", //"""),"'","""")&amp;SUBSTITUTE(TEXT(IF(ISTEXT(Overig!AD337),Overig!AD337,10*Overig!AD337),""",""????0;"",""???-0;"",""????0;"", ////"""),"'","""")&amp;SUBSTITUTE(TEXT(Overig!AE337,""",""?00;"",""?-00;"",""?00;"", //"""),"'","""")&amp;SUBSTITUTE(TEXT(IF(ISTEXT(Overig!AF337),Overig!AF337,10*Overig!AF337),""",""????0;"",""???-0;"",""????0;"", ////"""),"'","""")&amp;SUBSTITUTE(TEXT(Overig!AG337,""",""?00;"",""?-00;"",""?00;"", //"""),"'","""")&amp;SUBSTITUTE(TEXT(Overig!AH337,""",""???0;"",""??-0;"",""???0;"", ///"""),"'","""")&amp;SUBSTITUTE(TEXT(Overig!AI337,""",""?00;"",""?-00;"",""?00;"", //"""),"'","""")&amp;SUBSTITUTE(TEXT(Overig!AJ337,""",""??0;"",""?-0;"",""??0;"", //"""),"'","""")&amp;SUBSTITUTE(TEXT(Overig!AK337,""",""?00;"",""?-00;"",""?00;"", //"""),"'","""")&amp;SUBSTITUTE(IF(EXACT(Overig!AL337,"—"),TEXT(Overig!AL337,""",""????0;"",""???-0;"",""????0;"", ////////////,"""),TEXT(Overig!AL337,"\, \'@""',""")&amp;REPT(" ",10-LEN(Overig!AL337))),"'","""")&amp;SUBSTITUTE(TEXT(Overig!AM337,"?00;?-00;?00;"" //"""),"'","""")&amp;SUBSTITUTE(TEXT(Overig!AN337,""",""???0;"",""??-0;"",""???0;"", ///"""),"'","""")&amp;SUBSTITUTE(TEXT(Overig!AO337,""",""?00;"",""?-00;"",""?00;"", //"""),"'","""")</f>
        <v>78989, 19131202, 0800, ////, 07, /////, 07, ////, 07, /////, 07, ////, 07, ////, 07, ////, 07, ////, 07, ///, 07, ///, 07, ////, 07, ////, 07, ///, 07, ////, 07, ////, 07, ///, 07, //, 07, ////////////, 07, ///, 07</v>
      </c>
    </row>
    <row r="338" spans="1:1" x14ac:dyDescent="0.25">
      <c r="A338" s="75" t="str">
        <f ca="1">TEXT(Overig!A338,"000\,")&amp;TEXT(Overig!B338,"?00000000")&amp;TEXT(Overig!C338,""", ""0000")&amp;SUBSTITUTE(TEXT(IF(ISTEXT(Overig!D338),Overig!D338,10*Overig!D338),""",""????0;"",""???-0;"",""????0;"", ////"""),"'","""")&amp;SUBSTITUTE(TEXT(Overig!E338,""",""?00;"",""?-00;"",""?00;"", //"""),"'","""")&amp;SUBSTITUTE(TEXT(IF(ISTEXT(Overig!F338),Overig!F338,100*Overig!F338),""",""?????0;"",""????-0;"",""?????0;"", /////"""),"'","""")&amp;SUBSTITUTE(TEXT(Overig!G338,""",""?00;"",""?-00;"",""?00;"", //"""),"'","""")&amp;SUBSTITUTE(TEXT(IF(ISTEXT(Overig!H338),Overig!H338,100*Overig!H338),""",""????0;"",""???-0;"",""????0;"", ////"""),"'","""")&amp;SUBSTITUTE(TEXT(Overig!I338,""",""?00;"",""?-00;"",""?00;"", //"""),"'","""")&amp;SUBSTITUTE(TEXT(IF(ISTEXT(Overig!J338),Overig!J338,100*Overig!J338),""",""?????0;"",""????-0;"",""?????0;"", /////"""),"'","""")&amp;SUBSTITUTE(TEXT(Overig!K338,""",""?00;"",""?-00;"",""?00;"", //"""),"'","""")&amp;SUBSTITUTE(TEXT(IF(ISTEXT(Overig!L338),Overig!L338,10*Overig!L338),""",""????0;"",""???-0;"",""????0;"", ////"""),"'","""")&amp;SUBSTITUTE(TEXT(Overig!M338,""",""?00;"",""?-00;"",""?00;"", //"""),"'","""")&amp;SUBSTITUTE(TEXT(IF(ISTEXT(Overig!N338),Overig!N338,10*Overig!N338),""",""????0;"",""???-0;"",""????0;"", ////"""),"'","""")&amp;SUBSTITUTE(TEXT(Overig!O338,""",""?00;"",""?-00;"",""?00;"", //"""),"'","""")&amp;SUBSTITUTE(TEXT(IF(ISTEXT(Overig!P338),Overig!P338,10*Overig!P338),""",""????0;"",""???-0;"",""????0;"", ////"""),"'","""")&amp;SUBSTITUTE(TEXT(Overig!Q338,""",""?00;"",""?-00;"",""?00;"", //"""),"'","""")&amp;SUBSTITUTE(TEXT(IF(ISTEXT(Overig!R338),Overig!R338,10*Overig!R338),""",""????0;"",""???-0;"",""????0;"", ////"""),"'","""")&amp;SUBSTITUTE(TEXT(Overig!S338,""",""?00;"",""?-00;"",""?00;"", //"""),"'","""")&amp;SUBSTITUTE(TEXT(Overig!T338,""",""???0;"",""??-0;"",""???0;"", ///"""),"'","""")&amp;SUBSTITUTE(TEXT(Overig!U338,""",""?00;"",""?-00;"",""?00;"", //"""),"'","""")&amp;SUBSTITUTE(TEXT(IF(ISTEXT(Overig!V338),Overig!V338,10*Overig!V338),""",""???0;"",""??-0;"",""???0;"", ///"""),"'","""")&amp;SUBSTITUTE(TEXT(Overig!W338,""",""?00;"",""?-00;"",""?00;"", //"""),"'","""")&amp;SUBSTITUTE(TEXT(IF(ISTEXT(Overig!X338),Overig!X338,10*Overig!X338),""",""????0;"",""???-0;"",""????0;"", ////"""),"'","""")&amp;SUBSTITUTE(TEXT(Overig!Y338,""",""?00;"",""?-00;"",""?00;"", //"""),"'","""")&amp;SUBSTITUTE(TEXT(IF(ISTEXT(Overig!Z338),Overig!Z338,10*Overig!Z338),""",""????0;"",""???-0;"",""????0;"", ////"""),"'","""")&amp;SUBSTITUTE(TEXT(Overig!AA338,""",""?00;"",""?-00;"",""?00;"", //"""),"'","""")&amp;SUBSTITUTE(TEXT(Overig!AB338,""",""???0;"",""??-0;"",""???0;"", ///"""),"'","""")&amp;SUBSTITUTE(TEXT(Overig!AC338,""",""?00;"",""?-00;"",""?00;"", //"""),"'","""")&amp;SUBSTITUTE(TEXT(IF(ISTEXT(Overig!AD338),Overig!AD338,10*Overig!AD338),""",""????0;"",""???-0;"",""????0;"", ////"""),"'","""")&amp;SUBSTITUTE(TEXT(Overig!AE338,""",""?00;"",""?-00;"",""?00;"", //"""),"'","""")&amp;SUBSTITUTE(TEXT(IF(ISTEXT(Overig!AF338),Overig!AF338,10*Overig!AF338),""",""????0;"",""???-0;"",""????0;"", ////"""),"'","""")&amp;SUBSTITUTE(TEXT(Overig!AG338,""",""?00;"",""?-00;"",""?00;"", //"""),"'","""")&amp;SUBSTITUTE(TEXT(Overig!AH338,""",""???0;"",""??-0;"",""???0;"", ///"""),"'","""")&amp;SUBSTITUTE(TEXT(Overig!AI338,""",""?00;"",""?-00;"",""?00;"", //"""),"'","""")&amp;SUBSTITUTE(TEXT(Overig!AJ338,""",""??0;"",""?-0;"",""??0;"", //"""),"'","""")&amp;SUBSTITUTE(TEXT(Overig!AK338,""",""?00;"",""?-00;"",""?00;"", //"""),"'","""")&amp;SUBSTITUTE(IF(EXACT(Overig!AL338,"—"),TEXT(Overig!AL338,""",""????0;"",""???-0;"",""????0;"", ////////////,"""),TEXT(Overig!AL338,"\, \'@""',""")&amp;REPT(" ",10-LEN(Overig!AL338))),"'","""")&amp;SUBSTITUTE(TEXT(Overig!AM338,"?00;?-00;?00;"" //"""),"'","""")&amp;SUBSTITUTE(TEXT(Overig!AN338,""",""???0;"",""??-0;"",""???0;"", ///"""),"'","""")&amp;SUBSTITUTE(TEXT(Overig!AO338,""",""?00;"",""?-00;"",""?00;"", //"""),"'","""")</f>
        <v>78989, 19131203, 0800, ////, 07, /////, 07, ////, 07, /////, 07, ////, 07, ////, 07, ////, 07, ////, 07, ///, 07, ///, 07, ////, 07, ////, 07, ///, 07, ////, 07, ////, 07, ///, 07, //, 07, ////////////, 07, ///, 07</v>
      </c>
    </row>
    <row r="339" spans="1:1" x14ac:dyDescent="0.25">
      <c r="A339" s="75" t="str">
        <f ca="1">TEXT(Overig!A339,"000\,")&amp;TEXT(Overig!B339,"?00000000")&amp;TEXT(Overig!C339,""", ""0000")&amp;SUBSTITUTE(TEXT(IF(ISTEXT(Overig!D339),Overig!D339,10*Overig!D339),""",""????0;"",""???-0;"",""????0;"", ////"""),"'","""")&amp;SUBSTITUTE(TEXT(Overig!E339,""",""?00;"",""?-00;"",""?00;"", //"""),"'","""")&amp;SUBSTITUTE(TEXT(IF(ISTEXT(Overig!F339),Overig!F339,100*Overig!F339),""",""?????0;"",""????-0;"",""?????0;"", /////"""),"'","""")&amp;SUBSTITUTE(TEXT(Overig!G339,""",""?00;"",""?-00;"",""?00;"", //"""),"'","""")&amp;SUBSTITUTE(TEXT(IF(ISTEXT(Overig!H339),Overig!H339,100*Overig!H339),""",""????0;"",""???-0;"",""????0;"", ////"""),"'","""")&amp;SUBSTITUTE(TEXT(Overig!I339,""",""?00;"",""?-00;"",""?00;"", //"""),"'","""")&amp;SUBSTITUTE(TEXT(IF(ISTEXT(Overig!J339),Overig!J339,100*Overig!J339),""",""?????0;"",""????-0;"",""?????0;"", /////"""),"'","""")&amp;SUBSTITUTE(TEXT(Overig!K339,""",""?00;"",""?-00;"",""?00;"", //"""),"'","""")&amp;SUBSTITUTE(TEXT(IF(ISTEXT(Overig!L339),Overig!L339,10*Overig!L339),""",""????0;"",""???-0;"",""????0;"", ////"""),"'","""")&amp;SUBSTITUTE(TEXT(Overig!M339,""",""?00;"",""?-00;"",""?00;"", //"""),"'","""")&amp;SUBSTITUTE(TEXT(IF(ISTEXT(Overig!N339),Overig!N339,10*Overig!N339),""",""????0;"",""???-0;"",""????0;"", ////"""),"'","""")&amp;SUBSTITUTE(TEXT(Overig!O339,""",""?00;"",""?-00;"",""?00;"", //"""),"'","""")&amp;SUBSTITUTE(TEXT(IF(ISTEXT(Overig!P339),Overig!P339,10*Overig!P339),""",""????0;"",""???-0;"",""????0;"", ////"""),"'","""")&amp;SUBSTITUTE(TEXT(Overig!Q339,""",""?00;"",""?-00;"",""?00;"", //"""),"'","""")&amp;SUBSTITUTE(TEXT(IF(ISTEXT(Overig!R339),Overig!R339,10*Overig!R339),""",""????0;"",""???-0;"",""????0;"", ////"""),"'","""")&amp;SUBSTITUTE(TEXT(Overig!S339,""",""?00;"",""?-00;"",""?00;"", //"""),"'","""")&amp;SUBSTITUTE(TEXT(Overig!T339,""",""???0;"",""??-0;"",""???0;"", ///"""),"'","""")&amp;SUBSTITUTE(TEXT(Overig!U339,""",""?00;"",""?-00;"",""?00;"", //"""),"'","""")&amp;SUBSTITUTE(TEXT(IF(ISTEXT(Overig!V339),Overig!V339,10*Overig!V339),""",""???0;"",""??-0;"",""???0;"", ///"""),"'","""")&amp;SUBSTITUTE(TEXT(Overig!W339,""",""?00;"",""?-00;"",""?00;"", //"""),"'","""")&amp;SUBSTITUTE(TEXT(IF(ISTEXT(Overig!X339),Overig!X339,10*Overig!X339),""",""????0;"",""???-0;"",""????0;"", ////"""),"'","""")&amp;SUBSTITUTE(TEXT(Overig!Y339,""",""?00;"",""?-00;"",""?00;"", //"""),"'","""")&amp;SUBSTITUTE(TEXT(IF(ISTEXT(Overig!Z339),Overig!Z339,10*Overig!Z339),""",""????0;"",""???-0;"",""????0;"", ////"""),"'","""")&amp;SUBSTITUTE(TEXT(Overig!AA339,""",""?00;"",""?-00;"",""?00;"", //"""),"'","""")&amp;SUBSTITUTE(TEXT(Overig!AB339,""",""???0;"",""??-0;"",""???0;"", ///"""),"'","""")&amp;SUBSTITUTE(TEXT(Overig!AC339,""",""?00;"",""?-00;"",""?00;"", //"""),"'","""")&amp;SUBSTITUTE(TEXT(IF(ISTEXT(Overig!AD339),Overig!AD339,10*Overig!AD339),""",""????0;"",""???-0;"",""????0;"", ////"""),"'","""")&amp;SUBSTITUTE(TEXT(Overig!AE339,""",""?00;"",""?-00;"",""?00;"", //"""),"'","""")&amp;SUBSTITUTE(TEXT(IF(ISTEXT(Overig!AF339),Overig!AF339,10*Overig!AF339),""",""????0;"",""???-0;"",""????0;"", ////"""),"'","""")&amp;SUBSTITUTE(TEXT(Overig!AG339,""",""?00;"",""?-00;"",""?00;"", //"""),"'","""")&amp;SUBSTITUTE(TEXT(Overig!AH339,""",""???0;"",""??-0;"",""???0;"", ///"""),"'","""")&amp;SUBSTITUTE(TEXT(Overig!AI339,""",""?00;"",""?-00;"",""?00;"", //"""),"'","""")&amp;SUBSTITUTE(TEXT(Overig!AJ339,""",""??0;"",""?-0;"",""??0;"", //"""),"'","""")&amp;SUBSTITUTE(TEXT(Overig!AK339,""",""?00;"",""?-00;"",""?00;"", //"""),"'","""")&amp;SUBSTITUTE(IF(EXACT(Overig!AL339,"—"),TEXT(Overig!AL339,""",""????0;"",""???-0;"",""????0;"", ////////////,"""),TEXT(Overig!AL339,"\, \'@""',""")&amp;REPT(" ",10-LEN(Overig!AL339))),"'","""")&amp;SUBSTITUTE(TEXT(Overig!AM339,"?00;?-00;?00;"" //"""),"'","""")&amp;SUBSTITUTE(TEXT(Overig!AN339,""",""???0;"",""??-0;"",""???0;"", ///"""),"'","""")&amp;SUBSTITUTE(TEXT(Overig!AO339,""",""?00;"",""?-00;"",""?00;"", //"""),"'","""")</f>
        <v>78989, 19131204, 0800, ////, 07, /////, 07, ////, 07, /////, 07, ////, 07, ////, 07, ////, 07, ////, 07, ///, 07, ///, 07, ////, 07, ////, 07, ///, 07, ////, 07, ////, 07, ///, 07, //, 07, ////////////, 07, ///, 07</v>
      </c>
    </row>
    <row r="340" spans="1:1" x14ac:dyDescent="0.25">
      <c r="A340" s="75" t="str">
        <f ca="1">TEXT(Overig!A340,"000\,")&amp;TEXT(Overig!B340,"?00000000")&amp;TEXT(Overig!C340,""", ""0000")&amp;SUBSTITUTE(TEXT(IF(ISTEXT(Overig!D340),Overig!D340,10*Overig!D340),""",""????0;"",""???-0;"",""????0;"", ////"""),"'","""")&amp;SUBSTITUTE(TEXT(Overig!E340,""",""?00;"",""?-00;"",""?00;"", //"""),"'","""")&amp;SUBSTITUTE(TEXT(IF(ISTEXT(Overig!F340),Overig!F340,100*Overig!F340),""",""?????0;"",""????-0;"",""?????0;"", /////"""),"'","""")&amp;SUBSTITUTE(TEXT(Overig!G340,""",""?00;"",""?-00;"",""?00;"", //"""),"'","""")&amp;SUBSTITUTE(TEXT(IF(ISTEXT(Overig!H340),Overig!H340,100*Overig!H340),""",""????0;"",""???-0;"",""????0;"", ////"""),"'","""")&amp;SUBSTITUTE(TEXT(Overig!I340,""",""?00;"",""?-00;"",""?00;"", //"""),"'","""")&amp;SUBSTITUTE(TEXT(IF(ISTEXT(Overig!J340),Overig!J340,100*Overig!J340),""",""?????0;"",""????-0;"",""?????0;"", /////"""),"'","""")&amp;SUBSTITUTE(TEXT(Overig!K340,""",""?00;"",""?-00;"",""?00;"", //"""),"'","""")&amp;SUBSTITUTE(TEXT(IF(ISTEXT(Overig!L340),Overig!L340,10*Overig!L340),""",""????0;"",""???-0;"",""????0;"", ////"""),"'","""")&amp;SUBSTITUTE(TEXT(Overig!M340,""",""?00;"",""?-00;"",""?00;"", //"""),"'","""")&amp;SUBSTITUTE(TEXT(IF(ISTEXT(Overig!N340),Overig!N340,10*Overig!N340),""",""????0;"",""???-0;"",""????0;"", ////"""),"'","""")&amp;SUBSTITUTE(TEXT(Overig!O340,""",""?00;"",""?-00;"",""?00;"", //"""),"'","""")&amp;SUBSTITUTE(TEXT(IF(ISTEXT(Overig!P340),Overig!P340,10*Overig!P340),""",""????0;"",""???-0;"",""????0;"", ////"""),"'","""")&amp;SUBSTITUTE(TEXT(Overig!Q340,""",""?00;"",""?-00;"",""?00;"", //"""),"'","""")&amp;SUBSTITUTE(TEXT(IF(ISTEXT(Overig!R340),Overig!R340,10*Overig!R340),""",""????0;"",""???-0;"",""????0;"", ////"""),"'","""")&amp;SUBSTITUTE(TEXT(Overig!S340,""",""?00;"",""?-00;"",""?00;"", //"""),"'","""")&amp;SUBSTITUTE(TEXT(Overig!T340,""",""???0;"",""??-0;"",""???0;"", ///"""),"'","""")&amp;SUBSTITUTE(TEXT(Overig!U340,""",""?00;"",""?-00;"",""?00;"", //"""),"'","""")&amp;SUBSTITUTE(TEXT(IF(ISTEXT(Overig!V340),Overig!V340,10*Overig!V340),""",""???0;"",""??-0;"",""???0;"", ///"""),"'","""")&amp;SUBSTITUTE(TEXT(Overig!W340,""",""?00;"",""?-00;"",""?00;"", //"""),"'","""")&amp;SUBSTITUTE(TEXT(IF(ISTEXT(Overig!X340),Overig!X340,10*Overig!X340),""",""????0;"",""???-0;"",""????0;"", ////"""),"'","""")&amp;SUBSTITUTE(TEXT(Overig!Y340,""",""?00;"",""?-00;"",""?00;"", //"""),"'","""")&amp;SUBSTITUTE(TEXT(IF(ISTEXT(Overig!Z340),Overig!Z340,10*Overig!Z340),""",""????0;"",""???-0;"",""????0;"", ////"""),"'","""")&amp;SUBSTITUTE(TEXT(Overig!AA340,""",""?00;"",""?-00;"",""?00;"", //"""),"'","""")&amp;SUBSTITUTE(TEXT(Overig!AB340,""",""???0;"",""??-0;"",""???0;"", ///"""),"'","""")&amp;SUBSTITUTE(TEXT(Overig!AC340,""",""?00;"",""?-00;"",""?00;"", //"""),"'","""")&amp;SUBSTITUTE(TEXT(IF(ISTEXT(Overig!AD340),Overig!AD340,10*Overig!AD340),""",""????0;"",""???-0;"",""????0;"", ////"""),"'","""")&amp;SUBSTITUTE(TEXT(Overig!AE340,""",""?00;"",""?-00;"",""?00;"", //"""),"'","""")&amp;SUBSTITUTE(TEXT(IF(ISTEXT(Overig!AF340),Overig!AF340,10*Overig!AF340),""",""????0;"",""???-0;"",""????0;"", ////"""),"'","""")&amp;SUBSTITUTE(TEXT(Overig!AG340,""",""?00;"",""?-00;"",""?00;"", //"""),"'","""")&amp;SUBSTITUTE(TEXT(Overig!AH340,""",""???0;"",""??-0;"",""???0;"", ///"""),"'","""")&amp;SUBSTITUTE(TEXT(Overig!AI340,""",""?00;"",""?-00;"",""?00;"", //"""),"'","""")&amp;SUBSTITUTE(TEXT(Overig!AJ340,""",""??0;"",""?-0;"",""??0;"", //"""),"'","""")&amp;SUBSTITUTE(TEXT(Overig!AK340,""",""?00;"",""?-00;"",""?00;"", //"""),"'","""")&amp;SUBSTITUTE(IF(EXACT(Overig!AL340,"—"),TEXT(Overig!AL340,""",""????0;"",""???-0;"",""????0;"", ////////////,"""),TEXT(Overig!AL340,"\, \'@""',""")&amp;REPT(" ",10-LEN(Overig!AL340))),"'","""")&amp;SUBSTITUTE(TEXT(Overig!AM340,"?00;?-00;?00;"" //"""),"'","""")&amp;SUBSTITUTE(TEXT(Overig!AN340,""",""???0;"",""??-0;"",""???0;"", ///"""),"'","""")&amp;SUBSTITUTE(TEXT(Overig!AO340,""",""?00;"",""?-00;"",""?00;"", //"""),"'","""")</f>
        <v>78989, 19131205, 0800, ////, 07, /////, 07, ////, 07, /////, 07, ////, 07, ////, 07, ////, 07, ////, 07, ///, 07, ///, 07, ////, 07, ////, 07, ///, 07, ////, 07, ////, 07, ///, 07, //, 07, ////////////, 07, ///, 07</v>
      </c>
    </row>
    <row r="341" spans="1:1" x14ac:dyDescent="0.25">
      <c r="A341" s="75" t="str">
        <f ca="1">TEXT(Overig!A341,"000\,")&amp;TEXT(Overig!B341,"?00000000")&amp;TEXT(Overig!C341,""", ""0000")&amp;SUBSTITUTE(TEXT(IF(ISTEXT(Overig!D341),Overig!D341,10*Overig!D341),""",""????0;"",""???-0;"",""????0;"", ////"""),"'","""")&amp;SUBSTITUTE(TEXT(Overig!E341,""",""?00;"",""?-00;"",""?00;"", //"""),"'","""")&amp;SUBSTITUTE(TEXT(IF(ISTEXT(Overig!F341),Overig!F341,100*Overig!F341),""",""?????0;"",""????-0;"",""?????0;"", /////"""),"'","""")&amp;SUBSTITUTE(TEXT(Overig!G341,""",""?00;"",""?-00;"",""?00;"", //"""),"'","""")&amp;SUBSTITUTE(TEXT(IF(ISTEXT(Overig!H341),Overig!H341,100*Overig!H341),""",""????0;"",""???-0;"",""????0;"", ////"""),"'","""")&amp;SUBSTITUTE(TEXT(Overig!I341,""",""?00;"",""?-00;"",""?00;"", //"""),"'","""")&amp;SUBSTITUTE(TEXT(IF(ISTEXT(Overig!J341),Overig!J341,100*Overig!J341),""",""?????0;"",""????-0;"",""?????0;"", /////"""),"'","""")&amp;SUBSTITUTE(TEXT(Overig!K341,""",""?00;"",""?-00;"",""?00;"", //"""),"'","""")&amp;SUBSTITUTE(TEXT(IF(ISTEXT(Overig!L341),Overig!L341,10*Overig!L341),""",""????0;"",""???-0;"",""????0;"", ////"""),"'","""")&amp;SUBSTITUTE(TEXT(Overig!M341,""",""?00;"",""?-00;"",""?00;"", //"""),"'","""")&amp;SUBSTITUTE(TEXT(IF(ISTEXT(Overig!N341),Overig!N341,10*Overig!N341),""",""????0;"",""???-0;"",""????0;"", ////"""),"'","""")&amp;SUBSTITUTE(TEXT(Overig!O341,""",""?00;"",""?-00;"",""?00;"", //"""),"'","""")&amp;SUBSTITUTE(TEXT(IF(ISTEXT(Overig!P341),Overig!P341,10*Overig!P341),""",""????0;"",""???-0;"",""????0;"", ////"""),"'","""")&amp;SUBSTITUTE(TEXT(Overig!Q341,""",""?00;"",""?-00;"",""?00;"", //"""),"'","""")&amp;SUBSTITUTE(TEXT(IF(ISTEXT(Overig!R341),Overig!R341,10*Overig!R341),""",""????0;"",""???-0;"",""????0;"", ////"""),"'","""")&amp;SUBSTITUTE(TEXT(Overig!S341,""",""?00;"",""?-00;"",""?00;"", //"""),"'","""")&amp;SUBSTITUTE(TEXT(Overig!T341,""",""???0;"",""??-0;"",""???0;"", ///"""),"'","""")&amp;SUBSTITUTE(TEXT(Overig!U341,""",""?00;"",""?-00;"",""?00;"", //"""),"'","""")&amp;SUBSTITUTE(TEXT(IF(ISTEXT(Overig!V341),Overig!V341,10*Overig!V341),""",""???0;"",""??-0;"",""???0;"", ///"""),"'","""")&amp;SUBSTITUTE(TEXT(Overig!W341,""",""?00;"",""?-00;"",""?00;"", //"""),"'","""")&amp;SUBSTITUTE(TEXT(IF(ISTEXT(Overig!X341),Overig!X341,10*Overig!X341),""",""????0;"",""???-0;"",""????0;"", ////"""),"'","""")&amp;SUBSTITUTE(TEXT(Overig!Y341,""",""?00;"",""?-00;"",""?00;"", //"""),"'","""")&amp;SUBSTITUTE(TEXT(IF(ISTEXT(Overig!Z341),Overig!Z341,10*Overig!Z341),""",""????0;"",""???-0;"",""????0;"", ////"""),"'","""")&amp;SUBSTITUTE(TEXT(Overig!AA341,""",""?00;"",""?-00;"",""?00;"", //"""),"'","""")&amp;SUBSTITUTE(TEXT(Overig!AB341,""",""???0;"",""??-0;"",""???0;"", ///"""),"'","""")&amp;SUBSTITUTE(TEXT(Overig!AC341,""",""?00;"",""?-00;"",""?00;"", //"""),"'","""")&amp;SUBSTITUTE(TEXT(IF(ISTEXT(Overig!AD341),Overig!AD341,10*Overig!AD341),""",""????0;"",""???-0;"",""????0;"", ////"""),"'","""")&amp;SUBSTITUTE(TEXT(Overig!AE341,""",""?00;"",""?-00;"",""?00;"", //"""),"'","""")&amp;SUBSTITUTE(TEXT(IF(ISTEXT(Overig!AF341),Overig!AF341,10*Overig!AF341),""",""????0;"",""???-0;"",""????0;"", ////"""),"'","""")&amp;SUBSTITUTE(TEXT(Overig!AG341,""",""?00;"",""?-00;"",""?00;"", //"""),"'","""")&amp;SUBSTITUTE(TEXT(Overig!AH341,""",""???0;"",""??-0;"",""???0;"", ///"""),"'","""")&amp;SUBSTITUTE(TEXT(Overig!AI341,""",""?00;"",""?-00;"",""?00;"", //"""),"'","""")&amp;SUBSTITUTE(TEXT(Overig!AJ341,""",""??0;"",""?-0;"",""??0;"", //"""),"'","""")&amp;SUBSTITUTE(TEXT(Overig!AK341,""",""?00;"",""?-00;"",""?00;"", //"""),"'","""")&amp;SUBSTITUTE(IF(EXACT(Overig!AL341,"—"),TEXT(Overig!AL341,""",""????0;"",""???-0;"",""????0;"", ////////////,"""),TEXT(Overig!AL341,"\, \'@""',""")&amp;REPT(" ",10-LEN(Overig!AL341))),"'","""")&amp;SUBSTITUTE(TEXT(Overig!AM341,"?00;?-00;?00;"" //"""),"'","""")&amp;SUBSTITUTE(TEXT(Overig!AN341,""",""???0;"",""??-0;"",""???0;"", ///"""),"'","""")&amp;SUBSTITUTE(TEXT(Overig!AO341,""",""?00;"",""?-00;"",""?00;"", //"""),"'","""")</f>
        <v>78989, 19131206, 0800, ////, 07, /////, 07, ////, 07, /////, 07, ////, 07, ////, 07, ////, 07, ////, 07, ///, 07, ///, 07, ////, 07, ////, 07, ///, 07, ////, 07, ////, 07, ///, 07, //, 07, ////////////, 07, ///, 07</v>
      </c>
    </row>
    <row r="342" spans="1:1" x14ac:dyDescent="0.25">
      <c r="A342" s="75" t="str">
        <f ca="1">TEXT(Overig!A342,"000\,")&amp;TEXT(Overig!B342,"?00000000")&amp;TEXT(Overig!C342,""", ""0000")&amp;SUBSTITUTE(TEXT(IF(ISTEXT(Overig!D342),Overig!D342,10*Overig!D342),""",""????0;"",""???-0;"",""????0;"", ////"""),"'","""")&amp;SUBSTITUTE(TEXT(Overig!E342,""",""?00;"",""?-00;"",""?00;"", //"""),"'","""")&amp;SUBSTITUTE(TEXT(IF(ISTEXT(Overig!F342),Overig!F342,100*Overig!F342),""",""?????0;"",""????-0;"",""?????0;"", /////"""),"'","""")&amp;SUBSTITUTE(TEXT(Overig!G342,""",""?00;"",""?-00;"",""?00;"", //"""),"'","""")&amp;SUBSTITUTE(TEXT(IF(ISTEXT(Overig!H342),Overig!H342,100*Overig!H342),""",""????0;"",""???-0;"",""????0;"", ////"""),"'","""")&amp;SUBSTITUTE(TEXT(Overig!I342,""",""?00;"",""?-00;"",""?00;"", //"""),"'","""")&amp;SUBSTITUTE(TEXT(IF(ISTEXT(Overig!J342),Overig!J342,100*Overig!J342),""",""?????0;"",""????-0;"",""?????0;"", /////"""),"'","""")&amp;SUBSTITUTE(TEXT(Overig!K342,""",""?00;"",""?-00;"",""?00;"", //"""),"'","""")&amp;SUBSTITUTE(TEXT(IF(ISTEXT(Overig!L342),Overig!L342,10*Overig!L342),""",""????0;"",""???-0;"",""????0;"", ////"""),"'","""")&amp;SUBSTITUTE(TEXT(Overig!M342,""",""?00;"",""?-00;"",""?00;"", //"""),"'","""")&amp;SUBSTITUTE(TEXT(IF(ISTEXT(Overig!N342),Overig!N342,10*Overig!N342),""",""????0;"",""???-0;"",""????0;"", ////"""),"'","""")&amp;SUBSTITUTE(TEXT(Overig!O342,""",""?00;"",""?-00;"",""?00;"", //"""),"'","""")&amp;SUBSTITUTE(TEXT(IF(ISTEXT(Overig!P342),Overig!P342,10*Overig!P342),""",""????0;"",""???-0;"",""????0;"", ////"""),"'","""")&amp;SUBSTITUTE(TEXT(Overig!Q342,""",""?00;"",""?-00;"",""?00;"", //"""),"'","""")&amp;SUBSTITUTE(TEXT(IF(ISTEXT(Overig!R342),Overig!R342,10*Overig!R342),""",""????0;"",""???-0;"",""????0;"", ////"""),"'","""")&amp;SUBSTITUTE(TEXT(Overig!S342,""",""?00;"",""?-00;"",""?00;"", //"""),"'","""")&amp;SUBSTITUTE(TEXT(Overig!T342,""",""???0;"",""??-0;"",""???0;"", ///"""),"'","""")&amp;SUBSTITUTE(TEXT(Overig!U342,""",""?00;"",""?-00;"",""?00;"", //"""),"'","""")&amp;SUBSTITUTE(TEXT(IF(ISTEXT(Overig!V342),Overig!V342,10*Overig!V342),""",""???0;"",""??-0;"",""???0;"", ///"""),"'","""")&amp;SUBSTITUTE(TEXT(Overig!W342,""",""?00;"",""?-00;"",""?00;"", //"""),"'","""")&amp;SUBSTITUTE(TEXT(IF(ISTEXT(Overig!X342),Overig!X342,10*Overig!X342),""",""????0;"",""???-0;"",""????0;"", ////"""),"'","""")&amp;SUBSTITUTE(TEXT(Overig!Y342,""",""?00;"",""?-00;"",""?00;"", //"""),"'","""")&amp;SUBSTITUTE(TEXT(IF(ISTEXT(Overig!Z342),Overig!Z342,10*Overig!Z342),""",""????0;"",""???-0;"",""????0;"", ////"""),"'","""")&amp;SUBSTITUTE(TEXT(Overig!AA342,""",""?00;"",""?-00;"",""?00;"", //"""),"'","""")&amp;SUBSTITUTE(TEXT(Overig!AB342,""",""???0;"",""??-0;"",""???0;"", ///"""),"'","""")&amp;SUBSTITUTE(TEXT(Overig!AC342,""",""?00;"",""?-00;"",""?00;"", //"""),"'","""")&amp;SUBSTITUTE(TEXT(IF(ISTEXT(Overig!AD342),Overig!AD342,10*Overig!AD342),""",""????0;"",""???-0;"",""????0;"", ////"""),"'","""")&amp;SUBSTITUTE(TEXT(Overig!AE342,""",""?00;"",""?-00;"",""?00;"", //"""),"'","""")&amp;SUBSTITUTE(TEXT(IF(ISTEXT(Overig!AF342),Overig!AF342,10*Overig!AF342),""",""????0;"",""???-0;"",""????0;"", ////"""),"'","""")&amp;SUBSTITUTE(TEXT(Overig!AG342,""",""?00;"",""?-00;"",""?00;"", //"""),"'","""")&amp;SUBSTITUTE(TEXT(Overig!AH342,""",""???0;"",""??-0;"",""???0;"", ///"""),"'","""")&amp;SUBSTITUTE(TEXT(Overig!AI342,""",""?00;"",""?-00;"",""?00;"", //"""),"'","""")&amp;SUBSTITUTE(TEXT(Overig!AJ342,""",""??0;"",""?-0;"",""??0;"", //"""),"'","""")&amp;SUBSTITUTE(TEXT(Overig!AK342,""",""?00;"",""?-00;"",""?00;"", //"""),"'","""")&amp;SUBSTITUTE(IF(EXACT(Overig!AL342,"—"),TEXT(Overig!AL342,""",""????0;"",""???-0;"",""????0;"", ////////////,"""),TEXT(Overig!AL342,"\, \'@""',""")&amp;REPT(" ",10-LEN(Overig!AL342))),"'","""")&amp;SUBSTITUTE(TEXT(Overig!AM342,"?00;?-00;?00;"" //"""),"'","""")&amp;SUBSTITUTE(TEXT(Overig!AN342,""",""???0;"",""??-0;"",""???0;"", ///"""),"'","""")&amp;SUBSTITUTE(TEXT(Overig!AO342,""",""?00;"",""?-00;"",""?00;"", //"""),"'","""")</f>
        <v>78989, 19131207, 0800, ////, 07, /////, 07, ////, 07, /////, 07, ////, 07, ////, 07, ////, 07, ////, 07, ///, 07, ///, 07, ////, 07, ////, 07, ///, 07, ////, 07, ////, 07, ///, 07, //, 07, ////////////, 07, ///, 07</v>
      </c>
    </row>
    <row r="343" spans="1:1" x14ac:dyDescent="0.25">
      <c r="A343" s="75" t="str">
        <f ca="1">TEXT(Overig!A343,"000\,")&amp;TEXT(Overig!B343,"?00000000")&amp;TEXT(Overig!C343,""", ""0000")&amp;SUBSTITUTE(TEXT(IF(ISTEXT(Overig!D343),Overig!D343,10*Overig!D343),""",""????0;"",""???-0;"",""????0;"", ////"""),"'","""")&amp;SUBSTITUTE(TEXT(Overig!E343,""",""?00;"",""?-00;"",""?00;"", //"""),"'","""")&amp;SUBSTITUTE(TEXT(IF(ISTEXT(Overig!F343),Overig!F343,100*Overig!F343),""",""?????0;"",""????-0;"",""?????0;"", /////"""),"'","""")&amp;SUBSTITUTE(TEXT(Overig!G343,""",""?00;"",""?-00;"",""?00;"", //"""),"'","""")&amp;SUBSTITUTE(TEXT(IF(ISTEXT(Overig!H343),Overig!H343,100*Overig!H343),""",""????0;"",""???-0;"",""????0;"", ////"""),"'","""")&amp;SUBSTITUTE(TEXT(Overig!I343,""",""?00;"",""?-00;"",""?00;"", //"""),"'","""")&amp;SUBSTITUTE(TEXT(IF(ISTEXT(Overig!J343),Overig!J343,100*Overig!J343),""",""?????0;"",""????-0;"",""?????0;"", /////"""),"'","""")&amp;SUBSTITUTE(TEXT(Overig!K343,""",""?00;"",""?-00;"",""?00;"", //"""),"'","""")&amp;SUBSTITUTE(TEXT(IF(ISTEXT(Overig!L343),Overig!L343,10*Overig!L343),""",""????0;"",""???-0;"",""????0;"", ////"""),"'","""")&amp;SUBSTITUTE(TEXT(Overig!M343,""",""?00;"",""?-00;"",""?00;"", //"""),"'","""")&amp;SUBSTITUTE(TEXT(IF(ISTEXT(Overig!N343),Overig!N343,10*Overig!N343),""",""????0;"",""???-0;"",""????0;"", ////"""),"'","""")&amp;SUBSTITUTE(TEXT(Overig!O343,""",""?00;"",""?-00;"",""?00;"", //"""),"'","""")&amp;SUBSTITUTE(TEXT(IF(ISTEXT(Overig!P343),Overig!P343,10*Overig!P343),""",""????0;"",""???-0;"",""????0;"", ////"""),"'","""")&amp;SUBSTITUTE(TEXT(Overig!Q343,""",""?00;"",""?-00;"",""?00;"", //"""),"'","""")&amp;SUBSTITUTE(TEXT(IF(ISTEXT(Overig!R343),Overig!R343,10*Overig!R343),""",""????0;"",""???-0;"",""????0;"", ////"""),"'","""")&amp;SUBSTITUTE(TEXT(Overig!S343,""",""?00;"",""?-00;"",""?00;"", //"""),"'","""")&amp;SUBSTITUTE(TEXT(Overig!T343,""",""???0;"",""??-0;"",""???0;"", ///"""),"'","""")&amp;SUBSTITUTE(TEXT(Overig!U343,""",""?00;"",""?-00;"",""?00;"", //"""),"'","""")&amp;SUBSTITUTE(TEXT(IF(ISTEXT(Overig!V343),Overig!V343,10*Overig!V343),""",""???0;"",""??-0;"",""???0;"", ///"""),"'","""")&amp;SUBSTITUTE(TEXT(Overig!W343,""",""?00;"",""?-00;"",""?00;"", //"""),"'","""")&amp;SUBSTITUTE(TEXT(IF(ISTEXT(Overig!X343),Overig!X343,10*Overig!X343),""",""????0;"",""???-0;"",""????0;"", ////"""),"'","""")&amp;SUBSTITUTE(TEXT(Overig!Y343,""",""?00;"",""?-00;"",""?00;"", //"""),"'","""")&amp;SUBSTITUTE(TEXT(IF(ISTEXT(Overig!Z343),Overig!Z343,10*Overig!Z343),""",""????0;"",""???-0;"",""????0;"", ////"""),"'","""")&amp;SUBSTITUTE(TEXT(Overig!AA343,""",""?00;"",""?-00;"",""?00;"", //"""),"'","""")&amp;SUBSTITUTE(TEXT(Overig!AB343,""",""???0;"",""??-0;"",""???0;"", ///"""),"'","""")&amp;SUBSTITUTE(TEXT(Overig!AC343,""",""?00;"",""?-00;"",""?00;"", //"""),"'","""")&amp;SUBSTITUTE(TEXT(IF(ISTEXT(Overig!AD343),Overig!AD343,10*Overig!AD343),""",""????0;"",""???-0;"",""????0;"", ////"""),"'","""")&amp;SUBSTITUTE(TEXT(Overig!AE343,""",""?00;"",""?-00;"",""?00;"", //"""),"'","""")&amp;SUBSTITUTE(TEXT(IF(ISTEXT(Overig!AF343),Overig!AF343,10*Overig!AF343),""",""????0;"",""???-0;"",""????0;"", ////"""),"'","""")&amp;SUBSTITUTE(TEXT(Overig!AG343,""",""?00;"",""?-00;"",""?00;"", //"""),"'","""")&amp;SUBSTITUTE(TEXT(Overig!AH343,""",""???0;"",""??-0;"",""???0;"", ///"""),"'","""")&amp;SUBSTITUTE(TEXT(Overig!AI343,""",""?00;"",""?-00;"",""?00;"", //"""),"'","""")&amp;SUBSTITUTE(TEXT(Overig!AJ343,""",""??0;"",""?-0;"",""??0;"", //"""),"'","""")&amp;SUBSTITUTE(TEXT(Overig!AK343,""",""?00;"",""?-00;"",""?00;"", //"""),"'","""")&amp;SUBSTITUTE(IF(EXACT(Overig!AL343,"—"),TEXT(Overig!AL343,""",""????0;"",""???-0;"",""????0;"", ////////////,"""),TEXT(Overig!AL343,"\, \'@""',""")&amp;REPT(" ",10-LEN(Overig!AL343))),"'","""")&amp;SUBSTITUTE(TEXT(Overig!AM343,"?00;?-00;?00;"" //"""),"'","""")&amp;SUBSTITUTE(TEXT(Overig!AN343,""",""???0;"",""??-0;"",""???0;"", ///"""),"'","""")&amp;SUBSTITUTE(TEXT(Overig!AO343,""",""?00;"",""?-00;"",""?00;"", //"""),"'","""")</f>
        <v>78989, 19131208, 0800, ////, 07, /////, 07, ////, 07, /////, 07, ////, 07, ////, 07, ////, 07, ////, 07, ///, 07, ///, 07, ////, 07, ////, 07, ///, 07, ////, 07, ////, 07, ///, 07, //, 07, ////////////, 07, ///, 07</v>
      </c>
    </row>
    <row r="344" spans="1:1" x14ac:dyDescent="0.25">
      <c r="A344" s="75" t="str">
        <f ca="1">TEXT(Overig!A344,"000\,")&amp;TEXT(Overig!B344,"?00000000")&amp;TEXT(Overig!C344,""", ""0000")&amp;SUBSTITUTE(TEXT(IF(ISTEXT(Overig!D344),Overig!D344,10*Overig!D344),""",""????0;"",""???-0;"",""????0;"", ////"""),"'","""")&amp;SUBSTITUTE(TEXT(Overig!E344,""",""?00;"",""?-00;"",""?00;"", //"""),"'","""")&amp;SUBSTITUTE(TEXT(IF(ISTEXT(Overig!F344),Overig!F344,100*Overig!F344),""",""?????0;"",""????-0;"",""?????0;"", /////"""),"'","""")&amp;SUBSTITUTE(TEXT(Overig!G344,""",""?00;"",""?-00;"",""?00;"", //"""),"'","""")&amp;SUBSTITUTE(TEXT(IF(ISTEXT(Overig!H344),Overig!H344,100*Overig!H344),""",""????0;"",""???-0;"",""????0;"", ////"""),"'","""")&amp;SUBSTITUTE(TEXT(Overig!I344,""",""?00;"",""?-00;"",""?00;"", //"""),"'","""")&amp;SUBSTITUTE(TEXT(IF(ISTEXT(Overig!J344),Overig!J344,100*Overig!J344),""",""?????0;"",""????-0;"",""?????0;"", /////"""),"'","""")&amp;SUBSTITUTE(TEXT(Overig!K344,""",""?00;"",""?-00;"",""?00;"", //"""),"'","""")&amp;SUBSTITUTE(TEXT(IF(ISTEXT(Overig!L344),Overig!L344,10*Overig!L344),""",""????0;"",""???-0;"",""????0;"", ////"""),"'","""")&amp;SUBSTITUTE(TEXT(Overig!M344,""",""?00;"",""?-00;"",""?00;"", //"""),"'","""")&amp;SUBSTITUTE(TEXT(IF(ISTEXT(Overig!N344),Overig!N344,10*Overig!N344),""",""????0;"",""???-0;"",""????0;"", ////"""),"'","""")&amp;SUBSTITUTE(TEXT(Overig!O344,""",""?00;"",""?-00;"",""?00;"", //"""),"'","""")&amp;SUBSTITUTE(TEXT(IF(ISTEXT(Overig!P344),Overig!P344,10*Overig!P344),""",""????0;"",""???-0;"",""????0;"", ////"""),"'","""")&amp;SUBSTITUTE(TEXT(Overig!Q344,""",""?00;"",""?-00;"",""?00;"", //"""),"'","""")&amp;SUBSTITUTE(TEXT(IF(ISTEXT(Overig!R344),Overig!R344,10*Overig!R344),""",""????0;"",""???-0;"",""????0;"", ////"""),"'","""")&amp;SUBSTITUTE(TEXT(Overig!S344,""",""?00;"",""?-00;"",""?00;"", //"""),"'","""")&amp;SUBSTITUTE(TEXT(Overig!T344,""",""???0;"",""??-0;"",""???0;"", ///"""),"'","""")&amp;SUBSTITUTE(TEXT(Overig!U344,""",""?00;"",""?-00;"",""?00;"", //"""),"'","""")&amp;SUBSTITUTE(TEXT(IF(ISTEXT(Overig!V344),Overig!V344,10*Overig!V344),""",""???0;"",""??-0;"",""???0;"", ///"""),"'","""")&amp;SUBSTITUTE(TEXT(Overig!W344,""",""?00;"",""?-00;"",""?00;"", //"""),"'","""")&amp;SUBSTITUTE(TEXT(IF(ISTEXT(Overig!X344),Overig!X344,10*Overig!X344),""",""????0;"",""???-0;"",""????0;"", ////"""),"'","""")&amp;SUBSTITUTE(TEXT(Overig!Y344,""",""?00;"",""?-00;"",""?00;"", //"""),"'","""")&amp;SUBSTITUTE(TEXT(IF(ISTEXT(Overig!Z344),Overig!Z344,10*Overig!Z344),""",""????0;"",""???-0;"",""????0;"", ////"""),"'","""")&amp;SUBSTITUTE(TEXT(Overig!AA344,""",""?00;"",""?-00;"",""?00;"", //"""),"'","""")&amp;SUBSTITUTE(TEXT(Overig!AB344,""",""???0;"",""??-0;"",""???0;"", ///"""),"'","""")&amp;SUBSTITUTE(TEXT(Overig!AC344,""",""?00;"",""?-00;"",""?00;"", //"""),"'","""")&amp;SUBSTITUTE(TEXT(IF(ISTEXT(Overig!AD344),Overig!AD344,10*Overig!AD344),""",""????0;"",""???-0;"",""????0;"", ////"""),"'","""")&amp;SUBSTITUTE(TEXT(Overig!AE344,""",""?00;"",""?-00;"",""?00;"", //"""),"'","""")&amp;SUBSTITUTE(TEXT(IF(ISTEXT(Overig!AF344),Overig!AF344,10*Overig!AF344),""",""????0;"",""???-0;"",""????0;"", ////"""),"'","""")&amp;SUBSTITUTE(TEXT(Overig!AG344,""",""?00;"",""?-00;"",""?00;"", //"""),"'","""")&amp;SUBSTITUTE(TEXT(Overig!AH344,""",""???0;"",""??-0;"",""???0;"", ///"""),"'","""")&amp;SUBSTITUTE(TEXT(Overig!AI344,""",""?00;"",""?-00;"",""?00;"", //"""),"'","""")&amp;SUBSTITUTE(TEXT(Overig!AJ344,""",""??0;"",""?-0;"",""??0;"", //"""),"'","""")&amp;SUBSTITUTE(TEXT(Overig!AK344,""",""?00;"",""?-00;"",""?00;"", //"""),"'","""")&amp;SUBSTITUTE(IF(EXACT(Overig!AL344,"—"),TEXT(Overig!AL344,""",""????0;"",""???-0;"",""????0;"", ////////////,"""),TEXT(Overig!AL344,"\, \'@""',""")&amp;REPT(" ",10-LEN(Overig!AL344))),"'","""")&amp;SUBSTITUTE(TEXT(Overig!AM344,"?00;?-00;?00;"" //"""),"'","""")&amp;SUBSTITUTE(TEXT(Overig!AN344,""",""???0;"",""??-0;"",""???0;"", ///"""),"'","""")&amp;SUBSTITUTE(TEXT(Overig!AO344,""",""?00;"",""?-00;"",""?00;"", //"""),"'","""")</f>
        <v>78989, 19131209, 0800, ////, 07, /////, 07, ////, 07, /////, 07, ////, 07, ////, 07, ////, 07, ////, 07, ///, 07, ///, 07, ////, 07, ////, 07, ///, 07, ////, 07, ////, 07, ///, 07, //, 07, ////////////, 07, ///, 07</v>
      </c>
    </row>
    <row r="345" spans="1:1" x14ac:dyDescent="0.25">
      <c r="A345" s="75" t="str">
        <f ca="1">TEXT(Overig!A345,"000\,")&amp;TEXT(Overig!B345,"?00000000")&amp;TEXT(Overig!C345,""", ""0000")&amp;SUBSTITUTE(TEXT(IF(ISTEXT(Overig!D345),Overig!D345,10*Overig!D345),""",""????0;"",""???-0;"",""????0;"", ////"""),"'","""")&amp;SUBSTITUTE(TEXT(Overig!E345,""",""?00;"",""?-00;"",""?00;"", //"""),"'","""")&amp;SUBSTITUTE(TEXT(IF(ISTEXT(Overig!F345),Overig!F345,100*Overig!F345),""",""?????0;"",""????-0;"",""?????0;"", /////"""),"'","""")&amp;SUBSTITUTE(TEXT(Overig!G345,""",""?00;"",""?-00;"",""?00;"", //"""),"'","""")&amp;SUBSTITUTE(TEXT(IF(ISTEXT(Overig!H345),Overig!H345,100*Overig!H345),""",""????0;"",""???-0;"",""????0;"", ////"""),"'","""")&amp;SUBSTITUTE(TEXT(Overig!I345,""",""?00;"",""?-00;"",""?00;"", //"""),"'","""")&amp;SUBSTITUTE(TEXT(IF(ISTEXT(Overig!J345),Overig!J345,100*Overig!J345),""",""?????0;"",""????-0;"",""?????0;"", /////"""),"'","""")&amp;SUBSTITUTE(TEXT(Overig!K345,""",""?00;"",""?-00;"",""?00;"", //"""),"'","""")&amp;SUBSTITUTE(TEXT(IF(ISTEXT(Overig!L345),Overig!L345,10*Overig!L345),""",""????0;"",""???-0;"",""????0;"", ////"""),"'","""")&amp;SUBSTITUTE(TEXT(Overig!M345,""",""?00;"",""?-00;"",""?00;"", //"""),"'","""")&amp;SUBSTITUTE(TEXT(IF(ISTEXT(Overig!N345),Overig!N345,10*Overig!N345),""",""????0;"",""???-0;"",""????0;"", ////"""),"'","""")&amp;SUBSTITUTE(TEXT(Overig!O345,""",""?00;"",""?-00;"",""?00;"", //"""),"'","""")&amp;SUBSTITUTE(TEXT(IF(ISTEXT(Overig!P345),Overig!P345,10*Overig!P345),""",""????0;"",""???-0;"",""????0;"", ////"""),"'","""")&amp;SUBSTITUTE(TEXT(Overig!Q345,""",""?00;"",""?-00;"",""?00;"", //"""),"'","""")&amp;SUBSTITUTE(TEXT(IF(ISTEXT(Overig!R345),Overig!R345,10*Overig!R345),""",""????0;"",""???-0;"",""????0;"", ////"""),"'","""")&amp;SUBSTITUTE(TEXT(Overig!S345,""",""?00;"",""?-00;"",""?00;"", //"""),"'","""")&amp;SUBSTITUTE(TEXT(Overig!T345,""",""???0;"",""??-0;"",""???0;"", ///"""),"'","""")&amp;SUBSTITUTE(TEXT(Overig!U345,""",""?00;"",""?-00;"",""?00;"", //"""),"'","""")&amp;SUBSTITUTE(TEXT(IF(ISTEXT(Overig!V345),Overig!V345,10*Overig!V345),""",""???0;"",""??-0;"",""???0;"", ///"""),"'","""")&amp;SUBSTITUTE(TEXT(Overig!W345,""",""?00;"",""?-00;"",""?00;"", //"""),"'","""")&amp;SUBSTITUTE(TEXT(IF(ISTEXT(Overig!X345),Overig!X345,10*Overig!X345),""",""????0;"",""???-0;"",""????0;"", ////"""),"'","""")&amp;SUBSTITUTE(TEXT(Overig!Y345,""",""?00;"",""?-00;"",""?00;"", //"""),"'","""")&amp;SUBSTITUTE(TEXT(IF(ISTEXT(Overig!Z345),Overig!Z345,10*Overig!Z345),""",""????0;"",""???-0;"",""????0;"", ////"""),"'","""")&amp;SUBSTITUTE(TEXT(Overig!AA345,""",""?00;"",""?-00;"",""?00;"", //"""),"'","""")&amp;SUBSTITUTE(TEXT(Overig!AB345,""",""???0;"",""??-0;"",""???0;"", ///"""),"'","""")&amp;SUBSTITUTE(TEXT(Overig!AC345,""",""?00;"",""?-00;"",""?00;"", //"""),"'","""")&amp;SUBSTITUTE(TEXT(IF(ISTEXT(Overig!AD345),Overig!AD345,10*Overig!AD345),""",""????0;"",""???-0;"",""????0;"", ////"""),"'","""")&amp;SUBSTITUTE(TEXT(Overig!AE345,""",""?00;"",""?-00;"",""?00;"", //"""),"'","""")&amp;SUBSTITUTE(TEXT(IF(ISTEXT(Overig!AF345),Overig!AF345,10*Overig!AF345),""",""????0;"",""???-0;"",""????0;"", ////"""),"'","""")&amp;SUBSTITUTE(TEXT(Overig!AG345,""",""?00;"",""?-00;"",""?00;"", //"""),"'","""")&amp;SUBSTITUTE(TEXT(Overig!AH345,""",""???0;"",""??-0;"",""???0;"", ///"""),"'","""")&amp;SUBSTITUTE(TEXT(Overig!AI345,""",""?00;"",""?-00;"",""?00;"", //"""),"'","""")&amp;SUBSTITUTE(TEXT(Overig!AJ345,""",""??0;"",""?-0;"",""??0;"", //"""),"'","""")&amp;SUBSTITUTE(TEXT(Overig!AK345,""",""?00;"",""?-00;"",""?00;"", //"""),"'","""")&amp;SUBSTITUTE(IF(EXACT(Overig!AL345,"—"),TEXT(Overig!AL345,""",""????0;"",""???-0;"",""????0;"", ////////////,"""),TEXT(Overig!AL345,"\, \'@""',""")&amp;REPT(" ",10-LEN(Overig!AL345))),"'","""")&amp;SUBSTITUTE(TEXT(Overig!AM345,"?00;?-00;?00;"" //"""),"'","""")&amp;SUBSTITUTE(TEXT(Overig!AN345,""",""???0;"",""??-0;"",""???0;"", ///"""),"'","""")&amp;SUBSTITUTE(TEXT(Overig!AO345,""",""?00;"",""?-00;"",""?00;"", //"""),"'","""")</f>
        <v>78989, 19131210, 0800, ////, 07, /////, 07, ////, 07, /////, 07, ////, 07, ////, 07, ////, 07, ////, 07, ///, 07, ///, 07, ////, 07, ////, 07, ///, 07, ////, 07, ////, 07, ///, 07, //, 07, ////////////, 07, ///, 07</v>
      </c>
    </row>
    <row r="346" spans="1:1" x14ac:dyDescent="0.25">
      <c r="A346" s="75" t="str">
        <f ca="1">TEXT(Overig!A346,"000\,")&amp;TEXT(Overig!B346,"?00000000")&amp;TEXT(Overig!C346,""", ""0000")&amp;SUBSTITUTE(TEXT(IF(ISTEXT(Overig!D346),Overig!D346,10*Overig!D346),""",""????0;"",""???-0;"",""????0;"", ////"""),"'","""")&amp;SUBSTITUTE(TEXT(Overig!E346,""",""?00;"",""?-00;"",""?00;"", //"""),"'","""")&amp;SUBSTITUTE(TEXT(IF(ISTEXT(Overig!F346),Overig!F346,100*Overig!F346),""",""?????0;"",""????-0;"",""?????0;"", /////"""),"'","""")&amp;SUBSTITUTE(TEXT(Overig!G346,""",""?00;"",""?-00;"",""?00;"", //"""),"'","""")&amp;SUBSTITUTE(TEXT(IF(ISTEXT(Overig!H346),Overig!H346,100*Overig!H346),""",""????0;"",""???-0;"",""????0;"", ////"""),"'","""")&amp;SUBSTITUTE(TEXT(Overig!I346,""",""?00;"",""?-00;"",""?00;"", //"""),"'","""")&amp;SUBSTITUTE(TEXT(IF(ISTEXT(Overig!J346),Overig!J346,100*Overig!J346),""",""?????0;"",""????-0;"",""?????0;"", /////"""),"'","""")&amp;SUBSTITUTE(TEXT(Overig!K346,""",""?00;"",""?-00;"",""?00;"", //"""),"'","""")&amp;SUBSTITUTE(TEXT(IF(ISTEXT(Overig!L346),Overig!L346,10*Overig!L346),""",""????0;"",""???-0;"",""????0;"", ////"""),"'","""")&amp;SUBSTITUTE(TEXT(Overig!M346,""",""?00;"",""?-00;"",""?00;"", //"""),"'","""")&amp;SUBSTITUTE(TEXT(IF(ISTEXT(Overig!N346),Overig!N346,10*Overig!N346),""",""????0;"",""???-0;"",""????0;"", ////"""),"'","""")&amp;SUBSTITUTE(TEXT(Overig!O346,""",""?00;"",""?-00;"",""?00;"", //"""),"'","""")&amp;SUBSTITUTE(TEXT(IF(ISTEXT(Overig!P346),Overig!P346,10*Overig!P346),""",""????0;"",""???-0;"",""????0;"", ////"""),"'","""")&amp;SUBSTITUTE(TEXT(Overig!Q346,""",""?00;"",""?-00;"",""?00;"", //"""),"'","""")&amp;SUBSTITUTE(TEXT(IF(ISTEXT(Overig!R346),Overig!R346,10*Overig!R346),""",""????0;"",""???-0;"",""????0;"", ////"""),"'","""")&amp;SUBSTITUTE(TEXT(Overig!S346,""",""?00;"",""?-00;"",""?00;"", //"""),"'","""")&amp;SUBSTITUTE(TEXT(Overig!T346,""",""???0;"",""??-0;"",""???0;"", ///"""),"'","""")&amp;SUBSTITUTE(TEXT(Overig!U346,""",""?00;"",""?-00;"",""?00;"", //"""),"'","""")&amp;SUBSTITUTE(TEXT(IF(ISTEXT(Overig!V346),Overig!V346,10*Overig!V346),""",""???0;"",""??-0;"",""???0;"", ///"""),"'","""")&amp;SUBSTITUTE(TEXT(Overig!W346,""",""?00;"",""?-00;"",""?00;"", //"""),"'","""")&amp;SUBSTITUTE(TEXT(IF(ISTEXT(Overig!X346),Overig!X346,10*Overig!X346),""",""????0;"",""???-0;"",""????0;"", ////"""),"'","""")&amp;SUBSTITUTE(TEXT(Overig!Y346,""",""?00;"",""?-00;"",""?00;"", //"""),"'","""")&amp;SUBSTITUTE(TEXT(IF(ISTEXT(Overig!Z346),Overig!Z346,10*Overig!Z346),""",""????0;"",""???-0;"",""????0;"", ////"""),"'","""")&amp;SUBSTITUTE(TEXT(Overig!AA346,""",""?00;"",""?-00;"",""?00;"", //"""),"'","""")&amp;SUBSTITUTE(TEXT(Overig!AB346,""",""???0;"",""??-0;"",""???0;"", ///"""),"'","""")&amp;SUBSTITUTE(TEXT(Overig!AC346,""",""?00;"",""?-00;"",""?00;"", //"""),"'","""")&amp;SUBSTITUTE(TEXT(IF(ISTEXT(Overig!AD346),Overig!AD346,10*Overig!AD346),""",""????0;"",""???-0;"",""????0;"", ////"""),"'","""")&amp;SUBSTITUTE(TEXT(Overig!AE346,""",""?00;"",""?-00;"",""?00;"", //"""),"'","""")&amp;SUBSTITUTE(TEXT(IF(ISTEXT(Overig!AF346),Overig!AF346,10*Overig!AF346),""",""????0;"",""???-0;"",""????0;"", ////"""),"'","""")&amp;SUBSTITUTE(TEXT(Overig!AG346,""",""?00;"",""?-00;"",""?00;"", //"""),"'","""")&amp;SUBSTITUTE(TEXT(Overig!AH346,""",""???0;"",""??-0;"",""???0;"", ///"""),"'","""")&amp;SUBSTITUTE(TEXT(Overig!AI346,""",""?00;"",""?-00;"",""?00;"", //"""),"'","""")&amp;SUBSTITUTE(TEXT(Overig!AJ346,""",""??0;"",""?-0;"",""??0;"", //"""),"'","""")&amp;SUBSTITUTE(TEXT(Overig!AK346,""",""?00;"",""?-00;"",""?00;"", //"""),"'","""")&amp;SUBSTITUTE(IF(EXACT(Overig!AL346,"—"),TEXT(Overig!AL346,""",""????0;"",""???-0;"",""????0;"", ////////////,"""),TEXT(Overig!AL346,"\, \'@""',""")&amp;REPT(" ",10-LEN(Overig!AL346))),"'","""")&amp;SUBSTITUTE(TEXT(Overig!AM346,"?00;?-00;?00;"" //"""),"'","""")&amp;SUBSTITUTE(TEXT(Overig!AN346,""",""???0;"",""??-0;"",""???0;"", ///"""),"'","""")&amp;SUBSTITUTE(TEXT(Overig!AO346,""",""?00;"",""?-00;"",""?00;"", //"""),"'","""")</f>
        <v>78989, 19131211, 0800, ////, 07, /////, 07, ////, 07, /////, 07, ////, 07, ////, 07, ////, 07, ////, 07, ///, 07, ///, 07, ////, 07, ////, 07, ///, 07, ////, 07, ////, 07, ///, 07, //, 07, ////////////, 07, ///, 07</v>
      </c>
    </row>
    <row r="347" spans="1:1" x14ac:dyDescent="0.25">
      <c r="A347" s="75" t="str">
        <f ca="1">TEXT(Overig!A347,"000\,")&amp;TEXT(Overig!B347,"?00000000")&amp;TEXT(Overig!C347,""", ""0000")&amp;SUBSTITUTE(TEXT(IF(ISTEXT(Overig!D347),Overig!D347,10*Overig!D347),""",""????0;"",""???-0;"",""????0;"", ////"""),"'","""")&amp;SUBSTITUTE(TEXT(Overig!E347,""",""?00;"",""?-00;"",""?00;"", //"""),"'","""")&amp;SUBSTITUTE(TEXT(IF(ISTEXT(Overig!F347),Overig!F347,100*Overig!F347),""",""?????0;"",""????-0;"",""?????0;"", /////"""),"'","""")&amp;SUBSTITUTE(TEXT(Overig!G347,""",""?00;"",""?-00;"",""?00;"", //"""),"'","""")&amp;SUBSTITUTE(TEXT(IF(ISTEXT(Overig!H347),Overig!H347,100*Overig!H347),""",""????0;"",""???-0;"",""????0;"", ////"""),"'","""")&amp;SUBSTITUTE(TEXT(Overig!I347,""",""?00;"",""?-00;"",""?00;"", //"""),"'","""")&amp;SUBSTITUTE(TEXT(IF(ISTEXT(Overig!J347),Overig!J347,100*Overig!J347),""",""?????0;"",""????-0;"",""?????0;"", /////"""),"'","""")&amp;SUBSTITUTE(TEXT(Overig!K347,""",""?00;"",""?-00;"",""?00;"", //"""),"'","""")&amp;SUBSTITUTE(TEXT(IF(ISTEXT(Overig!L347),Overig!L347,10*Overig!L347),""",""????0;"",""???-0;"",""????0;"", ////"""),"'","""")&amp;SUBSTITUTE(TEXT(Overig!M347,""",""?00;"",""?-00;"",""?00;"", //"""),"'","""")&amp;SUBSTITUTE(TEXT(IF(ISTEXT(Overig!N347),Overig!N347,10*Overig!N347),""",""????0;"",""???-0;"",""????0;"", ////"""),"'","""")&amp;SUBSTITUTE(TEXT(Overig!O347,""",""?00;"",""?-00;"",""?00;"", //"""),"'","""")&amp;SUBSTITUTE(TEXT(IF(ISTEXT(Overig!P347),Overig!P347,10*Overig!P347),""",""????0;"",""???-0;"",""????0;"", ////"""),"'","""")&amp;SUBSTITUTE(TEXT(Overig!Q347,""",""?00;"",""?-00;"",""?00;"", //"""),"'","""")&amp;SUBSTITUTE(TEXT(IF(ISTEXT(Overig!R347),Overig!R347,10*Overig!R347),""",""????0;"",""???-0;"",""????0;"", ////"""),"'","""")&amp;SUBSTITUTE(TEXT(Overig!S347,""",""?00;"",""?-00;"",""?00;"", //"""),"'","""")&amp;SUBSTITUTE(TEXT(Overig!T347,""",""???0;"",""??-0;"",""???0;"", ///"""),"'","""")&amp;SUBSTITUTE(TEXT(Overig!U347,""",""?00;"",""?-00;"",""?00;"", //"""),"'","""")&amp;SUBSTITUTE(TEXT(IF(ISTEXT(Overig!V347),Overig!V347,10*Overig!V347),""",""???0;"",""??-0;"",""???0;"", ///"""),"'","""")&amp;SUBSTITUTE(TEXT(Overig!W347,""",""?00;"",""?-00;"",""?00;"", //"""),"'","""")&amp;SUBSTITUTE(TEXT(IF(ISTEXT(Overig!X347),Overig!X347,10*Overig!X347),""",""????0;"",""???-0;"",""????0;"", ////"""),"'","""")&amp;SUBSTITUTE(TEXT(Overig!Y347,""",""?00;"",""?-00;"",""?00;"", //"""),"'","""")&amp;SUBSTITUTE(TEXT(IF(ISTEXT(Overig!Z347),Overig!Z347,10*Overig!Z347),""",""????0;"",""???-0;"",""????0;"", ////"""),"'","""")&amp;SUBSTITUTE(TEXT(Overig!AA347,""",""?00;"",""?-00;"",""?00;"", //"""),"'","""")&amp;SUBSTITUTE(TEXT(Overig!AB347,""",""???0;"",""??-0;"",""???0;"", ///"""),"'","""")&amp;SUBSTITUTE(TEXT(Overig!AC347,""",""?00;"",""?-00;"",""?00;"", //"""),"'","""")&amp;SUBSTITUTE(TEXT(IF(ISTEXT(Overig!AD347),Overig!AD347,10*Overig!AD347),""",""????0;"",""???-0;"",""????0;"", ////"""),"'","""")&amp;SUBSTITUTE(TEXT(Overig!AE347,""",""?00;"",""?-00;"",""?00;"", //"""),"'","""")&amp;SUBSTITUTE(TEXT(IF(ISTEXT(Overig!AF347),Overig!AF347,10*Overig!AF347),""",""????0;"",""???-0;"",""????0;"", ////"""),"'","""")&amp;SUBSTITUTE(TEXT(Overig!AG347,""",""?00;"",""?-00;"",""?00;"", //"""),"'","""")&amp;SUBSTITUTE(TEXT(Overig!AH347,""",""???0;"",""??-0;"",""???0;"", ///"""),"'","""")&amp;SUBSTITUTE(TEXT(Overig!AI347,""",""?00;"",""?-00;"",""?00;"", //"""),"'","""")&amp;SUBSTITUTE(TEXT(Overig!AJ347,""",""??0;"",""?-0;"",""??0;"", //"""),"'","""")&amp;SUBSTITUTE(TEXT(Overig!AK347,""",""?00;"",""?-00;"",""?00;"", //"""),"'","""")&amp;SUBSTITUTE(IF(EXACT(Overig!AL347,"—"),TEXT(Overig!AL347,""",""????0;"",""???-0;"",""????0;"", ////////////,"""),TEXT(Overig!AL347,"\, \'@""',""")&amp;REPT(" ",10-LEN(Overig!AL347))),"'","""")&amp;SUBSTITUTE(TEXT(Overig!AM347,"?00;?-00;?00;"" //"""),"'","""")&amp;SUBSTITUTE(TEXT(Overig!AN347,""",""???0;"",""??-0;"",""???0;"", ///"""),"'","""")&amp;SUBSTITUTE(TEXT(Overig!AO347,""",""?00;"",""?-00;"",""?00;"", //"""),"'","""")</f>
        <v>78989, 19131212, 0800, ////, 07, /////, 07, ////, 07, /////, 07, ////, 07, ////, 07, ////, 07, ////, 07, ///, 07, ///, 07, ////, 07, ////, 07, ///, 07, ////, 07, ////, 07, ///, 07, //, 07, ////////////, 07, ///, 07</v>
      </c>
    </row>
    <row r="348" spans="1:1" x14ac:dyDescent="0.25">
      <c r="A348" s="75" t="str">
        <f ca="1">TEXT(Overig!A348,"000\,")&amp;TEXT(Overig!B348,"?00000000")&amp;TEXT(Overig!C348,""", ""0000")&amp;SUBSTITUTE(TEXT(IF(ISTEXT(Overig!D348),Overig!D348,10*Overig!D348),""",""????0;"",""???-0;"",""????0;"", ////"""),"'","""")&amp;SUBSTITUTE(TEXT(Overig!E348,""",""?00;"",""?-00;"",""?00;"", //"""),"'","""")&amp;SUBSTITUTE(TEXT(IF(ISTEXT(Overig!F348),Overig!F348,100*Overig!F348),""",""?????0;"",""????-0;"",""?????0;"", /////"""),"'","""")&amp;SUBSTITUTE(TEXT(Overig!G348,""",""?00;"",""?-00;"",""?00;"", //"""),"'","""")&amp;SUBSTITUTE(TEXT(IF(ISTEXT(Overig!H348),Overig!H348,100*Overig!H348),""",""????0;"",""???-0;"",""????0;"", ////"""),"'","""")&amp;SUBSTITUTE(TEXT(Overig!I348,""",""?00;"",""?-00;"",""?00;"", //"""),"'","""")&amp;SUBSTITUTE(TEXT(IF(ISTEXT(Overig!J348),Overig!J348,100*Overig!J348),""",""?????0;"",""????-0;"",""?????0;"", /////"""),"'","""")&amp;SUBSTITUTE(TEXT(Overig!K348,""",""?00;"",""?-00;"",""?00;"", //"""),"'","""")&amp;SUBSTITUTE(TEXT(IF(ISTEXT(Overig!L348),Overig!L348,10*Overig!L348),""",""????0;"",""???-0;"",""????0;"", ////"""),"'","""")&amp;SUBSTITUTE(TEXT(Overig!M348,""",""?00;"",""?-00;"",""?00;"", //"""),"'","""")&amp;SUBSTITUTE(TEXT(IF(ISTEXT(Overig!N348),Overig!N348,10*Overig!N348),""",""????0;"",""???-0;"",""????0;"", ////"""),"'","""")&amp;SUBSTITUTE(TEXT(Overig!O348,""",""?00;"",""?-00;"",""?00;"", //"""),"'","""")&amp;SUBSTITUTE(TEXT(IF(ISTEXT(Overig!P348),Overig!P348,10*Overig!P348),""",""????0;"",""???-0;"",""????0;"", ////"""),"'","""")&amp;SUBSTITUTE(TEXT(Overig!Q348,""",""?00;"",""?-00;"",""?00;"", //"""),"'","""")&amp;SUBSTITUTE(TEXT(IF(ISTEXT(Overig!R348),Overig!R348,10*Overig!R348),""",""????0;"",""???-0;"",""????0;"", ////"""),"'","""")&amp;SUBSTITUTE(TEXT(Overig!S348,""",""?00;"",""?-00;"",""?00;"", //"""),"'","""")&amp;SUBSTITUTE(TEXT(Overig!T348,""",""???0;"",""??-0;"",""???0;"", ///"""),"'","""")&amp;SUBSTITUTE(TEXT(Overig!U348,""",""?00;"",""?-00;"",""?00;"", //"""),"'","""")&amp;SUBSTITUTE(TEXT(IF(ISTEXT(Overig!V348),Overig!V348,10*Overig!V348),""",""???0;"",""??-0;"",""???0;"", ///"""),"'","""")&amp;SUBSTITUTE(TEXT(Overig!W348,""",""?00;"",""?-00;"",""?00;"", //"""),"'","""")&amp;SUBSTITUTE(TEXT(IF(ISTEXT(Overig!X348),Overig!X348,10*Overig!X348),""",""????0;"",""???-0;"",""????0;"", ////"""),"'","""")&amp;SUBSTITUTE(TEXT(Overig!Y348,""",""?00;"",""?-00;"",""?00;"", //"""),"'","""")&amp;SUBSTITUTE(TEXT(IF(ISTEXT(Overig!Z348),Overig!Z348,10*Overig!Z348),""",""????0;"",""???-0;"",""????0;"", ////"""),"'","""")&amp;SUBSTITUTE(TEXT(Overig!AA348,""",""?00;"",""?-00;"",""?00;"", //"""),"'","""")&amp;SUBSTITUTE(TEXT(Overig!AB348,""",""???0;"",""??-0;"",""???0;"", ///"""),"'","""")&amp;SUBSTITUTE(TEXT(Overig!AC348,""",""?00;"",""?-00;"",""?00;"", //"""),"'","""")&amp;SUBSTITUTE(TEXT(IF(ISTEXT(Overig!AD348),Overig!AD348,10*Overig!AD348),""",""????0;"",""???-0;"",""????0;"", ////"""),"'","""")&amp;SUBSTITUTE(TEXT(Overig!AE348,""",""?00;"",""?-00;"",""?00;"", //"""),"'","""")&amp;SUBSTITUTE(TEXT(IF(ISTEXT(Overig!AF348),Overig!AF348,10*Overig!AF348),""",""????0;"",""???-0;"",""????0;"", ////"""),"'","""")&amp;SUBSTITUTE(TEXT(Overig!AG348,""",""?00;"",""?-00;"",""?00;"", //"""),"'","""")&amp;SUBSTITUTE(TEXT(Overig!AH348,""",""???0;"",""??-0;"",""???0;"", ///"""),"'","""")&amp;SUBSTITUTE(TEXT(Overig!AI348,""",""?00;"",""?-00;"",""?00;"", //"""),"'","""")&amp;SUBSTITUTE(TEXT(Overig!AJ348,""",""??0;"",""?-0;"",""??0;"", //"""),"'","""")&amp;SUBSTITUTE(TEXT(Overig!AK348,""",""?00;"",""?-00;"",""?00;"", //"""),"'","""")&amp;SUBSTITUTE(IF(EXACT(Overig!AL348,"—"),TEXT(Overig!AL348,""",""????0;"",""???-0;"",""????0;"", ////////////,"""),TEXT(Overig!AL348,"\, \'@""',""")&amp;REPT(" ",10-LEN(Overig!AL348))),"'","""")&amp;SUBSTITUTE(TEXT(Overig!AM348,"?00;?-00;?00;"" //"""),"'","""")&amp;SUBSTITUTE(TEXT(Overig!AN348,""",""???0;"",""??-0;"",""???0;"", ///"""),"'","""")&amp;SUBSTITUTE(TEXT(Overig!AO348,""",""?00;"",""?-00;"",""?00;"", //"""),"'","""")</f>
        <v>78989, 19131213, 0800, ////, 07, /////, 07, ////, 07, /////, 07, ////, 07, ////, 07, ////, 07, ////, 07, ///, 07, ///, 07, ////, 07, ////, 07, ///, 07, ////, 07, ////, 07, ///, 07, //, 07, ////////////, 07, ///, 07</v>
      </c>
    </row>
    <row r="349" spans="1:1" x14ac:dyDescent="0.25">
      <c r="A349" s="75" t="str">
        <f ca="1">TEXT(Overig!A349,"000\,")&amp;TEXT(Overig!B349,"?00000000")&amp;TEXT(Overig!C349,""", ""0000")&amp;SUBSTITUTE(TEXT(IF(ISTEXT(Overig!D349),Overig!D349,10*Overig!D349),""",""????0;"",""???-0;"",""????0;"", ////"""),"'","""")&amp;SUBSTITUTE(TEXT(Overig!E349,""",""?00;"",""?-00;"",""?00;"", //"""),"'","""")&amp;SUBSTITUTE(TEXT(IF(ISTEXT(Overig!F349),Overig!F349,100*Overig!F349),""",""?????0;"",""????-0;"",""?????0;"", /////"""),"'","""")&amp;SUBSTITUTE(TEXT(Overig!G349,""",""?00;"",""?-00;"",""?00;"", //"""),"'","""")&amp;SUBSTITUTE(TEXT(IF(ISTEXT(Overig!H349),Overig!H349,100*Overig!H349),""",""????0;"",""???-0;"",""????0;"", ////"""),"'","""")&amp;SUBSTITUTE(TEXT(Overig!I349,""",""?00;"",""?-00;"",""?00;"", //"""),"'","""")&amp;SUBSTITUTE(TEXT(IF(ISTEXT(Overig!J349),Overig!J349,100*Overig!J349),""",""?????0;"",""????-0;"",""?????0;"", /////"""),"'","""")&amp;SUBSTITUTE(TEXT(Overig!K349,""",""?00;"",""?-00;"",""?00;"", //"""),"'","""")&amp;SUBSTITUTE(TEXT(IF(ISTEXT(Overig!L349),Overig!L349,10*Overig!L349),""",""????0;"",""???-0;"",""????0;"", ////"""),"'","""")&amp;SUBSTITUTE(TEXT(Overig!M349,""",""?00;"",""?-00;"",""?00;"", //"""),"'","""")&amp;SUBSTITUTE(TEXT(IF(ISTEXT(Overig!N349),Overig!N349,10*Overig!N349),""",""????0;"",""???-0;"",""????0;"", ////"""),"'","""")&amp;SUBSTITUTE(TEXT(Overig!O349,""",""?00;"",""?-00;"",""?00;"", //"""),"'","""")&amp;SUBSTITUTE(TEXT(IF(ISTEXT(Overig!P349),Overig!P349,10*Overig!P349),""",""????0;"",""???-0;"",""????0;"", ////"""),"'","""")&amp;SUBSTITUTE(TEXT(Overig!Q349,""",""?00;"",""?-00;"",""?00;"", //"""),"'","""")&amp;SUBSTITUTE(TEXT(IF(ISTEXT(Overig!R349),Overig!R349,10*Overig!R349),""",""????0;"",""???-0;"",""????0;"", ////"""),"'","""")&amp;SUBSTITUTE(TEXT(Overig!S349,""",""?00;"",""?-00;"",""?00;"", //"""),"'","""")&amp;SUBSTITUTE(TEXT(Overig!T349,""",""???0;"",""??-0;"",""???0;"", ///"""),"'","""")&amp;SUBSTITUTE(TEXT(Overig!U349,""",""?00;"",""?-00;"",""?00;"", //"""),"'","""")&amp;SUBSTITUTE(TEXT(IF(ISTEXT(Overig!V349),Overig!V349,10*Overig!V349),""",""???0;"",""??-0;"",""???0;"", ///"""),"'","""")&amp;SUBSTITUTE(TEXT(Overig!W349,""",""?00;"",""?-00;"",""?00;"", //"""),"'","""")&amp;SUBSTITUTE(TEXT(IF(ISTEXT(Overig!X349),Overig!X349,10*Overig!X349),""",""????0;"",""???-0;"",""????0;"", ////"""),"'","""")&amp;SUBSTITUTE(TEXT(Overig!Y349,""",""?00;"",""?-00;"",""?00;"", //"""),"'","""")&amp;SUBSTITUTE(TEXT(IF(ISTEXT(Overig!Z349),Overig!Z349,10*Overig!Z349),""",""????0;"",""???-0;"",""????0;"", ////"""),"'","""")&amp;SUBSTITUTE(TEXT(Overig!AA349,""",""?00;"",""?-00;"",""?00;"", //"""),"'","""")&amp;SUBSTITUTE(TEXT(Overig!AB349,""",""???0;"",""??-0;"",""???0;"", ///"""),"'","""")&amp;SUBSTITUTE(TEXT(Overig!AC349,""",""?00;"",""?-00;"",""?00;"", //"""),"'","""")&amp;SUBSTITUTE(TEXT(IF(ISTEXT(Overig!AD349),Overig!AD349,10*Overig!AD349),""",""????0;"",""???-0;"",""????0;"", ////"""),"'","""")&amp;SUBSTITUTE(TEXT(Overig!AE349,""",""?00;"",""?-00;"",""?00;"", //"""),"'","""")&amp;SUBSTITUTE(TEXT(IF(ISTEXT(Overig!AF349),Overig!AF349,10*Overig!AF349),""",""????0;"",""???-0;"",""????0;"", ////"""),"'","""")&amp;SUBSTITUTE(TEXT(Overig!AG349,""",""?00;"",""?-00;"",""?00;"", //"""),"'","""")&amp;SUBSTITUTE(TEXT(Overig!AH349,""",""???0;"",""??-0;"",""???0;"", ///"""),"'","""")&amp;SUBSTITUTE(TEXT(Overig!AI349,""",""?00;"",""?-00;"",""?00;"", //"""),"'","""")&amp;SUBSTITUTE(TEXT(Overig!AJ349,""",""??0;"",""?-0;"",""??0;"", //"""),"'","""")&amp;SUBSTITUTE(TEXT(Overig!AK349,""",""?00;"",""?-00;"",""?00;"", //"""),"'","""")&amp;SUBSTITUTE(IF(EXACT(Overig!AL349,"—"),TEXT(Overig!AL349,""",""????0;"",""???-0;"",""????0;"", ////////////,"""),TEXT(Overig!AL349,"\, \'@""',""")&amp;REPT(" ",10-LEN(Overig!AL349))),"'","""")&amp;SUBSTITUTE(TEXT(Overig!AM349,"?00;?-00;?00;"" //"""),"'","""")&amp;SUBSTITUTE(TEXT(Overig!AN349,""",""???0;"",""??-0;"",""???0;"", ///"""),"'","""")&amp;SUBSTITUTE(TEXT(Overig!AO349,""",""?00;"",""?-00;"",""?00;"", //"""),"'","""")</f>
        <v>78989, 19131214, 0800, ////, 07, /////, 07, ////, 07, /////, 07, ////, 07, ////, 07, ////, 07, ////, 07, ///, 07, ///, 07, ////, 07, ////, 07, ///, 07, ////, 07, ////, 07, ///, 07, //, 07, ////////////, 07, ///, 07</v>
      </c>
    </row>
    <row r="350" spans="1:1" x14ac:dyDescent="0.25">
      <c r="A350" s="75" t="str">
        <f ca="1">TEXT(Overig!A350,"000\,")&amp;TEXT(Overig!B350,"?00000000")&amp;TEXT(Overig!C350,""", ""0000")&amp;SUBSTITUTE(TEXT(IF(ISTEXT(Overig!D350),Overig!D350,10*Overig!D350),""",""????0;"",""???-0;"",""????0;"", ////"""),"'","""")&amp;SUBSTITUTE(TEXT(Overig!E350,""",""?00;"",""?-00;"",""?00;"", //"""),"'","""")&amp;SUBSTITUTE(TEXT(IF(ISTEXT(Overig!F350),Overig!F350,100*Overig!F350),""",""?????0;"",""????-0;"",""?????0;"", /////"""),"'","""")&amp;SUBSTITUTE(TEXT(Overig!G350,""",""?00;"",""?-00;"",""?00;"", //"""),"'","""")&amp;SUBSTITUTE(TEXT(IF(ISTEXT(Overig!H350),Overig!H350,100*Overig!H350),""",""????0;"",""???-0;"",""????0;"", ////"""),"'","""")&amp;SUBSTITUTE(TEXT(Overig!I350,""",""?00;"",""?-00;"",""?00;"", //"""),"'","""")&amp;SUBSTITUTE(TEXT(IF(ISTEXT(Overig!J350),Overig!J350,100*Overig!J350),""",""?????0;"",""????-0;"",""?????0;"", /////"""),"'","""")&amp;SUBSTITUTE(TEXT(Overig!K350,""",""?00;"",""?-00;"",""?00;"", //"""),"'","""")&amp;SUBSTITUTE(TEXT(IF(ISTEXT(Overig!L350),Overig!L350,10*Overig!L350),""",""????0;"",""???-0;"",""????0;"", ////"""),"'","""")&amp;SUBSTITUTE(TEXT(Overig!M350,""",""?00;"",""?-00;"",""?00;"", //"""),"'","""")&amp;SUBSTITUTE(TEXT(IF(ISTEXT(Overig!N350),Overig!N350,10*Overig!N350),""",""????0;"",""???-0;"",""????0;"", ////"""),"'","""")&amp;SUBSTITUTE(TEXT(Overig!O350,""",""?00;"",""?-00;"",""?00;"", //"""),"'","""")&amp;SUBSTITUTE(TEXT(IF(ISTEXT(Overig!P350),Overig!P350,10*Overig!P350),""",""????0;"",""???-0;"",""????0;"", ////"""),"'","""")&amp;SUBSTITUTE(TEXT(Overig!Q350,""",""?00;"",""?-00;"",""?00;"", //"""),"'","""")&amp;SUBSTITUTE(TEXT(IF(ISTEXT(Overig!R350),Overig!R350,10*Overig!R350),""",""????0;"",""???-0;"",""????0;"", ////"""),"'","""")&amp;SUBSTITUTE(TEXT(Overig!S350,""",""?00;"",""?-00;"",""?00;"", //"""),"'","""")&amp;SUBSTITUTE(TEXT(Overig!T350,""",""???0;"",""??-0;"",""???0;"", ///"""),"'","""")&amp;SUBSTITUTE(TEXT(Overig!U350,""",""?00;"",""?-00;"",""?00;"", //"""),"'","""")&amp;SUBSTITUTE(TEXT(IF(ISTEXT(Overig!V350),Overig!V350,10*Overig!V350),""",""???0;"",""??-0;"",""???0;"", ///"""),"'","""")&amp;SUBSTITUTE(TEXT(Overig!W350,""",""?00;"",""?-00;"",""?00;"", //"""),"'","""")&amp;SUBSTITUTE(TEXT(IF(ISTEXT(Overig!X350),Overig!X350,10*Overig!X350),""",""????0;"",""???-0;"",""????0;"", ////"""),"'","""")&amp;SUBSTITUTE(TEXT(Overig!Y350,""",""?00;"",""?-00;"",""?00;"", //"""),"'","""")&amp;SUBSTITUTE(TEXT(IF(ISTEXT(Overig!Z350),Overig!Z350,10*Overig!Z350),""",""????0;"",""???-0;"",""????0;"", ////"""),"'","""")&amp;SUBSTITUTE(TEXT(Overig!AA350,""",""?00;"",""?-00;"",""?00;"", //"""),"'","""")&amp;SUBSTITUTE(TEXT(Overig!AB350,""",""???0;"",""??-0;"",""???0;"", ///"""),"'","""")&amp;SUBSTITUTE(TEXT(Overig!AC350,""",""?00;"",""?-00;"",""?00;"", //"""),"'","""")&amp;SUBSTITUTE(TEXT(IF(ISTEXT(Overig!AD350),Overig!AD350,10*Overig!AD350),""",""????0;"",""???-0;"",""????0;"", ////"""),"'","""")&amp;SUBSTITUTE(TEXT(Overig!AE350,""",""?00;"",""?-00;"",""?00;"", //"""),"'","""")&amp;SUBSTITUTE(TEXT(IF(ISTEXT(Overig!AF350),Overig!AF350,10*Overig!AF350),""",""????0;"",""???-0;"",""????0;"", ////"""),"'","""")&amp;SUBSTITUTE(TEXT(Overig!AG350,""",""?00;"",""?-00;"",""?00;"", //"""),"'","""")&amp;SUBSTITUTE(TEXT(Overig!AH350,""",""???0;"",""??-0;"",""???0;"", ///"""),"'","""")&amp;SUBSTITUTE(TEXT(Overig!AI350,""",""?00;"",""?-00;"",""?00;"", //"""),"'","""")&amp;SUBSTITUTE(TEXT(Overig!AJ350,""",""??0;"",""?-0;"",""??0;"", //"""),"'","""")&amp;SUBSTITUTE(TEXT(Overig!AK350,""",""?00;"",""?-00;"",""?00;"", //"""),"'","""")&amp;SUBSTITUTE(IF(EXACT(Overig!AL350,"—"),TEXT(Overig!AL350,""",""????0;"",""???-0;"",""????0;"", ////////////,"""),TEXT(Overig!AL350,"\, \'@""',""")&amp;REPT(" ",10-LEN(Overig!AL350))),"'","""")&amp;SUBSTITUTE(TEXT(Overig!AM350,"?00;?-00;?00;"" //"""),"'","""")&amp;SUBSTITUTE(TEXT(Overig!AN350,""",""???0;"",""??-0;"",""???0;"", ///"""),"'","""")&amp;SUBSTITUTE(TEXT(Overig!AO350,""",""?00;"",""?-00;"",""?00;"", //"""),"'","""")</f>
        <v>78989, 19131215, 0800, ////, 07, /////, 07, ////, 07, /////, 07, ////, 07, ////, 07, ////, 07, ////, 07, ///, 07, ///, 07, ////, 07, ////, 07, ///, 07, ////, 07, ////, 07, ///, 07, //, 07, ////////////, 07, ///, 07</v>
      </c>
    </row>
    <row r="351" spans="1:1" x14ac:dyDescent="0.25">
      <c r="A351" s="75" t="str">
        <f ca="1">TEXT(Overig!A351,"000\,")&amp;TEXT(Overig!B351,"?00000000")&amp;TEXT(Overig!C351,""", ""0000")&amp;SUBSTITUTE(TEXT(IF(ISTEXT(Overig!D351),Overig!D351,10*Overig!D351),""",""????0;"",""???-0;"",""????0;"", ////"""),"'","""")&amp;SUBSTITUTE(TEXT(Overig!E351,""",""?00;"",""?-00;"",""?00;"", //"""),"'","""")&amp;SUBSTITUTE(TEXT(IF(ISTEXT(Overig!F351),Overig!F351,100*Overig!F351),""",""?????0;"",""????-0;"",""?????0;"", /////"""),"'","""")&amp;SUBSTITUTE(TEXT(Overig!G351,""",""?00;"",""?-00;"",""?00;"", //"""),"'","""")&amp;SUBSTITUTE(TEXT(IF(ISTEXT(Overig!H351),Overig!H351,100*Overig!H351),""",""????0;"",""???-0;"",""????0;"", ////"""),"'","""")&amp;SUBSTITUTE(TEXT(Overig!I351,""",""?00;"",""?-00;"",""?00;"", //"""),"'","""")&amp;SUBSTITUTE(TEXT(IF(ISTEXT(Overig!J351),Overig!J351,100*Overig!J351),""",""?????0;"",""????-0;"",""?????0;"", /////"""),"'","""")&amp;SUBSTITUTE(TEXT(Overig!K351,""",""?00;"",""?-00;"",""?00;"", //"""),"'","""")&amp;SUBSTITUTE(TEXT(IF(ISTEXT(Overig!L351),Overig!L351,10*Overig!L351),""",""????0;"",""???-0;"",""????0;"", ////"""),"'","""")&amp;SUBSTITUTE(TEXT(Overig!M351,""",""?00;"",""?-00;"",""?00;"", //"""),"'","""")&amp;SUBSTITUTE(TEXT(IF(ISTEXT(Overig!N351),Overig!N351,10*Overig!N351),""",""????0;"",""???-0;"",""????0;"", ////"""),"'","""")&amp;SUBSTITUTE(TEXT(Overig!O351,""",""?00;"",""?-00;"",""?00;"", //"""),"'","""")&amp;SUBSTITUTE(TEXT(IF(ISTEXT(Overig!P351),Overig!P351,10*Overig!P351),""",""????0;"",""???-0;"",""????0;"", ////"""),"'","""")&amp;SUBSTITUTE(TEXT(Overig!Q351,""",""?00;"",""?-00;"",""?00;"", //"""),"'","""")&amp;SUBSTITUTE(TEXT(IF(ISTEXT(Overig!R351),Overig!R351,10*Overig!R351),""",""????0;"",""???-0;"",""????0;"", ////"""),"'","""")&amp;SUBSTITUTE(TEXT(Overig!S351,""",""?00;"",""?-00;"",""?00;"", //"""),"'","""")&amp;SUBSTITUTE(TEXT(Overig!T351,""",""???0;"",""??-0;"",""???0;"", ///"""),"'","""")&amp;SUBSTITUTE(TEXT(Overig!U351,""",""?00;"",""?-00;"",""?00;"", //"""),"'","""")&amp;SUBSTITUTE(TEXT(IF(ISTEXT(Overig!V351),Overig!V351,10*Overig!V351),""",""???0;"",""??-0;"",""???0;"", ///"""),"'","""")&amp;SUBSTITUTE(TEXT(Overig!W351,""",""?00;"",""?-00;"",""?00;"", //"""),"'","""")&amp;SUBSTITUTE(TEXT(IF(ISTEXT(Overig!X351),Overig!X351,10*Overig!X351),""",""????0;"",""???-0;"",""????0;"", ////"""),"'","""")&amp;SUBSTITUTE(TEXT(Overig!Y351,""",""?00;"",""?-00;"",""?00;"", //"""),"'","""")&amp;SUBSTITUTE(TEXT(IF(ISTEXT(Overig!Z351),Overig!Z351,10*Overig!Z351),""",""????0;"",""???-0;"",""????0;"", ////"""),"'","""")&amp;SUBSTITUTE(TEXT(Overig!AA351,""",""?00;"",""?-00;"",""?00;"", //"""),"'","""")&amp;SUBSTITUTE(TEXT(Overig!AB351,""",""???0;"",""??-0;"",""???0;"", ///"""),"'","""")&amp;SUBSTITUTE(TEXT(Overig!AC351,""",""?00;"",""?-00;"",""?00;"", //"""),"'","""")&amp;SUBSTITUTE(TEXT(IF(ISTEXT(Overig!AD351),Overig!AD351,10*Overig!AD351),""",""????0;"",""???-0;"",""????0;"", ////"""),"'","""")&amp;SUBSTITUTE(TEXT(Overig!AE351,""",""?00;"",""?-00;"",""?00;"", //"""),"'","""")&amp;SUBSTITUTE(TEXT(IF(ISTEXT(Overig!AF351),Overig!AF351,10*Overig!AF351),""",""????0;"",""???-0;"",""????0;"", ////"""),"'","""")&amp;SUBSTITUTE(TEXT(Overig!AG351,""",""?00;"",""?-00;"",""?00;"", //"""),"'","""")&amp;SUBSTITUTE(TEXT(Overig!AH351,""",""???0;"",""??-0;"",""???0;"", ///"""),"'","""")&amp;SUBSTITUTE(TEXT(Overig!AI351,""",""?00;"",""?-00;"",""?00;"", //"""),"'","""")&amp;SUBSTITUTE(TEXT(Overig!AJ351,""",""??0;"",""?-0;"",""??0;"", //"""),"'","""")&amp;SUBSTITUTE(TEXT(Overig!AK351,""",""?00;"",""?-00;"",""?00;"", //"""),"'","""")&amp;SUBSTITUTE(IF(EXACT(Overig!AL351,"—"),TEXT(Overig!AL351,""",""????0;"",""???-0;"",""????0;"", ////////////,"""),TEXT(Overig!AL351,"\, \'@""',""")&amp;REPT(" ",10-LEN(Overig!AL351))),"'","""")&amp;SUBSTITUTE(TEXT(Overig!AM351,"?00;?-00;?00;"" //"""),"'","""")&amp;SUBSTITUTE(TEXT(Overig!AN351,""",""???0;"",""??-0;"",""???0;"", ///"""),"'","""")&amp;SUBSTITUTE(TEXT(Overig!AO351,""",""?00;"",""?-00;"",""?00;"", //"""),"'","""")</f>
        <v>78989, 19131216, 0800, ////, 07, /////, 07, ////, 07, /////, 07, ////, 07, ////, 07, ////, 07, ////, 07, ///, 07, ///, 07, ////, 07, ////, 07, ///, 07, ////, 07, ////, 07, ///, 07, //, 07, ////////////, 07, ///, 07</v>
      </c>
    </row>
    <row r="352" spans="1:1" x14ac:dyDescent="0.25">
      <c r="A352" s="75" t="str">
        <f ca="1">TEXT(Overig!A352,"000\,")&amp;TEXT(Overig!B352,"?00000000")&amp;TEXT(Overig!C352,""", ""0000")&amp;SUBSTITUTE(TEXT(IF(ISTEXT(Overig!D352),Overig!D352,10*Overig!D352),""",""????0;"",""???-0;"",""????0;"", ////"""),"'","""")&amp;SUBSTITUTE(TEXT(Overig!E352,""",""?00;"",""?-00;"",""?00;"", //"""),"'","""")&amp;SUBSTITUTE(TEXT(IF(ISTEXT(Overig!F352),Overig!F352,100*Overig!F352),""",""?????0;"",""????-0;"",""?????0;"", /////"""),"'","""")&amp;SUBSTITUTE(TEXT(Overig!G352,""",""?00;"",""?-00;"",""?00;"", //"""),"'","""")&amp;SUBSTITUTE(TEXT(IF(ISTEXT(Overig!H352),Overig!H352,100*Overig!H352),""",""????0;"",""???-0;"",""????0;"", ////"""),"'","""")&amp;SUBSTITUTE(TEXT(Overig!I352,""",""?00;"",""?-00;"",""?00;"", //"""),"'","""")&amp;SUBSTITUTE(TEXT(IF(ISTEXT(Overig!J352),Overig!J352,100*Overig!J352),""",""?????0;"",""????-0;"",""?????0;"", /////"""),"'","""")&amp;SUBSTITUTE(TEXT(Overig!K352,""",""?00;"",""?-00;"",""?00;"", //"""),"'","""")&amp;SUBSTITUTE(TEXT(IF(ISTEXT(Overig!L352),Overig!L352,10*Overig!L352),""",""????0;"",""???-0;"",""????0;"", ////"""),"'","""")&amp;SUBSTITUTE(TEXT(Overig!M352,""",""?00;"",""?-00;"",""?00;"", //"""),"'","""")&amp;SUBSTITUTE(TEXT(IF(ISTEXT(Overig!N352),Overig!N352,10*Overig!N352),""",""????0;"",""???-0;"",""????0;"", ////"""),"'","""")&amp;SUBSTITUTE(TEXT(Overig!O352,""",""?00;"",""?-00;"",""?00;"", //"""),"'","""")&amp;SUBSTITUTE(TEXT(IF(ISTEXT(Overig!P352),Overig!P352,10*Overig!P352),""",""????0;"",""???-0;"",""????0;"", ////"""),"'","""")&amp;SUBSTITUTE(TEXT(Overig!Q352,""",""?00;"",""?-00;"",""?00;"", //"""),"'","""")&amp;SUBSTITUTE(TEXT(IF(ISTEXT(Overig!R352),Overig!R352,10*Overig!R352),""",""????0;"",""???-0;"",""????0;"", ////"""),"'","""")&amp;SUBSTITUTE(TEXT(Overig!S352,""",""?00;"",""?-00;"",""?00;"", //"""),"'","""")&amp;SUBSTITUTE(TEXT(Overig!T352,""",""???0;"",""??-0;"",""???0;"", ///"""),"'","""")&amp;SUBSTITUTE(TEXT(Overig!U352,""",""?00;"",""?-00;"",""?00;"", //"""),"'","""")&amp;SUBSTITUTE(TEXT(IF(ISTEXT(Overig!V352),Overig!V352,10*Overig!V352),""",""???0;"",""??-0;"",""???0;"", ///"""),"'","""")&amp;SUBSTITUTE(TEXT(Overig!W352,""",""?00;"",""?-00;"",""?00;"", //"""),"'","""")&amp;SUBSTITUTE(TEXT(IF(ISTEXT(Overig!X352),Overig!X352,10*Overig!X352),""",""????0;"",""???-0;"",""????0;"", ////"""),"'","""")&amp;SUBSTITUTE(TEXT(Overig!Y352,""",""?00;"",""?-00;"",""?00;"", //"""),"'","""")&amp;SUBSTITUTE(TEXT(IF(ISTEXT(Overig!Z352),Overig!Z352,10*Overig!Z352),""",""????0;"",""???-0;"",""????0;"", ////"""),"'","""")&amp;SUBSTITUTE(TEXT(Overig!AA352,""",""?00;"",""?-00;"",""?00;"", //"""),"'","""")&amp;SUBSTITUTE(TEXT(Overig!AB352,""",""???0;"",""??-0;"",""???0;"", ///"""),"'","""")&amp;SUBSTITUTE(TEXT(Overig!AC352,""",""?00;"",""?-00;"",""?00;"", //"""),"'","""")&amp;SUBSTITUTE(TEXT(IF(ISTEXT(Overig!AD352),Overig!AD352,10*Overig!AD352),""",""????0;"",""???-0;"",""????0;"", ////"""),"'","""")&amp;SUBSTITUTE(TEXT(Overig!AE352,""",""?00;"",""?-00;"",""?00;"", //"""),"'","""")&amp;SUBSTITUTE(TEXT(IF(ISTEXT(Overig!AF352),Overig!AF352,10*Overig!AF352),""",""????0;"",""???-0;"",""????0;"", ////"""),"'","""")&amp;SUBSTITUTE(TEXT(Overig!AG352,""",""?00;"",""?-00;"",""?00;"", //"""),"'","""")&amp;SUBSTITUTE(TEXT(Overig!AH352,""",""???0;"",""??-0;"",""???0;"", ///"""),"'","""")&amp;SUBSTITUTE(TEXT(Overig!AI352,""",""?00;"",""?-00;"",""?00;"", //"""),"'","""")&amp;SUBSTITUTE(TEXT(Overig!AJ352,""",""??0;"",""?-0;"",""??0;"", //"""),"'","""")&amp;SUBSTITUTE(TEXT(Overig!AK352,""",""?00;"",""?-00;"",""?00;"", //"""),"'","""")&amp;SUBSTITUTE(IF(EXACT(Overig!AL352,"—"),TEXT(Overig!AL352,""",""????0;"",""???-0;"",""????0;"", ////////////,"""),TEXT(Overig!AL352,"\, \'@""',""")&amp;REPT(" ",10-LEN(Overig!AL352))),"'","""")&amp;SUBSTITUTE(TEXT(Overig!AM352,"?00;?-00;?00;"" //"""),"'","""")&amp;SUBSTITUTE(TEXT(Overig!AN352,""",""???0;"",""??-0;"",""???0;"", ///"""),"'","""")&amp;SUBSTITUTE(TEXT(Overig!AO352,""",""?00;"",""?-00;"",""?00;"", //"""),"'","""")</f>
        <v>78989, 19131217, 0800, ////, 07, /////, 07, ////, 07, /////, 07, ////, 07, ////, 07, ////, 07, ////, 07, ///, 07, ///, 07, ////, 07, ////, 07, ///, 07, ////, 07, ////, 07, ///, 07, //, 07, ////////////, 07, ///, 07</v>
      </c>
    </row>
    <row r="353" spans="1:1" x14ac:dyDescent="0.25">
      <c r="A353" s="75" t="str">
        <f ca="1">TEXT(Overig!A353,"000\,")&amp;TEXT(Overig!B353,"?00000000")&amp;TEXT(Overig!C353,""", ""0000")&amp;SUBSTITUTE(TEXT(IF(ISTEXT(Overig!D353),Overig!D353,10*Overig!D353),""",""????0;"",""???-0;"",""????0;"", ////"""),"'","""")&amp;SUBSTITUTE(TEXT(Overig!E353,""",""?00;"",""?-00;"",""?00;"", //"""),"'","""")&amp;SUBSTITUTE(TEXT(IF(ISTEXT(Overig!F353),Overig!F353,100*Overig!F353),""",""?????0;"",""????-0;"",""?????0;"", /////"""),"'","""")&amp;SUBSTITUTE(TEXT(Overig!G353,""",""?00;"",""?-00;"",""?00;"", //"""),"'","""")&amp;SUBSTITUTE(TEXT(IF(ISTEXT(Overig!H353),Overig!H353,100*Overig!H353),""",""????0;"",""???-0;"",""????0;"", ////"""),"'","""")&amp;SUBSTITUTE(TEXT(Overig!I353,""",""?00;"",""?-00;"",""?00;"", //"""),"'","""")&amp;SUBSTITUTE(TEXT(IF(ISTEXT(Overig!J353),Overig!J353,100*Overig!J353),""",""?????0;"",""????-0;"",""?????0;"", /////"""),"'","""")&amp;SUBSTITUTE(TEXT(Overig!K353,""",""?00;"",""?-00;"",""?00;"", //"""),"'","""")&amp;SUBSTITUTE(TEXT(IF(ISTEXT(Overig!L353),Overig!L353,10*Overig!L353),""",""????0;"",""???-0;"",""????0;"", ////"""),"'","""")&amp;SUBSTITUTE(TEXT(Overig!M353,""",""?00;"",""?-00;"",""?00;"", //"""),"'","""")&amp;SUBSTITUTE(TEXT(IF(ISTEXT(Overig!N353),Overig!N353,10*Overig!N353),""",""????0;"",""???-0;"",""????0;"", ////"""),"'","""")&amp;SUBSTITUTE(TEXT(Overig!O353,""",""?00;"",""?-00;"",""?00;"", //"""),"'","""")&amp;SUBSTITUTE(TEXT(IF(ISTEXT(Overig!P353),Overig!P353,10*Overig!P353),""",""????0;"",""???-0;"",""????0;"", ////"""),"'","""")&amp;SUBSTITUTE(TEXT(Overig!Q353,""",""?00;"",""?-00;"",""?00;"", //"""),"'","""")&amp;SUBSTITUTE(TEXT(IF(ISTEXT(Overig!R353),Overig!R353,10*Overig!R353),""",""????0;"",""???-0;"",""????0;"", ////"""),"'","""")&amp;SUBSTITUTE(TEXT(Overig!S353,""",""?00;"",""?-00;"",""?00;"", //"""),"'","""")&amp;SUBSTITUTE(TEXT(Overig!T353,""",""???0;"",""??-0;"",""???0;"", ///"""),"'","""")&amp;SUBSTITUTE(TEXT(Overig!U353,""",""?00;"",""?-00;"",""?00;"", //"""),"'","""")&amp;SUBSTITUTE(TEXT(IF(ISTEXT(Overig!V353),Overig!V353,10*Overig!V353),""",""???0;"",""??-0;"",""???0;"", ///"""),"'","""")&amp;SUBSTITUTE(TEXT(Overig!W353,""",""?00;"",""?-00;"",""?00;"", //"""),"'","""")&amp;SUBSTITUTE(TEXT(IF(ISTEXT(Overig!X353),Overig!X353,10*Overig!X353),""",""????0;"",""???-0;"",""????0;"", ////"""),"'","""")&amp;SUBSTITUTE(TEXT(Overig!Y353,""",""?00;"",""?-00;"",""?00;"", //"""),"'","""")&amp;SUBSTITUTE(TEXT(IF(ISTEXT(Overig!Z353),Overig!Z353,10*Overig!Z353),""",""????0;"",""???-0;"",""????0;"", ////"""),"'","""")&amp;SUBSTITUTE(TEXT(Overig!AA353,""",""?00;"",""?-00;"",""?00;"", //"""),"'","""")&amp;SUBSTITUTE(TEXT(Overig!AB353,""",""???0;"",""??-0;"",""???0;"", ///"""),"'","""")&amp;SUBSTITUTE(TEXT(Overig!AC353,""",""?00;"",""?-00;"",""?00;"", //"""),"'","""")&amp;SUBSTITUTE(TEXT(IF(ISTEXT(Overig!AD353),Overig!AD353,10*Overig!AD353),""",""????0;"",""???-0;"",""????0;"", ////"""),"'","""")&amp;SUBSTITUTE(TEXT(Overig!AE353,""",""?00;"",""?-00;"",""?00;"", //"""),"'","""")&amp;SUBSTITUTE(TEXT(IF(ISTEXT(Overig!AF353),Overig!AF353,10*Overig!AF353),""",""????0;"",""???-0;"",""????0;"", ////"""),"'","""")&amp;SUBSTITUTE(TEXT(Overig!AG353,""",""?00;"",""?-00;"",""?00;"", //"""),"'","""")&amp;SUBSTITUTE(TEXT(Overig!AH353,""",""???0;"",""??-0;"",""???0;"", ///"""),"'","""")&amp;SUBSTITUTE(TEXT(Overig!AI353,""",""?00;"",""?-00;"",""?00;"", //"""),"'","""")&amp;SUBSTITUTE(TEXT(Overig!AJ353,""",""??0;"",""?-0;"",""??0;"", //"""),"'","""")&amp;SUBSTITUTE(TEXT(Overig!AK353,""",""?00;"",""?-00;"",""?00;"", //"""),"'","""")&amp;SUBSTITUTE(IF(EXACT(Overig!AL353,"—"),TEXT(Overig!AL353,""",""????0;"",""???-0;"",""????0;"", ////////////,"""),TEXT(Overig!AL353,"\, \'@""',""")&amp;REPT(" ",10-LEN(Overig!AL353))),"'","""")&amp;SUBSTITUTE(TEXT(Overig!AM353,"?00;?-00;?00;"" //"""),"'","""")&amp;SUBSTITUTE(TEXT(Overig!AN353,""",""???0;"",""??-0;"",""???0;"", ///"""),"'","""")&amp;SUBSTITUTE(TEXT(Overig!AO353,""",""?00;"",""?-00;"",""?00;"", //"""),"'","""")</f>
        <v>78989, 19131218, 0800, ////, 07, /////, 07, ////, 07, /////, 07, ////, 07, ////, 07, ////, 07, ////, 07, ///, 07, ///, 07, ////, 07, ////, 07, ///, 07, ////, 07, ////, 07, ///, 07, //, 07, ////////////, 07, ///, 07</v>
      </c>
    </row>
    <row r="354" spans="1:1" x14ac:dyDescent="0.25">
      <c r="A354" s="75" t="str">
        <f ca="1">TEXT(Overig!A354,"000\,")&amp;TEXT(Overig!B354,"?00000000")&amp;TEXT(Overig!C354,""", ""0000")&amp;SUBSTITUTE(TEXT(IF(ISTEXT(Overig!D354),Overig!D354,10*Overig!D354),""",""????0;"",""???-0;"",""????0;"", ////"""),"'","""")&amp;SUBSTITUTE(TEXT(Overig!E354,""",""?00;"",""?-00;"",""?00;"", //"""),"'","""")&amp;SUBSTITUTE(TEXT(IF(ISTEXT(Overig!F354),Overig!F354,100*Overig!F354),""",""?????0;"",""????-0;"",""?????0;"", /////"""),"'","""")&amp;SUBSTITUTE(TEXT(Overig!G354,""",""?00;"",""?-00;"",""?00;"", //"""),"'","""")&amp;SUBSTITUTE(TEXT(IF(ISTEXT(Overig!H354),Overig!H354,100*Overig!H354),""",""????0;"",""???-0;"",""????0;"", ////"""),"'","""")&amp;SUBSTITUTE(TEXT(Overig!I354,""",""?00;"",""?-00;"",""?00;"", //"""),"'","""")&amp;SUBSTITUTE(TEXT(IF(ISTEXT(Overig!J354),Overig!J354,100*Overig!J354),""",""?????0;"",""????-0;"",""?????0;"", /////"""),"'","""")&amp;SUBSTITUTE(TEXT(Overig!K354,""",""?00;"",""?-00;"",""?00;"", //"""),"'","""")&amp;SUBSTITUTE(TEXT(IF(ISTEXT(Overig!L354),Overig!L354,10*Overig!L354),""",""????0;"",""???-0;"",""????0;"", ////"""),"'","""")&amp;SUBSTITUTE(TEXT(Overig!M354,""",""?00;"",""?-00;"",""?00;"", //"""),"'","""")&amp;SUBSTITUTE(TEXT(IF(ISTEXT(Overig!N354),Overig!N354,10*Overig!N354),""",""????0;"",""???-0;"",""????0;"", ////"""),"'","""")&amp;SUBSTITUTE(TEXT(Overig!O354,""",""?00;"",""?-00;"",""?00;"", //"""),"'","""")&amp;SUBSTITUTE(TEXT(IF(ISTEXT(Overig!P354),Overig!P354,10*Overig!P354),""",""????0;"",""???-0;"",""????0;"", ////"""),"'","""")&amp;SUBSTITUTE(TEXT(Overig!Q354,""",""?00;"",""?-00;"",""?00;"", //"""),"'","""")&amp;SUBSTITUTE(TEXT(IF(ISTEXT(Overig!R354),Overig!R354,10*Overig!R354),""",""????0;"",""???-0;"",""????0;"", ////"""),"'","""")&amp;SUBSTITUTE(TEXT(Overig!S354,""",""?00;"",""?-00;"",""?00;"", //"""),"'","""")&amp;SUBSTITUTE(TEXT(Overig!T354,""",""???0;"",""??-0;"",""???0;"", ///"""),"'","""")&amp;SUBSTITUTE(TEXT(Overig!U354,""",""?00;"",""?-00;"",""?00;"", //"""),"'","""")&amp;SUBSTITUTE(TEXT(IF(ISTEXT(Overig!V354),Overig!V354,10*Overig!V354),""",""???0;"",""??-0;"",""???0;"", ///"""),"'","""")&amp;SUBSTITUTE(TEXT(Overig!W354,""",""?00;"",""?-00;"",""?00;"", //"""),"'","""")&amp;SUBSTITUTE(TEXT(IF(ISTEXT(Overig!X354),Overig!X354,10*Overig!X354),""",""????0;"",""???-0;"",""????0;"", ////"""),"'","""")&amp;SUBSTITUTE(TEXT(Overig!Y354,""",""?00;"",""?-00;"",""?00;"", //"""),"'","""")&amp;SUBSTITUTE(TEXT(IF(ISTEXT(Overig!Z354),Overig!Z354,10*Overig!Z354),""",""????0;"",""???-0;"",""????0;"", ////"""),"'","""")&amp;SUBSTITUTE(TEXT(Overig!AA354,""",""?00;"",""?-00;"",""?00;"", //"""),"'","""")&amp;SUBSTITUTE(TEXT(Overig!AB354,""",""???0;"",""??-0;"",""???0;"", ///"""),"'","""")&amp;SUBSTITUTE(TEXT(Overig!AC354,""",""?00;"",""?-00;"",""?00;"", //"""),"'","""")&amp;SUBSTITUTE(TEXT(IF(ISTEXT(Overig!AD354),Overig!AD354,10*Overig!AD354),""",""????0;"",""???-0;"",""????0;"", ////"""),"'","""")&amp;SUBSTITUTE(TEXT(Overig!AE354,""",""?00;"",""?-00;"",""?00;"", //"""),"'","""")&amp;SUBSTITUTE(TEXT(IF(ISTEXT(Overig!AF354),Overig!AF354,10*Overig!AF354),""",""????0;"",""???-0;"",""????0;"", ////"""),"'","""")&amp;SUBSTITUTE(TEXT(Overig!AG354,""",""?00;"",""?-00;"",""?00;"", //"""),"'","""")&amp;SUBSTITUTE(TEXT(Overig!AH354,""",""???0;"",""??-0;"",""???0;"", ///"""),"'","""")&amp;SUBSTITUTE(TEXT(Overig!AI354,""",""?00;"",""?-00;"",""?00;"", //"""),"'","""")&amp;SUBSTITUTE(TEXT(Overig!AJ354,""",""??0;"",""?-0;"",""??0;"", //"""),"'","""")&amp;SUBSTITUTE(TEXT(Overig!AK354,""",""?00;"",""?-00;"",""?00;"", //"""),"'","""")&amp;SUBSTITUTE(IF(EXACT(Overig!AL354,"—"),TEXT(Overig!AL354,""",""????0;"",""???-0;"",""????0;"", ////////////,"""),TEXT(Overig!AL354,"\, \'@""',""")&amp;REPT(" ",10-LEN(Overig!AL354))),"'","""")&amp;SUBSTITUTE(TEXT(Overig!AM354,"?00;?-00;?00;"" //"""),"'","""")&amp;SUBSTITUTE(TEXT(Overig!AN354,""",""???0;"",""??-0;"",""???0;"", ///"""),"'","""")&amp;SUBSTITUTE(TEXT(Overig!AO354,""",""?00;"",""?-00;"",""?00;"", //"""),"'","""")</f>
        <v>78989, 19131219, 0800, ////, 07, /////, 07, ////, 07, /////, 07, ////, 07, ////, 07, ////, 07, ////, 07, ///, 07, ///, 07, ////, 07, ////, 07, ///, 07, ////, 07, ////, 07, ///, 07, //, 07, ////////////, 07, ///, 07</v>
      </c>
    </row>
    <row r="355" spans="1:1" x14ac:dyDescent="0.25">
      <c r="A355" s="75" t="str">
        <f ca="1">TEXT(Overig!A355,"000\,")&amp;TEXT(Overig!B355,"?00000000")&amp;TEXT(Overig!C355,""", ""0000")&amp;SUBSTITUTE(TEXT(IF(ISTEXT(Overig!D355),Overig!D355,10*Overig!D355),""",""????0;"",""???-0;"",""????0;"", ////"""),"'","""")&amp;SUBSTITUTE(TEXT(Overig!E355,""",""?00;"",""?-00;"",""?00;"", //"""),"'","""")&amp;SUBSTITUTE(TEXT(IF(ISTEXT(Overig!F355),Overig!F355,100*Overig!F355),""",""?????0;"",""????-0;"",""?????0;"", /////"""),"'","""")&amp;SUBSTITUTE(TEXT(Overig!G355,""",""?00;"",""?-00;"",""?00;"", //"""),"'","""")&amp;SUBSTITUTE(TEXT(IF(ISTEXT(Overig!H355),Overig!H355,100*Overig!H355),""",""????0;"",""???-0;"",""????0;"", ////"""),"'","""")&amp;SUBSTITUTE(TEXT(Overig!I355,""",""?00;"",""?-00;"",""?00;"", //"""),"'","""")&amp;SUBSTITUTE(TEXT(IF(ISTEXT(Overig!J355),Overig!J355,100*Overig!J355),""",""?????0;"",""????-0;"",""?????0;"", /////"""),"'","""")&amp;SUBSTITUTE(TEXT(Overig!K355,""",""?00;"",""?-00;"",""?00;"", //"""),"'","""")&amp;SUBSTITUTE(TEXT(IF(ISTEXT(Overig!L355),Overig!L355,10*Overig!L355),""",""????0;"",""???-0;"",""????0;"", ////"""),"'","""")&amp;SUBSTITUTE(TEXT(Overig!M355,""",""?00;"",""?-00;"",""?00;"", //"""),"'","""")&amp;SUBSTITUTE(TEXT(IF(ISTEXT(Overig!N355),Overig!N355,10*Overig!N355),""",""????0;"",""???-0;"",""????0;"", ////"""),"'","""")&amp;SUBSTITUTE(TEXT(Overig!O355,""",""?00;"",""?-00;"",""?00;"", //"""),"'","""")&amp;SUBSTITUTE(TEXT(IF(ISTEXT(Overig!P355),Overig!P355,10*Overig!P355),""",""????0;"",""???-0;"",""????0;"", ////"""),"'","""")&amp;SUBSTITUTE(TEXT(Overig!Q355,""",""?00;"",""?-00;"",""?00;"", //"""),"'","""")&amp;SUBSTITUTE(TEXT(IF(ISTEXT(Overig!R355),Overig!R355,10*Overig!R355),""",""????0;"",""???-0;"",""????0;"", ////"""),"'","""")&amp;SUBSTITUTE(TEXT(Overig!S355,""",""?00;"",""?-00;"",""?00;"", //"""),"'","""")&amp;SUBSTITUTE(TEXT(Overig!T355,""",""???0;"",""??-0;"",""???0;"", ///"""),"'","""")&amp;SUBSTITUTE(TEXT(Overig!U355,""",""?00;"",""?-00;"",""?00;"", //"""),"'","""")&amp;SUBSTITUTE(TEXT(IF(ISTEXT(Overig!V355),Overig!V355,10*Overig!V355),""",""???0;"",""??-0;"",""???0;"", ///"""),"'","""")&amp;SUBSTITUTE(TEXT(Overig!W355,""",""?00;"",""?-00;"",""?00;"", //"""),"'","""")&amp;SUBSTITUTE(TEXT(IF(ISTEXT(Overig!X355),Overig!X355,10*Overig!X355),""",""????0;"",""???-0;"",""????0;"", ////"""),"'","""")&amp;SUBSTITUTE(TEXT(Overig!Y355,""",""?00;"",""?-00;"",""?00;"", //"""),"'","""")&amp;SUBSTITUTE(TEXT(IF(ISTEXT(Overig!Z355),Overig!Z355,10*Overig!Z355),""",""????0;"",""???-0;"",""????0;"", ////"""),"'","""")&amp;SUBSTITUTE(TEXT(Overig!AA355,""",""?00;"",""?-00;"",""?00;"", //"""),"'","""")&amp;SUBSTITUTE(TEXT(Overig!AB355,""",""???0;"",""??-0;"",""???0;"", ///"""),"'","""")&amp;SUBSTITUTE(TEXT(Overig!AC355,""",""?00;"",""?-00;"",""?00;"", //"""),"'","""")&amp;SUBSTITUTE(TEXT(IF(ISTEXT(Overig!AD355),Overig!AD355,10*Overig!AD355),""",""????0;"",""???-0;"",""????0;"", ////"""),"'","""")&amp;SUBSTITUTE(TEXT(Overig!AE355,""",""?00;"",""?-00;"",""?00;"", //"""),"'","""")&amp;SUBSTITUTE(TEXT(IF(ISTEXT(Overig!AF355),Overig!AF355,10*Overig!AF355),""",""????0;"",""???-0;"",""????0;"", ////"""),"'","""")&amp;SUBSTITUTE(TEXT(Overig!AG355,""",""?00;"",""?-00;"",""?00;"", //"""),"'","""")&amp;SUBSTITUTE(TEXT(Overig!AH355,""",""???0;"",""??-0;"",""???0;"", ///"""),"'","""")&amp;SUBSTITUTE(TEXT(Overig!AI355,""",""?00;"",""?-00;"",""?00;"", //"""),"'","""")&amp;SUBSTITUTE(TEXT(Overig!AJ355,""",""??0;"",""?-0;"",""??0;"", //"""),"'","""")&amp;SUBSTITUTE(TEXT(Overig!AK355,""",""?00;"",""?-00;"",""?00;"", //"""),"'","""")&amp;SUBSTITUTE(IF(EXACT(Overig!AL355,"—"),TEXT(Overig!AL355,""",""????0;"",""???-0;"",""????0;"", ////////////,"""),TEXT(Overig!AL355,"\, \'@""',""")&amp;REPT(" ",10-LEN(Overig!AL355))),"'","""")&amp;SUBSTITUTE(TEXT(Overig!AM355,"?00;?-00;?00;"" //"""),"'","""")&amp;SUBSTITUTE(TEXT(Overig!AN355,""",""???0;"",""??-0;"",""???0;"", ///"""),"'","""")&amp;SUBSTITUTE(TEXT(Overig!AO355,""",""?00;"",""?-00;"",""?00;"", //"""),"'","""")</f>
        <v>78989, 19131220, 0800, ////, 07, /////, 07, ////, 07, /////, 07, ////, 07, ////, 07, ////, 07, ////, 07, ///, 07, ///, 07, ////, 07, ////, 07, ///, 07, ////, 07, ////, 07, ///, 07, //, 07, ////////////, 07, ///, 07</v>
      </c>
    </row>
    <row r="356" spans="1:1" x14ac:dyDescent="0.25">
      <c r="A356" s="75" t="str">
        <f ca="1">TEXT(Overig!A356,"000\,")&amp;TEXT(Overig!B356,"?00000000")&amp;TEXT(Overig!C356,""", ""0000")&amp;SUBSTITUTE(TEXT(IF(ISTEXT(Overig!D356),Overig!D356,10*Overig!D356),""",""????0;"",""???-0;"",""????0;"", ////"""),"'","""")&amp;SUBSTITUTE(TEXT(Overig!E356,""",""?00;"",""?-00;"",""?00;"", //"""),"'","""")&amp;SUBSTITUTE(TEXT(IF(ISTEXT(Overig!F356),Overig!F356,100*Overig!F356),""",""?????0;"",""????-0;"",""?????0;"", /////"""),"'","""")&amp;SUBSTITUTE(TEXT(Overig!G356,""",""?00;"",""?-00;"",""?00;"", //"""),"'","""")&amp;SUBSTITUTE(TEXT(IF(ISTEXT(Overig!H356),Overig!H356,100*Overig!H356),""",""????0;"",""???-0;"",""????0;"", ////"""),"'","""")&amp;SUBSTITUTE(TEXT(Overig!I356,""",""?00;"",""?-00;"",""?00;"", //"""),"'","""")&amp;SUBSTITUTE(TEXT(IF(ISTEXT(Overig!J356),Overig!J356,100*Overig!J356),""",""?????0;"",""????-0;"",""?????0;"", /////"""),"'","""")&amp;SUBSTITUTE(TEXT(Overig!K356,""",""?00;"",""?-00;"",""?00;"", //"""),"'","""")&amp;SUBSTITUTE(TEXT(IF(ISTEXT(Overig!L356),Overig!L356,10*Overig!L356),""",""????0;"",""???-0;"",""????0;"", ////"""),"'","""")&amp;SUBSTITUTE(TEXT(Overig!M356,""",""?00;"",""?-00;"",""?00;"", //"""),"'","""")&amp;SUBSTITUTE(TEXT(IF(ISTEXT(Overig!N356),Overig!N356,10*Overig!N356),""",""????0;"",""???-0;"",""????0;"", ////"""),"'","""")&amp;SUBSTITUTE(TEXT(Overig!O356,""",""?00;"",""?-00;"",""?00;"", //"""),"'","""")&amp;SUBSTITUTE(TEXT(IF(ISTEXT(Overig!P356),Overig!P356,10*Overig!P356),""",""????0;"",""???-0;"",""????0;"", ////"""),"'","""")&amp;SUBSTITUTE(TEXT(Overig!Q356,""",""?00;"",""?-00;"",""?00;"", //"""),"'","""")&amp;SUBSTITUTE(TEXT(IF(ISTEXT(Overig!R356),Overig!R356,10*Overig!R356),""",""????0;"",""???-0;"",""????0;"", ////"""),"'","""")&amp;SUBSTITUTE(TEXT(Overig!S356,""",""?00;"",""?-00;"",""?00;"", //"""),"'","""")&amp;SUBSTITUTE(TEXT(Overig!T356,""",""???0;"",""??-0;"",""???0;"", ///"""),"'","""")&amp;SUBSTITUTE(TEXT(Overig!U356,""",""?00;"",""?-00;"",""?00;"", //"""),"'","""")&amp;SUBSTITUTE(TEXT(IF(ISTEXT(Overig!V356),Overig!V356,10*Overig!V356),""",""???0;"",""??-0;"",""???0;"", ///"""),"'","""")&amp;SUBSTITUTE(TEXT(Overig!W356,""",""?00;"",""?-00;"",""?00;"", //"""),"'","""")&amp;SUBSTITUTE(TEXT(IF(ISTEXT(Overig!X356),Overig!X356,10*Overig!X356),""",""????0;"",""???-0;"",""????0;"", ////"""),"'","""")&amp;SUBSTITUTE(TEXT(Overig!Y356,""",""?00;"",""?-00;"",""?00;"", //"""),"'","""")&amp;SUBSTITUTE(TEXT(IF(ISTEXT(Overig!Z356),Overig!Z356,10*Overig!Z356),""",""????0;"",""???-0;"",""????0;"", ////"""),"'","""")&amp;SUBSTITUTE(TEXT(Overig!AA356,""",""?00;"",""?-00;"",""?00;"", //"""),"'","""")&amp;SUBSTITUTE(TEXT(Overig!AB356,""",""???0;"",""??-0;"",""???0;"", ///"""),"'","""")&amp;SUBSTITUTE(TEXT(Overig!AC356,""",""?00;"",""?-00;"",""?00;"", //"""),"'","""")&amp;SUBSTITUTE(TEXT(IF(ISTEXT(Overig!AD356),Overig!AD356,10*Overig!AD356),""",""????0;"",""???-0;"",""????0;"", ////"""),"'","""")&amp;SUBSTITUTE(TEXT(Overig!AE356,""",""?00;"",""?-00;"",""?00;"", //"""),"'","""")&amp;SUBSTITUTE(TEXT(IF(ISTEXT(Overig!AF356),Overig!AF356,10*Overig!AF356),""",""????0;"",""???-0;"",""????0;"", ////"""),"'","""")&amp;SUBSTITUTE(TEXT(Overig!AG356,""",""?00;"",""?-00;"",""?00;"", //"""),"'","""")&amp;SUBSTITUTE(TEXT(Overig!AH356,""",""???0;"",""??-0;"",""???0;"", ///"""),"'","""")&amp;SUBSTITUTE(TEXT(Overig!AI356,""",""?00;"",""?-00;"",""?00;"", //"""),"'","""")&amp;SUBSTITUTE(TEXT(Overig!AJ356,""",""??0;"",""?-0;"",""??0;"", //"""),"'","""")&amp;SUBSTITUTE(TEXT(Overig!AK356,""",""?00;"",""?-00;"",""?00;"", //"""),"'","""")&amp;SUBSTITUTE(IF(EXACT(Overig!AL356,"—"),TEXT(Overig!AL356,""",""????0;"",""???-0;"",""????0;"", ////////////,"""),TEXT(Overig!AL356,"\, \'@""',""")&amp;REPT(" ",10-LEN(Overig!AL356))),"'","""")&amp;SUBSTITUTE(TEXT(Overig!AM356,"?00;?-00;?00;"" //"""),"'","""")&amp;SUBSTITUTE(TEXT(Overig!AN356,""",""???0;"",""??-0;"",""???0;"", ///"""),"'","""")&amp;SUBSTITUTE(TEXT(Overig!AO356,""",""?00;"",""?-00;"",""?00;"", //"""),"'","""")</f>
        <v>78989, 19131221, 0800, ////, 07, /////, 07, ////, 07, /////, 07, ////, 07, ////, 07, ////, 07, ////, 07, ///, 07, ///, 07, ////, 07, ////, 07, ///, 07, ////, 07, ////, 07, ///, 07, //, 07, ////////////, 07, ///, 07</v>
      </c>
    </row>
    <row r="357" spans="1:1" x14ac:dyDescent="0.25">
      <c r="A357" s="75" t="str">
        <f ca="1">TEXT(Overig!A357,"000\,")&amp;TEXT(Overig!B357,"?00000000")&amp;TEXT(Overig!C357,""", ""0000")&amp;SUBSTITUTE(TEXT(IF(ISTEXT(Overig!D357),Overig!D357,10*Overig!D357),""",""????0;"",""???-0;"",""????0;"", ////"""),"'","""")&amp;SUBSTITUTE(TEXT(Overig!E357,""",""?00;"",""?-00;"",""?00;"", //"""),"'","""")&amp;SUBSTITUTE(TEXT(IF(ISTEXT(Overig!F357),Overig!F357,100*Overig!F357),""",""?????0;"",""????-0;"",""?????0;"", /////"""),"'","""")&amp;SUBSTITUTE(TEXT(Overig!G357,""",""?00;"",""?-00;"",""?00;"", //"""),"'","""")&amp;SUBSTITUTE(TEXT(IF(ISTEXT(Overig!H357),Overig!H357,100*Overig!H357),""",""????0;"",""???-0;"",""????0;"", ////"""),"'","""")&amp;SUBSTITUTE(TEXT(Overig!I357,""",""?00;"",""?-00;"",""?00;"", //"""),"'","""")&amp;SUBSTITUTE(TEXT(IF(ISTEXT(Overig!J357),Overig!J357,100*Overig!J357),""",""?????0;"",""????-0;"",""?????0;"", /////"""),"'","""")&amp;SUBSTITUTE(TEXT(Overig!K357,""",""?00;"",""?-00;"",""?00;"", //"""),"'","""")&amp;SUBSTITUTE(TEXT(IF(ISTEXT(Overig!L357),Overig!L357,10*Overig!L357),""",""????0;"",""???-0;"",""????0;"", ////"""),"'","""")&amp;SUBSTITUTE(TEXT(Overig!M357,""",""?00;"",""?-00;"",""?00;"", //"""),"'","""")&amp;SUBSTITUTE(TEXT(IF(ISTEXT(Overig!N357),Overig!N357,10*Overig!N357),""",""????0;"",""???-0;"",""????0;"", ////"""),"'","""")&amp;SUBSTITUTE(TEXT(Overig!O357,""",""?00;"",""?-00;"",""?00;"", //"""),"'","""")&amp;SUBSTITUTE(TEXT(IF(ISTEXT(Overig!P357),Overig!P357,10*Overig!P357),""",""????0;"",""???-0;"",""????0;"", ////"""),"'","""")&amp;SUBSTITUTE(TEXT(Overig!Q357,""",""?00;"",""?-00;"",""?00;"", //"""),"'","""")&amp;SUBSTITUTE(TEXT(IF(ISTEXT(Overig!R357),Overig!R357,10*Overig!R357),""",""????0;"",""???-0;"",""????0;"", ////"""),"'","""")&amp;SUBSTITUTE(TEXT(Overig!S357,""",""?00;"",""?-00;"",""?00;"", //"""),"'","""")&amp;SUBSTITUTE(TEXT(Overig!T357,""",""???0;"",""??-0;"",""???0;"", ///"""),"'","""")&amp;SUBSTITUTE(TEXT(Overig!U357,""",""?00;"",""?-00;"",""?00;"", //"""),"'","""")&amp;SUBSTITUTE(TEXT(IF(ISTEXT(Overig!V357),Overig!V357,10*Overig!V357),""",""???0;"",""??-0;"",""???0;"", ///"""),"'","""")&amp;SUBSTITUTE(TEXT(Overig!W357,""",""?00;"",""?-00;"",""?00;"", //"""),"'","""")&amp;SUBSTITUTE(TEXT(IF(ISTEXT(Overig!X357),Overig!X357,10*Overig!X357),""",""????0;"",""???-0;"",""????0;"", ////"""),"'","""")&amp;SUBSTITUTE(TEXT(Overig!Y357,""",""?00;"",""?-00;"",""?00;"", //"""),"'","""")&amp;SUBSTITUTE(TEXT(IF(ISTEXT(Overig!Z357),Overig!Z357,10*Overig!Z357),""",""????0;"",""???-0;"",""????0;"", ////"""),"'","""")&amp;SUBSTITUTE(TEXT(Overig!AA357,""",""?00;"",""?-00;"",""?00;"", //"""),"'","""")&amp;SUBSTITUTE(TEXT(Overig!AB357,""",""???0;"",""??-0;"",""???0;"", ///"""),"'","""")&amp;SUBSTITUTE(TEXT(Overig!AC357,""",""?00;"",""?-00;"",""?00;"", //"""),"'","""")&amp;SUBSTITUTE(TEXT(IF(ISTEXT(Overig!AD357),Overig!AD357,10*Overig!AD357),""",""????0;"",""???-0;"",""????0;"", ////"""),"'","""")&amp;SUBSTITUTE(TEXT(Overig!AE357,""",""?00;"",""?-00;"",""?00;"", //"""),"'","""")&amp;SUBSTITUTE(TEXT(IF(ISTEXT(Overig!AF357),Overig!AF357,10*Overig!AF357),""",""????0;"",""???-0;"",""????0;"", ////"""),"'","""")&amp;SUBSTITUTE(TEXT(Overig!AG357,""",""?00;"",""?-00;"",""?00;"", //"""),"'","""")&amp;SUBSTITUTE(TEXT(Overig!AH357,""",""???0;"",""??-0;"",""???0;"", ///"""),"'","""")&amp;SUBSTITUTE(TEXT(Overig!AI357,""",""?00;"",""?-00;"",""?00;"", //"""),"'","""")&amp;SUBSTITUTE(TEXT(Overig!AJ357,""",""??0;"",""?-0;"",""??0;"", //"""),"'","""")&amp;SUBSTITUTE(TEXT(Overig!AK357,""",""?00;"",""?-00;"",""?00;"", //"""),"'","""")&amp;SUBSTITUTE(IF(EXACT(Overig!AL357,"—"),TEXT(Overig!AL357,""",""????0;"",""???-0;"",""????0;"", ////////////,"""),TEXT(Overig!AL357,"\, \'@""',""")&amp;REPT(" ",10-LEN(Overig!AL357))),"'","""")&amp;SUBSTITUTE(TEXT(Overig!AM357,"?00;?-00;?00;"" //"""),"'","""")&amp;SUBSTITUTE(TEXT(Overig!AN357,""",""???0;"",""??-0;"",""???0;"", ///"""),"'","""")&amp;SUBSTITUTE(TEXT(Overig!AO357,""",""?00;"",""?-00;"",""?00;"", //"""),"'","""")</f>
        <v>78989, 19131222, 0800, ////, 07, /////, 07, ////, 07, /////, 07, ////, 07, ////, 07, ////, 07, ////, 07, ///, 07, ///, 07, ////, 07, ////, 07, ///, 07, ////, 07, ////, 07, ///, 07, //, 07, ////////////, 07, ///, 07</v>
      </c>
    </row>
    <row r="358" spans="1:1" x14ac:dyDescent="0.25">
      <c r="A358" s="75" t="str">
        <f ca="1">TEXT(Overig!A358,"000\,")&amp;TEXT(Overig!B358,"?00000000")&amp;TEXT(Overig!C358,""", ""0000")&amp;SUBSTITUTE(TEXT(IF(ISTEXT(Overig!D358),Overig!D358,10*Overig!D358),""",""????0;"",""???-0;"",""????0;"", ////"""),"'","""")&amp;SUBSTITUTE(TEXT(Overig!E358,""",""?00;"",""?-00;"",""?00;"", //"""),"'","""")&amp;SUBSTITUTE(TEXT(IF(ISTEXT(Overig!F358),Overig!F358,100*Overig!F358),""",""?????0;"",""????-0;"",""?????0;"", /////"""),"'","""")&amp;SUBSTITUTE(TEXT(Overig!G358,""",""?00;"",""?-00;"",""?00;"", //"""),"'","""")&amp;SUBSTITUTE(TEXT(IF(ISTEXT(Overig!H358),Overig!H358,100*Overig!H358),""",""????0;"",""???-0;"",""????0;"", ////"""),"'","""")&amp;SUBSTITUTE(TEXT(Overig!I358,""",""?00;"",""?-00;"",""?00;"", //"""),"'","""")&amp;SUBSTITUTE(TEXT(IF(ISTEXT(Overig!J358),Overig!J358,100*Overig!J358),""",""?????0;"",""????-0;"",""?????0;"", /////"""),"'","""")&amp;SUBSTITUTE(TEXT(Overig!K358,""",""?00;"",""?-00;"",""?00;"", //"""),"'","""")&amp;SUBSTITUTE(TEXT(IF(ISTEXT(Overig!L358),Overig!L358,10*Overig!L358),""",""????0;"",""???-0;"",""????0;"", ////"""),"'","""")&amp;SUBSTITUTE(TEXT(Overig!M358,""",""?00;"",""?-00;"",""?00;"", //"""),"'","""")&amp;SUBSTITUTE(TEXT(IF(ISTEXT(Overig!N358),Overig!N358,10*Overig!N358),""",""????0;"",""???-0;"",""????0;"", ////"""),"'","""")&amp;SUBSTITUTE(TEXT(Overig!O358,""",""?00;"",""?-00;"",""?00;"", //"""),"'","""")&amp;SUBSTITUTE(TEXT(IF(ISTEXT(Overig!P358),Overig!P358,10*Overig!P358),""",""????0;"",""???-0;"",""????0;"", ////"""),"'","""")&amp;SUBSTITUTE(TEXT(Overig!Q358,""",""?00;"",""?-00;"",""?00;"", //"""),"'","""")&amp;SUBSTITUTE(TEXT(IF(ISTEXT(Overig!R358),Overig!R358,10*Overig!R358),""",""????0;"",""???-0;"",""????0;"", ////"""),"'","""")&amp;SUBSTITUTE(TEXT(Overig!S358,""",""?00;"",""?-00;"",""?00;"", //"""),"'","""")&amp;SUBSTITUTE(TEXT(Overig!T358,""",""???0;"",""??-0;"",""???0;"", ///"""),"'","""")&amp;SUBSTITUTE(TEXT(Overig!U358,""",""?00;"",""?-00;"",""?00;"", //"""),"'","""")&amp;SUBSTITUTE(TEXT(IF(ISTEXT(Overig!V358),Overig!V358,10*Overig!V358),""",""???0;"",""??-0;"",""???0;"", ///"""),"'","""")&amp;SUBSTITUTE(TEXT(Overig!W358,""",""?00;"",""?-00;"",""?00;"", //"""),"'","""")&amp;SUBSTITUTE(TEXT(IF(ISTEXT(Overig!X358),Overig!X358,10*Overig!X358),""",""????0;"",""???-0;"",""????0;"", ////"""),"'","""")&amp;SUBSTITUTE(TEXT(Overig!Y358,""",""?00;"",""?-00;"",""?00;"", //"""),"'","""")&amp;SUBSTITUTE(TEXT(IF(ISTEXT(Overig!Z358),Overig!Z358,10*Overig!Z358),""",""????0;"",""???-0;"",""????0;"", ////"""),"'","""")&amp;SUBSTITUTE(TEXT(Overig!AA358,""",""?00;"",""?-00;"",""?00;"", //"""),"'","""")&amp;SUBSTITUTE(TEXT(Overig!AB358,""",""???0;"",""??-0;"",""???0;"", ///"""),"'","""")&amp;SUBSTITUTE(TEXT(Overig!AC358,""",""?00;"",""?-00;"",""?00;"", //"""),"'","""")&amp;SUBSTITUTE(TEXT(IF(ISTEXT(Overig!AD358),Overig!AD358,10*Overig!AD358),""",""????0;"",""???-0;"",""????0;"", ////"""),"'","""")&amp;SUBSTITUTE(TEXT(Overig!AE358,""",""?00;"",""?-00;"",""?00;"", //"""),"'","""")&amp;SUBSTITUTE(TEXT(IF(ISTEXT(Overig!AF358),Overig!AF358,10*Overig!AF358),""",""????0;"",""???-0;"",""????0;"", ////"""),"'","""")&amp;SUBSTITUTE(TEXT(Overig!AG358,""",""?00;"",""?-00;"",""?00;"", //"""),"'","""")&amp;SUBSTITUTE(TEXT(Overig!AH358,""",""???0;"",""??-0;"",""???0;"", ///"""),"'","""")&amp;SUBSTITUTE(TEXT(Overig!AI358,""",""?00;"",""?-00;"",""?00;"", //"""),"'","""")&amp;SUBSTITUTE(TEXT(Overig!AJ358,""",""??0;"",""?-0;"",""??0;"", //"""),"'","""")&amp;SUBSTITUTE(TEXT(Overig!AK358,""",""?00;"",""?-00;"",""?00;"", //"""),"'","""")&amp;SUBSTITUTE(IF(EXACT(Overig!AL358,"—"),TEXT(Overig!AL358,""",""????0;"",""???-0;"",""????0;"", ////////////,"""),TEXT(Overig!AL358,"\, \'@""',""")&amp;REPT(" ",10-LEN(Overig!AL358))),"'","""")&amp;SUBSTITUTE(TEXT(Overig!AM358,"?00;?-00;?00;"" //"""),"'","""")&amp;SUBSTITUTE(TEXT(Overig!AN358,""",""???0;"",""??-0;"",""???0;"", ///"""),"'","""")&amp;SUBSTITUTE(TEXT(Overig!AO358,""",""?00;"",""?-00;"",""?00;"", //"""),"'","""")</f>
        <v>78989, 19131223, 0800, ////, 07, /////, 07, ////, 07, /////, 07, ////, 07, ////, 07, ////, 07, ////, 07, ///, 07, ///, 07, ////, 07, ////, 07, ///, 07, ////, 07, ////, 07, ///, 07, //, 07, ////////////, 07, ///, 07</v>
      </c>
    </row>
    <row r="359" spans="1:1" x14ac:dyDescent="0.25">
      <c r="A359" s="75" t="str">
        <f ca="1">TEXT(Overig!A359,"000\,")&amp;TEXT(Overig!B359,"?00000000")&amp;TEXT(Overig!C359,""", ""0000")&amp;SUBSTITUTE(TEXT(IF(ISTEXT(Overig!D359),Overig!D359,10*Overig!D359),""",""????0;"",""???-0;"",""????0;"", ////"""),"'","""")&amp;SUBSTITUTE(TEXT(Overig!E359,""",""?00;"",""?-00;"",""?00;"", //"""),"'","""")&amp;SUBSTITUTE(TEXT(IF(ISTEXT(Overig!F359),Overig!F359,100*Overig!F359),""",""?????0;"",""????-0;"",""?????0;"", /////"""),"'","""")&amp;SUBSTITUTE(TEXT(Overig!G359,""",""?00;"",""?-00;"",""?00;"", //"""),"'","""")&amp;SUBSTITUTE(TEXT(IF(ISTEXT(Overig!H359),Overig!H359,100*Overig!H359),""",""????0;"",""???-0;"",""????0;"", ////"""),"'","""")&amp;SUBSTITUTE(TEXT(Overig!I359,""",""?00;"",""?-00;"",""?00;"", //"""),"'","""")&amp;SUBSTITUTE(TEXT(IF(ISTEXT(Overig!J359),Overig!J359,100*Overig!J359),""",""?????0;"",""????-0;"",""?????0;"", /////"""),"'","""")&amp;SUBSTITUTE(TEXT(Overig!K359,""",""?00;"",""?-00;"",""?00;"", //"""),"'","""")&amp;SUBSTITUTE(TEXT(IF(ISTEXT(Overig!L359),Overig!L359,10*Overig!L359),""",""????0;"",""???-0;"",""????0;"", ////"""),"'","""")&amp;SUBSTITUTE(TEXT(Overig!M359,""",""?00;"",""?-00;"",""?00;"", //"""),"'","""")&amp;SUBSTITUTE(TEXT(IF(ISTEXT(Overig!N359),Overig!N359,10*Overig!N359),""",""????0;"",""???-0;"",""????0;"", ////"""),"'","""")&amp;SUBSTITUTE(TEXT(Overig!O359,""",""?00;"",""?-00;"",""?00;"", //"""),"'","""")&amp;SUBSTITUTE(TEXT(IF(ISTEXT(Overig!P359),Overig!P359,10*Overig!P359),""",""????0;"",""???-0;"",""????0;"", ////"""),"'","""")&amp;SUBSTITUTE(TEXT(Overig!Q359,""",""?00;"",""?-00;"",""?00;"", //"""),"'","""")&amp;SUBSTITUTE(TEXT(IF(ISTEXT(Overig!R359),Overig!R359,10*Overig!R359),""",""????0;"",""???-0;"",""????0;"", ////"""),"'","""")&amp;SUBSTITUTE(TEXT(Overig!S359,""",""?00;"",""?-00;"",""?00;"", //"""),"'","""")&amp;SUBSTITUTE(TEXT(Overig!T359,""",""???0;"",""??-0;"",""???0;"", ///"""),"'","""")&amp;SUBSTITUTE(TEXT(Overig!U359,""",""?00;"",""?-00;"",""?00;"", //"""),"'","""")&amp;SUBSTITUTE(TEXT(IF(ISTEXT(Overig!V359),Overig!V359,10*Overig!V359),""",""???0;"",""??-0;"",""???0;"", ///"""),"'","""")&amp;SUBSTITUTE(TEXT(Overig!W359,""",""?00;"",""?-00;"",""?00;"", //"""),"'","""")&amp;SUBSTITUTE(TEXT(IF(ISTEXT(Overig!X359),Overig!X359,10*Overig!X359),""",""????0;"",""???-0;"",""????0;"", ////"""),"'","""")&amp;SUBSTITUTE(TEXT(Overig!Y359,""",""?00;"",""?-00;"",""?00;"", //"""),"'","""")&amp;SUBSTITUTE(TEXT(IF(ISTEXT(Overig!Z359),Overig!Z359,10*Overig!Z359),""",""????0;"",""???-0;"",""????0;"", ////"""),"'","""")&amp;SUBSTITUTE(TEXT(Overig!AA359,""",""?00;"",""?-00;"",""?00;"", //"""),"'","""")&amp;SUBSTITUTE(TEXT(Overig!AB359,""",""???0;"",""??-0;"",""???0;"", ///"""),"'","""")&amp;SUBSTITUTE(TEXT(Overig!AC359,""",""?00;"",""?-00;"",""?00;"", //"""),"'","""")&amp;SUBSTITUTE(TEXT(IF(ISTEXT(Overig!AD359),Overig!AD359,10*Overig!AD359),""",""????0;"",""???-0;"",""????0;"", ////"""),"'","""")&amp;SUBSTITUTE(TEXT(Overig!AE359,""",""?00;"",""?-00;"",""?00;"", //"""),"'","""")&amp;SUBSTITUTE(TEXT(IF(ISTEXT(Overig!AF359),Overig!AF359,10*Overig!AF359),""",""????0;"",""???-0;"",""????0;"", ////"""),"'","""")&amp;SUBSTITUTE(TEXT(Overig!AG359,""",""?00;"",""?-00;"",""?00;"", //"""),"'","""")&amp;SUBSTITUTE(TEXT(Overig!AH359,""",""???0;"",""??-0;"",""???0;"", ///"""),"'","""")&amp;SUBSTITUTE(TEXT(Overig!AI359,""",""?00;"",""?-00;"",""?00;"", //"""),"'","""")&amp;SUBSTITUTE(TEXT(Overig!AJ359,""",""??0;"",""?-0;"",""??0;"", //"""),"'","""")&amp;SUBSTITUTE(TEXT(Overig!AK359,""",""?00;"",""?-00;"",""?00;"", //"""),"'","""")&amp;SUBSTITUTE(IF(EXACT(Overig!AL359,"—"),TEXT(Overig!AL359,""",""????0;"",""???-0;"",""????0;"", ////////////,"""),TEXT(Overig!AL359,"\, \'@""',""")&amp;REPT(" ",10-LEN(Overig!AL359))),"'","""")&amp;SUBSTITUTE(TEXT(Overig!AM359,"?00;?-00;?00;"" //"""),"'","""")&amp;SUBSTITUTE(TEXT(Overig!AN359,""",""???0;"",""??-0;"",""???0;"", ///"""),"'","""")&amp;SUBSTITUTE(TEXT(Overig!AO359,""",""?00;"",""?-00;"",""?00;"", //"""),"'","""")</f>
        <v>78989, 19131224, 0800, ////, 07, /////, 07, ////, 07, /////, 07, ////, 07, ////, 07, ////, 07, ////, 07, ///, 07, ///, 07, ////, 07, ////, 07, ///, 07, ////, 07, ////, 07, ///, 07, //, 07, ////////////, 07, ///, 07</v>
      </c>
    </row>
    <row r="360" spans="1:1" x14ac:dyDescent="0.25">
      <c r="A360" s="75" t="str">
        <f ca="1">TEXT(Overig!A360,"000\,")&amp;TEXT(Overig!B360,"?00000000")&amp;TEXT(Overig!C360,""", ""0000")&amp;SUBSTITUTE(TEXT(IF(ISTEXT(Overig!D360),Overig!D360,10*Overig!D360),""",""????0;"",""???-0;"",""????0;"", ////"""),"'","""")&amp;SUBSTITUTE(TEXT(Overig!E360,""",""?00;"",""?-00;"",""?00;"", //"""),"'","""")&amp;SUBSTITUTE(TEXT(IF(ISTEXT(Overig!F360),Overig!F360,100*Overig!F360),""",""?????0;"",""????-0;"",""?????0;"", /////"""),"'","""")&amp;SUBSTITUTE(TEXT(Overig!G360,""",""?00;"",""?-00;"",""?00;"", //"""),"'","""")&amp;SUBSTITUTE(TEXT(IF(ISTEXT(Overig!H360),Overig!H360,100*Overig!H360),""",""????0;"",""???-0;"",""????0;"", ////"""),"'","""")&amp;SUBSTITUTE(TEXT(Overig!I360,""",""?00;"",""?-00;"",""?00;"", //"""),"'","""")&amp;SUBSTITUTE(TEXT(IF(ISTEXT(Overig!J360),Overig!J360,100*Overig!J360),""",""?????0;"",""????-0;"",""?????0;"", /////"""),"'","""")&amp;SUBSTITUTE(TEXT(Overig!K360,""",""?00;"",""?-00;"",""?00;"", //"""),"'","""")&amp;SUBSTITUTE(TEXT(IF(ISTEXT(Overig!L360),Overig!L360,10*Overig!L360),""",""????0;"",""???-0;"",""????0;"", ////"""),"'","""")&amp;SUBSTITUTE(TEXT(Overig!M360,""",""?00;"",""?-00;"",""?00;"", //"""),"'","""")&amp;SUBSTITUTE(TEXT(IF(ISTEXT(Overig!N360),Overig!N360,10*Overig!N360),""",""????0;"",""???-0;"",""????0;"", ////"""),"'","""")&amp;SUBSTITUTE(TEXT(Overig!O360,""",""?00;"",""?-00;"",""?00;"", //"""),"'","""")&amp;SUBSTITUTE(TEXT(IF(ISTEXT(Overig!P360),Overig!P360,10*Overig!P360),""",""????0;"",""???-0;"",""????0;"", ////"""),"'","""")&amp;SUBSTITUTE(TEXT(Overig!Q360,""",""?00;"",""?-00;"",""?00;"", //"""),"'","""")&amp;SUBSTITUTE(TEXT(IF(ISTEXT(Overig!R360),Overig!R360,10*Overig!R360),""",""????0;"",""???-0;"",""????0;"", ////"""),"'","""")&amp;SUBSTITUTE(TEXT(Overig!S360,""",""?00;"",""?-00;"",""?00;"", //"""),"'","""")&amp;SUBSTITUTE(TEXT(Overig!T360,""",""???0;"",""??-0;"",""???0;"", ///"""),"'","""")&amp;SUBSTITUTE(TEXT(Overig!U360,""",""?00;"",""?-00;"",""?00;"", //"""),"'","""")&amp;SUBSTITUTE(TEXT(IF(ISTEXT(Overig!V360),Overig!V360,10*Overig!V360),""",""???0;"",""??-0;"",""???0;"", ///"""),"'","""")&amp;SUBSTITUTE(TEXT(Overig!W360,""",""?00;"",""?-00;"",""?00;"", //"""),"'","""")&amp;SUBSTITUTE(TEXT(IF(ISTEXT(Overig!X360),Overig!X360,10*Overig!X360),""",""????0;"",""???-0;"",""????0;"", ////"""),"'","""")&amp;SUBSTITUTE(TEXT(Overig!Y360,""",""?00;"",""?-00;"",""?00;"", //"""),"'","""")&amp;SUBSTITUTE(TEXT(IF(ISTEXT(Overig!Z360),Overig!Z360,10*Overig!Z360),""",""????0;"",""???-0;"",""????0;"", ////"""),"'","""")&amp;SUBSTITUTE(TEXT(Overig!AA360,""",""?00;"",""?-00;"",""?00;"", //"""),"'","""")&amp;SUBSTITUTE(TEXT(Overig!AB360,""",""???0;"",""??-0;"",""???0;"", ///"""),"'","""")&amp;SUBSTITUTE(TEXT(Overig!AC360,""",""?00;"",""?-00;"",""?00;"", //"""),"'","""")&amp;SUBSTITUTE(TEXT(IF(ISTEXT(Overig!AD360),Overig!AD360,10*Overig!AD360),""",""????0;"",""???-0;"",""????0;"", ////"""),"'","""")&amp;SUBSTITUTE(TEXT(Overig!AE360,""",""?00;"",""?-00;"",""?00;"", //"""),"'","""")&amp;SUBSTITUTE(TEXT(IF(ISTEXT(Overig!AF360),Overig!AF360,10*Overig!AF360),""",""????0;"",""???-0;"",""????0;"", ////"""),"'","""")&amp;SUBSTITUTE(TEXT(Overig!AG360,""",""?00;"",""?-00;"",""?00;"", //"""),"'","""")&amp;SUBSTITUTE(TEXT(Overig!AH360,""",""???0;"",""??-0;"",""???0;"", ///"""),"'","""")&amp;SUBSTITUTE(TEXT(Overig!AI360,""",""?00;"",""?-00;"",""?00;"", //"""),"'","""")&amp;SUBSTITUTE(TEXT(Overig!AJ360,""",""??0;"",""?-0;"",""??0;"", //"""),"'","""")&amp;SUBSTITUTE(TEXT(Overig!AK360,""",""?00;"",""?-00;"",""?00;"", //"""),"'","""")&amp;SUBSTITUTE(IF(EXACT(Overig!AL360,"—"),TEXT(Overig!AL360,""",""????0;"",""???-0;"",""????0;"", ////////////,"""),TEXT(Overig!AL360,"\, \'@""',""")&amp;REPT(" ",10-LEN(Overig!AL360))),"'","""")&amp;SUBSTITUTE(TEXT(Overig!AM360,"?00;?-00;?00;"" //"""),"'","""")&amp;SUBSTITUTE(TEXT(Overig!AN360,""",""???0;"",""??-0;"",""???0;"", ///"""),"'","""")&amp;SUBSTITUTE(TEXT(Overig!AO360,""",""?00;"",""?-00;"",""?00;"", //"""),"'","""")</f>
        <v>78989, 19131225, 0800, ////, 07, /////, 07, ////, 07, /////, 07, ////, 07, ////, 07, ////, 07, ////, 07, ///, 07, ///, 07, ////, 07, ////, 07, ///, 07, ////, 07, ////, 07, ///, 07, //, 07, ////////////, 07, ///, 07</v>
      </c>
    </row>
    <row r="361" spans="1:1" x14ac:dyDescent="0.25">
      <c r="A361" s="75" t="str">
        <f ca="1">TEXT(Overig!A361,"000\,")&amp;TEXT(Overig!B361,"?00000000")&amp;TEXT(Overig!C361,""", ""0000")&amp;SUBSTITUTE(TEXT(IF(ISTEXT(Overig!D361),Overig!D361,10*Overig!D361),""",""????0;"",""???-0;"",""????0;"", ////"""),"'","""")&amp;SUBSTITUTE(TEXT(Overig!E361,""",""?00;"",""?-00;"",""?00;"", //"""),"'","""")&amp;SUBSTITUTE(TEXT(IF(ISTEXT(Overig!F361),Overig!F361,100*Overig!F361),""",""?????0;"",""????-0;"",""?????0;"", /////"""),"'","""")&amp;SUBSTITUTE(TEXT(Overig!G361,""",""?00;"",""?-00;"",""?00;"", //"""),"'","""")&amp;SUBSTITUTE(TEXT(IF(ISTEXT(Overig!H361),Overig!H361,100*Overig!H361),""",""????0;"",""???-0;"",""????0;"", ////"""),"'","""")&amp;SUBSTITUTE(TEXT(Overig!I361,""",""?00;"",""?-00;"",""?00;"", //"""),"'","""")&amp;SUBSTITUTE(TEXT(IF(ISTEXT(Overig!J361),Overig!J361,100*Overig!J361),""",""?????0;"",""????-0;"",""?????0;"", /////"""),"'","""")&amp;SUBSTITUTE(TEXT(Overig!K361,""",""?00;"",""?-00;"",""?00;"", //"""),"'","""")&amp;SUBSTITUTE(TEXT(IF(ISTEXT(Overig!L361),Overig!L361,10*Overig!L361),""",""????0;"",""???-0;"",""????0;"", ////"""),"'","""")&amp;SUBSTITUTE(TEXT(Overig!M361,""",""?00;"",""?-00;"",""?00;"", //"""),"'","""")&amp;SUBSTITUTE(TEXT(IF(ISTEXT(Overig!N361),Overig!N361,10*Overig!N361),""",""????0;"",""???-0;"",""????0;"", ////"""),"'","""")&amp;SUBSTITUTE(TEXT(Overig!O361,""",""?00;"",""?-00;"",""?00;"", //"""),"'","""")&amp;SUBSTITUTE(TEXT(IF(ISTEXT(Overig!P361),Overig!P361,10*Overig!P361),""",""????0;"",""???-0;"",""????0;"", ////"""),"'","""")&amp;SUBSTITUTE(TEXT(Overig!Q361,""",""?00;"",""?-00;"",""?00;"", //"""),"'","""")&amp;SUBSTITUTE(TEXT(IF(ISTEXT(Overig!R361),Overig!R361,10*Overig!R361),""",""????0;"",""???-0;"",""????0;"", ////"""),"'","""")&amp;SUBSTITUTE(TEXT(Overig!S361,""",""?00;"",""?-00;"",""?00;"", //"""),"'","""")&amp;SUBSTITUTE(TEXT(Overig!T361,""",""???0;"",""??-0;"",""???0;"", ///"""),"'","""")&amp;SUBSTITUTE(TEXT(Overig!U361,""",""?00;"",""?-00;"",""?00;"", //"""),"'","""")&amp;SUBSTITUTE(TEXT(IF(ISTEXT(Overig!V361),Overig!V361,10*Overig!V361),""",""???0;"",""??-0;"",""???0;"", ///"""),"'","""")&amp;SUBSTITUTE(TEXT(Overig!W361,""",""?00;"",""?-00;"",""?00;"", //"""),"'","""")&amp;SUBSTITUTE(TEXT(IF(ISTEXT(Overig!X361),Overig!X361,10*Overig!X361),""",""????0;"",""???-0;"",""????0;"", ////"""),"'","""")&amp;SUBSTITUTE(TEXT(Overig!Y361,""",""?00;"",""?-00;"",""?00;"", //"""),"'","""")&amp;SUBSTITUTE(TEXT(IF(ISTEXT(Overig!Z361),Overig!Z361,10*Overig!Z361),""",""????0;"",""???-0;"",""????0;"", ////"""),"'","""")&amp;SUBSTITUTE(TEXT(Overig!AA361,""",""?00;"",""?-00;"",""?00;"", //"""),"'","""")&amp;SUBSTITUTE(TEXT(Overig!AB361,""",""???0;"",""??-0;"",""???0;"", ///"""),"'","""")&amp;SUBSTITUTE(TEXT(Overig!AC361,""",""?00;"",""?-00;"",""?00;"", //"""),"'","""")&amp;SUBSTITUTE(TEXT(IF(ISTEXT(Overig!AD361),Overig!AD361,10*Overig!AD361),""",""????0;"",""???-0;"",""????0;"", ////"""),"'","""")&amp;SUBSTITUTE(TEXT(Overig!AE361,""",""?00;"",""?-00;"",""?00;"", //"""),"'","""")&amp;SUBSTITUTE(TEXT(IF(ISTEXT(Overig!AF361),Overig!AF361,10*Overig!AF361),""",""????0;"",""???-0;"",""????0;"", ////"""),"'","""")&amp;SUBSTITUTE(TEXT(Overig!AG361,""",""?00;"",""?-00;"",""?00;"", //"""),"'","""")&amp;SUBSTITUTE(TEXT(Overig!AH361,""",""???0;"",""??-0;"",""???0;"", ///"""),"'","""")&amp;SUBSTITUTE(TEXT(Overig!AI361,""",""?00;"",""?-00;"",""?00;"", //"""),"'","""")&amp;SUBSTITUTE(TEXT(Overig!AJ361,""",""??0;"",""?-0;"",""??0;"", //"""),"'","""")&amp;SUBSTITUTE(TEXT(Overig!AK361,""",""?00;"",""?-00;"",""?00;"", //"""),"'","""")&amp;SUBSTITUTE(IF(EXACT(Overig!AL361,"—"),TEXT(Overig!AL361,""",""????0;"",""???-0;"",""????0;"", ////////////,"""),TEXT(Overig!AL361,"\, \'@""',""")&amp;REPT(" ",10-LEN(Overig!AL361))),"'","""")&amp;SUBSTITUTE(TEXT(Overig!AM361,"?00;?-00;?00;"" //"""),"'","""")&amp;SUBSTITUTE(TEXT(Overig!AN361,""",""???0;"",""??-0;"",""???0;"", ///"""),"'","""")&amp;SUBSTITUTE(TEXT(Overig!AO361,""",""?00;"",""?-00;"",""?00;"", //"""),"'","""")</f>
        <v>78989, 19131226, 0800, ////, 07, /////, 07, ////, 07, /////, 07, ////, 07, ////, 07, ////, 07, ////, 07, ///, 07, ///, 07, ////, 07, ////, 07, ///, 07, ////, 07, ////, 07, ///, 07, //, 07, ////////////, 07, ///, 07</v>
      </c>
    </row>
    <row r="362" spans="1:1" x14ac:dyDescent="0.25">
      <c r="A362" s="75" t="str">
        <f ca="1">TEXT(Overig!A362,"000\,")&amp;TEXT(Overig!B362,"?00000000")&amp;TEXT(Overig!C362,""", ""0000")&amp;SUBSTITUTE(TEXT(IF(ISTEXT(Overig!D362),Overig!D362,10*Overig!D362),""",""????0;"",""???-0;"",""????0;"", ////"""),"'","""")&amp;SUBSTITUTE(TEXT(Overig!E362,""",""?00;"",""?-00;"",""?00;"", //"""),"'","""")&amp;SUBSTITUTE(TEXT(IF(ISTEXT(Overig!F362),Overig!F362,100*Overig!F362),""",""?????0;"",""????-0;"",""?????0;"", /////"""),"'","""")&amp;SUBSTITUTE(TEXT(Overig!G362,""",""?00;"",""?-00;"",""?00;"", //"""),"'","""")&amp;SUBSTITUTE(TEXT(IF(ISTEXT(Overig!H362),Overig!H362,100*Overig!H362),""",""????0;"",""???-0;"",""????0;"", ////"""),"'","""")&amp;SUBSTITUTE(TEXT(Overig!I362,""",""?00;"",""?-00;"",""?00;"", //"""),"'","""")&amp;SUBSTITUTE(TEXT(IF(ISTEXT(Overig!J362),Overig!J362,100*Overig!J362),""",""?????0;"",""????-0;"",""?????0;"", /////"""),"'","""")&amp;SUBSTITUTE(TEXT(Overig!K362,""",""?00;"",""?-00;"",""?00;"", //"""),"'","""")&amp;SUBSTITUTE(TEXT(IF(ISTEXT(Overig!L362),Overig!L362,10*Overig!L362),""",""????0;"",""???-0;"",""????0;"", ////"""),"'","""")&amp;SUBSTITUTE(TEXT(Overig!M362,""",""?00;"",""?-00;"",""?00;"", //"""),"'","""")&amp;SUBSTITUTE(TEXT(IF(ISTEXT(Overig!N362),Overig!N362,10*Overig!N362),""",""????0;"",""???-0;"",""????0;"", ////"""),"'","""")&amp;SUBSTITUTE(TEXT(Overig!O362,""",""?00;"",""?-00;"",""?00;"", //"""),"'","""")&amp;SUBSTITUTE(TEXT(IF(ISTEXT(Overig!P362),Overig!P362,10*Overig!P362),""",""????0;"",""???-0;"",""????0;"", ////"""),"'","""")&amp;SUBSTITUTE(TEXT(Overig!Q362,""",""?00;"",""?-00;"",""?00;"", //"""),"'","""")&amp;SUBSTITUTE(TEXT(IF(ISTEXT(Overig!R362),Overig!R362,10*Overig!R362),""",""????0;"",""???-0;"",""????0;"", ////"""),"'","""")&amp;SUBSTITUTE(TEXT(Overig!S362,""",""?00;"",""?-00;"",""?00;"", //"""),"'","""")&amp;SUBSTITUTE(TEXT(Overig!T362,""",""???0;"",""??-0;"",""???0;"", ///"""),"'","""")&amp;SUBSTITUTE(TEXT(Overig!U362,""",""?00;"",""?-00;"",""?00;"", //"""),"'","""")&amp;SUBSTITUTE(TEXT(IF(ISTEXT(Overig!V362),Overig!V362,10*Overig!V362),""",""???0;"",""??-0;"",""???0;"", ///"""),"'","""")&amp;SUBSTITUTE(TEXT(Overig!W362,""",""?00;"",""?-00;"",""?00;"", //"""),"'","""")&amp;SUBSTITUTE(TEXT(IF(ISTEXT(Overig!X362),Overig!X362,10*Overig!X362),""",""????0;"",""???-0;"",""????0;"", ////"""),"'","""")&amp;SUBSTITUTE(TEXT(Overig!Y362,""",""?00;"",""?-00;"",""?00;"", //"""),"'","""")&amp;SUBSTITUTE(TEXT(IF(ISTEXT(Overig!Z362),Overig!Z362,10*Overig!Z362),""",""????0;"",""???-0;"",""????0;"", ////"""),"'","""")&amp;SUBSTITUTE(TEXT(Overig!AA362,""",""?00;"",""?-00;"",""?00;"", //"""),"'","""")&amp;SUBSTITUTE(TEXT(Overig!AB362,""",""???0;"",""??-0;"",""???0;"", ///"""),"'","""")&amp;SUBSTITUTE(TEXT(Overig!AC362,""",""?00;"",""?-00;"",""?00;"", //"""),"'","""")&amp;SUBSTITUTE(TEXT(IF(ISTEXT(Overig!AD362),Overig!AD362,10*Overig!AD362),""",""????0;"",""???-0;"",""????0;"", ////"""),"'","""")&amp;SUBSTITUTE(TEXT(Overig!AE362,""",""?00;"",""?-00;"",""?00;"", //"""),"'","""")&amp;SUBSTITUTE(TEXT(IF(ISTEXT(Overig!AF362),Overig!AF362,10*Overig!AF362),""",""????0;"",""???-0;"",""????0;"", ////"""),"'","""")&amp;SUBSTITUTE(TEXT(Overig!AG362,""",""?00;"",""?-00;"",""?00;"", //"""),"'","""")&amp;SUBSTITUTE(TEXT(Overig!AH362,""",""???0;"",""??-0;"",""???0;"", ///"""),"'","""")&amp;SUBSTITUTE(TEXT(Overig!AI362,""",""?00;"",""?-00;"",""?00;"", //"""),"'","""")&amp;SUBSTITUTE(TEXT(Overig!AJ362,""",""??0;"",""?-0;"",""??0;"", //"""),"'","""")&amp;SUBSTITUTE(TEXT(Overig!AK362,""",""?00;"",""?-00;"",""?00;"", //"""),"'","""")&amp;SUBSTITUTE(IF(EXACT(Overig!AL362,"—"),TEXT(Overig!AL362,""",""????0;"",""???-0;"",""????0;"", ////////////,"""),TEXT(Overig!AL362,"\, \'@""',""")&amp;REPT(" ",10-LEN(Overig!AL362))),"'","""")&amp;SUBSTITUTE(TEXT(Overig!AM362,"?00;?-00;?00;"" //"""),"'","""")&amp;SUBSTITUTE(TEXT(Overig!AN362,""",""???0;"",""??-0;"",""???0;"", ///"""),"'","""")&amp;SUBSTITUTE(TEXT(Overig!AO362,""",""?00;"",""?-00;"",""?00;"", //"""),"'","""")</f>
        <v>78989, 19131227, 0800, ////, 07, /////, 07, ////, 07, /////, 07, ////, 07, ////, 07, ////, 07, ////, 07, ///, 07, ///, 07, ////, 07, ////, 07, ///, 07, ////, 07, ////, 07, ///, 07, //, 07, ////////////, 07, ///, 07</v>
      </c>
    </row>
    <row r="363" spans="1:1" x14ac:dyDescent="0.25">
      <c r="A363" s="75" t="str">
        <f ca="1">TEXT(Overig!A363,"000\,")&amp;TEXT(Overig!B363,"?00000000")&amp;TEXT(Overig!C363,""", ""0000")&amp;SUBSTITUTE(TEXT(IF(ISTEXT(Overig!D363),Overig!D363,10*Overig!D363),""",""????0;"",""???-0;"",""????0;"", ////"""),"'","""")&amp;SUBSTITUTE(TEXT(Overig!E363,""",""?00;"",""?-00;"",""?00;"", //"""),"'","""")&amp;SUBSTITUTE(TEXT(IF(ISTEXT(Overig!F363),Overig!F363,100*Overig!F363),""",""?????0;"",""????-0;"",""?????0;"", /////"""),"'","""")&amp;SUBSTITUTE(TEXT(Overig!G363,""",""?00;"",""?-00;"",""?00;"", //"""),"'","""")&amp;SUBSTITUTE(TEXT(IF(ISTEXT(Overig!H363),Overig!H363,100*Overig!H363),""",""????0;"",""???-0;"",""????0;"", ////"""),"'","""")&amp;SUBSTITUTE(TEXT(Overig!I363,""",""?00;"",""?-00;"",""?00;"", //"""),"'","""")&amp;SUBSTITUTE(TEXT(IF(ISTEXT(Overig!J363),Overig!J363,100*Overig!J363),""",""?????0;"",""????-0;"",""?????0;"", /////"""),"'","""")&amp;SUBSTITUTE(TEXT(Overig!K363,""",""?00;"",""?-00;"",""?00;"", //"""),"'","""")&amp;SUBSTITUTE(TEXT(IF(ISTEXT(Overig!L363),Overig!L363,10*Overig!L363),""",""????0;"",""???-0;"",""????0;"", ////"""),"'","""")&amp;SUBSTITUTE(TEXT(Overig!M363,""",""?00;"",""?-00;"",""?00;"", //"""),"'","""")&amp;SUBSTITUTE(TEXT(IF(ISTEXT(Overig!N363),Overig!N363,10*Overig!N363),""",""????0;"",""???-0;"",""????0;"", ////"""),"'","""")&amp;SUBSTITUTE(TEXT(Overig!O363,""",""?00;"",""?-00;"",""?00;"", //"""),"'","""")&amp;SUBSTITUTE(TEXT(IF(ISTEXT(Overig!P363),Overig!P363,10*Overig!P363),""",""????0;"",""???-0;"",""????0;"", ////"""),"'","""")&amp;SUBSTITUTE(TEXT(Overig!Q363,""",""?00;"",""?-00;"",""?00;"", //"""),"'","""")&amp;SUBSTITUTE(TEXT(IF(ISTEXT(Overig!R363),Overig!R363,10*Overig!R363),""",""????0;"",""???-0;"",""????0;"", ////"""),"'","""")&amp;SUBSTITUTE(TEXT(Overig!S363,""",""?00;"",""?-00;"",""?00;"", //"""),"'","""")&amp;SUBSTITUTE(TEXT(Overig!T363,""",""???0;"",""??-0;"",""???0;"", ///"""),"'","""")&amp;SUBSTITUTE(TEXT(Overig!U363,""",""?00;"",""?-00;"",""?00;"", //"""),"'","""")&amp;SUBSTITUTE(TEXT(IF(ISTEXT(Overig!V363),Overig!V363,10*Overig!V363),""",""???0;"",""??-0;"",""???0;"", ///"""),"'","""")&amp;SUBSTITUTE(TEXT(Overig!W363,""",""?00;"",""?-00;"",""?00;"", //"""),"'","""")&amp;SUBSTITUTE(TEXT(IF(ISTEXT(Overig!X363),Overig!X363,10*Overig!X363),""",""????0;"",""???-0;"",""????0;"", ////"""),"'","""")&amp;SUBSTITUTE(TEXT(Overig!Y363,""",""?00;"",""?-00;"",""?00;"", //"""),"'","""")&amp;SUBSTITUTE(TEXT(IF(ISTEXT(Overig!Z363),Overig!Z363,10*Overig!Z363),""",""????0;"",""???-0;"",""????0;"", ////"""),"'","""")&amp;SUBSTITUTE(TEXT(Overig!AA363,""",""?00;"",""?-00;"",""?00;"", //"""),"'","""")&amp;SUBSTITUTE(TEXT(Overig!AB363,""",""???0;"",""??-0;"",""???0;"", ///"""),"'","""")&amp;SUBSTITUTE(TEXT(Overig!AC363,""",""?00;"",""?-00;"",""?00;"", //"""),"'","""")&amp;SUBSTITUTE(TEXT(IF(ISTEXT(Overig!AD363),Overig!AD363,10*Overig!AD363),""",""????0;"",""???-0;"",""????0;"", ////"""),"'","""")&amp;SUBSTITUTE(TEXT(Overig!AE363,""",""?00;"",""?-00;"",""?00;"", //"""),"'","""")&amp;SUBSTITUTE(TEXT(IF(ISTEXT(Overig!AF363),Overig!AF363,10*Overig!AF363),""",""????0;"",""???-0;"",""????0;"", ////"""),"'","""")&amp;SUBSTITUTE(TEXT(Overig!AG363,""",""?00;"",""?-00;"",""?00;"", //"""),"'","""")&amp;SUBSTITUTE(TEXT(Overig!AH363,""",""???0;"",""??-0;"",""???0;"", ///"""),"'","""")&amp;SUBSTITUTE(TEXT(Overig!AI363,""",""?00;"",""?-00;"",""?00;"", //"""),"'","""")&amp;SUBSTITUTE(TEXT(Overig!AJ363,""",""??0;"",""?-0;"",""??0;"", //"""),"'","""")&amp;SUBSTITUTE(TEXT(Overig!AK363,""",""?00;"",""?-00;"",""?00;"", //"""),"'","""")&amp;SUBSTITUTE(IF(EXACT(Overig!AL363,"—"),TEXT(Overig!AL363,""",""????0;"",""???-0;"",""????0;"", ////////////,"""),TEXT(Overig!AL363,"\, \'@""',""")&amp;REPT(" ",10-LEN(Overig!AL363))),"'","""")&amp;SUBSTITUTE(TEXT(Overig!AM363,"?00;?-00;?00;"" //"""),"'","""")&amp;SUBSTITUTE(TEXT(Overig!AN363,""",""???0;"",""??-0;"",""???0;"", ///"""),"'","""")&amp;SUBSTITUTE(TEXT(Overig!AO363,""",""?00;"",""?-00;"",""?00;"", //"""),"'","""")</f>
        <v>78989, 19131228, 0800, ////, 07, /////, 07, ////, 07, /////, 07, ////, 07, ////, 07, ////, 07, ////, 07, ///, 07, ///, 07, ////, 07, ////, 07, ///, 07, ////, 07, ////, 07, ///, 07, //, 07, ////////////, 07, ///, 07</v>
      </c>
    </row>
    <row r="364" spans="1:1" x14ac:dyDescent="0.25">
      <c r="A364" s="75" t="str">
        <f ca="1">TEXT(Overig!A364,"000\,")&amp;TEXT(Overig!B364,"?00000000")&amp;TEXT(Overig!C364,""", ""0000")&amp;SUBSTITUTE(TEXT(IF(ISTEXT(Overig!D364),Overig!D364,10*Overig!D364),""",""????0;"",""???-0;"",""????0;"", ////"""),"'","""")&amp;SUBSTITUTE(TEXT(Overig!E364,""",""?00;"",""?-00;"",""?00;"", //"""),"'","""")&amp;SUBSTITUTE(TEXT(IF(ISTEXT(Overig!F364),Overig!F364,100*Overig!F364),""",""?????0;"",""????-0;"",""?????0;"", /////"""),"'","""")&amp;SUBSTITUTE(TEXT(Overig!G364,""",""?00;"",""?-00;"",""?00;"", //"""),"'","""")&amp;SUBSTITUTE(TEXT(IF(ISTEXT(Overig!H364),Overig!H364,100*Overig!H364),""",""????0;"",""???-0;"",""????0;"", ////"""),"'","""")&amp;SUBSTITUTE(TEXT(Overig!I364,""",""?00;"",""?-00;"",""?00;"", //"""),"'","""")&amp;SUBSTITUTE(TEXT(IF(ISTEXT(Overig!J364),Overig!J364,100*Overig!J364),""",""?????0;"",""????-0;"",""?????0;"", /////"""),"'","""")&amp;SUBSTITUTE(TEXT(Overig!K364,""",""?00;"",""?-00;"",""?00;"", //"""),"'","""")&amp;SUBSTITUTE(TEXT(IF(ISTEXT(Overig!L364),Overig!L364,10*Overig!L364),""",""????0;"",""???-0;"",""????0;"", ////"""),"'","""")&amp;SUBSTITUTE(TEXT(Overig!M364,""",""?00;"",""?-00;"",""?00;"", //"""),"'","""")&amp;SUBSTITUTE(TEXT(IF(ISTEXT(Overig!N364),Overig!N364,10*Overig!N364),""",""????0;"",""???-0;"",""????0;"", ////"""),"'","""")&amp;SUBSTITUTE(TEXT(Overig!O364,""",""?00;"",""?-00;"",""?00;"", //"""),"'","""")&amp;SUBSTITUTE(TEXT(IF(ISTEXT(Overig!P364),Overig!P364,10*Overig!P364),""",""????0;"",""???-0;"",""????0;"", ////"""),"'","""")&amp;SUBSTITUTE(TEXT(Overig!Q364,""",""?00;"",""?-00;"",""?00;"", //"""),"'","""")&amp;SUBSTITUTE(TEXT(IF(ISTEXT(Overig!R364),Overig!R364,10*Overig!R364),""",""????0;"",""???-0;"",""????0;"", ////"""),"'","""")&amp;SUBSTITUTE(TEXT(Overig!S364,""",""?00;"",""?-00;"",""?00;"", //"""),"'","""")&amp;SUBSTITUTE(TEXT(Overig!T364,""",""???0;"",""??-0;"",""???0;"", ///"""),"'","""")&amp;SUBSTITUTE(TEXT(Overig!U364,""",""?00;"",""?-00;"",""?00;"", //"""),"'","""")&amp;SUBSTITUTE(TEXT(IF(ISTEXT(Overig!V364),Overig!V364,10*Overig!V364),""",""???0;"",""??-0;"",""???0;"", ///"""),"'","""")&amp;SUBSTITUTE(TEXT(Overig!W364,""",""?00;"",""?-00;"",""?00;"", //"""),"'","""")&amp;SUBSTITUTE(TEXT(IF(ISTEXT(Overig!X364),Overig!X364,10*Overig!X364),""",""????0;"",""???-0;"",""????0;"", ////"""),"'","""")&amp;SUBSTITUTE(TEXT(Overig!Y364,""",""?00;"",""?-00;"",""?00;"", //"""),"'","""")&amp;SUBSTITUTE(TEXT(IF(ISTEXT(Overig!Z364),Overig!Z364,10*Overig!Z364),""",""????0;"",""???-0;"",""????0;"", ////"""),"'","""")&amp;SUBSTITUTE(TEXT(Overig!AA364,""",""?00;"",""?-00;"",""?00;"", //"""),"'","""")&amp;SUBSTITUTE(TEXT(Overig!AB364,""",""???0;"",""??-0;"",""???0;"", ///"""),"'","""")&amp;SUBSTITUTE(TEXT(Overig!AC364,""",""?00;"",""?-00;"",""?00;"", //"""),"'","""")&amp;SUBSTITUTE(TEXT(IF(ISTEXT(Overig!AD364),Overig!AD364,10*Overig!AD364),""",""????0;"",""???-0;"",""????0;"", ////"""),"'","""")&amp;SUBSTITUTE(TEXT(Overig!AE364,""",""?00;"",""?-00;"",""?00;"", //"""),"'","""")&amp;SUBSTITUTE(TEXT(IF(ISTEXT(Overig!AF364),Overig!AF364,10*Overig!AF364),""",""????0;"",""???-0;"",""????0;"", ////"""),"'","""")&amp;SUBSTITUTE(TEXT(Overig!AG364,""",""?00;"",""?-00;"",""?00;"", //"""),"'","""")&amp;SUBSTITUTE(TEXT(Overig!AH364,""",""???0;"",""??-0;"",""???0;"", ///"""),"'","""")&amp;SUBSTITUTE(TEXT(Overig!AI364,""",""?00;"",""?-00;"",""?00;"", //"""),"'","""")&amp;SUBSTITUTE(TEXT(Overig!AJ364,""",""??0;"",""?-0;"",""??0;"", //"""),"'","""")&amp;SUBSTITUTE(TEXT(Overig!AK364,""",""?00;"",""?-00;"",""?00;"", //"""),"'","""")&amp;SUBSTITUTE(IF(EXACT(Overig!AL364,"—"),TEXT(Overig!AL364,""",""????0;"",""???-0;"",""????0;"", ////////////,"""),TEXT(Overig!AL364,"\, \'@""',""")&amp;REPT(" ",10-LEN(Overig!AL364))),"'","""")&amp;SUBSTITUTE(TEXT(Overig!AM364,"?00;?-00;?00;"" //"""),"'","""")&amp;SUBSTITUTE(TEXT(Overig!AN364,""",""???0;"",""??-0;"",""???0;"", ///"""),"'","""")&amp;SUBSTITUTE(TEXT(Overig!AO364,""",""?00;"",""?-00;"",""?00;"", //"""),"'","""")</f>
        <v>78989, 19131229, 0800, ////, 07, /////, 07, ////, 07, /////, 07, ////, 07, ////, 07, ////, 07, ////, 07, ///, 07, ///, 07, ////, 07, ////, 07, ///, 07, ////, 07, ////, 07, ///, 07, //, 07, ////////////, 07, ///, 07</v>
      </c>
    </row>
    <row r="365" spans="1:1" x14ac:dyDescent="0.25">
      <c r="A365" s="75" t="str">
        <f ca="1">TEXT(Overig!A365,"000\,")&amp;TEXT(Overig!B365,"?00000000")&amp;TEXT(Overig!C365,""", ""0000")&amp;SUBSTITUTE(TEXT(IF(ISTEXT(Overig!D365),Overig!D365,10*Overig!D365),""",""????0;"",""???-0;"",""????0;"", ////"""),"'","""")&amp;SUBSTITUTE(TEXT(Overig!E365,""",""?00;"",""?-00;"",""?00;"", //"""),"'","""")&amp;SUBSTITUTE(TEXT(IF(ISTEXT(Overig!F365),Overig!F365,100*Overig!F365),""",""?????0;"",""????-0;"",""?????0;"", /////"""),"'","""")&amp;SUBSTITUTE(TEXT(Overig!G365,""",""?00;"",""?-00;"",""?00;"", //"""),"'","""")&amp;SUBSTITUTE(TEXT(IF(ISTEXT(Overig!H365),Overig!H365,100*Overig!H365),""",""????0;"",""???-0;"",""????0;"", ////"""),"'","""")&amp;SUBSTITUTE(TEXT(Overig!I365,""",""?00;"",""?-00;"",""?00;"", //"""),"'","""")&amp;SUBSTITUTE(TEXT(IF(ISTEXT(Overig!J365),Overig!J365,100*Overig!J365),""",""?????0;"",""????-0;"",""?????0;"", /////"""),"'","""")&amp;SUBSTITUTE(TEXT(Overig!K365,""",""?00;"",""?-00;"",""?00;"", //"""),"'","""")&amp;SUBSTITUTE(TEXT(IF(ISTEXT(Overig!L365),Overig!L365,10*Overig!L365),""",""????0;"",""???-0;"",""????0;"", ////"""),"'","""")&amp;SUBSTITUTE(TEXT(Overig!M365,""",""?00;"",""?-00;"",""?00;"", //"""),"'","""")&amp;SUBSTITUTE(TEXT(IF(ISTEXT(Overig!N365),Overig!N365,10*Overig!N365),""",""????0;"",""???-0;"",""????0;"", ////"""),"'","""")&amp;SUBSTITUTE(TEXT(Overig!O365,""",""?00;"",""?-00;"",""?00;"", //"""),"'","""")&amp;SUBSTITUTE(TEXT(IF(ISTEXT(Overig!P365),Overig!P365,10*Overig!P365),""",""????0;"",""???-0;"",""????0;"", ////"""),"'","""")&amp;SUBSTITUTE(TEXT(Overig!Q365,""",""?00;"",""?-00;"",""?00;"", //"""),"'","""")&amp;SUBSTITUTE(TEXT(IF(ISTEXT(Overig!R365),Overig!R365,10*Overig!R365),""",""????0;"",""???-0;"",""????0;"", ////"""),"'","""")&amp;SUBSTITUTE(TEXT(Overig!S365,""",""?00;"",""?-00;"",""?00;"", //"""),"'","""")&amp;SUBSTITUTE(TEXT(Overig!T365,""",""???0;"",""??-0;"",""???0;"", ///"""),"'","""")&amp;SUBSTITUTE(TEXT(Overig!U365,""",""?00;"",""?-00;"",""?00;"", //"""),"'","""")&amp;SUBSTITUTE(TEXT(IF(ISTEXT(Overig!V365),Overig!V365,10*Overig!V365),""",""???0;"",""??-0;"",""???0;"", ///"""),"'","""")&amp;SUBSTITUTE(TEXT(Overig!W365,""",""?00;"",""?-00;"",""?00;"", //"""),"'","""")&amp;SUBSTITUTE(TEXT(IF(ISTEXT(Overig!X365),Overig!X365,10*Overig!X365),""",""????0;"",""???-0;"",""????0;"", ////"""),"'","""")&amp;SUBSTITUTE(TEXT(Overig!Y365,""",""?00;"",""?-00;"",""?00;"", //"""),"'","""")&amp;SUBSTITUTE(TEXT(IF(ISTEXT(Overig!Z365),Overig!Z365,10*Overig!Z365),""",""????0;"",""???-0;"",""????0;"", ////"""),"'","""")&amp;SUBSTITUTE(TEXT(Overig!AA365,""",""?00;"",""?-00;"",""?00;"", //"""),"'","""")&amp;SUBSTITUTE(TEXT(Overig!AB365,""",""???0;"",""??-0;"",""???0;"", ///"""),"'","""")&amp;SUBSTITUTE(TEXT(Overig!AC365,""",""?00;"",""?-00;"",""?00;"", //"""),"'","""")&amp;SUBSTITUTE(TEXT(IF(ISTEXT(Overig!AD365),Overig!AD365,10*Overig!AD365),""",""????0;"",""???-0;"",""????0;"", ////"""),"'","""")&amp;SUBSTITUTE(TEXT(Overig!AE365,""",""?00;"",""?-00;"",""?00;"", //"""),"'","""")&amp;SUBSTITUTE(TEXT(IF(ISTEXT(Overig!AF365),Overig!AF365,10*Overig!AF365),""",""????0;"",""???-0;"",""????0;"", ////"""),"'","""")&amp;SUBSTITUTE(TEXT(Overig!AG365,""",""?00;"",""?-00;"",""?00;"", //"""),"'","""")&amp;SUBSTITUTE(TEXT(Overig!AH365,""",""???0;"",""??-0;"",""???0;"", ///"""),"'","""")&amp;SUBSTITUTE(TEXT(Overig!AI365,""",""?00;"",""?-00;"",""?00;"", //"""),"'","""")&amp;SUBSTITUTE(TEXT(Overig!AJ365,""",""??0;"",""?-0;"",""??0;"", //"""),"'","""")&amp;SUBSTITUTE(TEXT(Overig!AK365,""",""?00;"",""?-00;"",""?00;"", //"""),"'","""")&amp;SUBSTITUTE(IF(EXACT(Overig!AL365,"—"),TEXT(Overig!AL365,""",""????0;"",""???-0;"",""????0;"", ////////////,"""),TEXT(Overig!AL365,"\, \'@""',""")&amp;REPT(" ",10-LEN(Overig!AL365))),"'","""")&amp;SUBSTITUTE(TEXT(Overig!AM365,"?00;?-00;?00;"" //"""),"'","""")&amp;SUBSTITUTE(TEXT(Overig!AN365,""",""???0;"",""??-0;"",""???0;"", ///"""),"'","""")&amp;SUBSTITUTE(TEXT(Overig!AO365,""",""?00;"",""?-00;"",""?00;"", //"""),"'","""")</f>
        <v>78989, 19131230, 0800, ////, 07, /////, 07, ////, 07, /////, 07, ////, 07, ////, 07, ////, 07, ////, 07, ///, 07, ///, 07, ////, 07, ////, 07, ///, 07, ////, 07, ////, 07, ///, 07, //, 07, ////////////, 07, ///, 07</v>
      </c>
    </row>
    <row r="366" spans="1:1" x14ac:dyDescent="0.25">
      <c r="A366" s="75" t="str">
        <f ca="1">TEXT(Overig!A366,"000\,")&amp;TEXT(Overig!B366,"?00000000")&amp;TEXT(Overig!C366,""", ""0000")&amp;SUBSTITUTE(TEXT(IF(ISTEXT(Overig!D366),Overig!D366,10*Overig!D366),""",""????0;"",""???-0;"",""????0;"", ////"""),"'","""")&amp;SUBSTITUTE(TEXT(Overig!E366,""",""?00;"",""?-00;"",""?00;"", //"""),"'","""")&amp;SUBSTITUTE(TEXT(IF(ISTEXT(Overig!F366),Overig!F366,100*Overig!F366),""",""?????0;"",""????-0;"",""?????0;"", /////"""),"'","""")&amp;SUBSTITUTE(TEXT(Overig!G366,""",""?00;"",""?-00;"",""?00;"", //"""),"'","""")&amp;SUBSTITUTE(TEXT(IF(ISTEXT(Overig!H366),Overig!H366,100*Overig!H366),""",""????0;"",""???-0;"",""????0;"", ////"""),"'","""")&amp;SUBSTITUTE(TEXT(Overig!I366,""",""?00;"",""?-00;"",""?00;"", //"""),"'","""")&amp;SUBSTITUTE(TEXT(IF(ISTEXT(Overig!J366),Overig!J366,100*Overig!J366),""",""?????0;"",""????-0;"",""?????0;"", /////"""),"'","""")&amp;SUBSTITUTE(TEXT(Overig!K366,""",""?00;"",""?-00;"",""?00;"", //"""),"'","""")&amp;SUBSTITUTE(TEXT(IF(ISTEXT(Overig!L366),Overig!L366,10*Overig!L366),""",""????0;"",""???-0;"",""????0;"", ////"""),"'","""")&amp;SUBSTITUTE(TEXT(Overig!M366,""",""?00;"",""?-00;"",""?00;"", //"""),"'","""")&amp;SUBSTITUTE(TEXT(IF(ISTEXT(Overig!N366),Overig!N366,10*Overig!N366),""",""????0;"",""???-0;"",""????0;"", ////"""),"'","""")&amp;SUBSTITUTE(TEXT(Overig!O366,""",""?00;"",""?-00;"",""?00;"", //"""),"'","""")&amp;SUBSTITUTE(TEXT(IF(ISTEXT(Overig!P366),Overig!P366,10*Overig!P366),""",""????0;"",""???-0;"",""????0;"", ////"""),"'","""")&amp;SUBSTITUTE(TEXT(Overig!Q366,""",""?00;"",""?-00;"",""?00;"", //"""),"'","""")&amp;SUBSTITUTE(TEXT(IF(ISTEXT(Overig!R366),Overig!R366,10*Overig!R366),""",""????0;"",""???-0;"",""????0;"", ////"""),"'","""")&amp;SUBSTITUTE(TEXT(Overig!S366,""",""?00;"",""?-00;"",""?00;"", //"""),"'","""")&amp;SUBSTITUTE(TEXT(Overig!T366,""",""???0;"",""??-0;"",""???0;"", ///"""),"'","""")&amp;SUBSTITUTE(TEXT(Overig!U366,""",""?00;"",""?-00;"",""?00;"", //"""),"'","""")&amp;SUBSTITUTE(TEXT(IF(ISTEXT(Overig!V366),Overig!V366,10*Overig!V366),""",""???0;"",""??-0;"",""???0;"", ///"""),"'","""")&amp;SUBSTITUTE(TEXT(Overig!W366,""",""?00;"",""?-00;"",""?00;"", //"""),"'","""")&amp;SUBSTITUTE(TEXT(IF(ISTEXT(Overig!X366),Overig!X366,10*Overig!X366),""",""????0;"",""???-0;"",""????0;"", ////"""),"'","""")&amp;SUBSTITUTE(TEXT(Overig!Y366,""",""?00;"",""?-00;"",""?00;"", //"""),"'","""")&amp;SUBSTITUTE(TEXT(IF(ISTEXT(Overig!Z366),Overig!Z366,10*Overig!Z366),""",""????0;"",""???-0;"",""????0;"", ////"""),"'","""")&amp;SUBSTITUTE(TEXT(Overig!AA366,""",""?00;"",""?-00;"",""?00;"", //"""),"'","""")&amp;SUBSTITUTE(TEXT(Overig!AB366,""",""???0;"",""??-0;"",""???0;"", ///"""),"'","""")&amp;SUBSTITUTE(TEXT(Overig!AC366,""",""?00;"",""?-00;"",""?00;"", //"""),"'","""")&amp;SUBSTITUTE(TEXT(IF(ISTEXT(Overig!AD366),Overig!AD366,10*Overig!AD366),""",""????0;"",""???-0;"",""????0;"", ////"""),"'","""")&amp;SUBSTITUTE(TEXT(Overig!AE366,""",""?00;"",""?-00;"",""?00;"", //"""),"'","""")&amp;SUBSTITUTE(TEXT(IF(ISTEXT(Overig!AF366),Overig!AF366,10*Overig!AF366),""",""????0;"",""???-0;"",""????0;"", ////"""),"'","""")&amp;SUBSTITUTE(TEXT(Overig!AG366,""",""?00;"",""?-00;"",""?00;"", //"""),"'","""")&amp;SUBSTITUTE(TEXT(Overig!AH366,""",""???0;"",""??-0;"",""???0;"", ///"""),"'","""")&amp;SUBSTITUTE(TEXT(Overig!AI366,""",""?00;"",""?-00;"",""?00;"", //"""),"'","""")&amp;SUBSTITUTE(TEXT(Overig!AJ366,""",""??0;"",""?-0;"",""??0;"", //"""),"'","""")&amp;SUBSTITUTE(TEXT(Overig!AK366,""",""?00;"",""?-00;"",""?00;"", //"""),"'","""")&amp;SUBSTITUTE(IF(EXACT(Overig!AL366,"—"),TEXT(Overig!AL366,""",""????0;"",""???-0;"",""????0;"", ////////////,"""),TEXT(Overig!AL366,"\, \'@""',""")&amp;REPT(" ",10-LEN(Overig!AL366))),"'","""")&amp;SUBSTITUTE(TEXT(Overig!AM366,"?00;?-00;?00;"" //"""),"'","""")&amp;SUBSTITUTE(TEXT(Overig!AN366,""",""???0;"",""??-0;"",""???0;"", ///"""),"'","""")&amp;SUBSTITUTE(TEXT(Overig!AO366,""",""?00;"",""?-00;"",""?00;"", //"""),"'","""")</f>
        <v>78989, 19131231, 0800, ////, 07, /////, 07, ////, 07, /////, 07, ////, 07, ////, 07, ////, 07, ////, 07, ///, 07, ///, 07, ////, 07, ////, 07, ///, 07, ////, 07, ////, 07, ///, 07, //, 07, ////////////, 07, ///, 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12</vt:i4>
      </vt:variant>
    </vt:vector>
  </HeadingPairs>
  <TitlesOfParts>
    <vt:vector size="18" baseType="lpstr">
      <vt:lpstr>Invoer</vt:lpstr>
      <vt:lpstr>Info</vt:lpstr>
      <vt:lpstr>Regen</vt:lpstr>
      <vt:lpstr>Overig</vt:lpstr>
      <vt:lpstr>RegenASCII</vt:lpstr>
      <vt:lpstr>OverigASCII</vt:lpstr>
      <vt:lpstr>Catalogus</vt:lpstr>
      <vt:lpstr>Data</vt:lpstr>
      <vt:lpstr>Est</vt:lpstr>
      <vt:lpstr>Kts</vt:lpstr>
      <vt:lpstr>Lacking</vt:lpstr>
      <vt:lpstr>ME</vt:lpstr>
      <vt:lpstr>MS</vt:lpstr>
      <vt:lpstr>Ok</vt:lpstr>
      <vt:lpstr>Parameters</vt:lpstr>
      <vt:lpstr>Stations</vt:lpstr>
      <vt:lpstr>Tijd</vt:lpstr>
      <vt:lpstr>Windrichting</vt:lpstr>
    </vt:vector>
  </TitlesOfParts>
  <Company>SSC-Campus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Jilderda, Rudmer (KNMI)</dc:creator>
  <cp:lastModifiedBy>Schiks, Connie (KNMI)</cp:lastModifiedBy>
  <dcterms:created xsi:type="dcterms:W3CDTF">2015-09-16T12:27:42Z</dcterms:created>
  <dcterms:modified xsi:type="dcterms:W3CDTF">2015-11-30T13:33:49Z</dcterms:modified>
</cp:coreProperties>
</file>