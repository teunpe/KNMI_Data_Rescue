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<sst xmlns="http://schemas.openxmlformats.org/spreadsheetml/2006/main" count="331" uniqueCount="136">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</sst>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B294" activePane="bottomRight" state="frozen"/>
      <selection pane="topRight" activeCell="B1" sqref="B1"/>
      <selection pane="bottomLeft" activeCell="A5" sqref="A5"/>
      <selection pane="bottomRight" activeCell="N325" sqref="N32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3289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3290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3291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3292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3293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3294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3295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3296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3297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3298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3299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3300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3301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3302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3303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3304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3305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3306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3307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3308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3309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3310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3311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3312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3313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3314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3315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3316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3317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3318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3319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3320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3321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3322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3323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3324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3325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3326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3327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3328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3329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3330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3331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3332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3333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3334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3335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3336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3337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3338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3339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3340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3341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3342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3343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3344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3345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3346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3347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3348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3349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3350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3351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3352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3353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3354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3355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3356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3357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3358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3359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3360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3361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3362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3363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3364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3365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3366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3367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3368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3369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3370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3371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3372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3373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3374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3375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3376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3377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3378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3379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3380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3381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3382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3383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3384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3385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3386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3387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3388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3389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3390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3391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3392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3393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3394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3395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3396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3397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3398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3399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3400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3401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3402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3403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3404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3405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3406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3407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3408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3409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3410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3411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3412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3413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3414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3415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3416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3417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3418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3419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3420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3421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3422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3423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3424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3425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3426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3427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3428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3429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3430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3431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3432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3433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3434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3435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3436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3437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3438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3439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3440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3441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3442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3443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3444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3445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3446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3447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3448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3449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3450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3451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3452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3453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3454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3455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3456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3457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3458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3459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3460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3461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3462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3463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3464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3465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3466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3467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3468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3469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3470</v>
      </c>
      <c r="B192" s="29"/>
      <c r="C192" s="29"/>
      <c r="D192" s="29"/>
      <c r="E192" s="29"/>
      <c r="F192" s="29">
        <v>2996</v>
      </c>
      <c r="G192" s="39"/>
      <c r="H192" s="40"/>
      <c r="I192" s="52"/>
      <c r="J192" s="53"/>
      <c r="K192" s="17"/>
      <c r="L192" s="39"/>
      <c r="M192" s="43"/>
      <c r="N192" s="45" t="s">
        <v>108</v>
      </c>
      <c r="O192" s="55"/>
      <c r="P192" s="56"/>
      <c r="Q192" s="74"/>
      <c r="R192" s="70"/>
      <c r="S192" s="19"/>
      <c r="T192" s="60"/>
      <c r="U192" s="59"/>
    </row>
    <row r="193" spans="1:21" ht="15" customHeight="1" x14ac:dyDescent="0.25">
      <c r="A193" s="1">
        <f t="shared" ca="1" si="7"/>
        <v>3471</v>
      </c>
      <c r="B193" s="29"/>
      <c r="C193" s="29"/>
      <c r="D193" s="29"/>
      <c r="E193" s="29"/>
      <c r="F193" s="29">
        <v>3000</v>
      </c>
      <c r="G193" s="39"/>
      <c r="H193" s="40"/>
      <c r="I193" s="52"/>
      <c r="J193" s="53"/>
      <c r="K193" s="17"/>
      <c r="L193" s="39"/>
      <c r="M193" s="43"/>
      <c r="N193" s="45" t="s">
        <v>108</v>
      </c>
      <c r="O193" s="55"/>
      <c r="P193" s="56"/>
      <c r="Q193" s="74"/>
      <c r="R193" s="70"/>
      <c r="S193" s="19"/>
      <c r="T193" s="60"/>
      <c r="U193" s="59"/>
    </row>
    <row r="194" spans="1:21" ht="15" customHeight="1" x14ac:dyDescent="0.25">
      <c r="A194" s="1">
        <f t="shared" ca="1" si="7"/>
        <v>3472</v>
      </c>
      <c r="B194" s="29"/>
      <c r="C194" s="29"/>
      <c r="D194" s="29"/>
      <c r="E194" s="29"/>
      <c r="F194" s="29">
        <v>2996</v>
      </c>
      <c r="G194" s="39"/>
      <c r="H194" s="40"/>
      <c r="I194" s="52"/>
      <c r="J194" s="53"/>
      <c r="K194" s="17"/>
      <c r="L194" s="39"/>
      <c r="M194" s="43"/>
      <c r="N194" s="45" t="s">
        <v>108</v>
      </c>
      <c r="O194" s="55"/>
      <c r="P194" s="56"/>
      <c r="Q194" s="74"/>
      <c r="R194" s="70"/>
      <c r="S194" s="19"/>
      <c r="T194" s="60"/>
      <c r="U194" s="59"/>
    </row>
    <row r="195" spans="1:21" ht="15" customHeight="1" x14ac:dyDescent="0.25">
      <c r="A195" s="1">
        <f t="shared" ca="1" si="7"/>
        <v>3473</v>
      </c>
      <c r="B195" s="29"/>
      <c r="C195" s="29"/>
      <c r="D195" s="29"/>
      <c r="E195" s="29"/>
      <c r="F195" s="29">
        <v>2992</v>
      </c>
      <c r="G195" s="39"/>
      <c r="H195" s="40"/>
      <c r="I195" s="52"/>
      <c r="J195" s="53"/>
      <c r="K195" s="17"/>
      <c r="L195" s="39"/>
      <c r="M195" s="43"/>
      <c r="N195" s="45" t="s">
        <v>108</v>
      </c>
      <c r="O195" s="55"/>
      <c r="P195" s="56"/>
      <c r="Q195" s="74"/>
      <c r="R195" s="70"/>
      <c r="S195" s="19"/>
      <c r="T195" s="60"/>
      <c r="U195" s="59"/>
    </row>
    <row r="196" spans="1:21" ht="15" customHeight="1" x14ac:dyDescent="0.25">
      <c r="A196" s="1">
        <f t="shared" ca="1" si="7"/>
        <v>3474</v>
      </c>
      <c r="B196" s="29"/>
      <c r="C196" s="29"/>
      <c r="D196" s="29"/>
      <c r="E196" s="29"/>
      <c r="F196" s="29">
        <v>2994</v>
      </c>
      <c r="G196" s="39"/>
      <c r="H196" s="40"/>
      <c r="I196" s="52"/>
      <c r="J196" s="53"/>
      <c r="K196" s="17"/>
      <c r="L196" s="39"/>
      <c r="M196" s="43"/>
      <c r="N196" s="45" t="s">
        <v>108</v>
      </c>
      <c r="O196" s="55"/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3475</v>
      </c>
      <c r="B197" s="29"/>
      <c r="C197" s="29"/>
      <c r="D197" s="29"/>
      <c r="E197" s="29"/>
      <c r="F197" s="29">
        <v>2994</v>
      </c>
      <c r="G197" s="39"/>
      <c r="H197" s="40"/>
      <c r="I197" s="52"/>
      <c r="J197" s="53"/>
      <c r="K197" s="17"/>
      <c r="L197" s="39"/>
      <c r="M197" s="43"/>
      <c r="N197" s="45" t="s">
        <v>108</v>
      </c>
      <c r="O197" s="55"/>
      <c r="P197" s="56"/>
      <c r="Q197" s="74"/>
      <c r="R197" s="70"/>
      <c r="S197" s="19"/>
      <c r="T197" s="60"/>
      <c r="U197" s="59"/>
    </row>
    <row r="198" spans="1:21" ht="15" customHeight="1" x14ac:dyDescent="0.25">
      <c r="A198" s="1">
        <f t="shared" ca="1" si="7"/>
        <v>3476</v>
      </c>
      <c r="B198" s="29"/>
      <c r="C198" s="29"/>
      <c r="D198" s="29"/>
      <c r="E198" s="29"/>
      <c r="F198" s="29">
        <v>2994</v>
      </c>
      <c r="G198" s="39"/>
      <c r="H198" s="40"/>
      <c r="I198" s="52"/>
      <c r="J198" s="53"/>
      <c r="K198" s="17"/>
      <c r="L198" s="39"/>
      <c r="M198" s="43"/>
      <c r="N198" s="45" t="s">
        <v>108</v>
      </c>
      <c r="O198" s="55"/>
      <c r="P198" s="56"/>
      <c r="Q198" s="74"/>
      <c r="R198" s="70"/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3477</v>
      </c>
      <c r="B199" s="29"/>
      <c r="C199" s="29"/>
      <c r="D199" s="29"/>
      <c r="E199" s="29"/>
      <c r="F199" s="29">
        <v>2990</v>
      </c>
      <c r="G199" s="39"/>
      <c r="H199" s="40"/>
      <c r="I199" s="52"/>
      <c r="J199" s="53"/>
      <c r="K199" s="17"/>
      <c r="L199" s="39"/>
      <c r="M199" s="43"/>
      <c r="N199" s="45" t="s">
        <v>108</v>
      </c>
      <c r="O199" s="55"/>
      <c r="P199" s="56"/>
      <c r="Q199" s="74"/>
      <c r="R199" s="70"/>
      <c r="S199" s="19"/>
      <c r="T199" s="60"/>
      <c r="U199" s="59"/>
    </row>
    <row r="200" spans="1:21" ht="15" customHeight="1" x14ac:dyDescent="0.25">
      <c r="A200" s="1">
        <f t="shared" ca="1" si="11"/>
        <v>3478</v>
      </c>
      <c r="B200" s="29"/>
      <c r="C200" s="29"/>
      <c r="D200" s="29"/>
      <c r="E200" s="29"/>
      <c r="F200" s="29">
        <v>2992</v>
      </c>
      <c r="G200" s="39"/>
      <c r="H200" s="40"/>
      <c r="I200" s="52"/>
      <c r="J200" s="53"/>
      <c r="K200" s="17"/>
      <c r="L200" s="39"/>
      <c r="M200" s="43"/>
      <c r="N200" s="45" t="s">
        <v>110</v>
      </c>
      <c r="O200" s="55"/>
      <c r="P200" s="56"/>
      <c r="Q200" s="74"/>
      <c r="R200" s="70"/>
      <c r="S200" s="19"/>
      <c r="T200" s="60"/>
      <c r="U200" s="59"/>
    </row>
    <row r="201" spans="1:21" ht="15" customHeight="1" x14ac:dyDescent="0.25">
      <c r="A201" s="1">
        <f t="shared" ca="1" si="11"/>
        <v>3479</v>
      </c>
      <c r="B201" s="29"/>
      <c r="C201" s="29"/>
      <c r="D201" s="29"/>
      <c r="E201" s="29"/>
      <c r="F201" s="29">
        <v>2994</v>
      </c>
      <c r="G201" s="39"/>
      <c r="H201" s="40"/>
      <c r="I201" s="52"/>
      <c r="J201" s="53"/>
      <c r="K201" s="17"/>
      <c r="L201" s="39"/>
      <c r="M201" s="43"/>
      <c r="N201" s="45" t="s">
        <v>108</v>
      </c>
      <c r="O201" s="55"/>
      <c r="P201" s="56"/>
      <c r="Q201" s="74"/>
      <c r="R201" s="70"/>
      <c r="S201" s="19"/>
      <c r="T201" s="60"/>
      <c r="U201" s="59"/>
    </row>
    <row r="202" spans="1:21" ht="15" customHeight="1" x14ac:dyDescent="0.25">
      <c r="A202" s="1">
        <f t="shared" ca="1" si="11"/>
        <v>3480</v>
      </c>
      <c r="B202" s="29"/>
      <c r="C202" s="29"/>
      <c r="D202" s="29"/>
      <c r="E202" s="29"/>
      <c r="F202" s="29">
        <v>2996</v>
      </c>
      <c r="G202" s="39"/>
      <c r="H202" s="40"/>
      <c r="I202" s="52"/>
      <c r="J202" s="53"/>
      <c r="K202" s="17"/>
      <c r="L202" s="39"/>
      <c r="M202" s="43"/>
      <c r="N202" s="45" t="s">
        <v>108</v>
      </c>
      <c r="O202" s="55"/>
      <c r="P202" s="56"/>
      <c r="Q202" s="74"/>
      <c r="R202" s="70"/>
      <c r="S202" s="19"/>
      <c r="T202" s="60"/>
      <c r="U202" s="59"/>
    </row>
    <row r="203" spans="1:21" ht="15" customHeight="1" x14ac:dyDescent="0.25">
      <c r="A203" s="1">
        <f t="shared" ca="1" si="11"/>
        <v>3481</v>
      </c>
      <c r="B203" s="29"/>
      <c r="C203" s="29"/>
      <c r="D203" s="29"/>
      <c r="E203" s="29"/>
      <c r="F203" s="29">
        <v>2996</v>
      </c>
      <c r="G203" s="39"/>
      <c r="H203" s="40"/>
      <c r="I203" s="52"/>
      <c r="J203" s="53"/>
      <c r="K203" s="17"/>
      <c r="L203" s="39"/>
      <c r="M203" s="43"/>
      <c r="N203" s="45" t="s">
        <v>108</v>
      </c>
      <c r="O203" s="55"/>
      <c r="P203" s="56"/>
      <c r="Q203" s="74"/>
      <c r="R203" s="70"/>
      <c r="S203" s="19"/>
      <c r="T203" s="60"/>
      <c r="U203" s="59"/>
    </row>
    <row r="204" spans="1:21" ht="15" customHeight="1" x14ac:dyDescent="0.25">
      <c r="A204" s="1">
        <f t="shared" ca="1" si="11"/>
        <v>3482</v>
      </c>
      <c r="B204" s="29"/>
      <c r="C204" s="29"/>
      <c r="D204" s="29"/>
      <c r="E204" s="29"/>
      <c r="F204" s="29">
        <v>2992</v>
      </c>
      <c r="G204" s="39"/>
      <c r="H204" s="40"/>
      <c r="I204" s="52"/>
      <c r="J204" s="53"/>
      <c r="K204" s="17"/>
      <c r="L204" s="39"/>
      <c r="M204" s="43"/>
      <c r="N204" s="45" t="s">
        <v>108</v>
      </c>
      <c r="O204" s="55"/>
      <c r="P204" s="56"/>
      <c r="Q204" s="74"/>
      <c r="R204" s="70"/>
      <c r="S204" s="19"/>
      <c r="T204" s="60"/>
      <c r="U204" s="59"/>
    </row>
    <row r="205" spans="1:21" ht="15" customHeight="1" x14ac:dyDescent="0.25">
      <c r="A205" s="1">
        <f t="shared" ca="1" si="11"/>
        <v>3483</v>
      </c>
      <c r="B205" s="29"/>
      <c r="C205" s="29"/>
      <c r="D205" s="29"/>
      <c r="E205" s="29"/>
      <c r="F205" s="29">
        <v>2994</v>
      </c>
      <c r="G205" s="39"/>
      <c r="H205" s="40"/>
      <c r="I205" s="52"/>
      <c r="J205" s="53"/>
      <c r="K205" s="17"/>
      <c r="L205" s="39"/>
      <c r="M205" s="43"/>
      <c r="N205" s="45" t="s">
        <v>108</v>
      </c>
      <c r="O205" s="55"/>
      <c r="P205" s="56"/>
      <c r="Q205" s="74"/>
      <c r="R205" s="70"/>
      <c r="S205" s="19"/>
      <c r="T205" s="60"/>
      <c r="U205" s="59"/>
    </row>
    <row r="206" spans="1:21" ht="15" customHeight="1" x14ac:dyDescent="0.25">
      <c r="A206" s="1">
        <f t="shared" ca="1" si="11"/>
        <v>3484</v>
      </c>
      <c r="B206" s="29"/>
      <c r="C206" s="29"/>
      <c r="D206" s="29"/>
      <c r="E206" s="29"/>
      <c r="F206" s="29">
        <v>2994</v>
      </c>
      <c r="G206" s="39"/>
      <c r="H206" s="40"/>
      <c r="I206" s="52"/>
      <c r="J206" s="53"/>
      <c r="K206" s="17"/>
      <c r="L206" s="39"/>
      <c r="M206" s="43"/>
      <c r="N206" s="45" t="s">
        <v>110</v>
      </c>
      <c r="O206" s="55"/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3485</v>
      </c>
      <c r="B207" s="29"/>
      <c r="C207" s="29"/>
      <c r="D207" s="29"/>
      <c r="E207" s="29"/>
      <c r="F207" s="29">
        <v>2992</v>
      </c>
      <c r="G207" s="39"/>
      <c r="H207" s="40"/>
      <c r="I207" s="52"/>
      <c r="J207" s="53"/>
      <c r="K207" s="17"/>
      <c r="L207" s="39"/>
      <c r="M207" s="43"/>
      <c r="N207" s="45" t="s">
        <v>108</v>
      </c>
      <c r="O207" s="55"/>
      <c r="P207" s="56"/>
      <c r="Q207" s="74"/>
      <c r="R207" s="70"/>
      <c r="S207" s="19"/>
      <c r="T207" s="60"/>
      <c r="U207" s="59"/>
    </row>
    <row r="208" spans="1:21" ht="15" customHeight="1" x14ac:dyDescent="0.25">
      <c r="A208" s="1">
        <f t="shared" ca="1" si="11"/>
        <v>3486</v>
      </c>
      <c r="B208" s="29"/>
      <c r="C208" s="29"/>
      <c r="D208" s="29"/>
      <c r="E208" s="29"/>
      <c r="F208" s="29">
        <v>2994</v>
      </c>
      <c r="G208" s="39"/>
      <c r="H208" s="40"/>
      <c r="I208" s="52"/>
      <c r="J208" s="53"/>
      <c r="K208" s="17"/>
      <c r="L208" s="39"/>
      <c r="M208" s="43"/>
      <c r="N208" s="45" t="s">
        <v>108</v>
      </c>
      <c r="O208" s="55"/>
      <c r="P208" s="56"/>
      <c r="Q208" s="74"/>
      <c r="R208" s="70"/>
      <c r="S208" s="19"/>
      <c r="T208" s="60"/>
      <c r="U208" s="59"/>
    </row>
    <row r="209" spans="1:21" ht="15" customHeight="1" x14ac:dyDescent="0.25">
      <c r="A209" s="1">
        <f t="shared" ca="1" si="11"/>
        <v>3487</v>
      </c>
      <c r="B209" s="29"/>
      <c r="C209" s="29"/>
      <c r="D209" s="29"/>
      <c r="E209" s="29"/>
      <c r="F209" s="29">
        <v>2998</v>
      </c>
      <c r="G209" s="39"/>
      <c r="H209" s="40"/>
      <c r="I209" s="52"/>
      <c r="J209" s="53"/>
      <c r="K209" s="17"/>
      <c r="L209" s="39"/>
      <c r="M209" s="43"/>
      <c r="N209" s="45" t="s">
        <v>108</v>
      </c>
      <c r="O209" s="55"/>
      <c r="P209" s="56"/>
      <c r="Q209" s="74"/>
      <c r="R209" s="70"/>
      <c r="S209" s="19"/>
      <c r="T209" s="60"/>
      <c r="U209" s="59"/>
    </row>
    <row r="210" spans="1:21" ht="15" customHeight="1" x14ac:dyDescent="0.25">
      <c r="A210" s="1">
        <f t="shared" ca="1" si="11"/>
        <v>3488</v>
      </c>
      <c r="B210" s="29"/>
      <c r="C210" s="29"/>
      <c r="D210" s="29"/>
      <c r="E210" s="29"/>
      <c r="F210" s="29">
        <v>2998</v>
      </c>
      <c r="G210" s="39"/>
      <c r="H210" s="40"/>
      <c r="I210" s="52"/>
      <c r="J210" s="53"/>
      <c r="K210" s="17"/>
      <c r="L210" s="39"/>
      <c r="M210" s="43"/>
      <c r="N210" s="45" t="s">
        <v>108</v>
      </c>
      <c r="O210" s="55"/>
      <c r="P210" s="56"/>
      <c r="Q210" s="74"/>
      <c r="R210" s="70"/>
      <c r="S210" s="19"/>
      <c r="T210" s="60"/>
      <c r="U210" s="59"/>
    </row>
    <row r="211" spans="1:21" ht="15" customHeight="1" x14ac:dyDescent="0.25">
      <c r="A211" s="1">
        <f t="shared" ca="1" si="11"/>
        <v>3489</v>
      </c>
      <c r="B211" s="29"/>
      <c r="C211" s="29"/>
      <c r="D211" s="29"/>
      <c r="E211" s="29"/>
      <c r="F211" s="29">
        <v>2998</v>
      </c>
      <c r="G211" s="39"/>
      <c r="H211" s="40"/>
      <c r="I211" s="52"/>
      <c r="J211" s="53"/>
      <c r="K211" s="17"/>
      <c r="L211" s="39"/>
      <c r="M211" s="43"/>
      <c r="N211" s="45" t="s">
        <v>108</v>
      </c>
      <c r="O211" s="55"/>
      <c r="P211" s="56"/>
      <c r="Q211" s="74"/>
      <c r="R211" s="70"/>
      <c r="S211" s="19"/>
      <c r="T211" s="60"/>
      <c r="U211" s="59"/>
    </row>
    <row r="212" spans="1:21" ht="15" customHeight="1" x14ac:dyDescent="0.25">
      <c r="A212" s="1">
        <f t="shared" ca="1" si="11"/>
        <v>3490</v>
      </c>
      <c r="B212" s="29"/>
      <c r="C212" s="29"/>
      <c r="D212" s="29"/>
      <c r="E212" s="29"/>
      <c r="F212" s="29"/>
      <c r="G212" s="39"/>
      <c r="H212" s="40"/>
      <c r="I212" s="52"/>
      <c r="J212" s="53"/>
      <c r="K212" s="17"/>
      <c r="L212" s="39"/>
      <c r="M212" s="43"/>
      <c r="N212" s="45"/>
      <c r="O212" s="55"/>
      <c r="P212" s="56"/>
      <c r="Q212" s="74"/>
      <c r="R212" s="70"/>
      <c r="S212" s="19"/>
      <c r="T212" s="60"/>
      <c r="U212" s="59"/>
    </row>
    <row r="213" spans="1:21" ht="15" customHeight="1" x14ac:dyDescent="0.25">
      <c r="A213" s="1">
        <f t="shared" ca="1" si="11"/>
        <v>3491</v>
      </c>
      <c r="B213" s="29"/>
      <c r="C213" s="29"/>
      <c r="D213" s="29"/>
      <c r="E213" s="29"/>
      <c r="F213" s="29">
        <v>2996</v>
      </c>
      <c r="G213" s="39"/>
      <c r="H213" s="40"/>
      <c r="I213" s="52"/>
      <c r="J213" s="53"/>
      <c r="K213" s="17"/>
      <c r="L213" s="39"/>
      <c r="M213" s="43"/>
      <c r="N213" s="45" t="s">
        <v>108</v>
      </c>
      <c r="O213" s="55"/>
      <c r="P213" s="56"/>
      <c r="Q213" s="74"/>
      <c r="R213" s="70"/>
      <c r="S213" s="19"/>
      <c r="T213" s="60"/>
      <c r="U213" s="59"/>
    </row>
    <row r="214" spans="1:21" ht="15" customHeight="1" x14ac:dyDescent="0.25">
      <c r="A214" s="1">
        <f t="shared" ca="1" si="11"/>
        <v>3492</v>
      </c>
      <c r="B214" s="29"/>
      <c r="C214" s="29"/>
      <c r="D214" s="29"/>
      <c r="E214" s="29"/>
      <c r="F214" s="29">
        <v>2998</v>
      </c>
      <c r="G214" s="39"/>
      <c r="H214" s="40"/>
      <c r="I214" s="52"/>
      <c r="J214" s="53"/>
      <c r="K214" s="17"/>
      <c r="L214" s="39"/>
      <c r="M214" s="43"/>
      <c r="N214" s="45" t="s">
        <v>50</v>
      </c>
      <c r="O214" s="55"/>
      <c r="P214" s="56"/>
      <c r="Q214" s="74"/>
      <c r="R214" s="70"/>
      <c r="S214" s="19"/>
      <c r="T214" s="60"/>
      <c r="U214" s="59"/>
    </row>
    <row r="215" spans="1:21" ht="15" customHeight="1" x14ac:dyDescent="0.25">
      <c r="A215" s="1">
        <f t="shared" ca="1" si="11"/>
        <v>3493</v>
      </c>
      <c r="B215" s="29"/>
      <c r="C215" s="29"/>
      <c r="D215" s="29"/>
      <c r="E215" s="29"/>
      <c r="F215" s="29">
        <v>3000</v>
      </c>
      <c r="G215" s="39"/>
      <c r="H215" s="40"/>
      <c r="I215" s="52"/>
      <c r="J215" s="53"/>
      <c r="K215" s="17"/>
      <c r="L215" s="39"/>
      <c r="M215" s="43"/>
      <c r="N215" s="45" t="s">
        <v>110</v>
      </c>
      <c r="O215" s="55"/>
      <c r="P215" s="56"/>
      <c r="Q215" s="74"/>
      <c r="R215" s="70"/>
      <c r="S215" s="19"/>
      <c r="T215" s="60"/>
      <c r="U215" s="59"/>
    </row>
    <row r="216" spans="1:21" ht="15" customHeight="1" x14ac:dyDescent="0.25">
      <c r="A216" s="1">
        <f t="shared" ca="1" si="11"/>
        <v>3494</v>
      </c>
      <c r="B216" s="29"/>
      <c r="C216" s="29"/>
      <c r="D216" s="29"/>
      <c r="E216" s="29"/>
      <c r="F216" s="29">
        <v>2996</v>
      </c>
      <c r="G216" s="39"/>
      <c r="H216" s="40"/>
      <c r="I216" s="52"/>
      <c r="J216" s="53"/>
      <c r="K216" s="17"/>
      <c r="L216" s="39"/>
      <c r="M216" s="43"/>
      <c r="N216" s="45" t="s">
        <v>108</v>
      </c>
      <c r="O216" s="55"/>
      <c r="P216" s="56"/>
      <c r="Q216" s="74"/>
      <c r="R216" s="70"/>
      <c r="S216" s="19"/>
      <c r="T216" s="60"/>
      <c r="U216" s="59"/>
    </row>
    <row r="217" spans="1:21" ht="15" customHeight="1" x14ac:dyDescent="0.25">
      <c r="A217" s="1">
        <f t="shared" ca="1" si="11"/>
        <v>3495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/>
      <c r="M217" s="43"/>
      <c r="N217" s="45" t="s">
        <v>108</v>
      </c>
      <c r="O217" s="55"/>
      <c r="P217" s="56"/>
      <c r="Q217" s="74"/>
      <c r="R217" s="70"/>
      <c r="S217" s="19"/>
      <c r="T217" s="60"/>
      <c r="U217" s="59"/>
    </row>
    <row r="218" spans="1:21" ht="15" customHeight="1" x14ac:dyDescent="0.25">
      <c r="A218" s="1">
        <f t="shared" ca="1" si="11"/>
        <v>3496</v>
      </c>
      <c r="B218" s="29"/>
      <c r="C218" s="29"/>
      <c r="D218" s="29"/>
      <c r="E218" s="29"/>
      <c r="F218" s="29">
        <v>2994</v>
      </c>
      <c r="G218" s="39"/>
      <c r="H218" s="40"/>
      <c r="I218" s="52"/>
      <c r="J218" s="53"/>
      <c r="K218" s="17"/>
      <c r="L218" s="39"/>
      <c r="M218" s="43"/>
      <c r="N218" s="45" t="s">
        <v>110</v>
      </c>
      <c r="O218" s="55"/>
      <c r="P218" s="56"/>
      <c r="Q218" s="74"/>
      <c r="R218" s="70"/>
      <c r="S218" s="19"/>
      <c r="T218" s="60"/>
      <c r="U218" s="59"/>
    </row>
    <row r="219" spans="1:21" ht="15" customHeight="1" x14ac:dyDescent="0.25">
      <c r="A219" s="1">
        <f t="shared" ca="1" si="11"/>
        <v>3497</v>
      </c>
      <c r="B219" s="29"/>
      <c r="C219" s="29"/>
      <c r="D219" s="29"/>
      <c r="E219" s="29"/>
      <c r="F219" s="29">
        <v>2998</v>
      </c>
      <c r="G219" s="39"/>
      <c r="H219" s="40"/>
      <c r="I219" s="52"/>
      <c r="J219" s="53"/>
      <c r="K219" s="17"/>
      <c r="L219" s="39"/>
      <c r="M219" s="43"/>
      <c r="N219" s="45" t="s">
        <v>108</v>
      </c>
      <c r="O219" s="55"/>
      <c r="P219" s="56"/>
      <c r="Q219" s="74"/>
      <c r="R219" s="70"/>
      <c r="S219" s="19"/>
      <c r="T219" s="60"/>
      <c r="U219" s="59"/>
    </row>
    <row r="220" spans="1:21" ht="15" customHeight="1" x14ac:dyDescent="0.25">
      <c r="A220" s="1">
        <f t="shared" ca="1" si="11"/>
        <v>3498</v>
      </c>
      <c r="B220" s="29"/>
      <c r="C220" s="29"/>
      <c r="D220" s="29"/>
      <c r="E220" s="29"/>
      <c r="F220" s="29">
        <v>2996</v>
      </c>
      <c r="G220" s="39"/>
      <c r="H220" s="40"/>
      <c r="I220" s="52"/>
      <c r="J220" s="53"/>
      <c r="K220" s="17"/>
      <c r="L220" s="39"/>
      <c r="M220" s="43"/>
      <c r="N220" s="45" t="s">
        <v>108</v>
      </c>
      <c r="O220" s="55"/>
      <c r="P220" s="56"/>
      <c r="Q220" s="74"/>
      <c r="R220" s="70"/>
      <c r="S220" s="19"/>
      <c r="T220" s="60"/>
      <c r="U220" s="59"/>
    </row>
    <row r="221" spans="1:21" ht="15" customHeight="1" x14ac:dyDescent="0.25">
      <c r="A221" s="1">
        <f t="shared" ca="1" si="11"/>
        <v>3499</v>
      </c>
      <c r="B221" s="29"/>
      <c r="C221" s="29"/>
      <c r="D221" s="29"/>
      <c r="E221" s="29"/>
      <c r="F221" s="29">
        <v>2990</v>
      </c>
      <c r="G221" s="39"/>
      <c r="H221" s="40"/>
      <c r="I221" s="52"/>
      <c r="J221" s="53"/>
      <c r="K221" s="17"/>
      <c r="L221" s="39"/>
      <c r="M221" s="43"/>
      <c r="N221" s="45" t="s">
        <v>108</v>
      </c>
      <c r="O221" s="55"/>
      <c r="P221" s="56"/>
      <c r="Q221" s="74"/>
      <c r="R221" s="70"/>
      <c r="S221" s="19"/>
      <c r="T221" s="60"/>
      <c r="U221" s="59"/>
    </row>
    <row r="222" spans="1:21" ht="15" customHeight="1" x14ac:dyDescent="0.25">
      <c r="A222" s="1">
        <f t="shared" ca="1" si="11"/>
        <v>3500</v>
      </c>
      <c r="B222" s="29"/>
      <c r="C222" s="29"/>
      <c r="D222" s="29"/>
      <c r="E222" s="29"/>
      <c r="F222" s="29">
        <v>2986</v>
      </c>
      <c r="G222" s="39"/>
      <c r="H222" s="40"/>
      <c r="I222" s="52"/>
      <c r="J222" s="53"/>
      <c r="K222" s="17"/>
      <c r="L222" s="39"/>
      <c r="M222" s="43"/>
      <c r="N222" s="45" t="s">
        <v>108</v>
      </c>
      <c r="O222" s="55"/>
      <c r="P222" s="56"/>
      <c r="Q222" s="74"/>
      <c r="R222" s="70"/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29.947333333333333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 t="str">
        <f>IF(COUNT(L192:L222)&gt;0,AVERAGE(L192:L222)/10,"")</f>
        <v/>
      </c>
      <c r="M223" s="44" t="str">
        <f>IF(COUNT(M192:M222)&gt;0,AVERAGE(M192:M222)/10,"")</f>
        <v/>
      </c>
      <c r="N223" s="46"/>
      <c r="O223" s="57" t="str">
        <f>IF(COUNT(O192:O222)&gt;0,AVERAGE(O192:O222),"")</f>
        <v/>
      </c>
      <c r="P223" s="58" t="str">
        <f>IF(COUNT(P192:P222)&gt;0,AVERAGE(P192:P222),"")</f>
        <v/>
      </c>
      <c r="Q223" s="47"/>
      <c r="R223" s="68" t="str">
        <f>IF(COUNT(R192:R222)&gt;0,SUM(R192:R222)/100,"")</f>
        <v/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3501</v>
      </c>
      <c r="B224" s="29"/>
      <c r="C224" s="29"/>
      <c r="D224" s="29"/>
      <c r="E224" s="29"/>
      <c r="F224" s="29">
        <v>2990</v>
      </c>
      <c r="G224" s="39"/>
      <c r="H224" s="40"/>
      <c r="I224" s="52"/>
      <c r="J224" s="53"/>
      <c r="K224" s="17"/>
      <c r="L224" s="39"/>
      <c r="M224" s="43"/>
      <c r="N224" s="45" t="s">
        <v>110</v>
      </c>
      <c r="O224" s="55"/>
      <c r="P224" s="56"/>
      <c r="Q224" s="74"/>
      <c r="R224" s="70"/>
      <c r="S224" s="19"/>
      <c r="T224" s="60"/>
      <c r="U224" s="59"/>
    </row>
    <row r="225" spans="1:21" ht="15" customHeight="1" x14ac:dyDescent="0.25">
      <c r="A225" s="1">
        <f t="shared" ca="1" si="11"/>
        <v>3502</v>
      </c>
      <c r="B225" s="29"/>
      <c r="C225" s="29"/>
      <c r="D225" s="29"/>
      <c r="E225" s="29"/>
      <c r="F225" s="29">
        <v>2994</v>
      </c>
      <c r="G225" s="39"/>
      <c r="H225" s="40"/>
      <c r="I225" s="52"/>
      <c r="J225" s="53"/>
      <c r="K225" s="17"/>
      <c r="L225" s="39"/>
      <c r="M225" s="43"/>
      <c r="N225" s="45" t="s">
        <v>108</v>
      </c>
      <c r="O225" s="55"/>
      <c r="P225" s="56"/>
      <c r="Q225" s="74"/>
      <c r="R225" s="70"/>
      <c r="S225" s="19"/>
      <c r="T225" s="60"/>
      <c r="U225" s="59"/>
    </row>
    <row r="226" spans="1:21" ht="15" customHeight="1" x14ac:dyDescent="0.25">
      <c r="A226" s="1">
        <f t="shared" ca="1" si="11"/>
        <v>3503</v>
      </c>
      <c r="B226" s="29"/>
      <c r="C226" s="29"/>
      <c r="D226" s="29"/>
      <c r="E226" s="29"/>
      <c r="F226" s="29">
        <v>2994</v>
      </c>
      <c r="G226" s="39"/>
      <c r="H226" s="40"/>
      <c r="I226" s="52"/>
      <c r="J226" s="53"/>
      <c r="K226" s="17"/>
      <c r="L226" s="39"/>
      <c r="M226" s="43"/>
      <c r="N226" s="45" t="s">
        <v>108</v>
      </c>
      <c r="O226" s="55"/>
      <c r="P226" s="56"/>
      <c r="Q226" s="74"/>
      <c r="R226" s="70"/>
      <c r="S226" s="19"/>
      <c r="T226" s="60"/>
      <c r="U226" s="59"/>
    </row>
    <row r="227" spans="1:21" ht="15" customHeight="1" x14ac:dyDescent="0.25">
      <c r="A227" s="1">
        <f t="shared" ca="1" si="11"/>
        <v>3504</v>
      </c>
      <c r="B227" s="29"/>
      <c r="C227" s="29"/>
      <c r="D227" s="29"/>
      <c r="E227" s="29"/>
      <c r="F227" s="29">
        <v>2990</v>
      </c>
      <c r="G227" s="39"/>
      <c r="H227" s="40"/>
      <c r="I227" s="52"/>
      <c r="J227" s="53"/>
      <c r="K227" s="17"/>
      <c r="L227" s="39"/>
      <c r="M227" s="43"/>
      <c r="N227" s="45" t="s">
        <v>110</v>
      </c>
      <c r="O227" s="55"/>
      <c r="P227" s="56"/>
      <c r="Q227" s="74"/>
      <c r="R227" s="70"/>
      <c r="S227" s="19"/>
      <c r="T227" s="60"/>
      <c r="U227" s="59"/>
    </row>
    <row r="228" spans="1:21" ht="15" customHeight="1" x14ac:dyDescent="0.25">
      <c r="A228" s="1">
        <f t="shared" ca="1" si="11"/>
        <v>3505</v>
      </c>
      <c r="B228" s="29"/>
      <c r="C228" s="29"/>
      <c r="D228" s="29"/>
      <c r="E228" s="29"/>
      <c r="F228" s="29">
        <v>2992</v>
      </c>
      <c r="G228" s="39"/>
      <c r="H228" s="40"/>
      <c r="I228" s="52"/>
      <c r="J228" s="53"/>
      <c r="K228" s="17"/>
      <c r="L228" s="39"/>
      <c r="M228" s="43"/>
      <c r="N228" s="45" t="s">
        <v>110</v>
      </c>
      <c r="O228" s="55"/>
      <c r="P228" s="56"/>
      <c r="Q228" s="74"/>
      <c r="R228" s="70"/>
      <c r="S228" s="19"/>
      <c r="T228" s="60"/>
      <c r="U228" s="59"/>
    </row>
    <row r="229" spans="1:21" ht="15" customHeight="1" x14ac:dyDescent="0.25">
      <c r="A229" s="1">
        <f t="shared" ca="1" si="11"/>
        <v>3506</v>
      </c>
      <c r="B229" s="29"/>
      <c r="C229" s="29"/>
      <c r="D229" s="29"/>
      <c r="E229" s="29"/>
      <c r="F229" s="29">
        <v>2994</v>
      </c>
      <c r="G229" s="39"/>
      <c r="H229" s="40"/>
      <c r="I229" s="52"/>
      <c r="J229" s="53"/>
      <c r="K229" s="17"/>
      <c r="L229" s="39"/>
      <c r="M229" s="43"/>
      <c r="N229" s="45" t="s">
        <v>110</v>
      </c>
      <c r="O229" s="55"/>
      <c r="P229" s="56"/>
      <c r="Q229" s="74"/>
      <c r="R229" s="70"/>
      <c r="S229" s="19"/>
      <c r="T229" s="60"/>
      <c r="U229" s="59"/>
    </row>
    <row r="230" spans="1:21" ht="15" customHeight="1" x14ac:dyDescent="0.25">
      <c r="A230" s="1">
        <f t="shared" ca="1" si="11"/>
        <v>3507</v>
      </c>
      <c r="B230" s="29"/>
      <c r="C230" s="29"/>
      <c r="D230" s="29"/>
      <c r="E230" s="29"/>
      <c r="F230" s="29">
        <v>2992</v>
      </c>
      <c r="G230" s="39"/>
      <c r="H230" s="40"/>
      <c r="I230" s="52"/>
      <c r="J230" s="53"/>
      <c r="K230" s="17"/>
      <c r="L230" s="39"/>
      <c r="M230" s="43"/>
      <c r="N230" s="45" t="s">
        <v>110</v>
      </c>
      <c r="O230" s="55"/>
      <c r="P230" s="56"/>
      <c r="Q230" s="74"/>
      <c r="R230" s="70"/>
      <c r="S230" s="19"/>
      <c r="T230" s="60"/>
      <c r="U230" s="59"/>
    </row>
    <row r="231" spans="1:21" ht="15" customHeight="1" x14ac:dyDescent="0.25">
      <c r="A231" s="1">
        <f t="shared" ca="1" si="11"/>
        <v>3508</v>
      </c>
      <c r="B231" s="29"/>
      <c r="C231" s="29"/>
      <c r="D231" s="29"/>
      <c r="E231" s="29"/>
      <c r="F231" s="29">
        <v>2992</v>
      </c>
      <c r="G231" s="39"/>
      <c r="H231" s="40"/>
      <c r="I231" s="52"/>
      <c r="J231" s="53"/>
      <c r="K231" s="17"/>
      <c r="L231" s="39"/>
      <c r="M231" s="43"/>
      <c r="N231" s="45" t="s">
        <v>108</v>
      </c>
      <c r="O231" s="55"/>
      <c r="P231" s="56"/>
      <c r="Q231" s="74"/>
      <c r="R231" s="70"/>
      <c r="S231" s="19"/>
      <c r="T231" s="60"/>
      <c r="U231" s="59"/>
    </row>
    <row r="232" spans="1:21" ht="15" customHeight="1" x14ac:dyDescent="0.25">
      <c r="A232" s="1">
        <f t="shared" ca="1" si="11"/>
        <v>3509</v>
      </c>
      <c r="B232" s="29"/>
      <c r="C232" s="29"/>
      <c r="D232" s="29"/>
      <c r="E232" s="29"/>
      <c r="F232" s="29">
        <v>2992</v>
      </c>
      <c r="G232" s="39"/>
      <c r="H232" s="40"/>
      <c r="I232" s="52"/>
      <c r="J232" s="53"/>
      <c r="K232" s="17"/>
      <c r="L232" s="39"/>
      <c r="M232" s="43"/>
      <c r="N232" s="45" t="s">
        <v>108</v>
      </c>
      <c r="O232" s="55"/>
      <c r="P232" s="56"/>
      <c r="Q232" s="74"/>
      <c r="R232" s="70"/>
      <c r="S232" s="19"/>
      <c r="T232" s="60"/>
      <c r="U232" s="59"/>
    </row>
    <row r="233" spans="1:21" ht="15" customHeight="1" x14ac:dyDescent="0.25">
      <c r="A233" s="1">
        <f t="shared" ca="1" si="11"/>
        <v>3510</v>
      </c>
      <c r="B233" s="29"/>
      <c r="C233" s="29"/>
      <c r="D233" s="29"/>
      <c r="E233" s="29"/>
      <c r="F233" s="29">
        <v>2992</v>
      </c>
      <c r="G233" s="39"/>
      <c r="H233" s="40"/>
      <c r="I233" s="52"/>
      <c r="J233" s="53"/>
      <c r="K233" s="17"/>
      <c r="L233" s="39"/>
      <c r="M233" s="43"/>
      <c r="N233" s="45" t="s">
        <v>108</v>
      </c>
      <c r="O233" s="55"/>
      <c r="P233" s="56"/>
      <c r="Q233" s="74"/>
      <c r="R233" s="70"/>
      <c r="S233" s="19"/>
      <c r="T233" s="60"/>
      <c r="U233" s="59"/>
    </row>
    <row r="234" spans="1:21" ht="15" customHeight="1" x14ac:dyDescent="0.25">
      <c r="A234" s="1">
        <f t="shared" ca="1" si="11"/>
        <v>3511</v>
      </c>
      <c r="B234" s="29"/>
      <c r="C234" s="29"/>
      <c r="D234" s="29"/>
      <c r="E234" s="29"/>
      <c r="F234" s="29">
        <v>2996</v>
      </c>
      <c r="G234" s="39"/>
      <c r="H234" s="40"/>
      <c r="I234" s="52"/>
      <c r="J234" s="53"/>
      <c r="K234" s="17"/>
      <c r="L234" s="39"/>
      <c r="M234" s="43"/>
      <c r="N234" s="45" t="s">
        <v>108</v>
      </c>
      <c r="O234" s="55"/>
      <c r="P234" s="56"/>
      <c r="Q234" s="74"/>
      <c r="R234" s="70"/>
      <c r="S234" s="19"/>
      <c r="T234" s="60"/>
      <c r="U234" s="59"/>
    </row>
    <row r="235" spans="1:21" ht="15" customHeight="1" x14ac:dyDescent="0.25">
      <c r="A235" s="1">
        <f t="shared" ca="1" si="11"/>
        <v>3512</v>
      </c>
      <c r="B235" s="29"/>
      <c r="C235" s="29"/>
      <c r="D235" s="29"/>
      <c r="E235" s="29"/>
      <c r="F235" s="29">
        <v>2994</v>
      </c>
      <c r="G235" s="39"/>
      <c r="H235" s="40"/>
      <c r="I235" s="52"/>
      <c r="J235" s="53"/>
      <c r="K235" s="17"/>
      <c r="L235" s="39"/>
      <c r="M235" s="43"/>
      <c r="N235" s="45" t="s">
        <v>108</v>
      </c>
      <c r="O235" s="55"/>
      <c r="P235" s="56"/>
      <c r="Q235" s="74"/>
      <c r="R235" s="70"/>
      <c r="S235" s="19"/>
      <c r="T235" s="60"/>
      <c r="U235" s="59"/>
    </row>
    <row r="236" spans="1:21" ht="15" customHeight="1" x14ac:dyDescent="0.25">
      <c r="A236" s="1">
        <f t="shared" ca="1" si="11"/>
        <v>3513</v>
      </c>
      <c r="B236" s="29"/>
      <c r="C236" s="29"/>
      <c r="D236" s="29"/>
      <c r="E236" s="29"/>
      <c r="F236" s="29">
        <v>2988</v>
      </c>
      <c r="G236" s="39"/>
      <c r="H236" s="40"/>
      <c r="I236" s="52"/>
      <c r="J236" s="53"/>
      <c r="K236" s="17"/>
      <c r="L236" s="39"/>
      <c r="M236" s="43"/>
      <c r="N236" s="45" t="s">
        <v>108</v>
      </c>
      <c r="O236" s="55"/>
      <c r="P236" s="56"/>
      <c r="Q236" s="74"/>
      <c r="R236" s="70"/>
      <c r="S236" s="19"/>
      <c r="T236" s="60"/>
      <c r="U236" s="59"/>
    </row>
    <row r="237" spans="1:21" ht="15" customHeight="1" x14ac:dyDescent="0.25">
      <c r="A237" s="1">
        <f t="shared" ca="1" si="11"/>
        <v>3514</v>
      </c>
      <c r="B237" s="29"/>
      <c r="C237" s="29"/>
      <c r="D237" s="29"/>
      <c r="E237" s="29"/>
      <c r="F237" s="29">
        <v>2992</v>
      </c>
      <c r="G237" s="39"/>
      <c r="H237" s="40"/>
      <c r="I237" s="52"/>
      <c r="J237" s="53"/>
      <c r="K237" s="17"/>
      <c r="L237" s="39"/>
      <c r="M237" s="43"/>
      <c r="N237" s="45" t="s">
        <v>108</v>
      </c>
      <c r="O237" s="55"/>
      <c r="P237" s="56"/>
      <c r="Q237" s="74"/>
      <c r="R237" s="70"/>
      <c r="S237" s="19"/>
      <c r="T237" s="60"/>
      <c r="U237" s="59"/>
    </row>
    <row r="238" spans="1:21" ht="15" customHeight="1" x14ac:dyDescent="0.25">
      <c r="A238" s="1">
        <f t="shared" ca="1" si="11"/>
        <v>3515</v>
      </c>
      <c r="B238" s="29"/>
      <c r="C238" s="29"/>
      <c r="D238" s="29"/>
      <c r="E238" s="29"/>
      <c r="F238" s="29">
        <v>2994</v>
      </c>
      <c r="G238" s="39"/>
      <c r="H238" s="40"/>
      <c r="I238" s="52"/>
      <c r="J238" s="53"/>
      <c r="K238" s="17"/>
      <c r="L238" s="39"/>
      <c r="M238" s="43"/>
      <c r="N238" s="45" t="s">
        <v>108</v>
      </c>
      <c r="O238" s="55"/>
      <c r="P238" s="56"/>
      <c r="Q238" s="74"/>
      <c r="R238" s="70"/>
      <c r="S238" s="19"/>
      <c r="T238" s="60"/>
      <c r="U238" s="59"/>
    </row>
    <row r="239" spans="1:21" ht="15" customHeight="1" x14ac:dyDescent="0.25">
      <c r="A239" s="1">
        <f t="shared" ca="1" si="11"/>
        <v>3516</v>
      </c>
      <c r="B239" s="29"/>
      <c r="C239" s="29"/>
      <c r="D239" s="29"/>
      <c r="E239" s="29"/>
      <c r="F239" s="29">
        <v>2992</v>
      </c>
      <c r="G239" s="39"/>
      <c r="H239" s="40"/>
      <c r="I239" s="52"/>
      <c r="J239" s="53"/>
      <c r="K239" s="17"/>
      <c r="L239" s="39"/>
      <c r="M239" s="43"/>
      <c r="N239" s="45" t="s">
        <v>110</v>
      </c>
      <c r="O239" s="55"/>
      <c r="P239" s="56"/>
      <c r="Q239" s="74"/>
      <c r="R239" s="70"/>
      <c r="S239" s="19"/>
      <c r="T239" s="60"/>
      <c r="U239" s="59"/>
    </row>
    <row r="240" spans="1:21" ht="15" customHeight="1" x14ac:dyDescent="0.25">
      <c r="A240" s="1">
        <f t="shared" ca="1" si="11"/>
        <v>3517</v>
      </c>
      <c r="B240" s="29"/>
      <c r="C240" s="29"/>
      <c r="D240" s="29"/>
      <c r="E240" s="29"/>
      <c r="F240" s="29">
        <v>2990</v>
      </c>
      <c r="G240" s="39"/>
      <c r="H240" s="40"/>
      <c r="I240" s="52"/>
      <c r="J240" s="53"/>
      <c r="K240" s="17"/>
      <c r="L240" s="39"/>
      <c r="M240" s="43"/>
      <c r="N240" s="45" t="s">
        <v>108</v>
      </c>
      <c r="O240" s="55"/>
      <c r="P240" s="56"/>
      <c r="Q240" s="74"/>
      <c r="R240" s="70"/>
      <c r="S240" s="19"/>
      <c r="T240" s="60"/>
      <c r="U240" s="59"/>
    </row>
    <row r="241" spans="1:21" ht="15" customHeight="1" x14ac:dyDescent="0.25">
      <c r="A241" s="1">
        <f t="shared" ca="1" si="11"/>
        <v>3518</v>
      </c>
      <c r="B241" s="29"/>
      <c r="C241" s="29"/>
      <c r="D241" s="29"/>
      <c r="E241" s="29"/>
      <c r="F241" s="29">
        <v>2986</v>
      </c>
      <c r="G241" s="39"/>
      <c r="H241" s="40"/>
      <c r="I241" s="52"/>
      <c r="J241" s="53"/>
      <c r="K241" s="17"/>
      <c r="L241" s="39"/>
      <c r="M241" s="43"/>
      <c r="N241" s="45" t="s">
        <v>110</v>
      </c>
      <c r="O241" s="55"/>
      <c r="P241" s="56"/>
      <c r="Q241" s="74"/>
      <c r="R241" s="70"/>
      <c r="S241" s="19"/>
      <c r="T241" s="60"/>
      <c r="U241" s="59"/>
    </row>
    <row r="242" spans="1:21" ht="15" customHeight="1" x14ac:dyDescent="0.25">
      <c r="A242" s="1">
        <f t="shared" ca="1" si="11"/>
        <v>3519</v>
      </c>
      <c r="B242" s="29"/>
      <c r="C242" s="29"/>
      <c r="D242" s="29"/>
      <c r="E242" s="29"/>
      <c r="F242" s="29">
        <v>2988</v>
      </c>
      <c r="G242" s="39"/>
      <c r="H242" s="40"/>
      <c r="I242" s="52"/>
      <c r="J242" s="53"/>
      <c r="K242" s="17"/>
      <c r="L242" s="39"/>
      <c r="M242" s="43"/>
      <c r="N242" s="45" t="s">
        <v>112</v>
      </c>
      <c r="O242" s="55"/>
      <c r="P242" s="56"/>
      <c r="Q242" s="74"/>
      <c r="R242" s="70"/>
      <c r="S242" s="19"/>
      <c r="T242" s="60"/>
      <c r="U242" s="59"/>
    </row>
    <row r="243" spans="1:21" ht="15" customHeight="1" x14ac:dyDescent="0.25">
      <c r="A243" s="1">
        <f t="shared" ca="1" si="11"/>
        <v>3520</v>
      </c>
      <c r="B243" s="29"/>
      <c r="C243" s="29"/>
      <c r="D243" s="29"/>
      <c r="E243" s="29"/>
      <c r="F243" s="29">
        <v>2992</v>
      </c>
      <c r="G243" s="39"/>
      <c r="H243" s="40"/>
      <c r="I243" s="52"/>
      <c r="J243" s="53"/>
      <c r="K243" s="17"/>
      <c r="L243" s="39"/>
      <c r="M243" s="43"/>
      <c r="N243" s="45" t="s">
        <v>110</v>
      </c>
      <c r="O243" s="55"/>
      <c r="P243" s="56"/>
      <c r="Q243" s="74"/>
      <c r="R243" s="70"/>
      <c r="S243" s="19"/>
      <c r="T243" s="60"/>
      <c r="U243" s="59"/>
    </row>
    <row r="244" spans="1:21" ht="15" customHeight="1" x14ac:dyDescent="0.25">
      <c r="A244" s="1">
        <f t="shared" ca="1" si="11"/>
        <v>3521</v>
      </c>
      <c r="B244" s="29"/>
      <c r="C244" s="29"/>
      <c r="D244" s="29"/>
      <c r="E244" s="29"/>
      <c r="F244" s="29">
        <v>2990</v>
      </c>
      <c r="G244" s="39"/>
      <c r="H244" s="40"/>
      <c r="I244" s="52"/>
      <c r="J244" s="53"/>
      <c r="K244" s="17"/>
      <c r="L244" s="39"/>
      <c r="M244" s="43"/>
      <c r="N244" s="45" t="s">
        <v>108</v>
      </c>
      <c r="O244" s="55"/>
      <c r="P244" s="56"/>
      <c r="Q244" s="74"/>
      <c r="R244" s="70"/>
      <c r="S244" s="19"/>
      <c r="T244" s="60"/>
      <c r="U244" s="59"/>
    </row>
    <row r="245" spans="1:21" ht="15" customHeight="1" x14ac:dyDescent="0.25">
      <c r="A245" s="1">
        <f t="shared" ca="1" si="11"/>
        <v>3522</v>
      </c>
      <c r="B245" s="29"/>
      <c r="C245" s="29"/>
      <c r="D245" s="29"/>
      <c r="E245" s="29"/>
      <c r="F245" s="29">
        <v>2988</v>
      </c>
      <c r="G245" s="39"/>
      <c r="H245" s="40"/>
      <c r="I245" s="52"/>
      <c r="J245" s="53"/>
      <c r="K245" s="17"/>
      <c r="L245" s="39"/>
      <c r="M245" s="43"/>
      <c r="N245" s="45" t="s">
        <v>104</v>
      </c>
      <c r="O245" s="55"/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3523</v>
      </c>
      <c r="B246" s="29"/>
      <c r="C246" s="29"/>
      <c r="D246" s="29"/>
      <c r="E246" s="29"/>
      <c r="F246" s="29">
        <v>2986</v>
      </c>
      <c r="G246" s="39"/>
      <c r="H246" s="40"/>
      <c r="I246" s="52"/>
      <c r="J246" s="53"/>
      <c r="K246" s="17"/>
      <c r="L246" s="39"/>
      <c r="M246" s="43"/>
      <c r="N246" s="45" t="s">
        <v>112</v>
      </c>
      <c r="O246" s="55"/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3524</v>
      </c>
      <c r="B247" s="29"/>
      <c r="C247" s="29"/>
      <c r="D247" s="29"/>
      <c r="E247" s="29"/>
      <c r="F247" s="29">
        <v>2990</v>
      </c>
      <c r="G247" s="39"/>
      <c r="H247" s="40"/>
      <c r="I247" s="52"/>
      <c r="J247" s="53"/>
      <c r="K247" s="17"/>
      <c r="L247" s="39"/>
      <c r="M247" s="43"/>
      <c r="N247" s="45" t="s">
        <v>110</v>
      </c>
      <c r="O247" s="55"/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3525</v>
      </c>
      <c r="B248" s="29"/>
      <c r="C248" s="29"/>
      <c r="D248" s="29"/>
      <c r="E248" s="29"/>
      <c r="F248" s="29">
        <v>2994</v>
      </c>
      <c r="G248" s="39"/>
      <c r="H248" s="40"/>
      <c r="I248" s="52"/>
      <c r="J248" s="53"/>
      <c r="K248" s="17"/>
      <c r="L248" s="39"/>
      <c r="M248" s="43"/>
      <c r="N248" s="45" t="s">
        <v>108</v>
      </c>
      <c r="O248" s="55"/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3526</v>
      </c>
      <c r="B249" s="29"/>
      <c r="C249" s="29"/>
      <c r="D249" s="29"/>
      <c r="E249" s="29"/>
      <c r="F249" s="29">
        <v>2994</v>
      </c>
      <c r="G249" s="39"/>
      <c r="H249" s="40"/>
      <c r="I249" s="52"/>
      <c r="J249" s="53"/>
      <c r="K249" s="17"/>
      <c r="L249" s="39"/>
      <c r="M249" s="43"/>
      <c r="N249" s="45" t="s">
        <v>110</v>
      </c>
      <c r="O249" s="55"/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3527</v>
      </c>
      <c r="B250" s="29"/>
      <c r="C250" s="29"/>
      <c r="D250" s="29"/>
      <c r="E250" s="29"/>
      <c r="F250" s="29">
        <v>2986</v>
      </c>
      <c r="G250" s="39"/>
      <c r="H250" s="40"/>
      <c r="I250" s="52"/>
      <c r="J250" s="53"/>
      <c r="K250" s="17"/>
      <c r="L250" s="39"/>
      <c r="M250" s="43"/>
      <c r="N250" s="45" t="s">
        <v>110</v>
      </c>
      <c r="O250" s="55"/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3528</v>
      </c>
      <c r="B251" s="29"/>
      <c r="C251" s="29"/>
      <c r="D251" s="29"/>
      <c r="E251" s="29"/>
      <c r="F251" s="29">
        <v>2988</v>
      </c>
      <c r="G251" s="39"/>
      <c r="H251" s="40"/>
      <c r="I251" s="52"/>
      <c r="J251" s="53"/>
      <c r="K251" s="17"/>
      <c r="L251" s="39"/>
      <c r="M251" s="43"/>
      <c r="N251" s="45" t="s">
        <v>110</v>
      </c>
      <c r="O251" s="55"/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3529</v>
      </c>
      <c r="B252" s="29"/>
      <c r="C252" s="29"/>
      <c r="D252" s="29"/>
      <c r="E252" s="29"/>
      <c r="F252" s="29">
        <v>2994</v>
      </c>
      <c r="G252" s="39"/>
      <c r="H252" s="40"/>
      <c r="I252" s="52"/>
      <c r="J252" s="53"/>
      <c r="K252" s="17"/>
      <c r="L252" s="39"/>
      <c r="M252" s="43"/>
      <c r="N252" s="45" t="s">
        <v>108</v>
      </c>
      <c r="O252" s="55"/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3530</v>
      </c>
      <c r="B253" s="29"/>
      <c r="C253" s="29"/>
      <c r="D253" s="29"/>
      <c r="E253" s="29"/>
      <c r="F253" s="29">
        <v>2994</v>
      </c>
      <c r="G253" s="39"/>
      <c r="H253" s="40"/>
      <c r="I253" s="52"/>
      <c r="J253" s="53"/>
      <c r="K253" s="17"/>
      <c r="L253" s="39"/>
      <c r="M253" s="43"/>
      <c r="N253" s="45" t="s">
        <v>108</v>
      </c>
      <c r="O253" s="55"/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3531</v>
      </c>
      <c r="B254" s="29"/>
      <c r="C254" s="29"/>
      <c r="D254" s="29"/>
      <c r="E254" s="29"/>
      <c r="F254" s="29">
        <v>2990</v>
      </c>
      <c r="G254" s="39"/>
      <c r="H254" s="40"/>
      <c r="I254" s="52"/>
      <c r="J254" s="53"/>
      <c r="K254" s="17"/>
      <c r="L254" s="39"/>
      <c r="M254" s="43"/>
      <c r="N254" s="45" t="s">
        <v>108</v>
      </c>
      <c r="O254" s="55"/>
      <c r="P254" s="56"/>
      <c r="Q254" s="74"/>
      <c r="R254" s="70"/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29.912258064516127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 t="str">
        <f>IF(COUNT(M224:M254)&gt;0,AVERAGE(M224:M254)/10,"")</f>
        <v/>
      </c>
      <c r="N255" s="46"/>
      <c r="O255" s="57" t="str">
        <f>IF(COUNT(O224:O254)&gt;0,AVERAGE(O224:O254),"")</f>
        <v/>
      </c>
      <c r="P255" s="58" t="str">
        <f>IF(COUNT(P224:P254)&gt;0,AVERAGE(P224:P254),"")</f>
        <v/>
      </c>
      <c r="Q255" s="47"/>
      <c r="R255" s="68" t="str">
        <f>IF(COUNT(R224:R254)&gt;0,SUM(R224:R254)/100,"")</f>
        <v/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3532</v>
      </c>
      <c r="B256" s="29"/>
      <c r="C256" s="29"/>
      <c r="D256" s="29"/>
      <c r="E256" s="29"/>
      <c r="F256" s="29">
        <v>2992</v>
      </c>
      <c r="G256" s="39"/>
      <c r="H256" s="40"/>
      <c r="I256" s="52"/>
      <c r="J256" s="53"/>
      <c r="K256" s="17"/>
      <c r="L256" s="39"/>
      <c r="M256" s="43"/>
      <c r="N256" s="45" t="s">
        <v>108</v>
      </c>
      <c r="O256" s="55"/>
      <c r="P256" s="56"/>
      <c r="Q256" s="74"/>
      <c r="R256" s="70"/>
      <c r="S256" s="19"/>
      <c r="T256" s="60"/>
      <c r="U256" s="59"/>
    </row>
    <row r="257" spans="1:21" ht="15" customHeight="1" x14ac:dyDescent="0.25">
      <c r="A257" s="1">
        <f t="shared" ca="1" si="11"/>
        <v>3533</v>
      </c>
      <c r="B257" s="29"/>
      <c r="C257" s="29"/>
      <c r="D257" s="29"/>
      <c r="E257" s="29"/>
      <c r="F257" s="29">
        <v>2994</v>
      </c>
      <c r="G257" s="39"/>
      <c r="H257" s="40"/>
      <c r="I257" s="52"/>
      <c r="J257" s="53"/>
      <c r="K257" s="17"/>
      <c r="L257" s="39"/>
      <c r="M257" s="43"/>
      <c r="N257" s="45" t="s">
        <v>108</v>
      </c>
      <c r="O257" s="55"/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3534</v>
      </c>
      <c r="B258" s="29"/>
      <c r="C258" s="29"/>
      <c r="D258" s="29"/>
      <c r="E258" s="29"/>
      <c r="F258" s="29">
        <v>2992</v>
      </c>
      <c r="G258" s="39"/>
      <c r="H258" s="40"/>
      <c r="I258" s="52"/>
      <c r="J258" s="53"/>
      <c r="K258" s="17"/>
      <c r="L258" s="39"/>
      <c r="M258" s="43"/>
      <c r="N258" s="45" t="s">
        <v>110</v>
      </c>
      <c r="O258" s="55"/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3535</v>
      </c>
      <c r="B259" s="29"/>
      <c r="C259" s="29"/>
      <c r="D259" s="29"/>
      <c r="E259" s="29"/>
      <c r="F259" s="29">
        <v>2992</v>
      </c>
      <c r="G259" s="39"/>
      <c r="H259" s="40"/>
      <c r="I259" s="52"/>
      <c r="J259" s="53"/>
      <c r="K259" s="17"/>
      <c r="L259" s="39"/>
      <c r="M259" s="43"/>
      <c r="N259" s="45" t="s">
        <v>108</v>
      </c>
      <c r="O259" s="55"/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3536</v>
      </c>
      <c r="B260" s="29"/>
      <c r="C260" s="29"/>
      <c r="D260" s="29"/>
      <c r="E260" s="29"/>
      <c r="F260" s="29">
        <v>2994</v>
      </c>
      <c r="G260" s="39"/>
      <c r="H260" s="40"/>
      <c r="I260" s="52"/>
      <c r="J260" s="53"/>
      <c r="K260" s="17"/>
      <c r="L260" s="39"/>
      <c r="M260" s="43"/>
      <c r="N260" s="45" t="s">
        <v>108</v>
      </c>
      <c r="O260" s="55"/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3537</v>
      </c>
      <c r="B261" s="29"/>
      <c r="C261" s="29"/>
      <c r="D261" s="29"/>
      <c r="E261" s="29"/>
      <c r="F261" s="29">
        <v>2992</v>
      </c>
      <c r="G261" s="39"/>
      <c r="H261" s="40"/>
      <c r="I261" s="52"/>
      <c r="J261" s="53"/>
      <c r="K261" s="17"/>
      <c r="L261" s="39"/>
      <c r="M261" s="43"/>
      <c r="N261" s="45" t="s">
        <v>108</v>
      </c>
      <c r="O261" s="55"/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3538</v>
      </c>
      <c r="B262" s="29"/>
      <c r="C262" s="29"/>
      <c r="D262" s="29"/>
      <c r="E262" s="29"/>
      <c r="F262" s="29">
        <v>2990</v>
      </c>
      <c r="G262" s="39"/>
      <c r="H262" s="40"/>
      <c r="I262" s="52"/>
      <c r="J262" s="53"/>
      <c r="K262" s="17"/>
      <c r="L262" s="39"/>
      <c r="M262" s="43"/>
      <c r="N262" s="45" t="s">
        <v>108</v>
      </c>
      <c r="O262" s="55"/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3539</v>
      </c>
      <c r="B263" s="29"/>
      <c r="C263" s="29"/>
      <c r="D263" s="29"/>
      <c r="E263" s="29"/>
      <c r="F263" s="29">
        <v>2994</v>
      </c>
      <c r="G263" s="39"/>
      <c r="H263" s="40"/>
      <c r="I263" s="52"/>
      <c r="J263" s="53"/>
      <c r="K263" s="17"/>
      <c r="L263" s="39"/>
      <c r="M263" s="43"/>
      <c r="N263" s="45" t="s">
        <v>108</v>
      </c>
      <c r="O263" s="55"/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ca="1" si="18"/>
        <v>3540</v>
      </c>
      <c r="B264" s="29"/>
      <c r="C264" s="29"/>
      <c r="D264" s="29"/>
      <c r="E264" s="29"/>
      <c r="F264" s="29">
        <v>2992</v>
      </c>
      <c r="G264" s="39"/>
      <c r="H264" s="40"/>
      <c r="I264" s="52"/>
      <c r="J264" s="53"/>
      <c r="K264" s="17"/>
      <c r="L264" s="39"/>
      <c r="M264" s="43"/>
      <c r="N264" s="45" t="s">
        <v>108</v>
      </c>
      <c r="O264" s="55"/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3541</v>
      </c>
      <c r="B265" s="29"/>
      <c r="C265" s="29"/>
      <c r="D265" s="29"/>
      <c r="E265" s="29"/>
      <c r="F265" s="29">
        <v>2986</v>
      </c>
      <c r="G265" s="39"/>
      <c r="H265" s="40"/>
      <c r="I265" s="52"/>
      <c r="J265" s="53"/>
      <c r="K265" s="17"/>
      <c r="L265" s="39"/>
      <c r="M265" s="43"/>
      <c r="N265" s="45" t="s">
        <v>108</v>
      </c>
      <c r="O265" s="55"/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3542</v>
      </c>
      <c r="B266" s="29"/>
      <c r="C266" s="29"/>
      <c r="D266" s="29"/>
      <c r="E266" s="29"/>
      <c r="F266" s="29">
        <v>2984</v>
      </c>
      <c r="G266" s="39"/>
      <c r="H266" s="40"/>
      <c r="I266" s="52"/>
      <c r="J266" s="53"/>
      <c r="K266" s="17"/>
      <c r="L266" s="39"/>
      <c r="M266" s="43"/>
      <c r="N266" s="45" t="s">
        <v>110</v>
      </c>
      <c r="O266" s="55"/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3543</v>
      </c>
      <c r="B267" s="29"/>
      <c r="C267" s="29"/>
      <c r="D267" s="29"/>
      <c r="E267" s="29"/>
      <c r="F267" s="29">
        <v>2986</v>
      </c>
      <c r="G267" s="39"/>
      <c r="H267" s="40"/>
      <c r="I267" s="52"/>
      <c r="J267" s="53"/>
      <c r="K267" s="17"/>
      <c r="L267" s="39"/>
      <c r="M267" s="43"/>
      <c r="N267" s="45" t="s">
        <v>110</v>
      </c>
      <c r="O267" s="55"/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3544</v>
      </c>
      <c r="B268" s="29"/>
      <c r="C268" s="29"/>
      <c r="D268" s="29"/>
      <c r="E268" s="29"/>
      <c r="F268" s="29">
        <v>2984</v>
      </c>
      <c r="G268" s="39"/>
      <c r="H268" s="40"/>
      <c r="I268" s="52"/>
      <c r="J268" s="53"/>
      <c r="K268" s="17"/>
      <c r="L268" s="39"/>
      <c r="M268" s="43"/>
      <c r="N268" s="45" t="s">
        <v>110</v>
      </c>
      <c r="O268" s="55"/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3545</v>
      </c>
      <c r="B269" s="29"/>
      <c r="C269" s="29"/>
      <c r="D269" s="29"/>
      <c r="E269" s="29"/>
      <c r="F269" s="29">
        <v>2988</v>
      </c>
      <c r="G269" s="39"/>
      <c r="H269" s="40"/>
      <c r="I269" s="52"/>
      <c r="J269" s="53"/>
      <c r="K269" s="17"/>
      <c r="L269" s="39"/>
      <c r="M269" s="43"/>
      <c r="N269" s="45" t="s">
        <v>108</v>
      </c>
      <c r="O269" s="55"/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3546</v>
      </c>
      <c r="B270" s="29"/>
      <c r="C270" s="29"/>
      <c r="D270" s="29"/>
      <c r="E270" s="29"/>
      <c r="F270" s="29">
        <v>2986</v>
      </c>
      <c r="G270" s="39"/>
      <c r="H270" s="40"/>
      <c r="I270" s="52"/>
      <c r="J270" s="53"/>
      <c r="K270" s="17"/>
      <c r="L270" s="39"/>
      <c r="M270" s="43"/>
      <c r="N270" s="45" t="s">
        <v>108</v>
      </c>
      <c r="O270" s="55"/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3547</v>
      </c>
      <c r="B271" s="29"/>
      <c r="C271" s="29"/>
      <c r="D271" s="29"/>
      <c r="E271" s="29"/>
      <c r="F271" s="29">
        <v>2986</v>
      </c>
      <c r="G271" s="39"/>
      <c r="H271" s="40"/>
      <c r="I271" s="52"/>
      <c r="J271" s="53"/>
      <c r="K271" s="17"/>
      <c r="L271" s="39"/>
      <c r="M271" s="43"/>
      <c r="N271" s="45" t="s">
        <v>110</v>
      </c>
      <c r="O271" s="55"/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3548</v>
      </c>
      <c r="B272" s="29"/>
      <c r="C272" s="29"/>
      <c r="D272" s="29"/>
      <c r="E272" s="29"/>
      <c r="F272" s="29">
        <v>2988</v>
      </c>
      <c r="G272" s="39"/>
      <c r="H272" s="40"/>
      <c r="I272" s="52"/>
      <c r="J272" s="53"/>
      <c r="K272" s="17"/>
      <c r="L272" s="39"/>
      <c r="M272" s="43"/>
      <c r="N272" s="45" t="s">
        <v>110</v>
      </c>
      <c r="O272" s="55"/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3549</v>
      </c>
      <c r="B273" s="29"/>
      <c r="C273" s="29"/>
      <c r="D273" s="29"/>
      <c r="E273" s="29"/>
      <c r="F273" s="29">
        <v>2988</v>
      </c>
      <c r="G273" s="39"/>
      <c r="H273" s="40"/>
      <c r="I273" s="52"/>
      <c r="J273" s="53"/>
      <c r="K273" s="17"/>
      <c r="L273" s="39"/>
      <c r="M273" s="43"/>
      <c r="N273" s="45" t="s">
        <v>110</v>
      </c>
      <c r="O273" s="55"/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3550</v>
      </c>
      <c r="B274" s="29"/>
      <c r="C274" s="29"/>
      <c r="D274" s="29"/>
      <c r="E274" s="29"/>
      <c r="F274" s="29">
        <v>2990</v>
      </c>
      <c r="G274" s="39"/>
      <c r="H274" s="40"/>
      <c r="I274" s="52"/>
      <c r="J274" s="53"/>
      <c r="K274" s="17"/>
      <c r="L274" s="39"/>
      <c r="M274" s="43"/>
      <c r="N274" s="45" t="s">
        <v>110</v>
      </c>
      <c r="O274" s="55"/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3551</v>
      </c>
      <c r="B275" s="29"/>
      <c r="C275" s="29"/>
      <c r="D275" s="29"/>
      <c r="E275" s="29"/>
      <c r="F275" s="29">
        <v>2990</v>
      </c>
      <c r="G275" s="39"/>
      <c r="H275" s="40"/>
      <c r="I275" s="52"/>
      <c r="J275" s="53"/>
      <c r="K275" s="17"/>
      <c r="L275" s="39"/>
      <c r="M275" s="43"/>
      <c r="N275" s="45" t="s">
        <v>110</v>
      </c>
      <c r="O275" s="55"/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3552</v>
      </c>
      <c r="B276" s="29"/>
      <c r="C276" s="29"/>
      <c r="D276" s="29"/>
      <c r="E276" s="29"/>
      <c r="F276" s="29">
        <v>2986</v>
      </c>
      <c r="G276" s="39"/>
      <c r="H276" s="40"/>
      <c r="I276" s="52"/>
      <c r="J276" s="53"/>
      <c r="K276" s="17"/>
      <c r="L276" s="39"/>
      <c r="M276" s="43"/>
      <c r="N276" s="45" t="s">
        <v>108</v>
      </c>
      <c r="O276" s="55"/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3553</v>
      </c>
      <c r="B277" s="29"/>
      <c r="C277" s="29"/>
      <c r="D277" s="29"/>
      <c r="E277" s="29"/>
      <c r="F277" s="29">
        <v>2982</v>
      </c>
      <c r="G277" s="39"/>
      <c r="H277" s="40"/>
      <c r="I277" s="52"/>
      <c r="J277" s="53"/>
      <c r="K277" s="17"/>
      <c r="L277" s="39"/>
      <c r="M277" s="43"/>
      <c r="N277" s="45" t="s">
        <v>110</v>
      </c>
      <c r="O277" s="55"/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3554</v>
      </c>
      <c r="B278" s="29"/>
      <c r="C278" s="29"/>
      <c r="D278" s="29"/>
      <c r="E278" s="29"/>
      <c r="F278" s="29">
        <v>2982</v>
      </c>
      <c r="G278" s="39"/>
      <c r="H278" s="40"/>
      <c r="I278" s="52"/>
      <c r="J278" s="53"/>
      <c r="K278" s="17"/>
      <c r="L278" s="39"/>
      <c r="M278" s="43"/>
      <c r="N278" s="45" t="s">
        <v>110</v>
      </c>
      <c r="O278" s="55"/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3555</v>
      </c>
      <c r="B279" s="29"/>
      <c r="C279" s="29"/>
      <c r="D279" s="29"/>
      <c r="E279" s="29"/>
      <c r="F279" s="29">
        <v>2984</v>
      </c>
      <c r="G279" s="39"/>
      <c r="H279" s="40"/>
      <c r="I279" s="52"/>
      <c r="J279" s="53"/>
      <c r="K279" s="17"/>
      <c r="L279" s="39"/>
      <c r="M279" s="43"/>
      <c r="N279" s="45" t="s">
        <v>110</v>
      </c>
      <c r="O279" s="55"/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3556</v>
      </c>
      <c r="B280" s="29"/>
      <c r="C280" s="29"/>
      <c r="D280" s="29"/>
      <c r="E280" s="29"/>
      <c r="F280" s="29">
        <v>2984</v>
      </c>
      <c r="G280" s="39"/>
      <c r="H280" s="40"/>
      <c r="I280" s="52"/>
      <c r="J280" s="53"/>
      <c r="K280" s="17"/>
      <c r="L280" s="39"/>
      <c r="M280" s="43"/>
      <c r="N280" s="45" t="s">
        <v>110</v>
      </c>
      <c r="O280" s="55"/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3557</v>
      </c>
      <c r="B281" s="29"/>
      <c r="C281" s="29"/>
      <c r="D281" s="29"/>
      <c r="E281" s="29"/>
      <c r="F281" s="29">
        <v>2986</v>
      </c>
      <c r="G281" s="39"/>
      <c r="H281" s="40"/>
      <c r="I281" s="52"/>
      <c r="J281" s="53"/>
      <c r="K281" s="17"/>
      <c r="L281" s="39"/>
      <c r="M281" s="43"/>
      <c r="N281" s="45" t="s">
        <v>110</v>
      </c>
      <c r="O281" s="55"/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3558</v>
      </c>
      <c r="B282" s="29"/>
      <c r="C282" s="29"/>
      <c r="D282" s="29"/>
      <c r="E282" s="29"/>
      <c r="F282" s="29">
        <v>2986</v>
      </c>
      <c r="G282" s="39"/>
      <c r="H282" s="40"/>
      <c r="I282" s="52"/>
      <c r="J282" s="53"/>
      <c r="K282" s="17"/>
      <c r="L282" s="39"/>
      <c r="M282" s="43"/>
      <c r="N282" s="45" t="s">
        <v>110</v>
      </c>
      <c r="O282" s="55"/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3559</v>
      </c>
      <c r="B283" s="29"/>
      <c r="C283" s="29"/>
      <c r="D283" s="29"/>
      <c r="E283" s="29"/>
      <c r="F283" s="29">
        <v>2988</v>
      </c>
      <c r="G283" s="39"/>
      <c r="H283" s="40"/>
      <c r="I283" s="52"/>
      <c r="J283" s="53"/>
      <c r="K283" s="17"/>
      <c r="L283" s="39"/>
      <c r="M283" s="43"/>
      <c r="N283" s="45" t="s">
        <v>108</v>
      </c>
      <c r="O283" s="55"/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3560</v>
      </c>
      <c r="B284" s="29"/>
      <c r="C284" s="29"/>
      <c r="D284" s="29"/>
      <c r="E284" s="29"/>
      <c r="F284" s="29">
        <v>2990</v>
      </c>
      <c r="G284" s="39"/>
      <c r="H284" s="40"/>
      <c r="I284" s="52"/>
      <c r="J284" s="53"/>
      <c r="K284" s="17"/>
      <c r="L284" s="39"/>
      <c r="M284" s="43"/>
      <c r="N284" s="45" t="s">
        <v>108</v>
      </c>
      <c r="O284" s="55"/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3561</v>
      </c>
      <c r="B285" s="29"/>
      <c r="C285" s="29"/>
      <c r="D285" s="29"/>
      <c r="E285" s="29"/>
      <c r="F285" s="29">
        <v>2988</v>
      </c>
      <c r="G285" s="39"/>
      <c r="H285" s="40"/>
      <c r="I285" s="52"/>
      <c r="J285" s="53"/>
      <c r="K285" s="17"/>
      <c r="L285" s="39"/>
      <c r="M285" s="43"/>
      <c r="N285" s="45" t="s">
        <v>106</v>
      </c>
      <c r="O285" s="55"/>
      <c r="P285" s="56"/>
      <c r="Q285" s="74"/>
      <c r="R285" s="70"/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29.88133333333333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 t="str">
        <f>IF(COUNT(M256:M285)&gt;0,AVERAGE(M256:M285)/10,"")</f>
        <v/>
      </c>
      <c r="N286" s="46"/>
      <c r="O286" s="57" t="str">
        <f>IF(COUNT(O256:O285)&gt;0,AVERAGE(O256:O285),"")</f>
        <v/>
      </c>
      <c r="P286" s="58" t="str">
        <f>IF(COUNT(P256:P285)&gt;0,AVERAGE(P256:P285),"")</f>
        <v/>
      </c>
      <c r="Q286" s="47"/>
      <c r="R286" s="68" t="str">
        <f>IF(COUNT(R256:R285)&gt;0,SUM(R256:R285)/100,"")</f>
        <v/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3562</v>
      </c>
      <c r="B287" s="29"/>
      <c r="C287" s="29"/>
      <c r="D287" s="29"/>
      <c r="E287" s="29"/>
      <c r="F287" s="29">
        <v>2986</v>
      </c>
      <c r="G287" s="39"/>
      <c r="H287" s="40"/>
      <c r="I287" s="52"/>
      <c r="J287" s="53"/>
      <c r="K287" s="17"/>
      <c r="L287" s="39"/>
      <c r="M287" s="43"/>
      <c r="N287" s="45" t="s">
        <v>110</v>
      </c>
      <c r="O287" s="55"/>
      <c r="P287" s="56"/>
      <c r="Q287" s="74"/>
      <c r="R287" s="70"/>
      <c r="S287" s="19"/>
      <c r="T287" s="60"/>
      <c r="U287" s="59"/>
    </row>
    <row r="288" spans="1:21" ht="15" customHeight="1" x14ac:dyDescent="0.25">
      <c r="A288" s="1">
        <f t="shared" ca="1" si="18"/>
        <v>3563</v>
      </c>
      <c r="B288" s="29"/>
      <c r="C288" s="29"/>
      <c r="D288" s="29"/>
      <c r="E288" s="29"/>
      <c r="F288" s="29">
        <v>2984</v>
      </c>
      <c r="G288" s="39"/>
      <c r="H288" s="40"/>
      <c r="I288" s="52"/>
      <c r="J288" s="53"/>
      <c r="K288" s="17"/>
      <c r="L288" s="39"/>
      <c r="M288" s="43"/>
      <c r="N288" s="45" t="s">
        <v>108</v>
      </c>
      <c r="O288" s="55"/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3564</v>
      </c>
      <c r="B289" s="29"/>
      <c r="C289" s="29"/>
      <c r="D289" s="29"/>
      <c r="E289" s="29"/>
      <c r="F289" s="29">
        <v>2986</v>
      </c>
      <c r="G289" s="39"/>
      <c r="H289" s="40"/>
      <c r="I289" s="52"/>
      <c r="J289" s="53"/>
      <c r="K289" s="17"/>
      <c r="L289" s="39"/>
      <c r="M289" s="43"/>
      <c r="N289" s="45" t="s">
        <v>108</v>
      </c>
      <c r="O289" s="55"/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3565</v>
      </c>
      <c r="B290" s="29"/>
      <c r="C290" s="29"/>
      <c r="D290" s="29"/>
      <c r="E290" s="29"/>
      <c r="F290" s="29">
        <v>2992</v>
      </c>
      <c r="G290" s="39"/>
      <c r="H290" s="40"/>
      <c r="I290" s="52"/>
      <c r="J290" s="53"/>
      <c r="K290" s="17"/>
      <c r="L290" s="39"/>
      <c r="M290" s="43"/>
      <c r="N290" s="45" t="s">
        <v>108</v>
      </c>
      <c r="O290" s="55"/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3566</v>
      </c>
      <c r="B291" s="29"/>
      <c r="C291" s="29"/>
      <c r="D291" s="29"/>
      <c r="E291" s="29"/>
      <c r="F291" s="29">
        <v>2990</v>
      </c>
      <c r="G291" s="39"/>
      <c r="H291" s="40"/>
      <c r="I291" s="52"/>
      <c r="J291" s="53"/>
      <c r="K291" s="17"/>
      <c r="L291" s="39"/>
      <c r="M291" s="43"/>
      <c r="N291" s="45" t="s">
        <v>108</v>
      </c>
      <c r="O291" s="55"/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3567</v>
      </c>
      <c r="B292" s="29"/>
      <c r="C292" s="29"/>
      <c r="D292" s="29"/>
      <c r="E292" s="29"/>
      <c r="F292" s="29">
        <v>2982</v>
      </c>
      <c r="G292" s="39"/>
      <c r="H292" s="40"/>
      <c r="I292" s="52"/>
      <c r="J292" s="53"/>
      <c r="K292" s="17"/>
      <c r="L292" s="39"/>
      <c r="M292" s="43"/>
      <c r="N292" s="45" t="s">
        <v>110</v>
      </c>
      <c r="O292" s="55"/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3568</v>
      </c>
      <c r="B293" s="29"/>
      <c r="C293" s="29"/>
      <c r="D293" s="29"/>
      <c r="E293" s="29"/>
      <c r="F293" s="29">
        <v>2986</v>
      </c>
      <c r="G293" s="39"/>
      <c r="H293" s="40"/>
      <c r="I293" s="52"/>
      <c r="J293" s="53"/>
      <c r="K293" s="17"/>
      <c r="L293" s="39"/>
      <c r="M293" s="43"/>
      <c r="N293" s="45" t="s">
        <v>110</v>
      </c>
      <c r="O293" s="55"/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3569</v>
      </c>
      <c r="B294" s="29"/>
      <c r="C294" s="29"/>
      <c r="D294" s="29"/>
      <c r="E294" s="29"/>
      <c r="F294" s="29">
        <v>2990</v>
      </c>
      <c r="G294" s="39"/>
      <c r="H294" s="40"/>
      <c r="I294" s="52"/>
      <c r="J294" s="53"/>
      <c r="K294" s="17"/>
      <c r="L294" s="39"/>
      <c r="M294" s="43"/>
      <c r="N294" s="45" t="s">
        <v>108</v>
      </c>
      <c r="O294" s="55"/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3570</v>
      </c>
      <c r="B295" s="29"/>
      <c r="C295" s="29"/>
      <c r="D295" s="29"/>
      <c r="E295" s="29"/>
      <c r="F295" s="29">
        <v>2992</v>
      </c>
      <c r="G295" s="39"/>
      <c r="H295" s="40"/>
      <c r="I295" s="52"/>
      <c r="J295" s="53"/>
      <c r="K295" s="17"/>
      <c r="L295" s="39"/>
      <c r="M295" s="43"/>
      <c r="N295" s="45" t="s">
        <v>108</v>
      </c>
      <c r="O295" s="55"/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3571</v>
      </c>
      <c r="B296" s="29"/>
      <c r="C296" s="29"/>
      <c r="D296" s="29"/>
      <c r="E296" s="29"/>
      <c r="F296" s="29">
        <v>2988</v>
      </c>
      <c r="G296" s="39"/>
      <c r="H296" s="40"/>
      <c r="I296" s="52"/>
      <c r="J296" s="53"/>
      <c r="K296" s="17"/>
      <c r="L296" s="39"/>
      <c r="M296" s="43"/>
      <c r="N296" s="45" t="s">
        <v>108</v>
      </c>
      <c r="O296" s="55"/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3572</v>
      </c>
      <c r="B297" s="29"/>
      <c r="C297" s="29"/>
      <c r="D297" s="29"/>
      <c r="E297" s="29"/>
      <c r="F297" s="29">
        <v>2986</v>
      </c>
      <c r="G297" s="39"/>
      <c r="H297" s="40"/>
      <c r="I297" s="52"/>
      <c r="J297" s="53"/>
      <c r="K297" s="17"/>
      <c r="L297" s="39"/>
      <c r="M297" s="43"/>
      <c r="N297" s="45" t="s">
        <v>112</v>
      </c>
      <c r="O297" s="55"/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3573</v>
      </c>
      <c r="B298" s="29"/>
      <c r="C298" s="29"/>
      <c r="D298" s="29"/>
      <c r="E298" s="29"/>
      <c r="F298" s="29"/>
      <c r="G298" s="39"/>
      <c r="H298" s="40"/>
      <c r="I298" s="52"/>
      <c r="J298" s="53"/>
      <c r="K298" s="17"/>
      <c r="L298" s="39"/>
      <c r="M298" s="43"/>
      <c r="N298" s="45"/>
      <c r="O298" s="55"/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3574</v>
      </c>
      <c r="B299" s="29"/>
      <c r="C299" s="29"/>
      <c r="D299" s="29"/>
      <c r="E299" s="29"/>
      <c r="F299" s="29">
        <v>2998</v>
      </c>
      <c r="G299" s="39"/>
      <c r="H299" s="40"/>
      <c r="I299" s="52"/>
      <c r="J299" s="53"/>
      <c r="K299" s="17"/>
      <c r="L299" s="39"/>
      <c r="M299" s="43"/>
      <c r="N299" s="45" t="s">
        <v>108</v>
      </c>
      <c r="O299" s="55"/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3575</v>
      </c>
      <c r="B300" s="29"/>
      <c r="C300" s="29"/>
      <c r="D300" s="29"/>
      <c r="E300" s="29"/>
      <c r="F300" s="29">
        <v>2988</v>
      </c>
      <c r="G300" s="39"/>
      <c r="H300" s="40"/>
      <c r="I300" s="52"/>
      <c r="J300" s="53"/>
      <c r="K300" s="17"/>
      <c r="L300" s="39"/>
      <c r="M300" s="43"/>
      <c r="N300" s="45" t="s">
        <v>108</v>
      </c>
      <c r="O300" s="55"/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3576</v>
      </c>
      <c r="B301" s="29"/>
      <c r="C301" s="29"/>
      <c r="D301" s="29"/>
      <c r="E301" s="29"/>
      <c r="F301" s="29">
        <v>2988</v>
      </c>
      <c r="G301" s="39"/>
      <c r="H301" s="40"/>
      <c r="I301" s="52"/>
      <c r="J301" s="53"/>
      <c r="K301" s="17"/>
      <c r="L301" s="39"/>
      <c r="M301" s="43"/>
      <c r="N301" s="45" t="s">
        <v>108</v>
      </c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3577</v>
      </c>
      <c r="B302" s="29"/>
      <c r="C302" s="29"/>
      <c r="D302" s="29"/>
      <c r="E302" s="29"/>
      <c r="F302" s="29">
        <v>2984</v>
      </c>
      <c r="G302" s="39"/>
      <c r="H302" s="40"/>
      <c r="I302" s="52"/>
      <c r="J302" s="53"/>
      <c r="K302" s="17"/>
      <c r="L302" s="39"/>
      <c r="M302" s="43"/>
      <c r="N302" s="45" t="s">
        <v>106</v>
      </c>
      <c r="O302" s="55"/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3578</v>
      </c>
      <c r="B303" s="29"/>
      <c r="C303" s="29"/>
      <c r="D303" s="29"/>
      <c r="E303" s="29"/>
      <c r="F303" s="29">
        <v>2984</v>
      </c>
      <c r="G303" s="39"/>
      <c r="H303" s="40"/>
      <c r="I303" s="52"/>
      <c r="J303" s="53"/>
      <c r="K303" s="17"/>
      <c r="L303" s="39"/>
      <c r="M303" s="43"/>
      <c r="N303" s="45" t="s">
        <v>106</v>
      </c>
      <c r="O303" s="55"/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3579</v>
      </c>
      <c r="B304" s="29"/>
      <c r="C304" s="29"/>
      <c r="D304" s="29"/>
      <c r="E304" s="29"/>
      <c r="F304" s="29">
        <v>2984</v>
      </c>
      <c r="G304" s="39"/>
      <c r="H304" s="40"/>
      <c r="I304" s="52"/>
      <c r="J304" s="53"/>
      <c r="K304" s="17"/>
      <c r="L304" s="39"/>
      <c r="M304" s="43"/>
      <c r="N304" s="45" t="s">
        <v>108</v>
      </c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3580</v>
      </c>
      <c r="B305" s="29"/>
      <c r="C305" s="29"/>
      <c r="D305" s="29"/>
      <c r="E305" s="29"/>
      <c r="F305" s="29">
        <v>2990</v>
      </c>
      <c r="G305" s="39"/>
      <c r="H305" s="40"/>
      <c r="I305" s="52"/>
      <c r="J305" s="53"/>
      <c r="K305" s="17"/>
      <c r="L305" s="39"/>
      <c r="M305" s="43"/>
      <c r="N305" s="45" t="s">
        <v>110</v>
      </c>
      <c r="O305" s="55"/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3581</v>
      </c>
      <c r="B306" s="29"/>
      <c r="C306" s="29"/>
      <c r="D306" s="29"/>
      <c r="E306" s="29"/>
      <c r="F306" s="29">
        <v>2990</v>
      </c>
      <c r="G306" s="39"/>
      <c r="H306" s="40"/>
      <c r="I306" s="52"/>
      <c r="J306" s="53"/>
      <c r="K306" s="17"/>
      <c r="L306" s="39"/>
      <c r="M306" s="43"/>
      <c r="N306" s="45" t="s">
        <v>108</v>
      </c>
      <c r="O306" s="55"/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3582</v>
      </c>
      <c r="B307" s="29"/>
      <c r="C307" s="29"/>
      <c r="D307" s="29"/>
      <c r="E307" s="29"/>
      <c r="F307" s="29">
        <v>2992</v>
      </c>
      <c r="G307" s="39"/>
      <c r="H307" s="40"/>
      <c r="I307" s="52"/>
      <c r="J307" s="53"/>
      <c r="K307" s="17"/>
      <c r="L307" s="39"/>
      <c r="M307" s="43"/>
      <c r="N307" s="45" t="s">
        <v>108</v>
      </c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3583</v>
      </c>
      <c r="B308" s="29"/>
      <c r="C308" s="29"/>
      <c r="D308" s="29"/>
      <c r="E308" s="29"/>
      <c r="F308" s="29">
        <v>2988</v>
      </c>
      <c r="G308" s="39"/>
      <c r="H308" s="40"/>
      <c r="I308" s="52"/>
      <c r="J308" s="53"/>
      <c r="K308" s="17"/>
      <c r="L308" s="39"/>
      <c r="M308" s="43"/>
      <c r="N308" s="45" t="s">
        <v>108</v>
      </c>
      <c r="O308" s="55"/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3584</v>
      </c>
      <c r="B309" s="29"/>
      <c r="C309" s="29"/>
      <c r="D309" s="29"/>
      <c r="E309" s="29"/>
      <c r="F309" s="29">
        <v>2984</v>
      </c>
      <c r="G309" s="39"/>
      <c r="H309" s="40"/>
      <c r="I309" s="52"/>
      <c r="J309" s="53"/>
      <c r="K309" s="17"/>
      <c r="L309" s="39"/>
      <c r="M309" s="43"/>
      <c r="N309" s="45" t="s">
        <v>108</v>
      </c>
      <c r="O309" s="55"/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3585</v>
      </c>
      <c r="B310" s="29"/>
      <c r="C310" s="29"/>
      <c r="D310" s="29"/>
      <c r="E310" s="29"/>
      <c r="F310" s="29">
        <v>2984</v>
      </c>
      <c r="G310" s="39"/>
      <c r="H310" s="40"/>
      <c r="I310" s="52"/>
      <c r="J310" s="53"/>
      <c r="K310" s="17"/>
      <c r="L310" s="39"/>
      <c r="M310" s="43"/>
      <c r="N310" s="45" t="s">
        <v>110</v>
      </c>
      <c r="O310" s="55"/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3586</v>
      </c>
      <c r="B311" s="29"/>
      <c r="C311" s="29"/>
      <c r="D311" s="29"/>
      <c r="E311" s="29"/>
      <c r="F311" s="29">
        <v>2990</v>
      </c>
      <c r="G311" s="39"/>
      <c r="H311" s="40"/>
      <c r="I311" s="52"/>
      <c r="J311" s="53"/>
      <c r="K311" s="17"/>
      <c r="L311" s="39"/>
      <c r="M311" s="43"/>
      <c r="N311" s="45" t="s">
        <v>110</v>
      </c>
      <c r="O311" s="55"/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3587</v>
      </c>
      <c r="B312" s="29"/>
      <c r="C312" s="29"/>
      <c r="D312" s="29"/>
      <c r="E312" s="29"/>
      <c r="F312" s="29">
        <v>2990</v>
      </c>
      <c r="G312" s="39"/>
      <c r="H312" s="40"/>
      <c r="I312" s="52"/>
      <c r="J312" s="53"/>
      <c r="K312" s="17"/>
      <c r="L312" s="39"/>
      <c r="M312" s="43"/>
      <c r="N312" s="45" t="s">
        <v>108</v>
      </c>
      <c r="O312" s="55"/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3588</v>
      </c>
      <c r="B313" s="29"/>
      <c r="C313" s="29"/>
      <c r="D313" s="29"/>
      <c r="E313" s="29"/>
      <c r="F313" s="29">
        <v>2990</v>
      </c>
      <c r="G313" s="39"/>
      <c r="H313" s="40"/>
      <c r="I313" s="52"/>
      <c r="J313" s="53"/>
      <c r="K313" s="17"/>
      <c r="L313" s="39"/>
      <c r="M313" s="43"/>
      <c r="N313" s="45" t="s">
        <v>108</v>
      </c>
      <c r="O313" s="55"/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3589</v>
      </c>
      <c r="B314" s="29"/>
      <c r="C314" s="29"/>
      <c r="D314" s="29"/>
      <c r="E314" s="29"/>
      <c r="F314" s="29">
        <v>2990</v>
      </c>
      <c r="G314" s="39"/>
      <c r="H314" s="40"/>
      <c r="I314" s="52"/>
      <c r="J314" s="53"/>
      <c r="K314" s="17"/>
      <c r="L314" s="39"/>
      <c r="M314" s="43"/>
      <c r="N314" s="45" t="s">
        <v>108</v>
      </c>
      <c r="O314" s="55"/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3590</v>
      </c>
      <c r="B315" s="29"/>
      <c r="C315" s="29"/>
      <c r="D315" s="29"/>
      <c r="E315" s="29"/>
      <c r="F315" s="29">
        <v>2990</v>
      </c>
      <c r="G315" s="39"/>
      <c r="H315" s="40"/>
      <c r="I315" s="52"/>
      <c r="J315" s="53"/>
      <c r="K315" s="17"/>
      <c r="L315" s="39"/>
      <c r="M315" s="43"/>
      <c r="N315" s="45" t="s">
        <v>106</v>
      </c>
      <c r="O315" s="55"/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3591</v>
      </c>
      <c r="B316" s="29"/>
      <c r="C316" s="29"/>
      <c r="D316" s="29"/>
      <c r="E316" s="29"/>
      <c r="F316" s="29">
        <v>2986</v>
      </c>
      <c r="G316" s="39"/>
      <c r="H316" s="40"/>
      <c r="I316" s="52"/>
      <c r="J316" s="53"/>
      <c r="K316" s="17"/>
      <c r="L316" s="39"/>
      <c r="M316" s="43"/>
      <c r="N316" s="45" t="s">
        <v>106</v>
      </c>
      <c r="O316" s="55"/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3592</v>
      </c>
      <c r="B317" s="29"/>
      <c r="C317" s="29"/>
      <c r="D317" s="29"/>
      <c r="E317" s="29"/>
      <c r="F317" s="29">
        <v>2988</v>
      </c>
      <c r="G317" s="39"/>
      <c r="H317" s="40"/>
      <c r="I317" s="52"/>
      <c r="J317" s="53"/>
      <c r="K317" s="17"/>
      <c r="L317" s="39"/>
      <c r="M317" s="43"/>
      <c r="N317" s="45" t="s">
        <v>108</v>
      </c>
      <c r="O317" s="55"/>
      <c r="P317" s="56"/>
      <c r="Q317" s="74"/>
      <c r="R317" s="70"/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29.88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 t="str">
        <f>IF(COUNT(M287:M317)&gt;0,AVERAGE(M287:M317)/10,"")</f>
        <v/>
      </c>
      <c r="N318" s="46"/>
      <c r="O318" s="57" t="str">
        <f>IF(COUNT(O287:O317)&gt;0,AVERAGE(O287:O317),"")</f>
        <v/>
      </c>
      <c r="P318" s="58" t="str">
        <f>IF(COUNT(P287:P317)&gt;0,AVERAGE(P287:P317),"")</f>
        <v/>
      </c>
      <c r="Q318" s="47"/>
      <c r="R318" s="68" t="str">
        <f>IF(COUNT(R287:R317)&gt;0,SUM(R287:R317)/100,"")</f>
        <v/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3593</v>
      </c>
      <c r="B319" s="29"/>
      <c r="C319" s="29"/>
      <c r="D319" s="29"/>
      <c r="E319" s="29"/>
      <c r="F319" s="29">
        <v>2984</v>
      </c>
      <c r="G319" s="39"/>
      <c r="H319" s="40"/>
      <c r="I319" s="52"/>
      <c r="J319" s="53"/>
      <c r="K319" s="17"/>
      <c r="L319" s="39"/>
      <c r="M319" s="43"/>
      <c r="N319" s="45" t="s">
        <v>108</v>
      </c>
      <c r="O319" s="55"/>
      <c r="P319" s="56"/>
      <c r="Q319" s="74"/>
      <c r="R319" s="70"/>
      <c r="S319" s="19"/>
      <c r="T319" s="60"/>
      <c r="U319" s="59"/>
    </row>
    <row r="320" spans="1:21" ht="15" customHeight="1" x14ac:dyDescent="0.25">
      <c r="A320" s="1">
        <f t="shared" ca="1" si="18"/>
        <v>3594</v>
      </c>
      <c r="B320" s="29"/>
      <c r="C320" s="29"/>
      <c r="D320" s="29"/>
      <c r="E320" s="29"/>
      <c r="F320" s="29">
        <v>2984</v>
      </c>
      <c r="G320" s="39"/>
      <c r="H320" s="40"/>
      <c r="I320" s="52"/>
      <c r="J320" s="53"/>
      <c r="K320" s="17"/>
      <c r="L320" s="39"/>
      <c r="M320" s="43"/>
      <c r="N320" s="45" t="s">
        <v>108</v>
      </c>
      <c r="O320" s="55"/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3595</v>
      </c>
      <c r="B321" s="29"/>
      <c r="C321" s="29"/>
      <c r="D321" s="29"/>
      <c r="E321" s="29"/>
      <c r="F321" s="29">
        <v>2984</v>
      </c>
      <c r="G321" s="39"/>
      <c r="H321" s="40"/>
      <c r="I321" s="52"/>
      <c r="J321" s="53"/>
      <c r="K321" s="17"/>
      <c r="L321" s="39"/>
      <c r="M321" s="43"/>
      <c r="N321" s="45" t="s">
        <v>108</v>
      </c>
      <c r="O321" s="55"/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3596</v>
      </c>
      <c r="B322" s="29"/>
      <c r="C322" s="29"/>
      <c r="D322" s="29"/>
      <c r="E322" s="29"/>
      <c r="F322" s="29">
        <v>2984</v>
      </c>
      <c r="G322" s="39"/>
      <c r="H322" s="40"/>
      <c r="I322" s="52"/>
      <c r="J322" s="53"/>
      <c r="K322" s="17"/>
      <c r="L322" s="39"/>
      <c r="M322" s="43"/>
      <c r="N322" s="45" t="s">
        <v>110</v>
      </c>
      <c r="O322" s="55"/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3597</v>
      </c>
      <c r="B323" s="29"/>
      <c r="C323" s="29"/>
      <c r="D323" s="29"/>
      <c r="E323" s="29"/>
      <c r="F323" s="29">
        <v>2986</v>
      </c>
      <c r="G323" s="39"/>
      <c r="H323" s="40"/>
      <c r="I323" s="52"/>
      <c r="J323" s="53"/>
      <c r="K323" s="17"/>
      <c r="L323" s="39"/>
      <c r="M323" s="43"/>
      <c r="N323" s="45" t="s">
        <v>108</v>
      </c>
      <c r="O323" s="55"/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3598</v>
      </c>
      <c r="B324" s="29"/>
      <c r="C324" s="29"/>
      <c r="D324" s="29"/>
      <c r="E324" s="29"/>
      <c r="F324" s="29">
        <v>2986</v>
      </c>
      <c r="G324" s="39"/>
      <c r="H324" s="40"/>
      <c r="I324" s="52"/>
      <c r="J324" s="53"/>
      <c r="K324" s="17"/>
      <c r="L324" s="39"/>
      <c r="M324" s="43"/>
      <c r="N324" s="45" t="s">
        <v>108</v>
      </c>
      <c r="O324" s="55"/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3599</v>
      </c>
      <c r="B325" s="29"/>
      <c r="C325" s="29"/>
      <c r="D325" s="29"/>
      <c r="E325" s="29"/>
      <c r="F325" s="29">
        <v>2988</v>
      </c>
      <c r="G325" s="39"/>
      <c r="H325" s="40"/>
      <c r="I325" s="52"/>
      <c r="J325" s="53"/>
      <c r="K325" s="17"/>
      <c r="L325" s="39"/>
      <c r="M325" s="43"/>
      <c r="N325" s="45" t="s">
        <v>108</v>
      </c>
      <c r="O325" s="55"/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3600</v>
      </c>
      <c r="B326" s="29"/>
      <c r="C326" s="29"/>
      <c r="D326" s="29"/>
      <c r="E326" s="29"/>
      <c r="F326" s="29"/>
      <c r="G326" s="39"/>
      <c r="H326" s="40"/>
      <c r="I326" s="52"/>
      <c r="J326" s="53"/>
      <c r="K326" s="17"/>
      <c r="L326" s="39"/>
      <c r="M326" s="43"/>
      <c r="N326" s="45"/>
      <c r="O326" s="55"/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3601</v>
      </c>
      <c r="B327" s="29"/>
      <c r="C327" s="29"/>
      <c r="D327" s="29"/>
      <c r="E327" s="29"/>
      <c r="F327" s="29"/>
      <c r="G327" s="39"/>
      <c r="H327" s="40"/>
      <c r="I327" s="52"/>
      <c r="J327" s="53"/>
      <c r="K327" s="17"/>
      <c r="L327" s="39"/>
      <c r="M327" s="43"/>
      <c r="N327" s="45"/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ca="1" si="22"/>
        <v>3602</v>
      </c>
      <c r="B328" s="29"/>
      <c r="C328" s="29"/>
      <c r="D328" s="29"/>
      <c r="E328" s="29"/>
      <c r="F328" s="29"/>
      <c r="G328" s="39"/>
      <c r="H328" s="40"/>
      <c r="I328" s="52"/>
      <c r="J328" s="53"/>
      <c r="K328" s="17"/>
      <c r="L328" s="39"/>
      <c r="M328" s="43"/>
      <c r="N328" s="45"/>
      <c r="O328" s="55"/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3603</v>
      </c>
      <c r="B329" s="29"/>
      <c r="C329" s="29"/>
      <c r="D329" s="29"/>
      <c r="E329" s="29"/>
      <c r="F329" s="29"/>
      <c r="G329" s="39"/>
      <c r="H329" s="40"/>
      <c r="I329" s="52"/>
      <c r="J329" s="53"/>
      <c r="K329" s="17"/>
      <c r="L329" s="39"/>
      <c r="M329" s="43"/>
      <c r="N329" s="45"/>
      <c r="O329" s="55"/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3604</v>
      </c>
      <c r="B330" s="29"/>
      <c r="C330" s="29"/>
      <c r="D330" s="29"/>
      <c r="E330" s="29"/>
      <c r="F330" s="29"/>
      <c r="G330" s="39"/>
      <c r="H330" s="40"/>
      <c r="I330" s="52"/>
      <c r="J330" s="53"/>
      <c r="K330" s="17"/>
      <c r="L330" s="39"/>
      <c r="M330" s="43"/>
      <c r="N330" s="45"/>
      <c r="O330" s="55"/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3605</v>
      </c>
      <c r="B331" s="29"/>
      <c r="C331" s="29"/>
      <c r="D331" s="29"/>
      <c r="E331" s="29"/>
      <c r="F331" s="29"/>
      <c r="G331" s="39"/>
      <c r="H331" s="40"/>
      <c r="I331" s="52"/>
      <c r="J331" s="53"/>
      <c r="K331" s="17"/>
      <c r="L331" s="39"/>
      <c r="M331" s="43"/>
      <c r="N331" s="45"/>
      <c r="O331" s="55"/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3606</v>
      </c>
      <c r="B332" s="29"/>
      <c r="C332" s="29"/>
      <c r="D332" s="29"/>
      <c r="E332" s="29"/>
      <c r="F332" s="29"/>
      <c r="G332" s="39"/>
      <c r="H332" s="40"/>
      <c r="I332" s="52"/>
      <c r="J332" s="53"/>
      <c r="K332" s="17"/>
      <c r="L332" s="39"/>
      <c r="M332" s="43"/>
      <c r="N332" s="45"/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3607</v>
      </c>
      <c r="B333" s="29"/>
      <c r="C333" s="29"/>
      <c r="D333" s="29"/>
      <c r="E333" s="29"/>
      <c r="F333" s="29"/>
      <c r="G333" s="39"/>
      <c r="H333" s="40"/>
      <c r="I333" s="52"/>
      <c r="J333" s="53"/>
      <c r="K333" s="17"/>
      <c r="L333" s="39"/>
      <c r="M333" s="43"/>
      <c r="N333" s="45"/>
      <c r="O333" s="55"/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3608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3609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3610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3611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3612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3613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3614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3615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3616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3617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3618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3619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3620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3621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3622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29.851428571428574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 t="str">
        <f>IF(COUNT(M319:M348)&gt;0,AVERAGE(M319:M348)/10,"")</f>
        <v/>
      </c>
      <c r="N349" s="46"/>
      <c r="O349" s="57" t="str">
        <f>IF(COUNT(O319:O348)&gt;0,AVERAGE(O319:O348),"")</f>
        <v/>
      </c>
      <c r="P349" s="58" t="str">
        <f>IF(COUNT(P319:P348)&gt;0,AVERAGE(P319:P348),"")</f>
        <v/>
      </c>
      <c r="Q349" s="47"/>
      <c r="R349" s="68" t="str">
        <f>IF(COUNT(R319:R348)&gt;0,SUM(R319:R348)/100,"")</f>
        <v/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3623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3624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3625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3626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3627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3628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3629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3630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3631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3632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3633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3634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3635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3636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3637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3638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3639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3640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3641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3642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3643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3644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3645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3646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3647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3648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3649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3650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3651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3652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3653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19090101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19090102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19090103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19090104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19090105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19090106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19090107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19090108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19090109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19090110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19090111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19090112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19090113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19090114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19090115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19090116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19090117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19090118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19090119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19090120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19090121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19090122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19090123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19090124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19090125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19090126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19090127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19090128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19090129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19090130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19090131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19090201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19090202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19090203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19090204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19090205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19090206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19090207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19090208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19090209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19090210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19090211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19090212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19090213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19090214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19090215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19090216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19090217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19090218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19090219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19090220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19090221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19090222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19090223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19090224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19090225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19090226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19090227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19090228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19090301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19090302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19090303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19090304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19090305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19090306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19090307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19090308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19090309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19090310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19090311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19090312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19090313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19090314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19090315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19090316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19090317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19090318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19090319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19090320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19090321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19090322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19090323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19090324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19090325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19090326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19090327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19090328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19090329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19090330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19090331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19090401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19090402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19090403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19090404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19090405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19090406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19090407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19090408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19090409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19090410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19090411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19090412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19090413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19090414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19090415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19090416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19090417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19090418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19090419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19090420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19090421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19090422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19090423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19090424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19090425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19090426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19090427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19090428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19090429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19090430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19090501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19090502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19090503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19090504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19090505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19090506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19090507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19090508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19090509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19090510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19090511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19090512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19090513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19090514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19090515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19090516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19090517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19090518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19090519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19090520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19090521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19090522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19090523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19090524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19090525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19090526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19090527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19090528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19090529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19090530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19090531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19090601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19090602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19090603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19090604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19090605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19090606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19090607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19090608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19090609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19090610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19090611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19090612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19090613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19090614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19090615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19090616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19090617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19090618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19090619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19090620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19090621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19090622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19090623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19090624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19090625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19090626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19090627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19090628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19090629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19090630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19090701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19090702</v>
      </c>
      <c r="C184" s="5">
        <v>1</v>
      </c>
      <c r="D184" s="69" t="str">
        <f t="shared" ca="1" si="4"/>
        <v>—</v>
      </c>
      <c r="E184" s="10">
        <f t="shared" ca="1" si="5"/>
        <v>7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19090703</v>
      </c>
      <c r="C185" s="5">
        <v>1</v>
      </c>
      <c r="D185" s="69" t="str">
        <f t="shared" ca="1" si="4"/>
        <v>—</v>
      </c>
      <c r="E185" s="10">
        <f t="shared" ca="1" si="5"/>
        <v>7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19090704</v>
      </c>
      <c r="C186" s="5">
        <v>1</v>
      </c>
      <c r="D186" s="69" t="str">
        <f t="shared" ca="1" si="4"/>
        <v>—</v>
      </c>
      <c r="E186" s="10">
        <f t="shared" ca="1" si="5"/>
        <v>7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19090705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19090706</v>
      </c>
      <c r="C188" s="5">
        <v>1</v>
      </c>
      <c r="D188" s="69" t="str">
        <f t="shared" ca="1" si="4"/>
        <v>—</v>
      </c>
      <c r="E188" s="10">
        <f t="shared" ca="1" si="5"/>
        <v>7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19090707</v>
      </c>
      <c r="C189" s="5">
        <v>1</v>
      </c>
      <c r="D189" s="69" t="str">
        <f t="shared" ca="1" si="4"/>
        <v>—</v>
      </c>
      <c r="E189" s="10">
        <f t="shared" ca="1" si="5"/>
        <v>7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19090708</v>
      </c>
      <c r="C190" s="5">
        <v>1</v>
      </c>
      <c r="D190" s="69" t="str">
        <f t="shared" ca="1" si="4"/>
        <v>—</v>
      </c>
      <c r="E190" s="10">
        <f t="shared" ca="1" si="5"/>
        <v>7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19090709</v>
      </c>
      <c r="C191" s="5">
        <v>1</v>
      </c>
      <c r="D191" s="69" t="str">
        <f t="shared" ca="1" si="4"/>
        <v>—</v>
      </c>
      <c r="E191" s="10">
        <f t="shared" ca="1" si="5"/>
        <v>7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19090710</v>
      </c>
      <c r="C192" s="5">
        <v>1</v>
      </c>
      <c r="D192" s="69" t="str">
        <f t="shared" ca="1" si="4"/>
        <v>—</v>
      </c>
      <c r="E192" s="10">
        <f t="shared" ca="1" si="5"/>
        <v>7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19090711</v>
      </c>
      <c r="C193" s="5">
        <v>1</v>
      </c>
      <c r="D193" s="69" t="str">
        <f t="shared" ca="1" si="4"/>
        <v>—</v>
      </c>
      <c r="E193" s="10">
        <f t="shared" ca="1" si="5"/>
        <v>7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19090712</v>
      </c>
      <c r="C194" s="5">
        <v>1</v>
      </c>
      <c r="D194" s="69" t="str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—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7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19090713</v>
      </c>
      <c r="C195" s="5">
        <v>1</v>
      </c>
      <c r="D195" s="69" t="str">
        <f t="shared" ca="1" si="6"/>
        <v>—</v>
      </c>
      <c r="E195" s="10">
        <f t="shared" ca="1" si="7"/>
        <v>7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19090714</v>
      </c>
      <c r="C196" s="5">
        <v>1</v>
      </c>
      <c r="D196" s="69" t="str">
        <f t="shared" ca="1" si="6"/>
        <v>—</v>
      </c>
      <c r="E196" s="10">
        <f t="shared" ca="1" si="7"/>
        <v>7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19090715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19090716</v>
      </c>
      <c r="C198" s="5">
        <v>1</v>
      </c>
      <c r="D198" s="69" t="str">
        <f t="shared" ca="1" si="6"/>
        <v>—</v>
      </c>
      <c r="E198" s="10">
        <f t="shared" ca="1" si="7"/>
        <v>7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19090717</v>
      </c>
      <c r="C199" s="5">
        <v>1</v>
      </c>
      <c r="D199" s="69" t="str">
        <f t="shared" ca="1" si="6"/>
        <v>—</v>
      </c>
      <c r="E199" s="10">
        <f t="shared" ca="1" si="7"/>
        <v>7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19090718</v>
      </c>
      <c r="C200" s="5">
        <v>1</v>
      </c>
      <c r="D200" s="69" t="str">
        <f t="shared" ca="1" si="6"/>
        <v>—</v>
      </c>
      <c r="E200" s="10">
        <f t="shared" ca="1" si="7"/>
        <v>7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19090719</v>
      </c>
      <c r="C201" s="5">
        <v>1</v>
      </c>
      <c r="D201" s="69" t="str">
        <f t="shared" ca="1" si="6"/>
        <v>—</v>
      </c>
      <c r="E201" s="10">
        <f t="shared" ca="1" si="7"/>
        <v>7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19090720</v>
      </c>
      <c r="C202" s="5">
        <v>1</v>
      </c>
      <c r="D202" s="69" t="str">
        <f t="shared" ca="1" si="6"/>
        <v>—</v>
      </c>
      <c r="E202" s="10">
        <f t="shared" ca="1" si="7"/>
        <v>7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19090721</v>
      </c>
      <c r="C203" s="5">
        <v>1</v>
      </c>
      <c r="D203" s="69" t="str">
        <f t="shared" ca="1" si="6"/>
        <v>—</v>
      </c>
      <c r="E203" s="10">
        <f t="shared" ca="1" si="7"/>
        <v>7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19090722</v>
      </c>
      <c r="C204" s="5">
        <v>1</v>
      </c>
      <c r="D204" s="69" t="str">
        <f t="shared" ca="1" si="6"/>
        <v>—</v>
      </c>
      <c r="E204" s="10">
        <f t="shared" ca="1" si="7"/>
        <v>7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19090723</v>
      </c>
      <c r="C205" s="5">
        <v>1</v>
      </c>
      <c r="D205" s="69" t="str">
        <f t="shared" ca="1" si="6"/>
        <v>—</v>
      </c>
      <c r="E205" s="10">
        <f t="shared" ca="1" si="7"/>
        <v>7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19090724</v>
      </c>
      <c r="C206" s="5">
        <v>1</v>
      </c>
      <c r="D206" s="69" t="str">
        <f t="shared" ca="1" si="6"/>
        <v>—</v>
      </c>
      <c r="E206" s="10">
        <f t="shared" ca="1" si="7"/>
        <v>7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19090725</v>
      </c>
      <c r="C207" s="5">
        <v>1</v>
      </c>
      <c r="D207" s="69" t="str">
        <f t="shared" ca="1" si="6"/>
        <v>—</v>
      </c>
      <c r="E207" s="10">
        <f t="shared" ca="1" si="7"/>
        <v>7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19090726</v>
      </c>
      <c r="C208" s="5">
        <v>1</v>
      </c>
      <c r="D208" s="69" t="str">
        <f t="shared" ca="1" si="6"/>
        <v>—</v>
      </c>
      <c r="E208" s="10">
        <f t="shared" ca="1" si="7"/>
        <v>7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19090727</v>
      </c>
      <c r="C209" s="5">
        <v>1</v>
      </c>
      <c r="D209" s="69" t="str">
        <f t="shared" ca="1" si="6"/>
        <v>—</v>
      </c>
      <c r="E209" s="10">
        <f t="shared" ca="1" si="7"/>
        <v>7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19090728</v>
      </c>
      <c r="C210" s="5">
        <v>1</v>
      </c>
      <c r="D210" s="69" t="str">
        <f t="shared" ca="1" si="6"/>
        <v>—</v>
      </c>
      <c r="E210" s="10">
        <f t="shared" ca="1" si="7"/>
        <v>7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19090729</v>
      </c>
      <c r="C211" s="5">
        <v>1</v>
      </c>
      <c r="D211" s="69" t="str">
        <f t="shared" ca="1" si="6"/>
        <v>—</v>
      </c>
      <c r="E211" s="10">
        <f t="shared" ca="1" si="7"/>
        <v>7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19090730</v>
      </c>
      <c r="C212" s="5">
        <v>1</v>
      </c>
      <c r="D212" s="69" t="str">
        <f t="shared" ca="1" si="6"/>
        <v>—</v>
      </c>
      <c r="E212" s="10">
        <f t="shared" ca="1" si="7"/>
        <v>7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19090731</v>
      </c>
      <c r="C213" s="5">
        <v>1</v>
      </c>
      <c r="D213" s="69" t="str">
        <f t="shared" ca="1" si="6"/>
        <v>—</v>
      </c>
      <c r="E213" s="10">
        <f t="shared" ca="1" si="7"/>
        <v>7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19090801</v>
      </c>
      <c r="C214" s="5">
        <v>1</v>
      </c>
      <c r="D214" s="69" t="str">
        <f t="shared" ca="1" si="6"/>
        <v>—</v>
      </c>
      <c r="E214" s="10">
        <f t="shared" ca="1" si="7"/>
        <v>7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19090802</v>
      </c>
      <c r="C215" s="5">
        <v>1</v>
      </c>
      <c r="D215" s="69" t="str">
        <f t="shared" ca="1" si="6"/>
        <v>—</v>
      </c>
      <c r="E215" s="10">
        <f t="shared" ca="1" si="7"/>
        <v>7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19090803</v>
      </c>
      <c r="C216" s="5">
        <v>1</v>
      </c>
      <c r="D216" s="69" t="str">
        <f t="shared" ca="1" si="6"/>
        <v>—</v>
      </c>
      <c r="E216" s="10">
        <f t="shared" ca="1" si="7"/>
        <v>7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19090804</v>
      </c>
      <c r="C217" s="5">
        <v>1</v>
      </c>
      <c r="D217" s="69" t="str">
        <f t="shared" ca="1" si="6"/>
        <v>—</v>
      </c>
      <c r="E217" s="10">
        <f t="shared" ca="1" si="7"/>
        <v>7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19090805</v>
      </c>
      <c r="C218" s="5">
        <v>1</v>
      </c>
      <c r="D218" s="69" t="str">
        <f t="shared" ca="1" si="6"/>
        <v>—</v>
      </c>
      <c r="E218" s="10">
        <f t="shared" ca="1" si="7"/>
        <v>7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19090806</v>
      </c>
      <c r="C219" s="5">
        <v>1</v>
      </c>
      <c r="D219" s="69" t="str">
        <f t="shared" ca="1" si="6"/>
        <v>—</v>
      </c>
      <c r="E219" s="10">
        <f t="shared" ca="1" si="7"/>
        <v>7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19090807</v>
      </c>
      <c r="C220" s="5">
        <v>1</v>
      </c>
      <c r="D220" s="69" t="str">
        <f t="shared" ca="1" si="6"/>
        <v>—</v>
      </c>
      <c r="E220" s="10">
        <f t="shared" ca="1" si="7"/>
        <v>7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19090808</v>
      </c>
      <c r="C221" s="5">
        <v>1</v>
      </c>
      <c r="D221" s="69" t="str">
        <f t="shared" ca="1" si="6"/>
        <v>—</v>
      </c>
      <c r="E221" s="10">
        <f t="shared" ca="1" si="7"/>
        <v>7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19090809</v>
      </c>
      <c r="C222" s="5">
        <v>1</v>
      </c>
      <c r="D222" s="69" t="str">
        <f t="shared" ca="1" si="6"/>
        <v>—</v>
      </c>
      <c r="E222" s="10">
        <f t="shared" ca="1" si="7"/>
        <v>7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19090810</v>
      </c>
      <c r="C223" s="5">
        <v>1</v>
      </c>
      <c r="D223" s="69" t="str">
        <f t="shared" ca="1" si="6"/>
        <v>—</v>
      </c>
      <c r="E223" s="10">
        <f t="shared" ca="1" si="7"/>
        <v>7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19090811</v>
      </c>
      <c r="C224" s="5">
        <v>1</v>
      </c>
      <c r="D224" s="69" t="str">
        <f t="shared" ca="1" si="6"/>
        <v>—</v>
      </c>
      <c r="E224" s="10">
        <f t="shared" ca="1" si="7"/>
        <v>7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19090812</v>
      </c>
      <c r="C225" s="5">
        <v>1</v>
      </c>
      <c r="D225" s="69" t="str">
        <f t="shared" ca="1" si="6"/>
        <v>—</v>
      </c>
      <c r="E225" s="10">
        <f t="shared" ca="1" si="7"/>
        <v>7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19090813</v>
      </c>
      <c r="C226" s="5">
        <v>1</v>
      </c>
      <c r="D226" s="69" t="str">
        <f t="shared" ca="1" si="6"/>
        <v>—</v>
      </c>
      <c r="E226" s="10">
        <f t="shared" ca="1" si="7"/>
        <v>7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19090814</v>
      </c>
      <c r="C227" s="5">
        <v>1</v>
      </c>
      <c r="D227" s="69" t="str">
        <f t="shared" ca="1" si="6"/>
        <v>—</v>
      </c>
      <c r="E227" s="10">
        <f t="shared" ca="1" si="7"/>
        <v>7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19090815</v>
      </c>
      <c r="C228" s="5">
        <v>1</v>
      </c>
      <c r="D228" s="69" t="str">
        <f t="shared" ca="1" si="6"/>
        <v>—</v>
      </c>
      <c r="E228" s="10">
        <f t="shared" ca="1" si="7"/>
        <v>7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19090816</v>
      </c>
      <c r="C229" s="5">
        <v>1</v>
      </c>
      <c r="D229" s="69" t="str">
        <f t="shared" ca="1" si="6"/>
        <v>—</v>
      </c>
      <c r="E229" s="10">
        <f t="shared" ca="1" si="7"/>
        <v>7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19090817</v>
      </c>
      <c r="C230" s="5">
        <v>1</v>
      </c>
      <c r="D230" s="69" t="str">
        <f t="shared" ca="1" si="6"/>
        <v>—</v>
      </c>
      <c r="E230" s="10">
        <f t="shared" ca="1" si="7"/>
        <v>7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19090818</v>
      </c>
      <c r="C231" s="5">
        <v>1</v>
      </c>
      <c r="D231" s="69" t="str">
        <f t="shared" ca="1" si="6"/>
        <v>—</v>
      </c>
      <c r="E231" s="10">
        <f t="shared" ca="1" si="7"/>
        <v>7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19090819</v>
      </c>
      <c r="C232" s="5">
        <v>1</v>
      </c>
      <c r="D232" s="69" t="str">
        <f t="shared" ca="1" si="6"/>
        <v>—</v>
      </c>
      <c r="E232" s="10">
        <f t="shared" ca="1" si="7"/>
        <v>7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19090820</v>
      </c>
      <c r="C233" s="5">
        <v>1</v>
      </c>
      <c r="D233" s="69" t="str">
        <f t="shared" ca="1" si="6"/>
        <v>—</v>
      </c>
      <c r="E233" s="10">
        <f t="shared" ca="1" si="7"/>
        <v>7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19090821</v>
      </c>
      <c r="C234" s="5">
        <v>1</v>
      </c>
      <c r="D234" s="69" t="str">
        <f t="shared" ca="1" si="6"/>
        <v>—</v>
      </c>
      <c r="E234" s="10">
        <f t="shared" ca="1" si="7"/>
        <v>7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19090822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19090823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19090824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19090825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19090826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19090827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19090828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19090829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19090830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19090831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19090901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19090902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19090903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19090904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19090905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19090906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19090907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19090908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19090909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19090910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19090911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19090912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19090913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19090914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19090915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19090916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19090917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19090918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19090919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19090920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19090921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19090922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19090923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19090924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19090925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19090926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19090927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19090928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19090929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19090930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19091001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19091002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19091003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19091004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19091005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19091006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19091007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19091008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19091009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19091010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19091011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19091012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19091013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19091014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19091015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19091016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19091017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19091018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19091019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19091020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19091021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19091022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19091023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19091024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19091025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19091026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19091027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19091028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19091029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19091030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19091031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19091101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19091102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19091103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19091104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19091105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19091106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19091107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19091108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19091109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19091110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19091111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19091112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19091113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19091114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19091115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19091116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19091117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19091118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19091119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19091120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19091121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19091122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19091123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19091124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19091125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19091126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19091127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19091128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19091129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19091130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19091201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19091202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19091203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19091204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19091205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19091206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19091207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19091208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19091209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19091210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19091211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19091212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19091213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19091214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19091215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19091216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19091217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19091218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19091219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19091220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19091221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19091222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19091223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19091224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19091225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19091226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19091227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19091228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19091229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19091230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19091231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19090101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19090102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19090103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19090104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19090105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19090106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19090107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19090108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19090109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19090110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19090111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19090112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19090113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19090114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19090115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19090116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19090117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19090118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19090119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19090120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19090121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19090122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19090123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19090124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19090125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19090126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19090127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19090128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19090129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19090130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19090131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19090201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19090202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19090203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19090204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19090205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19090206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19090207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19090208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19090209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19090210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19090211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19090212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19090213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19090214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19090215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19090216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19090217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19090218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19090219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19090220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19090221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19090222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19090223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19090224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19090225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19090226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19090227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19090228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19090301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19090302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19090303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19090304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19090305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19090306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19090307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19090308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19090309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19090310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19090311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19090312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19090313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19090314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19090315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19090316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19090317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19090318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19090319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19090320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19090321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19090322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19090323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19090324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19090325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19090326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19090327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19090328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19090329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19090330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19090331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19090401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19090402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19090403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19090404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19090405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19090406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19090407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19090408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19090409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19090410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19090411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19090412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19090413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19090414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19090415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19090416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19090417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19090418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19090419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19090420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19090421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19090422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19090423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19090424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19090425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19090426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19090427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19090428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19090429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19090430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19090501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19090502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19090503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19090504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19090505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19090506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19090507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19090508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19090509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19090510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19090511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19090512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19090513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19090514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19090515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19090516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19090517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19090518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19090519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19090520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19090521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19090522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19090523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19090524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19090525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19090526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19090527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19090528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19090529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19090530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19090531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19090601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19090602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19090603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19090604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19090605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19090606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19090607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19090608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19090609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19090610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19090611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19090612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19090613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19090614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19090615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19090616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19090617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19090618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19090619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19090620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19090621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19090622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19090623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19090624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19090625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19090626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19090627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19090628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19090629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19090630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19090701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>
        <f t="shared" ca="1" si="106"/>
        <v>90</v>
      </c>
      <c r="AC183" s="15">
        <f t="shared" ca="1" si="107"/>
        <v>0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19090702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762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 t="str">
        <f t="shared" ca="1" si="104"/>
        <v>—</v>
      </c>
      <c r="AA184" s="15">
        <f t="shared" ca="1" si="105"/>
        <v>7</v>
      </c>
      <c r="AB184" s="9">
        <f t="shared" ca="1" si="106"/>
        <v>90</v>
      </c>
      <c r="AC184" s="15">
        <f t="shared" ca="1" si="107"/>
        <v>0</v>
      </c>
      <c r="AD184" s="76" t="str">
        <f t="shared" ca="1" si="108"/>
        <v>—</v>
      </c>
      <c r="AE184" s="15">
        <f t="shared" ca="1" si="109"/>
        <v>7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19090703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761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 t="str">
        <f t="shared" ca="1" si="104"/>
        <v>—</v>
      </c>
      <c r="AA185" s="15">
        <f t="shared" ca="1" si="105"/>
        <v>7</v>
      </c>
      <c r="AB185" s="9">
        <f t="shared" ca="1" si="106"/>
        <v>90</v>
      </c>
      <c r="AC185" s="15">
        <f t="shared" ca="1" si="107"/>
        <v>0</v>
      </c>
      <c r="AD185" s="76" t="str">
        <f t="shared" ca="1" si="108"/>
        <v>—</v>
      </c>
      <c r="AE185" s="15">
        <f t="shared" ca="1" si="109"/>
        <v>7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19090704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760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 t="str">
        <f t="shared" ca="1" si="104"/>
        <v>—</v>
      </c>
      <c r="AA186" s="15">
        <f t="shared" ca="1" si="105"/>
        <v>7</v>
      </c>
      <c r="AB186" s="9">
        <f t="shared" ca="1" si="106"/>
        <v>90</v>
      </c>
      <c r="AC186" s="15">
        <f t="shared" ca="1" si="107"/>
        <v>0</v>
      </c>
      <c r="AD186" s="76" t="str">
        <f t="shared" ca="1" si="108"/>
        <v>—</v>
      </c>
      <c r="AE186" s="15">
        <f t="shared" ca="1" si="109"/>
        <v>7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19090705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760.5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 t="str">
        <f t="shared" ca="1" si="104"/>
        <v>—</v>
      </c>
      <c r="AA187" s="15">
        <f t="shared" ca="1" si="105"/>
        <v>7</v>
      </c>
      <c r="AB187" s="9">
        <f t="shared" ca="1" si="106"/>
        <v>90</v>
      </c>
      <c r="AC187" s="15">
        <f t="shared" ca="1" si="107"/>
        <v>0</v>
      </c>
      <c r="AD187" s="76" t="str">
        <f t="shared" ca="1" si="108"/>
        <v>—</v>
      </c>
      <c r="AE187" s="15">
        <f t="shared" ca="1" si="109"/>
        <v>7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19090706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 t="str">
        <f t="shared" ca="1" si="104"/>
        <v>—</v>
      </c>
      <c r="AA188" s="15">
        <f t="shared" ca="1" si="105"/>
        <v>7</v>
      </c>
      <c r="AB188" s="9">
        <f t="shared" ca="1" si="106"/>
        <v>90</v>
      </c>
      <c r="AC188" s="15">
        <f t="shared" ca="1" si="107"/>
        <v>0</v>
      </c>
      <c r="AD188" s="76" t="str">
        <f t="shared" ca="1" si="108"/>
        <v>—</v>
      </c>
      <c r="AE188" s="15">
        <f t="shared" ca="1" si="109"/>
        <v>7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19090707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760.5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 t="str">
        <f t="shared" ca="1" si="104"/>
        <v>—</v>
      </c>
      <c r="AA189" s="15">
        <f t="shared" ca="1" si="105"/>
        <v>7</v>
      </c>
      <c r="AB189" s="9">
        <f t="shared" ca="1" si="106"/>
        <v>90</v>
      </c>
      <c r="AC189" s="15">
        <f t="shared" ca="1" si="107"/>
        <v>0</v>
      </c>
      <c r="AD189" s="76" t="str">
        <f t="shared" ca="1" si="108"/>
        <v>—</v>
      </c>
      <c r="AE189" s="15">
        <f t="shared" ca="1" si="109"/>
        <v>7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19090708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759.5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 t="str">
        <f t="shared" ca="1" si="108"/>
        <v>—</v>
      </c>
      <c r="AE190" s="15">
        <f t="shared" ca="1" si="109"/>
        <v>7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19090709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135</v>
      </c>
      <c r="AC191" s="15">
        <f t="shared" ca="1" si="107"/>
        <v>0</v>
      </c>
      <c r="AD191" s="76" t="str">
        <f t="shared" ca="1" si="108"/>
        <v>—</v>
      </c>
      <c r="AE191" s="15">
        <f t="shared" ca="1" si="109"/>
        <v>7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19090710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760.5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 t="str">
        <f t="shared" ca="1" si="108"/>
        <v>—</v>
      </c>
      <c r="AE192" s="15">
        <f t="shared" ca="1" si="109"/>
        <v>7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19090711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761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 t="str">
        <f t="shared" ca="1" si="108"/>
        <v>—</v>
      </c>
      <c r="AE193" s="15">
        <f t="shared" ca="1" si="109"/>
        <v>7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19090712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 t="str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—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19090713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90</v>
      </c>
      <c r="AC195" s="15">
        <f t="shared" ca="1" si="147"/>
        <v>0</v>
      </c>
      <c r="AD195" s="76" t="str">
        <f t="shared" ca="1" si="148"/>
        <v>—</v>
      </c>
      <c r="AE195" s="15">
        <f t="shared" ca="1" si="149"/>
        <v>7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19090714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90</v>
      </c>
      <c r="AC196" s="15">
        <f t="shared" ca="1" si="147"/>
        <v>0</v>
      </c>
      <c r="AD196" s="76" t="str">
        <f t="shared" ca="1" si="148"/>
        <v>—</v>
      </c>
      <c r="AE196" s="15">
        <f t="shared" ca="1" si="149"/>
        <v>7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19090715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760.5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135</v>
      </c>
      <c r="AC197" s="15">
        <f t="shared" ca="1" si="147"/>
        <v>0</v>
      </c>
      <c r="AD197" s="76" t="str">
        <f t="shared" ca="1" si="148"/>
        <v>—</v>
      </c>
      <c r="AE197" s="15">
        <f t="shared" ca="1" si="149"/>
        <v>7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19090716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760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90</v>
      </c>
      <c r="AC198" s="15">
        <f t="shared" ca="1" si="147"/>
        <v>0</v>
      </c>
      <c r="AD198" s="76" t="str">
        <f t="shared" ca="1" si="148"/>
        <v>—</v>
      </c>
      <c r="AE198" s="15">
        <f t="shared" ca="1" si="149"/>
        <v>7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19090717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760.5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 t="str">
        <f t="shared" ca="1" si="148"/>
        <v>—</v>
      </c>
      <c r="AE199" s="15">
        <f t="shared" ca="1" si="149"/>
        <v>7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19090718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761.5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 t="str">
        <f t="shared" ca="1" si="148"/>
        <v>—</v>
      </c>
      <c r="AE200" s="15">
        <f t="shared" ca="1" si="149"/>
        <v>7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19090719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761.5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90</v>
      </c>
      <c r="AC201" s="15">
        <f t="shared" ca="1" si="147"/>
        <v>0</v>
      </c>
      <c r="AD201" s="76" t="str">
        <f t="shared" ca="1" si="148"/>
        <v>—</v>
      </c>
      <c r="AE201" s="15">
        <f t="shared" ca="1" si="149"/>
        <v>7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19090720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90</v>
      </c>
      <c r="AC202" s="15">
        <f t="shared" ca="1" si="147"/>
        <v>0</v>
      </c>
      <c r="AD202" s="76" t="str">
        <f t="shared" ca="1" si="148"/>
        <v>—</v>
      </c>
      <c r="AE202" s="15">
        <f t="shared" ca="1" si="149"/>
        <v>7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19090721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 t="str">
        <f t="shared" ca="1" si="130"/>
        <v>—</v>
      </c>
      <c r="M203" s="15">
        <f t="shared" ca="1" si="131"/>
        <v>7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 t="str">
        <f t="shared" ca="1" si="146"/>
        <v>—</v>
      </c>
      <c r="AC203" s="15">
        <f t="shared" ca="1" si="147"/>
        <v>7</v>
      </c>
      <c r="AD203" s="76" t="str">
        <f t="shared" ca="1" si="148"/>
        <v>—</v>
      </c>
      <c r="AE203" s="15">
        <f t="shared" ca="1" si="149"/>
        <v>7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19090722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90</v>
      </c>
      <c r="AC204" s="15">
        <f t="shared" ca="1" si="147"/>
        <v>0</v>
      </c>
      <c r="AD204" s="76" t="str">
        <f t="shared" ca="1" si="148"/>
        <v>—</v>
      </c>
      <c r="AE204" s="15">
        <f t="shared" ca="1" si="149"/>
        <v>7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19090723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761.5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315</v>
      </c>
      <c r="AC205" s="15">
        <f t="shared" ca="1" si="147"/>
        <v>0</v>
      </c>
      <c r="AD205" s="76" t="str">
        <f t="shared" ca="1" si="148"/>
        <v>—</v>
      </c>
      <c r="AE205" s="15">
        <f t="shared" ca="1" si="149"/>
        <v>7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19090724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762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135</v>
      </c>
      <c r="AC206" s="15">
        <f t="shared" ca="1" si="147"/>
        <v>0</v>
      </c>
      <c r="AD206" s="76" t="str">
        <f t="shared" ca="1" si="148"/>
        <v>—</v>
      </c>
      <c r="AE206" s="15">
        <f t="shared" ca="1" si="149"/>
        <v>7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19090725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 t="str">
        <f t="shared" ca="1" si="148"/>
        <v>—</v>
      </c>
      <c r="AE207" s="15">
        <f t="shared" ca="1" si="149"/>
        <v>7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19090726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90</v>
      </c>
      <c r="AC208" s="15">
        <f t="shared" ca="1" si="147"/>
        <v>0</v>
      </c>
      <c r="AD208" s="76" t="str">
        <f t="shared" ca="1" si="148"/>
        <v>—</v>
      </c>
      <c r="AE208" s="15">
        <f t="shared" ca="1" si="149"/>
        <v>7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19090727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760.5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135</v>
      </c>
      <c r="AC209" s="15">
        <f t="shared" ca="1" si="147"/>
        <v>0</v>
      </c>
      <c r="AD209" s="76" t="str">
        <f t="shared" ca="1" si="148"/>
        <v>—</v>
      </c>
      <c r="AE209" s="15">
        <f t="shared" ca="1" si="149"/>
        <v>7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19090728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761.5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 t="str">
        <f t="shared" ca="1" si="148"/>
        <v>—</v>
      </c>
      <c r="AE210" s="15">
        <f t="shared" ca="1" si="149"/>
        <v>7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19090729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761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 t="str">
        <f t="shared" ca="1" si="148"/>
        <v>—</v>
      </c>
      <c r="AE211" s="15">
        <f t="shared" ca="1" si="149"/>
        <v>7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19090730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759.5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 t="str">
        <f t="shared" ca="1" si="148"/>
        <v>—</v>
      </c>
      <c r="AE212" s="15">
        <f t="shared" ca="1" si="149"/>
        <v>7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19090731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758.4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90</v>
      </c>
      <c r="AC213" s="15">
        <f t="shared" ca="1" si="147"/>
        <v>0</v>
      </c>
      <c r="AD213" s="76" t="str">
        <f t="shared" ca="1" si="148"/>
        <v>—</v>
      </c>
      <c r="AE213" s="15">
        <f t="shared" ca="1" si="149"/>
        <v>7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19090801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759.5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135</v>
      </c>
      <c r="AC214" s="15">
        <f t="shared" ca="1" si="147"/>
        <v>0</v>
      </c>
      <c r="AD214" s="76" t="str">
        <f t="shared" ca="1" si="148"/>
        <v>—</v>
      </c>
      <c r="AE214" s="15">
        <f t="shared" ca="1" si="149"/>
        <v>7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19090802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760.5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 t="str">
        <f t="shared" ca="1" si="148"/>
        <v>—</v>
      </c>
      <c r="AE215" s="15">
        <f t="shared" ca="1" si="149"/>
        <v>7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19090803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 t="str">
        <f t="shared" ca="1" si="144"/>
        <v>—</v>
      </c>
      <c r="AA216" s="15">
        <f t="shared" ca="1" si="145"/>
        <v>7</v>
      </c>
      <c r="AB216" s="9">
        <f t="shared" ca="1" si="146"/>
        <v>90</v>
      </c>
      <c r="AC216" s="15">
        <f t="shared" ca="1" si="147"/>
        <v>0</v>
      </c>
      <c r="AD216" s="76" t="str">
        <f t="shared" ca="1" si="148"/>
        <v>—</v>
      </c>
      <c r="AE216" s="15">
        <f t="shared" ca="1" si="149"/>
        <v>7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19090804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759.5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 t="str">
        <f t="shared" ca="1" si="144"/>
        <v>—</v>
      </c>
      <c r="AA217" s="15">
        <f t="shared" ca="1" si="145"/>
        <v>7</v>
      </c>
      <c r="AB217" s="9">
        <f t="shared" ca="1" si="146"/>
        <v>135</v>
      </c>
      <c r="AC217" s="15">
        <f t="shared" ca="1" si="147"/>
        <v>0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19090805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 t="str">
        <f t="shared" ca="1" si="144"/>
        <v>—</v>
      </c>
      <c r="AA218" s="15">
        <f t="shared" ca="1" si="145"/>
        <v>7</v>
      </c>
      <c r="AB218" s="9">
        <f t="shared" ca="1" si="146"/>
        <v>135</v>
      </c>
      <c r="AC218" s="15">
        <f t="shared" ca="1" si="147"/>
        <v>0</v>
      </c>
      <c r="AD218" s="76" t="str">
        <f t="shared" ca="1" si="148"/>
        <v>—</v>
      </c>
      <c r="AE218" s="15">
        <f t="shared" ca="1" si="149"/>
        <v>7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19090806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760.5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 t="str">
        <f t="shared" ca="1" si="144"/>
        <v>—</v>
      </c>
      <c r="AA219" s="15">
        <f t="shared" ca="1" si="145"/>
        <v>7</v>
      </c>
      <c r="AB219" s="9">
        <f t="shared" ca="1" si="146"/>
        <v>135</v>
      </c>
      <c r="AC219" s="15">
        <f t="shared" ca="1" si="147"/>
        <v>0</v>
      </c>
      <c r="AD219" s="76" t="str">
        <f t="shared" ca="1" si="148"/>
        <v>—</v>
      </c>
      <c r="AE219" s="15">
        <f t="shared" ca="1" si="149"/>
        <v>7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19090807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760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 t="str">
        <f t="shared" ca="1" si="144"/>
        <v>—</v>
      </c>
      <c r="AA220" s="15">
        <f t="shared" ca="1" si="145"/>
        <v>7</v>
      </c>
      <c r="AB220" s="9">
        <f t="shared" ca="1" si="146"/>
        <v>135</v>
      </c>
      <c r="AC220" s="15">
        <f t="shared" ca="1" si="147"/>
        <v>0</v>
      </c>
      <c r="AD220" s="76" t="str">
        <f t="shared" ca="1" si="148"/>
        <v>—</v>
      </c>
      <c r="AE220" s="15">
        <f t="shared" ca="1" si="149"/>
        <v>7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19090808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760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 t="str">
        <f t="shared" ca="1" si="144"/>
        <v>—</v>
      </c>
      <c r="AA221" s="15">
        <f t="shared" ca="1" si="145"/>
        <v>7</v>
      </c>
      <c r="AB221" s="9">
        <f t="shared" ca="1" si="146"/>
        <v>90</v>
      </c>
      <c r="AC221" s="15">
        <f t="shared" ca="1" si="147"/>
        <v>0</v>
      </c>
      <c r="AD221" s="76" t="str">
        <f t="shared" ca="1" si="148"/>
        <v>—</v>
      </c>
      <c r="AE221" s="15">
        <f t="shared" ca="1" si="149"/>
        <v>7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19090809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 t="str">
        <f t="shared" ca="1" si="144"/>
        <v>—</v>
      </c>
      <c r="AA222" s="15">
        <f t="shared" ca="1" si="145"/>
        <v>7</v>
      </c>
      <c r="AB222" s="9">
        <f t="shared" ca="1" si="146"/>
        <v>90</v>
      </c>
      <c r="AC222" s="15">
        <f t="shared" ca="1" si="147"/>
        <v>0</v>
      </c>
      <c r="AD222" s="76" t="str">
        <f t="shared" ca="1" si="148"/>
        <v>—</v>
      </c>
      <c r="AE222" s="15">
        <f t="shared" ca="1" si="149"/>
        <v>7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19090810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 t="str">
        <f t="shared" ca="1" si="144"/>
        <v>—</v>
      </c>
      <c r="AA223" s="15">
        <f t="shared" ca="1" si="145"/>
        <v>7</v>
      </c>
      <c r="AB223" s="9">
        <f t="shared" ca="1" si="146"/>
        <v>90</v>
      </c>
      <c r="AC223" s="15">
        <f t="shared" ca="1" si="147"/>
        <v>0</v>
      </c>
      <c r="AD223" s="76" t="str">
        <f t="shared" ca="1" si="148"/>
        <v>—</v>
      </c>
      <c r="AE223" s="15">
        <f t="shared" ca="1" si="149"/>
        <v>7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19090811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761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 t="str">
        <f t="shared" ca="1" si="144"/>
        <v>—</v>
      </c>
      <c r="AA224" s="15">
        <f t="shared" ca="1" si="145"/>
        <v>7</v>
      </c>
      <c r="AB224" s="9">
        <f t="shared" ca="1" si="146"/>
        <v>90</v>
      </c>
      <c r="AC224" s="15">
        <f t="shared" ca="1" si="147"/>
        <v>0</v>
      </c>
      <c r="AD224" s="76" t="str">
        <f t="shared" ca="1" si="148"/>
        <v>—</v>
      </c>
      <c r="AE224" s="15">
        <f t="shared" ca="1" si="149"/>
        <v>7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19090812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 t="str">
        <f t="shared" ca="1" si="144"/>
        <v>—</v>
      </c>
      <c r="AA225" s="15">
        <f t="shared" ca="1" si="145"/>
        <v>7</v>
      </c>
      <c r="AB225" s="9">
        <f t="shared" ca="1" si="146"/>
        <v>90</v>
      </c>
      <c r="AC225" s="15">
        <f t="shared" ca="1" si="147"/>
        <v>0</v>
      </c>
      <c r="AD225" s="76" t="str">
        <f t="shared" ca="1" si="148"/>
        <v>—</v>
      </c>
      <c r="AE225" s="15">
        <f t="shared" ca="1" si="149"/>
        <v>7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19090813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759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 t="str">
        <f t="shared" ca="1" si="144"/>
        <v>—</v>
      </c>
      <c r="AA226" s="15">
        <f t="shared" ca="1" si="145"/>
        <v>7</v>
      </c>
      <c r="AB226" s="9">
        <f t="shared" ca="1" si="146"/>
        <v>90</v>
      </c>
      <c r="AC226" s="15">
        <f t="shared" ca="1" si="147"/>
        <v>0</v>
      </c>
      <c r="AD226" s="76" t="str">
        <f t="shared" ca="1" si="148"/>
        <v>—</v>
      </c>
      <c r="AE226" s="15">
        <f t="shared" ca="1" si="149"/>
        <v>7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19090814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760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 t="str">
        <f t="shared" ca="1" si="144"/>
        <v>—</v>
      </c>
      <c r="AA227" s="15">
        <f t="shared" ca="1" si="145"/>
        <v>7</v>
      </c>
      <c r="AB227" s="9">
        <f t="shared" ca="1" si="146"/>
        <v>90</v>
      </c>
      <c r="AC227" s="15">
        <f t="shared" ca="1" si="147"/>
        <v>0</v>
      </c>
      <c r="AD227" s="76" t="str">
        <f t="shared" ca="1" si="148"/>
        <v>—</v>
      </c>
      <c r="AE227" s="15">
        <f t="shared" ca="1" si="149"/>
        <v>7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19090815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760.5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 t="str">
        <f t="shared" ca="1" si="144"/>
        <v>—</v>
      </c>
      <c r="AA228" s="15">
        <f t="shared" ca="1" si="145"/>
        <v>7</v>
      </c>
      <c r="AB228" s="9">
        <f t="shared" ca="1" si="146"/>
        <v>90</v>
      </c>
      <c r="AC228" s="15">
        <f t="shared" ca="1" si="147"/>
        <v>0</v>
      </c>
      <c r="AD228" s="76" t="str">
        <f t="shared" ca="1" si="148"/>
        <v>—</v>
      </c>
      <c r="AE228" s="15">
        <f t="shared" ca="1" si="149"/>
        <v>7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19090816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 t="str">
        <f t="shared" ca="1" si="144"/>
        <v>—</v>
      </c>
      <c r="AA229" s="15">
        <f t="shared" ca="1" si="145"/>
        <v>7</v>
      </c>
      <c r="AB229" s="9">
        <f t="shared" ca="1" si="146"/>
        <v>135</v>
      </c>
      <c r="AC229" s="15">
        <f t="shared" ca="1" si="147"/>
        <v>0</v>
      </c>
      <c r="AD229" s="76" t="str">
        <f t="shared" ca="1" si="148"/>
        <v>—</v>
      </c>
      <c r="AE229" s="15">
        <f t="shared" ca="1" si="149"/>
        <v>7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19090817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759.5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 t="str">
        <f t="shared" ca="1" si="144"/>
        <v>—</v>
      </c>
      <c r="AA230" s="15">
        <f t="shared" ca="1" si="145"/>
        <v>7</v>
      </c>
      <c r="AB230" s="9">
        <f t="shared" ca="1" si="146"/>
        <v>90</v>
      </c>
      <c r="AC230" s="15">
        <f t="shared" ca="1" si="147"/>
        <v>0</v>
      </c>
      <c r="AD230" s="76" t="str">
        <f t="shared" ca="1" si="148"/>
        <v>—</v>
      </c>
      <c r="AE230" s="15">
        <f t="shared" ca="1" si="149"/>
        <v>7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19090818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758.4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 t="str">
        <f t="shared" ca="1" si="144"/>
        <v>—</v>
      </c>
      <c r="AA231" s="15">
        <f t="shared" ca="1" si="145"/>
        <v>7</v>
      </c>
      <c r="AB231" s="9">
        <f t="shared" ca="1" si="146"/>
        <v>135</v>
      </c>
      <c r="AC231" s="15">
        <f t="shared" ca="1" si="147"/>
        <v>0</v>
      </c>
      <c r="AD231" s="76" t="str">
        <f t="shared" ca="1" si="148"/>
        <v>—</v>
      </c>
      <c r="AE231" s="15">
        <f t="shared" ca="1" si="149"/>
        <v>7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19090819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 t="str">
        <f t="shared" ca="1" si="144"/>
        <v>—</v>
      </c>
      <c r="AA232" s="15">
        <f t="shared" ca="1" si="145"/>
        <v>7</v>
      </c>
      <c r="AB232" s="9">
        <f t="shared" ca="1" si="146"/>
        <v>180</v>
      </c>
      <c r="AC232" s="15">
        <f t="shared" ca="1" si="147"/>
        <v>0</v>
      </c>
      <c r="AD232" s="76" t="str">
        <f t="shared" ca="1" si="148"/>
        <v>—</v>
      </c>
      <c r="AE232" s="15">
        <f t="shared" ca="1" si="149"/>
        <v>7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19090820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760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135</v>
      </c>
      <c r="AC233" s="15">
        <f t="shared" ca="1" si="147"/>
        <v>0</v>
      </c>
      <c r="AD233" s="76" t="str">
        <f t="shared" ca="1" si="148"/>
        <v>—</v>
      </c>
      <c r="AE233" s="15">
        <f t="shared" ca="1" si="149"/>
        <v>7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19090821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759.5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90</v>
      </c>
      <c r="AC234" s="15">
        <f t="shared" ca="1" si="147"/>
        <v>0</v>
      </c>
      <c r="AD234" s="76" t="str">
        <f t="shared" ca="1" si="148"/>
        <v>—</v>
      </c>
      <c r="AE234" s="15">
        <f t="shared" ca="1" si="149"/>
        <v>7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19090822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0</v>
      </c>
      <c r="AC235" s="15">
        <f t="shared" ca="1" si="147"/>
        <v>0</v>
      </c>
      <c r="AD235" s="76" t="str">
        <f t="shared" ca="1" si="148"/>
        <v>—</v>
      </c>
      <c r="AE235" s="15">
        <f t="shared" ca="1" si="149"/>
        <v>7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19090823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758.4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180</v>
      </c>
      <c r="AC236" s="15">
        <f t="shared" ca="1" si="147"/>
        <v>0</v>
      </c>
      <c r="AD236" s="76" t="str">
        <f t="shared" ca="1" si="148"/>
        <v>—</v>
      </c>
      <c r="AE236" s="15">
        <f t="shared" ca="1" si="149"/>
        <v>7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19090824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759.5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135</v>
      </c>
      <c r="AC237" s="15">
        <f t="shared" ca="1" si="147"/>
        <v>0</v>
      </c>
      <c r="AD237" s="76" t="str">
        <f t="shared" ca="1" si="148"/>
        <v>—</v>
      </c>
      <c r="AE237" s="15">
        <f t="shared" ca="1" si="149"/>
        <v>7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19090825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760.5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 t="str">
        <f t="shared" ca="1" si="148"/>
        <v>—</v>
      </c>
      <c r="AE238" s="15">
        <f t="shared" ca="1" si="149"/>
        <v>7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19090826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760.5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135</v>
      </c>
      <c r="AC239" s="15">
        <f t="shared" ca="1" si="147"/>
        <v>0</v>
      </c>
      <c r="AD239" s="76" t="str">
        <f t="shared" ca="1" si="148"/>
        <v>—</v>
      </c>
      <c r="AE239" s="15">
        <f t="shared" ca="1" si="149"/>
        <v>7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19090827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758.4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135</v>
      </c>
      <c r="AC240" s="15">
        <f t="shared" ca="1" si="147"/>
        <v>0</v>
      </c>
      <c r="AD240" s="76" t="str">
        <f t="shared" ca="1" si="148"/>
        <v>—</v>
      </c>
      <c r="AE240" s="15">
        <f t="shared" ca="1" si="149"/>
        <v>7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19090828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135</v>
      </c>
      <c r="AC241" s="15">
        <f t="shared" ca="1" si="147"/>
        <v>0</v>
      </c>
      <c r="AD241" s="76" t="str">
        <f t="shared" ca="1" si="148"/>
        <v>—</v>
      </c>
      <c r="AE241" s="15">
        <f t="shared" ca="1" si="149"/>
        <v>7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19090829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 t="str">
        <f t="shared" ca="1" si="148"/>
        <v>—</v>
      </c>
      <c r="AE242" s="15">
        <f t="shared" ca="1" si="149"/>
        <v>7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19090830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760.5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 t="str">
        <f t="shared" ca="1" si="148"/>
        <v>—</v>
      </c>
      <c r="AE243" s="15">
        <f t="shared" ca="1" si="149"/>
        <v>7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19090831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759.5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90</v>
      </c>
      <c r="AC244" s="15">
        <f t="shared" ca="1" si="147"/>
        <v>0</v>
      </c>
      <c r="AD244" s="76" t="str">
        <f t="shared" ca="1" si="148"/>
        <v>—</v>
      </c>
      <c r="AE244" s="15">
        <f t="shared" ca="1" si="149"/>
        <v>7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19090901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90</v>
      </c>
      <c r="AC245" s="15">
        <f t="shared" ca="1" si="147"/>
        <v>0</v>
      </c>
      <c r="AD245" s="76" t="str">
        <f t="shared" ca="1" si="148"/>
        <v>—</v>
      </c>
      <c r="AE245" s="15">
        <f t="shared" ca="1" si="149"/>
        <v>7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19090902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760.5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 t="str">
        <f t="shared" ca="1" si="148"/>
        <v>—</v>
      </c>
      <c r="AE246" s="15">
        <f t="shared" ca="1" si="149"/>
        <v>7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19090903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760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135</v>
      </c>
      <c r="AC247" s="15">
        <f t="shared" ca="1" si="147"/>
        <v>0</v>
      </c>
      <c r="AD247" s="76" t="str">
        <f t="shared" ca="1" si="148"/>
        <v>—</v>
      </c>
      <c r="AE247" s="15">
        <f t="shared" ca="1" si="149"/>
        <v>7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19090904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 t="str">
        <f t="shared" ca="1" si="148"/>
        <v>—</v>
      </c>
      <c r="AE248" s="15">
        <f t="shared" ca="1" si="149"/>
        <v>7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19090905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760.5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90</v>
      </c>
      <c r="AC249" s="15">
        <f t="shared" ca="1" si="147"/>
        <v>0</v>
      </c>
      <c r="AD249" s="76" t="str">
        <f t="shared" ca="1" si="148"/>
        <v>—</v>
      </c>
      <c r="AE249" s="15">
        <f t="shared" ca="1" si="149"/>
        <v>7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19090906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760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90</v>
      </c>
      <c r="AC250" s="15">
        <f t="shared" ca="1" si="147"/>
        <v>0</v>
      </c>
      <c r="AD250" s="76" t="str">
        <f t="shared" ca="1" si="148"/>
        <v>—</v>
      </c>
      <c r="AE250" s="15">
        <f t="shared" ca="1" si="149"/>
        <v>7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19090907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90</v>
      </c>
      <c r="AC251" s="15">
        <f t="shared" ca="1" si="147"/>
        <v>0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19090908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760.5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90</v>
      </c>
      <c r="AC252" s="15">
        <f t="shared" ca="1" si="147"/>
        <v>0</v>
      </c>
      <c r="AD252" s="76" t="str">
        <f t="shared" ca="1" si="148"/>
        <v>—</v>
      </c>
      <c r="AE252" s="15">
        <f t="shared" ca="1" si="149"/>
        <v>7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19090909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760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90</v>
      </c>
      <c r="AC253" s="15">
        <f t="shared" ca="1" si="147"/>
        <v>0</v>
      </c>
      <c r="AD253" s="76" t="str">
        <f t="shared" ca="1" si="148"/>
        <v>—</v>
      </c>
      <c r="AE253" s="15">
        <f t="shared" ca="1" si="149"/>
        <v>7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19090910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758.4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90</v>
      </c>
      <c r="AC254" s="15">
        <f t="shared" ca="1" si="147"/>
        <v>0</v>
      </c>
      <c r="AD254" s="76" t="str">
        <f t="shared" ca="1" si="148"/>
        <v>—</v>
      </c>
      <c r="AE254" s="15">
        <f t="shared" ca="1" si="149"/>
        <v>7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19090911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757.9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135</v>
      </c>
      <c r="AC255" s="15">
        <f t="shared" ca="1" si="147"/>
        <v>0</v>
      </c>
      <c r="AD255" s="76" t="str">
        <f t="shared" ca="1" si="148"/>
        <v>—</v>
      </c>
      <c r="AE255" s="15">
        <f t="shared" ca="1" si="149"/>
        <v>7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19090912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758.4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135</v>
      </c>
      <c r="AC256" s="15">
        <f t="shared" ca="1" si="147"/>
        <v>0</v>
      </c>
      <c r="AD256" s="76" t="str">
        <f t="shared" ca="1" si="148"/>
        <v>—</v>
      </c>
      <c r="AE256" s="15">
        <f t="shared" ca="1" si="149"/>
        <v>7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19090913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757.9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135</v>
      </c>
      <c r="AC257" s="15">
        <f t="shared" ca="1" si="147"/>
        <v>0</v>
      </c>
      <c r="AD257" s="76" t="str">
        <f t="shared" ca="1" si="148"/>
        <v>—</v>
      </c>
      <c r="AE257" s="15">
        <f t="shared" ca="1" si="149"/>
        <v>7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19090914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 t="str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—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19090915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758.4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90</v>
      </c>
      <c r="AC259" s="15">
        <f t="shared" ca="1" si="187"/>
        <v>0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19090916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758.4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135</v>
      </c>
      <c r="AC260" s="15">
        <f t="shared" ca="1" si="187"/>
        <v>0</v>
      </c>
      <c r="AD260" s="76" t="str">
        <f t="shared" ca="1" si="188"/>
        <v>—</v>
      </c>
      <c r="AE260" s="15">
        <f t="shared" ca="1" si="189"/>
        <v>7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19090917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759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135</v>
      </c>
      <c r="AC261" s="15">
        <f t="shared" ca="1" si="187"/>
        <v>0</v>
      </c>
      <c r="AD261" s="76" t="str">
        <f t="shared" ca="1" si="188"/>
        <v>—</v>
      </c>
      <c r="AE261" s="15">
        <f t="shared" ca="1" si="189"/>
        <v>7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19090918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135</v>
      </c>
      <c r="AC262" s="15">
        <f t="shared" ca="1" si="187"/>
        <v>0</v>
      </c>
      <c r="AD262" s="76" t="str">
        <f t="shared" ca="1" si="188"/>
        <v>—</v>
      </c>
      <c r="AE262" s="15">
        <f t="shared" ca="1" si="189"/>
        <v>7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19090919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759.5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135</v>
      </c>
      <c r="AC263" s="15">
        <f t="shared" ca="1" si="187"/>
        <v>0</v>
      </c>
      <c r="AD263" s="76" t="str">
        <f t="shared" ca="1" si="188"/>
        <v>—</v>
      </c>
      <c r="AE263" s="15">
        <f t="shared" ca="1" si="189"/>
        <v>7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19090920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759.5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135</v>
      </c>
      <c r="AC264" s="15">
        <f t="shared" ca="1" si="187"/>
        <v>0</v>
      </c>
      <c r="AD264" s="76" t="str">
        <f t="shared" ca="1" si="188"/>
        <v>—</v>
      </c>
      <c r="AE264" s="15">
        <f t="shared" ca="1" si="189"/>
        <v>7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19090921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758.4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90</v>
      </c>
      <c r="AC265" s="15">
        <f t="shared" ca="1" si="187"/>
        <v>0</v>
      </c>
      <c r="AD265" s="76" t="str">
        <f t="shared" ca="1" si="188"/>
        <v>—</v>
      </c>
      <c r="AE265" s="15">
        <f t="shared" ca="1" si="189"/>
        <v>7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19090922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757.4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135</v>
      </c>
      <c r="AC266" s="15">
        <f t="shared" ca="1" si="187"/>
        <v>0</v>
      </c>
      <c r="AD266" s="76" t="str">
        <f t="shared" ca="1" si="188"/>
        <v>—</v>
      </c>
      <c r="AE266" s="15">
        <f t="shared" ca="1" si="189"/>
        <v>7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19090923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757.4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135</v>
      </c>
      <c r="AC267" s="15">
        <f t="shared" ca="1" si="187"/>
        <v>0</v>
      </c>
      <c r="AD267" s="76" t="str">
        <f t="shared" ca="1" si="188"/>
        <v>—</v>
      </c>
      <c r="AE267" s="15">
        <f t="shared" ca="1" si="189"/>
        <v>7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19090924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757.9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135</v>
      </c>
      <c r="AC268" s="15">
        <f t="shared" ca="1" si="187"/>
        <v>0</v>
      </c>
      <c r="AD268" s="76" t="str">
        <f t="shared" ca="1" si="188"/>
        <v>—</v>
      </c>
      <c r="AE268" s="15">
        <f t="shared" ca="1" si="189"/>
        <v>7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19090925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757.9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135</v>
      </c>
      <c r="AC269" s="15">
        <f t="shared" ca="1" si="187"/>
        <v>0</v>
      </c>
      <c r="AD269" s="76" t="str">
        <f t="shared" ca="1" si="188"/>
        <v>—</v>
      </c>
      <c r="AE269" s="15">
        <f t="shared" ca="1" si="189"/>
        <v>7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19090926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758.4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135</v>
      </c>
      <c r="AC270" s="15">
        <f t="shared" ca="1" si="187"/>
        <v>0</v>
      </c>
      <c r="AD270" s="76" t="str">
        <f t="shared" ca="1" si="188"/>
        <v>—</v>
      </c>
      <c r="AE270" s="15">
        <f t="shared" ca="1" si="189"/>
        <v>7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19090927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758.4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135</v>
      </c>
      <c r="AC271" s="15">
        <f t="shared" ca="1" si="187"/>
        <v>0</v>
      </c>
      <c r="AD271" s="76" t="str">
        <f t="shared" ca="1" si="188"/>
        <v>—</v>
      </c>
      <c r="AE271" s="15">
        <f t="shared" ca="1" si="189"/>
        <v>7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19090928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90</v>
      </c>
      <c r="AC272" s="15">
        <f t="shared" ca="1" si="187"/>
        <v>0</v>
      </c>
      <c r="AD272" s="76" t="str">
        <f t="shared" ca="1" si="188"/>
        <v>—</v>
      </c>
      <c r="AE272" s="15">
        <f t="shared" ca="1" si="189"/>
        <v>7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19090929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759.5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90</v>
      </c>
      <c r="AC273" s="15">
        <f t="shared" ca="1" si="187"/>
        <v>0</v>
      </c>
      <c r="AD273" s="76" t="str">
        <f t="shared" ca="1" si="188"/>
        <v>—</v>
      </c>
      <c r="AE273" s="15">
        <f t="shared" ca="1" si="189"/>
        <v>7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19090930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45</v>
      </c>
      <c r="AC274" s="15">
        <f t="shared" ca="1" si="187"/>
        <v>0</v>
      </c>
      <c r="AD274" s="76" t="str">
        <f t="shared" ca="1" si="188"/>
        <v>—</v>
      </c>
      <c r="AE274" s="15">
        <f t="shared" ca="1" si="189"/>
        <v>7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19091001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758.4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135</v>
      </c>
      <c r="AC275" s="15">
        <f t="shared" ca="1" si="187"/>
        <v>0</v>
      </c>
      <c r="AD275" s="76" t="str">
        <f t="shared" ca="1" si="188"/>
        <v>—</v>
      </c>
      <c r="AE275" s="15">
        <f t="shared" ca="1" si="189"/>
        <v>7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19091002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757.9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90</v>
      </c>
      <c r="AC276" s="15">
        <f t="shared" ca="1" si="187"/>
        <v>0</v>
      </c>
      <c r="AD276" s="76" t="str">
        <f t="shared" ca="1" si="188"/>
        <v>—</v>
      </c>
      <c r="AE276" s="15">
        <f t="shared" ca="1" si="189"/>
        <v>7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19091003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758.4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90</v>
      </c>
      <c r="AC277" s="15">
        <f t="shared" ca="1" si="187"/>
        <v>0</v>
      </c>
      <c r="AD277" s="76" t="str">
        <f t="shared" ca="1" si="188"/>
        <v>—</v>
      </c>
      <c r="AE277" s="15">
        <f t="shared" ca="1" si="189"/>
        <v>7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19091004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760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90</v>
      </c>
      <c r="AC278" s="15">
        <f t="shared" ca="1" si="187"/>
        <v>0</v>
      </c>
      <c r="AD278" s="76" t="str">
        <f t="shared" ca="1" si="188"/>
        <v>—</v>
      </c>
      <c r="AE278" s="15">
        <f t="shared" ca="1" si="189"/>
        <v>7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19091005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759.5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 t="str">
        <f t="shared" ca="1" si="188"/>
        <v>—</v>
      </c>
      <c r="AE279" s="15">
        <f t="shared" ca="1" si="189"/>
        <v>7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19091006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757.4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135</v>
      </c>
      <c r="AC280" s="15">
        <f t="shared" ca="1" si="187"/>
        <v>0</v>
      </c>
      <c r="AD280" s="76" t="str">
        <f t="shared" ca="1" si="188"/>
        <v>—</v>
      </c>
      <c r="AE280" s="15">
        <f t="shared" ca="1" si="189"/>
        <v>7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19091007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758.4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135</v>
      </c>
      <c r="AC281" s="15">
        <f t="shared" ca="1" si="187"/>
        <v>0</v>
      </c>
      <c r="AD281" s="76" t="str">
        <f t="shared" ca="1" si="188"/>
        <v>—</v>
      </c>
      <c r="AE281" s="15">
        <f t="shared" ca="1" si="189"/>
        <v>7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19091008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759.5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90</v>
      </c>
      <c r="AC282" s="15">
        <f t="shared" ca="1" si="187"/>
        <v>0</v>
      </c>
      <c r="AD282" s="76" t="str">
        <f t="shared" ca="1" si="188"/>
        <v>—</v>
      </c>
      <c r="AE282" s="15">
        <f t="shared" ca="1" si="189"/>
        <v>7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19091009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760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90</v>
      </c>
      <c r="AC283" s="15">
        <f t="shared" ca="1" si="187"/>
        <v>0</v>
      </c>
      <c r="AD283" s="76" t="str">
        <f t="shared" ca="1" si="188"/>
        <v>—</v>
      </c>
      <c r="AE283" s="15">
        <f t="shared" ca="1" si="189"/>
        <v>7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19091010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90</v>
      </c>
      <c r="AC284" s="15">
        <f t="shared" ca="1" si="187"/>
        <v>0</v>
      </c>
      <c r="AD284" s="76" t="str">
        <f t="shared" ca="1" si="188"/>
        <v>—</v>
      </c>
      <c r="AE284" s="15">
        <f t="shared" ca="1" si="189"/>
        <v>7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19091011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758.4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180</v>
      </c>
      <c r="AC285" s="15">
        <f t="shared" ca="1" si="187"/>
        <v>0</v>
      </c>
      <c r="AD285" s="76" t="str">
        <f t="shared" ca="1" si="188"/>
        <v>—</v>
      </c>
      <c r="AE285" s="15">
        <f t="shared" ca="1" si="189"/>
        <v>7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19091012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 t="str">
        <f t="shared" ca="1" si="170"/>
        <v>—</v>
      </c>
      <c r="M286" s="15">
        <f t="shared" ca="1" si="171"/>
        <v>7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 t="str">
        <f t="shared" ca="1" si="186"/>
        <v>—</v>
      </c>
      <c r="AC286" s="15">
        <f t="shared" ca="1" si="187"/>
        <v>7</v>
      </c>
      <c r="AD286" s="76" t="str">
        <f t="shared" ca="1" si="188"/>
        <v>—</v>
      </c>
      <c r="AE286" s="15">
        <f t="shared" ca="1" si="189"/>
        <v>7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19091013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761.5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 t="str">
        <f t="shared" ca="1" si="188"/>
        <v>—</v>
      </c>
      <c r="AE287" s="15">
        <f t="shared" ca="1" si="189"/>
        <v>7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19091014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90</v>
      </c>
      <c r="AC288" s="15">
        <f t="shared" ca="1" si="187"/>
        <v>0</v>
      </c>
      <c r="AD288" s="76" t="str">
        <f t="shared" ca="1" si="188"/>
        <v>—</v>
      </c>
      <c r="AE288" s="15">
        <f t="shared" ca="1" si="189"/>
        <v>7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19091015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90</v>
      </c>
      <c r="AC289" s="15">
        <f t="shared" ca="1" si="187"/>
        <v>0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19091016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757.9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45</v>
      </c>
      <c r="AC290" s="15">
        <f t="shared" ca="1" si="187"/>
        <v>0</v>
      </c>
      <c r="AD290" s="76" t="str">
        <f t="shared" ca="1" si="188"/>
        <v>—</v>
      </c>
      <c r="AE290" s="15">
        <f t="shared" ca="1" si="189"/>
        <v>7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19091017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757.9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45</v>
      </c>
      <c r="AC291" s="15">
        <f t="shared" ca="1" si="187"/>
        <v>0</v>
      </c>
      <c r="AD291" s="76" t="str">
        <f t="shared" ca="1" si="188"/>
        <v>—</v>
      </c>
      <c r="AE291" s="15">
        <f t="shared" ca="1" si="189"/>
        <v>7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19091018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757.9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90</v>
      </c>
      <c r="AC292" s="15">
        <f t="shared" ca="1" si="187"/>
        <v>0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19091019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759.5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135</v>
      </c>
      <c r="AC293" s="15">
        <f t="shared" ca="1" si="187"/>
        <v>0</v>
      </c>
      <c r="AD293" s="76" t="str">
        <f t="shared" ca="1" si="188"/>
        <v>—</v>
      </c>
      <c r="AE293" s="15">
        <f t="shared" ca="1" si="189"/>
        <v>7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19091020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759.5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90</v>
      </c>
      <c r="AC294" s="15">
        <f t="shared" ca="1" si="187"/>
        <v>0</v>
      </c>
      <c r="AD294" s="76" t="str">
        <f t="shared" ca="1" si="188"/>
        <v>—</v>
      </c>
      <c r="AE294" s="15">
        <f t="shared" ca="1" si="189"/>
        <v>7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19091021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760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90</v>
      </c>
      <c r="AC295" s="15">
        <f t="shared" ca="1" si="187"/>
        <v>0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19091022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759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90</v>
      </c>
      <c r="AC296" s="15">
        <f t="shared" ca="1" si="187"/>
        <v>0</v>
      </c>
      <c r="AD296" s="76" t="str">
        <f t="shared" ca="1" si="188"/>
        <v>—</v>
      </c>
      <c r="AE296" s="15">
        <f t="shared" ca="1" si="189"/>
        <v>7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19091023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757.9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90</v>
      </c>
      <c r="AC297" s="15">
        <f t="shared" ca="1" si="187"/>
        <v>0</v>
      </c>
      <c r="AD297" s="76" t="str">
        <f t="shared" ca="1" si="188"/>
        <v>—</v>
      </c>
      <c r="AE297" s="15">
        <f t="shared" ca="1" si="189"/>
        <v>7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19091024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757.9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135</v>
      </c>
      <c r="AC298" s="15">
        <f t="shared" ca="1" si="187"/>
        <v>0</v>
      </c>
      <c r="AD298" s="76" t="str">
        <f t="shared" ca="1" si="188"/>
        <v>—</v>
      </c>
      <c r="AE298" s="15">
        <f t="shared" ca="1" si="189"/>
        <v>7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19091025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759.5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135</v>
      </c>
      <c r="AC299" s="15">
        <f t="shared" ca="1" si="187"/>
        <v>0</v>
      </c>
      <c r="AD299" s="76" t="str">
        <f t="shared" ca="1" si="188"/>
        <v>—</v>
      </c>
      <c r="AE299" s="15">
        <f t="shared" ca="1" si="189"/>
        <v>7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19091026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759.5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90</v>
      </c>
      <c r="AC300" s="15">
        <f t="shared" ca="1" si="187"/>
        <v>0</v>
      </c>
      <c r="AD300" s="76" t="str">
        <f t="shared" ca="1" si="188"/>
        <v>—</v>
      </c>
      <c r="AE300" s="15">
        <f t="shared" ca="1" si="189"/>
        <v>7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19091027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759.5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90</v>
      </c>
      <c r="AC301" s="15">
        <f t="shared" ca="1" si="187"/>
        <v>0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19091028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759.5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90</v>
      </c>
      <c r="AC302" s="15">
        <f t="shared" ca="1" si="187"/>
        <v>0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19091029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759.5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45</v>
      </c>
      <c r="AC303" s="15">
        <f t="shared" ca="1" si="187"/>
        <v>0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19091030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758.4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45</v>
      </c>
      <c r="AC304" s="15">
        <f t="shared" ca="1" si="187"/>
        <v>0</v>
      </c>
      <c r="AD304" s="76" t="str">
        <f t="shared" ca="1" si="188"/>
        <v>—</v>
      </c>
      <c r="AE304" s="15">
        <f t="shared" ca="1" si="189"/>
        <v>7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19091031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90</v>
      </c>
      <c r="AC305" s="15">
        <f t="shared" ca="1" si="187"/>
        <v>0</v>
      </c>
      <c r="AD305" s="76" t="str">
        <f t="shared" ca="1" si="188"/>
        <v>—</v>
      </c>
      <c r="AE305" s="15">
        <f t="shared" ca="1" si="189"/>
        <v>7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19091101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757.9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90</v>
      </c>
      <c r="AC306" s="15">
        <f t="shared" ca="1" si="187"/>
        <v>0</v>
      </c>
      <c r="AD306" s="76" t="str">
        <f t="shared" ca="1" si="188"/>
        <v>—</v>
      </c>
      <c r="AE306" s="15">
        <f t="shared" ca="1" si="189"/>
        <v>7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19091102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757.9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19091103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757.9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90</v>
      </c>
      <c r="AC308" s="15">
        <f t="shared" ca="1" si="187"/>
        <v>0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19091104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757.9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135</v>
      </c>
      <c r="AC309" s="15">
        <f t="shared" ca="1" si="187"/>
        <v>0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19091105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758.4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90</v>
      </c>
      <c r="AC310" s="15">
        <f t="shared" ca="1" si="187"/>
        <v>0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19091106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758.4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90</v>
      </c>
      <c r="AC311" s="15">
        <f t="shared" ca="1" si="187"/>
        <v>0</v>
      </c>
      <c r="AD311" s="76" t="str">
        <f t="shared" ca="1" si="188"/>
        <v>—</v>
      </c>
      <c r="AE311" s="15">
        <f t="shared" ca="1" si="189"/>
        <v>7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19091107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90</v>
      </c>
      <c r="AC312" s="15">
        <f t="shared" ca="1" si="187"/>
        <v>0</v>
      </c>
      <c r="AD312" s="76" t="str">
        <f t="shared" ca="1" si="188"/>
        <v>—</v>
      </c>
      <c r="AE312" s="15">
        <f t="shared" ca="1" si="189"/>
        <v>7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19091108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 t="str">
        <f t="shared" ca="1" si="170"/>
        <v>—</v>
      </c>
      <c r="M313" s="15">
        <f t="shared" ca="1" si="171"/>
        <v>7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 t="str">
        <f t="shared" ca="1" si="186"/>
        <v>—</v>
      </c>
      <c r="AC313" s="15">
        <f t="shared" ca="1" si="187"/>
        <v>7</v>
      </c>
      <c r="AD313" s="76" t="str">
        <f t="shared" ca="1" si="188"/>
        <v>—</v>
      </c>
      <c r="AE313" s="15">
        <f t="shared" ca="1" si="189"/>
        <v>7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19091109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 t="str">
        <f t="shared" ca="1" si="170"/>
        <v>—</v>
      </c>
      <c r="M314" s="15">
        <f t="shared" ca="1" si="171"/>
        <v>7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 t="str">
        <f t="shared" ca="1" si="186"/>
        <v>—</v>
      </c>
      <c r="AC314" s="15">
        <f t="shared" ca="1" si="187"/>
        <v>7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19091110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 t="str">
        <f t="shared" ca="1" si="170"/>
        <v>—</v>
      </c>
      <c r="M315" s="15">
        <f t="shared" ca="1" si="171"/>
        <v>7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 t="str">
        <f t="shared" ca="1" si="186"/>
        <v>—</v>
      </c>
      <c r="AC315" s="15">
        <f t="shared" ca="1" si="187"/>
        <v>7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19091111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 t="str">
        <f t="shared" ca="1" si="170"/>
        <v>—</v>
      </c>
      <c r="M316" s="15">
        <f t="shared" ca="1" si="171"/>
        <v>7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 t="str">
        <f t="shared" ca="1" si="186"/>
        <v>—</v>
      </c>
      <c r="AC316" s="15">
        <f t="shared" ca="1" si="187"/>
        <v>7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19091112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 t="str">
        <f t="shared" ca="1" si="170"/>
        <v>—</v>
      </c>
      <c r="M317" s="15">
        <f t="shared" ca="1" si="171"/>
        <v>7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 t="str">
        <f t="shared" ca="1" si="186"/>
        <v>—</v>
      </c>
      <c r="AC317" s="15">
        <f t="shared" ca="1" si="187"/>
        <v>7</v>
      </c>
      <c r="AD317" s="76" t="str">
        <f t="shared" ca="1" si="188"/>
        <v>—</v>
      </c>
      <c r="AE317" s="15">
        <f t="shared" ca="1" si="189"/>
        <v>7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19091113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 t="str">
        <f t="shared" ca="1" si="170"/>
        <v>—</v>
      </c>
      <c r="M318" s="15">
        <f t="shared" ca="1" si="171"/>
        <v>7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 t="str">
        <f t="shared" ca="1" si="186"/>
        <v>—</v>
      </c>
      <c r="AC318" s="15">
        <f t="shared" ca="1" si="187"/>
        <v>7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19091114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 t="str">
        <f t="shared" ca="1" si="170"/>
        <v>—</v>
      </c>
      <c r="M319" s="15">
        <f t="shared" ca="1" si="171"/>
        <v>7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 t="str">
        <f t="shared" ca="1" si="186"/>
        <v>—</v>
      </c>
      <c r="AC319" s="15">
        <f t="shared" ca="1" si="187"/>
        <v>7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19091115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 t="str">
        <f t="shared" ca="1" si="170"/>
        <v>—</v>
      </c>
      <c r="M320" s="15">
        <f t="shared" ca="1" si="171"/>
        <v>7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 t="str">
        <f t="shared" ca="1" si="186"/>
        <v>—</v>
      </c>
      <c r="AC320" s="15">
        <f t="shared" ca="1" si="187"/>
        <v>7</v>
      </c>
      <c r="AD320" s="76" t="str">
        <f t="shared" ca="1" si="188"/>
        <v>—</v>
      </c>
      <c r="AE320" s="15">
        <f t="shared" ca="1" si="189"/>
        <v>7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19091116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19091117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19091118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19091119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19091120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19091121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19091122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19091123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19091124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19091125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19091126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19091127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19091128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19091129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19091130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19091201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19091202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19091203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19091204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19091205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19091206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19091207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19091208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19091209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19091210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19091211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19091212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19091213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19091214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19091215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19091216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19091217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19091218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19091219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19091220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19091221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19091222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19091223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19091224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19091225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19091226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19091227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19091228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19091229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19091230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19091231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19090101,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19090102,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19090103,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19090104,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19090105,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19090106,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19090107,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19090108,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19090109,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19090110,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19090111,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19090112,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19090113,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19090114,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19090115,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19090116,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19090117,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19090118,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19090119,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19090120,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19090121,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19090122,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19090123,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19090124,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19090125,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19090126,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19090127,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19090128,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19090129,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19090130,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19090131,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19090201,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19090202,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19090203,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19090204,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19090205,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19090206,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19090207,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19090208,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19090209,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19090210,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19090211,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19090212,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19090213,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19090214,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19090215,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19090216,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19090217,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19090218,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19090219,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19090220,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19090221,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19090222,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19090223,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19090224,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19090225,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19090226,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19090227,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19090228,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19090301,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19090302,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19090303,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19090304,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19090305,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19090306,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19090307,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19090308,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19090309,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19090310,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19090311,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19090312,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19090313,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19090314,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19090315,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19090316,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19090317,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19090318,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19090319,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19090320,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19090321,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19090322,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19090323,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19090324,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19090325,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19090326,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19090327,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19090328,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19090329,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19090330,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19090331,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19090401,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19090402,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19090403,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19090404,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19090405,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19090406,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19090407,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19090408,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19090409,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19090410,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19090411,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19090412,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19090413,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19090414,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19090415,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19090416,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19090417,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19090418,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19090419,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19090420,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19090421,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19090422,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19090423,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19090424,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19090425,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19090426,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19090427,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19090428,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19090429,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19090430,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19090501,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19090502,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19090503,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19090504,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19090505,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19090506,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19090507,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19090508,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19090509,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19090510,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19090511,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19090512,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19090513,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19090514,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19090515,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19090516,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19090517,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19090518,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19090519,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19090520,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19090521,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19090522,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19090523,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19090524,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19090525,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19090526,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19090527,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19090528,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19090529,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19090530,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19090531,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19090601,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19090602,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19090603,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19090604,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19090605,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19090606,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19090607,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19090608,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19090609,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19090610,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19090611,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19090612,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19090613,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19090614,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19090615,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19090616,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19090617,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19090618,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19090619,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19090620,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19090621,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19090622,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19090623,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19090624,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19090625,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19090626,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19090627,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19090628,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19090629,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19090630,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19090701,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19090702, 1, ////, 07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19090703, 1, ////, 07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19090704, 1, ////, 07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19090705,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19090706, 1, ////, 07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19090707, 1, ////, 07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19090708, 1, ////, 07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19090709, 1, ////, 07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19090710, 1, ////, 07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19090711, 1, ////, 07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19090712, 1, ////, 07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19090713, 1, ////, 07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19090714, 1, ////, 07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19090715,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19090716, 1, ////, 07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19090717, 1, ////, 07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19090718, 1, ////, 07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19090719, 1, ////, 07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19090720, 1, ////, 07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19090721, 1, ////, 07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19090722, 1, ////, 07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19090723, 1, ////, 07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19090724, 1, ////, 07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19090725, 1, ////, 07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19090726, 1, ////, 07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19090727, 1, ////, 07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19090728, 1, ////, 07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19090729, 1, ////, 07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19090730, 1, ////, 07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19090731, 1, ////, 07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19090801, 1, ////, 07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19090802, 1, ////, 07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19090803, 1, ////, 07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19090804, 1, ////, 07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19090805, 1, ////, 07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19090806, 1, ////, 07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19090807, 1, ////, 07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19090808, 1, ////, 07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19090809, 1, ////, 07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19090810, 1, ////, 07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19090811, 1, ////, 07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19090812, 1, ////, 07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19090813, 1, ////, 07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19090814, 1, ////, 07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19090815, 1, ////, 07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19090816, 1, ////, 07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19090817, 1, ////, 07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19090818, 1, ////, 07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19090819, 1, ////, 07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19090820, 1, ////, 07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19090821, 1, ////, 07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19090822,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19090823,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19090824,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19090825,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19090826,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19090827,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19090828,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19090829,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19090830,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19090831,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19090901,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19090902,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19090903,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19090904,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19090905,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19090906,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19090907,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19090908,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19090909,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19090910,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19090911,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19090912,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19090913,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19090914,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19090915,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19090916,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19090917,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19090918,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19090919,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19090920,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19090921,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19090922,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19090923,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19090924,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19090925,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19090926,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19090927,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19090928,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19090929,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19090930,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19091001,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19091002,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19091003,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19091004,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19091005,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19091006,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19091007,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19091008,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19091009,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19091010,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19091011,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19091012,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19091013,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19091014,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19091015,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19091016,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19091017,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19091018,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19091019,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19091020,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19091021,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19091022,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19091023,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19091024,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19091025,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19091026,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19091027,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19091028,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19091029,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19091030,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19091031,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19091101,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19091102,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19091103,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19091104,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19091105,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19091106,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19091107,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19091108,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19091109,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19091110,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19091111,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19091112,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19091113,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19091114,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19091115,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19091116,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19091117,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19091118,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19091119,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19091120,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19091121,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19091122,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19091123,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19091124,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19091125,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19091126,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19091127,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19091128,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19091129,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19091130,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19091201,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19091202,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19091203,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19091204,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19091205,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19091206,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19091207,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19091208,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19091209,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19091210,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19091211,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19091212,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19091213,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19091214,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19091215,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19091216,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19091217,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19091218,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19091219,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19091220,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19091221,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19091222,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19091223,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19091224,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19091225,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19091226,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19091227,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19091228,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19091229,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19091230,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19091231,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19090101,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19090102,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19090103,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19090104,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19090105,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19090106,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19090107,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19090108,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19090109,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19090110,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19090111,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19090112,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19090113,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19090114,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19090115,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19090116,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19090117,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19090118,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19090119,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19090120,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19090121,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19090122,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19090123,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19090124,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19090125,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19090126,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19090127,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19090128,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19090129,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19090130,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19090131,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19090201,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19090202,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19090203,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19090204,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19090205,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19090206,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19090207,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19090208,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19090209,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19090210,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19090211,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19090212,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19090213,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19090214,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19090215,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19090216,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19090217,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19090218,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19090219,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19090220,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19090221,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19090222,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19090223,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19090224,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19090225,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19090226,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19090227,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19090228,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19090301,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19090302,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19090303,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19090304,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19090305,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19090306,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19090307,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19090308,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19090309,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19090310,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19090311,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19090312,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19090313,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19090314,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19090315,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19090316,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19090317,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19090318,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19090319,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19090320,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19090321,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19090322,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19090323,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19090324,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19090325,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19090326,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19090327,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19090328,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19090329,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19090330,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19090331,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19090401,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19090402,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19090403,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19090404,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19090405,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19090406,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19090407,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19090408,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19090409,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19090410,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19090411,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19090412,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19090413,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19090414,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19090415,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19090416,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19090417,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19090418,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19090419,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19090420,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19090421,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19090422,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19090423,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19090424,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19090425,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19090426,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19090427,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19090428,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19090429,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19090430,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19090501,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19090502,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19090503,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19090504,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19090505,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19090506,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19090507,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19090508,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19090509,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19090510,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19090511,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19090512,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19090513,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19090514,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19090515,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19090516,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19090517,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19090518,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19090519,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19090520,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19090521,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19090522,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19090523,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19090524,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19090525,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19090526,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19090527,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19090528,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19090529,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19090530,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19090531,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19090601,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19090602,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19090603,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19090604,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19090605,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19090606,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19090607,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19090608,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19090609,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19090610,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19090611,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19090612,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19090613,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19090614,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19090615,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19090616,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19090617,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19090618,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19090619,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19090620,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19090621,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19090622,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19090623,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19090624,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19090625,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19090626,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19090627,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19090628,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19090629,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19090630,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19090701, 0800, ////, 07, /////, 07, ////, 07, /////, 07, 7610, 00, ////, 07, ////, 07, ////, 07, ///, 07, ///, 07, ////, 07, ////, 07,  90, 00,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19090702, 0800, ////, 07, /////, 07, ////, 07, /////, 07, 7620, 00, ////, 07, ////, 07, ////, 07, ///, 07, ///, 07, ////, 07, ////, 07,  90, 00, ////, 07,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19090703, 0800, ////, 07, /////, 07, ////, 07, /////, 07, 7610, 00, ////, 07, ////, 07, ////, 07, ///, 07, ///, 07, ////, 07, ////, 07,  90, 00, ////, 07,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19090704, 0800, ////, 07, /////, 07, ////, 07, /////, 07, 7600, 00, ////, 07, ////, 07, ////, 07, ///, 07, ///, 07, ////, 07, ////, 07,  90, 00, ////, 07,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19090705, 0800, ////, 07, /////, 07, ////, 07, /////, 07, 7605, 00, ////, 07, ////, 07, ////, 07, ///, 07, ///, 07, ////, 07, ////, 07,  90, 00, ////, 07,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19090706, 0800, ////, 07, /////, 07, ////, 07, /////, 07, 7605, 00, ////, 07, ////, 07, ////, 07, ///, 07, ///, 07, ////, 07, ////, 07,  90, 00, ////, 07,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19090707, 0800, ////, 07, /////, 07, ////, 07, /////, 07, 7605, 00, ////, 07, ////, 07, ////, 07, ///, 07, ///, 07, ////, 07, ////, 07,  90, 00, ////, 07,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19090708, 0800, ////, 07, /////, 07, ////, 07, /////, 07, 7595, 00, ////, 07, ////, 07, ////, 07, ///, 07, ///, 07, ////, 07, ////, 07,  90, 00, ////, 07,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19090709, 0800, ////, 07, /////, 07, ////, 07, /////, 07, 7600, 00, ////, 07, ////, 07, ////, 07, ///, 07, ///, 07, ////, 07, ////, 07, 135, 00, ////, 07,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19090710, 0800, ////, 07, /////, 07, ////, 07, /////, 07, 7605, 00, ////, 07, ////, 07, ////, 07, ///, 07, ///, 07, ////, 07, ////, 07,  90, 00, ////, 07,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19090711, 0800, ////, 07, /////, 07, ////, 07, /////, 07, 7610, 00, ////, 07, ////, 07, ////, 07, ///, 07, ///, 07, ////, 07, ////, 07,  90, 00, ////, 07,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19090712, 0800, ////, 07, /////, 07, ////, 07, /////, 07, 7610, 00, ////, 07, ////, 07, ////, 07, ///, 07, ///, 07, ////, 07, ////, 07,  90, 00, ////, 07,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19090713, 0800, ////, 07, /////, 07, ////, 07, /////, 07, 7600, 00, ////, 07, ////, 07, ////, 07, ///, 07, ///, 07, ////, 07, ////, 07,  90, 00, ////, 07,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19090714, 0800, ////, 07, /////, 07, ////, 07, /////, 07, 7605, 00, ////, 07, ////, 07, ////, 07, ///, 07, ///, 07, ////, 07, ////, 07,  90, 00, ////, 07,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19090715, 0800, ////, 07, /////, 07, ////, 07, /////, 07, 7605, 00, ////, 07, ////, 07, ////, 07, ///, 07, ///, 07, ////, 07, ////, 07, 135, 00, ////, 07,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19090716, 0800, ////, 07, /////, 07, ////, 07, /////, 07, 7600, 00, ////, 07, ////, 07, ////, 07, ///, 07, ///, 07, ////, 07, ////, 07,  90, 00, ////, 07,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19090717, 0800, ////, 07, /////, 07, ////, 07, /////, 07, 7605, 00, ////, 07, ////, 07, ////, 07, ///, 07, ///, 07, ////, 07, ////, 07,  90, 00, ////, 07,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19090718, 0800, ////, 07, /////, 07, ////, 07, /////, 07, 7615, 00, ////, 07, ////, 07, ////, 07, ///, 07, ///, 07, ////, 07, ////, 07,  90, 00, ////, 07,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19090719, 0800, ////, 07, /////, 07, ////, 07, /////, 07, 7615, 00, ////, 07, ////, 07, ////, 07, ///, 07, ///, 07, ////, 07, ////, 07,  90, 00, ////, 07,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19090720, 0800, ////, 07, /////, 07, ////, 07, /////, 07, 7615, 00, ////, 07, ////, 07, ////, 07, ///, 07, ///, 07, ////, 07, ////, 07,  90, 00, ////, 07,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19090721, 0800, ////, 07, /////, 07, ////, 07, /////, 07, ////, 07, ////, 07, ////, 07, ////, 07, ///, 07, ///, 07, ////, 07, ////, 07, ///, 07, ////, 07,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19090722, 0800, ////, 07, /////, 07, ////, 07, /////, 07, 7610, 00, ////, 07, ////, 07, ////, 07, ///, 07, ///, 07, ////, 07, ////, 07,  90, 00, ////, 07,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19090723, 0800, ////, 07, /////, 07, ////, 07, /////, 07, 7615, 00, ////, 07, ////, 07, ////, 07, ///, 07, ///, 07, ////, 07, ////, 07, 315, 00, ////, 07,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19090724, 0800, ////, 07, /////, 07, ////, 07, /////, 07, 7620, 00, ////, 07, ////, 07, ////, 07, ///, 07, ///, 07, ////, 07, ////, 07, 135, 00, ////, 07,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19090725, 0800, ////, 07, /////, 07, ////, 07, /////, 07, 7610, 00, ////, 07, ////, 07, ////, 07, ///, 07, ///, 07, ////, 07, ////, 07,  90, 00, ////, 07,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19090726, 0800, ////, 07, /////, 07, ////, 07, /////, 07, 7605, 00, ////, 07, ////, 07, ////, 07, ///, 07, ///, 07, ////, 07, ////, 07,  90, 00, ////, 07,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19090727, 0800, ////, 07, /////, 07, ////, 07, /////, 07, 7605, 00, ////, 07, ////, 07, ////, 07, ///, 07, ///, 07, ////, 07, ////, 07, 135, 00, ////, 07,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19090728, 0800, ////, 07, /////, 07, ////, 07, /////, 07, 7615, 00, ////, 07, ////, 07, ////, 07, ///, 07, ///, 07, ////, 07, ////, 07,  90, 00, ////, 07,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19090729, 0800, ////, 07, /////, 07, ////, 07, /////, 07, 7610, 00, ////, 07, ////, 07, ////, 07, ///, 07, ///, 07, ////, 07, ////, 07,  90, 00, ////, 07,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19090730, 0800, ////, 07, /////, 07, ////, 07, /////, 07, 7595, 00, ////, 07, ////, 07, ////, 07, ///, 07, ///, 07, ////, 07, ////, 07,  90, 00, ////, 07,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19090731, 0800, ////, 07, /////, 07, ////, 07, /////, 07, 7584, 00, ////, 07, ////, 07, ////, 07, ///, 07, ///, 07, ////, 07, ////, 07,  90, 00, ////, 07,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19090801, 0800, ////, 07, /////, 07, ////, 07, /////, 07, 7595, 00, ////, 07, ////, 07, ////, 07, ///, 07, ///, 07, ////, 07, ////, 07, 135, 00, ////, 07,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19090802, 0800, ////, 07, /////, 07, ////, 07, /////, 07, 7605, 00, ////, 07, ////, 07, ////, 07, ///, 07, ///, 07, ////, 07, ////, 07,  90, 00, ////, 07,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19090803, 0800, ////, 07, /////, 07, ////, 07, /////, 07, 7605, 00, ////, 07, ////, 07, ////, 07, ///, 07, ///, 07, ////, 07, ////, 07,  90, 00, ////, 07,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19090804, 0800, ////, 07, /////, 07, ////, 07, /////, 07, 7595, 00, ////, 07, ////, 07, ////, 07, ///, 07, ///, 07, ////, 07, ////, 07, 135, 00,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19090805, 0800, ////, 07, /////, 07, ////, 07, /////, 07, 7600, 00, ////, 07, ////, 07, ////, 07, ///, 07, ///, 07, ////, 07, ////, 07, 135, 00, ////, 07,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19090806, 0800, ////, 07, /////, 07, ////, 07, /////, 07, 7605, 00, ////, 07, ////, 07, ////, 07, ///, 07, ///, 07, ////, 07, ////, 07, 135, 00, ////, 07,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19090807, 0800, ////, 07, /////, 07, ////, 07, /////, 07, 7600, 00, ////, 07, ////, 07, ////, 07, ///, 07, ///, 07, ////, 07, ////, 07, 135, 00, ////, 07,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19090808, 0800, ////, 07, /////, 07, ////, 07, /////, 07, 7600, 00, ////, 07, ////, 07, ////, 07, ///, 07, ///, 07, ////, 07, ////, 07,  90, 00, ////, 07,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19090809, 0800, ////, 07, /////, 07, ////, 07, /////, 07, 7600, 00, ////, 07, ////, 07, ////, 07, ///, 07, ///, 07, ////, 07, ////, 07,  90, 00, ////, 07,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19090810, 0800, ////, 07, /////, 07, ////, 07, /////, 07, 7600, 00, ////, 07, ////, 07, ////, 07, ///, 07, ///, 07, ////, 07, ////, 07,  90, 00, ////, 07,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19090811, 0800, ////, 07, /////, 07, ////, 07, /////, 07, 7610, 00, ////, 07, ////, 07, ////, 07, ///, 07, ///, 07, ////, 07, ////, 07,  90, 00, ////, 07,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19090812, 0800, ////, 07, /////, 07, ////, 07, /////, 07, 7605, 00, ////, 07, ////, 07, ////, 07, ///, 07, ///, 07, ////, 07, ////, 07,  90, 00, ////, 07,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19090813, 0800, ////, 07, /////, 07, ////, 07, /////, 07, 7590, 00, ////, 07, ////, 07, ////, 07, ///, 07, ///, 07, ////, 07, ////, 07,  90, 00, ////, 07,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19090814, 0800, ////, 07, /////, 07, ////, 07, /////, 07, 7600, 00, ////, 07, ////, 07, ////, 07, ///, 07, ///, 07, ////, 07, ////, 07,  90, 00, ////, 07,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19090815, 0800, ////, 07, /////, 07, ////, 07, /////, 07, 7605, 00, ////, 07, ////, 07, ////, 07, ///, 07, ///, 07, ////, 07, ////, 07,  90, 00, ////, 07,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19090816, 0800, ////, 07, /////, 07, ////, 07, /////, 07, 7600, 00, ////, 07, ////, 07, ////, 07, ///, 07, ///, 07, ////, 07, ////, 07, 135, 00, ////, 07,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19090817, 0800, ////, 07, /////, 07, ////, 07, /////, 07, 7595, 00, ////, 07, ////, 07, ////, 07, ///, 07, ///, 07, ////, 07, ////, 07,  90, 00, ////, 07,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19090818, 0800, ////, 07, /////, 07, ////, 07, /////, 07, 7584, 00, ////, 07, ////, 07, ////, 07, ///, 07, ///, 07, ////, 07, ////, 07, 135, 00, ////, 07,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19090819, 0800, ////, 07, /////, 07, ////, 07, /////, 07, 7590, 00, ////, 07, ////, 07, ////, 07, ///, 07, ///, 07, ////, 07, ////, 07, 180, 00, ////, 07,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19090820, 0800, ////, 07, /////, 07, ////, 07, /////, 07, 7600, 00, ////, 07, ////, 07, ////, 07, ///, 07, ///, 07, ////, 07, ////, 07, 135, 00, ////, 07,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19090821, 0800, ////, 07, /////, 07, ////, 07, /////, 07, 7595, 00, ////, 07, ////, 07, ////, 07, ///, 07, ///, 07, ////, 07, ////, 07,  90, 00, ////, 07,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19090822, 0800, ////, 07, /////, 07, ////, 07, /////, 07, 7590, 00, ////, 07, ////, 07, ////, 07, ///, 07, ///, 07, ////, 07, ////, 07,   0, 00, ////, 07,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19090823, 0800, ////, 07, /////, 07, ////, 07, /////, 07, 7584, 00, ////, 07, ////, 07, ////, 07, ///, 07, ///, 07, ////, 07, ////, 07, 180, 00, ////, 07,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19090824, 0800, ////, 07, /////, 07, ////, 07, /////, 07, 7595, 00, ////, 07, ////, 07, ////, 07, ///, 07, ///, 07, ////, 07, ////, 07, 135, 00, ////, 07,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19090825, 0800, ////, 07, /////, 07, ////, 07, /////, 07, 7605, 00, ////, 07, ////, 07, ////, 07, ///, 07, ///, 07, ////, 07, ////, 07,  90, 00, ////, 07,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19090826, 0800, ////, 07, /////, 07, ////, 07, /////, 07, 7605, 00, ////, 07, ////, 07, ////, 07, ///, 07, ///, 07, ////, 07, ////, 07, 135, 00, ////, 07,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19090827, 0800, ////, 07, /////, 07, ////, 07, /////, 07, 7584, 00, ////, 07, ////, 07, ////, 07, ///, 07, ///, 07, ////, 07, ////, 07, 135, 00, ////, 07,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19090828, 0800, ////, 07, /////, 07, ////, 07, /////, 07, 7590, 00, ////, 07, ////, 07, ////, 07, ///, 07, ///, 07, ////, 07, ////, 07, 135, 00, ////, 07,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19090829, 0800, ////, 07, /////, 07, ////, 07, /////, 07, 7605, 00, ////, 07, ////, 07, ////, 07, ///, 07, ///, 07, ////, 07, ////, 07,  90, 00, ////, 07,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19090830, 0800, ////, 07, /////, 07, ////, 07, /////, 07, 7605, 00, ////, 07, ////, 07, ////, 07, ///, 07, ///, 07, ////, 07, ////, 07,  90, 00, ////, 07,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19090831, 0800, ////, 07, /////, 07, ////, 07, /////, 07, 7595, 00, ////, 07, ////, 07, ////, 07, ///, 07, ///, 07, ////, 07, ////, 07,  90, 00, ////, 07,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19090901, 0800, ////, 07, /////, 07, ////, 07, /////, 07, 7600, 00, ////, 07, ////, 07, ////, 07, ///, 07, ///, 07, ////, 07, ////, 07,  90, 00, ////, 07,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19090902, 0800, ////, 07, /////, 07, ////, 07, /////, 07, 7605, 00, ////, 07, ////, 07, ////, 07, ///, 07, ///, 07, ////, 07, ////, 07,  90, 00, ////, 07,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19090903, 0800, ////, 07, /////, 07, ////, 07, /////, 07, 7600, 00, ////, 07, ////, 07, ////, 07, ///, 07, ///, 07, ////, 07, ////, 07, 135, 00, ////, 07,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19090904, 0800, ////, 07, /////, 07, ////, 07, /////, 07, 7600, 00, ////, 07, ////, 07, ////, 07, ///, 07, ///, 07, ////, 07, ////, 07,  90, 00, ////, 07,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19090905, 0800, ////, 07, /////, 07, ////, 07, /////, 07, 7605, 00, ////, 07, ////, 07, ////, 07, ///, 07, ///, 07, ////, 07, ////, 07,  90, 00, ////, 07,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19090906, 0800, ////, 07, /////, 07, ////, 07, /////, 07, 7600, 00, ////, 07, ////, 07, ////, 07, ///, 07, ///, 07, ////, 07, ////, 07,  90, 00, ////, 07,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19090907, 0800, ////, 07, /////, 07, ////, 07, /////, 07, 7595, 00, ////, 07, ////, 07, ////, 07, ///, 07, ///, 07, ////, 07, ////, 07,  90, 00,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19090908, 0800, ////, 07, /////, 07, ////, 07, /////, 07, 7605, 00, ////, 07, ////, 07, ////, 07, ///, 07, ///, 07, ////, 07, ////, 07,  90, 00, ////, 07,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19090909, 0800, ////, 07, /////, 07, ////, 07, /////, 07, 7600, 00, ////, 07, ////, 07, ////, 07, ///, 07, ///, 07, ////, 07, ////, 07,  90, 00, ////, 07,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19090910, 0800, ////, 07, /////, 07, ////, 07, /////, 07, 7584, 00, ////, 07, ////, 07, ////, 07, ///, 07, ///, 07, ////, 07, ////, 07,  90, 00, ////, 07,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19090911, 0800, ////, 07, /////, 07, ////, 07, /////, 07, 7579, 00, ////, 07, ////, 07, ////, 07, ///, 07, ///, 07, ////, 07, ////, 07, 135, 00, ////, 07,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19090912, 0800, ////, 07, /////, 07, ////, 07, /////, 07, 7584, 00, ////, 07, ////, 07, ////, 07, ///, 07, ///, 07, ////, 07, ////, 07, 135, 00, ////, 07,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19090913, 0800, ////, 07, /////, 07, ////, 07, /////, 07, 7579, 00, ////, 07, ////, 07, ////, 07, ///, 07, ///, 07, ////, 07, ////, 07, 135, 00, ////, 07,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19090914, 0800, ////, 07, /////, 07, ////, 07, /////, 07, 7590, 00, ////, 07, ////, 07, ////, 07, ///, 07, ///, 07, ////, 07, ////, 07,  90, 00, ////, 07,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19090915, 0800, ////, 07, /////, 07, ////, 07, /////, 07, 7584, 00, ////, 07, ////, 07, ////, 07, ///, 07, ///, 07, ////, 07, ////, 07,  90, 00,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19090916, 0800, ////, 07, /////, 07, ////, 07, /////, 07, 7584, 00, ////, 07, ////, 07, ////, 07, ///, 07, ///, 07, ////, 07, ////, 07, 135, 00, ////, 07,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19090917, 0800, ////, 07, /////, 07, ////, 07, /////, 07, 7590, 00, ////, 07, ////, 07, ////, 07, ///, 07, ///, 07, ////, 07, ////, 07, 135, 00, ////, 07,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19090918, 0800, ////, 07, /////, 07, ////, 07, /////, 07, 7590, 00, ////, 07, ////, 07, ////, 07, ///, 07, ///, 07, ////, 07, ////, 07, 135, 00, ////, 07,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19090919, 0800, ////, 07, /////, 07, ////, 07, /////, 07, 7595, 00, ////, 07, ////, 07, ////, 07, ///, 07, ///, 07, ////, 07, ////, 07, 135, 00, ////, 07,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19090920, 0800, ////, 07, /////, 07, ////, 07, /////, 07, 7595, 00, ////, 07, ////, 07, ////, 07, ///, 07, ///, 07, ////, 07, ////, 07, 135, 00, ////, 07,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19090921, 0800, ////, 07, /////, 07, ////, 07, /////, 07, 7584, 00, ////, 07, ////, 07, ////, 07, ///, 07, ///, 07, ////, 07, ////, 07,  90, 00, ////, 07,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19090922, 0800, ////, 07, /////, 07, ////, 07, /////, 07, 7574, 00, ////, 07, ////, 07, ////, 07, ///, 07, ///, 07, ////, 07, ////, 07, 135, 00, ////, 07,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19090923, 0800, ////, 07, /////, 07, ////, 07, /////, 07, 7574, 00, ////, 07, ////, 07, ////, 07, ///, 07, ///, 07, ////, 07, ////, 07, 135, 00, ////, 07,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19090924, 0800, ////, 07, /////, 07, ////, 07, /////, 07, 7579, 00, ////, 07, ////, 07, ////, 07, ///, 07, ///, 07, ////, 07, ////, 07, 135, 00, ////, 07,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19090925, 0800, ////, 07, /////, 07, ////, 07, /////, 07, 7579, 00, ////, 07, ////, 07, ////, 07, ///, 07, ///, 07, ////, 07, ////, 07, 135, 00, ////, 07,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19090926, 0800, ////, 07, /////, 07, ////, 07, /////, 07, 7584, 00, ////, 07, ////, 07, ////, 07, ///, 07, ///, 07, ////, 07, ////, 07, 135, 00, ////, 07,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19090927, 0800, ////, 07, /////, 07, ////, 07, /////, 07, 7584, 00, ////, 07, ////, 07, ////, 07, ///, 07, ///, 07, ////, 07, ////, 07, 135, 00, ////, 07,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19090928, 0800, ////, 07, /////, 07, ////, 07, /////, 07, 7590, 00, ////, 07, ////, 07, ////, 07, ///, 07, ///, 07, ////, 07, ////, 07,  90, 00, ////, 07,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19090929, 0800, ////, 07, /////, 07, ////, 07, /////, 07, 7595, 00, ////, 07, ////, 07, ////, 07, ///, 07, ///, 07, ////, 07, ////, 07,  90, 00, ////, 07,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19090930, 0800, ////, 07, /////, 07, ////, 07, /////, 07, 7590, 00, ////, 07, ////, 07, ////, 07, ///, 07, ///, 07, ////, 07, ////, 07,  45, 00, ////, 07,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19091001, 0800, ////, 07, /////, 07, ////, 07, /////, 07, 7584, 00, ////, 07, ////, 07, ////, 07, ///, 07, ///, 07, ////, 07, ////, 07, 135, 00, ////, 07,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19091002, 0800, ////, 07, /////, 07, ////, 07, /////, 07, 7579, 00, ////, 07, ////, 07, ////, 07, ///, 07, ///, 07, ////, 07, ////, 07,  90, 00, ////, 07,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19091003, 0800, ////, 07, /////, 07, ////, 07, /////, 07, 7584, 00, ////, 07, ////, 07, ////, 07, ///, 07, ///, 07, ////, 07, ////, 07,  90, 00, ////, 07,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19091004, 0800, ////, 07, /////, 07, ////, 07, /////, 07, 7600, 00, ////, 07, ////, 07, ////, 07, ///, 07, ///, 07, ////, 07, ////, 07,  90, 00, ////, 07,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19091005, 0800, ////, 07, /////, 07, ////, 07, /////, 07, 7595, 00, ////, 07, ////, 07, ////, 07, ///, 07, ///, 07, ////, 07, ////, 07,  90, 00, ////, 07,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19091006, 0800, ////, 07, /////, 07, ////, 07, /////, 07, 7574, 00, ////, 07, ////, 07, ////, 07, ///, 07, ///, 07, ////, 07, ////, 07, 135, 00, ////, 07,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19091007, 0800, ////, 07, /////, 07, ////, 07, /////, 07, 7584, 00, ////, 07, ////, 07, ////, 07, ///, 07, ///, 07, ////, 07, ////, 07, 135, 00, ////, 07,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19091008, 0800, ////, 07, /////, 07, ////, 07, /////, 07, 7595, 00, ////, 07, ////, 07, ////, 07, ///, 07, ///, 07, ////, 07, ////, 07,  90, 00, ////, 07,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19091009, 0800, ////, 07, /////, 07, ////, 07, /////, 07, 7600, 00, ////, 07, ////, 07, ////, 07, ///, 07, ///, 07, ////, 07, ////, 07,  90, 00, ////, 07,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19091010, 0800, ////, 07, /////, 07, ////, 07, /////, 07, 7590, 00, ////, 07, ////, 07, ////, 07, ///, 07, ///, 07, ////, 07, ////, 07,  90, 00, ////, 07,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19091011, 0800, ////, 07, /////, 07, ////, 07, /////, 07, 7584, 00, ////, 07, ////, 07, ////, 07, ///, 07, ///, 07, ////, 07, ////, 07, 180, 00, ////, 07,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19091012, 0800, ////, 07, /////, 07, ////, 07, /////, 07, ////, 07, ////, 07, ////, 07, ////, 07, ///, 07, ///, 07, ////, 07, ////, 07, ///, 07, ////, 07,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19091013, 0800, ////, 07, /////, 07, ////, 07, /////, 07, 7615, 00, ////, 07, ////, 07, ////, 07, ///, 07, ///, 07, ////, 07, ////, 07,  90, 00, ////, 07,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19091014, 0800, ////, 07, /////, 07, ////, 07, /////, 07, 7590, 00, ////, 07, ////, 07, ////, 07, ///, 07, ///, 07, ////, 07, ////, 07,  90, 00, ////, 07,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19091015, 0800, ////, 07, /////, 07, ////, 07, /////, 07, 7590, 00, ////, 07, ////, 07, ////, 07, ///, 07, ///, 07, ////, 07, ////, 07,  90, 00,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19091016, 0800, ////, 07, /////, 07, ////, 07, /////, 07, 7579, 00, ////, 07, ////, 07, ////, 07, ///, 07, ///, 07, ////, 07, ////, 07,  45, 00, ////, 07,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19091017, 0800, ////, 07, /////, 07, ////, 07, /////, 07, 7579, 00, ////, 07, ////, 07, ////, 07, ///, 07, ///, 07, ////, 07, ////, 07,  45, 00, ////, 07,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19091018, 0800, ////, 07, /////, 07, ////, 07, /////, 07, 7579, 00, ////, 07, ////, 07, ////, 07, ///, 07, ///, 07, ////, 07, ////, 07,  90, 00,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19091019, 0800, ////, 07, /////, 07, ////, 07, /////, 07, 7595, 00, ////, 07, ////, 07, ////, 07, ///, 07, ///, 07, ////, 07, ////, 07, 135, 00, ////, 07,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19091020, 0800, ////, 07, /////, 07, ////, 07, /////, 07, 7595, 00, ////, 07, ////, 07, ////, 07, ///, 07, ///, 07, ////, 07, ////, 07,  90, 00, ////, 07,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19091021, 0800, ////, 07, /////, 07, ////, 07, /////, 07, 7600, 00, ////, 07, ////, 07, ////, 07, ///, 07, ///, 07, ////, 07, ////, 07,  90, 00,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19091022, 0800, ////, 07, /////, 07, ////, 07, /////, 07, 7590, 00, ////, 07, ////, 07, ////, 07, ///, 07, ///, 07, ////, 07, ////, 07,  90, 00, ////, 07,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19091023, 0800, ////, 07, /////, 07, ////, 07, /////, 07, 7579, 00, ////, 07, ////, 07, ////, 07, ///, 07, ///, 07, ////, 07, ////, 07,  90, 00, ////, 07,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19091024, 0800, ////, 07, /////, 07, ////, 07, /////, 07, 7579, 00, ////, 07, ////, 07, ////, 07, ///, 07, ///, 07, ////, 07, ////, 07, 135, 00, ////, 07,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19091025, 0800, ////, 07, /////, 07, ////, 07, /////, 07, 7595, 00, ////, 07, ////, 07, ////, 07, ///, 07, ///, 07, ////, 07, ////, 07, 135, 00, ////, 07,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19091026, 0800, ////, 07, /////, 07, ////, 07, /////, 07, 7595, 00, ////, 07, ////, 07, ////, 07, ///, 07, ///, 07, ////, 07, ////, 07,  90, 00, ////, 07,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19091027, 0800, ////, 07, /////, 07, ////, 07, /////, 07, 7595, 00, ////, 07, ////, 07, ////, 07, ///, 07, ///, 07, ////, 07, ////, 07,  90, 00,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19091028, 0800, ////, 07, /////, 07, ////, 07, /////, 07, 7595, 00, ////, 07, ////, 07, ////, 07, ///, 07, ///, 07, ////, 07, ////, 07,  90, 00,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19091029, 0800, ////, 07, /////, 07, ////, 07, /////, 07, 7595, 00, ////, 07, ////, 07, ////, 07, ///, 07, ///, 07, ////, 07, ////, 07,  45, 00,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19091030, 0800, ////, 07, /////, 07, ////, 07, /////, 07, 7584, 00, ////, 07, ////, 07, ////, 07, ///, 07, ///, 07, ////, 07, ////, 07,  45, 00, ////, 07,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19091031, 0800, ////, 07, /////, 07, ////, 07, /////, 07, 7590, 00, ////, 07, ////, 07, ////, 07, ///, 07, ///, 07, ////, 07, ////, 07,  90, 00, ////, 07,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19091101, 0800, ////, 07, /////, 07, ////, 07, /////, 07, 7579, 00, ////, 07, ////, 07, ////, 07, ///, 07, ///, 07, ////, 07, ////, 07,  90, 00, ////, 07,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19091102, 0800, ////, 07, /////, 07, ////, 07, /////, 07, 7579, 00, ////, 07, ////, 07, ////, 07, ///, 07, ///, 07, ////, 07, ////, 07,  90, 00,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19091103, 0800, ////, 07, /////, 07, ////, 07, /////, 07, 7579, 00, ////, 07, ////, 07, ////, 07, ///, 07, ///, 07, ////, 07, ////, 07,  90, 00,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19091104, 0800, ////, 07, /////, 07, ////, 07, /////, 07, 7579, 00, ////, 07, ////, 07, ////, 07, ///, 07, ///, 07, ////, 07, ////, 07, 135, 00,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19091105, 0800, ////, 07, /////, 07, ////, 07, /////, 07, 7584, 00, ////, 07, ////, 07, ////, 07, ///, 07, ///, 07, ////, 07, ////, 07,  90, 00,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19091106, 0800, ////, 07, /////, 07, ////, 07, /////, 07, 7584, 00, ////, 07, ////, 07, ////, 07, ///, 07, ///, 07, ////, 07, ////, 07,  90, 00, ////, 07,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19091107, 0800, ////, 07, /////, 07, ////, 07, /////, 07, 7590, 00, ////, 07, ////, 07, ////, 07, ///, 07, ///, 07, ////, 07, ////, 07,  90, 00, ////, 07,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19091108, 0800, ////, 07, /////, 07, ////, 07, /////, 07, ////, 07, ////, 07, ////, 07, ////, 07, ///, 07, ///, 07, ////, 07, ////, 07, ///, 07, ////, 07,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19091109, 0800, ////, 07, /////, 07, ////, 07, /////, 07, ////, 07, ////, 07, ////, 07, ////, 07, ///, 07, ///, 07, ////, 07, ////, 07, ///, 07,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19091110, 0800, ////, 07, /////, 07, ////, 07, /////, 07, ////, 07, ////, 07, ////, 07, ////, 07, ///, 07, ///, 07, ////, 07, ////, 07, ///, 07,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19091111, 0800, ////, 07, /////, 07, ////, 07, /////, 07, ////, 07, ////, 07, ////, 07, ////, 07, ///, 07, ///, 07, ////, 07, ////, 07, ///, 07,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19091112, 0800, ////, 07, /////, 07, ////, 07, /////, 07, ////, 07, ////, 07, ////, 07, ////, 07, ///, 07, ///, 07, ////, 07, ////, 07, ///, 07, ////, 07,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19091113, 0800, ////, 07, /////, 07, ////, 07, /////, 07, ////, 07, ////, 07, ////, 07, ////, 07, ///, 07, ///, 07, ////, 07, ////, 07, ///, 07,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19091114, 0800, ////, 07, /////, 07, ////, 07, /////, 07, ////, 07, ////, 07, ////, 07, ////, 07, ///, 07, ///, 07, ////, 07, ////, 07, ///, 07,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19091115, 0800, ////, 07, /////, 07, ////, 07, /////, 07, ////, 07, ////, 07, ////, 07, ////, 07, ///, 07, ///, 07, ////, 07, ////, 07, ///, 07, ////, 07,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19091116,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19091117,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19091118,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19091119,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19091120,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19091121,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19091122,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19091123,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19091124,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19091125,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19091126,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19091127,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19091128,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19091129,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19091130,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19091201,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19091202,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19091203,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19091204,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19091205,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19091206,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19091207,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19091208,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19091209,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19091210,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19091211,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19091212,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19091213,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19091214,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19091215,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19091216,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19091217,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19091218,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19091219,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19091220,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19091221,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19091222,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19091223,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19091224,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19091225,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19091226,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19091227,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19091228,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19091229,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19091230,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19091231,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2015-11-30T12:16:57Z</dcterms:modified>
</cp:coreProperties>
</file>