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Invoer!$A$3:$A$382</definedName>
    <definedName name="Catalogus">Info!$M$3:$AG$4</definedName>
    <definedName name="Data">Invoer!$A$3:$U$382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367" i="3" l="1"/>
  <c r="C367" i="3"/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50" i="1" l="1"/>
  <c r="T350" i="1"/>
  <c r="S350" i="1"/>
  <c r="R350" i="1"/>
  <c r="P350" i="1"/>
  <c r="O350" i="1"/>
  <c r="M350" i="1"/>
  <c r="L350" i="1"/>
  <c r="K350" i="1"/>
  <c r="J350" i="1"/>
  <c r="I350" i="1"/>
  <c r="H350" i="1"/>
  <c r="G350" i="1"/>
  <c r="F350" i="1"/>
  <c r="E350" i="1"/>
  <c r="D350" i="1"/>
  <c r="C350" i="1"/>
  <c r="B350" i="1"/>
  <c r="U287" i="1"/>
  <c r="T287" i="1"/>
  <c r="S287" i="1"/>
  <c r="R287" i="1"/>
  <c r="P287" i="1"/>
  <c r="O287" i="1"/>
  <c r="M287" i="1"/>
  <c r="L287" i="1"/>
  <c r="K287" i="1"/>
  <c r="J287" i="1"/>
  <c r="I287" i="1"/>
  <c r="H287" i="1"/>
  <c r="G287" i="1"/>
  <c r="F287" i="1"/>
  <c r="E287" i="1"/>
  <c r="D287" i="1"/>
  <c r="C287" i="1"/>
  <c r="B287" i="1"/>
  <c r="U192" i="1"/>
  <c r="T192" i="1"/>
  <c r="S192" i="1"/>
  <c r="R192" i="1"/>
  <c r="P192" i="1"/>
  <c r="O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U129" i="1"/>
  <c r="T129" i="1"/>
  <c r="S129" i="1"/>
  <c r="R129" i="1"/>
  <c r="P129" i="1"/>
  <c r="O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U66" i="1"/>
  <c r="T66" i="1"/>
  <c r="S66" i="1"/>
  <c r="R66" i="1"/>
  <c r="P66" i="1"/>
  <c r="O66" i="1"/>
  <c r="M66" i="1"/>
  <c r="L66" i="1"/>
  <c r="K66" i="1"/>
  <c r="J66" i="1"/>
  <c r="I66" i="1"/>
  <c r="H66" i="1"/>
  <c r="G66" i="1"/>
  <c r="F66" i="1"/>
  <c r="E66" i="1"/>
  <c r="D66" i="1"/>
  <c r="C66" i="1"/>
  <c r="B66" i="1"/>
  <c r="U382" i="1"/>
  <c r="T382" i="1"/>
  <c r="S382" i="1"/>
  <c r="R382" i="1"/>
  <c r="P382" i="1"/>
  <c r="O382" i="1"/>
  <c r="M382" i="1"/>
  <c r="L382" i="1"/>
  <c r="K382" i="1"/>
  <c r="J382" i="1"/>
  <c r="I382" i="1"/>
  <c r="H382" i="1"/>
  <c r="G382" i="1"/>
  <c r="F382" i="1"/>
  <c r="E382" i="1"/>
  <c r="D382" i="1"/>
  <c r="C382" i="1"/>
  <c r="B382" i="1"/>
  <c r="U319" i="1"/>
  <c r="T319" i="1"/>
  <c r="S319" i="1"/>
  <c r="R319" i="1"/>
  <c r="P319" i="1"/>
  <c r="O319" i="1"/>
  <c r="M319" i="1"/>
  <c r="L319" i="1"/>
  <c r="K319" i="1"/>
  <c r="J319" i="1"/>
  <c r="I319" i="1"/>
  <c r="H319" i="1"/>
  <c r="G319" i="1"/>
  <c r="F319" i="1"/>
  <c r="E319" i="1"/>
  <c r="D319" i="1"/>
  <c r="C319" i="1"/>
  <c r="B319" i="1"/>
  <c r="U256" i="1"/>
  <c r="T256" i="1"/>
  <c r="S256" i="1"/>
  <c r="R256" i="1"/>
  <c r="P256" i="1"/>
  <c r="O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U224" i="1"/>
  <c r="T224" i="1"/>
  <c r="S224" i="1"/>
  <c r="R224" i="1"/>
  <c r="P224" i="1"/>
  <c r="O224" i="1"/>
  <c r="M224" i="1"/>
  <c r="L224" i="1"/>
  <c r="K224" i="1"/>
  <c r="J224" i="1"/>
  <c r="I224" i="1"/>
  <c r="H224" i="1"/>
  <c r="G224" i="1"/>
  <c r="F224" i="1"/>
  <c r="E224" i="1"/>
  <c r="D224" i="1"/>
  <c r="C224" i="1"/>
  <c r="B224" i="1"/>
  <c r="U161" i="1"/>
  <c r="T161" i="1"/>
  <c r="S161" i="1"/>
  <c r="R161" i="1"/>
  <c r="P161" i="1"/>
  <c r="O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U98" i="1"/>
  <c r="T98" i="1"/>
  <c r="S98" i="1"/>
  <c r="R98" i="1"/>
  <c r="P98" i="1"/>
  <c r="O98" i="1"/>
  <c r="M98" i="1"/>
  <c r="L98" i="1"/>
  <c r="K98" i="1"/>
  <c r="J98" i="1"/>
  <c r="I98" i="1"/>
  <c r="H98" i="1"/>
  <c r="G98" i="1"/>
  <c r="F98" i="1"/>
  <c r="E98" i="1"/>
  <c r="D98" i="1"/>
  <c r="C98" i="1"/>
  <c r="B98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B367" i="3" s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B367" i="2"/>
  <c r="A367" i="2"/>
  <c r="B6" i="3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U367" i="3" l="1"/>
  <c r="AJ367" i="3"/>
  <c r="T367" i="3"/>
  <c r="D367" i="3"/>
  <c r="Q367" i="3"/>
  <c r="AE367" i="3"/>
  <c r="O367" i="3"/>
  <c r="AH367" i="3"/>
  <c r="R367" i="3"/>
  <c r="M367" i="3"/>
  <c r="AF367" i="3"/>
  <c r="P367" i="3"/>
  <c r="AO367" i="3"/>
  <c r="I367" i="3"/>
  <c r="AA367" i="3"/>
  <c r="K367" i="3"/>
  <c r="AD367" i="3"/>
  <c r="N367" i="3"/>
  <c r="AK367" i="3"/>
  <c r="E367" i="3"/>
  <c r="AB367" i="3"/>
  <c r="L367" i="3"/>
  <c r="AG367" i="3"/>
  <c r="AM367" i="3"/>
  <c r="W367" i="3"/>
  <c r="G367" i="3"/>
  <c r="Z367" i="3"/>
  <c r="J367" i="3"/>
  <c r="AC367" i="3"/>
  <c r="AN367" i="3"/>
  <c r="X367" i="3"/>
  <c r="H367" i="3"/>
  <c r="Y367" i="3"/>
  <c r="AI367" i="3"/>
  <c r="S367" i="3"/>
  <c r="AL367" i="3"/>
  <c r="V367" i="3"/>
  <c r="F367" i="3"/>
  <c r="D367" i="2"/>
  <c r="E367" i="2"/>
  <c r="AJ363" i="3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367" i="5" l="1"/>
  <c r="A367" i="6"/>
  <c r="A12" i="6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<sst xmlns="http://schemas.openxmlformats.org/spreadsheetml/2006/main" count="341" uniqueCount="136">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</sst>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2"/>
  <sheetViews>
    <sheetView tabSelected="1" workbookViewId="0">
      <pane xSplit="1" ySplit="4" topLeftCell="D304" activePane="bottomRight" state="frozen"/>
      <selection pane="topRight" activeCell="B1" sqref="B1"/>
      <selection pane="bottomLeft" activeCell="A5" sqref="A5"/>
      <selection pane="bottomRight" activeCell="R335" sqref="R33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4384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1" ca="1" si="0">IF(ISTEXT(A5),A4+1,IF(MONTH(A5+1)=MONTH(A5),A5+1,"Totaal"))</f>
        <v>4385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4386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4387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4388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4389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4390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4391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4392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4393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4394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4395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4396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4397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4398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4399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4400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4401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4402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4403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4404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4405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4406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4407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4408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4409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4410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4411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4412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4413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4414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4415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4416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4417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4418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4419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4420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4421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4422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4423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4424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4425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4426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4427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4428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4429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4430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4431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4432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4433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4434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4435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4436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4437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4438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4439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4440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4441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4442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ht="15" customHeight="1" x14ac:dyDescent="0.25">
      <c r="A65" s="1">
        <f t="shared" ca="1" si="0"/>
        <v>4443</v>
      </c>
      <c r="B65" s="29"/>
      <c r="C65" s="29"/>
      <c r="D65" s="29"/>
      <c r="E65" s="29"/>
      <c r="F65" s="29"/>
      <c r="G65" s="39"/>
      <c r="H65" s="40"/>
      <c r="I65" s="52"/>
      <c r="J65" s="53"/>
      <c r="K65" s="17"/>
      <c r="L65" s="39"/>
      <c r="M65" s="43"/>
      <c r="N65" s="45"/>
      <c r="O65" s="55"/>
      <c r="P65" s="56"/>
      <c r="Q65" s="74"/>
      <c r="R65" s="70"/>
      <c r="S65" s="19"/>
      <c r="T65" s="60"/>
      <c r="U65" s="59"/>
    </row>
    <row r="66" spans="1:21" x14ac:dyDescent="0.25">
      <c r="A66" s="1" t="str">
        <f t="shared" ca="1" si="0"/>
        <v>Totaal</v>
      </c>
      <c r="B66" s="61" t="str">
        <f>IF(COUNT(B37:B65)&gt;0,AVERAGE(B37:B65)/10,"")</f>
        <v/>
      </c>
      <c r="C66" s="62" t="str">
        <f>IF(COUNT(C37:C65)&gt;0,AVERAGE(C37:C65)/1000,"")</f>
        <v/>
      </c>
      <c r="D66" s="62" t="str">
        <f>IF(COUNT(D37:D65)&gt;0,AVERAGE(D37:D65)/1000,"")</f>
        <v/>
      </c>
      <c r="E66" s="62" t="str">
        <f>IF(COUNT(E37:E65)&gt;0,AVERAGE(E37:E65)/1000,"")</f>
        <v/>
      </c>
      <c r="F66" s="62" t="str">
        <f>IF(COUNT(F37:F65)&gt;0,AVERAGE(F37:F65)/100,"")</f>
        <v/>
      </c>
      <c r="G66" s="41" t="str">
        <f>IF(COUNT(G37:G65)&gt;0,AVERAGE(G37:G65)/10,"")</f>
        <v/>
      </c>
      <c r="H66" s="42" t="str">
        <f>IF(COUNT(H37:H65)&gt;0,AVERAGE(H37:H65)/10,"")</f>
        <v/>
      </c>
      <c r="I66" s="18" t="str">
        <f>IF(COUNT(I37:I65)&gt;0,AVERAGE(I37:I65)/10,"")</f>
        <v/>
      </c>
      <c r="J66" s="54" t="str">
        <f>IF(COUNT(J37:J65)&gt;0,AVERAGE(J37:J65),"")</f>
        <v/>
      </c>
      <c r="K66" s="51" t="str">
        <f>IF(COUNT(K37:K65)&gt;0,AVERAGE(K37:K65)/1000,"")</f>
        <v/>
      </c>
      <c r="L66" s="41" t="str">
        <f>IF(COUNT(L37:L65)&gt;0,AVERAGE(L37:L65)/10,"")</f>
        <v/>
      </c>
      <c r="M66" s="44" t="str">
        <f>IF(COUNT(M37:M65)&gt;0,AVERAGE(M37:M65)/10,"")</f>
        <v/>
      </c>
      <c r="N66" s="46"/>
      <c r="O66" s="57" t="str">
        <f>IF(COUNT(O37:O65)&gt;0,AVERAGE(O37:O65),"")</f>
        <v/>
      </c>
      <c r="P66" s="58" t="str">
        <f>IF(COUNT(P37:P65)&gt;0,AVERAGE(P37:P65),"")</f>
        <v/>
      </c>
      <c r="Q66" s="47"/>
      <c r="R66" s="68" t="str">
        <f>IF(COUNT(R37:R65)&gt;0,SUM(R37:R65)/100,"")</f>
        <v/>
      </c>
      <c r="S66" s="64" t="str">
        <f>IF(COUNT(S37:S65)&gt;0,AVERAGE(S37:S65),"")</f>
        <v/>
      </c>
      <c r="T66" s="65" t="str">
        <f>IF(COUNT(T37:T65)&gt;0,AVERAGE(T37:T65),"")</f>
        <v/>
      </c>
      <c r="U66" s="66" t="str">
        <f>IF(COUNT(U37:U65)&gt;0,AVERAGE(U37:U65),"")</f>
        <v/>
      </c>
    </row>
    <row r="67" spans="1:21" ht="15" customHeight="1" x14ac:dyDescent="0.25">
      <c r="A67" s="1">
        <f t="shared" ca="1" si="0"/>
        <v>4444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4445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4446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4447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ca="1" si="0"/>
        <v>4448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ref="A72:A135" ca="1" si="3">IF(ISTEXT(A71),A70+1,IF(MONTH(A71+1)=MONTH(A71),A71+1,"Totaal"))</f>
        <v>4449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4450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4451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4452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4453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4454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4455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4456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4457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4458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4459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4460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4461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4462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4463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4464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4465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4466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4467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4468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4469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4470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4471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4472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4473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ht="15" customHeight="1" x14ac:dyDescent="0.25">
      <c r="A97" s="1">
        <f t="shared" ca="1" si="3"/>
        <v>4474</v>
      </c>
      <c r="B97" s="29"/>
      <c r="C97" s="29"/>
      <c r="D97" s="29"/>
      <c r="E97" s="29"/>
      <c r="F97" s="29"/>
      <c r="G97" s="39"/>
      <c r="H97" s="40"/>
      <c r="I97" s="52"/>
      <c r="J97" s="53"/>
      <c r="K97" s="17"/>
      <c r="L97" s="39"/>
      <c r="M97" s="43"/>
      <c r="N97" s="45"/>
      <c r="O97" s="55"/>
      <c r="P97" s="56"/>
      <c r="Q97" s="74"/>
      <c r="R97" s="70"/>
      <c r="S97" s="19"/>
      <c r="T97" s="60"/>
      <c r="U97" s="59"/>
    </row>
    <row r="98" spans="1:21" x14ac:dyDescent="0.25">
      <c r="A98" s="1" t="str">
        <f t="shared" ca="1" si="3"/>
        <v>Totaal</v>
      </c>
      <c r="B98" s="61" t="str">
        <f>IF(COUNT(B67:B97)&gt;0,AVERAGE(B67:B97)/10,"")</f>
        <v/>
      </c>
      <c r="C98" s="62" t="str">
        <f>IF(COUNT(C67:C97)&gt;0,AVERAGE(C67:C97)/1000,"")</f>
        <v/>
      </c>
      <c r="D98" s="62" t="str">
        <f t="shared" ref="D98" si="4">IF(COUNT(D67:D97)&gt;0,AVERAGE(D67:D97)/1000,"")</f>
        <v/>
      </c>
      <c r="E98" s="62" t="str">
        <f t="shared" ref="E98" si="5">IF(COUNT(E67:E97)&gt;0,AVERAGE(E67:E97)/1000,"")</f>
        <v/>
      </c>
      <c r="F98" s="62" t="str">
        <f>IF(COUNT(F67:F97)&gt;0,AVERAGE(F67:F97)/100,"")</f>
        <v/>
      </c>
      <c r="G98" s="41" t="str">
        <f>IF(COUNT(G67:G97)&gt;0,AVERAGE(G67:G97)/10,"")</f>
        <v/>
      </c>
      <c r="H98" s="42" t="str">
        <f t="shared" ref="H98" si="6">IF(COUNT(H67:H97)&gt;0,AVERAGE(H67:H97)/10,"")</f>
        <v/>
      </c>
      <c r="I98" s="18" t="str">
        <f>IF(COUNT(I67:I97)&gt;0,AVERAGE(I67:I97)/10,"")</f>
        <v/>
      </c>
      <c r="J98" s="54" t="str">
        <f>IF(COUNT(J67:J97)&gt;0,AVERAGE(J67:J97),"")</f>
        <v/>
      </c>
      <c r="K98" s="51" t="str">
        <f>IF(COUNT(K67:K97)&gt;0,AVERAGE(K67:K97)/1000,"")</f>
        <v/>
      </c>
      <c r="L98" s="41" t="str">
        <f>IF(COUNT(L67:L97)&gt;0,AVERAGE(L67:L97)/10,"")</f>
        <v/>
      </c>
      <c r="M98" s="44" t="str">
        <f>IF(COUNT(M67:M97)&gt;0,AVERAGE(M67:M97)/10,"")</f>
        <v/>
      </c>
      <c r="N98" s="46"/>
      <c r="O98" s="57" t="str">
        <f>IF(COUNT(O67:O97)&gt;0,AVERAGE(O67:O97),"")</f>
        <v/>
      </c>
      <c r="P98" s="58" t="str">
        <f>IF(COUNT(P67:P97)&gt;0,AVERAGE(P67:P97),"")</f>
        <v/>
      </c>
      <c r="Q98" s="47"/>
      <c r="R98" s="68" t="str">
        <f>IF(COUNT(R67:R97)&gt;0,SUM(R67:R97)/100,"")</f>
        <v/>
      </c>
      <c r="S98" s="64" t="str">
        <f>IF(COUNT(S67:S97)&gt;0,AVERAGE(S67:S97),"")</f>
        <v/>
      </c>
      <c r="T98" s="65" t="str">
        <f>IF(COUNT(T67:T97)&gt;0,AVERAGE(T67:T97),"")</f>
        <v/>
      </c>
      <c r="U98" s="66" t="str">
        <f>IF(COUNT(U67:U97)&gt;0,AVERAGE(U67:U97),"")</f>
        <v/>
      </c>
    </row>
    <row r="99" spans="1:21" ht="15" customHeight="1" x14ac:dyDescent="0.25">
      <c r="A99" s="1">
        <f t="shared" ca="1" si="3"/>
        <v>4475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4476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4477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4478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4479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4480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4481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4482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4483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4484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4485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4486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4487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4488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4489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4490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4491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4492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4493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4494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4495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4496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4497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4498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4499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4500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4501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4502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4503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ht="15" customHeight="1" x14ac:dyDescent="0.25">
      <c r="A128" s="1">
        <f t="shared" ca="1" si="3"/>
        <v>4504</v>
      </c>
      <c r="B128" s="29"/>
      <c r="C128" s="29"/>
      <c r="D128" s="29"/>
      <c r="E128" s="29"/>
      <c r="F128" s="29"/>
      <c r="G128" s="39"/>
      <c r="H128" s="40"/>
      <c r="I128" s="52"/>
      <c r="J128" s="53"/>
      <c r="K128" s="17"/>
      <c r="L128" s="39"/>
      <c r="M128" s="43"/>
      <c r="N128" s="45"/>
      <c r="O128" s="55"/>
      <c r="P128" s="56"/>
      <c r="Q128" s="74"/>
      <c r="R128" s="70"/>
      <c r="S128" s="19"/>
      <c r="T128" s="60"/>
      <c r="U128" s="59"/>
    </row>
    <row r="129" spans="1:21" x14ac:dyDescent="0.25">
      <c r="A129" s="1" t="str">
        <f t="shared" ca="1" si="3"/>
        <v>Totaal</v>
      </c>
      <c r="B129" s="61" t="str">
        <f>IF(COUNT(B99:B128)&gt;0,AVERAGE(B99:B128)/10,"")</f>
        <v/>
      </c>
      <c r="C129" s="62" t="str">
        <f>IF(COUNT(C99:C128)&gt;0,AVERAGE(C99:C128)/1000,"")</f>
        <v/>
      </c>
      <c r="D129" s="62" t="str">
        <f>IF(COUNT(D99:D128)&gt;0,AVERAGE(D99:D128)/1000,"")</f>
        <v/>
      </c>
      <c r="E129" s="62" t="str">
        <f>IF(COUNT(E99:E128)&gt;0,AVERAGE(E99:E128)/1000,"")</f>
        <v/>
      </c>
      <c r="F129" s="62" t="str">
        <f>IF(COUNT(F99:F128)&gt;0,AVERAGE(F99:F128)/100,"")</f>
        <v/>
      </c>
      <c r="G129" s="41" t="str">
        <f>IF(COUNT(G99:G128)&gt;0,AVERAGE(G99:G128)/10,"")</f>
        <v/>
      </c>
      <c r="H129" s="42" t="str">
        <f>IF(COUNT(H99:H128)&gt;0,AVERAGE(H99:H128)/10,"")</f>
        <v/>
      </c>
      <c r="I129" s="18" t="str">
        <f>IF(COUNT(I99:I128)&gt;0,AVERAGE(I99:I128)/10,"")</f>
        <v/>
      </c>
      <c r="J129" s="54" t="str">
        <f>IF(COUNT(J99:J128)&gt;0,AVERAGE(J99:J128),"")</f>
        <v/>
      </c>
      <c r="K129" s="51" t="str">
        <f>IF(COUNT(K99:K128)&gt;0,AVERAGE(K99:K128)/1000,"")</f>
        <v/>
      </c>
      <c r="L129" s="41" t="str">
        <f>IF(COUNT(L99:L128)&gt;0,AVERAGE(L99:L128)/10,"")</f>
        <v/>
      </c>
      <c r="M129" s="44" t="str">
        <f>IF(COUNT(M99:M128)&gt;0,AVERAGE(M99:M128)/10,"")</f>
        <v/>
      </c>
      <c r="N129" s="46"/>
      <c r="O129" s="57" t="str">
        <f>IF(COUNT(O99:O128)&gt;0,AVERAGE(O99:O128),"")</f>
        <v/>
      </c>
      <c r="P129" s="58" t="str">
        <f>IF(COUNT(P99:P128)&gt;0,AVERAGE(P99:P128),"")</f>
        <v/>
      </c>
      <c r="Q129" s="47"/>
      <c r="R129" s="68" t="str">
        <f>IF(COUNT(R99:R128)&gt;0,SUM(R99:R128)/100,"")</f>
        <v/>
      </c>
      <c r="S129" s="64" t="str">
        <f>IF(COUNT(S99:S128)&gt;0,AVERAGE(S99:S128),"")</f>
        <v/>
      </c>
      <c r="T129" s="65" t="str">
        <f>IF(COUNT(T99:T128)&gt;0,AVERAGE(T99:T128),"")</f>
        <v/>
      </c>
      <c r="U129" s="66" t="str">
        <f>IF(COUNT(U99:U128)&gt;0,AVERAGE(U99:U128),"")</f>
        <v/>
      </c>
    </row>
    <row r="130" spans="1:21" ht="15" customHeight="1" x14ac:dyDescent="0.25">
      <c r="A130" s="1">
        <f t="shared" ca="1" si="3"/>
        <v>4505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4506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4507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4508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4509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ca="1" si="3"/>
        <v>4510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ref="A136:A199" ca="1" si="7">IF(ISTEXT(A135),A134+1,IF(MONTH(A135+1)=MONTH(A135),A135+1,"Totaal"))</f>
        <v>4511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4512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4513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4514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4515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4516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4517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4518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4519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4520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4521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4522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4523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4524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4525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4526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4527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4528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4529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4530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4531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4532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4533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4534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ht="15" customHeight="1" x14ac:dyDescent="0.25">
      <c r="A160" s="1">
        <f t="shared" ca="1" si="7"/>
        <v>4535</v>
      </c>
      <c r="B160" s="29"/>
      <c r="C160" s="29"/>
      <c r="D160" s="29"/>
      <c r="E160" s="29"/>
      <c r="F160" s="29"/>
      <c r="G160" s="39"/>
      <c r="H160" s="40"/>
      <c r="I160" s="52"/>
      <c r="J160" s="53"/>
      <c r="K160" s="17"/>
      <c r="L160" s="39"/>
      <c r="M160" s="43"/>
      <c r="N160" s="45"/>
      <c r="O160" s="55"/>
      <c r="P160" s="56"/>
      <c r="Q160" s="74"/>
      <c r="R160" s="70"/>
      <c r="S160" s="19"/>
      <c r="T160" s="60"/>
      <c r="U160" s="59"/>
    </row>
    <row r="161" spans="1:21" x14ac:dyDescent="0.25">
      <c r="A161" s="1" t="str">
        <f t="shared" ca="1" si="7"/>
        <v>Totaal</v>
      </c>
      <c r="B161" s="61" t="str">
        <f>IF(COUNT(B130:B160)&gt;0,AVERAGE(B130:B160)/10,"")</f>
        <v/>
      </c>
      <c r="C161" s="62" t="str">
        <f>IF(COUNT(C130:C160)&gt;0,AVERAGE(C130:C160)/1000,"")</f>
        <v/>
      </c>
      <c r="D161" s="62" t="str">
        <f t="shared" ref="D161" si="8">IF(COUNT(D130:D160)&gt;0,AVERAGE(D130:D160)/1000,"")</f>
        <v/>
      </c>
      <c r="E161" s="62" t="str">
        <f t="shared" ref="E161" si="9">IF(COUNT(E130:E160)&gt;0,AVERAGE(E130:E160)/1000,"")</f>
        <v/>
      </c>
      <c r="F161" s="62" t="str">
        <f>IF(COUNT(F130:F160)&gt;0,AVERAGE(F130:F160)/100,"")</f>
        <v/>
      </c>
      <c r="G161" s="41" t="str">
        <f>IF(COUNT(G130:G160)&gt;0,AVERAGE(G130:G160)/10,"")</f>
        <v/>
      </c>
      <c r="H161" s="42" t="str">
        <f t="shared" ref="H161" si="10">IF(COUNT(H130:H160)&gt;0,AVERAGE(H130:H160)/10,"")</f>
        <v/>
      </c>
      <c r="I161" s="18" t="str">
        <f>IF(COUNT(I130:I160)&gt;0,AVERAGE(I130:I160)/10,"")</f>
        <v/>
      </c>
      <c r="J161" s="54" t="str">
        <f>IF(COUNT(J130:J160)&gt;0,AVERAGE(J130:J160),"")</f>
        <v/>
      </c>
      <c r="K161" s="51" t="str">
        <f>IF(COUNT(K130:K160)&gt;0,AVERAGE(K130:K160)/1000,"")</f>
        <v/>
      </c>
      <c r="L161" s="41" t="str">
        <f>IF(COUNT(L130:L160)&gt;0,AVERAGE(L130:L160)/10,"")</f>
        <v/>
      </c>
      <c r="M161" s="44" t="str">
        <f>IF(COUNT(M130:M160)&gt;0,AVERAGE(M130:M160)/10,"")</f>
        <v/>
      </c>
      <c r="N161" s="46"/>
      <c r="O161" s="57" t="str">
        <f>IF(COUNT(O130:O160)&gt;0,AVERAGE(O130:O160),"")</f>
        <v/>
      </c>
      <c r="P161" s="58" t="str">
        <f>IF(COUNT(P130:P160)&gt;0,AVERAGE(P130:P160),"")</f>
        <v/>
      </c>
      <c r="Q161" s="47"/>
      <c r="R161" s="68" t="str">
        <f>IF(COUNT(R130:R160)&gt;0,SUM(R130:R160)/100,"")</f>
        <v/>
      </c>
      <c r="S161" s="64" t="str">
        <f>IF(COUNT(S130:S160)&gt;0,AVERAGE(S130:S160),"")</f>
        <v/>
      </c>
      <c r="T161" s="65" t="str">
        <f>IF(COUNT(T130:T160)&gt;0,AVERAGE(T130:T160),"")</f>
        <v/>
      </c>
      <c r="U161" s="66" t="str">
        <f>IF(COUNT(U130:U160)&gt;0,AVERAGE(U130:U160),"")</f>
        <v/>
      </c>
    </row>
    <row r="162" spans="1:21" ht="15" customHeight="1" x14ac:dyDescent="0.25">
      <c r="A162" s="1">
        <f t="shared" ca="1" si="7"/>
        <v>4536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4537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4538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4539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4540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4541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4542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4543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4544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4545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4546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4547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4548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4549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4550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4551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4552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4553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4554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4555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4556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4557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4558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4559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4560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4561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4562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4563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4564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ht="15" customHeight="1" x14ac:dyDescent="0.25">
      <c r="A191" s="1">
        <f t="shared" ca="1" si="7"/>
        <v>4565</v>
      </c>
      <c r="B191" s="29"/>
      <c r="C191" s="29"/>
      <c r="D191" s="29"/>
      <c r="E191" s="29"/>
      <c r="F191" s="29"/>
      <c r="G191" s="39"/>
      <c r="H191" s="40"/>
      <c r="I191" s="52"/>
      <c r="J191" s="53"/>
      <c r="K191" s="17"/>
      <c r="L191" s="39"/>
      <c r="M191" s="43"/>
      <c r="N191" s="45"/>
      <c r="O191" s="55"/>
      <c r="P191" s="56"/>
      <c r="Q191" s="74"/>
      <c r="R191" s="70"/>
      <c r="S191" s="19"/>
      <c r="T191" s="60"/>
      <c r="U191" s="59"/>
    </row>
    <row r="192" spans="1:21" x14ac:dyDescent="0.25">
      <c r="A192" s="1" t="str">
        <f t="shared" ca="1" si="7"/>
        <v>Totaal</v>
      </c>
      <c r="B192" s="61" t="str">
        <f>IF(COUNT(B162:B191)&gt;0,AVERAGE(B162:B191)/10,"")</f>
        <v/>
      </c>
      <c r="C192" s="62" t="str">
        <f>IF(COUNT(C162:C191)&gt;0,AVERAGE(C162:C191)/1000,"")</f>
        <v/>
      </c>
      <c r="D192" s="62" t="str">
        <f>IF(COUNT(D162:D191)&gt;0,AVERAGE(D162:D191)/1000,"")</f>
        <v/>
      </c>
      <c r="E192" s="62" t="str">
        <f>IF(COUNT(E162:E191)&gt;0,AVERAGE(E162:E191)/1000,"")</f>
        <v/>
      </c>
      <c r="F192" s="62" t="str">
        <f>IF(COUNT(F162:F191)&gt;0,AVERAGE(F162:F191)/100,"")</f>
        <v/>
      </c>
      <c r="G192" s="41" t="str">
        <f>IF(COUNT(G162:G191)&gt;0,AVERAGE(G162:G191)/10,"")</f>
        <v/>
      </c>
      <c r="H192" s="42" t="str">
        <f>IF(COUNT(H162:H191)&gt;0,AVERAGE(H162:H191)/10,"")</f>
        <v/>
      </c>
      <c r="I192" s="18" t="str">
        <f>IF(COUNT(I162:I191)&gt;0,AVERAGE(I162:I191)/10,"")</f>
        <v/>
      </c>
      <c r="J192" s="54" t="str">
        <f>IF(COUNT(J162:J191)&gt;0,AVERAGE(J162:J191),"")</f>
        <v/>
      </c>
      <c r="K192" s="51" t="str">
        <f>IF(COUNT(K162:K191)&gt;0,AVERAGE(K162:K191)/1000,"")</f>
        <v/>
      </c>
      <c r="L192" s="41" t="str">
        <f>IF(COUNT(L162:L191)&gt;0,AVERAGE(L162:L191)/10,"")</f>
        <v/>
      </c>
      <c r="M192" s="44" t="str">
        <f>IF(COUNT(M162:M191)&gt;0,AVERAGE(M162:M191)/10,"")</f>
        <v/>
      </c>
      <c r="N192" s="46"/>
      <c r="O192" s="57" t="str">
        <f>IF(COUNT(O162:O191)&gt;0,AVERAGE(O162:O191),"")</f>
        <v/>
      </c>
      <c r="P192" s="58" t="str">
        <f>IF(COUNT(P162:P191)&gt;0,AVERAGE(P162:P191),"")</f>
        <v/>
      </c>
      <c r="Q192" s="47"/>
      <c r="R192" s="68" t="str">
        <f>IF(COUNT(R162:R191)&gt;0,SUM(R162:R191)/100,"")</f>
        <v/>
      </c>
      <c r="S192" s="64" t="str">
        <f>IF(COUNT(S162:S191)&gt;0,AVERAGE(S162:S191),"")</f>
        <v/>
      </c>
      <c r="T192" s="65" t="str">
        <f>IF(COUNT(T162:T191)&gt;0,AVERAGE(T162:T191),"")</f>
        <v/>
      </c>
      <c r="U192" s="66" t="str">
        <f>IF(COUNT(U162:U191)&gt;0,AVERAGE(U162:U191),"")</f>
        <v/>
      </c>
    </row>
    <row r="193" spans="1:21" ht="15" customHeight="1" x14ac:dyDescent="0.25">
      <c r="A193" s="1">
        <f t="shared" ca="1" si="7"/>
        <v>4566</v>
      </c>
      <c r="B193" s="29"/>
      <c r="C193" s="29"/>
      <c r="D193" s="29"/>
      <c r="E193" s="29"/>
      <c r="F193" s="29">
        <v>2993</v>
      </c>
      <c r="G193" s="39"/>
      <c r="H193" s="40"/>
      <c r="I193" s="52"/>
      <c r="J193" s="53"/>
      <c r="K193" s="17"/>
      <c r="L193" s="39">
        <v>863</v>
      </c>
      <c r="M193" s="43">
        <v>720</v>
      </c>
      <c r="N193" s="45" t="s">
        <v>108</v>
      </c>
      <c r="O193" s="55">
        <v>13</v>
      </c>
      <c r="P193" s="56"/>
      <c r="Q193" s="74"/>
      <c r="R193" s="70">
        <v>19</v>
      </c>
      <c r="S193" s="19"/>
      <c r="T193" s="60"/>
      <c r="U193" s="59"/>
    </row>
    <row r="194" spans="1:21" ht="15" customHeight="1" x14ac:dyDescent="0.25">
      <c r="A194" s="1">
        <f t="shared" ca="1" si="7"/>
        <v>4567</v>
      </c>
      <c r="B194" s="29"/>
      <c r="C194" s="29"/>
      <c r="D194" s="29"/>
      <c r="E194" s="29"/>
      <c r="F194" s="29">
        <v>2998</v>
      </c>
      <c r="G194" s="39"/>
      <c r="H194" s="40"/>
      <c r="I194" s="52"/>
      <c r="J194" s="53"/>
      <c r="K194" s="17"/>
      <c r="L194" s="39">
        <v>823</v>
      </c>
      <c r="M194" s="43">
        <v>702</v>
      </c>
      <c r="N194" s="45" t="s">
        <v>108</v>
      </c>
      <c r="O194" s="55">
        <v>13</v>
      </c>
      <c r="P194" s="56"/>
      <c r="Q194" s="74"/>
      <c r="R194" s="70">
        <v>0</v>
      </c>
      <c r="S194" s="19"/>
      <c r="T194" s="60"/>
      <c r="U194" s="59"/>
    </row>
    <row r="195" spans="1:21" ht="15" customHeight="1" x14ac:dyDescent="0.25">
      <c r="A195" s="1">
        <f t="shared" ca="1" si="7"/>
        <v>4568</v>
      </c>
      <c r="B195" s="29"/>
      <c r="C195" s="29"/>
      <c r="D195" s="29"/>
      <c r="E195" s="29"/>
      <c r="F195" s="29">
        <v>2996</v>
      </c>
      <c r="G195" s="39"/>
      <c r="H195" s="40"/>
      <c r="I195" s="52"/>
      <c r="J195" s="53"/>
      <c r="K195" s="17"/>
      <c r="L195" s="39">
        <v>868</v>
      </c>
      <c r="M195" s="43">
        <v>710</v>
      </c>
      <c r="N195" s="45" t="s">
        <v>108</v>
      </c>
      <c r="O195" s="55">
        <v>14</v>
      </c>
      <c r="P195" s="56"/>
      <c r="Q195" s="74"/>
      <c r="R195" s="70">
        <v>0</v>
      </c>
      <c r="S195" s="19"/>
      <c r="T195" s="60"/>
      <c r="U195" s="59"/>
    </row>
    <row r="196" spans="1:21" ht="15" customHeight="1" x14ac:dyDescent="0.25">
      <c r="A196" s="1">
        <f t="shared" ca="1" si="7"/>
        <v>4569</v>
      </c>
      <c r="B196" s="29"/>
      <c r="C196" s="29"/>
      <c r="D196" s="29"/>
      <c r="E196" s="29"/>
      <c r="F196" s="29">
        <v>2989</v>
      </c>
      <c r="G196" s="39"/>
      <c r="H196" s="40"/>
      <c r="I196" s="52"/>
      <c r="J196" s="53"/>
      <c r="K196" s="17"/>
      <c r="L196" s="39">
        <v>868</v>
      </c>
      <c r="M196" s="43">
        <v>714</v>
      </c>
      <c r="N196" s="45" t="s">
        <v>108</v>
      </c>
      <c r="O196" s="55">
        <v>15</v>
      </c>
      <c r="P196" s="56"/>
      <c r="Q196" s="74"/>
      <c r="R196" s="70">
        <v>0</v>
      </c>
      <c r="S196" s="19"/>
      <c r="T196" s="60"/>
      <c r="U196" s="59"/>
    </row>
    <row r="197" spans="1:21" ht="15" customHeight="1" x14ac:dyDescent="0.25">
      <c r="A197" s="1">
        <f t="shared" ca="1" si="7"/>
        <v>4570</v>
      </c>
      <c r="B197" s="29"/>
      <c r="C197" s="29"/>
      <c r="D197" s="29"/>
      <c r="E197" s="29"/>
      <c r="F197" s="29">
        <v>2993</v>
      </c>
      <c r="G197" s="39"/>
      <c r="H197" s="40"/>
      <c r="I197" s="52"/>
      <c r="J197" s="53"/>
      <c r="K197" s="17"/>
      <c r="L197" s="39">
        <v>855</v>
      </c>
      <c r="M197" s="43">
        <v>689</v>
      </c>
      <c r="N197" s="45" t="s">
        <v>108</v>
      </c>
      <c r="O197" s="55">
        <v>16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4571</v>
      </c>
      <c r="B198" s="29"/>
      <c r="C198" s="29"/>
      <c r="D198" s="29"/>
      <c r="E198" s="29"/>
      <c r="F198" s="29">
        <v>2997</v>
      </c>
      <c r="G198" s="39"/>
      <c r="H198" s="40"/>
      <c r="I198" s="52"/>
      <c r="J198" s="53"/>
      <c r="K198" s="17"/>
      <c r="L198" s="39">
        <v>855</v>
      </c>
      <c r="M198" s="43">
        <v>710</v>
      </c>
      <c r="N198" s="45" t="s">
        <v>108</v>
      </c>
      <c r="O198" s="55">
        <v>12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ca="1" si="7"/>
        <v>4572</v>
      </c>
      <c r="B199" s="29"/>
      <c r="C199" s="29"/>
      <c r="D199" s="29"/>
      <c r="E199" s="29"/>
      <c r="F199" s="29">
        <v>2997</v>
      </c>
      <c r="G199" s="39"/>
      <c r="H199" s="40"/>
      <c r="I199" s="52"/>
      <c r="J199" s="53"/>
      <c r="K199" s="17"/>
      <c r="L199" s="39">
        <v>862</v>
      </c>
      <c r="M199" s="43">
        <v>724</v>
      </c>
      <c r="N199" s="45" t="s">
        <v>108</v>
      </c>
      <c r="O199" s="55">
        <v>12</v>
      </c>
      <c r="P199" s="56"/>
      <c r="Q199" s="74"/>
      <c r="R199" s="70">
        <v>4</v>
      </c>
      <c r="S199" s="19"/>
      <c r="T199" s="60"/>
      <c r="U199" s="59"/>
    </row>
    <row r="200" spans="1:21" ht="15" customHeight="1" x14ac:dyDescent="0.25">
      <c r="A200" s="1">
        <f t="shared" ref="A200:A263" ca="1" si="11">IF(ISTEXT(A199),A198+1,IF(MONTH(A199+1)=MONTH(A199),A199+1,"Totaal"))</f>
        <v>4573</v>
      </c>
      <c r="B200" s="29"/>
      <c r="C200" s="29"/>
      <c r="D200" s="29"/>
      <c r="E200" s="29"/>
      <c r="F200" s="29">
        <v>2995</v>
      </c>
      <c r="G200" s="39"/>
      <c r="H200" s="40"/>
      <c r="I200" s="52"/>
      <c r="J200" s="53"/>
      <c r="K200" s="17"/>
      <c r="L200" s="39">
        <v>860</v>
      </c>
      <c r="M200" s="43">
        <v>721</v>
      </c>
      <c r="N200" s="45" t="s">
        <v>108</v>
      </c>
      <c r="O200" s="55">
        <v>14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4574</v>
      </c>
      <c r="B201" s="29"/>
      <c r="C201" s="29"/>
      <c r="D201" s="29"/>
      <c r="E201" s="29"/>
      <c r="F201" s="29">
        <v>2997</v>
      </c>
      <c r="G201" s="39"/>
      <c r="H201" s="40"/>
      <c r="I201" s="52"/>
      <c r="J201" s="53"/>
      <c r="K201" s="17"/>
      <c r="L201" s="39">
        <v>855</v>
      </c>
      <c r="M201" s="43">
        <v>689</v>
      </c>
      <c r="N201" s="45" t="s">
        <v>110</v>
      </c>
      <c r="O201" s="55">
        <v>8</v>
      </c>
      <c r="P201" s="56"/>
      <c r="Q201" s="74"/>
      <c r="R201" s="70">
        <v>40</v>
      </c>
      <c r="S201" s="19"/>
      <c r="T201" s="60"/>
      <c r="U201" s="59"/>
    </row>
    <row r="202" spans="1:21" ht="15" customHeight="1" x14ac:dyDescent="0.25">
      <c r="A202" s="1">
        <f t="shared" ca="1" si="11"/>
        <v>4575</v>
      </c>
      <c r="B202" s="29"/>
      <c r="C202" s="29"/>
      <c r="D202" s="29"/>
      <c r="E202" s="29"/>
      <c r="F202" s="29">
        <v>2999</v>
      </c>
      <c r="G202" s="39"/>
      <c r="H202" s="40"/>
      <c r="I202" s="52"/>
      <c r="J202" s="53"/>
      <c r="K202" s="17"/>
      <c r="L202" s="39">
        <v>851</v>
      </c>
      <c r="M202" s="43">
        <v>694</v>
      </c>
      <c r="N202" s="45" t="s">
        <v>108</v>
      </c>
      <c r="O202" s="55">
        <v>14</v>
      </c>
      <c r="P202" s="56"/>
      <c r="Q202" s="74"/>
      <c r="R202" s="70">
        <v>8</v>
      </c>
      <c r="S202" s="19"/>
      <c r="T202" s="60"/>
      <c r="U202" s="59"/>
    </row>
    <row r="203" spans="1:21" ht="15" customHeight="1" x14ac:dyDescent="0.25">
      <c r="A203" s="1">
        <f t="shared" ca="1" si="11"/>
        <v>4576</v>
      </c>
      <c r="B203" s="29"/>
      <c r="C203" s="29"/>
      <c r="D203" s="29"/>
      <c r="E203" s="29"/>
      <c r="F203" s="29">
        <v>2995</v>
      </c>
      <c r="G203" s="39"/>
      <c r="H203" s="40"/>
      <c r="I203" s="52"/>
      <c r="J203" s="53"/>
      <c r="K203" s="17"/>
      <c r="L203" s="39">
        <v>852</v>
      </c>
      <c r="M203" s="43">
        <v>722</v>
      </c>
      <c r="N203" s="45" t="s">
        <v>110</v>
      </c>
      <c r="O203" s="55">
        <v>14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4577</v>
      </c>
      <c r="B204" s="29"/>
      <c r="C204" s="29"/>
      <c r="D204" s="29"/>
      <c r="E204" s="29"/>
      <c r="F204" s="29">
        <v>2996</v>
      </c>
      <c r="G204" s="39"/>
      <c r="H204" s="40"/>
      <c r="I204" s="52"/>
      <c r="J204" s="53"/>
      <c r="K204" s="17"/>
      <c r="L204" s="39">
        <v>861</v>
      </c>
      <c r="M204" s="43">
        <v>760</v>
      </c>
      <c r="N204" s="45" t="s">
        <v>108</v>
      </c>
      <c r="O204" s="55">
        <v>14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4578</v>
      </c>
      <c r="B205" s="29"/>
      <c r="C205" s="29"/>
      <c r="D205" s="29"/>
      <c r="E205" s="29"/>
      <c r="F205" s="29">
        <v>2995</v>
      </c>
      <c r="G205" s="39"/>
      <c r="H205" s="40"/>
      <c r="I205" s="52"/>
      <c r="J205" s="53"/>
      <c r="K205" s="17"/>
      <c r="L205" s="39">
        <v>860</v>
      </c>
      <c r="M205" s="43">
        <v>718</v>
      </c>
      <c r="N205" s="45" t="s">
        <v>108</v>
      </c>
      <c r="O205" s="55">
        <v>15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4579</v>
      </c>
      <c r="B206" s="29"/>
      <c r="C206" s="29"/>
      <c r="D206" s="29"/>
      <c r="E206" s="29"/>
      <c r="F206" s="29">
        <v>2992</v>
      </c>
      <c r="G206" s="39"/>
      <c r="H206" s="40"/>
      <c r="I206" s="52"/>
      <c r="J206" s="53"/>
      <c r="K206" s="17"/>
      <c r="L206" s="39">
        <v>868</v>
      </c>
      <c r="M206" s="43">
        <v>732</v>
      </c>
      <c r="N206" s="45" t="s">
        <v>108</v>
      </c>
      <c r="O206" s="55">
        <v>14</v>
      </c>
      <c r="P206" s="56"/>
      <c r="Q206" s="74"/>
      <c r="R206" s="70"/>
      <c r="S206" s="19"/>
      <c r="T206" s="60"/>
      <c r="U206" s="59"/>
    </row>
    <row r="207" spans="1:21" ht="15" customHeight="1" x14ac:dyDescent="0.25">
      <c r="A207" s="1">
        <f t="shared" ca="1" si="11"/>
        <v>4580</v>
      </c>
      <c r="B207" s="29"/>
      <c r="C207" s="29"/>
      <c r="D207" s="29"/>
      <c r="E207" s="29"/>
      <c r="F207" s="29">
        <v>2990</v>
      </c>
      <c r="G207" s="39"/>
      <c r="H207" s="40"/>
      <c r="I207" s="52"/>
      <c r="J207" s="53"/>
      <c r="K207" s="17"/>
      <c r="L207" s="39">
        <v>868</v>
      </c>
      <c r="M207" s="43">
        <v>700</v>
      </c>
      <c r="N207" s="45" t="s">
        <v>108</v>
      </c>
      <c r="O207" s="55">
        <v>12</v>
      </c>
      <c r="P207" s="56"/>
      <c r="Q207" s="74"/>
      <c r="R207" s="70">
        <v>9</v>
      </c>
      <c r="S207" s="19"/>
      <c r="T207" s="60"/>
      <c r="U207" s="59"/>
    </row>
    <row r="208" spans="1:21" ht="15" customHeight="1" x14ac:dyDescent="0.25">
      <c r="A208" s="1">
        <f t="shared" ca="1" si="11"/>
        <v>4581</v>
      </c>
      <c r="B208" s="29"/>
      <c r="C208" s="29"/>
      <c r="D208" s="29"/>
      <c r="E208" s="29"/>
      <c r="F208" s="29">
        <v>2990</v>
      </c>
      <c r="G208" s="39"/>
      <c r="H208" s="40"/>
      <c r="I208" s="52"/>
      <c r="J208" s="53"/>
      <c r="K208" s="17"/>
      <c r="L208" s="39">
        <v>860</v>
      </c>
      <c r="M208" s="43">
        <v>751</v>
      </c>
      <c r="N208" s="45" t="s">
        <v>108</v>
      </c>
      <c r="O208" s="55">
        <v>12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4582</v>
      </c>
      <c r="B209" s="29"/>
      <c r="C209" s="29"/>
      <c r="D209" s="29"/>
      <c r="E209" s="29"/>
      <c r="F209" s="29">
        <v>2991</v>
      </c>
      <c r="G209" s="39"/>
      <c r="H209" s="40"/>
      <c r="I209" s="52"/>
      <c r="J209" s="53"/>
      <c r="K209" s="17"/>
      <c r="L209" s="39">
        <v>870</v>
      </c>
      <c r="M209" s="43">
        <v>751</v>
      </c>
      <c r="N209" s="45" t="s">
        <v>110</v>
      </c>
      <c r="O209" s="55">
        <v>12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4583</v>
      </c>
      <c r="B210" s="29"/>
      <c r="C210" s="29"/>
      <c r="D210" s="29"/>
      <c r="E210" s="29"/>
      <c r="F210" s="29">
        <v>2993</v>
      </c>
      <c r="G210" s="39"/>
      <c r="H210" s="40"/>
      <c r="I210" s="52"/>
      <c r="J210" s="53"/>
      <c r="K210" s="17"/>
      <c r="L210" s="39">
        <v>861</v>
      </c>
      <c r="M210" s="43">
        <v>754</v>
      </c>
      <c r="N210" s="45" t="s">
        <v>110</v>
      </c>
      <c r="O210" s="55">
        <v>14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4584</v>
      </c>
      <c r="B211" s="29"/>
      <c r="C211" s="29"/>
      <c r="D211" s="29"/>
      <c r="E211" s="29"/>
      <c r="F211" s="29">
        <v>2996</v>
      </c>
      <c r="G211" s="39"/>
      <c r="H211" s="40"/>
      <c r="I211" s="52"/>
      <c r="J211" s="53"/>
      <c r="K211" s="17"/>
      <c r="L211" s="39">
        <v>868</v>
      </c>
      <c r="M211" s="43">
        <v>750</v>
      </c>
      <c r="N211" s="45" t="s">
        <v>108</v>
      </c>
      <c r="O211" s="55">
        <v>14</v>
      </c>
      <c r="P211" s="56"/>
      <c r="Q211" s="74"/>
      <c r="R211" s="70">
        <v>4</v>
      </c>
      <c r="S211" s="19"/>
      <c r="T211" s="60"/>
      <c r="U211" s="59"/>
    </row>
    <row r="212" spans="1:21" ht="15" customHeight="1" x14ac:dyDescent="0.25">
      <c r="A212" s="1">
        <f t="shared" ca="1" si="11"/>
        <v>4585</v>
      </c>
      <c r="B212" s="29"/>
      <c r="C212" s="29"/>
      <c r="D212" s="29"/>
      <c r="E212" s="29"/>
      <c r="F212" s="29">
        <v>2996</v>
      </c>
      <c r="G212" s="39"/>
      <c r="H212" s="40"/>
      <c r="I212" s="52"/>
      <c r="J212" s="53"/>
      <c r="K212" s="17"/>
      <c r="L212" s="39">
        <v>864</v>
      </c>
      <c r="M212" s="43">
        <v>730</v>
      </c>
      <c r="N212" s="45" t="s">
        <v>108</v>
      </c>
      <c r="O212" s="55">
        <v>12</v>
      </c>
      <c r="P212" s="56"/>
      <c r="Q212" s="74"/>
      <c r="R212" s="70">
        <v>2</v>
      </c>
      <c r="S212" s="19"/>
      <c r="T212" s="60"/>
      <c r="U212" s="59"/>
    </row>
    <row r="213" spans="1:21" ht="15" customHeight="1" x14ac:dyDescent="0.25">
      <c r="A213" s="1">
        <f t="shared" ca="1" si="11"/>
        <v>4586</v>
      </c>
      <c r="B213" s="29"/>
      <c r="C213" s="29"/>
      <c r="D213" s="29"/>
      <c r="E213" s="29"/>
      <c r="F213" s="29">
        <v>2995</v>
      </c>
      <c r="G213" s="39"/>
      <c r="H213" s="40"/>
      <c r="I213" s="52"/>
      <c r="J213" s="53"/>
      <c r="K213" s="17"/>
      <c r="L213" s="39">
        <v>869</v>
      </c>
      <c r="M213" s="43">
        <v>740</v>
      </c>
      <c r="N213" s="45" t="s">
        <v>110</v>
      </c>
      <c r="O213" s="55">
        <v>14</v>
      </c>
      <c r="P213" s="56"/>
      <c r="Q213" s="74"/>
      <c r="R213" s="70">
        <v>0</v>
      </c>
      <c r="S213" s="19"/>
      <c r="T213" s="60"/>
      <c r="U213" s="59"/>
    </row>
    <row r="214" spans="1:21" ht="15" customHeight="1" x14ac:dyDescent="0.25">
      <c r="A214" s="1">
        <f t="shared" ca="1" si="11"/>
        <v>4587</v>
      </c>
      <c r="B214" s="29"/>
      <c r="C214" s="29"/>
      <c r="D214" s="29"/>
      <c r="E214" s="29"/>
      <c r="F214" s="29">
        <v>3000</v>
      </c>
      <c r="G214" s="39"/>
      <c r="H214" s="40"/>
      <c r="I214" s="52"/>
      <c r="J214" s="53"/>
      <c r="K214" s="17"/>
      <c r="L214" s="39">
        <v>865</v>
      </c>
      <c r="M214" s="43">
        <v>744</v>
      </c>
      <c r="N214" s="45" t="s">
        <v>110</v>
      </c>
      <c r="O214" s="55">
        <v>12</v>
      </c>
      <c r="P214" s="56"/>
      <c r="Q214" s="74"/>
      <c r="R214" s="70">
        <v>3</v>
      </c>
      <c r="S214" s="19"/>
      <c r="T214" s="60"/>
      <c r="U214" s="59"/>
    </row>
    <row r="215" spans="1:21" ht="15" customHeight="1" x14ac:dyDescent="0.25">
      <c r="A215" s="1">
        <f t="shared" ca="1" si="11"/>
        <v>4588</v>
      </c>
      <c r="B215" s="29"/>
      <c r="C215" s="29"/>
      <c r="D215" s="29"/>
      <c r="E215" s="29"/>
      <c r="F215" s="29">
        <v>2997</v>
      </c>
      <c r="G215" s="39"/>
      <c r="H215" s="40"/>
      <c r="I215" s="52"/>
      <c r="J215" s="53"/>
      <c r="K215" s="17"/>
      <c r="L215" s="39">
        <v>868</v>
      </c>
      <c r="M215" s="43">
        <v>743</v>
      </c>
      <c r="N215" s="45" t="s">
        <v>108</v>
      </c>
      <c r="O215" s="55">
        <v>16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4589</v>
      </c>
      <c r="B216" s="29"/>
      <c r="C216" s="29"/>
      <c r="D216" s="29"/>
      <c r="E216" s="29"/>
      <c r="F216" s="29">
        <v>2995</v>
      </c>
      <c r="G216" s="39"/>
      <c r="H216" s="40"/>
      <c r="I216" s="52"/>
      <c r="J216" s="53"/>
      <c r="K216" s="17"/>
      <c r="L216" s="39">
        <v>872</v>
      </c>
      <c r="M216" s="43">
        <v>744</v>
      </c>
      <c r="N216" s="45" t="s">
        <v>108</v>
      </c>
      <c r="O216" s="55">
        <v>13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4590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>
        <v>868</v>
      </c>
      <c r="M217" s="43">
        <v>749</v>
      </c>
      <c r="N217" s="45" t="s">
        <v>108</v>
      </c>
      <c r="O217" s="55">
        <v>15</v>
      </c>
      <c r="P217" s="56"/>
      <c r="Q217" s="74"/>
      <c r="R217" s="70">
        <v>3</v>
      </c>
      <c r="S217" s="19"/>
      <c r="T217" s="60"/>
      <c r="U217" s="59"/>
    </row>
    <row r="218" spans="1:21" ht="15" customHeight="1" x14ac:dyDescent="0.25">
      <c r="A218" s="1">
        <f t="shared" ca="1" si="11"/>
        <v>4591</v>
      </c>
      <c r="B218" s="29"/>
      <c r="C218" s="29"/>
      <c r="D218" s="29"/>
      <c r="E218" s="29"/>
      <c r="F218" s="29">
        <v>2992</v>
      </c>
      <c r="G218" s="39"/>
      <c r="H218" s="40"/>
      <c r="I218" s="52"/>
      <c r="J218" s="53"/>
      <c r="K218" s="17"/>
      <c r="L218" s="39">
        <v>870</v>
      </c>
      <c r="M218" s="43">
        <v>754</v>
      </c>
      <c r="N218" s="45" t="s">
        <v>108</v>
      </c>
      <c r="O218" s="55">
        <v>12</v>
      </c>
      <c r="P218" s="56"/>
      <c r="Q218" s="74"/>
      <c r="R218" s="70">
        <v>0</v>
      </c>
      <c r="S218" s="19"/>
      <c r="T218" s="60"/>
      <c r="U218" s="59"/>
    </row>
    <row r="219" spans="1:21" ht="15" customHeight="1" x14ac:dyDescent="0.25">
      <c r="A219" s="1">
        <f t="shared" ca="1" si="11"/>
        <v>4592</v>
      </c>
      <c r="B219" s="29"/>
      <c r="C219" s="29"/>
      <c r="D219" s="29"/>
      <c r="E219" s="29"/>
      <c r="F219" s="29">
        <v>2994</v>
      </c>
      <c r="G219" s="39"/>
      <c r="H219" s="40"/>
      <c r="I219" s="52"/>
      <c r="J219" s="53"/>
      <c r="K219" s="17"/>
      <c r="L219" s="39">
        <v>860</v>
      </c>
      <c r="M219" s="43">
        <v>732</v>
      </c>
      <c r="N219" s="45" t="s">
        <v>108</v>
      </c>
      <c r="O219" s="55">
        <v>12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4593</v>
      </c>
      <c r="B220" s="29"/>
      <c r="C220" s="29"/>
      <c r="D220" s="29"/>
      <c r="E220" s="29"/>
      <c r="F220" s="29">
        <v>2987</v>
      </c>
      <c r="G220" s="39"/>
      <c r="H220" s="40"/>
      <c r="I220" s="52"/>
      <c r="J220" s="53"/>
      <c r="K220" s="17"/>
      <c r="L220" s="39">
        <v>870</v>
      </c>
      <c r="M220" s="43">
        <v>705</v>
      </c>
      <c r="N220" s="45" t="s">
        <v>110</v>
      </c>
      <c r="O220" s="55">
        <v>12</v>
      </c>
      <c r="P220" s="56"/>
      <c r="Q220" s="74"/>
      <c r="R220" s="70">
        <v>7</v>
      </c>
      <c r="S220" s="19"/>
      <c r="T220" s="60"/>
      <c r="U220" s="59"/>
    </row>
    <row r="221" spans="1:21" ht="15" customHeight="1" x14ac:dyDescent="0.25">
      <c r="A221" s="1">
        <f t="shared" ca="1" si="11"/>
        <v>4594</v>
      </c>
      <c r="B221" s="29"/>
      <c r="C221" s="29"/>
      <c r="D221" s="29"/>
      <c r="E221" s="29"/>
      <c r="F221" s="29">
        <v>2995</v>
      </c>
      <c r="G221" s="39"/>
      <c r="H221" s="40"/>
      <c r="I221" s="52"/>
      <c r="J221" s="53"/>
      <c r="K221" s="17"/>
      <c r="L221" s="39">
        <v>850</v>
      </c>
      <c r="M221" s="43">
        <v>712</v>
      </c>
      <c r="N221" s="45" t="s">
        <v>108</v>
      </c>
      <c r="O221" s="55">
        <v>14</v>
      </c>
      <c r="P221" s="56"/>
      <c r="Q221" s="74"/>
      <c r="R221" s="70">
        <v>6</v>
      </c>
      <c r="S221" s="19"/>
      <c r="T221" s="60"/>
      <c r="U221" s="59"/>
    </row>
    <row r="222" spans="1:21" ht="15" customHeight="1" x14ac:dyDescent="0.25">
      <c r="A222" s="1">
        <f t="shared" ca="1" si="11"/>
        <v>4595</v>
      </c>
      <c r="B222" s="29"/>
      <c r="C222" s="29"/>
      <c r="D222" s="29"/>
      <c r="E222" s="29"/>
      <c r="F222" s="29">
        <v>2995</v>
      </c>
      <c r="G222" s="39"/>
      <c r="H222" s="40"/>
      <c r="I222" s="52"/>
      <c r="J222" s="53"/>
      <c r="K222" s="17"/>
      <c r="L222" s="39">
        <v>867</v>
      </c>
      <c r="M222" s="43">
        <v>727</v>
      </c>
      <c r="N222" s="45" t="s">
        <v>110</v>
      </c>
      <c r="O222" s="55">
        <v>14</v>
      </c>
      <c r="P222" s="56"/>
      <c r="Q222" s="74"/>
      <c r="R222" s="70">
        <v>2</v>
      </c>
      <c r="S222" s="19"/>
      <c r="T222" s="60"/>
      <c r="U222" s="59"/>
    </row>
    <row r="223" spans="1:21" ht="15" customHeight="1" x14ac:dyDescent="0.25">
      <c r="A223" s="1">
        <f t="shared" ca="1" si="11"/>
        <v>4596</v>
      </c>
      <c r="B223" s="29"/>
      <c r="C223" s="29"/>
      <c r="D223" s="29"/>
      <c r="E223" s="29"/>
      <c r="F223" s="29">
        <v>2994</v>
      </c>
      <c r="G223" s="39"/>
      <c r="H223" s="40"/>
      <c r="I223" s="52"/>
      <c r="J223" s="53"/>
      <c r="K223" s="17"/>
      <c r="L223" s="39">
        <v>858</v>
      </c>
      <c r="M223" s="43">
        <v>752</v>
      </c>
      <c r="N223" s="45" t="s">
        <v>108</v>
      </c>
      <c r="O223" s="55">
        <v>16</v>
      </c>
      <c r="P223" s="56"/>
      <c r="Q223" s="74"/>
      <c r="R223" s="70">
        <v>0</v>
      </c>
      <c r="S223" s="19"/>
      <c r="T223" s="60"/>
      <c r="U223" s="59"/>
    </row>
    <row r="224" spans="1:21" x14ac:dyDescent="0.25">
      <c r="A224" s="1" t="str">
        <f t="shared" ca="1" si="11"/>
        <v>Totaal</v>
      </c>
      <c r="B224" s="61" t="str">
        <f>IF(COUNT(B193:B223)&gt;0,AVERAGE(B193:B223)/10,"")</f>
        <v/>
      </c>
      <c r="C224" s="62" t="str">
        <f>IF(COUNT(C193:C223)&gt;0,AVERAGE(C193:C223)/1000,"")</f>
        <v/>
      </c>
      <c r="D224" s="62" t="str">
        <f t="shared" ref="D224" si="12">IF(COUNT(D193:D223)&gt;0,AVERAGE(D193:D223)/1000,"")</f>
        <v/>
      </c>
      <c r="E224" s="62" t="str">
        <f t="shared" ref="E224" si="13">IF(COUNT(E193:E223)&gt;0,AVERAGE(E193:E223)/1000,"")</f>
        <v/>
      </c>
      <c r="F224" s="62">
        <f>IF(COUNT(F193:F223)&gt;0,AVERAGE(F193:F223)/100,"")</f>
        <v>29.943870967741937</v>
      </c>
      <c r="G224" s="41" t="str">
        <f>IF(COUNT(G193:G223)&gt;0,AVERAGE(G193:G223)/10,"")</f>
        <v/>
      </c>
      <c r="H224" s="42" t="str">
        <f t="shared" ref="H224" si="14">IF(COUNT(H193:H223)&gt;0,AVERAGE(H193:H223)/10,"")</f>
        <v/>
      </c>
      <c r="I224" s="18" t="str">
        <f>IF(COUNT(I193:I223)&gt;0,AVERAGE(I193:I223)/10,"")</f>
        <v/>
      </c>
      <c r="J224" s="54" t="str">
        <f>IF(COUNT(J193:J223)&gt;0,AVERAGE(J193:J223),"")</f>
        <v/>
      </c>
      <c r="K224" s="51" t="str">
        <f>IF(COUNT(K193:K223)&gt;0,AVERAGE(K193:K223)/1000,"")</f>
        <v/>
      </c>
      <c r="L224" s="41">
        <f>IF(COUNT(L193:L223)&gt;0,AVERAGE(L193:L223)/10,"")</f>
        <v>86.158064516129031</v>
      </c>
      <c r="M224" s="44">
        <f>IF(COUNT(M193:M223)&gt;0,AVERAGE(M193:M223)/10,"")</f>
        <v>72.719354838709677</v>
      </c>
      <c r="N224" s="46"/>
      <c r="O224" s="57">
        <f>IF(COUNT(O193:O223)&gt;0,AVERAGE(O193:O223),"")</f>
        <v>13.35483870967742</v>
      </c>
      <c r="P224" s="58" t="str">
        <f>IF(COUNT(P193:P223)&gt;0,AVERAGE(P193:P223),"")</f>
        <v/>
      </c>
      <c r="Q224" s="47"/>
      <c r="R224" s="68">
        <f>IF(COUNT(R193:R223)&gt;0,SUM(R193:R223)/100,"")</f>
        <v>1.07</v>
      </c>
      <c r="S224" s="64" t="str">
        <f>IF(COUNT(S193:S223)&gt;0,AVERAGE(S193:S223),"")</f>
        <v/>
      </c>
      <c r="T224" s="65" t="str">
        <f>IF(COUNT(T193:T223)&gt;0,AVERAGE(T193:T223),"")</f>
        <v/>
      </c>
      <c r="U224" s="66" t="str">
        <f>IF(COUNT(U193:U223)&gt;0,AVERAGE(U193:U223),"")</f>
        <v/>
      </c>
    </row>
    <row r="225" spans="1:21" ht="15" customHeight="1" x14ac:dyDescent="0.25">
      <c r="A225" s="1">
        <f t="shared" ca="1" si="11"/>
        <v>4597</v>
      </c>
      <c r="B225" s="29"/>
      <c r="C225" s="29"/>
      <c r="D225" s="29"/>
      <c r="E225" s="29"/>
      <c r="F225" s="29">
        <v>2991</v>
      </c>
      <c r="G225" s="39"/>
      <c r="H225" s="40"/>
      <c r="I225" s="52"/>
      <c r="J225" s="53"/>
      <c r="K225" s="17"/>
      <c r="L225" s="39">
        <v>834</v>
      </c>
      <c r="M225" s="43">
        <v>746</v>
      </c>
      <c r="N225" s="45" t="s">
        <v>108</v>
      </c>
      <c r="O225" s="55">
        <v>10</v>
      </c>
      <c r="P225" s="56"/>
      <c r="Q225" s="74"/>
      <c r="R225" s="70">
        <v>8</v>
      </c>
      <c r="S225" s="19"/>
      <c r="T225" s="60"/>
      <c r="U225" s="59"/>
    </row>
    <row r="226" spans="1:21" ht="15" customHeight="1" x14ac:dyDescent="0.25">
      <c r="A226" s="1">
        <f t="shared" ca="1" si="11"/>
        <v>4598</v>
      </c>
      <c r="B226" s="29"/>
      <c r="C226" s="29"/>
      <c r="D226" s="29"/>
      <c r="E226" s="29"/>
      <c r="F226" s="29">
        <v>2995</v>
      </c>
      <c r="G226" s="39"/>
      <c r="H226" s="40"/>
      <c r="I226" s="52"/>
      <c r="J226" s="53"/>
      <c r="K226" s="17"/>
      <c r="L226" s="39">
        <v>859</v>
      </c>
      <c r="M226" s="43">
        <v>751</v>
      </c>
      <c r="N226" s="45" t="s">
        <v>108</v>
      </c>
      <c r="O226" s="55">
        <v>14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4599</v>
      </c>
      <c r="B227" s="29"/>
      <c r="C227" s="29"/>
      <c r="D227" s="29"/>
      <c r="E227" s="29"/>
      <c r="F227" s="29">
        <v>2992</v>
      </c>
      <c r="G227" s="39"/>
      <c r="H227" s="40"/>
      <c r="I227" s="52"/>
      <c r="J227" s="53"/>
      <c r="K227" s="17"/>
      <c r="L227" s="39">
        <v>865</v>
      </c>
      <c r="M227" s="43">
        <v>762</v>
      </c>
      <c r="N227" s="45" t="s">
        <v>108</v>
      </c>
      <c r="O227" s="55">
        <v>14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4600</v>
      </c>
      <c r="B228" s="29"/>
      <c r="C228" s="29"/>
      <c r="D228" s="29"/>
      <c r="E228" s="29"/>
      <c r="F228" s="29">
        <v>2991</v>
      </c>
      <c r="G228" s="39"/>
      <c r="H228" s="40"/>
      <c r="I228" s="52"/>
      <c r="J228" s="53"/>
      <c r="K228" s="17"/>
      <c r="L228" s="39">
        <v>862</v>
      </c>
      <c r="M228" s="43">
        <v>725</v>
      </c>
      <c r="N228" s="45" t="s">
        <v>108</v>
      </c>
      <c r="O228" s="55">
        <v>15</v>
      </c>
      <c r="P228" s="56"/>
      <c r="Q228" s="74"/>
      <c r="R228" s="70">
        <v>4</v>
      </c>
      <c r="S228" s="19"/>
      <c r="T228" s="60"/>
      <c r="U228" s="59"/>
    </row>
    <row r="229" spans="1:21" ht="15" customHeight="1" x14ac:dyDescent="0.25">
      <c r="A229" s="1">
        <f t="shared" ca="1" si="11"/>
        <v>4601</v>
      </c>
      <c r="B229" s="29"/>
      <c r="C229" s="29"/>
      <c r="D229" s="29"/>
      <c r="E229" s="29"/>
      <c r="F229" s="29">
        <v>2993</v>
      </c>
      <c r="G229" s="39"/>
      <c r="H229" s="40"/>
      <c r="I229" s="52"/>
      <c r="J229" s="53"/>
      <c r="K229" s="17"/>
      <c r="L229" s="39">
        <v>849</v>
      </c>
      <c r="M229" s="43">
        <v>701</v>
      </c>
      <c r="N229" s="45" t="s">
        <v>108</v>
      </c>
      <c r="O229" s="55">
        <v>14</v>
      </c>
      <c r="P229" s="56"/>
      <c r="Q229" s="74"/>
      <c r="R229" s="70">
        <v>40</v>
      </c>
      <c r="S229" s="19"/>
      <c r="T229" s="60"/>
      <c r="U229" s="59"/>
    </row>
    <row r="230" spans="1:21" ht="15" customHeight="1" x14ac:dyDescent="0.25">
      <c r="A230" s="1">
        <f t="shared" ca="1" si="11"/>
        <v>4602</v>
      </c>
      <c r="B230" s="29"/>
      <c r="C230" s="29"/>
      <c r="D230" s="29"/>
      <c r="E230" s="29"/>
      <c r="F230" s="29">
        <v>2998</v>
      </c>
      <c r="G230" s="39"/>
      <c r="H230" s="40"/>
      <c r="I230" s="52"/>
      <c r="J230" s="53"/>
      <c r="K230" s="17"/>
      <c r="L230" s="39">
        <v>860</v>
      </c>
      <c r="M230" s="43">
        <v>715</v>
      </c>
      <c r="N230" s="45" t="s">
        <v>108</v>
      </c>
      <c r="O230" s="55">
        <v>14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4603</v>
      </c>
      <c r="B231" s="29"/>
      <c r="C231" s="29"/>
      <c r="D231" s="29"/>
      <c r="E231" s="29"/>
      <c r="F231" s="29">
        <v>2997</v>
      </c>
      <c r="G231" s="39"/>
      <c r="H231" s="40"/>
      <c r="I231" s="52"/>
      <c r="J231" s="53"/>
      <c r="K231" s="17"/>
      <c r="L231" s="39">
        <v>872</v>
      </c>
      <c r="M231" s="43">
        <v>724</v>
      </c>
      <c r="N231" s="45" t="s">
        <v>108</v>
      </c>
      <c r="O231" s="55">
        <v>14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4604</v>
      </c>
      <c r="B232" s="29"/>
      <c r="C232" s="29"/>
      <c r="D232" s="29"/>
      <c r="E232" s="29"/>
      <c r="F232" s="29">
        <v>2998</v>
      </c>
      <c r="G232" s="39"/>
      <c r="H232" s="40"/>
      <c r="I232" s="52"/>
      <c r="J232" s="53"/>
      <c r="K232" s="17"/>
      <c r="L232" s="39">
        <v>870</v>
      </c>
      <c r="M232" s="43">
        <v>755</v>
      </c>
      <c r="N232" s="45" t="s">
        <v>108</v>
      </c>
      <c r="O232" s="55">
        <v>15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4605</v>
      </c>
      <c r="B233" s="29"/>
      <c r="C233" s="29"/>
      <c r="D233" s="29"/>
      <c r="E233" s="29"/>
      <c r="F233" s="29">
        <v>2995</v>
      </c>
      <c r="G233" s="39"/>
      <c r="H233" s="40"/>
      <c r="I233" s="52"/>
      <c r="J233" s="53"/>
      <c r="K233" s="17"/>
      <c r="L233" s="39">
        <v>875</v>
      </c>
      <c r="M233" s="43">
        <v>756</v>
      </c>
      <c r="N233" s="45" t="s">
        <v>110</v>
      </c>
      <c r="O233" s="55">
        <v>12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4606</v>
      </c>
      <c r="B234" s="29"/>
      <c r="C234" s="29"/>
      <c r="D234" s="29"/>
      <c r="E234" s="29"/>
      <c r="F234" s="29">
        <v>2992</v>
      </c>
      <c r="G234" s="39"/>
      <c r="H234" s="40"/>
      <c r="I234" s="52"/>
      <c r="J234" s="53"/>
      <c r="K234" s="17"/>
      <c r="L234" s="39">
        <v>859</v>
      </c>
      <c r="M234" s="43">
        <v>760</v>
      </c>
      <c r="N234" s="45" t="s">
        <v>110</v>
      </c>
      <c r="O234" s="55">
        <v>14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4607</v>
      </c>
      <c r="B235" s="29"/>
      <c r="C235" s="29"/>
      <c r="D235" s="29"/>
      <c r="E235" s="29"/>
      <c r="F235" s="29">
        <v>2990</v>
      </c>
      <c r="G235" s="39"/>
      <c r="H235" s="40"/>
      <c r="I235" s="52"/>
      <c r="J235" s="53"/>
      <c r="K235" s="17"/>
      <c r="L235" s="39">
        <v>878</v>
      </c>
      <c r="M235" s="43">
        <v>723</v>
      </c>
      <c r="N235" s="45" t="s">
        <v>110</v>
      </c>
      <c r="O235" s="55">
        <v>15</v>
      </c>
      <c r="P235" s="56"/>
      <c r="Q235" s="74"/>
      <c r="R235" s="70">
        <v>6</v>
      </c>
      <c r="S235" s="19"/>
      <c r="T235" s="60"/>
      <c r="U235" s="59"/>
    </row>
    <row r="236" spans="1:21" ht="15" customHeight="1" x14ac:dyDescent="0.25">
      <c r="A236" s="1">
        <f t="shared" ca="1" si="11"/>
        <v>4608</v>
      </c>
      <c r="B236" s="29"/>
      <c r="C236" s="29"/>
      <c r="D236" s="29"/>
      <c r="E236" s="29"/>
      <c r="F236" s="29">
        <v>2996</v>
      </c>
      <c r="G236" s="39"/>
      <c r="H236" s="40"/>
      <c r="I236" s="52"/>
      <c r="J236" s="53"/>
      <c r="K236" s="17"/>
      <c r="L236" s="39">
        <v>865</v>
      </c>
      <c r="M236" s="43">
        <v>761</v>
      </c>
      <c r="N236" s="45" t="s">
        <v>108</v>
      </c>
      <c r="O236" s="55">
        <v>14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4609</v>
      </c>
      <c r="B237" s="29"/>
      <c r="C237" s="29"/>
      <c r="D237" s="29"/>
      <c r="E237" s="29"/>
      <c r="F237" s="29">
        <v>2996</v>
      </c>
      <c r="G237" s="39"/>
      <c r="H237" s="40"/>
      <c r="I237" s="52"/>
      <c r="J237" s="53"/>
      <c r="K237" s="17"/>
      <c r="L237" s="39">
        <v>870</v>
      </c>
      <c r="M237" s="43">
        <v>712</v>
      </c>
      <c r="N237" s="45" t="s">
        <v>108</v>
      </c>
      <c r="O237" s="55">
        <v>15</v>
      </c>
      <c r="P237" s="56"/>
      <c r="Q237" s="74"/>
      <c r="R237" s="70">
        <v>5</v>
      </c>
      <c r="S237" s="19"/>
      <c r="T237" s="60"/>
      <c r="U237" s="59"/>
    </row>
    <row r="238" spans="1:21" ht="15" customHeight="1" x14ac:dyDescent="0.25">
      <c r="A238" s="1">
        <f t="shared" ca="1" si="11"/>
        <v>4610</v>
      </c>
      <c r="B238" s="29"/>
      <c r="C238" s="29"/>
      <c r="D238" s="29"/>
      <c r="E238" s="29"/>
      <c r="F238" s="29">
        <v>2996</v>
      </c>
      <c r="G238" s="39"/>
      <c r="H238" s="40"/>
      <c r="I238" s="52"/>
      <c r="J238" s="53"/>
      <c r="K238" s="17"/>
      <c r="L238" s="39">
        <v>861</v>
      </c>
      <c r="M238" s="43">
        <v>713</v>
      </c>
      <c r="N238" s="45" t="s">
        <v>106</v>
      </c>
      <c r="O238" s="55">
        <v>7</v>
      </c>
      <c r="P238" s="56"/>
      <c r="Q238" s="74"/>
      <c r="R238" s="70">
        <v>24</v>
      </c>
      <c r="S238" s="19"/>
      <c r="T238" s="60"/>
      <c r="U238" s="59"/>
    </row>
    <row r="239" spans="1:21" ht="15" customHeight="1" x14ac:dyDescent="0.25">
      <c r="A239" s="1">
        <f t="shared" ca="1" si="11"/>
        <v>4611</v>
      </c>
      <c r="B239" s="29"/>
      <c r="C239" s="29"/>
      <c r="D239" s="29"/>
      <c r="E239" s="29"/>
      <c r="F239" s="29">
        <v>2990</v>
      </c>
      <c r="G239" s="39"/>
      <c r="H239" s="40"/>
      <c r="I239" s="52"/>
      <c r="J239" s="53"/>
      <c r="K239" s="17"/>
      <c r="L239" s="39">
        <v>852</v>
      </c>
      <c r="M239" s="43">
        <v>721</v>
      </c>
      <c r="N239" s="45" t="s">
        <v>108</v>
      </c>
      <c r="O239" s="55">
        <v>15</v>
      </c>
      <c r="P239" s="56"/>
      <c r="Q239" s="74"/>
      <c r="R239" s="70">
        <v>30</v>
      </c>
      <c r="S239" s="19"/>
      <c r="T239" s="60"/>
      <c r="U239" s="59"/>
    </row>
    <row r="240" spans="1:21" ht="15" customHeight="1" x14ac:dyDescent="0.25">
      <c r="A240" s="1">
        <f t="shared" ca="1" si="11"/>
        <v>4612</v>
      </c>
      <c r="B240" s="29"/>
      <c r="C240" s="29"/>
      <c r="D240" s="29"/>
      <c r="E240" s="29"/>
      <c r="F240" s="29">
        <v>2993</v>
      </c>
      <c r="G240" s="39"/>
      <c r="H240" s="40"/>
      <c r="I240" s="52"/>
      <c r="J240" s="53"/>
      <c r="K240" s="17"/>
      <c r="L240" s="39">
        <v>858</v>
      </c>
      <c r="M240" s="43">
        <v>741</v>
      </c>
      <c r="N240" s="45" t="s">
        <v>110</v>
      </c>
      <c r="O240" s="55">
        <v>14</v>
      </c>
      <c r="P240" s="56"/>
      <c r="Q240" s="74"/>
      <c r="R240" s="70">
        <v>0</v>
      </c>
      <c r="S240" s="19"/>
      <c r="T240" s="60"/>
      <c r="U240" s="59"/>
    </row>
    <row r="241" spans="1:21" ht="15" customHeight="1" x14ac:dyDescent="0.25">
      <c r="A241" s="1">
        <f t="shared" ca="1" si="11"/>
        <v>4613</v>
      </c>
      <c r="B241" s="29"/>
      <c r="C241" s="29"/>
      <c r="D241" s="29"/>
      <c r="E241" s="29"/>
      <c r="F241" s="29">
        <v>2996</v>
      </c>
      <c r="G241" s="39"/>
      <c r="H241" s="40"/>
      <c r="I241" s="52"/>
      <c r="J241" s="53"/>
      <c r="K241" s="17"/>
      <c r="L241" s="39">
        <v>849</v>
      </c>
      <c r="M241" s="43">
        <v>730</v>
      </c>
      <c r="N241" s="45" t="s">
        <v>110</v>
      </c>
      <c r="O241" s="55">
        <v>12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4614</v>
      </c>
      <c r="B242" s="29"/>
      <c r="C242" s="29"/>
      <c r="D242" s="29"/>
      <c r="E242" s="29"/>
      <c r="F242" s="29">
        <v>2996</v>
      </c>
      <c r="G242" s="39"/>
      <c r="H242" s="40"/>
      <c r="I242" s="52"/>
      <c r="J242" s="53"/>
      <c r="K242" s="17"/>
      <c r="L242" s="39">
        <v>870</v>
      </c>
      <c r="M242" s="43">
        <v>741</v>
      </c>
      <c r="N242" s="45" t="s">
        <v>108</v>
      </c>
      <c r="O242" s="55">
        <v>14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4615</v>
      </c>
      <c r="B243" s="29"/>
      <c r="C243" s="29"/>
      <c r="D243" s="29"/>
      <c r="E243" s="29"/>
      <c r="F243" s="29">
        <v>2995</v>
      </c>
      <c r="G243" s="39"/>
      <c r="H243" s="40"/>
      <c r="I243" s="52"/>
      <c r="J243" s="53"/>
      <c r="K243" s="17"/>
      <c r="L243" s="39">
        <v>869</v>
      </c>
      <c r="M243" s="43">
        <v>732</v>
      </c>
      <c r="N243" s="45" t="s">
        <v>108</v>
      </c>
      <c r="O243" s="55">
        <v>15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4616</v>
      </c>
      <c r="B244" s="29"/>
      <c r="C244" s="29"/>
      <c r="D244" s="29"/>
      <c r="E244" s="29"/>
      <c r="F244" s="29">
        <v>2996</v>
      </c>
      <c r="G244" s="39"/>
      <c r="H244" s="40"/>
      <c r="I244" s="52"/>
      <c r="J244" s="53"/>
      <c r="K244" s="17"/>
      <c r="L244" s="39">
        <v>865</v>
      </c>
      <c r="M244" s="43">
        <v>710</v>
      </c>
      <c r="N244" s="45" t="s">
        <v>108</v>
      </c>
      <c r="O244" s="55">
        <v>15</v>
      </c>
      <c r="P244" s="56"/>
      <c r="Q244" s="74"/>
      <c r="R244" s="70">
        <v>0</v>
      </c>
      <c r="S244" s="19"/>
      <c r="T244" s="60"/>
      <c r="U244" s="59"/>
    </row>
    <row r="245" spans="1:21" ht="15" customHeight="1" x14ac:dyDescent="0.25">
      <c r="A245" s="1">
        <f t="shared" ca="1" si="11"/>
        <v>4617</v>
      </c>
      <c r="B245" s="29"/>
      <c r="C245" s="29"/>
      <c r="D245" s="29"/>
      <c r="E245" s="29"/>
      <c r="F245" s="29">
        <v>2993</v>
      </c>
      <c r="G245" s="39"/>
      <c r="H245" s="40"/>
      <c r="I245" s="52"/>
      <c r="J245" s="53"/>
      <c r="K245" s="17"/>
      <c r="L245" s="39">
        <v>863</v>
      </c>
      <c r="M245" s="43">
        <v>741</v>
      </c>
      <c r="N245" s="45" t="s">
        <v>108</v>
      </c>
      <c r="O245" s="55">
        <v>15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4618</v>
      </c>
      <c r="B246" s="29"/>
      <c r="C246" s="29"/>
      <c r="D246" s="29"/>
      <c r="E246" s="29"/>
      <c r="F246" s="29">
        <v>2993</v>
      </c>
      <c r="G246" s="39"/>
      <c r="H246" s="40"/>
      <c r="I246" s="52"/>
      <c r="J246" s="53"/>
      <c r="K246" s="17"/>
      <c r="L246" s="39">
        <v>868</v>
      </c>
      <c r="M246" s="43">
        <v>714</v>
      </c>
      <c r="N246" s="45" t="s">
        <v>108</v>
      </c>
      <c r="O246" s="55">
        <v>14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4619</v>
      </c>
      <c r="B247" s="29"/>
      <c r="C247" s="29"/>
      <c r="D247" s="29"/>
      <c r="E247" s="29"/>
      <c r="F247" s="29">
        <v>2999</v>
      </c>
      <c r="G247" s="39"/>
      <c r="H247" s="40"/>
      <c r="I247" s="52"/>
      <c r="J247" s="53"/>
      <c r="K247" s="17"/>
      <c r="L247" s="39">
        <v>869</v>
      </c>
      <c r="M247" s="43">
        <v>740</v>
      </c>
      <c r="N247" s="45" t="s">
        <v>108</v>
      </c>
      <c r="O247" s="55">
        <v>16</v>
      </c>
      <c r="P247" s="56"/>
      <c r="Q247" s="74"/>
      <c r="R247" s="70">
        <v>1</v>
      </c>
      <c r="S247" s="19"/>
      <c r="T247" s="60"/>
      <c r="U247" s="59"/>
    </row>
    <row r="248" spans="1:21" ht="15" customHeight="1" x14ac:dyDescent="0.25">
      <c r="A248" s="1">
        <f t="shared" ca="1" si="11"/>
        <v>4620</v>
      </c>
      <c r="B248" s="29"/>
      <c r="C248" s="29"/>
      <c r="D248" s="29"/>
      <c r="E248" s="29"/>
      <c r="F248" s="29">
        <v>3000</v>
      </c>
      <c r="G248" s="39"/>
      <c r="H248" s="40"/>
      <c r="I248" s="52"/>
      <c r="J248" s="53"/>
      <c r="K248" s="17"/>
      <c r="L248" s="39">
        <v>868</v>
      </c>
      <c r="M248" s="43">
        <v>740</v>
      </c>
      <c r="N248" s="45" t="s">
        <v>108</v>
      </c>
      <c r="O248" s="55">
        <v>16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4621</v>
      </c>
      <c r="B249" s="29"/>
      <c r="C249" s="29"/>
      <c r="D249" s="29"/>
      <c r="E249" s="29"/>
      <c r="F249" s="29">
        <v>2996</v>
      </c>
      <c r="G249" s="39"/>
      <c r="H249" s="40"/>
      <c r="I249" s="52"/>
      <c r="J249" s="53"/>
      <c r="K249" s="17"/>
      <c r="L249" s="39">
        <v>874</v>
      </c>
      <c r="M249" s="43">
        <v>701</v>
      </c>
      <c r="N249" s="45" t="s">
        <v>108</v>
      </c>
      <c r="O249" s="55">
        <v>14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4622</v>
      </c>
      <c r="B250" s="29"/>
      <c r="C250" s="29"/>
      <c r="D250" s="29"/>
      <c r="E250" s="29"/>
      <c r="F250" s="29">
        <v>2992</v>
      </c>
      <c r="G250" s="39"/>
      <c r="H250" s="40"/>
      <c r="I250" s="52"/>
      <c r="J250" s="53"/>
      <c r="K250" s="17"/>
      <c r="L250" s="39">
        <v>870</v>
      </c>
      <c r="M250" s="43">
        <v>755</v>
      </c>
      <c r="N250" s="45" t="s">
        <v>110</v>
      </c>
      <c r="O250" s="55">
        <v>15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4623</v>
      </c>
      <c r="B251" s="29"/>
      <c r="C251" s="29"/>
      <c r="D251" s="29"/>
      <c r="E251" s="29"/>
      <c r="F251" s="29">
        <v>2997</v>
      </c>
      <c r="G251" s="39"/>
      <c r="H251" s="40"/>
      <c r="I251" s="52"/>
      <c r="J251" s="53"/>
      <c r="K251" s="17"/>
      <c r="L251" s="39">
        <v>861</v>
      </c>
      <c r="M251" s="43">
        <v>730</v>
      </c>
      <c r="N251" s="45" t="s">
        <v>108</v>
      </c>
      <c r="O251" s="55">
        <v>14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4624</v>
      </c>
      <c r="B252" s="29"/>
      <c r="C252" s="29"/>
      <c r="D252" s="29"/>
      <c r="E252" s="29"/>
      <c r="F252" s="29">
        <v>2992</v>
      </c>
      <c r="G252" s="39"/>
      <c r="H252" s="40"/>
      <c r="I252" s="52"/>
      <c r="J252" s="53"/>
      <c r="K252" s="17"/>
      <c r="L252" s="39">
        <v>872</v>
      </c>
      <c r="M252" s="43">
        <v>743</v>
      </c>
      <c r="N252" s="45" t="s">
        <v>108</v>
      </c>
      <c r="O252" s="55">
        <v>10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4625</v>
      </c>
      <c r="B253" s="29"/>
      <c r="C253" s="29"/>
      <c r="D253" s="29"/>
      <c r="E253" s="29"/>
      <c r="F253" s="29">
        <v>2990</v>
      </c>
      <c r="G253" s="39"/>
      <c r="H253" s="40"/>
      <c r="I253" s="52"/>
      <c r="J253" s="53"/>
      <c r="K253" s="17"/>
      <c r="L253" s="39">
        <v>871</v>
      </c>
      <c r="M253" s="43">
        <v>746</v>
      </c>
      <c r="N253" s="45" t="s">
        <v>110</v>
      </c>
      <c r="O253" s="55">
        <v>10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4626</v>
      </c>
      <c r="B254" s="29"/>
      <c r="C254" s="29"/>
      <c r="D254" s="29"/>
      <c r="E254" s="29"/>
      <c r="F254" s="29">
        <v>2991</v>
      </c>
      <c r="G254" s="39"/>
      <c r="H254" s="40"/>
      <c r="I254" s="52"/>
      <c r="J254" s="53"/>
      <c r="K254" s="17"/>
      <c r="L254" s="39">
        <v>870</v>
      </c>
      <c r="M254" s="43">
        <v>750</v>
      </c>
      <c r="N254" s="45" t="s">
        <v>110</v>
      </c>
      <c r="O254" s="55">
        <v>10</v>
      </c>
      <c r="P254" s="56"/>
      <c r="Q254" s="74"/>
      <c r="R254" s="70">
        <v>0</v>
      </c>
      <c r="S254" s="19"/>
      <c r="T254" s="60"/>
      <c r="U254" s="59"/>
    </row>
    <row r="255" spans="1:21" ht="15" customHeight="1" x14ac:dyDescent="0.25">
      <c r="A255" s="1">
        <f t="shared" ca="1" si="11"/>
        <v>4627</v>
      </c>
      <c r="B255" s="29"/>
      <c r="C255" s="29"/>
      <c r="D255" s="29"/>
      <c r="E255" s="29"/>
      <c r="F255" s="29">
        <v>2995</v>
      </c>
      <c r="G255" s="39"/>
      <c r="H255" s="40"/>
      <c r="I255" s="52"/>
      <c r="J255" s="53"/>
      <c r="K255" s="17"/>
      <c r="L255" s="39">
        <v>875</v>
      </c>
      <c r="M255" s="43">
        <v>719</v>
      </c>
      <c r="N255" s="45" t="s">
        <v>108</v>
      </c>
      <c r="O255" s="55">
        <v>15</v>
      </c>
      <c r="P255" s="56"/>
      <c r="Q255" s="74"/>
      <c r="R255" s="70">
        <v>0</v>
      </c>
      <c r="S255" s="19"/>
      <c r="T255" s="60"/>
      <c r="U255" s="59"/>
    </row>
    <row r="256" spans="1:21" x14ac:dyDescent="0.25">
      <c r="A256" s="1" t="str">
        <f t="shared" ca="1" si="11"/>
        <v>Totaal</v>
      </c>
      <c r="B256" s="61" t="str">
        <f>IF(COUNT(B225:B255)&gt;0,AVERAGE(B225:B255)/10,"")</f>
        <v/>
      </c>
      <c r="C256" s="62" t="str">
        <f>IF(COUNT(C225:C255)&gt;0,AVERAGE(C225:C255)/1000,"")</f>
        <v/>
      </c>
      <c r="D256" s="62" t="str">
        <f t="shared" ref="D256" si="15">IF(COUNT(D225:D255)&gt;0,AVERAGE(D225:D255)/1000,"")</f>
        <v/>
      </c>
      <c r="E256" s="62" t="str">
        <f t="shared" ref="E256" si="16">IF(COUNT(E225:E255)&gt;0,AVERAGE(E225:E255)/1000,"")</f>
        <v/>
      </c>
      <c r="F256" s="62">
        <f>IF(COUNT(F225:F255)&gt;0,AVERAGE(F225:F255)/100,"")</f>
        <v>29.943225806451615</v>
      </c>
      <c r="G256" s="41" t="str">
        <f>IF(COUNT(G225:G255)&gt;0,AVERAGE(G225:G255)/10,"")</f>
        <v/>
      </c>
      <c r="H256" s="42" t="str">
        <f t="shared" ref="H256" si="17">IF(COUNT(H225:H255)&gt;0,AVERAGE(H225:H255)/10,"")</f>
        <v/>
      </c>
      <c r="I256" s="18" t="str">
        <f>IF(COUNT(I225:I255)&gt;0,AVERAGE(I225:I255)/10,"")</f>
        <v/>
      </c>
      <c r="J256" s="54" t="str">
        <f>IF(COUNT(J225:J255)&gt;0,AVERAGE(J225:J255),"")</f>
        <v/>
      </c>
      <c r="K256" s="51" t="str">
        <f>IF(COUNT(K225:K255)&gt;0,AVERAGE(K225:K255)/1000,"")</f>
        <v/>
      </c>
      <c r="L256" s="41">
        <f>IF(COUNT(L225:L255)&gt;0,AVERAGE(L225:L255)/10,"")</f>
        <v>86.461290322580652</v>
      </c>
      <c r="M256" s="44">
        <f>IF(COUNT(M225:M255)&gt;0,AVERAGE(M225:M255)/10,"")</f>
        <v>73.412903225806446</v>
      </c>
      <c r="N256" s="46"/>
      <c r="O256" s="57">
        <f>IF(COUNT(O225:O255)&gt;0,AVERAGE(O225:O255),"")</f>
        <v>13.580645161290322</v>
      </c>
      <c r="P256" s="58" t="str">
        <f>IF(COUNT(P225:P255)&gt;0,AVERAGE(P225:P255),"")</f>
        <v/>
      </c>
      <c r="Q256" s="47"/>
      <c r="R256" s="68">
        <f>IF(COUNT(R225:R255)&gt;0,SUM(R225:R255)/100,"")</f>
        <v>1.18</v>
      </c>
      <c r="S256" s="64" t="str">
        <f>IF(COUNT(S225:S255)&gt;0,AVERAGE(S225:S255),"")</f>
        <v/>
      </c>
      <c r="T256" s="65" t="str">
        <f>IF(COUNT(T225:T255)&gt;0,AVERAGE(T225:T255),"")</f>
        <v/>
      </c>
      <c r="U256" s="66" t="str">
        <f>IF(COUNT(U225:U255)&gt;0,AVERAGE(U225:U255),"")</f>
        <v/>
      </c>
    </row>
    <row r="257" spans="1:21" ht="15" customHeight="1" x14ac:dyDescent="0.25">
      <c r="A257" s="1">
        <f t="shared" ca="1" si="11"/>
        <v>4628</v>
      </c>
      <c r="B257" s="29"/>
      <c r="C257" s="29"/>
      <c r="D257" s="29"/>
      <c r="E257" s="29"/>
      <c r="F257" s="29">
        <v>2993</v>
      </c>
      <c r="G257" s="39"/>
      <c r="H257" s="40"/>
      <c r="I257" s="52"/>
      <c r="J257" s="53"/>
      <c r="K257" s="17"/>
      <c r="L257" s="39">
        <v>874</v>
      </c>
      <c r="M257" s="43">
        <v>748</v>
      </c>
      <c r="N257" s="45" t="s">
        <v>108</v>
      </c>
      <c r="O257" s="55">
        <v>14</v>
      </c>
      <c r="P257" s="56"/>
      <c r="Q257" s="74"/>
      <c r="R257" s="70">
        <v>4</v>
      </c>
      <c r="S257" s="19"/>
      <c r="T257" s="60"/>
      <c r="U257" s="59"/>
    </row>
    <row r="258" spans="1:21" ht="15" customHeight="1" x14ac:dyDescent="0.25">
      <c r="A258" s="1">
        <f t="shared" ca="1" si="11"/>
        <v>4629</v>
      </c>
      <c r="B258" s="29"/>
      <c r="C258" s="29"/>
      <c r="D258" s="29"/>
      <c r="E258" s="29"/>
      <c r="F258" s="29">
        <v>2991</v>
      </c>
      <c r="G258" s="39"/>
      <c r="H258" s="40"/>
      <c r="I258" s="52"/>
      <c r="J258" s="53"/>
      <c r="K258" s="17"/>
      <c r="L258" s="39">
        <v>871</v>
      </c>
      <c r="M258" s="43">
        <v>754</v>
      </c>
      <c r="N258" s="45" t="s">
        <v>110</v>
      </c>
      <c r="O258" s="55">
        <v>12</v>
      </c>
      <c r="P258" s="56"/>
      <c r="Q258" s="74"/>
      <c r="R258" s="70">
        <v>0</v>
      </c>
      <c r="S258" s="19"/>
      <c r="T258" s="60"/>
      <c r="U258" s="59"/>
    </row>
    <row r="259" spans="1:21" ht="15" customHeight="1" x14ac:dyDescent="0.25">
      <c r="A259" s="1">
        <f t="shared" ca="1" si="11"/>
        <v>4630</v>
      </c>
      <c r="B259" s="29"/>
      <c r="C259" s="29"/>
      <c r="D259" s="29"/>
      <c r="E259" s="29"/>
      <c r="F259" s="29">
        <v>2985</v>
      </c>
      <c r="G259" s="39"/>
      <c r="H259" s="40"/>
      <c r="I259" s="52"/>
      <c r="J259" s="53"/>
      <c r="K259" s="17"/>
      <c r="L259" s="39">
        <v>880</v>
      </c>
      <c r="M259" s="43">
        <v>761</v>
      </c>
      <c r="N259" s="45" t="s">
        <v>108</v>
      </c>
      <c r="O259" s="55">
        <v>14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4631</v>
      </c>
      <c r="B260" s="29"/>
      <c r="C260" s="29"/>
      <c r="D260" s="29"/>
      <c r="E260" s="29"/>
      <c r="F260" s="29">
        <v>2987</v>
      </c>
      <c r="G260" s="39"/>
      <c r="H260" s="40"/>
      <c r="I260" s="52"/>
      <c r="J260" s="53"/>
      <c r="K260" s="17"/>
      <c r="L260" s="39">
        <v>859</v>
      </c>
      <c r="M260" s="43">
        <v>758</v>
      </c>
      <c r="N260" s="45" t="s">
        <v>110</v>
      </c>
      <c r="O260" s="55">
        <v>14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4632</v>
      </c>
      <c r="B261" s="29"/>
      <c r="C261" s="29"/>
      <c r="D261" s="29"/>
      <c r="E261" s="29"/>
      <c r="F261" s="29">
        <v>2994</v>
      </c>
      <c r="G261" s="39"/>
      <c r="H261" s="40"/>
      <c r="I261" s="52"/>
      <c r="J261" s="53"/>
      <c r="K261" s="17"/>
      <c r="L261" s="39">
        <v>891</v>
      </c>
      <c r="M261" s="43">
        <v>748</v>
      </c>
      <c r="N261" s="45" t="s">
        <v>108</v>
      </c>
      <c r="O261" s="55">
        <v>10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4633</v>
      </c>
      <c r="B262" s="29"/>
      <c r="C262" s="29"/>
      <c r="D262" s="29"/>
      <c r="E262" s="29"/>
      <c r="F262" s="29">
        <v>2994</v>
      </c>
      <c r="G262" s="39"/>
      <c r="H262" s="40"/>
      <c r="I262" s="52"/>
      <c r="J262" s="53"/>
      <c r="K262" s="17"/>
      <c r="L262" s="39">
        <v>880</v>
      </c>
      <c r="M262" s="43">
        <v>732</v>
      </c>
      <c r="N262" s="45" t="s">
        <v>108</v>
      </c>
      <c r="O262" s="55">
        <v>10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ca="1" si="11"/>
        <v>4634</v>
      </c>
      <c r="B263" s="29"/>
      <c r="C263" s="29"/>
      <c r="D263" s="29"/>
      <c r="E263" s="29"/>
      <c r="F263" s="29">
        <v>2994</v>
      </c>
      <c r="G263" s="39"/>
      <c r="H263" s="40"/>
      <c r="I263" s="52"/>
      <c r="J263" s="53"/>
      <c r="K263" s="17"/>
      <c r="L263" s="39">
        <v>885</v>
      </c>
      <c r="M263" s="43">
        <v>748</v>
      </c>
      <c r="N263" s="45" t="s">
        <v>108</v>
      </c>
      <c r="O263" s="55">
        <v>12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ref="A264:A327" ca="1" si="18">IF(ISTEXT(A263),A262+1,IF(MONTH(A263+1)=MONTH(A263),A263+1,"Totaal"))</f>
        <v>4635</v>
      </c>
      <c r="B264" s="29"/>
      <c r="C264" s="29"/>
      <c r="D264" s="29"/>
      <c r="E264" s="29"/>
      <c r="F264" s="29">
        <v>2990</v>
      </c>
      <c r="G264" s="39"/>
      <c r="H264" s="40"/>
      <c r="I264" s="52"/>
      <c r="J264" s="53"/>
      <c r="K264" s="17"/>
      <c r="L264" s="39">
        <v>890</v>
      </c>
      <c r="M264" s="43">
        <v>770</v>
      </c>
      <c r="N264" s="45" t="s">
        <v>108</v>
      </c>
      <c r="O264" s="55">
        <v>10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4636</v>
      </c>
      <c r="B265" s="29"/>
      <c r="C265" s="29"/>
      <c r="D265" s="29"/>
      <c r="E265" s="29"/>
      <c r="F265" s="29">
        <v>2991</v>
      </c>
      <c r="G265" s="39"/>
      <c r="H265" s="40"/>
      <c r="I265" s="52"/>
      <c r="J265" s="53"/>
      <c r="K265" s="17"/>
      <c r="L265" s="39">
        <v>889</v>
      </c>
      <c r="M265" s="43">
        <v>760</v>
      </c>
      <c r="N265" s="45" t="s">
        <v>110</v>
      </c>
      <c r="O265" s="55">
        <v>14</v>
      </c>
      <c r="P265" s="56"/>
      <c r="Q265" s="74"/>
      <c r="R265" s="70">
        <v>4</v>
      </c>
      <c r="S265" s="19"/>
      <c r="T265" s="60"/>
      <c r="U265" s="59"/>
    </row>
    <row r="266" spans="1:21" ht="15" customHeight="1" x14ac:dyDescent="0.25">
      <c r="A266" s="1">
        <f t="shared" ca="1" si="18"/>
        <v>4637</v>
      </c>
      <c r="B266" s="29"/>
      <c r="C266" s="29"/>
      <c r="D266" s="29"/>
      <c r="E266" s="29"/>
      <c r="F266" s="29">
        <v>2994</v>
      </c>
      <c r="G266" s="39"/>
      <c r="H266" s="40"/>
      <c r="I266" s="52"/>
      <c r="J266" s="53"/>
      <c r="K266" s="17"/>
      <c r="L266" s="39">
        <v>891</v>
      </c>
      <c r="M266" s="43">
        <v>748</v>
      </c>
      <c r="N266" s="45" t="s">
        <v>108</v>
      </c>
      <c r="O266" s="55">
        <v>12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4638</v>
      </c>
      <c r="B267" s="29"/>
      <c r="C267" s="29"/>
      <c r="D267" s="29"/>
      <c r="E267" s="29"/>
      <c r="F267" s="29">
        <v>2992</v>
      </c>
      <c r="G267" s="39"/>
      <c r="H267" s="40"/>
      <c r="I267" s="52"/>
      <c r="J267" s="53"/>
      <c r="K267" s="17"/>
      <c r="L267" s="39">
        <v>891</v>
      </c>
      <c r="M267" s="43">
        <v>748</v>
      </c>
      <c r="N267" s="45" t="s">
        <v>108</v>
      </c>
      <c r="O267" s="55">
        <v>14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4639</v>
      </c>
      <c r="B268" s="29"/>
      <c r="C268" s="29"/>
      <c r="D268" s="29"/>
      <c r="E268" s="29"/>
      <c r="F268" s="29">
        <v>2991</v>
      </c>
      <c r="G268" s="39"/>
      <c r="H268" s="40"/>
      <c r="I268" s="52"/>
      <c r="J268" s="53"/>
      <c r="K268" s="17"/>
      <c r="L268" s="39">
        <v>880</v>
      </c>
      <c r="M268" s="43">
        <v>771</v>
      </c>
      <c r="N268" s="45" t="s">
        <v>108</v>
      </c>
      <c r="O268" s="55">
        <v>14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4640</v>
      </c>
      <c r="B269" s="29"/>
      <c r="C269" s="29"/>
      <c r="D269" s="29"/>
      <c r="E269" s="29"/>
      <c r="F269" s="29">
        <v>2988</v>
      </c>
      <c r="G269" s="39"/>
      <c r="H269" s="40"/>
      <c r="I269" s="52"/>
      <c r="J269" s="53"/>
      <c r="K269" s="17"/>
      <c r="L269" s="39">
        <v>878</v>
      </c>
      <c r="M269" s="43">
        <v>747</v>
      </c>
      <c r="N269" s="45" t="s">
        <v>108</v>
      </c>
      <c r="O269" s="55">
        <v>15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4641</v>
      </c>
      <c r="B270" s="29"/>
      <c r="C270" s="29"/>
      <c r="D270" s="29"/>
      <c r="E270" s="29"/>
      <c r="F270" s="29">
        <v>2991</v>
      </c>
      <c r="G270" s="39"/>
      <c r="H270" s="40"/>
      <c r="I270" s="52"/>
      <c r="J270" s="53"/>
      <c r="K270" s="17"/>
      <c r="L270" s="39">
        <v>883</v>
      </c>
      <c r="M270" s="43">
        <v>750</v>
      </c>
      <c r="N270" s="45" t="s">
        <v>110</v>
      </c>
      <c r="O270" s="55">
        <v>14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4642</v>
      </c>
      <c r="B271" s="29"/>
      <c r="C271" s="29"/>
      <c r="D271" s="29"/>
      <c r="E271" s="29"/>
      <c r="F271" s="29">
        <v>2993</v>
      </c>
      <c r="G271" s="39"/>
      <c r="H271" s="40"/>
      <c r="I271" s="52"/>
      <c r="J271" s="53"/>
      <c r="K271" s="17"/>
      <c r="L271" s="39">
        <v>884</v>
      </c>
      <c r="M271" s="43">
        <v>742</v>
      </c>
      <c r="N271" s="45" t="s">
        <v>108</v>
      </c>
      <c r="O271" s="55">
        <v>15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4643</v>
      </c>
      <c r="B272" s="29"/>
      <c r="C272" s="29"/>
      <c r="D272" s="29"/>
      <c r="E272" s="29"/>
      <c r="F272" s="29">
        <v>2989</v>
      </c>
      <c r="G272" s="39"/>
      <c r="H272" s="40"/>
      <c r="I272" s="52"/>
      <c r="J272" s="53"/>
      <c r="K272" s="17"/>
      <c r="L272" s="39">
        <v>879</v>
      </c>
      <c r="M272" s="43">
        <v>748</v>
      </c>
      <c r="N272" s="45" t="s">
        <v>110</v>
      </c>
      <c r="O272" s="55">
        <v>14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4644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>
        <v>875</v>
      </c>
      <c r="M273" s="43">
        <v>740</v>
      </c>
      <c r="N273" s="45" t="s">
        <v>112</v>
      </c>
      <c r="O273" s="55">
        <v>10</v>
      </c>
      <c r="P273" s="56"/>
      <c r="Q273" s="74"/>
      <c r="R273" s="70">
        <v>8</v>
      </c>
      <c r="S273" s="19"/>
      <c r="T273" s="60"/>
      <c r="U273" s="59"/>
    </row>
    <row r="274" spans="1:21" ht="15" customHeight="1" x14ac:dyDescent="0.25">
      <c r="A274" s="1">
        <f t="shared" ca="1" si="18"/>
        <v>4645</v>
      </c>
      <c r="B274" s="29"/>
      <c r="C274" s="29"/>
      <c r="D274" s="29"/>
      <c r="E274" s="29"/>
      <c r="F274" s="29">
        <v>2991</v>
      </c>
      <c r="G274" s="39"/>
      <c r="H274" s="40"/>
      <c r="I274" s="52"/>
      <c r="J274" s="53"/>
      <c r="K274" s="17"/>
      <c r="L274" s="39">
        <v>835</v>
      </c>
      <c r="M274" s="43">
        <v>720</v>
      </c>
      <c r="N274" s="45" t="s">
        <v>108</v>
      </c>
      <c r="O274" s="55">
        <v>10</v>
      </c>
      <c r="P274" s="56"/>
      <c r="Q274" s="74"/>
      <c r="R274" s="70">
        <v>18</v>
      </c>
      <c r="S274" s="19"/>
      <c r="T274" s="60"/>
      <c r="U274" s="59"/>
    </row>
    <row r="275" spans="1:21" ht="15" customHeight="1" x14ac:dyDescent="0.25">
      <c r="A275" s="1">
        <f t="shared" ca="1" si="18"/>
        <v>4646</v>
      </c>
      <c r="B275" s="29"/>
      <c r="C275" s="29"/>
      <c r="D275" s="29"/>
      <c r="E275" s="29"/>
      <c r="F275" s="29">
        <v>2995</v>
      </c>
      <c r="G275" s="39"/>
      <c r="H275" s="40"/>
      <c r="I275" s="52"/>
      <c r="J275" s="53"/>
      <c r="K275" s="17"/>
      <c r="L275" s="39">
        <v>880</v>
      </c>
      <c r="M275" s="43">
        <v>756</v>
      </c>
      <c r="N275" s="45" t="s">
        <v>108</v>
      </c>
      <c r="O275" s="55">
        <v>15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4647</v>
      </c>
      <c r="B276" s="29"/>
      <c r="C276" s="29"/>
      <c r="D276" s="29"/>
      <c r="E276" s="29"/>
      <c r="F276" s="29">
        <v>2995</v>
      </c>
      <c r="G276" s="39"/>
      <c r="H276" s="40"/>
      <c r="I276" s="52"/>
      <c r="J276" s="53"/>
      <c r="K276" s="17"/>
      <c r="L276" s="39">
        <v>878</v>
      </c>
      <c r="M276" s="43">
        <v>742</v>
      </c>
      <c r="N276" s="45" t="s">
        <v>108</v>
      </c>
      <c r="O276" s="55">
        <v>10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4648</v>
      </c>
      <c r="B277" s="29"/>
      <c r="C277" s="29"/>
      <c r="D277" s="29"/>
      <c r="E277" s="29"/>
      <c r="F277" s="29">
        <v>2988</v>
      </c>
      <c r="G277" s="39"/>
      <c r="H277" s="40"/>
      <c r="I277" s="52"/>
      <c r="J277" s="53"/>
      <c r="K277" s="17"/>
      <c r="L277" s="39">
        <v>889</v>
      </c>
      <c r="M277" s="43">
        <v>747</v>
      </c>
      <c r="N277" s="45" t="s">
        <v>108</v>
      </c>
      <c r="O277" s="55">
        <v>14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4649</v>
      </c>
      <c r="B278" s="29"/>
      <c r="C278" s="29"/>
      <c r="D278" s="29"/>
      <c r="E278" s="29"/>
      <c r="F278" s="29">
        <v>2989</v>
      </c>
      <c r="G278" s="39"/>
      <c r="H278" s="40"/>
      <c r="I278" s="52"/>
      <c r="J278" s="53"/>
      <c r="K278" s="17"/>
      <c r="L278" s="39">
        <v>880</v>
      </c>
      <c r="M278" s="43">
        <v>742</v>
      </c>
      <c r="N278" s="45" t="s">
        <v>108</v>
      </c>
      <c r="O278" s="55">
        <v>14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4650</v>
      </c>
      <c r="B279" s="29"/>
      <c r="C279" s="29"/>
      <c r="D279" s="29"/>
      <c r="E279" s="29"/>
      <c r="F279" s="29">
        <v>2992</v>
      </c>
      <c r="G279" s="39"/>
      <c r="H279" s="40"/>
      <c r="I279" s="52"/>
      <c r="J279" s="53"/>
      <c r="K279" s="17"/>
      <c r="L279" s="39">
        <v>881</v>
      </c>
      <c r="M279" s="43">
        <v>756</v>
      </c>
      <c r="N279" s="45" t="s">
        <v>108</v>
      </c>
      <c r="O279" s="55">
        <v>14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4651</v>
      </c>
      <c r="B280" s="29"/>
      <c r="C280" s="29"/>
      <c r="D280" s="29"/>
      <c r="E280" s="29"/>
      <c r="F280" s="29">
        <v>2992</v>
      </c>
      <c r="G280" s="39"/>
      <c r="H280" s="40"/>
      <c r="I280" s="52"/>
      <c r="J280" s="53"/>
      <c r="K280" s="17"/>
      <c r="L280" s="39">
        <v>875</v>
      </c>
      <c r="M280" s="43">
        <v>760</v>
      </c>
      <c r="N280" s="45" t="s">
        <v>110</v>
      </c>
      <c r="O280" s="55">
        <v>12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4652</v>
      </c>
      <c r="B281" s="29"/>
      <c r="C281" s="29"/>
      <c r="D281" s="29"/>
      <c r="E281" s="29"/>
      <c r="F281" s="29">
        <v>2993</v>
      </c>
      <c r="G281" s="39"/>
      <c r="H281" s="40"/>
      <c r="I281" s="52"/>
      <c r="J281" s="53"/>
      <c r="K281" s="17"/>
      <c r="L281" s="39">
        <v>871</v>
      </c>
      <c r="M281" s="43">
        <v>763</v>
      </c>
      <c r="N281" s="45" t="s">
        <v>108</v>
      </c>
      <c r="O281" s="55">
        <v>10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4653</v>
      </c>
      <c r="B282" s="29"/>
      <c r="C282" s="29"/>
      <c r="D282" s="29"/>
      <c r="E282" s="29"/>
      <c r="F282" s="29">
        <v>2987</v>
      </c>
      <c r="G282" s="39"/>
      <c r="H282" s="40"/>
      <c r="I282" s="52"/>
      <c r="J282" s="53"/>
      <c r="K282" s="17"/>
      <c r="L282" s="39">
        <v>868</v>
      </c>
      <c r="M282" s="43">
        <v>734</v>
      </c>
      <c r="N282" s="45" t="s">
        <v>110</v>
      </c>
      <c r="O282" s="55">
        <v>14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4654</v>
      </c>
      <c r="B283" s="29"/>
      <c r="C283" s="29"/>
      <c r="D283" s="29"/>
      <c r="E283" s="29"/>
      <c r="F283" s="29">
        <v>2990</v>
      </c>
      <c r="G283" s="39"/>
      <c r="H283" s="40"/>
      <c r="I283" s="52"/>
      <c r="J283" s="53"/>
      <c r="K283" s="17"/>
      <c r="L283" s="39">
        <v>863</v>
      </c>
      <c r="M283" s="43">
        <v>760</v>
      </c>
      <c r="N283" s="45" t="s">
        <v>110</v>
      </c>
      <c r="O283" s="55">
        <v>10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4655</v>
      </c>
      <c r="B284" s="29"/>
      <c r="C284" s="29"/>
      <c r="D284" s="29"/>
      <c r="E284" s="29"/>
      <c r="F284" s="29">
        <v>2988</v>
      </c>
      <c r="G284" s="39"/>
      <c r="H284" s="40"/>
      <c r="I284" s="52"/>
      <c r="J284" s="53"/>
      <c r="K284" s="17"/>
      <c r="L284" s="39">
        <v>851</v>
      </c>
      <c r="M284" s="43">
        <v>710</v>
      </c>
      <c r="N284" s="45" t="s">
        <v>114</v>
      </c>
      <c r="O284" s="55">
        <v>10</v>
      </c>
      <c r="P284" s="56"/>
      <c r="Q284" s="74"/>
      <c r="R284" s="70">
        <v>35</v>
      </c>
      <c r="S284" s="19"/>
      <c r="T284" s="60"/>
      <c r="U284" s="59"/>
    </row>
    <row r="285" spans="1:21" ht="15" customHeight="1" x14ac:dyDescent="0.25">
      <c r="A285" s="1">
        <f t="shared" ca="1" si="18"/>
        <v>4656</v>
      </c>
      <c r="B285" s="29"/>
      <c r="C285" s="29"/>
      <c r="D285" s="29"/>
      <c r="E285" s="29"/>
      <c r="F285" s="29">
        <v>2996</v>
      </c>
      <c r="G285" s="39"/>
      <c r="H285" s="40"/>
      <c r="I285" s="52"/>
      <c r="J285" s="53"/>
      <c r="K285" s="17"/>
      <c r="L285" s="39">
        <v>862</v>
      </c>
      <c r="M285" s="43">
        <v>760</v>
      </c>
      <c r="N285" s="45" t="s">
        <v>110</v>
      </c>
      <c r="O285" s="55">
        <v>14</v>
      </c>
      <c r="P285" s="56"/>
      <c r="Q285" s="74"/>
      <c r="R285" s="70">
        <v>0</v>
      </c>
      <c r="S285" s="19"/>
      <c r="T285" s="60"/>
      <c r="U285" s="59"/>
    </row>
    <row r="286" spans="1:21" ht="15" customHeight="1" x14ac:dyDescent="0.25">
      <c r="A286" s="1">
        <f t="shared" ca="1" si="18"/>
        <v>4657</v>
      </c>
      <c r="B286" s="29"/>
      <c r="C286" s="29"/>
      <c r="D286" s="29"/>
      <c r="E286" s="29"/>
      <c r="F286" s="29">
        <v>2994</v>
      </c>
      <c r="G286" s="39"/>
      <c r="H286" s="40"/>
      <c r="I286" s="52"/>
      <c r="J286" s="53"/>
      <c r="K286" s="17"/>
      <c r="L286" s="39">
        <v>870</v>
      </c>
      <c r="M286" s="43">
        <v>761</v>
      </c>
      <c r="N286" s="45" t="s">
        <v>108</v>
      </c>
      <c r="O286" s="55">
        <v>12</v>
      </c>
      <c r="P286" s="56"/>
      <c r="Q286" s="74"/>
      <c r="R286" s="70">
        <v>0</v>
      </c>
      <c r="S286" s="19"/>
      <c r="T286" s="60"/>
      <c r="U286" s="59"/>
    </row>
    <row r="287" spans="1:21" x14ac:dyDescent="0.25">
      <c r="A287" s="1" t="str">
        <f t="shared" ca="1" si="18"/>
        <v>Totaal</v>
      </c>
      <c r="B287" s="61" t="str">
        <f>IF(COUNT(B257:B286)&gt;0,AVERAGE(B257:B286)/10,"")</f>
        <v/>
      </c>
      <c r="C287" s="62" t="str">
        <f>IF(COUNT(C257:C286)&gt;0,AVERAGE(C257:C286)/1000,"")</f>
        <v/>
      </c>
      <c r="D287" s="62" t="str">
        <f>IF(COUNT(D257:D286)&gt;0,AVERAGE(D257:D286)/1000,"")</f>
        <v/>
      </c>
      <c r="E287" s="62" t="str">
        <f>IF(COUNT(E257:E286)&gt;0,AVERAGE(E257:E286)/1000,"")</f>
        <v/>
      </c>
      <c r="F287" s="62">
        <f>IF(COUNT(F257:F286)&gt;0,AVERAGE(F257:F286)/100,"")</f>
        <v>29.911999999999999</v>
      </c>
      <c r="G287" s="41" t="str">
        <f>IF(COUNT(G257:G286)&gt;0,AVERAGE(G257:G286)/10,"")</f>
        <v/>
      </c>
      <c r="H287" s="42" t="str">
        <f>IF(COUNT(H257:H286)&gt;0,AVERAGE(H257:H286)/10,"")</f>
        <v/>
      </c>
      <c r="I287" s="18" t="str">
        <f>IF(COUNT(I257:I286)&gt;0,AVERAGE(I257:I286)/10,"")</f>
        <v/>
      </c>
      <c r="J287" s="54" t="str">
        <f>IF(COUNT(J257:J286)&gt;0,AVERAGE(J257:J286),"")</f>
        <v/>
      </c>
      <c r="K287" s="51" t="str">
        <f>IF(COUNT(K257:K286)&gt;0,AVERAGE(K257:K286)/1000,"")</f>
        <v/>
      </c>
      <c r="L287" s="41">
        <f>IF(COUNT(L257:L286)&gt;0,AVERAGE(L257:L286)/10,"")</f>
        <v>87.61</v>
      </c>
      <c r="M287" s="44">
        <f>IF(COUNT(M257:M286)&gt;0,AVERAGE(M257:M286)/10,"")</f>
        <v>74.946666666666673</v>
      </c>
      <c r="N287" s="46"/>
      <c r="O287" s="57">
        <f>IF(COUNT(O257:O286)&gt;0,AVERAGE(O257:O286),"")</f>
        <v>12.566666666666666</v>
      </c>
      <c r="P287" s="58" t="str">
        <f>IF(COUNT(P257:P286)&gt;0,AVERAGE(P257:P286),"")</f>
        <v/>
      </c>
      <c r="Q287" s="47"/>
      <c r="R287" s="68">
        <f>IF(COUNT(R257:R286)&gt;0,SUM(R257:R286)/100,"")</f>
        <v>0.69</v>
      </c>
      <c r="S287" s="64" t="str">
        <f>IF(COUNT(S257:S286)&gt;0,AVERAGE(S257:S286),"")</f>
        <v/>
      </c>
      <c r="T287" s="65" t="str">
        <f>IF(COUNT(T257:T286)&gt;0,AVERAGE(T257:T286),"")</f>
        <v/>
      </c>
      <c r="U287" s="66" t="str">
        <f>IF(COUNT(U257:U286)&gt;0,AVERAGE(U257:U286),"")</f>
        <v/>
      </c>
    </row>
    <row r="288" spans="1:21" ht="15" customHeight="1" x14ac:dyDescent="0.25">
      <c r="A288" s="1">
        <f t="shared" ca="1" si="18"/>
        <v>4658</v>
      </c>
      <c r="B288" s="29"/>
      <c r="C288" s="29"/>
      <c r="D288" s="29"/>
      <c r="E288" s="29"/>
      <c r="F288" s="29">
        <v>2992</v>
      </c>
      <c r="G288" s="39"/>
      <c r="H288" s="40"/>
      <c r="I288" s="52"/>
      <c r="J288" s="53"/>
      <c r="K288" s="17"/>
      <c r="L288" s="39">
        <v>881</v>
      </c>
      <c r="M288" s="43">
        <v>751</v>
      </c>
      <c r="N288" s="45" t="s">
        <v>108</v>
      </c>
      <c r="O288" s="55">
        <v>15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4659</v>
      </c>
      <c r="B289" s="29"/>
      <c r="C289" s="29"/>
      <c r="D289" s="29"/>
      <c r="E289" s="29"/>
      <c r="F289" s="29">
        <v>2993</v>
      </c>
      <c r="G289" s="39"/>
      <c r="H289" s="40"/>
      <c r="I289" s="52"/>
      <c r="J289" s="53"/>
      <c r="K289" s="17"/>
      <c r="L289" s="39">
        <v>883</v>
      </c>
      <c r="M289" s="43">
        <v>743</v>
      </c>
      <c r="N289" s="45" t="s">
        <v>108</v>
      </c>
      <c r="O289" s="55">
        <v>10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4660</v>
      </c>
      <c r="B290" s="29"/>
      <c r="C290" s="29"/>
      <c r="D290" s="29"/>
      <c r="E290" s="29"/>
      <c r="F290" s="29">
        <v>2990</v>
      </c>
      <c r="G290" s="39"/>
      <c r="H290" s="40"/>
      <c r="I290" s="52"/>
      <c r="J290" s="53"/>
      <c r="K290" s="17"/>
      <c r="L290" s="39">
        <v>890</v>
      </c>
      <c r="M290" s="43">
        <v>761</v>
      </c>
      <c r="N290" s="45" t="s">
        <v>108</v>
      </c>
      <c r="O290" s="55">
        <v>14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4661</v>
      </c>
      <c r="B291" s="29"/>
      <c r="C291" s="29"/>
      <c r="D291" s="29"/>
      <c r="E291" s="29"/>
      <c r="F291" s="29">
        <v>2991</v>
      </c>
      <c r="G291" s="39"/>
      <c r="H291" s="40"/>
      <c r="I291" s="52"/>
      <c r="J291" s="53"/>
      <c r="K291" s="17"/>
      <c r="L291" s="39">
        <v>880</v>
      </c>
      <c r="M291" s="43">
        <v>758</v>
      </c>
      <c r="N291" s="45" t="s">
        <v>108</v>
      </c>
      <c r="O291" s="55">
        <v>14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4662</v>
      </c>
      <c r="B292" s="29"/>
      <c r="C292" s="29"/>
      <c r="D292" s="29"/>
      <c r="E292" s="29"/>
      <c r="F292" s="29">
        <v>2994</v>
      </c>
      <c r="G292" s="39"/>
      <c r="H292" s="40"/>
      <c r="I292" s="52"/>
      <c r="J292" s="53"/>
      <c r="K292" s="17"/>
      <c r="L292" s="39">
        <v>882</v>
      </c>
      <c r="M292" s="43">
        <v>734</v>
      </c>
      <c r="N292" s="45" t="s">
        <v>108</v>
      </c>
      <c r="O292" s="55">
        <v>15</v>
      </c>
      <c r="P292" s="56"/>
      <c r="Q292" s="74"/>
      <c r="R292" s="70">
        <v>10</v>
      </c>
      <c r="S292" s="19"/>
      <c r="T292" s="60"/>
      <c r="U292" s="59"/>
    </row>
    <row r="293" spans="1:21" ht="15" customHeight="1" x14ac:dyDescent="0.25">
      <c r="A293" s="1">
        <f t="shared" ca="1" si="18"/>
        <v>4663</v>
      </c>
      <c r="B293" s="29"/>
      <c r="C293" s="29"/>
      <c r="D293" s="29"/>
      <c r="E293" s="29"/>
      <c r="F293" s="29">
        <v>2990</v>
      </c>
      <c r="G293" s="39"/>
      <c r="H293" s="40"/>
      <c r="I293" s="52"/>
      <c r="J293" s="53"/>
      <c r="K293" s="17"/>
      <c r="L293" s="39">
        <v>863</v>
      </c>
      <c r="M293" s="43">
        <v>710</v>
      </c>
      <c r="N293" s="45" t="s">
        <v>110</v>
      </c>
      <c r="O293" s="55">
        <v>10</v>
      </c>
      <c r="P293" s="56"/>
      <c r="Q293" s="74"/>
      <c r="R293" s="70">
        <v>45</v>
      </c>
      <c r="S293" s="19"/>
      <c r="T293" s="60"/>
      <c r="U293" s="59"/>
    </row>
    <row r="294" spans="1:21" ht="15" customHeight="1" x14ac:dyDescent="0.25">
      <c r="A294" s="1">
        <f t="shared" ca="1" si="18"/>
        <v>4664</v>
      </c>
      <c r="B294" s="29"/>
      <c r="C294" s="29"/>
      <c r="D294" s="29"/>
      <c r="E294" s="29"/>
      <c r="F294" s="29">
        <v>2984</v>
      </c>
      <c r="G294" s="39"/>
      <c r="H294" s="40"/>
      <c r="I294" s="52"/>
      <c r="J294" s="53"/>
      <c r="K294" s="17"/>
      <c r="L294" s="39">
        <v>862</v>
      </c>
      <c r="M294" s="43">
        <v>741</v>
      </c>
      <c r="N294" s="45" t="s">
        <v>108</v>
      </c>
      <c r="O294" s="55">
        <v>15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4665</v>
      </c>
      <c r="B295" s="29"/>
      <c r="C295" s="29"/>
      <c r="D295" s="29"/>
      <c r="E295" s="29"/>
      <c r="F295" s="29">
        <v>2987</v>
      </c>
      <c r="G295" s="39"/>
      <c r="H295" s="40"/>
      <c r="I295" s="52"/>
      <c r="J295" s="53"/>
      <c r="K295" s="17"/>
      <c r="L295" s="39">
        <v>890</v>
      </c>
      <c r="M295" s="43">
        <v>744</v>
      </c>
      <c r="N295" s="45" t="s">
        <v>110</v>
      </c>
      <c r="O295" s="55">
        <v>15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4666</v>
      </c>
      <c r="B296" s="29"/>
      <c r="C296" s="29"/>
      <c r="D296" s="29"/>
      <c r="E296" s="29"/>
      <c r="F296" s="29">
        <v>2991</v>
      </c>
      <c r="G296" s="39"/>
      <c r="H296" s="40"/>
      <c r="I296" s="52"/>
      <c r="J296" s="53"/>
      <c r="K296" s="17"/>
      <c r="L296" s="39">
        <v>880</v>
      </c>
      <c r="M296" s="43">
        <v>746</v>
      </c>
      <c r="N296" s="45" t="s">
        <v>110</v>
      </c>
      <c r="O296" s="55">
        <v>12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4667</v>
      </c>
      <c r="B297" s="29"/>
      <c r="C297" s="29"/>
      <c r="D297" s="29"/>
      <c r="E297" s="29"/>
      <c r="F297" s="29">
        <v>2991</v>
      </c>
      <c r="G297" s="39"/>
      <c r="H297" s="40"/>
      <c r="I297" s="52"/>
      <c r="J297" s="53"/>
      <c r="K297" s="17"/>
      <c r="L297" s="39">
        <v>891</v>
      </c>
      <c r="M297" s="43">
        <v>752</v>
      </c>
      <c r="N297" s="45" t="s">
        <v>108</v>
      </c>
      <c r="O297" s="55">
        <v>14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4668</v>
      </c>
      <c r="B298" s="29"/>
      <c r="C298" s="29"/>
      <c r="D298" s="29"/>
      <c r="E298" s="29"/>
      <c r="F298" s="29">
        <v>2989</v>
      </c>
      <c r="G298" s="39"/>
      <c r="H298" s="40"/>
      <c r="I298" s="52"/>
      <c r="J298" s="53"/>
      <c r="K298" s="17"/>
      <c r="L298" s="39">
        <v>880</v>
      </c>
      <c r="M298" s="43">
        <v>764</v>
      </c>
      <c r="N298" s="45" t="s">
        <v>108</v>
      </c>
      <c r="O298" s="55">
        <v>14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4669</v>
      </c>
      <c r="B299" s="29"/>
      <c r="C299" s="29"/>
      <c r="D299" s="29"/>
      <c r="E299" s="29"/>
      <c r="F299" s="29">
        <v>2986</v>
      </c>
      <c r="G299" s="39"/>
      <c r="H299" s="40"/>
      <c r="I299" s="52"/>
      <c r="J299" s="53"/>
      <c r="K299" s="17"/>
      <c r="L299" s="39">
        <v>885</v>
      </c>
      <c r="M299" s="43">
        <v>670</v>
      </c>
      <c r="N299" s="45" t="s">
        <v>108</v>
      </c>
      <c r="O299" s="55">
        <v>14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4670</v>
      </c>
      <c r="B300" s="29"/>
      <c r="C300" s="29"/>
      <c r="D300" s="29"/>
      <c r="E300" s="29"/>
      <c r="F300" s="29">
        <v>2991</v>
      </c>
      <c r="G300" s="39"/>
      <c r="H300" s="40"/>
      <c r="I300" s="52"/>
      <c r="J300" s="53"/>
      <c r="K300" s="17"/>
      <c r="L300" s="39">
        <v>827</v>
      </c>
      <c r="M300" s="43">
        <v>677</v>
      </c>
      <c r="N300" s="45" t="s">
        <v>108</v>
      </c>
      <c r="O300" s="55">
        <v>12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4671</v>
      </c>
      <c r="B301" s="29"/>
      <c r="C301" s="29"/>
      <c r="D301" s="29"/>
      <c r="E301" s="29"/>
      <c r="F301" s="29">
        <v>2987</v>
      </c>
      <c r="G301" s="39"/>
      <c r="H301" s="40"/>
      <c r="I301" s="52"/>
      <c r="J301" s="53"/>
      <c r="K301" s="17"/>
      <c r="L301" s="39">
        <v>868</v>
      </c>
      <c r="M301" s="43">
        <v>676</v>
      </c>
      <c r="N301" s="45" t="s">
        <v>108</v>
      </c>
      <c r="O301" s="55">
        <v>15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4672</v>
      </c>
      <c r="B302" s="29"/>
      <c r="C302" s="29"/>
      <c r="D302" s="29"/>
      <c r="E302" s="29"/>
      <c r="F302" s="29">
        <v>2990</v>
      </c>
      <c r="G302" s="39"/>
      <c r="H302" s="40"/>
      <c r="I302" s="52"/>
      <c r="J302" s="53"/>
      <c r="K302" s="17"/>
      <c r="L302" s="39">
        <v>871</v>
      </c>
      <c r="M302" s="43">
        <v>721</v>
      </c>
      <c r="N302" s="45" t="s">
        <v>108</v>
      </c>
      <c r="O302" s="55">
        <v>12</v>
      </c>
      <c r="P302" s="56"/>
      <c r="Q302" s="74"/>
      <c r="R302" s="70">
        <v>21</v>
      </c>
      <c r="S302" s="19"/>
      <c r="T302" s="60"/>
      <c r="U302" s="59"/>
    </row>
    <row r="303" spans="1:21" ht="15" customHeight="1" x14ac:dyDescent="0.25">
      <c r="A303" s="1">
        <f t="shared" ca="1" si="18"/>
        <v>4673</v>
      </c>
      <c r="B303" s="29"/>
      <c r="C303" s="29"/>
      <c r="D303" s="29"/>
      <c r="E303" s="29"/>
      <c r="F303" s="29">
        <v>2989</v>
      </c>
      <c r="G303" s="39"/>
      <c r="H303" s="40"/>
      <c r="I303" s="52"/>
      <c r="J303" s="53"/>
      <c r="K303" s="17"/>
      <c r="L303" s="39">
        <v>881</v>
      </c>
      <c r="M303" s="43">
        <v>692</v>
      </c>
      <c r="N303" s="45" t="s">
        <v>108</v>
      </c>
      <c r="O303" s="55">
        <v>10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4674</v>
      </c>
      <c r="B304" s="29"/>
      <c r="C304" s="29"/>
      <c r="D304" s="29"/>
      <c r="E304" s="29"/>
      <c r="F304" s="29">
        <v>2985</v>
      </c>
      <c r="G304" s="39"/>
      <c r="H304" s="40"/>
      <c r="I304" s="52"/>
      <c r="J304" s="53"/>
      <c r="K304" s="17"/>
      <c r="L304" s="39">
        <v>888</v>
      </c>
      <c r="M304" s="43">
        <v>712</v>
      </c>
      <c r="N304" s="45" t="s">
        <v>110</v>
      </c>
      <c r="O304" s="55">
        <v>13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4675</v>
      </c>
      <c r="B305" s="29"/>
      <c r="C305" s="29"/>
      <c r="D305" s="29"/>
      <c r="E305" s="29"/>
      <c r="F305" s="29">
        <v>2985</v>
      </c>
      <c r="G305" s="39"/>
      <c r="H305" s="40"/>
      <c r="I305" s="52"/>
      <c r="J305" s="53"/>
      <c r="K305" s="17"/>
      <c r="L305" s="39">
        <v>877</v>
      </c>
      <c r="M305" s="43">
        <v>752</v>
      </c>
      <c r="N305" s="45" t="s">
        <v>108</v>
      </c>
      <c r="O305" s="55">
        <v>10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4676</v>
      </c>
      <c r="B306" s="29"/>
      <c r="C306" s="29"/>
      <c r="D306" s="29"/>
      <c r="E306" s="29"/>
      <c r="F306" s="29">
        <v>2987</v>
      </c>
      <c r="G306" s="39"/>
      <c r="H306" s="40"/>
      <c r="I306" s="52"/>
      <c r="J306" s="53"/>
      <c r="K306" s="17"/>
      <c r="L306" s="39">
        <v>881</v>
      </c>
      <c r="M306" s="43">
        <v>774</v>
      </c>
      <c r="N306" s="45" t="s">
        <v>108</v>
      </c>
      <c r="O306" s="55">
        <v>10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4677</v>
      </c>
      <c r="B307" s="29"/>
      <c r="C307" s="29"/>
      <c r="D307" s="29"/>
      <c r="E307" s="29"/>
      <c r="F307" s="29">
        <v>2986</v>
      </c>
      <c r="G307" s="39"/>
      <c r="H307" s="40"/>
      <c r="I307" s="52"/>
      <c r="J307" s="53"/>
      <c r="K307" s="17"/>
      <c r="L307" s="39">
        <v>872</v>
      </c>
      <c r="M307" s="43">
        <v>743</v>
      </c>
      <c r="N307" s="45" t="s">
        <v>108</v>
      </c>
      <c r="O307" s="55">
        <v>10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4678</v>
      </c>
      <c r="B308" s="29"/>
      <c r="C308" s="29"/>
      <c r="D308" s="29"/>
      <c r="E308" s="29"/>
      <c r="F308" s="29">
        <v>2986</v>
      </c>
      <c r="G308" s="39"/>
      <c r="H308" s="40"/>
      <c r="I308" s="52"/>
      <c r="J308" s="53"/>
      <c r="K308" s="17"/>
      <c r="L308" s="39">
        <v>870</v>
      </c>
      <c r="M308" s="43">
        <v>694</v>
      </c>
      <c r="N308" s="45" t="s">
        <v>108</v>
      </c>
      <c r="O308" s="55">
        <v>10</v>
      </c>
      <c r="P308" s="56"/>
      <c r="Q308" s="74"/>
      <c r="R308" s="70">
        <v>1</v>
      </c>
      <c r="S308" s="19"/>
      <c r="T308" s="60"/>
      <c r="U308" s="59"/>
    </row>
    <row r="309" spans="1:21" ht="15" customHeight="1" x14ac:dyDescent="0.25">
      <c r="A309" s="1">
        <f t="shared" ca="1" si="18"/>
        <v>4679</v>
      </c>
      <c r="B309" s="29"/>
      <c r="C309" s="29"/>
      <c r="D309" s="29"/>
      <c r="E309" s="29"/>
      <c r="F309" s="29">
        <v>2986</v>
      </c>
      <c r="G309" s="39"/>
      <c r="H309" s="40"/>
      <c r="I309" s="52"/>
      <c r="J309" s="53"/>
      <c r="K309" s="17"/>
      <c r="L309" s="39">
        <v>869</v>
      </c>
      <c r="M309" s="43">
        <v>692</v>
      </c>
      <c r="N309" s="45" t="s">
        <v>108</v>
      </c>
      <c r="O309" s="55">
        <v>12</v>
      </c>
      <c r="P309" s="56"/>
      <c r="Q309" s="74"/>
      <c r="R309" s="70">
        <v>1</v>
      </c>
      <c r="S309" s="19"/>
      <c r="T309" s="60"/>
      <c r="U309" s="59"/>
    </row>
    <row r="310" spans="1:21" ht="15" customHeight="1" x14ac:dyDescent="0.25">
      <c r="A310" s="1">
        <f t="shared" ca="1" si="18"/>
        <v>4680</v>
      </c>
      <c r="B310" s="29"/>
      <c r="C310" s="29"/>
      <c r="D310" s="29"/>
      <c r="E310" s="29"/>
      <c r="F310" s="29">
        <v>2987</v>
      </c>
      <c r="G310" s="39"/>
      <c r="H310" s="40"/>
      <c r="I310" s="52"/>
      <c r="J310" s="53"/>
      <c r="K310" s="17"/>
      <c r="L310" s="39">
        <v>880</v>
      </c>
      <c r="M310" s="43">
        <v>701</v>
      </c>
      <c r="N310" s="45" t="s">
        <v>108</v>
      </c>
      <c r="O310" s="55">
        <v>12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4681</v>
      </c>
      <c r="B311" s="29"/>
      <c r="C311" s="29"/>
      <c r="D311" s="29"/>
      <c r="E311" s="29"/>
      <c r="F311" s="29">
        <v>2991</v>
      </c>
      <c r="G311" s="39"/>
      <c r="H311" s="40"/>
      <c r="I311" s="52"/>
      <c r="J311" s="53"/>
      <c r="K311" s="17"/>
      <c r="L311" s="39">
        <v>880</v>
      </c>
      <c r="M311" s="43">
        <v>721</v>
      </c>
      <c r="N311" s="45" t="s">
        <v>108</v>
      </c>
      <c r="O311" s="55">
        <v>12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4682</v>
      </c>
      <c r="B312" s="29"/>
      <c r="C312" s="29"/>
      <c r="D312" s="29"/>
      <c r="E312" s="29"/>
      <c r="F312" s="29">
        <v>2988</v>
      </c>
      <c r="G312" s="39"/>
      <c r="H312" s="40"/>
      <c r="I312" s="52"/>
      <c r="J312" s="53"/>
      <c r="K312" s="17"/>
      <c r="L312" s="39">
        <v>783</v>
      </c>
      <c r="M312" s="43">
        <v>691</v>
      </c>
      <c r="N312" s="45" t="s">
        <v>110</v>
      </c>
      <c r="O312" s="55">
        <v>10</v>
      </c>
      <c r="P312" s="56"/>
      <c r="Q312" s="74"/>
      <c r="R312" s="70">
        <v>56</v>
      </c>
      <c r="S312" s="19"/>
      <c r="T312" s="60"/>
      <c r="U312" s="59"/>
    </row>
    <row r="313" spans="1:21" ht="15" customHeight="1" x14ac:dyDescent="0.25">
      <c r="A313" s="1">
        <f t="shared" ca="1" si="18"/>
        <v>4683</v>
      </c>
      <c r="B313" s="29"/>
      <c r="C313" s="29"/>
      <c r="D313" s="29"/>
      <c r="E313" s="29"/>
      <c r="F313" s="29">
        <v>2984</v>
      </c>
      <c r="G313" s="39"/>
      <c r="H313" s="40"/>
      <c r="I313" s="52"/>
      <c r="J313" s="53"/>
      <c r="K313" s="17"/>
      <c r="L313" s="39">
        <v>851</v>
      </c>
      <c r="M313" s="43">
        <v>724</v>
      </c>
      <c r="N313" s="45" t="s">
        <v>108</v>
      </c>
      <c r="O313" s="55">
        <v>10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4684</v>
      </c>
      <c r="B314" s="29"/>
      <c r="C314" s="29"/>
      <c r="D314" s="29"/>
      <c r="E314" s="29"/>
      <c r="F314" s="29">
        <v>2984</v>
      </c>
      <c r="G314" s="39"/>
      <c r="H314" s="40"/>
      <c r="I314" s="52"/>
      <c r="J314" s="53"/>
      <c r="K314" s="17"/>
      <c r="L314" s="39">
        <v>870</v>
      </c>
      <c r="M314" s="43">
        <v>684</v>
      </c>
      <c r="N314" s="45" t="s">
        <v>108</v>
      </c>
      <c r="O314" s="55">
        <v>9</v>
      </c>
      <c r="P314" s="56"/>
      <c r="Q314" s="74"/>
      <c r="R314" s="70">
        <v>40</v>
      </c>
      <c r="S314" s="19"/>
      <c r="T314" s="60"/>
      <c r="U314" s="59"/>
    </row>
    <row r="315" spans="1:21" ht="15" customHeight="1" x14ac:dyDescent="0.25">
      <c r="A315" s="1">
        <f t="shared" ca="1" si="18"/>
        <v>4685</v>
      </c>
      <c r="B315" s="29"/>
      <c r="C315" s="29"/>
      <c r="D315" s="29"/>
      <c r="E315" s="29"/>
      <c r="F315" s="29">
        <v>2983</v>
      </c>
      <c r="G315" s="39"/>
      <c r="H315" s="40"/>
      <c r="I315" s="52"/>
      <c r="J315" s="53"/>
      <c r="K315" s="17"/>
      <c r="L315" s="39">
        <v>838</v>
      </c>
      <c r="M315" s="43">
        <v>683</v>
      </c>
      <c r="N315" s="45" t="s">
        <v>110</v>
      </c>
      <c r="O315" s="55">
        <v>10</v>
      </c>
      <c r="P315" s="56"/>
      <c r="Q315" s="74"/>
      <c r="R315" s="70">
        <v>151</v>
      </c>
      <c r="S315" s="19"/>
      <c r="T315" s="60"/>
      <c r="U315" s="59"/>
    </row>
    <row r="316" spans="1:21" ht="15" customHeight="1" x14ac:dyDescent="0.25">
      <c r="A316" s="1">
        <f t="shared" ca="1" si="18"/>
        <v>4686</v>
      </c>
      <c r="B316" s="29"/>
      <c r="C316" s="29"/>
      <c r="D316" s="29"/>
      <c r="E316" s="29"/>
      <c r="F316" s="29">
        <v>2989</v>
      </c>
      <c r="G316" s="39"/>
      <c r="H316" s="40"/>
      <c r="I316" s="52"/>
      <c r="J316" s="53"/>
      <c r="K316" s="17"/>
      <c r="L316" s="39">
        <v>812</v>
      </c>
      <c r="M316" s="43">
        <v>724</v>
      </c>
      <c r="N316" s="45" t="s">
        <v>50</v>
      </c>
      <c r="O316" s="55">
        <v>10</v>
      </c>
      <c r="P316" s="56"/>
      <c r="Q316" s="74"/>
      <c r="R316" s="70">
        <v>1</v>
      </c>
      <c r="S316" s="19"/>
      <c r="T316" s="60"/>
      <c r="U316" s="59"/>
    </row>
    <row r="317" spans="1:21" ht="15" customHeight="1" x14ac:dyDescent="0.25">
      <c r="A317" s="1">
        <f t="shared" ca="1" si="18"/>
        <v>4687</v>
      </c>
      <c r="B317" s="29"/>
      <c r="C317" s="29"/>
      <c r="D317" s="29"/>
      <c r="E317" s="29"/>
      <c r="F317" s="29">
        <v>2988</v>
      </c>
      <c r="G317" s="39"/>
      <c r="H317" s="40"/>
      <c r="I317" s="52"/>
      <c r="J317" s="53"/>
      <c r="K317" s="17"/>
      <c r="L317" s="39">
        <v>855</v>
      </c>
      <c r="M317" s="43">
        <v>712</v>
      </c>
      <c r="N317" s="45" t="s">
        <v>114</v>
      </c>
      <c r="O317" s="55">
        <v>10</v>
      </c>
      <c r="P317" s="56"/>
      <c r="Q317" s="74"/>
      <c r="R317" s="70">
        <v>51</v>
      </c>
      <c r="S317" s="19"/>
      <c r="T317" s="60"/>
      <c r="U317" s="59"/>
    </row>
    <row r="318" spans="1:21" ht="15" customHeight="1" x14ac:dyDescent="0.25">
      <c r="A318" s="1">
        <f t="shared" ca="1" si="18"/>
        <v>4688</v>
      </c>
      <c r="B318" s="29"/>
      <c r="C318" s="29"/>
      <c r="D318" s="29"/>
      <c r="E318" s="29"/>
      <c r="F318" s="29">
        <v>2992</v>
      </c>
      <c r="G318" s="39"/>
      <c r="H318" s="40"/>
      <c r="I318" s="52"/>
      <c r="J318" s="53"/>
      <c r="K318" s="17"/>
      <c r="L318" s="39">
        <v>791</v>
      </c>
      <c r="M318" s="43">
        <v>693</v>
      </c>
      <c r="N318" s="45" t="s">
        <v>112</v>
      </c>
      <c r="O318" s="55">
        <v>10</v>
      </c>
      <c r="P318" s="56"/>
      <c r="Q318" s="74"/>
      <c r="R318" s="70">
        <v>1</v>
      </c>
      <c r="S318" s="19"/>
      <c r="T318" s="60"/>
      <c r="U318" s="59"/>
    </row>
    <row r="319" spans="1:21" x14ac:dyDescent="0.25">
      <c r="A319" s="1" t="str">
        <f t="shared" ca="1" si="18"/>
        <v>Totaal</v>
      </c>
      <c r="B319" s="61" t="str">
        <f>IF(COUNT(B288:B318)&gt;0,AVERAGE(B288:B318)/10,"")</f>
        <v/>
      </c>
      <c r="C319" s="62" t="str">
        <f>IF(COUNT(C288:C318)&gt;0,AVERAGE(C288:C318)/1000,"")</f>
        <v/>
      </c>
      <c r="D319" s="62" t="str">
        <f t="shared" ref="D319" si="19">IF(COUNT(D288:D318)&gt;0,AVERAGE(D288:D318)/1000,"")</f>
        <v/>
      </c>
      <c r="E319" s="62" t="str">
        <f t="shared" ref="E319" si="20">IF(COUNT(E288:E318)&gt;0,AVERAGE(E288:E318)/1000,"")</f>
        <v/>
      </c>
      <c r="F319" s="62">
        <f>IF(COUNT(F288:F318)&gt;0,AVERAGE(F288:F318)/100,"")</f>
        <v>29.882580645161294</v>
      </c>
      <c r="G319" s="41" t="str">
        <f>IF(COUNT(G288:G318)&gt;0,AVERAGE(G288:G318)/10,"")</f>
        <v/>
      </c>
      <c r="H319" s="42" t="str">
        <f t="shared" ref="H319" si="21">IF(COUNT(H288:H318)&gt;0,AVERAGE(H288:H318)/10,"")</f>
        <v/>
      </c>
      <c r="I319" s="18" t="str">
        <f>IF(COUNT(I288:I318)&gt;0,AVERAGE(I288:I318)/10,"")</f>
        <v/>
      </c>
      <c r="J319" s="54" t="str">
        <f>IF(COUNT(J288:J318)&gt;0,AVERAGE(J288:J318),"")</f>
        <v/>
      </c>
      <c r="K319" s="51" t="str">
        <f>IF(COUNT(K288:K318)&gt;0,AVERAGE(K288:K318)/1000,"")</f>
        <v/>
      </c>
      <c r="L319" s="41">
        <f>IF(COUNT(L288:L318)&gt;0,AVERAGE(L288:L318)/10,"")</f>
        <v>86.551612903225802</v>
      </c>
      <c r="M319" s="44">
        <f>IF(COUNT(M288:M318)&gt;0,AVERAGE(M288:M318)/10,"")</f>
        <v>72.064516129032256</v>
      </c>
      <c r="N319" s="46"/>
      <c r="O319" s="57">
        <f>IF(COUNT(O288:O318)&gt;0,AVERAGE(O288:O318),"")</f>
        <v>11.903225806451612</v>
      </c>
      <c r="P319" s="58" t="str">
        <f>IF(COUNT(P288:P318)&gt;0,AVERAGE(P288:P318),"")</f>
        <v/>
      </c>
      <c r="Q319" s="47"/>
      <c r="R319" s="68">
        <f>IF(COUNT(R288:R318)&gt;0,SUM(R288:R318)/100,"")</f>
        <v>3.78</v>
      </c>
      <c r="S319" s="64" t="str">
        <f>IF(COUNT(S288:S318)&gt;0,AVERAGE(S288:S318),"")</f>
        <v/>
      </c>
      <c r="T319" s="65" t="str">
        <f>IF(COUNT(T288:T318)&gt;0,AVERAGE(T288:T318),"")</f>
        <v/>
      </c>
      <c r="U319" s="66" t="str">
        <f>IF(COUNT(U288:U318)&gt;0,AVERAGE(U288:U318),"")</f>
        <v/>
      </c>
    </row>
    <row r="320" spans="1:21" ht="15" customHeight="1" x14ac:dyDescent="0.25">
      <c r="A320" s="1">
        <f t="shared" ca="1" si="18"/>
        <v>4689</v>
      </c>
      <c r="B320" s="29"/>
      <c r="C320" s="29"/>
      <c r="D320" s="29"/>
      <c r="E320" s="29"/>
      <c r="F320" s="29">
        <v>2993</v>
      </c>
      <c r="G320" s="39"/>
      <c r="H320" s="40"/>
      <c r="I320" s="52"/>
      <c r="J320" s="53"/>
      <c r="K320" s="17"/>
      <c r="L320" s="39">
        <v>848</v>
      </c>
      <c r="M320" s="43">
        <v>732</v>
      </c>
      <c r="N320" s="45" t="s">
        <v>108</v>
      </c>
      <c r="O320" s="55">
        <v>10</v>
      </c>
      <c r="P320" s="56"/>
      <c r="Q320" s="74"/>
      <c r="R320" s="70">
        <v>0</v>
      </c>
      <c r="S320" s="19"/>
      <c r="T320" s="60"/>
      <c r="U320" s="59"/>
    </row>
    <row r="321" spans="1:21" ht="15" customHeight="1" x14ac:dyDescent="0.25">
      <c r="A321" s="1">
        <f t="shared" ca="1" si="18"/>
        <v>4690</v>
      </c>
      <c r="B321" s="29"/>
      <c r="C321" s="29"/>
      <c r="D321" s="29"/>
      <c r="E321" s="29"/>
      <c r="F321" s="29">
        <v>2992</v>
      </c>
      <c r="G321" s="39"/>
      <c r="H321" s="40"/>
      <c r="I321" s="52"/>
      <c r="J321" s="53"/>
      <c r="K321" s="17"/>
      <c r="L321" s="39">
        <v>876</v>
      </c>
      <c r="M321" s="43">
        <v>724</v>
      </c>
      <c r="N321" s="45" t="s">
        <v>108</v>
      </c>
      <c r="O321" s="55">
        <v>12</v>
      </c>
      <c r="P321" s="56"/>
      <c r="Q321" s="74"/>
      <c r="R321" s="70">
        <v>10</v>
      </c>
      <c r="S321" s="19"/>
      <c r="T321" s="60"/>
      <c r="U321" s="59"/>
    </row>
    <row r="322" spans="1:21" ht="15" customHeight="1" x14ac:dyDescent="0.25">
      <c r="A322" s="1">
        <f t="shared" ca="1" si="18"/>
        <v>4691</v>
      </c>
      <c r="B322" s="29"/>
      <c r="C322" s="29"/>
      <c r="D322" s="29"/>
      <c r="E322" s="29"/>
      <c r="F322" s="29">
        <v>2994</v>
      </c>
      <c r="G322" s="39"/>
      <c r="H322" s="40"/>
      <c r="I322" s="52"/>
      <c r="J322" s="53"/>
      <c r="K322" s="17"/>
      <c r="L322" s="39">
        <v>861</v>
      </c>
      <c r="M322" s="43">
        <v>714</v>
      </c>
      <c r="N322" s="45" t="s">
        <v>108</v>
      </c>
      <c r="O322" s="55">
        <v>12</v>
      </c>
      <c r="P322" s="56"/>
      <c r="Q322" s="74"/>
      <c r="R322" s="70">
        <v>5</v>
      </c>
      <c r="S322" s="19"/>
      <c r="T322" s="60"/>
      <c r="U322" s="59"/>
    </row>
    <row r="323" spans="1:21" ht="15" customHeight="1" x14ac:dyDescent="0.25">
      <c r="A323" s="1">
        <f t="shared" ca="1" si="18"/>
        <v>4692</v>
      </c>
      <c r="B323" s="29"/>
      <c r="C323" s="29"/>
      <c r="D323" s="29"/>
      <c r="E323" s="29"/>
      <c r="F323" s="29">
        <v>2992</v>
      </c>
      <c r="G323" s="39"/>
      <c r="H323" s="40"/>
      <c r="I323" s="52"/>
      <c r="J323" s="53"/>
      <c r="K323" s="17"/>
      <c r="L323" s="39">
        <v>862</v>
      </c>
      <c r="M323" s="43">
        <v>735</v>
      </c>
      <c r="N323" s="45" t="s">
        <v>106</v>
      </c>
      <c r="O323" s="55">
        <v>10</v>
      </c>
      <c r="P323" s="56"/>
      <c r="Q323" s="74"/>
      <c r="R323" s="70">
        <v>26</v>
      </c>
      <c r="S323" s="19"/>
      <c r="T323" s="60"/>
      <c r="U323" s="59"/>
    </row>
    <row r="324" spans="1:21" ht="15" customHeight="1" x14ac:dyDescent="0.25">
      <c r="A324" s="1">
        <f t="shared" ca="1" si="18"/>
        <v>4693</v>
      </c>
      <c r="B324" s="29"/>
      <c r="C324" s="29"/>
      <c r="D324" s="29"/>
      <c r="E324" s="29"/>
      <c r="F324" s="29">
        <v>2988</v>
      </c>
      <c r="G324" s="39"/>
      <c r="H324" s="40"/>
      <c r="I324" s="52"/>
      <c r="J324" s="53"/>
      <c r="K324" s="17"/>
      <c r="L324" s="39">
        <v>872</v>
      </c>
      <c r="M324" s="43">
        <v>760</v>
      </c>
      <c r="N324" s="45" t="s">
        <v>108</v>
      </c>
      <c r="O324" s="55">
        <v>14</v>
      </c>
      <c r="P324" s="56"/>
      <c r="Q324" s="74"/>
      <c r="R324" s="70">
        <v>14</v>
      </c>
      <c r="S324" s="19"/>
      <c r="T324" s="60"/>
      <c r="U324" s="59"/>
    </row>
    <row r="325" spans="1:21" ht="15" customHeight="1" x14ac:dyDescent="0.25">
      <c r="A325" s="1">
        <f t="shared" ca="1" si="18"/>
        <v>4694</v>
      </c>
      <c r="B325" s="29"/>
      <c r="C325" s="29"/>
      <c r="D325" s="29"/>
      <c r="E325" s="29"/>
      <c r="F325" s="29">
        <v>2984</v>
      </c>
      <c r="G325" s="39"/>
      <c r="H325" s="40"/>
      <c r="I325" s="52"/>
      <c r="J325" s="53"/>
      <c r="K325" s="17"/>
      <c r="L325" s="39">
        <v>872</v>
      </c>
      <c r="M325" s="43">
        <v>713</v>
      </c>
      <c r="N325" s="45" t="s">
        <v>108</v>
      </c>
      <c r="O325" s="55">
        <v>12</v>
      </c>
      <c r="P325" s="56"/>
      <c r="Q325" s="74"/>
      <c r="R325" s="70">
        <v>36</v>
      </c>
      <c r="S325" s="19"/>
      <c r="T325" s="60"/>
      <c r="U325" s="59"/>
    </row>
    <row r="326" spans="1:21" ht="15" customHeight="1" x14ac:dyDescent="0.25">
      <c r="A326" s="1">
        <f t="shared" ca="1" si="18"/>
        <v>4695</v>
      </c>
      <c r="B326" s="29"/>
      <c r="C326" s="29"/>
      <c r="D326" s="29"/>
      <c r="E326" s="29"/>
      <c r="F326" s="29">
        <v>2983</v>
      </c>
      <c r="G326" s="39"/>
      <c r="H326" s="40"/>
      <c r="I326" s="52"/>
      <c r="J326" s="53"/>
      <c r="K326" s="17"/>
      <c r="L326" s="39">
        <v>861</v>
      </c>
      <c r="M326" s="43">
        <v>743</v>
      </c>
      <c r="N326" s="45" t="s">
        <v>106</v>
      </c>
      <c r="O326" s="55">
        <v>10</v>
      </c>
      <c r="P326" s="56"/>
      <c r="Q326" s="74"/>
      <c r="R326" s="70">
        <v>3</v>
      </c>
      <c r="S326" s="19"/>
      <c r="T326" s="60"/>
      <c r="U326" s="59"/>
    </row>
    <row r="327" spans="1:21" ht="15" customHeight="1" x14ac:dyDescent="0.25">
      <c r="A327" s="1">
        <f t="shared" ca="1" si="18"/>
        <v>4696</v>
      </c>
      <c r="B327" s="29"/>
      <c r="C327" s="29"/>
      <c r="D327" s="29"/>
      <c r="E327" s="29"/>
      <c r="F327" s="29">
        <v>2982</v>
      </c>
      <c r="G327" s="39"/>
      <c r="H327" s="40"/>
      <c r="I327" s="52"/>
      <c r="J327" s="53"/>
      <c r="K327" s="17"/>
      <c r="L327" s="39">
        <v>856</v>
      </c>
      <c r="M327" s="43">
        <v>732</v>
      </c>
      <c r="N327" s="45" t="s">
        <v>110</v>
      </c>
      <c r="O327" s="55">
        <v>10</v>
      </c>
      <c r="P327" s="56"/>
      <c r="Q327" s="74"/>
      <c r="R327" s="70">
        <v>11</v>
      </c>
      <c r="S327" s="19"/>
      <c r="T327" s="60"/>
      <c r="U327" s="59"/>
    </row>
    <row r="328" spans="1:21" ht="15" customHeight="1" x14ac:dyDescent="0.25">
      <c r="A328" s="1">
        <f t="shared" ref="A328:A382" ca="1" si="22">IF(ISTEXT(A327),A326+1,IF(MONTH(A327+1)=MONTH(A327),A327+1,"Totaal"))</f>
        <v>4697</v>
      </c>
      <c r="B328" s="29"/>
      <c r="C328" s="29"/>
      <c r="D328" s="29"/>
      <c r="E328" s="29"/>
      <c r="F328" s="29">
        <v>2986</v>
      </c>
      <c r="G328" s="39"/>
      <c r="H328" s="40"/>
      <c r="I328" s="52"/>
      <c r="J328" s="53"/>
      <c r="K328" s="17"/>
      <c r="L328" s="39">
        <v>871</v>
      </c>
      <c r="M328" s="43">
        <v>732</v>
      </c>
      <c r="N328" s="45" t="s">
        <v>112</v>
      </c>
      <c r="O328" s="55">
        <v>10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4698</v>
      </c>
      <c r="B329" s="29"/>
      <c r="C329" s="29"/>
      <c r="D329" s="29"/>
      <c r="E329" s="29"/>
      <c r="F329" s="29">
        <v>2983</v>
      </c>
      <c r="G329" s="39"/>
      <c r="H329" s="40"/>
      <c r="I329" s="52"/>
      <c r="J329" s="53"/>
      <c r="K329" s="17"/>
      <c r="L329" s="39">
        <v>861</v>
      </c>
      <c r="M329" s="43">
        <v>699</v>
      </c>
      <c r="N329" s="45" t="s">
        <v>106</v>
      </c>
      <c r="O329" s="55">
        <v>12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4699</v>
      </c>
      <c r="B330" s="29"/>
      <c r="C330" s="29"/>
      <c r="D330" s="29"/>
      <c r="E330" s="29"/>
      <c r="F330" s="29">
        <v>2984</v>
      </c>
      <c r="G330" s="39"/>
      <c r="H330" s="40"/>
      <c r="I330" s="52"/>
      <c r="J330" s="53"/>
      <c r="K330" s="17"/>
      <c r="L330" s="39">
        <v>870</v>
      </c>
      <c r="M330" s="43">
        <v>690</v>
      </c>
      <c r="N330" s="45" t="s">
        <v>110</v>
      </c>
      <c r="O330" s="55">
        <v>14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4700</v>
      </c>
      <c r="B331" s="29"/>
      <c r="C331" s="29"/>
      <c r="D331" s="29"/>
      <c r="E331" s="29"/>
      <c r="F331" s="29">
        <v>2986</v>
      </c>
      <c r="G331" s="39"/>
      <c r="H331" s="40"/>
      <c r="I331" s="52"/>
      <c r="J331" s="53"/>
      <c r="K331" s="17"/>
      <c r="L331" s="39">
        <v>853</v>
      </c>
      <c r="M331" s="43">
        <v>752</v>
      </c>
      <c r="N331" s="45" t="s">
        <v>108</v>
      </c>
      <c r="O331" s="55">
        <v>10</v>
      </c>
      <c r="P331" s="56"/>
      <c r="Q331" s="74"/>
      <c r="R331" s="70">
        <v>7</v>
      </c>
      <c r="S331" s="19"/>
      <c r="T331" s="60"/>
      <c r="U331" s="59"/>
    </row>
    <row r="332" spans="1:21" ht="15" customHeight="1" x14ac:dyDescent="0.25">
      <c r="A332" s="1">
        <f t="shared" ca="1" si="22"/>
        <v>4701</v>
      </c>
      <c r="B332" s="29"/>
      <c r="C332" s="29"/>
      <c r="D332" s="29"/>
      <c r="E332" s="29"/>
      <c r="F332" s="29">
        <v>2982</v>
      </c>
      <c r="G332" s="39"/>
      <c r="H332" s="40"/>
      <c r="I332" s="52"/>
      <c r="J332" s="53"/>
      <c r="K332" s="17"/>
      <c r="L332" s="39">
        <v>786</v>
      </c>
      <c r="M332" s="43">
        <v>692</v>
      </c>
      <c r="N332" s="45" t="s">
        <v>108</v>
      </c>
      <c r="O332" s="55">
        <v>12</v>
      </c>
      <c r="P332" s="56"/>
      <c r="Q332" s="74"/>
      <c r="R332" s="70">
        <v>30</v>
      </c>
      <c r="S332" s="19"/>
      <c r="T332" s="60"/>
      <c r="U332" s="59"/>
    </row>
    <row r="333" spans="1:21" ht="15" customHeight="1" x14ac:dyDescent="0.25">
      <c r="A333" s="1">
        <f t="shared" ca="1" si="22"/>
        <v>4702</v>
      </c>
      <c r="B333" s="29"/>
      <c r="C333" s="29"/>
      <c r="D333" s="29"/>
      <c r="E333" s="29"/>
      <c r="F333" s="29">
        <v>2987</v>
      </c>
      <c r="G333" s="39"/>
      <c r="H333" s="40"/>
      <c r="I333" s="52"/>
      <c r="J333" s="53"/>
      <c r="K333" s="17"/>
      <c r="L333" s="39">
        <v>800</v>
      </c>
      <c r="M333" s="43">
        <v>718</v>
      </c>
      <c r="N333" s="45" t="s">
        <v>108</v>
      </c>
      <c r="O333" s="55">
        <v>10</v>
      </c>
      <c r="P333" s="56"/>
      <c r="Q333" s="74"/>
      <c r="R333" s="70">
        <v>3</v>
      </c>
      <c r="S333" s="19"/>
      <c r="T333" s="60"/>
      <c r="U333" s="59"/>
    </row>
    <row r="334" spans="1:21" ht="15" customHeight="1" x14ac:dyDescent="0.25">
      <c r="A334" s="1">
        <f t="shared" ca="1" si="22"/>
        <v>4703</v>
      </c>
      <c r="B334" s="29"/>
      <c r="C334" s="29"/>
      <c r="D334" s="29"/>
      <c r="E334" s="29"/>
      <c r="F334" s="29">
        <v>2989</v>
      </c>
      <c r="G334" s="39"/>
      <c r="H334" s="40"/>
      <c r="I334" s="52"/>
      <c r="J334" s="53"/>
      <c r="K334" s="17"/>
      <c r="L334" s="39">
        <v>790</v>
      </c>
      <c r="M334" s="43">
        <v>721</v>
      </c>
      <c r="N334" s="45" t="s">
        <v>110</v>
      </c>
      <c r="O334" s="55">
        <v>14</v>
      </c>
      <c r="P334" s="56"/>
      <c r="Q334" s="74"/>
      <c r="R334" s="70">
        <v>2</v>
      </c>
      <c r="S334" s="19"/>
      <c r="T334" s="60"/>
      <c r="U334" s="59"/>
    </row>
    <row r="335" spans="1:21" ht="15" customHeight="1" x14ac:dyDescent="0.25">
      <c r="A335" s="1">
        <f t="shared" ca="1" si="22"/>
        <v>4704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4705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4706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4707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4708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4709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4710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4711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4712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4713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4714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4715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4716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4717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ht="15" customHeight="1" x14ac:dyDescent="0.25">
      <c r="A349" s="1">
        <f t="shared" ca="1" si="22"/>
        <v>4718</v>
      </c>
      <c r="B349" s="29"/>
      <c r="C349" s="29"/>
      <c r="D349" s="29"/>
      <c r="E349" s="29"/>
      <c r="F349" s="29"/>
      <c r="G349" s="39"/>
      <c r="H349" s="40"/>
      <c r="I349" s="52"/>
      <c r="J349" s="53"/>
      <c r="K349" s="17"/>
      <c r="L349" s="39"/>
      <c r="M349" s="43"/>
      <c r="N349" s="45"/>
      <c r="O349" s="55"/>
      <c r="P349" s="56"/>
      <c r="Q349" s="74"/>
      <c r="R349" s="70"/>
      <c r="S349" s="19"/>
      <c r="T349" s="60"/>
      <c r="U349" s="59"/>
    </row>
    <row r="350" spans="1:21" x14ac:dyDescent="0.25">
      <c r="A350" s="1" t="str">
        <f t="shared" ca="1" si="22"/>
        <v>Totaal</v>
      </c>
      <c r="B350" s="61" t="str">
        <f>IF(COUNT(B320:B349)&gt;0,AVERAGE(B320:B349)/10,"")</f>
        <v/>
      </c>
      <c r="C350" s="62" t="str">
        <f>IF(COUNT(C320:C349)&gt;0,AVERAGE(C320:C349)/1000,"")</f>
        <v/>
      </c>
      <c r="D350" s="62" t="str">
        <f>IF(COUNT(D320:D349)&gt;0,AVERAGE(D320:D349)/1000,"")</f>
        <v/>
      </c>
      <c r="E350" s="62" t="str">
        <f>IF(COUNT(E320:E349)&gt;0,AVERAGE(E320:E349)/1000,"")</f>
        <v/>
      </c>
      <c r="F350" s="62">
        <f>IF(COUNT(F320:F349)&gt;0,AVERAGE(F320:F349)/100,"")</f>
        <v>29.87</v>
      </c>
      <c r="G350" s="41" t="str">
        <f>IF(COUNT(G320:G349)&gt;0,AVERAGE(G320:G349)/10,"")</f>
        <v/>
      </c>
      <c r="H350" s="42" t="str">
        <f>IF(COUNT(H320:H349)&gt;0,AVERAGE(H320:H349)/10,"")</f>
        <v/>
      </c>
      <c r="I350" s="18" t="str">
        <f>IF(COUNT(I320:I349)&gt;0,AVERAGE(I320:I349)/10,"")</f>
        <v/>
      </c>
      <c r="J350" s="54" t="str">
        <f>IF(COUNT(J320:J349)&gt;0,AVERAGE(J320:J349),"")</f>
        <v/>
      </c>
      <c r="K350" s="51" t="str">
        <f>IF(COUNT(K320:K349)&gt;0,AVERAGE(K320:K349)/1000,"")</f>
        <v/>
      </c>
      <c r="L350" s="41">
        <f>IF(COUNT(L320:L349)&gt;0,AVERAGE(L320:L349)/10,"")</f>
        <v>84.926666666666662</v>
      </c>
      <c r="M350" s="44">
        <f>IF(COUNT(M320:M349)&gt;0,AVERAGE(M320:M349)/10,"")</f>
        <v>72.38</v>
      </c>
      <c r="N350" s="46"/>
      <c r="O350" s="57">
        <f>IF(COUNT(O320:O349)&gt;0,AVERAGE(O320:O349),"")</f>
        <v>11.466666666666667</v>
      </c>
      <c r="P350" s="58" t="str">
        <f>IF(COUNT(P320:P349)&gt;0,AVERAGE(P320:P349),"")</f>
        <v/>
      </c>
      <c r="Q350" s="47"/>
      <c r="R350" s="68">
        <f>IF(COUNT(R320:R349)&gt;0,SUM(R320:R349)/100,"")</f>
        <v>1.47</v>
      </c>
      <c r="S350" s="64" t="str">
        <f>IF(COUNT(S320:S349)&gt;0,AVERAGE(S320:S349),"")</f>
        <v/>
      </c>
      <c r="T350" s="65" t="str">
        <f>IF(COUNT(T320:T349)&gt;0,AVERAGE(T320:T349),"")</f>
        <v/>
      </c>
      <c r="U350" s="66" t="str">
        <f>IF(COUNT(U320:U349)&gt;0,AVERAGE(U320:U349),"")</f>
        <v/>
      </c>
    </row>
    <row r="351" spans="1:21" ht="15" customHeight="1" x14ac:dyDescent="0.25">
      <c r="A351" s="1">
        <f t="shared" ca="1" si="22"/>
        <v>4719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4720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4721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4722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4723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4724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4725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4726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4727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4728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4729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4730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4731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4732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4733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4734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4735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4736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4737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4738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4739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4740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4741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4742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4743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4744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4745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4746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4747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4748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ht="15" customHeight="1" x14ac:dyDescent="0.25">
      <c r="A381" s="1">
        <f t="shared" ca="1" si="22"/>
        <v>4749</v>
      </c>
      <c r="B381" s="29"/>
      <c r="C381" s="29"/>
      <c r="D381" s="29"/>
      <c r="E381" s="29"/>
      <c r="F381" s="29"/>
      <c r="G381" s="39"/>
      <c r="H381" s="40"/>
      <c r="I381" s="52"/>
      <c r="J381" s="53"/>
      <c r="K381" s="17"/>
      <c r="L381" s="39"/>
      <c r="M381" s="43"/>
      <c r="N381" s="45"/>
      <c r="O381" s="55"/>
      <c r="P381" s="56"/>
      <c r="Q381" s="74"/>
      <c r="R381" s="70"/>
      <c r="S381" s="19"/>
      <c r="T381" s="60"/>
      <c r="U381" s="59"/>
    </row>
    <row r="382" spans="1:21" x14ac:dyDescent="0.25">
      <c r="A382" s="1" t="str">
        <f t="shared" ca="1" si="22"/>
        <v>Totaal</v>
      </c>
      <c r="B382" s="61" t="str">
        <f>IF(COUNT(B351:B381)&gt;0,AVERAGE(B351:B381)/10,"")</f>
        <v/>
      </c>
      <c r="C382" s="62" t="str">
        <f>IF(COUNT(C351:C381)&gt;0,AVERAGE(C351:C381)/1000,"")</f>
        <v/>
      </c>
      <c r="D382" s="62" t="str">
        <f t="shared" ref="D382" si="23">IF(COUNT(D351:D381)&gt;0,AVERAGE(D351:D381)/1000,"")</f>
        <v/>
      </c>
      <c r="E382" s="62" t="str">
        <f t="shared" ref="E382" si="24">IF(COUNT(E351:E381)&gt;0,AVERAGE(E351:E381)/1000,"")</f>
        <v/>
      </c>
      <c r="F382" s="62" t="str">
        <f>IF(COUNT(F351:F381)&gt;0,AVERAGE(F351:F381)/100,"")</f>
        <v/>
      </c>
      <c r="G382" s="41" t="str">
        <f>IF(COUNT(G351:G381)&gt;0,AVERAGE(G351:G381)/10,"")</f>
        <v/>
      </c>
      <c r="H382" s="42" t="str">
        <f t="shared" ref="H382" si="25">IF(COUNT(H351:H381)&gt;0,AVERAGE(H351:H381)/10,"")</f>
        <v/>
      </c>
      <c r="I382" s="18" t="str">
        <f>IF(COUNT(I351:I381)&gt;0,AVERAGE(I351:I381)/10,"")</f>
        <v/>
      </c>
      <c r="J382" s="54" t="str">
        <f>IF(COUNT(J351:J381)&gt;0,AVERAGE(J351:J381),"")</f>
        <v/>
      </c>
      <c r="K382" s="51" t="str">
        <f>IF(COUNT(K351:K381)&gt;0,AVERAGE(K351:K381)/1000,"")</f>
        <v/>
      </c>
      <c r="L382" s="41" t="str">
        <f>IF(COUNT(L351:L381)&gt;0,AVERAGE(L351:L381)/10,"")</f>
        <v/>
      </c>
      <c r="M382" s="44" t="str">
        <f>IF(COUNT(M351:M381)&gt;0,AVERAGE(M351:M381)/10,"")</f>
        <v/>
      </c>
      <c r="N382" s="46"/>
      <c r="O382" s="57" t="str">
        <f>IF(COUNT(O351:O381)&gt;0,AVERAGE(O351:O381),"")</f>
        <v/>
      </c>
      <c r="P382" s="58" t="str">
        <f>IF(COUNT(P351:P381)&gt;0,AVERAGE(P351:P381),"")</f>
        <v/>
      </c>
      <c r="Q382" s="47"/>
      <c r="R382" s="68" t="str">
        <f>IF(COUNT(R351:R381)&gt;0,SUM(R351:R381)/100,"")</f>
        <v/>
      </c>
      <c r="S382" s="64" t="str">
        <f>IF(COUNT(S351:S381)&gt;0,AVERAGE(S351:S381),"")</f>
        <v/>
      </c>
      <c r="T382" s="65" t="str">
        <f>IF(COUNT(T351:T381)&gt;0,AVERAGE(T351:T381),"")</f>
        <v/>
      </c>
      <c r="U382" s="66" t="str">
        <f>IF(COUNT(U351:U381)&gt;0,AVERAGE(U351:U381),"")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2">
    <cfRule type="expression" dxfId="0" priority="36">
      <formula>ISTEXT($A5)</formula>
    </cfRule>
  </conditionalFormatting>
  <dataValidations count="1">
    <dataValidation type="list" allowBlank="1" showInputMessage="1" showErrorMessage="1" sqref="N5:N35 N37:N65 N67:N97 N99:N128 N130:N160 N162:N191 N193:N223 N225:N255 N257:N286 N288:N318 N320:N349 N351:N381 Q5:Q35 Q37:Q65 Q67:Q97 Q99:Q128 Q130:Q160 Q162:Q191 Q193:Q223 Q225:Q255 Q257:Q286 Q288:Q318 Q320:Q349 Q351:Q381 U5:U35 U37:U65 U67:U97 U99:U128 U130:U160 U162:U191 U193:U223 U225:U255 U257:U286 U288:U318 U320:U349 U351:U381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7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19120101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19120102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19120103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19120104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19120105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19120106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19120107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19120108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19120109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19120110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19120111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19120112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19120113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19120114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19120115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19120116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19120117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19120118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19120119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19120120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19120121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19120122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19120123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19120124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19120125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19120126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19120127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19120128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19120129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19120130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19120131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19120201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19120202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19120203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19120204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19120205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19120206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19120207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19120208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19120209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19120210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19120211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19120212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19120213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19120214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19120215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19120216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19120217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19120218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19120219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19120220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19120221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19120222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19120223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19120224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19120225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19120226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19120227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19120228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19120229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19120301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19120302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19120303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19120304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19120305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19120306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19120307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19120308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19120309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19120310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19120311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19120312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19120313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19120314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19120315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19120316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19120317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19120318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19120319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19120320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19120321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19120322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19120323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19120324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19120325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19120326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19120327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19120328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19120329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19120330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19120331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19120401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19120402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19120403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19120404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19120405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19120406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19120407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19120408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19120409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19120410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19120411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19120412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19120413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19120414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19120415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19120416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19120417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19120418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19120419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19120420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19120421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19120422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19120423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19120424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19120425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19120426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19120427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19120428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19120429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19120430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19120501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19120502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19120503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19120504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19120505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19120506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19120507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19120508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19120509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19120510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19120511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19120512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19120513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19120514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19120515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19120516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19120517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19120518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19120519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19120520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19120521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19120522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19120523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19120524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19120525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19120526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19120527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19120528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19120529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19120530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19120531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19120601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19120602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19120603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19120604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19120605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19120606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19120607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19120608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19120609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19120610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19120611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19120612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19120613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19120614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19120615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19120616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19120617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19120618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19120619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19120620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19120621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19120622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19120623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19120624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19120625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19120626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19120627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19120628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19120629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19120630</v>
      </c>
      <c r="C183" s="5">
        <v>1</v>
      </c>
      <c r="D183" s="69" t="str">
        <f t="shared" ca="1" si="4"/>
        <v>—</v>
      </c>
      <c r="E183" s="10">
        <f t="shared" ca="1" si="5"/>
        <v>7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19120701</v>
      </c>
      <c r="C184" s="5">
        <v>1</v>
      </c>
      <c r="D184" s="69">
        <f t="shared" ca="1" si="4"/>
        <v>4.8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19120702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19120703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19120704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19120705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19120706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19120707</v>
      </c>
      <c r="C190" s="5">
        <v>1</v>
      </c>
      <c r="D190" s="69">
        <f t="shared" ca="1" si="4"/>
        <v>1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19120708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19120709</v>
      </c>
      <c r="C192" s="5">
        <v>1</v>
      </c>
      <c r="D192" s="69">
        <f t="shared" ca="1" si="4"/>
        <v>10.199999999999999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19120710</v>
      </c>
      <c r="C193" s="5">
        <v>1</v>
      </c>
      <c r="D193" s="69">
        <f t="shared" ca="1" si="4"/>
        <v>2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19120711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19120712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19120713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19120714</v>
      </c>
      <c r="C197" s="5">
        <v>1</v>
      </c>
      <c r="D197" s="69" t="str">
        <f t="shared" ca="1" si="6"/>
        <v>—</v>
      </c>
      <c r="E197" s="10">
        <f t="shared" ca="1" si="7"/>
        <v>7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19120715</v>
      </c>
      <c r="C198" s="5">
        <v>1</v>
      </c>
      <c r="D198" s="69">
        <f t="shared" ca="1" si="6"/>
        <v>2.2999999999999998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19120716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19120717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19120718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19120719</v>
      </c>
      <c r="C202" s="5">
        <v>1</v>
      </c>
      <c r="D202" s="69">
        <f t="shared" ca="1" si="6"/>
        <v>1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19120720</v>
      </c>
      <c r="C203" s="5">
        <v>1</v>
      </c>
      <c r="D203" s="69">
        <f t="shared" ca="1" si="6"/>
        <v>0.5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19120721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19120722</v>
      </c>
      <c r="C205" s="5">
        <v>1</v>
      </c>
      <c r="D205" s="69">
        <f t="shared" ca="1" si="6"/>
        <v>0.8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19120723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19120724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19120725</v>
      </c>
      <c r="C208" s="5">
        <v>1</v>
      </c>
      <c r="D208" s="69">
        <f t="shared" ca="1" si="6"/>
        <v>0.8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19120726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19120727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19120728</v>
      </c>
      <c r="C211" s="5">
        <v>1</v>
      </c>
      <c r="D211" s="69">
        <f t="shared" ca="1" si="6"/>
        <v>1.8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19120729</v>
      </c>
      <c r="C212" s="5">
        <v>1</v>
      </c>
      <c r="D212" s="69">
        <f t="shared" ca="1" si="6"/>
        <v>1.5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19120730</v>
      </c>
      <c r="C213" s="5">
        <v>1</v>
      </c>
      <c r="D213" s="69">
        <f t="shared" ca="1" si="6"/>
        <v>0.5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19120731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19120801</v>
      </c>
      <c r="C215" s="5">
        <v>1</v>
      </c>
      <c r="D215" s="69">
        <f t="shared" ca="1" si="6"/>
        <v>2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19120802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19120803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19120804</v>
      </c>
      <c r="C218" s="5">
        <v>1</v>
      </c>
      <c r="D218" s="69">
        <f t="shared" ca="1" si="6"/>
        <v>1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19120805</v>
      </c>
      <c r="C219" s="5">
        <v>1</v>
      </c>
      <c r="D219" s="69">
        <f t="shared" ca="1" si="6"/>
        <v>10.199999999999999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19120806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19120807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19120808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19120809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19120810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19120811</v>
      </c>
      <c r="C225" s="5">
        <v>1</v>
      </c>
      <c r="D225" s="69">
        <f t="shared" ca="1" si="6"/>
        <v>1.5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19120812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19120813</v>
      </c>
      <c r="C227" s="5">
        <v>1</v>
      </c>
      <c r="D227" s="69">
        <f t="shared" ca="1" si="6"/>
        <v>1.3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19120814</v>
      </c>
      <c r="C228" s="5">
        <v>1</v>
      </c>
      <c r="D228" s="69">
        <f t="shared" ca="1" si="6"/>
        <v>6.1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19120815</v>
      </c>
      <c r="C229" s="5">
        <v>1</v>
      </c>
      <c r="D229" s="69">
        <f t="shared" ca="1" si="6"/>
        <v>7.6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19120816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19120817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19120818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19120819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19120820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19120821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19120822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19120823</v>
      </c>
      <c r="C237" s="5">
        <v>1</v>
      </c>
      <c r="D237" s="69">
        <f t="shared" ca="1" si="6"/>
        <v>0.3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19120824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19120825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19120826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19120827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19120828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19120829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19120830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19120831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19120901</v>
      </c>
      <c r="C246" s="5">
        <v>1</v>
      </c>
      <c r="D246" s="69">
        <f t="shared" ca="1" si="6"/>
        <v>1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19120902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19120903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19120904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19120905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19120906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19120907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19120908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19120909</v>
      </c>
      <c r="C254" s="5">
        <v>1</v>
      </c>
      <c r="D254" s="69">
        <f t="shared" ca="1" si="6"/>
        <v>1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19120910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19120911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19120912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19120913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19120914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19120915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19120916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19120917</v>
      </c>
      <c r="C262" s="5">
        <v>1</v>
      </c>
      <c r="D262" s="69">
        <f t="shared" ca="1" si="8"/>
        <v>2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19120918</v>
      </c>
      <c r="C263" s="5">
        <v>1</v>
      </c>
      <c r="D263" s="69">
        <f t="shared" ca="1" si="8"/>
        <v>4.5999999999999996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19120919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19120920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19120921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19120922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19120923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19120924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19120925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19120926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19120927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19120928</v>
      </c>
      <c r="C273" s="5">
        <v>1</v>
      </c>
      <c r="D273" s="69">
        <f t="shared" ca="1" si="8"/>
        <v>8.9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19120929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19120930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19121001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19121002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19121003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19121004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19121005</v>
      </c>
      <c r="C280" s="5">
        <v>1</v>
      </c>
      <c r="D280" s="69">
        <f t="shared" ca="1" si="8"/>
        <v>2.5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19121006</v>
      </c>
      <c r="C281" s="5">
        <v>1</v>
      </c>
      <c r="D281" s="69">
        <f t="shared" ca="1" si="8"/>
        <v>11.4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19121007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19121008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19121009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19121010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19121011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19121012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19121013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19121014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19121015</v>
      </c>
      <c r="C290" s="5">
        <v>1</v>
      </c>
      <c r="D290" s="69">
        <f t="shared" ca="1" si="8"/>
        <v>5.3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19121016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19121017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19121018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19121019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19121020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19121021</v>
      </c>
      <c r="C296" s="5">
        <v>1</v>
      </c>
      <c r="D296" s="69">
        <f t="shared" ca="1" si="8"/>
        <v>0.3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19121022</v>
      </c>
      <c r="C297" s="5">
        <v>1</v>
      </c>
      <c r="D297" s="69">
        <f t="shared" ca="1" si="8"/>
        <v>0.3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19121023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19121024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19121025</v>
      </c>
      <c r="C300" s="5">
        <v>1</v>
      </c>
      <c r="D300" s="69">
        <f t="shared" ca="1" si="8"/>
        <v>14.2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19121026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19121027</v>
      </c>
      <c r="C302" s="5">
        <v>1</v>
      </c>
      <c r="D302" s="69">
        <f t="shared" ca="1" si="8"/>
        <v>10.199999999999999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19121028</v>
      </c>
      <c r="C303" s="5">
        <v>1</v>
      </c>
      <c r="D303" s="69">
        <f t="shared" ca="1" si="8"/>
        <v>38.4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19121029</v>
      </c>
      <c r="C304" s="5">
        <v>1</v>
      </c>
      <c r="D304" s="69">
        <f t="shared" ca="1" si="8"/>
        <v>0.3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19121030</v>
      </c>
      <c r="C305" s="5">
        <v>1</v>
      </c>
      <c r="D305" s="69">
        <f t="shared" ca="1" si="8"/>
        <v>13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19121031</v>
      </c>
      <c r="C306" s="5">
        <v>1</v>
      </c>
      <c r="D306" s="69">
        <f t="shared" ca="1" si="8"/>
        <v>0.3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19121101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19121102</v>
      </c>
      <c r="C308" s="5">
        <v>1</v>
      </c>
      <c r="D308" s="69">
        <f t="shared" ca="1" si="8"/>
        <v>2.5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19121103</v>
      </c>
      <c r="C309" s="5">
        <v>1</v>
      </c>
      <c r="D309" s="69">
        <f t="shared" ca="1" si="8"/>
        <v>1.3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19121104</v>
      </c>
      <c r="C310" s="5">
        <v>1</v>
      </c>
      <c r="D310" s="69">
        <f t="shared" ca="1" si="8"/>
        <v>6.6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19121105</v>
      </c>
      <c r="C311" s="5">
        <v>1</v>
      </c>
      <c r="D311" s="69">
        <f t="shared" ca="1" si="8"/>
        <v>3.6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19121106</v>
      </c>
      <c r="C312" s="5">
        <v>1</v>
      </c>
      <c r="D312" s="69">
        <f t="shared" ca="1" si="8"/>
        <v>9.1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19121107</v>
      </c>
      <c r="C313" s="5">
        <v>1</v>
      </c>
      <c r="D313" s="69">
        <f t="shared" ca="1" si="8"/>
        <v>0.8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19121108</v>
      </c>
      <c r="C314" s="5">
        <v>1</v>
      </c>
      <c r="D314" s="69">
        <f t="shared" ca="1" si="8"/>
        <v>2.8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19121109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19121110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19121111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19121112</v>
      </c>
      <c r="C318" s="5">
        <v>1</v>
      </c>
      <c r="D318" s="69">
        <f t="shared" ca="1" si="8"/>
        <v>1.8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19121113</v>
      </c>
      <c r="C319" s="5">
        <v>1</v>
      </c>
      <c r="D319" s="69">
        <f t="shared" ca="1" si="8"/>
        <v>7.6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19121114</v>
      </c>
      <c r="C320" s="5">
        <v>1</v>
      </c>
      <c r="D320" s="69">
        <f t="shared" ca="1" si="8"/>
        <v>0.8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19121115</v>
      </c>
      <c r="C321" s="5">
        <v>1</v>
      </c>
      <c r="D321" s="69">
        <f t="shared" ca="1" si="8"/>
        <v>0.5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19121116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19121117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19121118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19121119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19121120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19121121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19121122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19121123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19121124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19121125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19121126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19121127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19121128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19121129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19121130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19121201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19121202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19121203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19121204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19121205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19121206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19121207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19121208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19121209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19121210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19121211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19121212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19121213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19121214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19121215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19121216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19121217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19121218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19121219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19121220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19121221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19121222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19121223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19121224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19121225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19121226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19121227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19121228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19121229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19121230</v>
      </c>
      <c r="C366" s="5">
        <v>1</v>
      </c>
      <c r="D366" s="69" t="str">
        <f t="shared" ca="1" si="10"/>
        <v>—</v>
      </c>
      <c r="E366" s="10">
        <f t="shared" ca="1" si="11"/>
        <v>7</v>
      </c>
    </row>
    <row r="367" spans="1:5" x14ac:dyDescent="0.25">
      <c r="A367" s="4">
        <f ca="1">INDEX(Stations,INT((ROWS(A$2:A367)-1)/(DATE(YEAR(Invoer!$A$5),12,31)-DATE(YEAR(Invoer!$A$5),1,1)+1))+2,1)</f>
        <v>78989</v>
      </c>
      <c r="B367" t="str">
        <f ca="1">TEXT(DATE(YEAR(Invoer!$A$5),1,1)+MOD(ROWS(B$2:B367)-1,DATE(YEAR(Invoer!$A$5),12,31)-DATE(YEAR(Invoer!$A$5),1,1)+1),"jjjjmmdd")</f>
        <v>19121231</v>
      </c>
      <c r="C367" s="5">
        <v>1</v>
      </c>
      <c r="D367" s="69" t="str">
        <f t="shared" ref="D367" ca="1" si="12">IF(OR(ISBLANK(VLOOKUP(DATEVALUE(LEFT(B367,4)&amp;"-"&amp;MID(B367,5,2)&amp;"-"&amp;RIGHT(B367,2)),Data,MATCH(LEFT(VLOOKUP(D$1,Parameters,2,FALSE()),3)&amp;"*",OFFSET(Data,0,0,1),0),FALSE())),AND(ISTEXT(VLOOKUP(DATEVALUE(LEFT(B367,4)&amp;"-"&amp;MID(B367,5,2)&amp;"-"&amp;RIGHT(B367,2)),Data,MATCH(LEFT(VLOOKUP(D$1,Parameters,2,FALSE()),3)&amp;"*",OFFSET(Data,0,0,1),0),FALSE())),NOT(EXACT(VLOOKUP(DATEVALUE(LEFT(B367,4)&amp;"-"&amp;MID(B367,5,2)&amp;"-"&amp;RIGHT(B367,2)),Data,MATCH(LEFT(VLOOKUP(D$1,Parameters,2,FALSE()),3)&amp;"*",OFFSET(Data,0,0,1),0),FALSE()),"T")))),"—",IF(ISTEXT(VLOOKUP(DATEVALUE(LEFT(B367,4)&amp;"-"&amp;MID(B367,5,2)&amp;"-"&amp;RIGHT(B367,2)),Data,MATCH(LEFT(VLOOKUP(D$1,Parameters,2,FALSE()),3)&amp;"*",OFFSET(Data,0,0,1),0),FALSE())),VLOOKUP(DATEVALUE(LEFT(B367,4)&amp;"-"&amp;MID(B367,5,2)&amp;"-"&amp;RIGHT(B367,2)),Data,MATCH(LEFT(VLOOKUP(D$1,Parameters,2,FALSE()),3)&amp;"*",OFFSET(Data,0,0,1),0),FALSE()),ROUND(0.254*VLOOKUP(DATEVALUE(LEFT(B367,4)&amp;"-"&amp;MID(B367,5,2)&amp;"-"&amp;RIGHT(B367,2)),Data,MATCH(LEFT(VLOOKUP(D$1,Parameters,2,FALSE()),3)&amp;"*",OFFSET(Data,0,0,1),0),FALSE()),1)))</f>
        <v>—</v>
      </c>
      <c r="E367" s="10">
        <f t="shared" ref="E367" ca="1" si="13">IF(OR(ISBLANK(VLOOKUP(DATEVALUE(LEFT(B367,4)&amp;"-"&amp;MID(B367,5,2)&amp;"-"&amp;RIGHT(B367,2)),Data,MATCH(LEFT(VLOOKUP(MID(E$1,2,LEN(E$1)-1),Parameters,2,FALSE()),3)&amp;"*",OFFSET(Data,0,0,1),0),FALSE())),AND(ISTEXT(VLOOKUP(DATEVALUE(LEFT(B367,4)&amp;"-"&amp;MID(B367,5,2)&amp;"-"&amp;RIGHT(B367,2)),Data,MATCH(LEFT(VLOOKUP(MID(E$1,2,LEN(E$1)-1),Parameters,2,FALSE()),3)&amp;"*",OFFSET(Data,0,0,1),0),FALSE())),NOT(EXACT(VLOOKUP(DATEVALUE(LEFT(B367,4)&amp;"-"&amp;MID(B367,5,2)&amp;"-"&amp;RIGHT(B367,2)),Data,MATCH(LEFT(VLOOKUP(MID(E$1,2,LEN(E$1)-1),Parameters,2,FALSE()),3)&amp;"*",OFFSET(Data,0,0,1),0),FALSE()),"T")))),Lacking,IF(ISNA(MATCH(DATEVALUE(LEFT(B367,4)&amp;"-"&amp;MID(B367,5,2)&amp;"-"&amp;RIGHT(B367,2)),OFFSET(Catalogus,0,0,,1),0)),Ok,VLOOKUP(DATEVALUE(LEFT(B367,4)&amp;"-"&amp;MID(B367,5,2)&amp;"-"&amp;RIGHT(B367,2)),Catalogus,MATCH(LEFT(VLOOKUP(MID(E$1,2,LEN(E$1)-1),Parameters,2,FALSE()),3)&amp;"*",OFFSET(Catalogus,0,0,1),0),FALSE())))</f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7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19120101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19120102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19120103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19120104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19120105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19120106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19120107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19120108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19120109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19120110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19120111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19120112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19120113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19120114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19120115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19120116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19120117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19120118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19120119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19120120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19120121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19120122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19120123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19120124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19120125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19120126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19120127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19120128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19120129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19120130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19120131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19120201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19120202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19120203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19120204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19120205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19120206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19120207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19120208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19120209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19120210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19120211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19120212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19120213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19120214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19120215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19120216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19120217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19120218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19120219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19120220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19120221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19120222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19120223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19120224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19120225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19120226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19120227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19120228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19120229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19120301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19120302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19120303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19120304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19120305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19120306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19120307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19120308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19120309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19120310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19120311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19120312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19120313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19120314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19120315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19120316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19120317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19120318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19120319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19120320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19120321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19120322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19120323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19120324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19120325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19120326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19120327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19120328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19120329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19120330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19120331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19120401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19120402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19120403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19120404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19120405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19120406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19120407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19120408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19120409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19120410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19120411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19120412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19120413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19120414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19120415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19120416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19120417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19120418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19120419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19120420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19120421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19120422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19120423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19120424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19120425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19120426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19120427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19120428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19120429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19120430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19120501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19120502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19120503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19120504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19120505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19120506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19120507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19120508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19120509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19120510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19120511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19120512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19120513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19120514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19120515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19120516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19120517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19120518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19120519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19120520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19120521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19120522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19120523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19120524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19120525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19120526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19120527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19120528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19120529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19120530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19120531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19120601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19120602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19120603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19120604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19120605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19120606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19120607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19120608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19120609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19120610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19120611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19120612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19120613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19120614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19120615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19120616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19120617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19120618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19120619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19120620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19120621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19120622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19120623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19120624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19120625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19120626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19120627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19120628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19120629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19120630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 t="str">
        <f t="shared" ca="1" si="90"/>
        <v>—</v>
      </c>
      <c r="M183" s="15">
        <f t="shared" ca="1" si="91"/>
        <v>7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 t="str">
        <f t="shared" ca="1" si="104"/>
        <v>—</v>
      </c>
      <c r="AA183" s="15">
        <f t="shared" ca="1" si="105"/>
        <v>7</v>
      </c>
      <c r="AB183" s="9" t="str">
        <f t="shared" ca="1" si="106"/>
        <v>—</v>
      </c>
      <c r="AC183" s="15">
        <f t="shared" ca="1" si="107"/>
        <v>7</v>
      </c>
      <c r="AD183" s="76" t="str">
        <f t="shared" ca="1" si="108"/>
        <v>—</v>
      </c>
      <c r="AE183" s="15">
        <f t="shared" ca="1" si="109"/>
        <v>7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19120701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760.2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30.2</v>
      </c>
      <c r="Y184" s="15">
        <f t="shared" ca="1" si="103"/>
        <v>0</v>
      </c>
      <c r="Z184" s="16">
        <f t="shared" ca="1" si="104"/>
        <v>22.2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6.7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19120702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761.5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27.9</v>
      </c>
      <c r="Y185" s="15">
        <f t="shared" ca="1" si="103"/>
        <v>0</v>
      </c>
      <c r="Z185" s="16">
        <f t="shared" ca="1" si="104"/>
        <v>21.2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6.7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19120703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761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30.4</v>
      </c>
      <c r="Y186" s="15">
        <f t="shared" ca="1" si="103"/>
        <v>0</v>
      </c>
      <c r="Z186" s="16">
        <f t="shared" ca="1" si="104"/>
        <v>21.7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7.2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19120704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759.2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30.4</v>
      </c>
      <c r="Y187" s="15">
        <f t="shared" ca="1" si="103"/>
        <v>0</v>
      </c>
      <c r="Z187" s="16">
        <f t="shared" ca="1" si="104"/>
        <v>21.9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7.7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19120705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760.2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29.7</v>
      </c>
      <c r="Y188" s="15">
        <f t="shared" ca="1" si="103"/>
        <v>0</v>
      </c>
      <c r="Z188" s="16">
        <f t="shared" ca="1" si="104"/>
        <v>20.5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8.1999999999999993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19120706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761.2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29.7</v>
      </c>
      <c r="Y189" s="15">
        <f t="shared" ca="1" si="103"/>
        <v>0</v>
      </c>
      <c r="Z189" s="16">
        <f t="shared" ca="1" si="104"/>
        <v>21.7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6.2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19120707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761.2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30.1</v>
      </c>
      <c r="Y190" s="15">
        <f t="shared" ca="1" si="103"/>
        <v>0</v>
      </c>
      <c r="Z190" s="16">
        <f t="shared" ca="1" si="104"/>
        <v>22.4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6.2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19120708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760.7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30</v>
      </c>
      <c r="Y191" s="15">
        <f t="shared" ca="1" si="103"/>
        <v>0</v>
      </c>
      <c r="Z191" s="16">
        <f t="shared" ca="1" si="104"/>
        <v>22.3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7.2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19120709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761.2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29.7</v>
      </c>
      <c r="Y192" s="15">
        <f t="shared" ca="1" si="103"/>
        <v>0</v>
      </c>
      <c r="Z192" s="16">
        <f t="shared" ca="1" si="104"/>
        <v>20.5</v>
      </c>
      <c r="AA192" s="15">
        <f t="shared" ca="1" si="105"/>
        <v>0</v>
      </c>
      <c r="AB192" s="9">
        <f t="shared" ca="1" si="106"/>
        <v>135</v>
      </c>
      <c r="AC192" s="15">
        <f t="shared" ca="1" si="107"/>
        <v>0</v>
      </c>
      <c r="AD192" s="76">
        <f t="shared" ca="1" si="108"/>
        <v>4.0999999999999996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19120710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761.7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29.5</v>
      </c>
      <c r="Y193" s="15">
        <f t="shared" ca="1" si="103"/>
        <v>0</v>
      </c>
      <c r="Z193" s="16">
        <f t="shared" ca="1" si="104"/>
        <v>20.8</v>
      </c>
      <c r="AA193" s="15">
        <f t="shared" ca="1" si="105"/>
        <v>0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7.2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19120711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760.7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29.6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22.3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135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7.2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19120712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761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30.1</v>
      </c>
      <c r="Y195" s="15">
        <f t="shared" ca="1" si="143"/>
        <v>0</v>
      </c>
      <c r="Z195" s="16">
        <f t="shared" ca="1" si="144"/>
        <v>24.4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7.2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19120713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760.7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30</v>
      </c>
      <c r="Y196" s="15">
        <f t="shared" ca="1" si="143"/>
        <v>0</v>
      </c>
      <c r="Z196" s="16">
        <f t="shared" ca="1" si="144"/>
        <v>22.1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7.7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19120714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760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30.4</v>
      </c>
      <c r="Y197" s="15">
        <f t="shared" ca="1" si="143"/>
        <v>0</v>
      </c>
      <c r="Z197" s="16">
        <f t="shared" ca="1" si="144"/>
        <v>22.9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7.2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19120715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759.5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30.4</v>
      </c>
      <c r="Y198" s="15">
        <f t="shared" ca="1" si="143"/>
        <v>0</v>
      </c>
      <c r="Z198" s="16">
        <f t="shared" ca="1" si="144"/>
        <v>21.1</v>
      </c>
      <c r="AA198" s="15">
        <f t="shared" ca="1" si="145"/>
        <v>0</v>
      </c>
      <c r="AB198" s="9">
        <f t="shared" ca="1" si="146"/>
        <v>90</v>
      </c>
      <c r="AC198" s="15">
        <f t="shared" ca="1" si="147"/>
        <v>0</v>
      </c>
      <c r="AD198" s="76">
        <f t="shared" ca="1" si="148"/>
        <v>6.2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19120716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759.5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</v>
      </c>
      <c r="Y199" s="15">
        <f t="shared" ca="1" si="143"/>
        <v>0</v>
      </c>
      <c r="Z199" s="16">
        <f t="shared" ca="1" si="144"/>
        <v>23.9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6.2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19120717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759.7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30.6</v>
      </c>
      <c r="Y200" s="15">
        <f t="shared" ca="1" si="143"/>
        <v>0</v>
      </c>
      <c r="Z200" s="16">
        <f t="shared" ca="1" si="144"/>
        <v>23.9</v>
      </c>
      <c r="AA200" s="15">
        <f t="shared" ca="1" si="145"/>
        <v>0</v>
      </c>
      <c r="AB200" s="9">
        <f t="shared" ca="1" si="146"/>
        <v>135</v>
      </c>
      <c r="AC200" s="15">
        <f t="shared" ca="1" si="147"/>
        <v>0</v>
      </c>
      <c r="AD200" s="76">
        <f t="shared" ca="1" si="148"/>
        <v>6.2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19120718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760.2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30.1</v>
      </c>
      <c r="Y201" s="15">
        <f t="shared" ca="1" si="143"/>
        <v>0</v>
      </c>
      <c r="Z201" s="16">
        <f t="shared" ca="1" si="144"/>
        <v>24.1</v>
      </c>
      <c r="AA201" s="15">
        <f t="shared" ca="1" si="145"/>
        <v>0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7.2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19120719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761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30.4</v>
      </c>
      <c r="Y202" s="15">
        <f t="shared" ca="1" si="143"/>
        <v>0</v>
      </c>
      <c r="Z202" s="16">
        <f t="shared" ca="1" si="144"/>
        <v>23.9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7.2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19120720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761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30.2</v>
      </c>
      <c r="Y203" s="15">
        <f t="shared" ca="1" si="143"/>
        <v>0</v>
      </c>
      <c r="Z203" s="16">
        <f t="shared" ca="1" si="144"/>
        <v>22.8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6.2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19120721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760.7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30.5</v>
      </c>
      <c r="Y204" s="15">
        <f t="shared" ca="1" si="143"/>
        <v>0</v>
      </c>
      <c r="Z204" s="16">
        <f t="shared" ca="1" si="144"/>
        <v>23.3</v>
      </c>
      <c r="AA204" s="15">
        <f t="shared" ca="1" si="145"/>
        <v>0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7.2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19120722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762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30.3</v>
      </c>
      <c r="Y205" s="15">
        <f t="shared" ca="1" si="143"/>
        <v>0</v>
      </c>
      <c r="Z205" s="16">
        <f t="shared" ca="1" si="144"/>
        <v>23.6</v>
      </c>
      <c r="AA205" s="15">
        <f t="shared" ca="1" si="145"/>
        <v>0</v>
      </c>
      <c r="AB205" s="9">
        <f t="shared" ca="1" si="146"/>
        <v>135</v>
      </c>
      <c r="AC205" s="15">
        <f t="shared" ca="1" si="147"/>
        <v>0</v>
      </c>
      <c r="AD205" s="76">
        <f t="shared" ca="1" si="148"/>
        <v>6.2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19120723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761.2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30.4</v>
      </c>
      <c r="Y206" s="15">
        <f t="shared" ca="1" si="143"/>
        <v>0</v>
      </c>
      <c r="Z206" s="16">
        <f t="shared" ca="1" si="144"/>
        <v>23.5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8.1999999999999993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19120724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760.7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30.7</v>
      </c>
      <c r="Y207" s="15">
        <f t="shared" ca="1" si="143"/>
        <v>0</v>
      </c>
      <c r="Z207" s="16">
        <f t="shared" ca="1" si="144"/>
        <v>23.6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6.7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19120725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30.4</v>
      </c>
      <c r="Y208" s="15">
        <f t="shared" ca="1" si="143"/>
        <v>0</v>
      </c>
      <c r="Z208" s="16">
        <f t="shared" ca="1" si="144"/>
        <v>23.8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7.7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19120726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30.6</v>
      </c>
      <c r="Y209" s="15">
        <f t="shared" ca="1" si="143"/>
        <v>0</v>
      </c>
      <c r="Z209" s="16">
        <f t="shared" ca="1" si="144"/>
        <v>24.1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6.2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19120727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</v>
      </c>
      <c r="Y210" s="15">
        <f t="shared" ca="1" si="143"/>
        <v>0</v>
      </c>
      <c r="Z210" s="16">
        <f t="shared" ca="1" si="144"/>
        <v>22.9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6.2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19120728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758.7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30.6</v>
      </c>
      <c r="Y211" s="15">
        <f t="shared" ca="1" si="143"/>
        <v>0</v>
      </c>
      <c r="Z211" s="16">
        <f t="shared" ca="1" si="144"/>
        <v>21.4</v>
      </c>
      <c r="AA211" s="15">
        <f t="shared" ca="1" si="145"/>
        <v>0</v>
      </c>
      <c r="AB211" s="9">
        <f t="shared" ca="1" si="146"/>
        <v>135</v>
      </c>
      <c r="AC211" s="15">
        <f t="shared" ca="1" si="147"/>
        <v>0</v>
      </c>
      <c r="AD211" s="76">
        <f t="shared" ca="1" si="148"/>
        <v>6.2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19120729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760.7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29.4</v>
      </c>
      <c r="Y212" s="15">
        <f t="shared" ca="1" si="143"/>
        <v>0</v>
      </c>
      <c r="Z212" s="16">
        <f t="shared" ca="1" si="144"/>
        <v>21.8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7.2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19120730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30.4</v>
      </c>
      <c r="Y213" s="15">
        <f t="shared" ca="1" si="143"/>
        <v>0</v>
      </c>
      <c r="Z213" s="16">
        <f t="shared" ca="1" si="144"/>
        <v>22.6</v>
      </c>
      <c r="AA213" s="15">
        <f t="shared" ca="1" si="145"/>
        <v>0</v>
      </c>
      <c r="AB213" s="9">
        <f t="shared" ca="1" si="146"/>
        <v>135</v>
      </c>
      <c r="AC213" s="15">
        <f t="shared" ca="1" si="147"/>
        <v>0</v>
      </c>
      <c r="AD213" s="76">
        <f t="shared" ca="1" si="148"/>
        <v>7.2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19120731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29.9</v>
      </c>
      <c r="Y214" s="15">
        <f t="shared" ca="1" si="143"/>
        <v>0</v>
      </c>
      <c r="Z214" s="16">
        <f t="shared" ca="1" si="144"/>
        <v>24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8.1999999999999993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19120801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759.7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28.6</v>
      </c>
      <c r="Y215" s="15">
        <f t="shared" ca="1" si="143"/>
        <v>0</v>
      </c>
      <c r="Z215" s="16">
        <f t="shared" ca="1" si="144"/>
        <v>23.7</v>
      </c>
      <c r="AA215" s="15">
        <f t="shared" ca="1" si="145"/>
        <v>0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5.0999999999999996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19120802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760.7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29.9</v>
      </c>
      <c r="Y216" s="15">
        <f t="shared" ca="1" si="143"/>
        <v>0</v>
      </c>
      <c r="Z216" s="16">
        <f t="shared" ca="1" si="144"/>
        <v>23.9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7.2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19120803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30.3</v>
      </c>
      <c r="Y217" s="15">
        <f t="shared" ca="1" si="143"/>
        <v>0</v>
      </c>
      <c r="Z217" s="16">
        <f t="shared" ca="1" si="144"/>
        <v>24.6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7.2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19120804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759.7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30.1</v>
      </c>
      <c r="Y218" s="15">
        <f t="shared" ca="1" si="143"/>
        <v>0</v>
      </c>
      <c r="Z218" s="16">
        <f t="shared" ca="1" si="144"/>
        <v>22.5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7.7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19120805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760.2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29.4</v>
      </c>
      <c r="Y219" s="15">
        <f t="shared" ca="1" si="143"/>
        <v>0</v>
      </c>
      <c r="Z219" s="16">
        <f t="shared" ca="1" si="144"/>
        <v>21.2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7.2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19120806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761.5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30</v>
      </c>
      <c r="Y220" s="15">
        <f t="shared" ca="1" si="143"/>
        <v>0</v>
      </c>
      <c r="Z220" s="16">
        <f t="shared" ca="1" si="144"/>
        <v>21.9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7.2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19120807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761.2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30.7</v>
      </c>
      <c r="Y221" s="15">
        <f t="shared" ca="1" si="143"/>
        <v>0</v>
      </c>
      <c r="Z221" s="16">
        <f t="shared" ca="1" si="144"/>
        <v>22.4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7.2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19120808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761.5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30.6</v>
      </c>
      <c r="Y222" s="15">
        <f t="shared" ca="1" si="143"/>
        <v>0</v>
      </c>
      <c r="Z222" s="16">
        <f t="shared" ca="1" si="144"/>
        <v>24.2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7.7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19120809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30.8</v>
      </c>
      <c r="Y223" s="15">
        <f t="shared" ca="1" si="143"/>
        <v>0</v>
      </c>
      <c r="Z223" s="16">
        <f t="shared" ca="1" si="144"/>
        <v>24.2</v>
      </c>
      <c r="AA223" s="15">
        <f t="shared" ca="1" si="145"/>
        <v>0</v>
      </c>
      <c r="AB223" s="9">
        <f t="shared" ca="1" si="146"/>
        <v>135</v>
      </c>
      <c r="AC223" s="15">
        <f t="shared" ca="1" si="147"/>
        <v>0</v>
      </c>
      <c r="AD223" s="76">
        <f t="shared" ca="1" si="148"/>
        <v>6.2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19120810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29.9</v>
      </c>
      <c r="Y224" s="15">
        <f t="shared" ca="1" si="143"/>
        <v>0</v>
      </c>
      <c r="Z224" s="16">
        <f t="shared" ca="1" si="144"/>
        <v>24.4</v>
      </c>
      <c r="AA224" s="15">
        <f t="shared" ca="1" si="145"/>
        <v>0</v>
      </c>
      <c r="AB224" s="9">
        <f t="shared" ca="1" si="146"/>
        <v>135</v>
      </c>
      <c r="AC224" s="15">
        <f t="shared" ca="1" si="147"/>
        <v>0</v>
      </c>
      <c r="AD224" s="76">
        <f t="shared" ca="1" si="148"/>
        <v>7.2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19120811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759.5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31</v>
      </c>
      <c r="Y225" s="15">
        <f t="shared" ca="1" si="143"/>
        <v>0</v>
      </c>
      <c r="Z225" s="16">
        <f t="shared" ca="1" si="144"/>
        <v>22.4</v>
      </c>
      <c r="AA225" s="15">
        <f t="shared" ca="1" si="145"/>
        <v>0</v>
      </c>
      <c r="AB225" s="9">
        <f t="shared" ca="1" si="146"/>
        <v>135</v>
      </c>
      <c r="AC225" s="15">
        <f t="shared" ca="1" si="147"/>
        <v>0</v>
      </c>
      <c r="AD225" s="76">
        <f t="shared" ca="1" si="148"/>
        <v>7.7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19120812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761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30.3</v>
      </c>
      <c r="Y226" s="15">
        <f t="shared" ca="1" si="143"/>
        <v>0</v>
      </c>
      <c r="Z226" s="16">
        <f t="shared" ca="1" si="144"/>
        <v>24.5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7.2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19120813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761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30.6</v>
      </c>
      <c r="Y227" s="15">
        <f t="shared" ca="1" si="143"/>
        <v>0</v>
      </c>
      <c r="Z227" s="16">
        <f t="shared" ca="1" si="144"/>
        <v>21.8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7.7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19120814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761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30.1</v>
      </c>
      <c r="Y228" s="15">
        <f t="shared" ca="1" si="143"/>
        <v>0</v>
      </c>
      <c r="Z228" s="16">
        <f t="shared" ca="1" si="144"/>
        <v>21.8</v>
      </c>
      <c r="AA228" s="15">
        <f t="shared" ca="1" si="145"/>
        <v>0</v>
      </c>
      <c r="AB228" s="9">
        <f t="shared" ca="1" si="146"/>
        <v>45</v>
      </c>
      <c r="AC228" s="15">
        <f t="shared" ca="1" si="147"/>
        <v>0</v>
      </c>
      <c r="AD228" s="76">
        <f t="shared" ca="1" si="148"/>
        <v>3.6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19120815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759.5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29.6</v>
      </c>
      <c r="Y229" s="15">
        <f t="shared" ca="1" si="143"/>
        <v>0</v>
      </c>
      <c r="Z229" s="16">
        <f t="shared" ca="1" si="144"/>
        <v>22.3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7.7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19120816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760.2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29.9</v>
      </c>
      <c r="Y230" s="15">
        <f t="shared" ca="1" si="143"/>
        <v>0</v>
      </c>
      <c r="Z230" s="16">
        <f t="shared" ca="1" si="144"/>
        <v>23.4</v>
      </c>
      <c r="AA230" s="15">
        <f t="shared" ca="1" si="145"/>
        <v>0</v>
      </c>
      <c r="AB230" s="9">
        <f t="shared" ca="1" si="146"/>
        <v>135</v>
      </c>
      <c r="AC230" s="15">
        <f t="shared" ca="1" si="147"/>
        <v>0</v>
      </c>
      <c r="AD230" s="76">
        <f t="shared" ca="1" si="148"/>
        <v>7.2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19120817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761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29.4</v>
      </c>
      <c r="Y231" s="15">
        <f t="shared" ca="1" si="143"/>
        <v>0</v>
      </c>
      <c r="Z231" s="16">
        <f t="shared" ca="1" si="144"/>
        <v>22.8</v>
      </c>
      <c r="AA231" s="15">
        <f t="shared" ca="1" si="145"/>
        <v>0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19120818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761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30.6</v>
      </c>
      <c r="Y232" s="15">
        <f t="shared" ca="1" si="143"/>
        <v>0</v>
      </c>
      <c r="Z232" s="16">
        <f t="shared" ca="1" si="144"/>
        <v>23.4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7.2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19120819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760.7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30.5</v>
      </c>
      <c r="Y233" s="15">
        <f t="shared" ca="1" si="143"/>
        <v>0</v>
      </c>
      <c r="Z233" s="16">
        <f t="shared" ca="1" si="144"/>
        <v>22.9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7.7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19120820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761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30.3</v>
      </c>
      <c r="Y234" s="15">
        <f t="shared" ca="1" si="143"/>
        <v>0</v>
      </c>
      <c r="Z234" s="16">
        <f t="shared" ca="1" si="144"/>
        <v>21.7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7.7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19120821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760.2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30.2</v>
      </c>
      <c r="Y235" s="15">
        <f t="shared" ca="1" si="143"/>
        <v>0</v>
      </c>
      <c r="Z235" s="16">
        <f t="shared" ca="1" si="144"/>
        <v>23.4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7.7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19120822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760.2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30.4</v>
      </c>
      <c r="Y236" s="15">
        <f t="shared" ca="1" si="143"/>
        <v>0</v>
      </c>
      <c r="Z236" s="16">
        <f t="shared" ca="1" si="144"/>
        <v>21.9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7.2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19120823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761.7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30.5</v>
      </c>
      <c r="Y237" s="15">
        <f t="shared" ca="1" si="143"/>
        <v>0</v>
      </c>
      <c r="Z237" s="16">
        <f t="shared" ca="1" si="144"/>
        <v>23.3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8.1999999999999993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19120824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762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30.4</v>
      </c>
      <c r="Y238" s="15">
        <f t="shared" ca="1" si="143"/>
        <v>0</v>
      </c>
      <c r="Z238" s="16">
        <f t="shared" ca="1" si="144"/>
        <v>23.3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8.1999999999999993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19120825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761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30.8</v>
      </c>
      <c r="Y239" s="15">
        <f t="shared" ca="1" si="143"/>
        <v>0</v>
      </c>
      <c r="Z239" s="16">
        <f t="shared" ca="1" si="144"/>
        <v>21.2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7.2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19120826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760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30.6</v>
      </c>
      <c r="Y240" s="15">
        <f t="shared" ca="1" si="143"/>
        <v>0</v>
      </c>
      <c r="Z240" s="16">
        <f t="shared" ca="1" si="144"/>
        <v>24.2</v>
      </c>
      <c r="AA240" s="15">
        <f t="shared" ca="1" si="145"/>
        <v>0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7.7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19120827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761.2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30.1</v>
      </c>
      <c r="Y241" s="15">
        <f t="shared" ca="1" si="143"/>
        <v>0</v>
      </c>
      <c r="Z241" s="16">
        <f t="shared" ca="1" si="144"/>
        <v>22.8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7.2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19120828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760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30.7</v>
      </c>
      <c r="Y242" s="15">
        <f t="shared" ca="1" si="143"/>
        <v>0</v>
      </c>
      <c r="Z242" s="16">
        <f t="shared" ca="1" si="144"/>
        <v>23.5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5.0999999999999996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19120829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759.5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30.6</v>
      </c>
      <c r="Y243" s="15">
        <f t="shared" ca="1" si="143"/>
        <v>0</v>
      </c>
      <c r="Z243" s="16">
        <f t="shared" ca="1" si="144"/>
        <v>23.7</v>
      </c>
      <c r="AA243" s="15">
        <f t="shared" ca="1" si="145"/>
        <v>0</v>
      </c>
      <c r="AB243" s="9">
        <f t="shared" ca="1" si="146"/>
        <v>135</v>
      </c>
      <c r="AC243" s="15">
        <f t="shared" ca="1" si="147"/>
        <v>0</v>
      </c>
      <c r="AD243" s="76">
        <f t="shared" ca="1" si="148"/>
        <v>5.0999999999999996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19120830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759.7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30.6</v>
      </c>
      <c r="Y244" s="15">
        <f t="shared" ca="1" si="143"/>
        <v>0</v>
      </c>
      <c r="Z244" s="16">
        <f t="shared" ca="1" si="144"/>
        <v>23.9</v>
      </c>
      <c r="AA244" s="15">
        <f t="shared" ca="1" si="145"/>
        <v>0</v>
      </c>
      <c r="AB244" s="9">
        <f t="shared" ca="1" si="146"/>
        <v>135</v>
      </c>
      <c r="AC244" s="15">
        <f t="shared" ca="1" si="147"/>
        <v>0</v>
      </c>
      <c r="AD244" s="76">
        <f t="shared" ca="1" si="148"/>
        <v>5.0999999999999996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19120831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30.8</v>
      </c>
      <c r="Y245" s="15">
        <f t="shared" ca="1" si="143"/>
        <v>0</v>
      </c>
      <c r="Z245" s="16">
        <f t="shared" ca="1" si="144"/>
        <v>22.2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7.7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19120901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760.2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30.8</v>
      </c>
      <c r="Y246" s="15">
        <f t="shared" ca="1" si="143"/>
        <v>0</v>
      </c>
      <c r="Z246" s="16">
        <f t="shared" ca="1" si="144"/>
        <v>23.8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7.2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19120902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759.7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30.6</v>
      </c>
      <c r="Y247" s="15">
        <f t="shared" ca="1" si="143"/>
        <v>0</v>
      </c>
      <c r="Z247" s="16">
        <f t="shared" ca="1" si="144"/>
        <v>24.1</v>
      </c>
      <c r="AA247" s="15">
        <f t="shared" ca="1" si="145"/>
        <v>0</v>
      </c>
      <c r="AB247" s="9">
        <f t="shared" ca="1" si="146"/>
        <v>135</v>
      </c>
      <c r="AC247" s="15">
        <f t="shared" ca="1" si="147"/>
        <v>0</v>
      </c>
      <c r="AD247" s="76">
        <f t="shared" ca="1" si="148"/>
        <v>6.2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19120903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758.2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31.1</v>
      </c>
      <c r="Y248" s="15">
        <f t="shared" ca="1" si="143"/>
        <v>0</v>
      </c>
      <c r="Z248" s="16">
        <f t="shared" ca="1" si="144"/>
        <v>24.5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7.2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19120904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758.7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29.9</v>
      </c>
      <c r="Y249" s="15">
        <f t="shared" ca="1" si="143"/>
        <v>0</v>
      </c>
      <c r="Z249" s="16">
        <f t="shared" ca="1" si="144"/>
        <v>24.3</v>
      </c>
      <c r="AA249" s="15">
        <f t="shared" ca="1" si="145"/>
        <v>0</v>
      </c>
      <c r="AB249" s="9">
        <f t="shared" ca="1" si="146"/>
        <v>135</v>
      </c>
      <c r="AC249" s="15">
        <f t="shared" ca="1" si="147"/>
        <v>0</v>
      </c>
      <c r="AD249" s="76">
        <f t="shared" ca="1" si="148"/>
        <v>7.2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19120905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760.5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31.7</v>
      </c>
      <c r="Y250" s="15">
        <f t="shared" ca="1" si="143"/>
        <v>0</v>
      </c>
      <c r="Z250" s="16">
        <f t="shared" ca="1" si="144"/>
        <v>23.8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5.0999999999999996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19120906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760.5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31.1</v>
      </c>
      <c r="Y251" s="15">
        <f t="shared" ca="1" si="143"/>
        <v>0</v>
      </c>
      <c r="Z251" s="16">
        <f t="shared" ca="1" si="144"/>
        <v>22.9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5.0999999999999996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19120907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760.5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31.4</v>
      </c>
      <c r="Y252" s="15">
        <f t="shared" ca="1" si="143"/>
        <v>0</v>
      </c>
      <c r="Z252" s="16">
        <f t="shared" ca="1" si="144"/>
        <v>23.8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6.2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19120908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759.5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31.7</v>
      </c>
      <c r="Y253" s="15">
        <f t="shared" ca="1" si="143"/>
        <v>0</v>
      </c>
      <c r="Z253" s="16">
        <f t="shared" ca="1" si="144"/>
        <v>25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5.0999999999999996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19120909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759.7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31.6</v>
      </c>
      <c r="Y254" s="15">
        <f t="shared" ca="1" si="143"/>
        <v>0</v>
      </c>
      <c r="Z254" s="16">
        <f t="shared" ca="1" si="144"/>
        <v>24.4</v>
      </c>
      <c r="AA254" s="15">
        <f t="shared" ca="1" si="145"/>
        <v>0</v>
      </c>
      <c r="AB254" s="9">
        <f t="shared" ca="1" si="146"/>
        <v>135</v>
      </c>
      <c r="AC254" s="15">
        <f t="shared" ca="1" si="147"/>
        <v>0</v>
      </c>
      <c r="AD254" s="76">
        <f t="shared" ca="1" si="148"/>
        <v>7.2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19120910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760.5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31.7</v>
      </c>
      <c r="Y255" s="15">
        <f t="shared" ca="1" si="143"/>
        <v>0</v>
      </c>
      <c r="Z255" s="16">
        <f t="shared" ca="1" si="144"/>
        <v>23.8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6.2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19120911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760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31.7</v>
      </c>
      <c r="Y256" s="15">
        <f t="shared" ca="1" si="143"/>
        <v>0</v>
      </c>
      <c r="Z256" s="16">
        <f t="shared" ca="1" si="144"/>
        <v>23.8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7.2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19120912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759.7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31.1</v>
      </c>
      <c r="Y257" s="15">
        <f t="shared" ca="1" si="143"/>
        <v>0</v>
      </c>
      <c r="Z257" s="16">
        <f t="shared" ca="1" si="144"/>
        <v>25.1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7.2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19120913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23.7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7.7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19120914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759.7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31.3</v>
      </c>
      <c r="Y259" s="15">
        <f t="shared" ca="1" si="183"/>
        <v>0</v>
      </c>
      <c r="Z259" s="16">
        <f t="shared" ca="1" si="184"/>
        <v>23.9</v>
      </c>
      <c r="AA259" s="15">
        <f t="shared" ca="1" si="185"/>
        <v>0</v>
      </c>
      <c r="AB259" s="9">
        <f t="shared" ca="1" si="186"/>
        <v>135</v>
      </c>
      <c r="AC259" s="15">
        <f t="shared" ca="1" si="187"/>
        <v>0</v>
      </c>
      <c r="AD259" s="76">
        <f t="shared" ca="1" si="188"/>
        <v>7.2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19120915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760.2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31.3</v>
      </c>
      <c r="Y260" s="15">
        <f t="shared" ca="1" si="183"/>
        <v>0</v>
      </c>
      <c r="Z260" s="16">
        <f t="shared" ca="1" si="184"/>
        <v>23.4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7.7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19120916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759.2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31.1</v>
      </c>
      <c r="Y261" s="15">
        <f t="shared" ca="1" si="183"/>
        <v>0</v>
      </c>
      <c r="Z261" s="16">
        <f t="shared" ca="1" si="184"/>
        <v>23.8</v>
      </c>
      <c r="AA261" s="15">
        <f t="shared" ca="1" si="185"/>
        <v>0</v>
      </c>
      <c r="AB261" s="9">
        <f t="shared" ca="1" si="186"/>
        <v>135</v>
      </c>
      <c r="AC261" s="15">
        <f t="shared" ca="1" si="187"/>
        <v>0</v>
      </c>
      <c r="AD261" s="76">
        <f t="shared" ca="1" si="188"/>
        <v>7.2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19120917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30.8</v>
      </c>
      <c r="Y262" s="15">
        <f t="shared" ca="1" si="183"/>
        <v>0</v>
      </c>
      <c r="Z262" s="16">
        <f t="shared" ca="1" si="184"/>
        <v>23.3</v>
      </c>
      <c r="AA262" s="15">
        <f t="shared" ca="1" si="185"/>
        <v>0</v>
      </c>
      <c r="AB262" s="9">
        <f t="shared" ca="1" si="186"/>
        <v>180</v>
      </c>
      <c r="AC262" s="15">
        <f t="shared" ca="1" si="187"/>
        <v>0</v>
      </c>
      <c r="AD262" s="76">
        <f t="shared" ca="1" si="188"/>
        <v>5.0999999999999996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19120918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28.6</v>
      </c>
      <c r="Y263" s="15">
        <f t="shared" ca="1" si="183"/>
        <v>0</v>
      </c>
      <c r="Z263" s="16">
        <f t="shared" ca="1" si="184"/>
        <v>22.2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5.0999999999999996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19120919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760.7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31.1</v>
      </c>
      <c r="Y264" s="15">
        <f t="shared" ca="1" si="183"/>
        <v>0</v>
      </c>
      <c r="Z264" s="16">
        <f t="shared" ca="1" si="184"/>
        <v>24.2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7.7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19120920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760.7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31</v>
      </c>
      <c r="Y265" s="15">
        <f t="shared" ca="1" si="183"/>
        <v>0</v>
      </c>
      <c r="Z265" s="16">
        <f t="shared" ca="1" si="184"/>
        <v>23.4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5.0999999999999996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19120921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31.6</v>
      </c>
      <c r="Y266" s="15">
        <f t="shared" ca="1" si="183"/>
        <v>0</v>
      </c>
      <c r="Z266" s="16">
        <f t="shared" ca="1" si="184"/>
        <v>23.7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7.2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19120922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759.2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31.1</v>
      </c>
      <c r="Y267" s="15">
        <f t="shared" ca="1" si="183"/>
        <v>0</v>
      </c>
      <c r="Z267" s="16">
        <f t="shared" ca="1" si="184"/>
        <v>23.4</v>
      </c>
      <c r="AA267" s="15">
        <f t="shared" ca="1" si="185"/>
        <v>0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7.2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19120923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760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31.2</v>
      </c>
      <c r="Y268" s="15">
        <f t="shared" ca="1" si="183"/>
        <v>0</v>
      </c>
      <c r="Z268" s="16">
        <f t="shared" ca="1" si="184"/>
        <v>24.2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7.2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19120924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760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30.8</v>
      </c>
      <c r="Y269" s="15">
        <f t="shared" ca="1" si="183"/>
        <v>0</v>
      </c>
      <c r="Z269" s="16">
        <f t="shared" ca="1" si="184"/>
        <v>24.4</v>
      </c>
      <c r="AA269" s="15">
        <f t="shared" ca="1" si="185"/>
        <v>0</v>
      </c>
      <c r="AB269" s="9">
        <f t="shared" ca="1" si="186"/>
        <v>135</v>
      </c>
      <c r="AC269" s="15">
        <f t="shared" ca="1" si="187"/>
        <v>0</v>
      </c>
      <c r="AD269" s="76">
        <f t="shared" ca="1" si="188"/>
        <v>6.2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19120925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760.2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30.6</v>
      </c>
      <c r="Y270" s="15">
        <f t="shared" ca="1" si="183"/>
        <v>0</v>
      </c>
      <c r="Z270" s="16">
        <f t="shared" ca="1" si="184"/>
        <v>24.6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5.0999999999999996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19120926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758.7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30.4</v>
      </c>
      <c r="Y271" s="15">
        <f t="shared" ca="1" si="183"/>
        <v>0</v>
      </c>
      <c r="Z271" s="16">
        <f t="shared" ca="1" si="184"/>
        <v>23</v>
      </c>
      <c r="AA271" s="15">
        <f t="shared" ca="1" si="185"/>
        <v>0</v>
      </c>
      <c r="AB271" s="9">
        <f t="shared" ca="1" si="186"/>
        <v>135</v>
      </c>
      <c r="AC271" s="15">
        <f t="shared" ca="1" si="187"/>
        <v>0</v>
      </c>
      <c r="AD271" s="76">
        <f t="shared" ca="1" si="188"/>
        <v>7.2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19120927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759.5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30.2</v>
      </c>
      <c r="Y272" s="15">
        <f t="shared" ca="1" si="183"/>
        <v>0</v>
      </c>
      <c r="Z272" s="16">
        <f t="shared" ca="1" si="184"/>
        <v>24.4</v>
      </c>
      <c r="AA272" s="15">
        <f t="shared" ca="1" si="185"/>
        <v>0</v>
      </c>
      <c r="AB272" s="9">
        <f t="shared" ca="1" si="186"/>
        <v>135</v>
      </c>
      <c r="AC272" s="15">
        <f t="shared" ca="1" si="187"/>
        <v>0</v>
      </c>
      <c r="AD272" s="76">
        <f t="shared" ca="1" si="188"/>
        <v>5.0999999999999996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19120928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29.5</v>
      </c>
      <c r="Y273" s="15">
        <f t="shared" ca="1" si="183"/>
        <v>0</v>
      </c>
      <c r="Z273" s="16">
        <f t="shared" ca="1" si="184"/>
        <v>21.7</v>
      </c>
      <c r="AA273" s="15">
        <f t="shared" ca="1" si="185"/>
        <v>0</v>
      </c>
      <c r="AB273" s="9">
        <f t="shared" ca="1" si="186"/>
        <v>235</v>
      </c>
      <c r="AC273" s="15">
        <f t="shared" ca="1" si="187"/>
        <v>0</v>
      </c>
      <c r="AD273" s="76">
        <f t="shared" ca="1" si="188"/>
        <v>5.0999999999999996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19120929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761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30.1</v>
      </c>
      <c r="Y274" s="15">
        <f t="shared" ca="1" si="183"/>
        <v>0</v>
      </c>
      <c r="Z274" s="16">
        <f t="shared" ca="1" si="184"/>
        <v>24.4</v>
      </c>
      <c r="AA274" s="15">
        <f t="shared" ca="1" si="185"/>
        <v>0</v>
      </c>
      <c r="AB274" s="9">
        <f t="shared" ca="1" si="186"/>
        <v>135</v>
      </c>
      <c r="AC274" s="15">
        <f t="shared" ca="1" si="187"/>
        <v>0</v>
      </c>
      <c r="AD274" s="76">
        <f t="shared" ca="1" si="188"/>
        <v>7.2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19120930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760.5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30.6</v>
      </c>
      <c r="Y275" s="15">
        <f t="shared" ca="1" si="183"/>
        <v>0</v>
      </c>
      <c r="Z275" s="16">
        <f t="shared" ca="1" si="184"/>
        <v>24.5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6.2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19121001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760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31.2</v>
      </c>
      <c r="Y276" s="15">
        <f t="shared" ca="1" si="183"/>
        <v>0</v>
      </c>
      <c r="Z276" s="16">
        <f t="shared" ca="1" si="184"/>
        <v>23.9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7.7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19121002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760.2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31.3</v>
      </c>
      <c r="Y277" s="15">
        <f t="shared" ca="1" si="183"/>
        <v>0</v>
      </c>
      <c r="Z277" s="16">
        <f t="shared" ca="1" si="184"/>
        <v>23.5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5.0999999999999996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19121003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759.5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31.7</v>
      </c>
      <c r="Y278" s="15">
        <f t="shared" ca="1" si="183"/>
        <v>0</v>
      </c>
      <c r="Z278" s="16">
        <f t="shared" ca="1" si="184"/>
        <v>24.5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7.2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19121004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759.7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31.1</v>
      </c>
      <c r="Y279" s="15">
        <f t="shared" ca="1" si="183"/>
        <v>0</v>
      </c>
      <c r="Z279" s="16">
        <f t="shared" ca="1" si="184"/>
        <v>24.3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7.2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19121005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760.5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31.2</v>
      </c>
      <c r="Y280" s="15">
        <f t="shared" ca="1" si="183"/>
        <v>0</v>
      </c>
      <c r="Z280" s="16">
        <f t="shared" ca="1" si="184"/>
        <v>23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7.7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19121006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759.5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30.2</v>
      </c>
      <c r="Y281" s="15">
        <f t="shared" ca="1" si="183"/>
        <v>0</v>
      </c>
      <c r="Z281" s="16">
        <f t="shared" ca="1" si="184"/>
        <v>21.7</v>
      </c>
      <c r="AA281" s="15">
        <f t="shared" ca="1" si="185"/>
        <v>0</v>
      </c>
      <c r="AB281" s="9">
        <f t="shared" ca="1" si="186"/>
        <v>135</v>
      </c>
      <c r="AC281" s="15">
        <f t="shared" ca="1" si="187"/>
        <v>0</v>
      </c>
      <c r="AD281" s="76">
        <f t="shared" ca="1" si="188"/>
        <v>5.0999999999999996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19121007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757.9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30.1</v>
      </c>
      <c r="Y282" s="15">
        <f t="shared" ca="1" si="183"/>
        <v>0</v>
      </c>
      <c r="Z282" s="16">
        <f t="shared" ca="1" si="184"/>
        <v>23.4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7.7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19121008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758.7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31.7</v>
      </c>
      <c r="Y283" s="15">
        <f t="shared" ca="1" si="183"/>
        <v>0</v>
      </c>
      <c r="Z283" s="16">
        <f t="shared" ca="1" si="184"/>
        <v>23.6</v>
      </c>
      <c r="AA283" s="15">
        <f t="shared" ca="1" si="185"/>
        <v>0</v>
      </c>
      <c r="AB283" s="9">
        <f t="shared" ca="1" si="186"/>
        <v>135</v>
      </c>
      <c r="AC283" s="15">
        <f t="shared" ca="1" si="187"/>
        <v>0</v>
      </c>
      <c r="AD283" s="76">
        <f t="shared" ca="1" si="188"/>
        <v>7.7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19121009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759.7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31.1</v>
      </c>
      <c r="Y284" s="15">
        <f t="shared" ca="1" si="183"/>
        <v>0</v>
      </c>
      <c r="Z284" s="16">
        <f t="shared" ca="1" si="184"/>
        <v>23.7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6.2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19121010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759.7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31.7</v>
      </c>
      <c r="Y285" s="15">
        <f t="shared" ca="1" si="183"/>
        <v>0</v>
      </c>
      <c r="Z285" s="16">
        <f t="shared" ca="1" si="184"/>
        <v>24</v>
      </c>
      <c r="AA285" s="15">
        <f t="shared" ca="1" si="185"/>
        <v>0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7.2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19121011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31.1</v>
      </c>
      <c r="Y286" s="15">
        <f t="shared" ca="1" si="183"/>
        <v>0</v>
      </c>
      <c r="Z286" s="16">
        <f t="shared" ca="1" si="184"/>
        <v>24.7</v>
      </c>
      <c r="AA286" s="15">
        <f t="shared" ca="1" si="185"/>
        <v>0</v>
      </c>
      <c r="AB286" s="9">
        <f t="shared" ca="1" si="186"/>
        <v>90</v>
      </c>
      <c r="AC286" s="15">
        <f t="shared" ca="1" si="187"/>
        <v>0</v>
      </c>
      <c r="AD286" s="76">
        <f t="shared" ca="1" si="188"/>
        <v>7.2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19121012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758.4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31.4</v>
      </c>
      <c r="Y287" s="15">
        <f t="shared" ca="1" si="183"/>
        <v>0</v>
      </c>
      <c r="Z287" s="16">
        <f t="shared" ca="1" si="184"/>
        <v>19.399999999999999</v>
      </c>
      <c r="AA287" s="15">
        <f t="shared" ca="1" si="185"/>
        <v>0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7.2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19121013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759.7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28.2</v>
      </c>
      <c r="Y288" s="15">
        <f t="shared" ca="1" si="183"/>
        <v>0</v>
      </c>
      <c r="Z288" s="16">
        <f t="shared" ca="1" si="184"/>
        <v>19.8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6.2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19121014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758.7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30.4</v>
      </c>
      <c r="Y289" s="15">
        <f t="shared" ca="1" si="183"/>
        <v>0</v>
      </c>
      <c r="Z289" s="16">
        <f t="shared" ca="1" si="184"/>
        <v>19.8</v>
      </c>
      <c r="AA289" s="15">
        <f t="shared" ca="1" si="185"/>
        <v>0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7.7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19121015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759.5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30.6</v>
      </c>
      <c r="Y290" s="15">
        <f t="shared" ca="1" si="183"/>
        <v>0</v>
      </c>
      <c r="Z290" s="16">
        <f t="shared" ca="1" si="184"/>
        <v>22.3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6.2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19121016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759.2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31.2</v>
      </c>
      <c r="Y291" s="15">
        <f t="shared" ca="1" si="183"/>
        <v>0</v>
      </c>
      <c r="Z291" s="16">
        <f t="shared" ca="1" si="184"/>
        <v>20.7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5.0999999999999996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19121017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758.2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31.6</v>
      </c>
      <c r="Y292" s="15">
        <f t="shared" ca="1" si="183"/>
        <v>0</v>
      </c>
      <c r="Z292" s="16">
        <f t="shared" ca="1" si="184"/>
        <v>21.8</v>
      </c>
      <c r="AA292" s="15">
        <f t="shared" ca="1" si="185"/>
        <v>0</v>
      </c>
      <c r="AB292" s="9">
        <f t="shared" ca="1" si="186"/>
        <v>135</v>
      </c>
      <c r="AC292" s="15">
        <f t="shared" ca="1" si="187"/>
        <v>0</v>
      </c>
      <c r="AD292" s="76">
        <f t="shared" ca="1" si="188"/>
        <v>6.7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19121018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758.2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30.9</v>
      </c>
      <c r="Y293" s="15">
        <f t="shared" ca="1" si="183"/>
        <v>0</v>
      </c>
      <c r="Z293" s="16">
        <f t="shared" ca="1" si="184"/>
        <v>24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5.0999999999999996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19121019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758.7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31.2</v>
      </c>
      <c r="Y294" s="15">
        <f t="shared" ca="1" si="183"/>
        <v>0</v>
      </c>
      <c r="Z294" s="16">
        <f t="shared" ca="1" si="184"/>
        <v>25.2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5.0999999999999996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19121020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758.4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30.7</v>
      </c>
      <c r="Y295" s="15">
        <f t="shared" ca="1" si="183"/>
        <v>0</v>
      </c>
      <c r="Z295" s="16">
        <f t="shared" ca="1" si="184"/>
        <v>23.5</v>
      </c>
      <c r="AA295" s="15">
        <f t="shared" ca="1" si="185"/>
        <v>0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5.0999999999999996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19121021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758.4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30.6</v>
      </c>
      <c r="Y296" s="15">
        <f t="shared" ca="1" si="183"/>
        <v>0</v>
      </c>
      <c r="Z296" s="16">
        <f t="shared" ca="1" si="184"/>
        <v>20.8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5.0999999999999996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19121022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758.4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30.5</v>
      </c>
      <c r="Y297" s="15">
        <f t="shared" ca="1" si="183"/>
        <v>0</v>
      </c>
      <c r="Z297" s="16">
        <f t="shared" ca="1" si="184"/>
        <v>20.7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6.2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19121023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758.7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31.1</v>
      </c>
      <c r="Y298" s="15">
        <f t="shared" ca="1" si="183"/>
        <v>0</v>
      </c>
      <c r="Z298" s="16">
        <f t="shared" ca="1" si="184"/>
        <v>21.2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6.2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19121024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759.7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31.1</v>
      </c>
      <c r="Y299" s="15">
        <f t="shared" ca="1" si="183"/>
        <v>0</v>
      </c>
      <c r="Z299" s="16">
        <f t="shared" ca="1" si="184"/>
        <v>22.3</v>
      </c>
      <c r="AA299" s="15">
        <f t="shared" ca="1" si="185"/>
        <v>0</v>
      </c>
      <c r="AB299" s="9">
        <f t="shared" ca="1" si="186"/>
        <v>90</v>
      </c>
      <c r="AC299" s="15">
        <f t="shared" ca="1" si="187"/>
        <v>0</v>
      </c>
      <c r="AD299" s="76">
        <f t="shared" ca="1" si="188"/>
        <v>6.2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19121025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25.7</v>
      </c>
      <c r="Y300" s="15">
        <f t="shared" ca="1" si="183"/>
        <v>0</v>
      </c>
      <c r="Z300" s="16">
        <f t="shared" ca="1" si="184"/>
        <v>20.6</v>
      </c>
      <c r="AA300" s="15">
        <f t="shared" ca="1" si="185"/>
        <v>0</v>
      </c>
      <c r="AB300" s="9">
        <f t="shared" ca="1" si="186"/>
        <v>135</v>
      </c>
      <c r="AC300" s="15">
        <f t="shared" ca="1" si="187"/>
        <v>0</v>
      </c>
      <c r="AD300" s="76">
        <f t="shared" ca="1" si="188"/>
        <v>5.0999999999999996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19121026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757.9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29.5</v>
      </c>
      <c r="Y301" s="15">
        <f t="shared" ca="1" si="183"/>
        <v>0</v>
      </c>
      <c r="Z301" s="16">
        <f t="shared" ca="1" si="184"/>
        <v>22.4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5.0999999999999996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19121027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757.9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30.6</v>
      </c>
      <c r="Y302" s="15">
        <f t="shared" ca="1" si="183"/>
        <v>0</v>
      </c>
      <c r="Z302" s="16">
        <f t="shared" ca="1" si="184"/>
        <v>20.2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4.5999999999999996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19121028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757.7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28.8</v>
      </c>
      <c r="Y303" s="15">
        <f t="shared" ca="1" si="183"/>
        <v>0</v>
      </c>
      <c r="Z303" s="16">
        <f t="shared" ca="1" si="184"/>
        <v>20.2</v>
      </c>
      <c r="AA303" s="15">
        <f t="shared" ca="1" si="185"/>
        <v>0</v>
      </c>
      <c r="AB303" s="9">
        <f t="shared" ca="1" si="186"/>
        <v>135</v>
      </c>
      <c r="AC303" s="15">
        <f t="shared" ca="1" si="187"/>
        <v>0</v>
      </c>
      <c r="AD303" s="76">
        <f t="shared" ca="1" si="188"/>
        <v>5.0999999999999996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19121029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759.2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27.3</v>
      </c>
      <c r="Y304" s="15">
        <f t="shared" ca="1" si="183"/>
        <v>0</v>
      </c>
      <c r="Z304" s="16">
        <f t="shared" ca="1" si="184"/>
        <v>22.4</v>
      </c>
      <c r="AA304" s="15">
        <f t="shared" ca="1" si="185"/>
        <v>0</v>
      </c>
      <c r="AB304" s="9">
        <f t="shared" ca="1" si="186"/>
        <v>315</v>
      </c>
      <c r="AC304" s="15">
        <f t="shared" ca="1" si="187"/>
        <v>0</v>
      </c>
      <c r="AD304" s="76">
        <f t="shared" ca="1" si="188"/>
        <v>5.0999999999999996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19121030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29.7</v>
      </c>
      <c r="Y305" s="15">
        <f t="shared" ca="1" si="183"/>
        <v>0</v>
      </c>
      <c r="Z305" s="16">
        <f t="shared" ca="1" si="184"/>
        <v>21.8</v>
      </c>
      <c r="AA305" s="15">
        <f t="shared" ca="1" si="185"/>
        <v>0</v>
      </c>
      <c r="AB305" s="9">
        <f t="shared" ca="1" si="186"/>
        <v>235</v>
      </c>
      <c r="AC305" s="15">
        <f t="shared" ca="1" si="187"/>
        <v>0</v>
      </c>
      <c r="AD305" s="76">
        <f t="shared" ca="1" si="188"/>
        <v>5.0999999999999996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19121031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760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26.2</v>
      </c>
      <c r="Y306" s="15">
        <f t="shared" ca="1" si="183"/>
        <v>0</v>
      </c>
      <c r="Z306" s="16">
        <f t="shared" ca="1" si="184"/>
        <v>20.7</v>
      </c>
      <c r="AA306" s="15">
        <f t="shared" ca="1" si="185"/>
        <v>0</v>
      </c>
      <c r="AB306" s="9">
        <f t="shared" ca="1" si="186"/>
        <v>180</v>
      </c>
      <c r="AC306" s="15">
        <f t="shared" ca="1" si="187"/>
        <v>0</v>
      </c>
      <c r="AD306" s="76">
        <f t="shared" ca="1" si="188"/>
        <v>5.0999999999999996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19121101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760.2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29.3</v>
      </c>
      <c r="Y307" s="15">
        <f t="shared" ca="1" si="183"/>
        <v>0</v>
      </c>
      <c r="Z307" s="16">
        <f t="shared" ca="1" si="184"/>
        <v>22.9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5.0999999999999996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19121102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760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30.9</v>
      </c>
      <c r="Y308" s="15">
        <f t="shared" ca="1" si="183"/>
        <v>0</v>
      </c>
      <c r="Z308" s="16">
        <f t="shared" ca="1" si="184"/>
        <v>22.4</v>
      </c>
      <c r="AA308" s="15">
        <f t="shared" ca="1" si="185"/>
        <v>0</v>
      </c>
      <c r="AB308" s="9">
        <f t="shared" ca="1" si="186"/>
        <v>90</v>
      </c>
      <c r="AC308" s="15">
        <f t="shared" ca="1" si="187"/>
        <v>0</v>
      </c>
      <c r="AD308" s="76">
        <f t="shared" ca="1" si="188"/>
        <v>6.2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19121103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760.5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30.1</v>
      </c>
      <c r="Y309" s="15">
        <f t="shared" ca="1" si="183"/>
        <v>0</v>
      </c>
      <c r="Z309" s="16">
        <f t="shared" ca="1" si="184"/>
        <v>21.9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6.2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19121104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760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30.1</v>
      </c>
      <c r="Y310" s="15">
        <f t="shared" ca="1" si="183"/>
        <v>0</v>
      </c>
      <c r="Z310" s="16">
        <f t="shared" ca="1" si="184"/>
        <v>23.1</v>
      </c>
      <c r="AA310" s="15">
        <f t="shared" ca="1" si="185"/>
        <v>0</v>
      </c>
      <c r="AB310" s="9">
        <f t="shared" ca="1" si="186"/>
        <v>45</v>
      </c>
      <c r="AC310" s="15">
        <f t="shared" ca="1" si="187"/>
        <v>0</v>
      </c>
      <c r="AD310" s="76">
        <f t="shared" ca="1" si="188"/>
        <v>5.0999999999999996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19121105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759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30.7</v>
      </c>
      <c r="Y311" s="15">
        <f t="shared" ca="1" si="183"/>
        <v>0</v>
      </c>
      <c r="Z311" s="16">
        <f t="shared" ca="1" si="184"/>
        <v>24.4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7.2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19121106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757.9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30.7</v>
      </c>
      <c r="Y312" s="15">
        <f t="shared" ca="1" si="183"/>
        <v>0</v>
      </c>
      <c r="Z312" s="16">
        <f t="shared" ca="1" si="184"/>
        <v>21.8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6.2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19121107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757.7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30.1</v>
      </c>
      <c r="Y313" s="15">
        <f t="shared" ca="1" si="183"/>
        <v>0</v>
      </c>
      <c r="Z313" s="16">
        <f t="shared" ca="1" si="184"/>
        <v>23.5</v>
      </c>
      <c r="AA313" s="15">
        <f t="shared" ca="1" si="185"/>
        <v>0</v>
      </c>
      <c r="AB313" s="9">
        <f t="shared" ca="1" si="186"/>
        <v>45</v>
      </c>
      <c r="AC313" s="15">
        <f t="shared" ca="1" si="187"/>
        <v>0</v>
      </c>
      <c r="AD313" s="76">
        <f t="shared" ca="1" si="188"/>
        <v>5.0999999999999996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19121108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757.4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29.8</v>
      </c>
      <c r="Y314" s="15">
        <f t="shared" ca="1" si="183"/>
        <v>0</v>
      </c>
      <c r="Z314" s="16">
        <f t="shared" ca="1" si="184"/>
        <v>22.9</v>
      </c>
      <c r="AA314" s="15">
        <f t="shared" ca="1" si="185"/>
        <v>0</v>
      </c>
      <c r="AB314" s="9">
        <f t="shared" ca="1" si="186"/>
        <v>135</v>
      </c>
      <c r="AC314" s="15">
        <f t="shared" ca="1" si="187"/>
        <v>0</v>
      </c>
      <c r="AD314" s="76">
        <f t="shared" ca="1" si="188"/>
        <v>5.0999999999999996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19121109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758.4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30.6</v>
      </c>
      <c r="Y315" s="15">
        <f t="shared" ca="1" si="183"/>
        <v>0</v>
      </c>
      <c r="Z315" s="16">
        <f t="shared" ca="1" si="184"/>
        <v>22.9</v>
      </c>
      <c r="AA315" s="15">
        <f t="shared" ca="1" si="185"/>
        <v>0</v>
      </c>
      <c r="AB315" s="9">
        <f t="shared" ca="1" si="186"/>
        <v>180</v>
      </c>
      <c r="AC315" s="15">
        <f t="shared" ca="1" si="187"/>
        <v>0</v>
      </c>
      <c r="AD315" s="76">
        <f t="shared" ca="1" si="188"/>
        <v>5.0999999999999996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19121110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757.7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30.1</v>
      </c>
      <c r="Y316" s="15">
        <f t="shared" ca="1" si="183"/>
        <v>0</v>
      </c>
      <c r="Z316" s="16">
        <f t="shared" ca="1" si="184"/>
        <v>21.1</v>
      </c>
      <c r="AA316" s="15">
        <f t="shared" ca="1" si="185"/>
        <v>0</v>
      </c>
      <c r="AB316" s="9">
        <f t="shared" ca="1" si="186"/>
        <v>45</v>
      </c>
      <c r="AC316" s="15">
        <f t="shared" ca="1" si="187"/>
        <v>0</v>
      </c>
      <c r="AD316" s="76">
        <f t="shared" ca="1" si="188"/>
        <v>6.2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19121111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757.9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30.6</v>
      </c>
      <c r="Y317" s="15">
        <f t="shared" ca="1" si="183"/>
        <v>0</v>
      </c>
      <c r="Z317" s="16">
        <f t="shared" ca="1" si="184"/>
        <v>20.6</v>
      </c>
      <c r="AA317" s="15">
        <f t="shared" ca="1" si="185"/>
        <v>0</v>
      </c>
      <c r="AB317" s="9">
        <f t="shared" ca="1" si="186"/>
        <v>135</v>
      </c>
      <c r="AC317" s="15">
        <f t="shared" ca="1" si="187"/>
        <v>0</v>
      </c>
      <c r="AD317" s="76">
        <f t="shared" ca="1" si="188"/>
        <v>7.2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19121112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758.4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29.6</v>
      </c>
      <c r="Y318" s="15">
        <f t="shared" ca="1" si="183"/>
        <v>0</v>
      </c>
      <c r="Z318" s="16">
        <f t="shared" ca="1" si="184"/>
        <v>24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5.0999999999999996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19121113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757.4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25.9</v>
      </c>
      <c r="Y319" s="15">
        <f t="shared" ca="1" si="183"/>
        <v>0</v>
      </c>
      <c r="Z319" s="16">
        <f t="shared" ca="1" si="184"/>
        <v>20.7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6.2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19121114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758.7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26.7</v>
      </c>
      <c r="Y320" s="15">
        <f t="shared" ca="1" si="183"/>
        <v>0</v>
      </c>
      <c r="Z320" s="16">
        <f t="shared" ca="1" si="184"/>
        <v>22.1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5.0999999999999996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19121115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759.2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>
        <f t="shared" ca="1" si="182"/>
        <v>26.1</v>
      </c>
      <c r="Y321" s="15">
        <f t="shared" ca="1" si="183"/>
        <v>0</v>
      </c>
      <c r="Z321" s="16">
        <f t="shared" ca="1" si="184"/>
        <v>22.3</v>
      </c>
      <c r="AA321" s="15">
        <f t="shared" ca="1" si="185"/>
        <v>0</v>
      </c>
      <c r="AB321" s="9">
        <f t="shared" ca="1" si="186"/>
        <v>135</v>
      </c>
      <c r="AC321" s="15">
        <f t="shared" ca="1" si="187"/>
        <v>0</v>
      </c>
      <c r="AD321" s="76">
        <f t="shared" ca="1" si="188"/>
        <v>7.2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7" si="200">INDEX(Stations,2,1)</f>
        <v>78989</v>
      </c>
      <c r="B322" t="str">
        <f ca="1">TEXT(DATE(YEAR(Invoer!$A$5),1,1)+ROWS(B$2:B322)-1,"jjjjmmdd")</f>
        <v>19121116</v>
      </c>
      <c r="C322" s="72">
        <f t="shared" ref="C322:C367" si="201">Tijd</f>
        <v>800</v>
      </c>
      <c r="D322" s="16" t="str">
        <f t="shared" ref="D322:D367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7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7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7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7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7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7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7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7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7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7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7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7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7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7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7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7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7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7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7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7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7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7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7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7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7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7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7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7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7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7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7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7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7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19121117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19121118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19121119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19121120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19121121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19121122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19121123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19121124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19121125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19121126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19121127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19121128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19121129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19121130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19121201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19121202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19121203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19121204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19121205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19121206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19121207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19121208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19121209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19121210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19121211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19121212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19121213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19121214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19121215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19121216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19121217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19121218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19121219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19121220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19121221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19121222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19121223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19121224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19121225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19121226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19121227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19121228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19121229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19121230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  <row r="367" spans="1:41" x14ac:dyDescent="0.25">
      <c r="A367" s="4">
        <f t="shared" si="200"/>
        <v>78989</v>
      </c>
      <c r="B367" t="str">
        <f ca="1">TEXT(DATE(YEAR(Invoer!$A$5),1,1)+ROWS(B$2:B367)-1,"jjjjmmdd")</f>
        <v>19121231</v>
      </c>
      <c r="C367" s="72">
        <f t="shared" si="201"/>
        <v>800</v>
      </c>
      <c r="D367" s="16" t="str">
        <f t="shared" ca="1" si="202"/>
        <v>—</v>
      </c>
      <c r="E367" s="15">
        <f t="shared" ca="1" si="203"/>
        <v>7</v>
      </c>
      <c r="F367" s="73" t="str">
        <f t="shared" ca="1" si="204"/>
        <v>—</v>
      </c>
      <c r="G367" s="15">
        <f t="shared" ca="1" si="205"/>
        <v>7</v>
      </c>
      <c r="H367" s="73" t="str">
        <f t="shared" ca="1" si="206"/>
        <v>—</v>
      </c>
      <c r="I367" s="15">
        <f t="shared" ca="1" si="207"/>
        <v>7</v>
      </c>
      <c r="J367" s="73" t="str">
        <f t="shared" ca="1" si="208"/>
        <v>—</v>
      </c>
      <c r="K367" s="15">
        <f t="shared" ca="1" si="209"/>
        <v>7</v>
      </c>
      <c r="L367" s="16" t="str">
        <f t="shared" ca="1" si="210"/>
        <v>—</v>
      </c>
      <c r="M367" s="15">
        <f t="shared" ca="1" si="211"/>
        <v>7</v>
      </c>
      <c r="N367" s="16" t="str">
        <f t="shared" ca="1" si="212"/>
        <v>—</v>
      </c>
      <c r="O367" s="15">
        <f t="shared" ca="1" si="213"/>
        <v>7</v>
      </c>
      <c r="P367" s="16" t="str">
        <f t="shared" ca="1" si="214"/>
        <v>—</v>
      </c>
      <c r="Q367" s="15">
        <f t="shared" ca="1" si="215"/>
        <v>7</v>
      </c>
      <c r="R367" s="16" t="str">
        <f t="shared" ca="1" si="216"/>
        <v>—</v>
      </c>
      <c r="S367" s="15">
        <f t="shared" ca="1" si="217"/>
        <v>7</v>
      </c>
      <c r="T367" s="9" t="str">
        <f t="shared" ca="1" si="218"/>
        <v>—</v>
      </c>
      <c r="U367" s="15">
        <f t="shared" ca="1" si="219"/>
        <v>7</v>
      </c>
      <c r="V367" s="16" t="str">
        <f t="shared" ca="1" si="220"/>
        <v>—</v>
      </c>
      <c r="W367" s="15">
        <f t="shared" ca="1" si="221"/>
        <v>7</v>
      </c>
      <c r="X367" s="16" t="str">
        <f t="shared" ca="1" si="222"/>
        <v>—</v>
      </c>
      <c r="Y367" s="15">
        <f t="shared" ca="1" si="223"/>
        <v>7</v>
      </c>
      <c r="Z367" s="16" t="str">
        <f t="shared" ca="1" si="224"/>
        <v>—</v>
      </c>
      <c r="AA367" s="15">
        <f t="shared" ca="1" si="225"/>
        <v>7</v>
      </c>
      <c r="AB367" s="9" t="str">
        <f t="shared" ca="1" si="226"/>
        <v>—</v>
      </c>
      <c r="AC367" s="15">
        <f t="shared" ref="AC367" ca="1" si="240">IF(OR(ISBLANK(VLOOKUP(DATEVALUE(LEFT($B367,4)&amp;"-"&amp;MID($B367,5,2)&amp;"-"&amp;RIGHT($B367,2)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ISNA(MATCH((VLOOKUP(DATEVALUE(LEFT($B367,4)&amp;"-"&amp;MID($B367,5,2)&amp;"-"&amp;RIGHT($B367,2)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67" s="76" t="str">
        <f t="shared" ca="1" si="228"/>
        <v>—</v>
      </c>
      <c r="AE367" s="15">
        <f t="shared" ca="1" si="229"/>
        <v>7</v>
      </c>
      <c r="AF367" s="76" t="str">
        <f t="shared" ca="1" si="230"/>
        <v>—</v>
      </c>
      <c r="AG367" s="15">
        <f t="shared" ca="1" si="231"/>
        <v>7</v>
      </c>
      <c r="AH367" s="9" t="str">
        <f t="shared" ca="1" si="232"/>
        <v>—</v>
      </c>
      <c r="AI367" s="15">
        <f t="shared" ref="AI367" ca="1" si="241">IF(OR(ISBLANK(VLOOKUP(DATEVALUE(LEFT($B367,4)&amp;"-"&amp;MID($B367,5,2)&amp;"-"&amp;RIGHT($B367,2)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ISNA(MATCH((VLOOKUP(DATEVALUE(LEFT($B367,4)&amp;"-"&amp;MID($B367,5,2)&amp;"-"&amp;RIGHT($B367,2)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67" s="26" t="str">
        <f t="shared" ca="1" si="234"/>
        <v>—</v>
      </c>
      <c r="AK367" s="15">
        <f t="shared" ca="1" si="235"/>
        <v>7</v>
      </c>
      <c r="AL367" s="9" t="str">
        <f t="shared" ca="1" si="236"/>
        <v>—</v>
      </c>
      <c r="AM367" s="15">
        <f t="shared" ref="AM367" ca="1" si="242">IF(OR(ISBLANK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AND(ISTEX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),EXACT(VLOOKUP(DATEVALUE(LEFT($B367,4)&amp;"-"&amp;MID($B367,5,2)&amp;"-"&amp;RIGHT($B367,2)),Data,MATCH(LEFT(VLOOKUP(AL$1,Parameters,2,FALSE()),3)&amp;"*",OFFSET(Data,N(ISNA(MATCH(LEFT(VLOOKUP(AL$1,Parameters,2,FALSE()),3)&amp;"*",OFFSET(Data,0,0,1),0))),0,1),0)+3*N(EXACT(AL$1,"DFx")),FALSE()),"—"))),Lacking,IF(ISNA(MATCH(DATEVALUE(LEFT($B367,4)&amp;"-"&amp;MID($B367,5,2)&amp;"-"&amp;RIGHT($B367,2)),OFFSET(Catalogus,0,0,,1),0)),Ok,VLOOKUP(DATEVALUE(LEFT($B367,4)&amp;"-"&amp;MID($B367,5,2)&amp;"-"&amp;RIGHT($B367,2)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67" s="9" t="str">
        <f t="shared" ca="1" si="238"/>
        <v>—</v>
      </c>
      <c r="AO367" s="15">
        <f t="shared" ref="AO367" ca="1" si="243">IF(OR(ISBLANK(VLOOKUP(DATEVALUE(LEFT($B367,4)&amp;"-"&amp;MID($B367,5,2)&amp;"-"&amp;RIGHT($B367,2)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ISNA(MATCH((VLOOKUP(DATEVALUE(LEFT($B367,4)&amp;"-"&amp;MID($B367,5,2)&amp;"-"&amp;RIGHT($B367,2)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367,4)&amp;"-"&amp;MID($B367,5,2)&amp;"-"&amp;RIGHT($B367,2)),OFFSET(Catalogus,0,0,,1),0)),Ok,VLOOKUP(DATEVALUE(LEFT($B367,4)&amp;"-"&amp;MID($B367,5,2)&amp;"-"&amp;RIGHT($B367,2)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 F367:AO36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7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19120101,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19120102,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19120103,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19120104,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19120105,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19120106,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19120107,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19120108,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19120109,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19120110,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19120111,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19120112,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19120113,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19120114,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19120115,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19120116,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19120117,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19120118,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19120119,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19120120,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19120121,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19120122,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19120123,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19120124,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19120125,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19120126,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19120127,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19120128,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19120129,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19120130,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19120131,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19120201,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19120202,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19120203,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19120204,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19120205,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19120206,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19120207,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19120208,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19120209,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19120210,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19120211,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19120212,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19120213,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19120214,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19120215,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19120216,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19120217,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19120218,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19120219,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19120220,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19120221,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19120222,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19120223,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19120224,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19120225,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19120226,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19120227,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19120228,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19120229,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19120301,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19120302,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19120303,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19120304,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19120305,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19120306,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19120307,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19120308,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19120309,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19120310,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19120311,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19120312,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19120313,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19120314,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19120315,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19120316,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19120317,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19120318,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19120319,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19120320,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19120321,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19120322,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19120323,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19120324,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19120325,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19120326,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19120327,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19120328,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19120329,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19120330,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19120331,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19120401,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19120402,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19120403,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19120404,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19120405,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19120406,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19120407,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19120408,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19120409,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19120410,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19120411,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19120412,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19120413,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19120414,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19120415,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19120416,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19120417,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19120418,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19120419,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19120420,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19120421,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19120422,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19120423,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19120424,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19120425,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19120426,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19120427,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19120428,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19120429,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19120430,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19120501,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19120502,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19120503,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19120504,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19120505,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19120506,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19120507,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19120508,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19120509,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19120510,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19120511,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19120512,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19120513,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19120514,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19120515,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19120516,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19120517,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19120518,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19120519,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19120520,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19120521,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19120522,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19120523,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19120524,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19120525,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19120526,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19120527,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19120528,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19120529,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19120530,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19120531,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19120601,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19120602,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19120603,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19120604,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19120605,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19120606,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19120607,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19120608,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19120609,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19120610,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19120611,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19120612,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19120613,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19120614,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19120615,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19120616,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19120617,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19120618,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19120619,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19120620,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19120621,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19120622,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19120623,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19120624,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19120625,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19120626,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19120627,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19120628,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19120629,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19120630, 1, ////, 07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78989, 19120701, 1,   48, 00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78989, 19120702, 1,    0, 00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78989, 19120703, 1,    0, 00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78989, 19120704, 1,    0, 00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78989, 19120705, 1,    0, 00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78989, 19120706, 1,    0, 00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78989, 19120707, 1,   10, 00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78989, 19120708, 1,    0, 00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78989, 19120709, 1,  102, 00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78989, 19120710, 1,   20, 00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78989, 19120711, 1,    0, 00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78989, 19120712, 1,    0, 00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78989, 19120713, 1,    0, 00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19120714, 1, ////, 07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78989, 19120715, 1,   23, 00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78989, 19120716, 1,    0, 00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78989, 19120717, 1,    0, 00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78989, 19120718, 1,    0, 00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78989, 19120719, 1,   10, 00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78989, 19120720, 1,    5, 00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78989, 19120721, 1,    0, 00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78989, 19120722, 1,    8, 00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78989, 19120723, 1,    0, 00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78989, 19120724, 1,    0, 00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78989, 19120725, 1,    8, 00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78989, 19120726, 1,    0, 00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78989, 19120727, 1,    0, 00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78989, 19120728, 1,   18, 00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78989, 19120729, 1,   15, 00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78989, 19120730, 1,    5, 00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78989, 19120731, 1,    0, 00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78989, 19120801, 1,   20, 00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78989, 19120802, 1,    0, 00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78989, 19120803, 1,    0, 00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78989, 19120804, 1,   10, 00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78989, 19120805, 1,  102, 00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78989, 19120806, 1,    0, 00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78989, 19120807, 1,    0, 00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78989, 19120808, 1,    0, 00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78989, 19120809, 1,    0, 00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78989, 19120810, 1,    0, 00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78989, 19120811, 1,   15, 00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78989, 19120812, 1,    0, 00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78989, 19120813, 1,   13, 00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78989, 19120814, 1,   61, 00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78989, 19120815, 1,   76, 00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78989, 19120816, 1,    0, 00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78989, 19120817, 1,    0, 00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78989, 19120818, 1,    0, 00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78989, 19120819, 1,    0, 00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78989, 19120820, 1,    0, 00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78989, 19120821, 1,    0, 00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78989, 19120822, 1,    0, 00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78989, 19120823, 1,    3, 00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78989, 19120824, 1,    0, 00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78989, 19120825, 1,    0, 00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78989, 19120826, 1,    0, 00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78989, 19120827, 1,    0, 00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78989, 19120828, 1,    0, 00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78989, 19120829, 1,    0, 00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78989, 19120830, 1,    0, 00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78989, 19120831, 1,    0, 00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78989, 19120901, 1,   10, 00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78989, 19120902, 1,    0, 00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78989, 19120903, 1,    0, 00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78989, 19120904, 1,    0, 00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78989, 19120905, 1,    0, 00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78989, 19120906, 1,    0, 00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78989, 19120907, 1,    0, 00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78989, 19120908, 1,    0, 00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78989, 19120909, 1,   10, 00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78989, 19120910, 1,    0, 00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78989, 19120911, 1,    0, 00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78989, 19120912, 1,    0, 00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78989, 19120913, 1,    0, 00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78989, 19120914, 1,    0, 00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78989, 19120915, 1,    0, 00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78989, 19120916, 1,    0, 00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78989, 19120917, 1,   20, 00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78989, 19120918, 1,   46, 00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78989, 19120919, 1,    0, 00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78989, 19120920, 1,    0, 00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78989, 19120921, 1,    0, 00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78989, 19120922, 1,    0, 00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78989, 19120923, 1,    0, 00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78989, 19120924, 1,    0, 00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78989, 19120925, 1,    0, 00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78989, 19120926, 1,    0, 00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78989, 19120927, 1,    0, 00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78989, 19120928, 1,   89, 00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78989, 19120929, 1,    0, 00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78989, 19120930, 1,    0, 00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78989, 19121001, 1,    0, 00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78989, 19121002, 1,    0, 00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78989, 19121003, 1,    0, 00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78989, 19121004, 1,    0, 00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78989, 19121005, 1,   25, 00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78989, 19121006, 1,  114, 00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78989, 19121007, 1,    0, 00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78989, 19121008, 1,    0, 00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78989, 19121009, 1,    0, 00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78989, 19121010, 1,    0, 00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78989, 19121011, 1,    0, 00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78989, 19121012, 1,    0, 00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78989, 19121013, 1,    0, 00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78989, 19121014, 1,    0, 00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78989, 19121015, 1,   53, 00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78989, 19121016, 1,    0, 00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78989, 19121017, 1,    0, 00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78989, 19121018, 1,    0, 00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78989, 19121019, 1,    0, 00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78989, 19121020, 1,    0, 00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78989, 19121021, 1,    3, 00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78989, 19121022, 1,    3, 00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78989, 19121023, 1,    0, 00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78989, 19121024, 1,    0, 00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78989, 19121025, 1,  142, 00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78989, 19121026, 1,    0, 00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78989, 19121027, 1,  102, 00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78989, 19121028, 1,  384, 00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78989, 19121029, 1,    3, 00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78989, 19121030, 1,  130, 00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78989, 19121031, 1,    3, 00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78989, 19121101, 1,    0, 00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78989, 19121102, 1,   25, 00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78989, 19121103, 1,   13, 00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78989, 19121104, 1,   66, 00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78989, 19121105, 1,   36, 00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78989, 19121106, 1,   91, 00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78989, 19121107, 1,    8, 00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78989, 19121108, 1,   28, 00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78989, 19121109, 1,    0, 00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78989, 19121110, 1,    0, 00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78989, 19121111, 1,    0, 00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78989, 19121112, 1,   18, 00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78989, 19121113, 1,   76, 00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78989, 19121114, 1,    8, 00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78989, 19121115, 1,    5, 00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19121116,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19121117,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19121118,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19121119,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19121120,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19121121,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19121122,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19121123,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19121124,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19121125,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19121126,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19121127,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19121128,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19121129,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19121130,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19121201,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19121202,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19121203,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19121204,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19121205,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19121206,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19121207,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19121208,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19121209,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19121210,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19121211,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19121212,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19121213,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19121214,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19121215,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19121216,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19121217,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19121218,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19121219,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19121220,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19121221,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19121222,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19121223,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19121224,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19121225,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19121226,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19121227,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19121228,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19121229,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19121230, 1, ////, 07</v>
      </c>
    </row>
    <row r="367" spans="1:1" x14ac:dyDescent="0.25">
      <c r="A367" s="11" t="str">
        <f ca="1">TEXT(Regen!A367,"000\,")&amp;TEXT(Regen!B367,"?00000000")&amp;TEXT(Regen!C367,""",""?0")&amp;IF(EXACT(Regen!D367,"T"),", ""tr""",SUBSTITUTE(TEXT(IF(ISTEXT(Regen!D367),Regen!D367,10*Regen!D367),""",""????0;"",""???-0;"",""????0;"", ////"""),"'",""""))&amp;SUBSTITUTE(TEXT(Regen!E367,""",""?00;"",""?-00;"",""?00;"", //"""),"'","""")</f>
        <v>78989, 19121231,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7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19120101,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19120102,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19120103,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19120104,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19120105,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19120106,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19120107,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19120108,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19120109,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19120110,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19120111,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19120112,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19120113,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19120114,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19120115,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19120116,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19120117,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19120118,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19120119,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19120120,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19120121,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19120122,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19120123,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19120124,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19120125,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19120126,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19120127,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19120128,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19120129,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19120130,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19120131,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19120201,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19120202,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19120203,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19120204,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19120205,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19120206,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19120207,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19120208,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19120209,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19120210,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19120211,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19120212,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19120213,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19120214,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19120215,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19120216,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19120217,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19120218,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19120219,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19120220,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19120221,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19120222,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19120223,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19120224,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19120225,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19120226,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19120227,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19120228,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19120229,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19120301,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19120302,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19120303,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19120304,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19120305,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19120306,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19120307,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19120308,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19120309,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19120310,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19120311,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19120312,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19120313,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19120314,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19120315,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19120316,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19120317,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19120318,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19120319,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19120320,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19120321,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19120322,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19120323,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19120324,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19120325,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19120326,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19120327,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19120328,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19120329,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19120330,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19120331,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19120401,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19120402,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19120403,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19120404,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19120405,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19120406,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19120407,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19120408,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19120409,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19120410,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19120411,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19120412,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19120413,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19120414,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19120415,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19120416,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19120417,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19120418,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19120419,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19120420,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19120421,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19120422,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19120423,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19120424,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19120425,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19120426,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19120427,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19120428,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19120429,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19120430,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19120501,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19120502,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19120503,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19120504,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19120505,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19120506,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19120507,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19120508,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19120509,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19120510,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19120511,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19120512,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19120513,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19120514,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19120515,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19120516,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19120517,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19120518,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19120519,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19120520,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19120521,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19120522,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19120523,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19120524,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19120525,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19120526,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19120527,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19120528,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19120529,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19120530,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19120531, 0800,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19120601, 0800,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19120602, 0800,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19120603, 0800,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19120604, 0800,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19120605, 0800,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19120606, 0800,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19120607, 0800,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19120608, 0800,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19120609, 0800,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19120610, 0800,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19120611, 0800,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19120612, 0800,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19120613, 0800,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19120614, 0800,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19120615, 0800,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19120616, 0800,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19120617, 0800,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19120618, 0800,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19120619, 0800,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19120620, 0800,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19120621, 0800,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19120622, 0800,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19120623, 0800,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19120624, 0800,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19120625, 0800,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19120626, 0800,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19120627, 0800,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19120628, 0800,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19120629, 0800,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19120630, 0800, ////, 07, /////, 07, ////, 07, /////, 07, ////, 07, ////, 07, ////, 07, ////, 07, ///, 07, ///, 07, ////, 07, ////, 07, ///, 07, ////, 07,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19120701, 0800, ////, 07, /////, 07, ////, 07, /////, 07, 7602, 00, ////, 07, ////, 07, ////, 07, ///, 07, ///, 07,  302, 00,  222, 00,  90, 00,   67,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19120702, 0800, ////, 07, /////, 07, ////, 07, /////, 07, 7615, 00, ////, 07, ////, 07, ////, 07, ///, 07, ///, 07,  279, 00,  212, 00,  90, 00,   67,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19120703, 0800, ////, 07, /////, 07, ////, 07, /////, 07, 7610, 00, ////, 07, ////, 07, ////, 07, ///, 07, ///, 07,  304, 00,  217, 00,  90, 00,   72,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19120704, 0800, ////, 07, /////, 07, ////, 07, /////, 07, 7592, 00, ////, 07, ////, 07, ////, 07, ///, 07, ///, 07,  304, 00,  219, 00,  90, 00,   77,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19120705, 0800, ////, 07, /////, 07, ////, 07, /////, 07, 7602, 00, ////, 07, ////, 07, ////, 07, ///, 07, ///, 07,  297, 00,  205, 00,  90, 00,   82,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19120706, 0800, ////, 07, /////, 07, ////, 07, /////, 07, 7612, 00, ////, 07, ////, 07, ////, 07, ///, 07, ///, 07,  297, 00,  217, 00,  90, 00,   62,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19120707, 0800, ////, 07, /////, 07, ////, 07, /////, 07, 7612, 00, ////, 07, ////, 07, ////, 07, ///, 07, ///, 07,  301, 00,  224, 00,  90, 00,   62,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19120708, 0800, ////, 07, /////, 07, ////, 07, /////, 07, 7607, 00, ////, 07, ////, 07, ////, 07, ///, 07, ///, 07,  300, 00,  223, 00,  90, 00,   72,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19120709, 0800, ////, 07, /////, 07, ////, 07, /////, 07, 7612, 00, ////, 07, ////, 07, ////, 07, ///, 07, ///, 07,  297, 00,  205, 00, 135, 00,   41,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19120710, 0800, ////, 07, /////, 07, ////, 07, /////, 07, 7617, 00, ////, 07, ////, 07, ////, 07, ///, 07, ///, 07,  295, 00,  208, 00,  90, 00,   72,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19120711, 0800, ////, 07, /////, 07, ////, 07, /////, 07, 7607, 00, ////, 07, ////, 07, ////, 07, ///, 07, ///, 07,  296, 00,  223, 00, 135, 00,   72,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19120712, 0800, ////, 07, /////, 07, ////, 07, /////, 07, 7610, 00, ////, 07, ////, 07, ////, 07, ///, 07, ///, 07,  301, 00,  244, 00,  90, 00,   72,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19120713, 0800, ////, 07, /////, 07, ////, 07, /////, 07, 7607, 00, ////, 07, ////, 07, ////, 07, ///, 07, ///, 07,  300, 00,  221, 00,  90, 00,   77,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19120714, 0800, ////, 07, /////, 07, ////, 07, /////, 07, 7600, 00, ////, 07, ////, 07, ////, 07, ///, 07, ///, 07,  304, 00,  229, 00,  90, 00,   72,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19120715, 0800, ////, 07, /////, 07, ////, 07, /////, 07, 7595, 00, ////, 07, ////, 07, ////, 07, ///, 07, ///, 07,  304, 00,  211, 00,  90, 00,   62,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19120716, 0800, ////, 07, /////, 07, ////, 07, /////, 07, 7595, 00, ////, 07, ////, 07, ////, 07, ///, 07, ///, 07,  300, 00,  239, 00,  90, 00,   62,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19120717, 0800, ////, 07, /////, 07, ////, 07, /////, 07, 7597, 00, ////, 07, ////, 07, ////, 07, ///, 07, ///, 07,  306, 00,  239, 00, 135, 00,   62,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19120718, 0800, ////, 07, /////, 07, ////, 07, /////, 07, 7602, 00, ////, 07, ////, 07, ////, 07, ///, 07, ///, 07,  301, 00,  241, 00, 135, 00,   72,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19120719, 0800, ////, 07, /////, 07, ////, 07, /////, 07, 7610, 00, ////, 07, ////, 07, ////, 07, ///, 07, ///, 07,  304, 00,  239, 00,  90, 00,   72,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19120720, 0800, ////, 07, /////, 07, ////, 07, /////, 07, 7610, 00, ////, 07, ////, 07, ////, 07, ///, 07, ///, 07,  302, 00,  228, 00,  90, 00,   62,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19120721, 0800, ////, 07, /////, 07, ////, 07, /////, 07, 7607, 00, ////, 07, ////, 07, ////, 07, ///, 07, ///, 07,  305, 00,  233, 00, 135, 00,   72,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19120722, 0800, ////, 07, /////, 07, ////, 07, /////, 07, 7620, 00, ////, 07, ////, 07, ////, 07, ///, 07, ///, 07,  303, 00,  236, 00, 135, 00,   62,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19120723, 0800, ////, 07, /////, 07, ////, 07, /////, 07, 7612, 00, ////, 07, ////, 07, ////, 07, ///, 07, ///, 07,  304, 00,  235, 00,  90, 00,   82,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19120724, 0800, ////, 07, /////, 07, ////, 07, /////, 07, 7607, 00, ////, 07, ////, 07, ////, 07, ///, 07, ///, 07,  307, 00,  236, 00,  90, 00,   67,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19120725, 0800, ////, 07, /////, 07, ////, 07, /////, 07, 7605, 00, ////, 07, ////, 07, ////, 07, ///, 07, ///, 07,  304, 00,  238, 00,  90, 00,   77,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19120726, 0800, ////, 07, /////, 07, ////, 07, /////, 07, 7600, 00, ////, 07, ////, 07, ////, 07, ///, 07, ///, 07,  306, 00,  241, 00,  90, 00,   62,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19120727, 0800, ////, 07, /////, 07, ////, 07, /////, 07, 7605, 00, ////, 07, ////, 07, ////, 07, ///, 07, ///, 07,  300, 00,  229, 00,  90, 00,   62,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19120728, 0800, ////, 07, /////, 07, ////, 07, /////, 07, 7587, 00, ////, 07, ////, 07, ////, 07, ///, 07, ///, 07,  306, 00,  214, 00, 135, 00,   62,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19120729, 0800, ////, 07, /////, 07, ////, 07, /////, 07, 7607, 00, ////, 07, ////, 07, ////, 07, ///, 07, ///, 07,  294, 00,  218, 00,  90, 00,   72,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19120730, 0800, ////, 07, /////, 07, ////, 07, /////, 07, 7607, 00, ////, 07, ////, 07, ////, 07, ///, 07, ///, 07,  304, 00,  226, 00, 135, 00,   72,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19120731, 0800, ////, 07, /////, 07, ////, 07, /////, 07, 7605, 00, ////, 07, ////, 07, ////, 07, ///, 07, ///, 07,  299, 00,  240, 00,  90, 00,   82,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19120801, 0800, ////, 07, /////, 07, ////, 07, /////, 07, 7597, 00, ////, 07, ////, 07, ////, 07, ///, 07, ///, 07,  286, 00,  237, 00,  90, 00,   51,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19120802, 0800, ////, 07, /////, 07, ////, 07, /////, 07, 7607, 00, ////, 07, ////, 07, ////, 07, ///, 07, ///, 07,  299, 00,  239, 00,  90, 00,   72,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19120803, 0800, ////, 07, /////, 07, ////, 07, /////, 07, 7600, 00, ////, 07, ////, 07, ////, 07, ///, 07, ///, 07,  303, 00,  246, 00,  90, 00,   72,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19120804, 0800, ////, 07, /////, 07, ////, 07, /////, 07, 7597, 00, ////, 07, ////, 07, ////, 07, ///, 07, ///, 07,  301, 00,  225, 00,  90, 00,   77,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19120805, 0800, ////, 07, /////, 07, ////, 07, /////, 07, 7602, 00, ////, 07, ////, 07, ////, 07, ///, 07, ///, 07,  294, 00,  212, 00,  90, 00,   72,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19120806, 0800, ////, 07, /////, 07, ////, 07, /////, 07, 7615, 00, ////, 07, ////, 07, ////, 07, ///, 07, ///, 07,  300, 00,  219, 00,  90, 00,   72,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19120807, 0800, ////, 07, /////, 07, ////, 07, /////, 07, 7612, 00, ////, 07, ////, 07, ////, 07, ///, 07, ///, 07,  307, 00,  224, 00,  90, 00,   72,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19120808, 0800, ////, 07, /////, 07, ////, 07, /////, 07, 7615, 00, ////, 07, ////, 07, ////, 07, ///, 07, ///, 07,  306, 00,  242, 00,  90, 00,   77,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19120809, 0800, ////, 07, /////, 07, ////, 07, /////, 07, 7607, 00, ////, 07, ////, 07, ////, 07, ///, 07, ///, 07,  308, 00,  242, 00, 135, 00,   62,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19120810, 0800, ////, 07, /////, 07, ////, 07, /////, 07, 7600, 00, ////, 07, ////, 07, ////, 07, ///, 07, ///, 07,  299, 00,  244, 00, 135, 00,   72,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19120811, 0800, ////, 07, /////, 07, ////, 07, /////, 07, 7595, 00, ////, 07, ////, 07, ////, 07, ///, 07, ///, 07,  310, 00,  224, 00, 135, 00,   77,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19120812, 0800, ////, 07, /////, 07, ////, 07, /////, 07, 7610, 00, ////, 07, ////, 07, ////, 07, ///, 07, ///, 07,  303, 00,  245, 00,  90, 00,   72,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19120813, 0800, ////, 07, /////, 07, ////, 07, /////, 07, 7610, 00, ////, 07, ////, 07, ////, 07, ///, 07, ///, 07,  306, 00,  218, 00,  90, 00,   77,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19120814, 0800, ////, 07, /////, 07, ////, 07, /////, 07, 7610, 00, ////, 07, ////, 07, ////, 07, ///, 07, ///, 07,  301, 00,  218, 00,  45, 00,   36,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19120815, 0800, ////, 07, /////, 07, ////, 07, /////, 07, 7595, 00, ////, 07, ////, 07, ////, 07, ///, 07, ///, 07,  296, 00,  223, 00,  90, 00,   77,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19120816, 0800, ////, 07, /////, 07, ////, 07, /////, 07, 7602, 00, ////, 07, ////, 07, ////, 07, ///, 07, ///, 07,  299, 00,  234, 00, 135, 00,   72,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19120817, 0800, ////, 07, /////, 07, ////, 07, /////, 07, 7610, 00, ////, 07, ////, 07, ////, 07, ///, 07, ///, 07,  294, 00,  228, 00, 135, 00,   62,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19120818, 0800, ////, 07, /////, 07, ////, 07, /////, 07, 7610, 00, ////, 07, ////, 07, ////, 07, ///, 07, ///, 07,  306, 00,  234, 00,  90, 00,   72,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19120819, 0800, ////, 07, /////, 07, ////, 07, /////, 07, 7607, 00, ////, 07, ////, 07, ////, 07, ///, 07, ///, 07,  305, 00,  229, 00,  90, 00,   77,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19120820, 0800, ////, 07, /////, 07, ////, 07, /////, 07, 7610, 00, ////, 07, ////, 07, ////, 07, ///, 07, ///, 07,  303, 00,  217, 00,  90, 00,   77,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19120821, 0800, ////, 07, /////, 07, ////, 07, /////, 07, 7602, 00, ////, 07, ////, 07, ////, 07, ///, 07, ///, 07,  302, 00,  234, 00,  90, 00,   77,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19120822, 0800, ////, 07, /////, 07, ////, 07, /////, 07, 7602, 00, ////, 07, ////, 07, ////, 07, ///, 07, ///, 07,  304, 00,  219, 00,  90, 00,   72,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19120823, 0800, ////, 07, /////, 07, ////, 07, /////, 07, 7617, 00, ////, 07, ////, 07, ////, 07, ///, 07, ///, 07,  305, 00,  233, 00,  90, 00,   82,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19120824, 0800, ////, 07, /////, 07, ////, 07, /////, 07, 7620, 00, ////, 07, ////, 07, ////, 07, ///, 07, ///, 07,  304, 00,  233, 00,  90, 00,   82,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19120825, 0800, ////, 07, /////, 07, ////, 07, /////, 07, 7610, 00, ////, 07, ////, 07, ////, 07, ///, 07, ///, 07,  308, 00,  212, 00,  90, 00,   72,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19120826, 0800, ////, 07, /////, 07, ////, 07, /////, 07, 7600, 00, ////, 07, ////, 07, ////, 07, ///, 07, ///, 07,  306, 00,  242, 00, 135, 00,   77,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19120827, 0800, ////, 07, /////, 07, ////, 07, /////, 07, 7612, 00, ////, 07, ////, 07, ////, 07, ///, 07, ///, 07,  301, 00,  228, 00,  90, 00,   72,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19120828, 0800, ////, 07, /////, 07, ////, 07, /////, 07, 7600, 00, ////, 07, ////, 07, ////, 07, ///, 07, ///, 07,  307, 00,  235, 00,  90, 00,   51,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19120829, 0800, ////, 07, /////, 07, ////, 07, /////, 07, 7595, 00, ////, 07, ////, 07, ////, 07, ///, 07, ///, 07,  306, 00,  237, 00, 135, 00,   51,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19120830, 0800, ////, 07, /////, 07, ////, 07, /////, 07, 7597, 00, ////, 07, ////, 07, ////, 07, ///, 07, ///, 07,  306, 00,  239, 00, 135, 00,   51,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19120831, 0800, ////, 07, /////, 07, ////, 07, /////, 07, 7607, 00, ////, 07, ////, 07, ////, 07, ///, 07, ///, 07,  308, 00,  222, 00,  90, 00,   77,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19120901, 0800, ////, 07, /////, 07, ////, 07, /////, 07, 7602, 00, ////, 07, ////, 07, ////, 07, ///, 07, ///, 07,  308, 00,  238, 00,  90, 00,   72,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19120902, 0800, ////, 07, /////, 07, ////, 07, /////, 07, 7597, 00, ////, 07, ////, 07, ////, 07, ///, 07, ///, 07,  306, 00,  241, 00, 135, 00,   62,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19120903, 0800, ////, 07, /////, 07, ////, 07, /////, 07, 7582, 00, ////, 07, ////, 07, ////, 07, ///, 07, ///, 07,  311, 00,  245, 00,  90, 00,   72,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19120904, 0800, ////, 07, /////, 07, ////, 07, /////, 07, 7587, 00, ////, 07, ////, 07, ////, 07, ///, 07, ///, 07,  299, 00,  243, 00, 135, 00,   72,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19120905, 0800, ////, 07, /////, 07, ////, 07, /////, 07, 7605, 00, ////, 07, ////, 07, ////, 07, ///, 07, ///, 07,  317, 00,  238, 00,  90, 00,   51,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19120906, 0800, ////, 07, /////, 07, ////, 07, /////, 07, 7605, 00, ////, 07, ////, 07, ////, 07, ///, 07, ///, 07,  311, 00,  229, 00,  90, 00,   51,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19120907, 0800, ////, 07, /////, 07, ////, 07, /////, 07, 7605, 00, ////, 07, ////, 07, ////, 07, ///, 07, ///, 07,  314, 00,  238, 00,  90, 00,   62,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19120908, 0800, ////, 07, /////, 07, ////, 07, /////, 07, 7595, 00, ////, 07, ////, 07, ////, 07, ///, 07, ///, 07,  317, 00,  250, 00,  90, 00,   51,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19120909, 0800, ////, 07, /////, 07, ////, 07, /////, 07, 7597, 00, ////, 07, ////, 07, ////, 07, ///, 07, ///, 07,  316, 00,  244, 00, 135, 00,   72,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19120910, 0800, ////, 07, /////, 07, ////, 07, /////, 07, 7605, 00, ////, 07, ////, 07, ////, 07, ///, 07, ///, 07,  317, 00,  238, 00,  90, 00,   62,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19120911, 0800, ////, 07, /////, 07, ////, 07, /////, 07, 7600, 00, ////, 07, ////, 07, ////, 07, ///, 07, ///, 07,  317, 00,  238, 00,  90, 00,   72,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19120912, 0800, ////, 07, /////, 07, ////, 07, /////, 07, 7597, 00, ////, 07, ////, 07, ////, 07, ///, 07, ///, 07,  311, 00,  251, 00,  90, 00,   72,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19120913, 0800, ////, 07, /////, 07, ////, 07, /////, 07, 7590, 00, ////, 07, ////, 07, ////, 07, ///, 07, ///, 07,  310, 00,  237, 00,  90, 00,   77,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19120914, 0800, ////, 07, /////, 07, ////, 07, /////, 07, 7597, 00, ////, 07, ////, 07, ////, 07, ///, 07, ///, 07,  313, 00,  239, 00, 135, 00,   72,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19120915, 0800, ////, 07, /////, 07, ////, 07, /////, 07, 7602, 00, ////, 07, ////, 07, ////, 07, ///, 07, ///, 07,  313, 00,  234, 00,  90, 00,   77,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19120916, 0800, ////, 07, /////, 07, ////, 07, /////, 07, 7592, 00, ////, 07, ////, 07, ////, 07, ///, 07, ///, 07,  311, 00,  238, 00, 135, 00,   72,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19120917, 0800, ////, 07, /////, 07, ////, 07, /////, 07, 7592, 00, ////, 07, ////, 07, ////, 07, ///, 07, ///, 07,  308, 00,  233, 00, 180, 00,   51,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19120918, 0800, ////, 07, /////, 07, ////, 07, /////, 07, 7597, 00, ////, 07, ////, 07, ////, 07, ///, 07, ///, 07,  286, 00,  222, 00,  90, 00,   51,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19120919, 0800, ////, 07, /////, 07, ////, 07, /////, 07, 7607, 00, ////, 07, ////, 07, ////, 07, ///, 07, ///, 07,  311, 00,  242, 00,  90, 00,   77,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19120920, 0800, ////, 07, /////, 07, ////, 07, /////, 07, 7607, 00, ////, 07, ////, 07, ////, 07, ///, 07, ///, 07,  310, 00,  234, 00,  90, 00,   51,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19120921, 0800, ////, 07, /////, 07, ////, 07, /////, 07, 7590, 00, ////, 07, ////, 07, ////, 07, ///, 07, ///, 07,  316, 00,  237, 00,  90, 00,   72,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19120922, 0800, ////, 07, /////, 07, ////, 07, /////, 07, 7592, 00, ////, 07, ////, 07, ////, 07, ///, 07, ///, 07,  311, 00,  234, 00,  90, 00,   72,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19120923, 0800, ////, 07, /////, 07, ////, 07, /////, 07, 7600, 00, ////, 07, ////, 07, ////, 07, ///, 07, ///, 07,  312, 00,  242, 00,  90, 00,   72,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19120924, 0800, ////, 07, /////, 07, ////, 07, /////, 07, 7600, 00, ////, 07, ////, 07, ////, 07, ///, 07, ///, 07,  308, 00,  244, 00, 135, 00,   62,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19120925, 0800, ////, 07, /////, 07, ////, 07, /////, 07, 7602, 00, ////, 07, ////, 07, ////, 07, ///, 07, ///, 07,  306, 00,  246, 00,  90, 00,   51,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19120926, 0800, ////, 07, /////, 07, ////, 07, /////, 07, 7587, 00, ////, 07, ////, 07, ////, 07, ///, 07, ///, 07,  304, 00,  230, 00, 135, 00,   72,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19120927, 0800, ////, 07, /////, 07, ////, 07, /////, 07, 7595, 00, ////, 07, ////, 07, ////, 07, ///, 07, ///, 07,  302, 00,  244, 00, 135, 00,   51,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19120928, 0800, ////, 07, /////, 07, ////, 07, /////, 07, 7590, 00, ////, 07, ////, 07, ////, 07, ///, 07, ///, 07,  295, 00,  217, 00, 235, 00,   51,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19120929, 0800, ////, 07, /////, 07, ////, 07, /////, 07, 7610, 00, ////, 07, ////, 07, ////, 07, ///, 07, ///, 07,  301, 00,  244, 00, 135, 00,   72,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19120930, 0800, ////, 07, /////, 07, ////, 07, /////, 07, 7605, 00, ////, 07, ////, 07, ////, 07, ///, 07, ///, 07,  306, 00,  245, 00,  90, 00,   62,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19121001, 0800, ////, 07, /////, 07, ////, 07, /////, 07, 7600, 00, ////, 07, ////, 07, ////, 07, ///, 07, ///, 07,  312, 00,  239, 00,  90, 00,   77,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19121002, 0800, ////, 07, /////, 07, ////, 07, /////, 07, 7602, 00, ////, 07, ////, 07, ////, 07, ///, 07, ///, 07,  313, 00,  235, 00,  90, 00,   51,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19121003, 0800, ////, 07, /////, 07, ////, 07, /////, 07, 7595, 00, ////, 07, ////, 07, ////, 07, ///, 07, ///, 07,  317, 00,  245, 00,  90, 00,   72,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19121004, 0800, ////, 07, /////, 07, ////, 07, /////, 07, 7597, 00, ////, 07, ////, 07, ////, 07, ///, 07, ///, 07,  311, 00,  243, 00,  90, 00,   72,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19121005, 0800, ////, 07, /////, 07, ////, 07, /////, 07, 7605, 00, ////, 07, ////, 07, ////, 07, ///, 07, ///, 07,  312, 00,  230, 00,  90, 00,   77,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19121006, 0800, ////, 07, /////, 07, ////, 07, /////, 07, 7595, 00, ////, 07, ////, 07, ////, 07, ///, 07, ///, 07,  302, 00,  217, 00, 135, 00,   51,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19121007, 0800, ////, 07, /////, 07, ////, 07, /////, 07, 7579, 00, ////, 07, ////, 07, ////, 07, ///, 07, ///, 07,  301, 00,  234, 00,  90, 00,   77,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19121008, 0800, ////, 07, /////, 07, ////, 07, /////, 07, 7587, 00, ////, 07, ////, 07, ////, 07, ///, 07, ///, 07,  317, 00,  236, 00, 135, 00,   77,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19121009, 0800, ////, 07, /////, 07, ////, 07, /////, 07, 7597, 00, ////, 07, ////, 07, ////, 07, ///, 07, ///, 07,  311, 00,  237, 00, 135, 00,   62,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19121010, 0800, ////, 07, /////, 07, ////, 07, /////, 07, 7597, 00, ////, 07, ////, 07, ////, 07, ///, 07, ///, 07,  317, 00,  240, 00,  90, 00,   72,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19121011, 0800, ////, 07, /////, 07, ////, 07, /////, 07, 7592, 00, ////, 07, ////, 07, ////, 07, ///, 07, ///, 07,  311, 00,  247, 00,  90, 00,   72,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19121012, 0800, ////, 07, /////, 07, ////, 07, /////, 07, 7584, 00, ////, 07, ////, 07, ////, 07, ///, 07, ///, 07,  314, 00,  194, 00,  90, 00,   72,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19121013, 0800, ////, 07, /////, 07, ////, 07, /////, 07, 7597, 00, ////, 07, ////, 07, ////, 07, ///, 07, ///, 07,  282, 00,  198, 00,  90, 00,   62,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19121014, 0800, ////, 07, /////, 07, ////, 07, /////, 07, 7587, 00, ////, 07, ////, 07, ////, 07, ///, 07, ///, 07,  304, 00,  198, 00,  90, 00,   77,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19121015, 0800, ////, 07, /////, 07, ////, 07, /////, 07, 7595, 00, ////, 07, ////, 07, ////, 07, ///, 07, ///, 07,  306, 00,  223, 00,  90, 00,   62,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19121016, 0800, ////, 07, /////, 07, ////, 07, /////, 07, 7592, 00, ////, 07, ////, 07, ////, 07, ///, 07, ///, 07,  312, 00,  207, 00,  90, 00,   51,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19121017, 0800, ////, 07, /////, 07, ////, 07, /////, 07, 7582, 00, ////, 07, ////, 07, ////, 07, ///, 07, ///, 07,  316, 00,  218, 00, 135, 00,   67,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19121018, 0800, ////, 07, /////, 07, ////, 07, /////, 07, 7582, 00, ////, 07, ////, 07, ////, 07, ///, 07, ///, 07,  309, 00,  240, 00,  90, 00,   51,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19121019, 0800, ////, 07, /////, 07, ////, 07, /////, 07, 7587, 00, ////, 07, ////, 07, ////, 07, ///, 07, ///, 07,  312, 00,  252, 00,  90, 00,   51,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19121020, 0800, ////, 07, /////, 07, ////, 07, /////, 07, 7584, 00, ////, 07, ////, 07, ////, 07, ///, 07, ///, 07,  307, 00,  235, 00,  90, 00,   51,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19121021, 0800, ////, 07, /////, 07, ////, 07, /////, 07, 7584, 00, ////, 07, ////, 07, ////, 07, ///, 07, ///, 07,  306, 00,  208, 00,  90, 00,   51,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19121022, 0800, ////, 07, /////, 07, ////, 07, /////, 07, 7584, 00, ////, 07, ////, 07, ////, 07, ///, 07, ///, 07,  305, 00,  207, 00,  90, 00,   62,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19121023, 0800, ////, 07, /////, 07, ////, 07, /////, 07, 7587, 00, ////, 07, ////, 07, ////, 07, ///, 07, ///, 07,  311, 00,  212, 00,  90, 00,   62,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19121024, 0800, ////, 07, /////, 07, ////, 07, /////, 07, 7597, 00, ////, 07, ////, 07, ////, 07, ///, 07, ///, 07,  311, 00,  223, 00,  90, 00,   62,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19121025, 0800, ////, 07, /////, 07, ////, 07, /////, 07, 7590, 00, ////, 07, ////, 07, ////, 07, ///, 07, ///, 07,  257, 00,  206, 00, 135, 00,   51,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19121026, 0800, ////, 07, /////, 07, ////, 07, /////, 07, 7579, 00, ////, 07, ////, 07, ////, 07, ///, 07, ///, 07,  295, 00,  224, 00,  90, 00,   51,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19121027, 0800, ////, 07, /////, 07, ////, 07, /////, 07, 7579, 00, ////, 07, ////, 07, ////, 07, ///, 07, ///, 07,  306, 00,  202, 00,  90, 00,   46,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19121028, 0800, ////, 07, /////, 07, ////, 07, /////, 07, 7577, 00, ////, 07, ////, 07, ////, 07, ///, 07, ///, 07,  288, 00,  202, 00, 135, 00,   51,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19121029, 0800, ////, 07, /////, 07, ////, 07, /////, 07, 7592, 00, ////, 07, ////, 07, ////, 07, ///, 07, ///, 07,  273, 00,  224, 00, 315, 00,   51,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19121030, 0800, ////, 07, /////, 07, ////, 07, /////, 07, 7590, 00, ////, 07, ////, 07, ////, 07, ///, 07, ///, 07,  297, 00,  218, 00, 235, 00,   51,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19121031, 0800, ////, 07, /////, 07, ////, 07, /////, 07, 7600, 00, ////, 07, ////, 07, ////, 07, ///, 07, ///, 07,  262, 00,  207, 00, 180, 00,   51,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19121101, 0800, ////, 07, /////, 07, ////, 07, /////, 07, 7602, 00, ////, 07, ////, 07, ////, 07, ///, 07, ///, 07,  293, 00,  229, 00,  90, 00,   51,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19121102, 0800, ////, 07, /////, 07, ////, 07, /////, 07, 7600, 00, ////, 07, ////, 07, ////, 07, ///, 07, ///, 07,  309, 00,  224, 00,  90, 00,   62,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19121103, 0800, ////, 07, /////, 07, ////, 07, /////, 07, 7605, 00, ////, 07, ////, 07, ////, 07, ///, 07, ///, 07,  301, 00,  219, 00,  90, 00,   62,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19121104, 0800, ////, 07, /////, 07, ////, 07, /////, 07, 7600, 00, ////, 07, ////, 07, ////, 07, ///, 07, ///, 07,  301, 00,  231, 00,  45, 00,   51,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19121105, 0800, ////, 07, /////, 07, ////, 07, /////, 07, 7590, 00, ////, 07, ////, 07, ////, 07, ///, 07, ///, 07,  307, 00,  244, 00,  90, 00,   72,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19121106, 0800, ////, 07, /////, 07, ////, 07, /////, 07, 7579, 00, ////, 07, ////, 07, ////, 07, ///, 07, ///, 07,  307, 00,  218, 00,  90, 00,   62,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19121107, 0800, ////, 07, /////, 07, ////, 07, /////, 07, 7577, 00, ////, 07, ////, 07, ////, 07, ///, 07, ///, 07,  301, 00,  235, 00,  45, 00,   51,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19121108, 0800, ////, 07, /////, 07, ////, 07, /////, 07, 7574, 00, ////, 07, ////, 07, ////, 07, ///, 07, ///, 07,  298, 00,  229, 00, 135, 00,   51,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19121109, 0800, ////, 07, /////, 07, ////, 07, /////, 07, 7584, 00, ////, 07, ////, 07, ////, 07, ///, 07, ///, 07,  306, 00,  229, 00, 180, 00,   51,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19121110, 0800, ////, 07, /////, 07, ////, 07, /////, 07, 7577, 00, ////, 07, ////, 07, ////, 07, ///, 07, ///, 07,  301, 00,  211, 00,  45, 00,   62,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19121111, 0800, ////, 07, /////, 07, ////, 07, /////, 07, 7579, 00, ////, 07, ////, 07, ////, 07, ///, 07, ///, 07,  306, 00,  206, 00, 135, 00,   72,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19121112, 0800, ////, 07, /////, 07, ////, 07, /////, 07, 7584, 00, ////, 07, ////, 07, ////, 07, ///, 07, ///, 07,  296, 00,  240, 00,  90, 00,   51,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19121113, 0800, ////, 07, /////, 07, ////, 07, /////, 07, 7574, 00, ////, 07, ////, 07, ////, 07, ///, 07, ///, 07,  259, 00,  207, 00,  90, 00,   62,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19121114, 0800, ////, 07, /////, 07, ////, 07, /////, 07, 7587, 00, ////, 07, ////, 07, ////, 07, ///, 07, ///, 07,  267, 00,  221, 00,  90, 00,   51,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19121115, 0800, ////, 07, /////, 07, ////, 07, /////, 07, 7592, 00, ////, 07, ////, 07, ////, 07, ///, 07, ///, 07,  261, 00,  223, 00, 135, 00,   72,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19121116,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19121117,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19121118,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19121119,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19121120,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19121121,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19121122,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19121123,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19121124,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19121125,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19121126,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19121127,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19121128,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19121129,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19121130,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19121201,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19121202,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19121203,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19121204,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19121205,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19121206,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19121207,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19121208,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19121209,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19121210,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19121211,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19121212,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19121213,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19121214,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19121215,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19121216,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19121217,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19121218,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19121219,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19121220,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19121221,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19121222,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19121223,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19121224,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19121225,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19121226,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19121227,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19121228,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19121229,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19121230, 0800, ////, 07, /////, 07, ////, 07, /////, 07, ////, 07, ////, 07, ////, 07, ////, 07, ///, 07, ///, 07, ////, 07, ////, 07, ///, 07, ////, 07, ////, 07, ///, 07, //, 07, ////////////, 07, ///, 07</v>
      </c>
    </row>
    <row r="367" spans="1:1" x14ac:dyDescent="0.25">
      <c r="A367" s="75" t="str">
        <f ca="1">TEXT(Overig!A367,"000\,")&amp;TEXT(Overig!B367,"?00000000")&amp;TEXT(Overig!C367,""", ""0000")&amp;SUBSTITUTE(TEXT(IF(ISTEXT(Overig!D367),Overig!D367,10*Overig!D367),""",""????0;"",""???-0;"",""????0;"", ////"""),"'","""")&amp;SUBSTITUTE(TEXT(Overig!E367,""",""?00;"",""?-00;"",""?00;"", //"""),"'","""")&amp;SUBSTITUTE(TEXT(IF(ISTEXT(Overig!F367),Overig!F367,100*Overig!F367),""",""?????0;"",""????-0;"",""?????0;"", /////"""),"'","""")&amp;SUBSTITUTE(TEXT(Overig!G367,""",""?00;"",""?-00;"",""?00;"", //"""),"'","""")&amp;SUBSTITUTE(TEXT(IF(ISTEXT(Overig!H367),Overig!H367,100*Overig!H367),""",""????0;"",""???-0;"",""????0;"", ////"""),"'","""")&amp;SUBSTITUTE(TEXT(Overig!I367,""",""?00;"",""?-00;"",""?00;"", //"""),"'","""")&amp;SUBSTITUTE(TEXT(IF(ISTEXT(Overig!J367),Overig!J367,100*Overig!J367),""",""?????0;"",""????-0;"",""?????0;"", /////"""),"'","""")&amp;SUBSTITUTE(TEXT(Overig!K367,""",""?00;"",""?-00;"",""?00;"", //"""),"'","""")&amp;SUBSTITUTE(TEXT(IF(ISTEXT(Overig!L367),Overig!L367,10*Overig!L367),""",""????0;"",""???-0;"",""????0;"", ////"""),"'","""")&amp;SUBSTITUTE(TEXT(Overig!M367,""",""?00;"",""?-00;"",""?00;"",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//"""),"'","""")&amp;SUBSTITUTE(TEXT(IF(ISTEXT(Overig!R367),Overig!R367,10*Overig!R367),""",""????0;"",""???-0;"",""????0;"", ////"""),"'","""")&amp;SUBSTITUTE(TEXT(Overig!S367,""",""?00;"",""?-00;"",""?00;"", //"""),"'","""")&amp;SUBSTITUTE(TEXT(Overig!T367,""",""???0;"",""??-0;"",""???0;"", ///"""),"'","""")&amp;SUBSTITUTE(TEXT(Overig!U367,""",""?00;"",""?-00;"",""?00;"", //"""),"'","""")&amp;SUBSTITUTE(TEXT(IF(ISTEXT(Overig!V367),Overig!V367,10*Overig!V367),""",""???0;"",""??-0;"",""???0;"", ///"""),"'","""")&amp;SUBSTITUTE(TEXT(Overig!W367,""",""?00;"",""?-00;"",""?00;"", //"""),"'","""")&amp;SUBSTITUTE(TEXT(IF(ISTEXT(Overig!X367),Overig!X367,10*Overig!X367),""",""????0;"",""???-0;"",""????0;"", ////"""),"'","""")&amp;SUBSTITUTE(TEXT(Overig!Y367,""",""?00;"",""?-00;"",""?00;"", //"""),"'","""")&amp;SUBSTITUTE(TEXT(IF(ISTEXT(Overig!Z367),Overig!Z367,10*Overig!Z367),""",""????0;"",""???-0;"",""????0;"", ////"""),"'","""")&amp;SUBSTITUTE(TEXT(Overig!AA367,""",""?00;"",""?-00;"",""?00;"", //"""),"'","""")&amp;SUBSTITUTE(TEXT(Overig!AB367,""",""???0;"",""??-0;"",""???0;"", ///"""),"'","""")&amp;SUBSTITUTE(TEXT(Overig!AC367,""",""?00;"",""?-00;"",""?00;"", //"""),"'","""")&amp;SUBSTITUTE(TEXT(IF(ISTEXT(Overig!AD367),Overig!AD367,10*Overig!AD367),""",""????0;"",""???-0;"",""????0;"", ////"""),"'","""")&amp;SUBSTITUTE(TEXT(Overig!AE367,""",""?00;"",""?-00;"",""?00;"", //"""),"'","""")&amp;SUBSTITUTE(TEXT(IF(ISTEXT(Overig!AF367),Overig!AF367,10*Overig!AF367),""",""????0;"",""???-0;"",""????0;"", ////"""),"'","""")&amp;SUBSTITUTE(TEXT(Overig!AG367,""",""?00;"",""?-00;"",""?00;"", //"""),"'","""")&amp;SUBSTITUTE(TEXT(Overig!AH367,""",""???0;"",""??-0;"",""???0;"", ///"""),"'","""")&amp;SUBSTITUTE(TEXT(Overig!AI367,""",""?00;"",""?-00;"",""?00;"", //"""),"'","""")&amp;SUBSTITUTE(TEXT(Overig!AJ367,""",""??0;"",""?-0;"",""??0;"", //"""),"'","""")&amp;SUBSTITUTE(TEXT(Overig!AK367,""",""?00;"",""?-00;"",""?00;"", //"""),"'","""")&amp;SUBSTITUTE(IF(EXACT(Overig!AL367,"—"),TEXT(Overig!AL367,""",""????0;"",""???-0;"",""????0;"", ////////////,"""),TEXT(Overig!AL367,"\, \'@""',""")&amp;REPT(" ",10-LEN(Overig!AL367))),"'","""")&amp;SUBSTITUTE(TEXT(Overig!AM367,"?00;?-00;?00;"" //"""),"'","""")&amp;SUBSTITUTE(TEXT(Overig!AN367,""",""???0;"",""??-0;"",""???0;"", ///"""),"'","""")&amp;SUBSTITUTE(TEXT(Overig!AO367,""",""?00;"",""?-00;"",""?00;"", //"""),"'","""")</f>
        <v>78989, 19121231,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2015-11-30T13:27:46Z</dcterms:modified>
</cp:coreProperties>
</file>