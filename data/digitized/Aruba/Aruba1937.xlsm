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Invoer!$A$2:$C$381</definedName>
    <definedName name="Catalogus">Info!$J$3:$L$4</definedName>
    <definedName name="Data">Invoer!$A$3:$C$381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Info!$A$4:$B$11</definedName>
  </definedNames>
  <calcPr calcId="145621"/>
</workbook>
</file>

<file path=xl/calcChain.xml><?xml version="1.0" encoding="utf-8"?>
<calcChain xmlns="http://schemas.openxmlformats.org/spreadsheetml/2006/main">
  <c r="A1" i="6" l="1"/>
  <c r="B381" i="1" l="1"/>
  <c r="B349" i="1"/>
  <c r="B318" i="1"/>
  <c r="B286" i="1"/>
  <c r="B255" i="1"/>
  <c r="B223" i="1"/>
  <c r="B191" i="1"/>
  <c r="B160" i="1"/>
  <c r="B128" i="1"/>
  <c r="B97" i="1"/>
  <c r="B65" i="1"/>
  <c r="B36" i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2" i="3" l="1"/>
  <c r="C381" i="1" l="1"/>
  <c r="C349" i="1"/>
  <c r="C318" i="1"/>
  <c r="C286" i="1"/>
  <c r="C255" i="1"/>
  <c r="C223" i="1"/>
  <c r="C191" i="1"/>
  <c r="C160" i="1"/>
  <c r="C128" i="1"/>
  <c r="C97" i="1"/>
  <c r="C65" i="1"/>
  <c r="C36" i="1"/>
  <c r="A1" i="5" l="1"/>
  <c r="A5" i="1" l="1"/>
  <c r="B2" i="3" l="1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4" i="3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43" i="3"/>
  <c r="B147" i="3"/>
  <c r="B151" i="3"/>
  <c r="B155" i="3"/>
  <c r="B159" i="3"/>
  <c r="B163" i="3"/>
  <c r="B167" i="3"/>
  <c r="B171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26" i="3"/>
  <c r="B145" i="3"/>
  <c r="B149" i="3"/>
  <c r="B153" i="3"/>
  <c r="B157" i="3"/>
  <c r="B161" i="3"/>
  <c r="B165" i="3"/>
  <c r="B169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28" i="3"/>
  <c r="B332" i="3"/>
  <c r="B336" i="3"/>
  <c r="B340" i="3"/>
  <c r="B344" i="3"/>
  <c r="B348" i="3"/>
  <c r="B352" i="3"/>
  <c r="B356" i="3"/>
  <c r="B360" i="3"/>
  <c r="B364" i="3"/>
  <c r="B330" i="3"/>
  <c r="B334" i="3"/>
  <c r="B338" i="3"/>
  <c r="B342" i="3"/>
  <c r="B346" i="3"/>
  <c r="B350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C365" i="3" l="1"/>
  <c r="D365" i="3"/>
  <c r="C363" i="3"/>
  <c r="D363" i="3"/>
  <c r="C361" i="3"/>
  <c r="D361" i="3"/>
  <c r="C359" i="3"/>
  <c r="D359" i="3"/>
  <c r="C357" i="3"/>
  <c r="D357" i="3"/>
  <c r="C355" i="3"/>
  <c r="D355" i="3"/>
  <c r="C353" i="3"/>
  <c r="D353" i="3"/>
  <c r="C351" i="3"/>
  <c r="D351" i="3"/>
  <c r="C349" i="3"/>
  <c r="D349" i="3"/>
  <c r="D347" i="3"/>
  <c r="C347" i="3"/>
  <c r="D345" i="3"/>
  <c r="C345" i="3"/>
  <c r="D343" i="3"/>
  <c r="C343" i="3"/>
  <c r="D341" i="3"/>
  <c r="C341" i="3"/>
  <c r="D339" i="3"/>
  <c r="C339" i="3"/>
  <c r="D337" i="3"/>
  <c r="C337" i="3"/>
  <c r="D335" i="3"/>
  <c r="C335" i="3"/>
  <c r="D333" i="3"/>
  <c r="C333" i="3"/>
  <c r="D331" i="3"/>
  <c r="C331" i="3"/>
  <c r="D329" i="3"/>
  <c r="C329" i="3"/>
  <c r="D327" i="3"/>
  <c r="C327" i="3"/>
  <c r="D325" i="3"/>
  <c r="C325" i="3"/>
  <c r="D323" i="3"/>
  <c r="C323" i="3"/>
  <c r="D321" i="3"/>
  <c r="C321" i="3"/>
  <c r="D319" i="3"/>
  <c r="C319" i="3"/>
  <c r="D317" i="3"/>
  <c r="C317" i="3"/>
  <c r="D315" i="3"/>
  <c r="C315" i="3"/>
  <c r="D313" i="3"/>
  <c r="C313" i="3"/>
  <c r="D311" i="3"/>
  <c r="C311" i="3"/>
  <c r="D309" i="3"/>
  <c r="C309" i="3"/>
  <c r="D307" i="3"/>
  <c r="C307" i="3"/>
  <c r="D305" i="3"/>
  <c r="C305" i="3"/>
  <c r="D303" i="3"/>
  <c r="C303" i="3"/>
  <c r="D301" i="3"/>
  <c r="C301" i="3"/>
  <c r="D299" i="3"/>
  <c r="C299" i="3"/>
  <c r="D297" i="3"/>
  <c r="C297" i="3"/>
  <c r="D295" i="3"/>
  <c r="C295" i="3"/>
  <c r="D293" i="3"/>
  <c r="C293" i="3"/>
  <c r="D291" i="3"/>
  <c r="C291" i="3"/>
  <c r="D289" i="3"/>
  <c r="C289" i="3"/>
  <c r="D287" i="3"/>
  <c r="C287" i="3"/>
  <c r="D285" i="3"/>
  <c r="C285" i="3"/>
  <c r="D283" i="3"/>
  <c r="C283" i="3"/>
  <c r="D281" i="3"/>
  <c r="C281" i="3"/>
  <c r="D279" i="3"/>
  <c r="C279" i="3"/>
  <c r="D277" i="3"/>
  <c r="C277" i="3"/>
  <c r="D275" i="3"/>
  <c r="C275" i="3"/>
  <c r="D273" i="3"/>
  <c r="C273" i="3"/>
  <c r="D271" i="3"/>
  <c r="C271" i="3"/>
  <c r="D269" i="3"/>
  <c r="C269" i="3"/>
  <c r="D267" i="3"/>
  <c r="C267" i="3"/>
  <c r="D265" i="3"/>
  <c r="C265" i="3"/>
  <c r="D263" i="3"/>
  <c r="C263" i="3"/>
  <c r="D261" i="3"/>
  <c r="C261" i="3"/>
  <c r="D259" i="3"/>
  <c r="C259" i="3"/>
  <c r="D257" i="3"/>
  <c r="C257" i="3"/>
  <c r="D255" i="3"/>
  <c r="C255" i="3"/>
  <c r="D253" i="3"/>
  <c r="C253" i="3"/>
  <c r="D251" i="3"/>
  <c r="C251" i="3"/>
  <c r="D249" i="3"/>
  <c r="C249" i="3"/>
  <c r="D247" i="3"/>
  <c r="C247" i="3"/>
  <c r="D245" i="3"/>
  <c r="C245" i="3"/>
  <c r="D243" i="3"/>
  <c r="C243" i="3"/>
  <c r="D241" i="3"/>
  <c r="C241" i="3"/>
  <c r="D239" i="3"/>
  <c r="C239" i="3"/>
  <c r="D237" i="3"/>
  <c r="C237" i="3"/>
  <c r="D235" i="3"/>
  <c r="C235" i="3"/>
  <c r="D233" i="3"/>
  <c r="C233" i="3"/>
  <c r="D231" i="3"/>
  <c r="C231" i="3"/>
  <c r="D229" i="3"/>
  <c r="C229" i="3"/>
  <c r="D227" i="3"/>
  <c r="C227" i="3"/>
  <c r="D225" i="3"/>
  <c r="C225" i="3"/>
  <c r="D223" i="3"/>
  <c r="C223" i="3"/>
  <c r="D221" i="3"/>
  <c r="C221" i="3"/>
  <c r="D219" i="3"/>
  <c r="C219" i="3"/>
  <c r="D217" i="3"/>
  <c r="C217" i="3"/>
  <c r="D215" i="3"/>
  <c r="C215" i="3"/>
  <c r="D213" i="3"/>
  <c r="C213" i="3"/>
  <c r="D211" i="3"/>
  <c r="C211" i="3"/>
  <c r="D209" i="3"/>
  <c r="C209" i="3"/>
  <c r="D207" i="3"/>
  <c r="C207" i="3"/>
  <c r="D205" i="3"/>
  <c r="C205" i="3"/>
  <c r="D203" i="3"/>
  <c r="C203" i="3"/>
  <c r="D201" i="3"/>
  <c r="C201" i="3"/>
  <c r="D199" i="3"/>
  <c r="C199" i="3"/>
  <c r="D197" i="3"/>
  <c r="C197" i="3"/>
  <c r="D195" i="3"/>
  <c r="C195" i="3"/>
  <c r="D193" i="3"/>
  <c r="C193" i="3"/>
  <c r="D191" i="3"/>
  <c r="C191" i="3"/>
  <c r="D189" i="3"/>
  <c r="C189" i="3"/>
  <c r="D187" i="3"/>
  <c r="C187" i="3"/>
  <c r="D185" i="3"/>
  <c r="C185" i="3"/>
  <c r="D183" i="3"/>
  <c r="C183" i="3"/>
  <c r="D181" i="3"/>
  <c r="C181" i="3"/>
  <c r="D179" i="3"/>
  <c r="C179" i="3"/>
  <c r="D177" i="3"/>
  <c r="C177" i="3"/>
  <c r="D175" i="3"/>
  <c r="C175" i="3"/>
  <c r="D173" i="3"/>
  <c r="C173" i="3"/>
  <c r="D171" i="3"/>
  <c r="C171" i="3"/>
  <c r="D169" i="3"/>
  <c r="C169" i="3"/>
  <c r="D167" i="3"/>
  <c r="C167" i="3"/>
  <c r="D165" i="3"/>
  <c r="C165" i="3"/>
  <c r="D163" i="3"/>
  <c r="C163" i="3"/>
  <c r="D161" i="3"/>
  <c r="C161" i="3"/>
  <c r="D159" i="3"/>
  <c r="C159" i="3"/>
  <c r="D157" i="3"/>
  <c r="C157" i="3"/>
  <c r="D155" i="3"/>
  <c r="C155" i="3"/>
  <c r="D153" i="3"/>
  <c r="C153" i="3"/>
  <c r="D151" i="3"/>
  <c r="C151" i="3"/>
  <c r="D149" i="3"/>
  <c r="C149" i="3"/>
  <c r="D147" i="3"/>
  <c r="C147" i="3"/>
  <c r="D145" i="3"/>
  <c r="C145" i="3"/>
  <c r="D143" i="3"/>
  <c r="C143" i="3"/>
  <c r="D141" i="3"/>
  <c r="C141" i="3"/>
  <c r="D139" i="3"/>
  <c r="C139" i="3"/>
  <c r="C137" i="3"/>
  <c r="D137" i="3"/>
  <c r="C135" i="3"/>
  <c r="D135" i="3"/>
  <c r="C133" i="3"/>
  <c r="D133" i="3"/>
  <c r="C131" i="3"/>
  <c r="D131" i="3"/>
  <c r="C129" i="3"/>
  <c r="D129" i="3"/>
  <c r="C127" i="3"/>
  <c r="D127" i="3"/>
  <c r="C125" i="3"/>
  <c r="D125" i="3"/>
  <c r="C123" i="3"/>
  <c r="D123" i="3"/>
  <c r="C121" i="3"/>
  <c r="D121" i="3"/>
  <c r="C119" i="3"/>
  <c r="D119" i="3"/>
  <c r="C117" i="3"/>
  <c r="D117" i="3"/>
  <c r="C115" i="3"/>
  <c r="D115" i="3"/>
  <c r="C113" i="3"/>
  <c r="D113" i="3"/>
  <c r="C111" i="3"/>
  <c r="D111" i="3"/>
  <c r="C109" i="3"/>
  <c r="D109" i="3"/>
  <c r="C107" i="3"/>
  <c r="D107" i="3"/>
  <c r="C105" i="3"/>
  <c r="D105" i="3"/>
  <c r="C103" i="3"/>
  <c r="D103" i="3"/>
  <c r="C101" i="3"/>
  <c r="D101" i="3"/>
  <c r="C99" i="3"/>
  <c r="D99" i="3"/>
  <c r="C97" i="3"/>
  <c r="D97" i="3"/>
  <c r="C95" i="3"/>
  <c r="D95" i="3"/>
  <c r="C93" i="3"/>
  <c r="D93" i="3"/>
  <c r="C91" i="3"/>
  <c r="D91" i="3"/>
  <c r="C89" i="3"/>
  <c r="D89" i="3"/>
  <c r="D87" i="3"/>
  <c r="C87" i="3"/>
  <c r="D85" i="3"/>
  <c r="C85" i="3"/>
  <c r="D83" i="3"/>
  <c r="C83" i="3"/>
  <c r="D81" i="3"/>
  <c r="C81" i="3"/>
  <c r="D79" i="3"/>
  <c r="C79" i="3"/>
  <c r="D77" i="3"/>
  <c r="C77" i="3"/>
  <c r="D75" i="3"/>
  <c r="C75" i="3"/>
  <c r="D73" i="3"/>
  <c r="C73" i="3"/>
  <c r="D71" i="3"/>
  <c r="C71" i="3"/>
  <c r="D69" i="3"/>
  <c r="C69" i="3"/>
  <c r="D67" i="3"/>
  <c r="C67" i="3"/>
  <c r="D65" i="3"/>
  <c r="C65" i="3"/>
  <c r="D63" i="3"/>
  <c r="C63" i="3"/>
  <c r="D61" i="3"/>
  <c r="C61" i="3"/>
  <c r="D59" i="3"/>
  <c r="C59" i="3"/>
  <c r="D57" i="3"/>
  <c r="C57" i="3"/>
  <c r="D55" i="3"/>
  <c r="C55" i="3"/>
  <c r="D53" i="3"/>
  <c r="C53" i="3"/>
  <c r="D51" i="3"/>
  <c r="C51" i="3"/>
  <c r="D49" i="3"/>
  <c r="C49" i="3"/>
  <c r="D47" i="3"/>
  <c r="C47" i="3"/>
  <c r="D45" i="3"/>
  <c r="C45" i="3"/>
  <c r="D43" i="3"/>
  <c r="C43" i="3"/>
  <c r="D41" i="3"/>
  <c r="C41" i="3"/>
  <c r="D39" i="3"/>
  <c r="C39" i="3"/>
  <c r="D37" i="3"/>
  <c r="C37" i="3"/>
  <c r="D35" i="3"/>
  <c r="C35" i="3"/>
  <c r="D33" i="3"/>
  <c r="C33" i="3"/>
  <c r="D31" i="3"/>
  <c r="C31" i="3"/>
  <c r="D29" i="3"/>
  <c r="C29" i="3"/>
  <c r="D27" i="3"/>
  <c r="C27" i="3"/>
  <c r="D25" i="3"/>
  <c r="C25" i="3"/>
  <c r="D23" i="3"/>
  <c r="C23" i="3"/>
  <c r="D21" i="3"/>
  <c r="C21" i="3"/>
  <c r="C19" i="3"/>
  <c r="D19" i="3"/>
  <c r="C17" i="3"/>
  <c r="D17" i="3"/>
  <c r="C15" i="3"/>
  <c r="D15" i="3"/>
  <c r="C13" i="3"/>
  <c r="D13" i="3"/>
  <c r="C11" i="3"/>
  <c r="D11" i="3"/>
  <c r="C9" i="3"/>
  <c r="D9" i="3"/>
  <c r="C7" i="3"/>
  <c r="D7" i="3"/>
  <c r="C5" i="3"/>
  <c r="D5" i="3"/>
  <c r="C3" i="3"/>
  <c r="D3" i="3"/>
  <c r="C366" i="3"/>
  <c r="D366" i="3"/>
  <c r="C364" i="3"/>
  <c r="D364" i="3"/>
  <c r="C362" i="3"/>
  <c r="D362" i="3"/>
  <c r="C360" i="3"/>
  <c r="D360" i="3"/>
  <c r="C358" i="3"/>
  <c r="D358" i="3"/>
  <c r="C356" i="3"/>
  <c r="D356" i="3"/>
  <c r="C354" i="3"/>
  <c r="D354" i="3"/>
  <c r="C352" i="3"/>
  <c r="D352" i="3"/>
  <c r="C350" i="3"/>
  <c r="D350" i="3"/>
  <c r="D348" i="3"/>
  <c r="C348" i="3"/>
  <c r="D346" i="3"/>
  <c r="C346" i="3"/>
  <c r="D344" i="3"/>
  <c r="C344" i="3"/>
  <c r="D342" i="3"/>
  <c r="C342" i="3"/>
  <c r="D340" i="3"/>
  <c r="C340" i="3"/>
  <c r="D338" i="3"/>
  <c r="C338" i="3"/>
  <c r="D336" i="3"/>
  <c r="C336" i="3"/>
  <c r="D334" i="3"/>
  <c r="C334" i="3"/>
  <c r="D332" i="3"/>
  <c r="C332" i="3"/>
  <c r="D330" i="3"/>
  <c r="C330" i="3"/>
  <c r="D328" i="3"/>
  <c r="C328" i="3"/>
  <c r="D326" i="3"/>
  <c r="C326" i="3"/>
  <c r="D324" i="3"/>
  <c r="C324" i="3"/>
  <c r="D322" i="3"/>
  <c r="C322" i="3"/>
  <c r="D320" i="3"/>
  <c r="C320" i="3"/>
  <c r="D318" i="3"/>
  <c r="C318" i="3"/>
  <c r="D316" i="3"/>
  <c r="C316" i="3"/>
  <c r="D314" i="3"/>
  <c r="C314" i="3"/>
  <c r="D312" i="3"/>
  <c r="C312" i="3"/>
  <c r="D310" i="3"/>
  <c r="C310" i="3"/>
  <c r="D308" i="3"/>
  <c r="C308" i="3"/>
  <c r="D306" i="3"/>
  <c r="C306" i="3"/>
  <c r="D304" i="3"/>
  <c r="C304" i="3"/>
  <c r="D302" i="3"/>
  <c r="C302" i="3"/>
  <c r="D300" i="3"/>
  <c r="C300" i="3"/>
  <c r="D298" i="3"/>
  <c r="C298" i="3"/>
  <c r="D296" i="3"/>
  <c r="C296" i="3"/>
  <c r="D294" i="3"/>
  <c r="C294" i="3"/>
  <c r="D292" i="3"/>
  <c r="C292" i="3"/>
  <c r="D290" i="3"/>
  <c r="C290" i="3"/>
  <c r="D288" i="3"/>
  <c r="C288" i="3"/>
  <c r="D286" i="3"/>
  <c r="C286" i="3"/>
  <c r="D284" i="3"/>
  <c r="C284" i="3"/>
  <c r="D282" i="3"/>
  <c r="C282" i="3"/>
  <c r="D280" i="3"/>
  <c r="C280" i="3"/>
  <c r="D278" i="3"/>
  <c r="C278" i="3"/>
  <c r="D276" i="3"/>
  <c r="C276" i="3"/>
  <c r="D274" i="3"/>
  <c r="C274" i="3"/>
  <c r="D272" i="3"/>
  <c r="C272" i="3"/>
  <c r="D270" i="3"/>
  <c r="C270" i="3"/>
  <c r="D268" i="3"/>
  <c r="C268" i="3"/>
  <c r="D266" i="3"/>
  <c r="C266" i="3"/>
  <c r="D264" i="3"/>
  <c r="C264" i="3"/>
  <c r="D262" i="3"/>
  <c r="C262" i="3"/>
  <c r="D260" i="3"/>
  <c r="C260" i="3"/>
  <c r="D258" i="3"/>
  <c r="C258" i="3"/>
  <c r="D256" i="3"/>
  <c r="C256" i="3"/>
  <c r="D254" i="3"/>
  <c r="C254" i="3"/>
  <c r="D252" i="3"/>
  <c r="C252" i="3"/>
  <c r="D250" i="3"/>
  <c r="C250" i="3"/>
  <c r="D248" i="3"/>
  <c r="C248" i="3"/>
  <c r="D246" i="3"/>
  <c r="C246" i="3"/>
  <c r="D244" i="3"/>
  <c r="C244" i="3"/>
  <c r="D242" i="3"/>
  <c r="C242" i="3"/>
  <c r="D240" i="3"/>
  <c r="C240" i="3"/>
  <c r="D238" i="3"/>
  <c r="C238" i="3"/>
  <c r="D236" i="3"/>
  <c r="C236" i="3"/>
  <c r="D234" i="3"/>
  <c r="C234" i="3"/>
  <c r="D232" i="3"/>
  <c r="C232" i="3"/>
  <c r="D230" i="3"/>
  <c r="C230" i="3"/>
  <c r="D228" i="3"/>
  <c r="C228" i="3"/>
  <c r="D226" i="3"/>
  <c r="C226" i="3"/>
  <c r="D224" i="3"/>
  <c r="C224" i="3"/>
  <c r="D222" i="3"/>
  <c r="C222" i="3"/>
  <c r="D220" i="3"/>
  <c r="C220" i="3"/>
  <c r="D218" i="3"/>
  <c r="C218" i="3"/>
  <c r="D216" i="3"/>
  <c r="C216" i="3"/>
  <c r="D214" i="3"/>
  <c r="C214" i="3"/>
  <c r="D212" i="3"/>
  <c r="C212" i="3"/>
  <c r="D210" i="3"/>
  <c r="C210" i="3"/>
  <c r="D208" i="3"/>
  <c r="C208" i="3"/>
  <c r="D206" i="3"/>
  <c r="C206" i="3"/>
  <c r="D204" i="3"/>
  <c r="C204" i="3"/>
  <c r="D202" i="3"/>
  <c r="C202" i="3"/>
  <c r="D200" i="3"/>
  <c r="C200" i="3"/>
  <c r="D198" i="3"/>
  <c r="C198" i="3"/>
  <c r="D196" i="3"/>
  <c r="C196" i="3"/>
  <c r="D194" i="3"/>
  <c r="C194" i="3"/>
  <c r="D192" i="3"/>
  <c r="C192" i="3"/>
  <c r="D190" i="3"/>
  <c r="C190" i="3"/>
  <c r="D188" i="3"/>
  <c r="C188" i="3"/>
  <c r="D186" i="3"/>
  <c r="C186" i="3"/>
  <c r="D184" i="3"/>
  <c r="C184" i="3"/>
  <c r="D182" i="3"/>
  <c r="C182" i="3"/>
  <c r="D180" i="3"/>
  <c r="C180" i="3"/>
  <c r="D178" i="3"/>
  <c r="C178" i="3"/>
  <c r="D176" i="3"/>
  <c r="C176" i="3"/>
  <c r="D174" i="3"/>
  <c r="C174" i="3"/>
  <c r="D172" i="3"/>
  <c r="C172" i="3"/>
  <c r="D170" i="3"/>
  <c r="C170" i="3"/>
  <c r="D168" i="3"/>
  <c r="C168" i="3"/>
  <c r="D166" i="3"/>
  <c r="C166" i="3"/>
  <c r="D164" i="3"/>
  <c r="C164" i="3"/>
  <c r="D162" i="3"/>
  <c r="C162" i="3"/>
  <c r="D160" i="3"/>
  <c r="C160" i="3"/>
  <c r="D158" i="3"/>
  <c r="C158" i="3"/>
  <c r="D156" i="3"/>
  <c r="C156" i="3"/>
  <c r="D154" i="3"/>
  <c r="C154" i="3"/>
  <c r="D152" i="3"/>
  <c r="C152" i="3"/>
  <c r="D150" i="3"/>
  <c r="C150" i="3"/>
  <c r="D148" i="3"/>
  <c r="C148" i="3"/>
  <c r="D146" i="3"/>
  <c r="C146" i="3"/>
  <c r="D144" i="3"/>
  <c r="C144" i="3"/>
  <c r="D142" i="3"/>
  <c r="C142" i="3"/>
  <c r="D140" i="3"/>
  <c r="C140" i="3"/>
  <c r="C138" i="3"/>
  <c r="D138" i="3"/>
  <c r="C136" i="3"/>
  <c r="D136" i="3"/>
  <c r="C134" i="3"/>
  <c r="D134" i="3"/>
  <c r="C132" i="3"/>
  <c r="D132" i="3"/>
  <c r="C130" i="3"/>
  <c r="D130" i="3"/>
  <c r="C128" i="3"/>
  <c r="D128" i="3"/>
  <c r="C126" i="3"/>
  <c r="D126" i="3"/>
  <c r="C124" i="3"/>
  <c r="D124" i="3"/>
  <c r="C122" i="3"/>
  <c r="D122" i="3"/>
  <c r="C120" i="3"/>
  <c r="D120" i="3"/>
  <c r="C118" i="3"/>
  <c r="D118" i="3"/>
  <c r="C116" i="3"/>
  <c r="D116" i="3"/>
  <c r="C114" i="3"/>
  <c r="D114" i="3"/>
  <c r="C112" i="3"/>
  <c r="D112" i="3"/>
  <c r="C110" i="3"/>
  <c r="D110" i="3"/>
  <c r="C108" i="3"/>
  <c r="D108" i="3"/>
  <c r="C106" i="3"/>
  <c r="D106" i="3"/>
  <c r="C104" i="3"/>
  <c r="D104" i="3"/>
  <c r="C102" i="3"/>
  <c r="D102" i="3"/>
  <c r="C100" i="3"/>
  <c r="D100" i="3"/>
  <c r="C98" i="3"/>
  <c r="D98" i="3"/>
  <c r="C96" i="3"/>
  <c r="D96" i="3"/>
  <c r="C94" i="3"/>
  <c r="D94" i="3"/>
  <c r="C92" i="3"/>
  <c r="D92" i="3"/>
  <c r="C90" i="3"/>
  <c r="D90" i="3"/>
  <c r="C88" i="3"/>
  <c r="D88" i="3"/>
  <c r="D86" i="3"/>
  <c r="C86" i="3"/>
  <c r="D84" i="3"/>
  <c r="C84" i="3"/>
  <c r="D82" i="3"/>
  <c r="C82" i="3"/>
  <c r="D80" i="3"/>
  <c r="C80" i="3"/>
  <c r="D78" i="3"/>
  <c r="C78" i="3"/>
  <c r="D76" i="3"/>
  <c r="C76" i="3"/>
  <c r="D74" i="3"/>
  <c r="C74" i="3"/>
  <c r="D72" i="3"/>
  <c r="C72" i="3"/>
  <c r="D70" i="3"/>
  <c r="C70" i="3"/>
  <c r="D68" i="3"/>
  <c r="C68" i="3"/>
  <c r="D66" i="3"/>
  <c r="C66" i="3"/>
  <c r="D64" i="3"/>
  <c r="C64" i="3"/>
  <c r="D62" i="3"/>
  <c r="C62" i="3"/>
  <c r="D60" i="3"/>
  <c r="C60" i="3"/>
  <c r="D58" i="3"/>
  <c r="C58" i="3"/>
  <c r="D56" i="3"/>
  <c r="C56" i="3"/>
  <c r="D54" i="3"/>
  <c r="C54" i="3"/>
  <c r="D52" i="3"/>
  <c r="C52" i="3"/>
  <c r="D50" i="3"/>
  <c r="C50" i="3"/>
  <c r="D48" i="3"/>
  <c r="C48" i="3"/>
  <c r="D46" i="3"/>
  <c r="C46" i="3"/>
  <c r="D44" i="3"/>
  <c r="C44" i="3"/>
  <c r="D42" i="3"/>
  <c r="C42" i="3"/>
  <c r="D40" i="3"/>
  <c r="C40" i="3"/>
  <c r="D38" i="3"/>
  <c r="C38" i="3"/>
  <c r="D36" i="3"/>
  <c r="C36" i="3"/>
  <c r="D34" i="3"/>
  <c r="C34" i="3"/>
  <c r="D32" i="3"/>
  <c r="C32" i="3"/>
  <c r="D30" i="3"/>
  <c r="C30" i="3"/>
  <c r="D28" i="3"/>
  <c r="C28" i="3"/>
  <c r="D26" i="3"/>
  <c r="C26" i="3"/>
  <c r="D24" i="3"/>
  <c r="C24" i="3"/>
  <c r="D22" i="3"/>
  <c r="C22" i="3"/>
  <c r="D20" i="3"/>
  <c r="C20" i="3"/>
  <c r="C18" i="3"/>
  <c r="D18" i="3"/>
  <c r="C16" i="3"/>
  <c r="D16" i="3"/>
  <c r="C14" i="3"/>
  <c r="D14" i="3"/>
  <c r="C12" i="3"/>
  <c r="D12" i="3"/>
  <c r="C10" i="3"/>
  <c r="D10" i="3"/>
  <c r="C8" i="3"/>
  <c r="D8" i="3"/>
  <c r="C6" i="3"/>
  <c r="D6" i="3"/>
  <c r="C4" i="3"/>
  <c r="D4" i="3"/>
  <c r="C2" i="3"/>
  <c r="D2" i="3"/>
  <c r="D3" i="2"/>
  <c r="E3" i="2"/>
  <c r="E2" i="2"/>
  <c r="D2" i="2"/>
  <c r="A20" i="6" l="1"/>
  <c r="A22" i="6"/>
  <c r="A24" i="6"/>
  <c r="A26" i="6"/>
  <c r="A28" i="6"/>
  <c r="A30" i="6"/>
  <c r="A32" i="6"/>
  <c r="A34" i="6"/>
  <c r="A36" i="6"/>
  <c r="A38" i="6"/>
  <c r="A40" i="6"/>
  <c r="A42" i="6"/>
  <c r="A44" i="6"/>
  <c r="A46" i="6"/>
  <c r="A48" i="6"/>
  <c r="A50" i="6"/>
  <c r="A52" i="6"/>
  <c r="A54" i="6"/>
  <c r="A56" i="6"/>
  <c r="A58" i="6"/>
  <c r="A60" i="6"/>
  <c r="A62" i="6"/>
  <c r="A64" i="6"/>
  <c r="A66" i="6"/>
  <c r="A68" i="6"/>
  <c r="A70" i="6"/>
  <c r="A72" i="6"/>
  <c r="A74" i="6"/>
  <c r="A76" i="6"/>
  <c r="A78" i="6"/>
  <c r="A80" i="6"/>
  <c r="A82" i="6"/>
  <c r="A84" i="6"/>
  <c r="A86" i="6"/>
  <c r="A140" i="6"/>
  <c r="A142" i="6"/>
  <c r="A144" i="6"/>
  <c r="A146" i="6"/>
  <c r="A148" i="6"/>
  <c r="A150" i="6"/>
  <c r="A152" i="6"/>
  <c r="A154" i="6"/>
  <c r="A156" i="6"/>
  <c r="A158" i="6"/>
  <c r="A160" i="6"/>
  <c r="A162" i="6"/>
  <c r="A164" i="6"/>
  <c r="A166" i="6"/>
  <c r="A168" i="6"/>
  <c r="A170" i="6"/>
  <c r="A172" i="6"/>
  <c r="A174" i="6"/>
  <c r="A176" i="6"/>
  <c r="A178" i="6"/>
  <c r="A180" i="6"/>
  <c r="A182" i="6"/>
  <c r="A184" i="6"/>
  <c r="A186" i="6"/>
  <c r="A188" i="6"/>
  <c r="A190" i="6"/>
  <c r="A192" i="6"/>
  <c r="A194" i="6"/>
  <c r="A196" i="6"/>
  <c r="A198" i="6"/>
  <c r="A200" i="6"/>
  <c r="A202" i="6"/>
  <c r="A204" i="6"/>
  <c r="A206" i="6"/>
  <c r="A208" i="6"/>
  <c r="A210" i="6"/>
  <c r="A212" i="6"/>
  <c r="A214" i="6"/>
  <c r="A216" i="6"/>
  <c r="A218" i="6"/>
  <c r="A220" i="6"/>
  <c r="A222" i="6"/>
  <c r="A224" i="6"/>
  <c r="A226" i="6"/>
  <c r="A228" i="6"/>
  <c r="A230" i="6"/>
  <c r="A232" i="6"/>
  <c r="A234" i="6"/>
  <c r="A236" i="6"/>
  <c r="A238" i="6"/>
  <c r="A240" i="6"/>
  <c r="A242" i="6"/>
  <c r="A244" i="6"/>
  <c r="A246" i="6"/>
  <c r="A248" i="6"/>
  <c r="A250" i="6"/>
  <c r="A252" i="6"/>
  <c r="A254" i="6"/>
  <c r="A256" i="6"/>
  <c r="A258" i="6"/>
  <c r="A260" i="6"/>
  <c r="A262" i="6"/>
  <c r="A264" i="6"/>
  <c r="A266" i="6"/>
  <c r="A268" i="6"/>
  <c r="A270" i="6"/>
  <c r="A272" i="6"/>
  <c r="A274" i="6"/>
  <c r="A276" i="6"/>
  <c r="A278" i="6"/>
  <c r="A280" i="6"/>
  <c r="A282" i="6"/>
  <c r="A284" i="6"/>
  <c r="A286" i="6"/>
  <c r="A288" i="6"/>
  <c r="A290" i="6"/>
  <c r="A292" i="6"/>
  <c r="A294" i="6"/>
  <c r="A296" i="6"/>
  <c r="A298" i="6"/>
  <c r="A300" i="6"/>
  <c r="A302" i="6"/>
  <c r="A304" i="6"/>
  <c r="A306" i="6"/>
  <c r="A308" i="6"/>
  <c r="A310" i="6"/>
  <c r="A312" i="6"/>
  <c r="A314" i="6"/>
  <c r="A316" i="6"/>
  <c r="A318" i="6"/>
  <c r="A320" i="6"/>
  <c r="A322" i="6"/>
  <c r="A324" i="6"/>
  <c r="A326" i="6"/>
  <c r="A328" i="6"/>
  <c r="A330" i="6"/>
  <c r="A332" i="6"/>
  <c r="A334" i="6"/>
  <c r="A336" i="6"/>
  <c r="A338" i="6"/>
  <c r="A340" i="6"/>
  <c r="A342" i="6"/>
  <c r="A344" i="6"/>
  <c r="A346" i="6"/>
  <c r="A348" i="6"/>
  <c r="A21" i="6"/>
  <c r="A23" i="6"/>
  <c r="A25" i="6"/>
  <c r="A27" i="6"/>
  <c r="A29" i="6"/>
  <c r="A31" i="6"/>
  <c r="A33" i="6"/>
  <c r="A35" i="6"/>
  <c r="A37" i="6"/>
  <c r="A39" i="6"/>
  <c r="A41" i="6"/>
  <c r="A43" i="6"/>
  <c r="A45" i="6"/>
  <c r="A47" i="6"/>
  <c r="A49" i="6"/>
  <c r="A51" i="6"/>
  <c r="A53" i="6"/>
  <c r="A55" i="6"/>
  <c r="A57" i="6"/>
  <c r="A59" i="6"/>
  <c r="A61" i="6"/>
  <c r="A63" i="6"/>
  <c r="A65" i="6"/>
  <c r="A67" i="6"/>
  <c r="A69" i="6"/>
  <c r="A71" i="6"/>
  <c r="A73" i="6"/>
  <c r="A75" i="6"/>
  <c r="A77" i="6"/>
  <c r="A79" i="6"/>
  <c r="A81" i="6"/>
  <c r="A83" i="6"/>
  <c r="A85" i="6"/>
  <c r="A87" i="6"/>
  <c r="A139" i="6"/>
  <c r="A141" i="6"/>
  <c r="A143" i="6"/>
  <c r="A145" i="6"/>
  <c r="A147" i="6"/>
  <c r="A149" i="6"/>
  <c r="A151" i="6"/>
  <c r="A153" i="6"/>
  <c r="A155" i="6"/>
  <c r="A157" i="6"/>
  <c r="A159" i="6"/>
  <c r="A161" i="6"/>
  <c r="A163" i="6"/>
  <c r="A165" i="6"/>
  <c r="A167" i="6"/>
  <c r="A169" i="6"/>
  <c r="A171" i="6"/>
  <c r="A173" i="6"/>
  <c r="A175" i="6"/>
  <c r="A177" i="6"/>
  <c r="A179" i="6"/>
  <c r="A181" i="6"/>
  <c r="A183" i="6"/>
  <c r="A185" i="6"/>
  <c r="A187" i="6"/>
  <c r="A189" i="6"/>
  <c r="A191" i="6"/>
  <c r="A193" i="6"/>
  <c r="A195" i="6"/>
  <c r="A197" i="6"/>
  <c r="A199" i="6"/>
  <c r="A201" i="6"/>
  <c r="A203" i="6"/>
  <c r="A205" i="6"/>
  <c r="A207" i="6"/>
  <c r="A209" i="6"/>
  <c r="A211" i="6"/>
  <c r="A213" i="6"/>
  <c r="A215" i="6"/>
  <c r="A217" i="6"/>
  <c r="A219" i="6"/>
  <c r="A221" i="6"/>
  <c r="A223" i="6"/>
  <c r="A225" i="6"/>
  <c r="A227" i="6"/>
  <c r="A229" i="6"/>
  <c r="A231" i="6"/>
  <c r="A233" i="6"/>
  <c r="A235" i="6"/>
  <c r="A237" i="6"/>
  <c r="A239" i="6"/>
  <c r="A241" i="6"/>
  <c r="A243" i="6"/>
  <c r="A245" i="6"/>
  <c r="A247" i="6"/>
  <c r="A249" i="6"/>
  <c r="A251" i="6"/>
  <c r="A253" i="6"/>
  <c r="A255" i="6"/>
  <c r="A257" i="6"/>
  <c r="A259" i="6"/>
  <c r="A261" i="6"/>
  <c r="A263" i="6"/>
  <c r="A265" i="6"/>
  <c r="A267" i="6"/>
  <c r="A269" i="6"/>
  <c r="A271" i="6"/>
  <c r="A273" i="6"/>
  <c r="A275" i="6"/>
  <c r="A277" i="6"/>
  <c r="A279" i="6"/>
  <c r="A281" i="6"/>
  <c r="A283" i="6"/>
  <c r="A285" i="6"/>
  <c r="A287" i="6"/>
  <c r="A289" i="6"/>
  <c r="A291" i="6"/>
  <c r="A293" i="6"/>
  <c r="A295" i="6"/>
  <c r="A297" i="6"/>
  <c r="A299" i="6"/>
  <c r="A301" i="6"/>
  <c r="A303" i="6"/>
  <c r="A305" i="6"/>
  <c r="A307" i="6"/>
  <c r="A309" i="6"/>
  <c r="A311" i="6"/>
  <c r="A313" i="6"/>
  <c r="A315" i="6"/>
  <c r="A317" i="6"/>
  <c r="A319" i="6"/>
  <c r="A321" i="6"/>
  <c r="A323" i="6"/>
  <c r="A325" i="6"/>
  <c r="A327" i="6"/>
  <c r="A329" i="6"/>
  <c r="A331" i="6"/>
  <c r="A333" i="6"/>
  <c r="A335" i="6"/>
  <c r="A337" i="6"/>
  <c r="A339" i="6"/>
  <c r="A341" i="6"/>
  <c r="A343" i="6"/>
  <c r="A345" i="6"/>
  <c r="A347" i="6"/>
  <c r="A4" i="6"/>
  <c r="A6" i="6"/>
  <c r="A8" i="6"/>
  <c r="A10" i="6"/>
  <c r="A12" i="6"/>
  <c r="A14" i="6"/>
  <c r="A16" i="6"/>
  <c r="A18" i="6"/>
  <c r="A88" i="6"/>
  <c r="A90" i="6"/>
  <c r="A92" i="6"/>
  <c r="A94" i="6"/>
  <c r="A96" i="6"/>
  <c r="A98" i="6"/>
  <c r="A102" i="6"/>
  <c r="A106" i="6"/>
  <c r="A110" i="6"/>
  <c r="A114" i="6"/>
  <c r="A118" i="6"/>
  <c r="A122" i="6"/>
  <c r="A126" i="6"/>
  <c r="A130" i="6"/>
  <c r="A134" i="6"/>
  <c r="A138" i="6"/>
  <c r="A2" i="6"/>
  <c r="A100" i="6"/>
  <c r="A104" i="6"/>
  <c r="A108" i="6"/>
  <c r="A112" i="6"/>
  <c r="A116" i="6"/>
  <c r="A120" i="6"/>
  <c r="A124" i="6"/>
  <c r="A128" i="6"/>
  <c r="A132" i="6"/>
  <c r="A136" i="6"/>
  <c r="A350" i="6"/>
  <c r="A352" i="6"/>
  <c r="A354" i="6"/>
  <c r="A356" i="6"/>
  <c r="A358" i="6"/>
  <c r="A360" i="6"/>
  <c r="A362" i="6"/>
  <c r="A364" i="6"/>
  <c r="A366" i="6"/>
  <c r="A3" i="6"/>
  <c r="A5" i="6"/>
  <c r="A7" i="6"/>
  <c r="A9" i="6"/>
  <c r="A11" i="6"/>
  <c r="A13" i="6"/>
  <c r="A15" i="6"/>
  <c r="A17" i="6"/>
  <c r="A19" i="6"/>
  <c r="A89" i="6"/>
  <c r="A91" i="6"/>
  <c r="A93" i="6"/>
  <c r="A95" i="6"/>
  <c r="A97" i="6"/>
  <c r="A99" i="6"/>
  <c r="A101" i="6"/>
  <c r="A103" i="6"/>
  <c r="A105" i="6"/>
  <c r="A107" i="6"/>
  <c r="A109" i="6"/>
  <c r="A111" i="6"/>
  <c r="A113" i="6"/>
  <c r="A115" i="6"/>
  <c r="A117" i="6"/>
  <c r="A119" i="6"/>
  <c r="A121" i="6"/>
  <c r="A123" i="6"/>
  <c r="A125" i="6"/>
  <c r="A127" i="6"/>
  <c r="A129" i="6"/>
  <c r="A131" i="6"/>
  <c r="A133" i="6"/>
  <c r="A135" i="6"/>
  <c r="A137" i="6"/>
  <c r="A349" i="6"/>
  <c r="A351" i="6"/>
  <c r="A353" i="6"/>
  <c r="A355" i="6"/>
  <c r="A357" i="6"/>
  <c r="A359" i="6"/>
  <c r="A361" i="6"/>
  <c r="A363" i="6"/>
  <c r="A365" i="6"/>
  <c r="A3" i="5"/>
  <c r="E4" i="2"/>
  <c r="D4" i="2"/>
  <c r="A2" i="5"/>
  <c r="A4" i="5" l="1"/>
  <c r="E5" i="2"/>
  <c r="D5" i="2"/>
  <c r="A5" i="5" l="1"/>
  <c r="E6" i="2"/>
  <c r="D6" i="2"/>
  <c r="A6" i="5" l="1"/>
  <c r="D7" i="2"/>
  <c r="E7" i="2"/>
  <c r="A7" i="5" l="1"/>
  <c r="E10" i="2" l="1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D338" i="2"/>
  <c r="D306" i="2"/>
  <c r="A306" i="5" s="1"/>
  <c r="D274" i="2"/>
  <c r="E242" i="2"/>
  <c r="E210" i="2"/>
  <c r="E178" i="2"/>
  <c r="E147" i="2"/>
  <c r="E115" i="2"/>
  <c r="D82" i="2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D297" i="2"/>
  <c r="A297" i="5" s="1"/>
  <c r="D329" i="2"/>
  <c r="D361" i="2"/>
  <c r="A361" i="5" s="1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D323" i="2"/>
  <c r="D45" i="2"/>
  <c r="A45" i="5" s="1"/>
  <c r="D108" i="2"/>
  <c r="E172" i="2"/>
  <c r="D237" i="2"/>
  <c r="E301" i="2"/>
  <c r="E365" i="2"/>
  <c r="E46" i="2"/>
  <c r="E111" i="2"/>
  <c r="D175" i="2"/>
  <c r="A175" i="5" s="1"/>
  <c r="E238" i="2"/>
  <c r="D318" i="2"/>
  <c r="A318" i="5" s="1"/>
  <c r="E26" i="2"/>
  <c r="E103" i="2"/>
  <c r="D167" i="2"/>
  <c r="E230" i="2"/>
  <c r="D278" i="2"/>
  <c r="A278" i="5" s="1"/>
  <c r="D334" i="2"/>
  <c r="E62" i="2"/>
  <c r="E127" i="2"/>
  <c r="E190" i="2"/>
  <c r="D262" i="2"/>
  <c r="D342" i="2"/>
  <c r="E54" i="2"/>
  <c r="E119" i="2"/>
  <c r="E182" i="2"/>
  <c r="E246" i="2"/>
  <c r="D294" i="2"/>
  <c r="D350" i="2"/>
  <c r="A350" i="5" s="1"/>
  <c r="E78" i="2"/>
  <c r="E143" i="2"/>
  <c r="E206" i="2"/>
  <c r="D286" i="2"/>
  <c r="D366" i="2"/>
  <c r="E70" i="2"/>
  <c r="E135" i="2"/>
  <c r="E198" i="2"/>
  <c r="D254" i="2"/>
  <c r="A254" i="5" s="1"/>
  <c r="D310" i="2"/>
  <c r="A310" i="5" s="1"/>
  <c r="D358" i="2"/>
  <c r="D94" i="2"/>
  <c r="D159" i="2"/>
  <c r="E222" i="2"/>
  <c r="D302" i="2"/>
  <c r="A302" i="5" s="1"/>
  <c r="D86" i="2"/>
  <c r="E151" i="2"/>
  <c r="E214" i="2"/>
  <c r="D270" i="2"/>
  <c r="D326" i="2"/>
  <c r="A326" i="5" s="1"/>
  <c r="A167" i="5" l="1"/>
  <c r="A72" i="5"/>
  <c r="A200" i="5"/>
  <c r="A121" i="5"/>
  <c r="A248" i="5"/>
  <c r="A262" i="5"/>
  <c r="A334" i="5"/>
  <c r="A259" i="5"/>
  <c r="A329" i="5"/>
  <c r="A265" i="5"/>
  <c r="A16" i="5"/>
  <c r="A80" i="5"/>
  <c r="A208" i="5"/>
  <c r="A13" i="5"/>
  <c r="A22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<sst xmlns="http://schemas.openxmlformats.org/spreadsheetml/2006/main" count="46" uniqueCount="36">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</sst>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General_0_0_0_0_0_0"/>
    <numFmt numFmtId="171" formatCode="0.0_,_0_0_0_0_0"/>
    <numFmt numFmtId="172" formatCode="0_0_0_0_0_0_0_0;\-0_0_0_0_0_0_0_0;&quot;∙&quot;_,_0_0_0_0_0_0_0;@_0_0_0_0_0_0_0"/>
    <numFmt numFmtId="173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170" fontId="0" fillId="3" borderId="3" xfId="0" applyNumberFormat="1" applyFill="1" applyBorder="1" applyProtection="1">
      <protection locked="0"/>
    </xf>
    <xf numFmtId="171" fontId="0" fillId="3" borderId="3" xfId="0" applyNumberFormat="1" applyFill="1" applyBorder="1"/>
    <xf numFmtId="172" fontId="0" fillId="4" borderId="9" xfId="0" applyNumberFormat="1" applyFill="1" applyBorder="1" applyProtection="1">
      <protection locked="0"/>
    </xf>
    <xf numFmtId="172" fontId="0" fillId="4" borderId="9" xfId="0" applyNumberFormat="1" applyFill="1" applyBorder="1" applyAlignment="1" applyProtection="1">
      <protection locked="0"/>
    </xf>
    <xf numFmtId="172" fontId="0" fillId="4" borderId="9" xfId="0" applyNumberFormat="1" applyFill="1" applyBorder="1" applyAlignment="1" applyProtection="1">
      <alignment horizontal="right"/>
      <protection locked="0"/>
    </xf>
    <xf numFmtId="173" fontId="0" fillId="4" borderId="9" xfId="0" applyNumberFormat="1" applyFill="1" applyBorder="1"/>
    <xf numFmtId="0" fontId="0" fillId="0" borderId="6" xfId="0" applyBorder="1" applyAlignment="1">
      <alignment horizontal="center"/>
    </xf>
    <xf numFmtId="0" fontId="2" fillId="0" borderId="0" xfId="0" applyFont="1" applyAlignment="1"/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381"/>
  <sheetViews>
    <sheetView tabSelected="1" workbookViewId="0">
      <pane xSplit="1" ySplit="4" topLeftCell="B348" activePane="bottomRight" state="frozen"/>
      <selection pane="topRight" activeCell="B1" sqref="B1"/>
      <selection pane="bottomLeft" activeCell="A5" sqref="A5"/>
      <selection pane="bottomRight" activeCell="C380" sqref="C380"/>
    </sheetView>
  </sheetViews>
  <sheetFormatPr defaultRowHeight="15" x14ac:dyDescent="0.25"/>
  <cols>
    <col min="1" max="1" width="10.140625" customWidth="1"/>
    <col min="2" max="3" width="17.7109375" customWidth="1"/>
  </cols>
  <sheetData>
    <row r="1" spans="1:3" ht="20.25" x14ac:dyDescent="0.3">
      <c r="A1" s="28" t="s">
        <v>28</v>
      </c>
      <c r="B1" s="28"/>
      <c r="C1" s="28"/>
    </row>
    <row r="3" spans="1:3" x14ac:dyDescent="0.25">
      <c r="A3" s="29" t="s">
        <v>0</v>
      </c>
      <c r="B3" s="31" t="s">
        <v>27</v>
      </c>
      <c r="C3" s="19" t="s">
        <v>1</v>
      </c>
    </row>
    <row r="4" spans="1:3" x14ac:dyDescent="0.25">
      <c r="A4" s="30"/>
      <c r="B4" s="32"/>
      <c r="C4" s="20" t="s">
        <v>29</v>
      </c>
    </row>
    <row r="5" spans="1:3" x14ac:dyDescent="0.25">
      <c r="A5" s="1">
        <f ca="1">DATE(VALUE(MID(CELL("bestandsnaam"),FIND(".",CELL("bestandsnaam"))-4,4)),1,1)</f>
        <v>13516</v>
      </c>
      <c r="B5" s="21">
        <v>7600</v>
      </c>
      <c r="C5" s="23">
        <v>0</v>
      </c>
    </row>
    <row r="6" spans="1:3" x14ac:dyDescent="0.25">
      <c r="A6" s="1">
        <f ca="1">IF(ISTEXT(A5),A4+1,IF(MONTH(A5+1)=MONTH(A5),A5+1,"Totaal"))</f>
        <v>13517</v>
      </c>
      <c r="B6" s="21">
        <v>7605</v>
      </c>
      <c r="C6" s="24">
        <v>0</v>
      </c>
    </row>
    <row r="7" spans="1:3" x14ac:dyDescent="0.25">
      <c r="A7" s="1">
        <f t="shared" ref="A7:A70" ca="1" si="0">IF(ISTEXT(A6),A5+1,IF(MONTH(A6+1)=MONTH(A6),A6+1,"Totaal"))</f>
        <v>13518</v>
      </c>
      <c r="B7" s="21">
        <v>7600</v>
      </c>
      <c r="C7" s="25">
        <v>0</v>
      </c>
    </row>
    <row r="8" spans="1:3" x14ac:dyDescent="0.25">
      <c r="A8" s="1">
        <f t="shared" ca="1" si="0"/>
        <v>13519</v>
      </c>
      <c r="B8" s="21">
        <v>7610</v>
      </c>
      <c r="C8" s="23">
        <v>36</v>
      </c>
    </row>
    <row r="9" spans="1:3" x14ac:dyDescent="0.25">
      <c r="A9" s="1">
        <f t="shared" ca="1" si="0"/>
        <v>13520</v>
      </c>
      <c r="B9" s="21">
        <v>7605</v>
      </c>
      <c r="C9" s="23">
        <v>4130</v>
      </c>
    </row>
    <row r="10" spans="1:3" x14ac:dyDescent="0.25">
      <c r="A10" s="1">
        <f t="shared" ca="1" si="0"/>
        <v>13521</v>
      </c>
      <c r="B10" s="21">
        <v>7610</v>
      </c>
      <c r="C10" s="23">
        <v>0</v>
      </c>
    </row>
    <row r="11" spans="1:3" x14ac:dyDescent="0.25">
      <c r="A11" s="1">
        <f t="shared" ca="1" si="0"/>
        <v>13522</v>
      </c>
      <c r="B11" s="21">
        <v>7595</v>
      </c>
      <c r="C11" s="23">
        <v>0</v>
      </c>
    </row>
    <row r="12" spans="1:3" x14ac:dyDescent="0.25">
      <c r="A12" s="1">
        <f t="shared" ca="1" si="0"/>
        <v>13523</v>
      </c>
      <c r="B12" s="21">
        <v>7590</v>
      </c>
      <c r="C12" s="23">
        <v>32</v>
      </c>
    </row>
    <row r="13" spans="1:3" x14ac:dyDescent="0.25">
      <c r="A13" s="1">
        <f t="shared" ca="1" si="0"/>
        <v>13524</v>
      </c>
      <c r="B13" s="21">
        <v>7600</v>
      </c>
      <c r="C13" s="23">
        <v>34</v>
      </c>
    </row>
    <row r="14" spans="1:3" x14ac:dyDescent="0.25">
      <c r="A14" s="1">
        <f t="shared" ca="1" si="0"/>
        <v>13525</v>
      </c>
      <c r="B14" s="21">
        <v>7600</v>
      </c>
      <c r="C14" s="23">
        <v>0</v>
      </c>
    </row>
    <row r="15" spans="1:3" x14ac:dyDescent="0.25">
      <c r="A15" s="1">
        <f t="shared" ca="1" si="0"/>
        <v>13526</v>
      </c>
      <c r="B15" s="21">
        <v>7605</v>
      </c>
      <c r="C15" s="23">
        <v>30</v>
      </c>
    </row>
    <row r="16" spans="1:3" x14ac:dyDescent="0.25">
      <c r="A16" s="1">
        <f t="shared" ca="1" si="0"/>
        <v>13527</v>
      </c>
      <c r="B16" s="21">
        <v>7605</v>
      </c>
      <c r="C16" s="23">
        <v>8</v>
      </c>
    </row>
    <row r="17" spans="1:3" x14ac:dyDescent="0.25">
      <c r="A17" s="1">
        <f t="shared" ca="1" si="0"/>
        <v>13528</v>
      </c>
      <c r="B17" s="21">
        <v>7610</v>
      </c>
      <c r="C17" s="23">
        <v>29</v>
      </c>
    </row>
    <row r="18" spans="1:3" x14ac:dyDescent="0.25">
      <c r="A18" s="1">
        <f t="shared" ca="1" si="0"/>
        <v>13529</v>
      </c>
      <c r="B18" s="21">
        <v>7630</v>
      </c>
      <c r="C18" s="23">
        <v>4</v>
      </c>
    </row>
    <row r="19" spans="1:3" x14ac:dyDescent="0.25">
      <c r="A19" s="1">
        <f t="shared" ca="1" si="0"/>
        <v>13530</v>
      </c>
      <c r="B19" s="21">
        <v>7600</v>
      </c>
      <c r="C19" s="23">
        <v>82</v>
      </c>
    </row>
    <row r="20" spans="1:3" x14ac:dyDescent="0.25">
      <c r="A20" s="1">
        <f t="shared" ca="1" si="0"/>
        <v>13531</v>
      </c>
      <c r="B20" s="21">
        <v>7615</v>
      </c>
      <c r="C20" s="23">
        <v>6</v>
      </c>
    </row>
    <row r="21" spans="1:3" x14ac:dyDescent="0.25">
      <c r="A21" s="1">
        <f t="shared" ca="1" si="0"/>
        <v>13532</v>
      </c>
      <c r="B21" s="21">
        <v>7600</v>
      </c>
      <c r="C21" s="23">
        <v>0</v>
      </c>
    </row>
    <row r="22" spans="1:3" x14ac:dyDescent="0.25">
      <c r="A22" s="1">
        <f t="shared" ca="1" si="0"/>
        <v>13533</v>
      </c>
      <c r="B22" s="21">
        <v>7610</v>
      </c>
      <c r="C22" s="23">
        <v>6</v>
      </c>
    </row>
    <row r="23" spans="1:3" x14ac:dyDescent="0.25">
      <c r="A23" s="1">
        <f t="shared" ca="1" si="0"/>
        <v>13534</v>
      </c>
      <c r="B23" s="21">
        <v>7630</v>
      </c>
      <c r="C23" s="23">
        <v>63</v>
      </c>
    </row>
    <row r="24" spans="1:3" x14ac:dyDescent="0.25">
      <c r="A24" s="1">
        <f t="shared" ca="1" si="0"/>
        <v>13535</v>
      </c>
      <c r="B24" s="21">
        <v>7625</v>
      </c>
      <c r="C24" s="23">
        <v>28</v>
      </c>
    </row>
    <row r="25" spans="1:3" x14ac:dyDescent="0.25">
      <c r="A25" s="1">
        <f t="shared" ca="1" si="0"/>
        <v>13536</v>
      </c>
      <c r="B25" s="21">
        <v>7610</v>
      </c>
      <c r="C25" s="23">
        <v>42</v>
      </c>
    </row>
    <row r="26" spans="1:3" x14ac:dyDescent="0.25">
      <c r="A26" s="1">
        <f t="shared" ca="1" si="0"/>
        <v>13537</v>
      </c>
      <c r="B26" s="21">
        <v>7605</v>
      </c>
      <c r="C26" s="23">
        <v>62</v>
      </c>
    </row>
    <row r="27" spans="1:3" x14ac:dyDescent="0.25">
      <c r="A27" s="1">
        <f t="shared" ca="1" si="0"/>
        <v>13538</v>
      </c>
      <c r="B27" s="21">
        <v>7595</v>
      </c>
      <c r="C27" s="23">
        <v>8</v>
      </c>
    </row>
    <row r="28" spans="1:3" x14ac:dyDescent="0.25">
      <c r="A28" s="1">
        <f t="shared" ca="1" si="0"/>
        <v>13539</v>
      </c>
      <c r="B28" s="21">
        <v>7595</v>
      </c>
      <c r="C28" s="23">
        <v>0</v>
      </c>
    </row>
    <row r="29" spans="1:3" x14ac:dyDescent="0.25">
      <c r="A29" s="1">
        <f t="shared" ca="1" si="0"/>
        <v>13540</v>
      </c>
      <c r="B29" s="21">
        <v>7620</v>
      </c>
      <c r="C29" s="23">
        <v>0</v>
      </c>
    </row>
    <row r="30" spans="1:3" x14ac:dyDescent="0.25">
      <c r="A30" s="1">
        <f t="shared" ca="1" si="0"/>
        <v>13541</v>
      </c>
      <c r="B30" s="21">
        <v>7625</v>
      </c>
      <c r="C30" s="23">
        <v>0</v>
      </c>
    </row>
    <row r="31" spans="1:3" x14ac:dyDescent="0.25">
      <c r="A31" s="1">
        <f t="shared" ca="1" si="0"/>
        <v>13542</v>
      </c>
      <c r="B31" s="21">
        <v>7620</v>
      </c>
      <c r="C31" s="23">
        <v>0</v>
      </c>
    </row>
    <row r="32" spans="1:3" x14ac:dyDescent="0.25">
      <c r="A32" s="1">
        <f t="shared" ca="1" si="0"/>
        <v>13543</v>
      </c>
      <c r="B32" s="21">
        <v>7625</v>
      </c>
      <c r="C32" s="23">
        <v>0</v>
      </c>
    </row>
    <row r="33" spans="1:3" x14ac:dyDescent="0.25">
      <c r="A33" s="1">
        <f t="shared" ca="1" si="0"/>
        <v>13544</v>
      </c>
      <c r="B33" s="21">
        <v>7625</v>
      </c>
      <c r="C33" s="23">
        <v>16</v>
      </c>
    </row>
    <row r="34" spans="1:3" x14ac:dyDescent="0.25">
      <c r="A34" s="1">
        <f t="shared" ca="1" si="0"/>
        <v>13545</v>
      </c>
      <c r="B34" s="21">
        <v>7625</v>
      </c>
      <c r="C34" s="23">
        <v>24</v>
      </c>
    </row>
    <row r="35" spans="1:3" x14ac:dyDescent="0.25">
      <c r="A35" s="1">
        <f t="shared" ca="1" si="0"/>
        <v>13546</v>
      </c>
      <c r="B35" s="21">
        <v>7605</v>
      </c>
      <c r="C35" s="23">
        <v>0</v>
      </c>
    </row>
    <row r="36" spans="1:3" x14ac:dyDescent="0.25">
      <c r="A36" s="1" t="str">
        <f t="shared" ca="1" si="0"/>
        <v>Totaal</v>
      </c>
      <c r="B36" s="22">
        <f>IF(COUNT(B5:B35)&gt;0,AVERAGE(B5:B35)/10,"")</f>
        <v>760.95161290322585</v>
      </c>
      <c r="C36" s="26">
        <f>SUM(C5:C35)/10</f>
        <v>464</v>
      </c>
    </row>
    <row r="37" spans="1:3" x14ac:dyDescent="0.25">
      <c r="A37" s="1">
        <f t="shared" ca="1" si="0"/>
        <v>13547</v>
      </c>
      <c r="B37" s="21">
        <v>7605</v>
      </c>
      <c r="C37" s="23">
        <v>0</v>
      </c>
    </row>
    <row r="38" spans="1:3" x14ac:dyDescent="0.25">
      <c r="A38" s="1">
        <f t="shared" ca="1" si="0"/>
        <v>13548</v>
      </c>
      <c r="B38" s="21">
        <v>7625</v>
      </c>
      <c r="C38" s="23">
        <v>12</v>
      </c>
    </row>
    <row r="39" spans="1:3" x14ac:dyDescent="0.25">
      <c r="A39" s="1">
        <f t="shared" ca="1" si="0"/>
        <v>13549</v>
      </c>
      <c r="B39" s="21">
        <v>7625</v>
      </c>
      <c r="C39" s="23">
        <v>0</v>
      </c>
    </row>
    <row r="40" spans="1:3" x14ac:dyDescent="0.25">
      <c r="A40" s="1">
        <f t="shared" ca="1" si="0"/>
        <v>13550</v>
      </c>
      <c r="B40" s="21">
        <v>7630</v>
      </c>
      <c r="C40" s="23">
        <v>0</v>
      </c>
    </row>
    <row r="41" spans="1:3" x14ac:dyDescent="0.25">
      <c r="A41" s="1">
        <f t="shared" ca="1" si="0"/>
        <v>13551</v>
      </c>
      <c r="B41" s="21">
        <v>7625</v>
      </c>
      <c r="C41" s="23">
        <v>58</v>
      </c>
    </row>
    <row r="42" spans="1:3" x14ac:dyDescent="0.25">
      <c r="A42" s="1">
        <f t="shared" ca="1" si="0"/>
        <v>13552</v>
      </c>
      <c r="B42" s="21">
        <v>7610</v>
      </c>
      <c r="C42" s="23">
        <v>0</v>
      </c>
    </row>
    <row r="43" spans="1:3" x14ac:dyDescent="0.25">
      <c r="A43" s="1">
        <f t="shared" ca="1" si="0"/>
        <v>13553</v>
      </c>
      <c r="B43" s="21">
        <v>7625</v>
      </c>
      <c r="C43" s="23">
        <v>0</v>
      </c>
    </row>
    <row r="44" spans="1:3" x14ac:dyDescent="0.25">
      <c r="A44" s="1">
        <f t="shared" ca="1" si="0"/>
        <v>13554</v>
      </c>
      <c r="B44" s="21">
        <v>7620</v>
      </c>
      <c r="C44" s="23">
        <v>0</v>
      </c>
    </row>
    <row r="45" spans="1:3" x14ac:dyDescent="0.25">
      <c r="A45" s="1">
        <f t="shared" ca="1" si="0"/>
        <v>13555</v>
      </c>
      <c r="B45" s="21">
        <v>7620</v>
      </c>
      <c r="C45" s="23">
        <v>0</v>
      </c>
    </row>
    <row r="46" spans="1:3" x14ac:dyDescent="0.25">
      <c r="A46" s="1">
        <f t="shared" ca="1" si="0"/>
        <v>13556</v>
      </c>
      <c r="B46" s="21">
        <v>7615</v>
      </c>
      <c r="C46" s="23">
        <v>0</v>
      </c>
    </row>
    <row r="47" spans="1:3" x14ac:dyDescent="0.25">
      <c r="A47" s="1">
        <f t="shared" ca="1" si="0"/>
        <v>13557</v>
      </c>
      <c r="B47" s="21">
        <v>7625</v>
      </c>
      <c r="C47" s="23">
        <v>0</v>
      </c>
    </row>
    <row r="48" spans="1:3" x14ac:dyDescent="0.25">
      <c r="A48" s="1">
        <f t="shared" ca="1" si="0"/>
        <v>13558</v>
      </c>
      <c r="B48" s="21">
        <v>7620</v>
      </c>
      <c r="C48" s="23">
        <v>0</v>
      </c>
    </row>
    <row r="49" spans="1:3" x14ac:dyDescent="0.25">
      <c r="A49" s="1">
        <f t="shared" ca="1" si="0"/>
        <v>13559</v>
      </c>
      <c r="B49" s="21">
        <v>7610</v>
      </c>
      <c r="C49" s="23">
        <v>8</v>
      </c>
    </row>
    <row r="50" spans="1:3" x14ac:dyDescent="0.25">
      <c r="A50" s="1">
        <f t="shared" ca="1" si="0"/>
        <v>13560</v>
      </c>
      <c r="B50" s="21">
        <v>7610</v>
      </c>
      <c r="C50" s="23">
        <v>0</v>
      </c>
    </row>
    <row r="51" spans="1:3" x14ac:dyDescent="0.25">
      <c r="A51" s="1">
        <f t="shared" ca="1" si="0"/>
        <v>13561</v>
      </c>
      <c r="B51" s="21">
        <v>7625</v>
      </c>
      <c r="C51" s="23">
        <v>0</v>
      </c>
    </row>
    <row r="52" spans="1:3" x14ac:dyDescent="0.25">
      <c r="A52" s="1">
        <f t="shared" ca="1" si="0"/>
        <v>13562</v>
      </c>
      <c r="B52" s="21">
        <v>7620</v>
      </c>
      <c r="C52" s="23">
        <v>0</v>
      </c>
    </row>
    <row r="53" spans="1:3" x14ac:dyDescent="0.25">
      <c r="A53" s="1">
        <f t="shared" ca="1" si="0"/>
        <v>13563</v>
      </c>
      <c r="B53" s="21">
        <v>7620</v>
      </c>
      <c r="C53" s="23">
        <v>0</v>
      </c>
    </row>
    <row r="54" spans="1:3" x14ac:dyDescent="0.25">
      <c r="A54" s="1">
        <f t="shared" ca="1" si="0"/>
        <v>13564</v>
      </c>
      <c r="B54" s="21">
        <v>7620</v>
      </c>
      <c r="C54" s="23">
        <v>0</v>
      </c>
    </row>
    <row r="55" spans="1:3" x14ac:dyDescent="0.25">
      <c r="A55" s="1">
        <f t="shared" ca="1" si="0"/>
        <v>13565</v>
      </c>
      <c r="B55" s="21">
        <v>7620</v>
      </c>
      <c r="C55" s="23">
        <v>0</v>
      </c>
    </row>
    <row r="56" spans="1:3" x14ac:dyDescent="0.25">
      <c r="A56" s="1">
        <f t="shared" ca="1" si="0"/>
        <v>13566</v>
      </c>
      <c r="B56" s="21">
        <v>7625</v>
      </c>
      <c r="C56" s="23">
        <v>0</v>
      </c>
    </row>
    <row r="57" spans="1:3" x14ac:dyDescent="0.25">
      <c r="A57" s="1">
        <f t="shared" ca="1" si="0"/>
        <v>13567</v>
      </c>
      <c r="B57" s="21">
        <v>7625</v>
      </c>
      <c r="C57" s="23">
        <v>0</v>
      </c>
    </row>
    <row r="58" spans="1:3" x14ac:dyDescent="0.25">
      <c r="A58" s="1">
        <f t="shared" ca="1" si="0"/>
        <v>13568</v>
      </c>
      <c r="B58" s="21">
        <v>7625</v>
      </c>
      <c r="C58" s="23">
        <v>0</v>
      </c>
    </row>
    <row r="59" spans="1:3" x14ac:dyDescent="0.25">
      <c r="A59" s="1">
        <f t="shared" ca="1" si="0"/>
        <v>13569</v>
      </c>
      <c r="B59" s="21">
        <v>7625</v>
      </c>
      <c r="C59" s="23">
        <v>12</v>
      </c>
    </row>
    <row r="60" spans="1:3" x14ac:dyDescent="0.25">
      <c r="A60" s="1">
        <f t="shared" ca="1" si="0"/>
        <v>13570</v>
      </c>
      <c r="B60" s="21">
        <v>7620</v>
      </c>
      <c r="C60" s="23">
        <v>0</v>
      </c>
    </row>
    <row r="61" spans="1:3" x14ac:dyDescent="0.25">
      <c r="A61" s="1">
        <f t="shared" ca="1" si="0"/>
        <v>13571</v>
      </c>
      <c r="B61" s="21">
        <v>7620</v>
      </c>
      <c r="C61" s="23">
        <v>0</v>
      </c>
    </row>
    <row r="62" spans="1:3" x14ac:dyDescent="0.25">
      <c r="A62" s="1">
        <f t="shared" ca="1" si="0"/>
        <v>13572</v>
      </c>
      <c r="B62" s="21">
        <v>7615</v>
      </c>
      <c r="C62" s="23">
        <v>0</v>
      </c>
    </row>
    <row r="63" spans="1:3" x14ac:dyDescent="0.25">
      <c r="A63" s="1">
        <f t="shared" ca="1" si="0"/>
        <v>13573</v>
      </c>
      <c r="B63" s="21">
        <v>7610</v>
      </c>
      <c r="C63" s="23">
        <v>0</v>
      </c>
    </row>
    <row r="64" spans="1:3" x14ac:dyDescent="0.25">
      <c r="A64" s="1">
        <f t="shared" ca="1" si="0"/>
        <v>13574</v>
      </c>
      <c r="B64" s="21">
        <v>7610</v>
      </c>
      <c r="C64" s="23">
        <v>0</v>
      </c>
    </row>
    <row r="65" spans="1:3" x14ac:dyDescent="0.25">
      <c r="A65" s="1" t="str">
        <f t="shared" ca="1" si="0"/>
        <v>Totaal</v>
      </c>
      <c r="B65" s="22">
        <f>IF(COUNT(B37:B64)&gt;0,AVERAGE(B37:B64)/10,"")</f>
        <v>761.94642857142856</v>
      </c>
      <c r="C65" s="26">
        <f>SUM(C37:C64)/10</f>
        <v>9</v>
      </c>
    </row>
    <row r="66" spans="1:3" x14ac:dyDescent="0.25">
      <c r="A66" s="1">
        <f t="shared" ca="1" si="0"/>
        <v>13575</v>
      </c>
      <c r="B66" s="21">
        <v>7620</v>
      </c>
      <c r="C66" s="23">
        <v>0</v>
      </c>
    </row>
    <row r="67" spans="1:3" x14ac:dyDescent="0.25">
      <c r="A67" s="1">
        <f t="shared" ca="1" si="0"/>
        <v>13576</v>
      </c>
      <c r="B67" s="21">
        <v>7620</v>
      </c>
      <c r="C67" s="23">
        <v>0</v>
      </c>
    </row>
    <row r="68" spans="1:3" x14ac:dyDescent="0.25">
      <c r="A68" s="1">
        <f t="shared" ca="1" si="0"/>
        <v>13577</v>
      </c>
      <c r="B68" s="21">
        <v>7635</v>
      </c>
      <c r="C68" s="23">
        <v>0</v>
      </c>
    </row>
    <row r="69" spans="1:3" x14ac:dyDescent="0.25">
      <c r="A69" s="1">
        <f t="shared" ca="1" si="0"/>
        <v>13578</v>
      </c>
      <c r="B69" s="21">
        <v>7610</v>
      </c>
      <c r="C69" s="23">
        <v>32</v>
      </c>
    </row>
    <row r="70" spans="1:3" x14ac:dyDescent="0.25">
      <c r="A70" s="1">
        <f t="shared" ca="1" si="0"/>
        <v>13579</v>
      </c>
      <c r="B70" s="21">
        <v>7610</v>
      </c>
      <c r="C70" s="23">
        <v>0</v>
      </c>
    </row>
    <row r="71" spans="1:3" x14ac:dyDescent="0.25">
      <c r="A71" s="1">
        <f t="shared" ref="A71:A134" ca="1" si="1">IF(ISTEXT(A70),A69+1,IF(MONTH(A70+1)=MONTH(A70),A70+1,"Totaal"))</f>
        <v>13580</v>
      </c>
      <c r="B71" s="21">
        <v>7610</v>
      </c>
      <c r="C71" s="23">
        <v>0</v>
      </c>
    </row>
    <row r="72" spans="1:3" x14ac:dyDescent="0.25">
      <c r="A72" s="1">
        <f t="shared" ca="1" si="1"/>
        <v>13581</v>
      </c>
      <c r="B72" s="21">
        <v>7610</v>
      </c>
      <c r="C72" s="23">
        <v>0</v>
      </c>
    </row>
    <row r="73" spans="1:3" x14ac:dyDescent="0.25">
      <c r="A73" s="1">
        <f t="shared" ca="1" si="1"/>
        <v>13582</v>
      </c>
      <c r="B73" s="21">
        <v>7605</v>
      </c>
      <c r="C73" s="23">
        <v>0</v>
      </c>
    </row>
    <row r="74" spans="1:3" x14ac:dyDescent="0.25">
      <c r="A74" s="1">
        <f t="shared" ca="1" si="1"/>
        <v>13583</v>
      </c>
      <c r="B74" s="21">
        <v>7605</v>
      </c>
      <c r="C74" s="23">
        <v>0</v>
      </c>
    </row>
    <row r="75" spans="1:3" x14ac:dyDescent="0.25">
      <c r="A75" s="1">
        <f t="shared" ca="1" si="1"/>
        <v>13584</v>
      </c>
      <c r="B75" s="21">
        <v>7600</v>
      </c>
      <c r="C75" s="23">
        <v>0</v>
      </c>
    </row>
    <row r="76" spans="1:3" x14ac:dyDescent="0.25">
      <c r="A76" s="1">
        <f t="shared" ca="1" si="1"/>
        <v>13585</v>
      </c>
      <c r="B76" s="21">
        <v>7600</v>
      </c>
      <c r="C76" s="23">
        <v>0</v>
      </c>
    </row>
    <row r="77" spans="1:3" x14ac:dyDescent="0.25">
      <c r="A77" s="1">
        <f t="shared" ca="1" si="1"/>
        <v>13586</v>
      </c>
      <c r="B77" s="21">
        <v>7590</v>
      </c>
      <c r="C77" s="23">
        <v>0</v>
      </c>
    </row>
    <row r="78" spans="1:3" x14ac:dyDescent="0.25">
      <c r="A78" s="1">
        <f t="shared" ca="1" si="1"/>
        <v>13587</v>
      </c>
      <c r="B78" s="21">
        <v>7585</v>
      </c>
      <c r="C78" s="23">
        <v>0</v>
      </c>
    </row>
    <row r="79" spans="1:3" x14ac:dyDescent="0.25">
      <c r="A79" s="1">
        <f t="shared" ca="1" si="1"/>
        <v>13588</v>
      </c>
      <c r="B79" s="21">
        <v>7590</v>
      </c>
      <c r="C79" s="23">
        <v>0</v>
      </c>
    </row>
    <row r="80" spans="1:3" x14ac:dyDescent="0.25">
      <c r="A80" s="1">
        <f t="shared" ca="1" si="1"/>
        <v>13589</v>
      </c>
      <c r="B80" s="21">
        <v>7595</v>
      </c>
      <c r="C80" s="23">
        <v>0</v>
      </c>
    </row>
    <row r="81" spans="1:3" x14ac:dyDescent="0.25">
      <c r="A81" s="1">
        <f t="shared" ca="1" si="1"/>
        <v>13590</v>
      </c>
      <c r="B81" s="21">
        <v>7595</v>
      </c>
      <c r="C81" s="23">
        <v>0</v>
      </c>
    </row>
    <row r="82" spans="1:3" x14ac:dyDescent="0.25">
      <c r="A82" s="1">
        <f t="shared" ca="1" si="1"/>
        <v>13591</v>
      </c>
      <c r="B82" s="21">
        <v>7605</v>
      </c>
      <c r="C82" s="23">
        <v>0</v>
      </c>
    </row>
    <row r="83" spans="1:3" x14ac:dyDescent="0.25">
      <c r="A83" s="1">
        <f t="shared" ca="1" si="1"/>
        <v>13592</v>
      </c>
      <c r="B83" s="21">
        <v>7620</v>
      </c>
      <c r="C83" s="23">
        <v>0</v>
      </c>
    </row>
    <row r="84" spans="1:3" x14ac:dyDescent="0.25">
      <c r="A84" s="1">
        <f t="shared" ca="1" si="1"/>
        <v>13593</v>
      </c>
      <c r="B84" s="21">
        <v>7600</v>
      </c>
      <c r="C84" s="23">
        <v>0</v>
      </c>
    </row>
    <row r="85" spans="1:3" x14ac:dyDescent="0.25">
      <c r="A85" s="1">
        <f t="shared" ca="1" si="1"/>
        <v>13594</v>
      </c>
      <c r="B85" s="21">
        <v>7605</v>
      </c>
      <c r="C85" s="23">
        <v>0</v>
      </c>
    </row>
    <row r="86" spans="1:3" x14ac:dyDescent="0.25">
      <c r="A86" s="1">
        <f t="shared" ca="1" si="1"/>
        <v>13595</v>
      </c>
      <c r="B86" s="21">
        <v>7605</v>
      </c>
      <c r="C86" s="23">
        <v>0</v>
      </c>
    </row>
    <row r="87" spans="1:3" x14ac:dyDescent="0.25">
      <c r="A87" s="1">
        <f t="shared" ca="1" si="1"/>
        <v>13596</v>
      </c>
      <c r="B87" s="21">
        <v>7610</v>
      </c>
      <c r="C87" s="23">
        <v>0</v>
      </c>
    </row>
    <row r="88" spans="1:3" x14ac:dyDescent="0.25">
      <c r="A88" s="1">
        <f t="shared" ca="1" si="1"/>
        <v>13597</v>
      </c>
      <c r="B88" s="21">
        <v>7605</v>
      </c>
      <c r="C88" s="23">
        <v>0</v>
      </c>
    </row>
    <row r="89" spans="1:3" x14ac:dyDescent="0.25">
      <c r="A89" s="1">
        <f t="shared" ca="1" si="1"/>
        <v>13598</v>
      </c>
      <c r="B89" s="21">
        <v>7605</v>
      </c>
      <c r="C89" s="23">
        <v>0</v>
      </c>
    </row>
    <row r="90" spans="1:3" x14ac:dyDescent="0.25">
      <c r="A90" s="1">
        <f t="shared" ca="1" si="1"/>
        <v>13599</v>
      </c>
      <c r="B90" s="21">
        <v>7615</v>
      </c>
      <c r="C90" s="23">
        <v>0</v>
      </c>
    </row>
    <row r="91" spans="1:3" x14ac:dyDescent="0.25">
      <c r="A91" s="1">
        <f t="shared" ca="1" si="1"/>
        <v>13600</v>
      </c>
      <c r="B91" s="21">
        <v>7590</v>
      </c>
      <c r="C91" s="23">
        <v>0</v>
      </c>
    </row>
    <row r="92" spans="1:3" x14ac:dyDescent="0.25">
      <c r="A92" s="1">
        <f t="shared" ca="1" si="1"/>
        <v>13601</v>
      </c>
      <c r="B92" s="21">
        <v>7595</v>
      </c>
      <c r="C92" s="23">
        <v>0</v>
      </c>
    </row>
    <row r="93" spans="1:3" x14ac:dyDescent="0.25">
      <c r="A93" s="1">
        <f t="shared" ca="1" si="1"/>
        <v>13602</v>
      </c>
      <c r="B93" s="21">
        <v>7595</v>
      </c>
      <c r="C93" s="23">
        <v>0</v>
      </c>
    </row>
    <row r="94" spans="1:3" x14ac:dyDescent="0.25">
      <c r="A94" s="1">
        <f t="shared" ca="1" si="1"/>
        <v>13603</v>
      </c>
      <c r="B94" s="21">
        <v>7595</v>
      </c>
      <c r="C94" s="23">
        <v>0</v>
      </c>
    </row>
    <row r="95" spans="1:3" x14ac:dyDescent="0.25">
      <c r="A95" s="1">
        <f t="shared" ca="1" si="1"/>
        <v>13604</v>
      </c>
      <c r="B95" s="21">
        <v>7620</v>
      </c>
      <c r="C95" s="23">
        <v>0</v>
      </c>
    </row>
    <row r="96" spans="1:3" x14ac:dyDescent="0.25">
      <c r="A96" s="1">
        <f t="shared" ca="1" si="1"/>
        <v>13605</v>
      </c>
      <c r="B96" s="21">
        <v>7640</v>
      </c>
      <c r="C96" s="23">
        <v>0</v>
      </c>
    </row>
    <row r="97" spans="1:3" x14ac:dyDescent="0.25">
      <c r="A97" s="1" t="str">
        <f t="shared" ca="1" si="1"/>
        <v>Totaal</v>
      </c>
      <c r="B97" s="22">
        <f>IF(COUNT(B66:B96)&gt;0,AVERAGE(B66:B96)/10,"")</f>
        <v>760.59677419354841</v>
      </c>
      <c r="C97" s="26">
        <f>SUM(C66:C96)/10</f>
        <v>3.2</v>
      </c>
    </row>
    <row r="98" spans="1:3" x14ac:dyDescent="0.25">
      <c r="A98" s="1">
        <f t="shared" ca="1" si="1"/>
        <v>13606</v>
      </c>
      <c r="B98" s="21">
        <v>7620</v>
      </c>
      <c r="C98" s="23">
        <v>0</v>
      </c>
    </row>
    <row r="99" spans="1:3" x14ac:dyDescent="0.25">
      <c r="A99" s="1">
        <f t="shared" ca="1" si="1"/>
        <v>13607</v>
      </c>
      <c r="B99" s="21">
        <v>7590</v>
      </c>
      <c r="C99" s="23">
        <v>0</v>
      </c>
    </row>
    <row r="100" spans="1:3" x14ac:dyDescent="0.25">
      <c r="A100" s="1">
        <f t="shared" ca="1" si="1"/>
        <v>13608</v>
      </c>
      <c r="B100" s="21">
        <v>7600</v>
      </c>
      <c r="C100" s="23">
        <v>0</v>
      </c>
    </row>
    <row r="101" spans="1:3" x14ac:dyDescent="0.25">
      <c r="A101" s="1">
        <f t="shared" ca="1" si="1"/>
        <v>13609</v>
      </c>
      <c r="B101" s="21">
        <v>7605</v>
      </c>
      <c r="C101" s="23">
        <v>0</v>
      </c>
    </row>
    <row r="102" spans="1:3" x14ac:dyDescent="0.25">
      <c r="A102" s="1">
        <f t="shared" ca="1" si="1"/>
        <v>13610</v>
      </c>
      <c r="B102" s="21">
        <v>7605</v>
      </c>
      <c r="C102" s="23">
        <v>0</v>
      </c>
    </row>
    <row r="103" spans="1:3" x14ac:dyDescent="0.25">
      <c r="A103" s="1">
        <f t="shared" ca="1" si="1"/>
        <v>13611</v>
      </c>
      <c r="B103" s="21">
        <v>7595</v>
      </c>
      <c r="C103" s="23">
        <v>0</v>
      </c>
    </row>
    <row r="104" spans="1:3" x14ac:dyDescent="0.25">
      <c r="A104" s="1">
        <f t="shared" ca="1" si="1"/>
        <v>13612</v>
      </c>
      <c r="B104" s="21">
        <v>7590</v>
      </c>
      <c r="C104" s="23">
        <v>0</v>
      </c>
    </row>
    <row r="105" spans="1:3" x14ac:dyDescent="0.25">
      <c r="A105" s="1">
        <f t="shared" ca="1" si="1"/>
        <v>13613</v>
      </c>
      <c r="B105" s="21">
        <v>7590</v>
      </c>
      <c r="C105" s="23">
        <v>0</v>
      </c>
    </row>
    <row r="106" spans="1:3" x14ac:dyDescent="0.25">
      <c r="A106" s="1">
        <f t="shared" ca="1" si="1"/>
        <v>13614</v>
      </c>
      <c r="B106" s="21">
        <v>7595</v>
      </c>
      <c r="C106" s="23">
        <v>0</v>
      </c>
    </row>
    <row r="107" spans="1:3" x14ac:dyDescent="0.25">
      <c r="A107" s="1">
        <f t="shared" ca="1" si="1"/>
        <v>13615</v>
      </c>
      <c r="B107" s="21">
        <v>7625</v>
      </c>
      <c r="C107" s="23">
        <v>0</v>
      </c>
    </row>
    <row r="108" spans="1:3" x14ac:dyDescent="0.25">
      <c r="A108" s="1">
        <f t="shared" ca="1" si="1"/>
        <v>13616</v>
      </c>
      <c r="B108" s="21">
        <v>7635</v>
      </c>
      <c r="C108" s="23">
        <v>0</v>
      </c>
    </row>
    <row r="109" spans="1:3" x14ac:dyDescent="0.25">
      <c r="A109" s="1">
        <f t="shared" ca="1" si="1"/>
        <v>13617</v>
      </c>
      <c r="B109" s="21">
        <v>7610</v>
      </c>
      <c r="C109" s="23">
        <v>0</v>
      </c>
    </row>
    <row r="110" spans="1:3" x14ac:dyDescent="0.25">
      <c r="A110" s="1">
        <f t="shared" ca="1" si="1"/>
        <v>13618</v>
      </c>
      <c r="B110" s="21">
        <v>7610</v>
      </c>
      <c r="C110" s="23">
        <v>0</v>
      </c>
    </row>
    <row r="111" spans="1:3" x14ac:dyDescent="0.25">
      <c r="A111" s="1">
        <f t="shared" ca="1" si="1"/>
        <v>13619</v>
      </c>
      <c r="B111" s="21">
        <v>7615</v>
      </c>
      <c r="C111" s="23">
        <v>0</v>
      </c>
    </row>
    <row r="112" spans="1:3" x14ac:dyDescent="0.25">
      <c r="A112" s="1">
        <f t="shared" ca="1" si="1"/>
        <v>13620</v>
      </c>
      <c r="B112" s="21">
        <v>7610</v>
      </c>
      <c r="C112" s="23">
        <v>0</v>
      </c>
    </row>
    <row r="113" spans="1:3" x14ac:dyDescent="0.25">
      <c r="A113" s="1">
        <f t="shared" ca="1" si="1"/>
        <v>13621</v>
      </c>
      <c r="B113" s="21">
        <v>7590</v>
      </c>
      <c r="C113" s="23">
        <v>0</v>
      </c>
    </row>
    <row r="114" spans="1:3" x14ac:dyDescent="0.25">
      <c r="A114" s="1">
        <f t="shared" ca="1" si="1"/>
        <v>13622</v>
      </c>
      <c r="B114" s="21">
        <v>7600</v>
      </c>
      <c r="C114" s="23">
        <v>0</v>
      </c>
    </row>
    <row r="115" spans="1:3" x14ac:dyDescent="0.25">
      <c r="A115" s="1">
        <f t="shared" ca="1" si="1"/>
        <v>13623</v>
      </c>
      <c r="B115" s="21">
        <v>7605</v>
      </c>
      <c r="C115" s="23">
        <v>0</v>
      </c>
    </row>
    <row r="116" spans="1:3" x14ac:dyDescent="0.25">
      <c r="A116" s="1">
        <f t="shared" ca="1" si="1"/>
        <v>13624</v>
      </c>
      <c r="B116" s="21">
        <v>7610</v>
      </c>
      <c r="C116" s="23">
        <v>0</v>
      </c>
    </row>
    <row r="117" spans="1:3" x14ac:dyDescent="0.25">
      <c r="A117" s="1">
        <f t="shared" ca="1" si="1"/>
        <v>13625</v>
      </c>
      <c r="B117" s="21">
        <v>7605</v>
      </c>
      <c r="C117" s="23">
        <v>0</v>
      </c>
    </row>
    <row r="118" spans="1:3" x14ac:dyDescent="0.25">
      <c r="A118" s="1">
        <f t="shared" ca="1" si="1"/>
        <v>13626</v>
      </c>
      <c r="B118" s="21">
        <v>7610</v>
      </c>
      <c r="C118" s="23">
        <v>0</v>
      </c>
    </row>
    <row r="119" spans="1:3" x14ac:dyDescent="0.25">
      <c r="A119" s="1">
        <f t="shared" ca="1" si="1"/>
        <v>13627</v>
      </c>
      <c r="B119" s="21">
        <v>7590</v>
      </c>
      <c r="C119" s="23">
        <v>0</v>
      </c>
    </row>
    <row r="120" spans="1:3" x14ac:dyDescent="0.25">
      <c r="A120" s="1">
        <f t="shared" ca="1" si="1"/>
        <v>13628</v>
      </c>
      <c r="B120" s="21">
        <v>7600</v>
      </c>
      <c r="C120" s="23">
        <v>0</v>
      </c>
    </row>
    <row r="121" spans="1:3" x14ac:dyDescent="0.25">
      <c r="A121" s="1">
        <f t="shared" ca="1" si="1"/>
        <v>13629</v>
      </c>
      <c r="B121" s="21">
        <v>7605</v>
      </c>
      <c r="C121" s="23">
        <v>0</v>
      </c>
    </row>
    <row r="122" spans="1:3" x14ac:dyDescent="0.25">
      <c r="A122" s="1">
        <f t="shared" ca="1" si="1"/>
        <v>13630</v>
      </c>
      <c r="B122" s="21">
        <v>7605</v>
      </c>
      <c r="C122" s="23">
        <v>0</v>
      </c>
    </row>
    <row r="123" spans="1:3" x14ac:dyDescent="0.25">
      <c r="A123" s="1">
        <f t="shared" ca="1" si="1"/>
        <v>13631</v>
      </c>
      <c r="B123" s="21">
        <v>7595</v>
      </c>
      <c r="C123" s="23">
        <v>0</v>
      </c>
    </row>
    <row r="124" spans="1:3" x14ac:dyDescent="0.25">
      <c r="A124" s="1">
        <f t="shared" ca="1" si="1"/>
        <v>13632</v>
      </c>
      <c r="B124" s="21">
        <v>7590</v>
      </c>
      <c r="C124" s="23">
        <v>0</v>
      </c>
    </row>
    <row r="125" spans="1:3" x14ac:dyDescent="0.25">
      <c r="A125" s="1">
        <f t="shared" ca="1" si="1"/>
        <v>13633</v>
      </c>
      <c r="B125" s="21">
        <v>7590</v>
      </c>
      <c r="C125" s="23">
        <v>0</v>
      </c>
    </row>
    <row r="126" spans="1:3" x14ac:dyDescent="0.25">
      <c r="A126" s="1">
        <f t="shared" ca="1" si="1"/>
        <v>13634</v>
      </c>
      <c r="B126" s="21">
        <v>7605</v>
      </c>
      <c r="C126" s="23">
        <v>0</v>
      </c>
    </row>
    <row r="127" spans="1:3" x14ac:dyDescent="0.25">
      <c r="A127" s="1">
        <f t="shared" ca="1" si="1"/>
        <v>13635</v>
      </c>
      <c r="B127" s="21">
        <v>7605</v>
      </c>
      <c r="C127" s="23">
        <v>0</v>
      </c>
    </row>
    <row r="128" spans="1:3" x14ac:dyDescent="0.25">
      <c r="A128" s="1" t="str">
        <f t="shared" ca="1" si="1"/>
        <v>Totaal</v>
      </c>
      <c r="B128" s="22">
        <f>IF(COUNT(B98:B127)&gt;0,AVERAGE(B98:B127)/10,"")</f>
        <v>760.33333333333326</v>
      </c>
      <c r="C128" s="26">
        <f>SUM(C98:C127)/10</f>
        <v>0</v>
      </c>
    </row>
    <row r="129" spans="1:3" x14ac:dyDescent="0.25">
      <c r="A129" s="1">
        <f t="shared" ca="1" si="1"/>
        <v>13636</v>
      </c>
      <c r="B129" s="21">
        <v>7625</v>
      </c>
      <c r="C129" s="23">
        <v>0</v>
      </c>
    </row>
    <row r="130" spans="1:3" x14ac:dyDescent="0.25">
      <c r="A130" s="1">
        <f t="shared" ca="1" si="1"/>
        <v>13637</v>
      </c>
      <c r="B130" s="21">
        <v>7600</v>
      </c>
      <c r="C130" s="23">
        <v>3</v>
      </c>
    </row>
    <row r="131" spans="1:3" x14ac:dyDescent="0.25">
      <c r="A131" s="1">
        <f t="shared" ca="1" si="1"/>
        <v>13638</v>
      </c>
      <c r="B131" s="21">
        <v>7625</v>
      </c>
      <c r="C131" s="23">
        <v>0</v>
      </c>
    </row>
    <row r="132" spans="1:3" x14ac:dyDescent="0.25">
      <c r="A132" s="1">
        <f t="shared" ca="1" si="1"/>
        <v>13639</v>
      </c>
      <c r="B132" s="21">
        <v>7600</v>
      </c>
      <c r="C132" s="23">
        <v>0</v>
      </c>
    </row>
    <row r="133" spans="1:3" x14ac:dyDescent="0.25">
      <c r="A133" s="1">
        <f t="shared" ca="1" si="1"/>
        <v>13640</v>
      </c>
      <c r="B133" s="21">
        <v>7625</v>
      </c>
      <c r="C133" s="23">
        <v>0</v>
      </c>
    </row>
    <row r="134" spans="1:3" x14ac:dyDescent="0.25">
      <c r="A134" s="1">
        <f t="shared" ca="1" si="1"/>
        <v>13641</v>
      </c>
      <c r="B134" s="21">
        <v>7610</v>
      </c>
      <c r="C134" s="23">
        <v>0</v>
      </c>
    </row>
    <row r="135" spans="1:3" x14ac:dyDescent="0.25">
      <c r="A135" s="1">
        <f t="shared" ref="A135:A198" ca="1" si="2">IF(ISTEXT(A134),A133+1,IF(MONTH(A134+1)=MONTH(A134),A134+1,"Totaal"))</f>
        <v>13642</v>
      </c>
      <c r="B135" s="21">
        <v>7590</v>
      </c>
      <c r="C135" s="23">
        <v>0</v>
      </c>
    </row>
    <row r="136" spans="1:3" x14ac:dyDescent="0.25">
      <c r="A136" s="1">
        <f t="shared" ca="1" si="2"/>
        <v>13643</v>
      </c>
      <c r="B136" s="21">
        <v>7590</v>
      </c>
      <c r="C136" s="23">
        <v>0</v>
      </c>
    </row>
    <row r="137" spans="1:3" x14ac:dyDescent="0.25">
      <c r="A137" s="1">
        <f t="shared" ca="1" si="2"/>
        <v>13644</v>
      </c>
      <c r="B137" s="21">
        <v>7605</v>
      </c>
      <c r="C137" s="23">
        <v>0</v>
      </c>
    </row>
    <row r="138" spans="1:3" x14ac:dyDescent="0.25">
      <c r="A138" s="1">
        <f t="shared" ca="1" si="2"/>
        <v>13645</v>
      </c>
      <c r="B138" s="21">
        <v>7595</v>
      </c>
      <c r="C138" s="23">
        <v>0</v>
      </c>
    </row>
    <row r="139" spans="1:3" x14ac:dyDescent="0.25">
      <c r="A139" s="1">
        <f t="shared" ca="1" si="2"/>
        <v>13646</v>
      </c>
      <c r="B139" s="21">
        <v>7595</v>
      </c>
      <c r="C139" s="23">
        <v>0</v>
      </c>
    </row>
    <row r="140" spans="1:3" x14ac:dyDescent="0.25">
      <c r="A140" s="1">
        <f t="shared" ca="1" si="2"/>
        <v>13647</v>
      </c>
      <c r="B140" s="21">
        <v>7600</v>
      </c>
      <c r="C140" s="23">
        <v>0</v>
      </c>
    </row>
    <row r="141" spans="1:3" x14ac:dyDescent="0.25">
      <c r="A141" s="1">
        <f t="shared" ca="1" si="2"/>
        <v>13648</v>
      </c>
      <c r="B141" s="21">
        <v>7600</v>
      </c>
      <c r="C141" s="23">
        <v>0</v>
      </c>
    </row>
    <row r="142" spans="1:3" x14ac:dyDescent="0.25">
      <c r="A142" s="1">
        <f t="shared" ca="1" si="2"/>
        <v>13649</v>
      </c>
      <c r="B142" s="21">
        <v>7590</v>
      </c>
      <c r="C142" s="23">
        <v>0</v>
      </c>
    </row>
    <row r="143" spans="1:3" x14ac:dyDescent="0.25">
      <c r="A143" s="1">
        <f t="shared" ca="1" si="2"/>
        <v>13650</v>
      </c>
      <c r="B143" s="21">
        <v>7595</v>
      </c>
      <c r="C143" s="23">
        <v>0</v>
      </c>
    </row>
    <row r="144" spans="1:3" x14ac:dyDescent="0.25">
      <c r="A144" s="1">
        <f t="shared" ca="1" si="2"/>
        <v>13651</v>
      </c>
      <c r="B144" s="21">
        <v>7605</v>
      </c>
      <c r="C144" s="23">
        <v>0</v>
      </c>
    </row>
    <row r="145" spans="1:3" x14ac:dyDescent="0.25">
      <c r="A145" s="1">
        <f t="shared" ca="1" si="2"/>
        <v>13652</v>
      </c>
      <c r="B145" s="21">
        <v>7605</v>
      </c>
      <c r="C145" s="23">
        <v>0</v>
      </c>
    </row>
    <row r="146" spans="1:3" x14ac:dyDescent="0.25">
      <c r="A146" s="1">
        <f t="shared" ca="1" si="2"/>
        <v>13653</v>
      </c>
      <c r="B146" s="21">
        <v>7610</v>
      </c>
      <c r="C146" s="23">
        <v>0</v>
      </c>
    </row>
    <row r="147" spans="1:3" x14ac:dyDescent="0.25">
      <c r="A147" s="1">
        <f t="shared" ca="1" si="2"/>
        <v>13654</v>
      </c>
      <c r="B147" s="21">
        <v>7610</v>
      </c>
      <c r="C147" s="23">
        <v>0</v>
      </c>
    </row>
    <row r="148" spans="1:3" x14ac:dyDescent="0.25">
      <c r="A148" s="1">
        <f t="shared" ca="1" si="2"/>
        <v>13655</v>
      </c>
      <c r="B148" s="21">
        <v>7625</v>
      </c>
      <c r="C148" s="23">
        <v>0</v>
      </c>
    </row>
    <row r="149" spans="1:3" x14ac:dyDescent="0.25">
      <c r="A149" s="1">
        <f t="shared" ca="1" si="2"/>
        <v>13656</v>
      </c>
      <c r="B149" s="21">
        <v>7620</v>
      </c>
      <c r="C149" s="23">
        <v>0</v>
      </c>
    </row>
    <row r="150" spans="1:3" x14ac:dyDescent="0.25">
      <c r="A150" s="1">
        <f t="shared" ca="1" si="2"/>
        <v>13657</v>
      </c>
      <c r="B150" s="21">
        <v>7620</v>
      </c>
      <c r="C150" s="23">
        <v>0</v>
      </c>
    </row>
    <row r="151" spans="1:3" x14ac:dyDescent="0.25">
      <c r="A151" s="1">
        <f t="shared" ca="1" si="2"/>
        <v>13658</v>
      </c>
      <c r="B151" s="21">
        <v>7595</v>
      </c>
      <c r="C151" s="23">
        <v>0</v>
      </c>
    </row>
    <row r="152" spans="1:3" x14ac:dyDescent="0.25">
      <c r="A152" s="1">
        <f t="shared" ca="1" si="2"/>
        <v>13659</v>
      </c>
      <c r="B152" s="21">
        <v>7595</v>
      </c>
      <c r="C152" s="23">
        <v>0</v>
      </c>
    </row>
    <row r="153" spans="1:3" x14ac:dyDescent="0.25">
      <c r="A153" s="1">
        <f t="shared" ca="1" si="2"/>
        <v>13660</v>
      </c>
      <c r="B153" s="21">
        <v>7600</v>
      </c>
      <c r="C153" s="23">
        <v>0</v>
      </c>
    </row>
    <row r="154" spans="1:3" x14ac:dyDescent="0.25">
      <c r="A154" s="1">
        <f t="shared" ca="1" si="2"/>
        <v>13661</v>
      </c>
      <c r="B154" s="21">
        <v>7600</v>
      </c>
      <c r="C154" s="23">
        <v>0</v>
      </c>
    </row>
    <row r="155" spans="1:3" x14ac:dyDescent="0.25">
      <c r="A155" s="1">
        <f t="shared" ca="1" si="2"/>
        <v>13662</v>
      </c>
      <c r="B155" s="21">
        <v>7605</v>
      </c>
      <c r="C155" s="23">
        <v>20</v>
      </c>
    </row>
    <row r="156" spans="1:3" x14ac:dyDescent="0.25">
      <c r="A156" s="1">
        <f t="shared" ca="1" si="2"/>
        <v>13663</v>
      </c>
      <c r="B156" s="21">
        <v>7605</v>
      </c>
      <c r="C156" s="23">
        <v>0</v>
      </c>
    </row>
    <row r="157" spans="1:3" x14ac:dyDescent="0.25">
      <c r="A157" s="1">
        <f t="shared" ca="1" si="2"/>
        <v>13664</v>
      </c>
      <c r="B157" s="21">
        <v>7600</v>
      </c>
      <c r="C157" s="23">
        <v>0</v>
      </c>
    </row>
    <row r="158" spans="1:3" x14ac:dyDescent="0.25">
      <c r="A158" s="1">
        <f t="shared" ca="1" si="2"/>
        <v>13665</v>
      </c>
      <c r="B158" s="21">
        <v>7600</v>
      </c>
      <c r="C158" s="23">
        <v>0</v>
      </c>
    </row>
    <row r="159" spans="1:3" x14ac:dyDescent="0.25">
      <c r="A159" s="1">
        <f t="shared" ca="1" si="2"/>
        <v>13666</v>
      </c>
      <c r="B159" s="21">
        <v>7605</v>
      </c>
      <c r="C159" s="23">
        <v>0</v>
      </c>
    </row>
    <row r="160" spans="1:3" x14ac:dyDescent="0.25">
      <c r="A160" s="1" t="str">
        <f t="shared" ca="1" si="2"/>
        <v>Totaal</v>
      </c>
      <c r="B160" s="22">
        <f>IF(COUNT(B129:B159)&gt;0,AVERAGE(B129:B159)/10,"")</f>
        <v>760.4677419354839</v>
      </c>
      <c r="C160" s="26">
        <f>SUM(C129:C159)/10</f>
        <v>2.2999999999999998</v>
      </c>
    </row>
    <row r="161" spans="1:3" x14ac:dyDescent="0.25">
      <c r="A161" s="1">
        <f t="shared" ca="1" si="2"/>
        <v>13667</v>
      </c>
      <c r="B161" s="21">
        <v>7620</v>
      </c>
      <c r="C161" s="23">
        <v>0</v>
      </c>
    </row>
    <row r="162" spans="1:3" x14ac:dyDescent="0.25">
      <c r="A162" s="1">
        <f t="shared" ca="1" si="2"/>
        <v>13668</v>
      </c>
      <c r="B162" s="21">
        <v>7590</v>
      </c>
      <c r="C162" s="23">
        <v>0</v>
      </c>
    </row>
    <row r="163" spans="1:3" x14ac:dyDescent="0.25">
      <c r="A163" s="1">
        <f t="shared" ca="1" si="2"/>
        <v>13669</v>
      </c>
      <c r="B163" s="21">
        <v>7600</v>
      </c>
      <c r="C163" s="23">
        <v>0</v>
      </c>
    </row>
    <row r="164" spans="1:3" x14ac:dyDescent="0.25">
      <c r="A164" s="1">
        <f t="shared" ca="1" si="2"/>
        <v>13670</v>
      </c>
      <c r="B164" s="21">
        <v>7625</v>
      </c>
      <c r="C164" s="23">
        <v>0</v>
      </c>
    </row>
    <row r="165" spans="1:3" x14ac:dyDescent="0.25">
      <c r="A165" s="1">
        <f t="shared" ca="1" si="2"/>
        <v>13671</v>
      </c>
      <c r="B165" s="21">
        <v>7625</v>
      </c>
      <c r="C165" s="23">
        <v>0</v>
      </c>
    </row>
    <row r="166" spans="1:3" x14ac:dyDescent="0.25">
      <c r="A166" s="1">
        <f t="shared" ca="1" si="2"/>
        <v>13672</v>
      </c>
      <c r="B166" s="21">
        <v>7605</v>
      </c>
      <c r="C166" s="23">
        <v>0</v>
      </c>
    </row>
    <row r="167" spans="1:3" x14ac:dyDescent="0.25">
      <c r="A167" s="1">
        <f t="shared" ca="1" si="2"/>
        <v>13673</v>
      </c>
      <c r="B167" s="21">
        <v>7590</v>
      </c>
      <c r="C167" s="23">
        <v>2</v>
      </c>
    </row>
    <row r="168" spans="1:3" x14ac:dyDescent="0.25">
      <c r="A168" s="1">
        <f t="shared" ca="1" si="2"/>
        <v>13674</v>
      </c>
      <c r="B168" s="21">
        <v>7590</v>
      </c>
      <c r="C168" s="23">
        <v>0</v>
      </c>
    </row>
    <row r="169" spans="1:3" x14ac:dyDescent="0.25">
      <c r="A169" s="1">
        <f t="shared" ca="1" si="2"/>
        <v>13675</v>
      </c>
      <c r="B169" s="21">
        <v>7620</v>
      </c>
      <c r="C169" s="23">
        <v>0</v>
      </c>
    </row>
    <row r="170" spans="1:3" x14ac:dyDescent="0.25">
      <c r="A170" s="1">
        <f t="shared" ca="1" si="2"/>
        <v>13676</v>
      </c>
      <c r="B170" s="21">
        <v>7625</v>
      </c>
      <c r="C170" s="23">
        <v>0</v>
      </c>
    </row>
    <row r="171" spans="1:3" x14ac:dyDescent="0.25">
      <c r="A171" s="1">
        <f t="shared" ca="1" si="2"/>
        <v>13677</v>
      </c>
      <c r="B171" s="21">
        <v>7630</v>
      </c>
      <c r="C171" s="23">
        <v>0</v>
      </c>
    </row>
    <row r="172" spans="1:3" x14ac:dyDescent="0.25">
      <c r="A172" s="1">
        <f t="shared" ca="1" si="2"/>
        <v>13678</v>
      </c>
      <c r="B172" s="21">
        <v>7625</v>
      </c>
      <c r="C172" s="23">
        <v>0</v>
      </c>
    </row>
    <row r="173" spans="1:3" x14ac:dyDescent="0.25">
      <c r="A173" s="1">
        <f t="shared" ca="1" si="2"/>
        <v>13679</v>
      </c>
      <c r="B173" s="21">
        <v>7605</v>
      </c>
      <c r="C173" s="23">
        <v>2</v>
      </c>
    </row>
    <row r="174" spans="1:3" x14ac:dyDescent="0.25">
      <c r="A174" s="1">
        <f t="shared" ca="1" si="2"/>
        <v>13680</v>
      </c>
      <c r="B174" s="21">
        <v>7605</v>
      </c>
      <c r="C174" s="23">
        <v>0</v>
      </c>
    </row>
    <row r="175" spans="1:3" x14ac:dyDescent="0.25">
      <c r="A175" s="1">
        <f t="shared" ca="1" si="2"/>
        <v>13681</v>
      </c>
      <c r="B175" s="21">
        <v>7625</v>
      </c>
      <c r="C175" s="23">
        <v>22</v>
      </c>
    </row>
    <row r="176" spans="1:3" x14ac:dyDescent="0.25">
      <c r="A176" s="1">
        <f t="shared" ca="1" si="2"/>
        <v>13682</v>
      </c>
      <c r="B176" s="21">
        <v>7625</v>
      </c>
      <c r="C176" s="23">
        <v>0</v>
      </c>
    </row>
    <row r="177" spans="1:3" x14ac:dyDescent="0.25">
      <c r="A177" s="1">
        <f t="shared" ca="1" si="2"/>
        <v>13683</v>
      </c>
      <c r="B177" s="21">
        <v>7595</v>
      </c>
      <c r="C177" s="23">
        <v>0</v>
      </c>
    </row>
    <row r="178" spans="1:3" x14ac:dyDescent="0.25">
      <c r="A178" s="1">
        <f t="shared" ca="1" si="2"/>
        <v>13684</v>
      </c>
      <c r="B178" s="21">
        <v>7595</v>
      </c>
      <c r="C178" s="23">
        <v>0</v>
      </c>
    </row>
    <row r="179" spans="1:3" x14ac:dyDescent="0.25">
      <c r="A179" s="1">
        <f t="shared" ca="1" si="2"/>
        <v>13685</v>
      </c>
      <c r="B179" s="21">
        <v>7605</v>
      </c>
      <c r="C179" s="23">
        <v>19</v>
      </c>
    </row>
    <row r="180" spans="1:3" x14ac:dyDescent="0.25">
      <c r="A180" s="1">
        <f t="shared" ca="1" si="2"/>
        <v>13686</v>
      </c>
      <c r="B180" s="21">
        <v>7605</v>
      </c>
      <c r="C180" s="23">
        <v>0</v>
      </c>
    </row>
    <row r="181" spans="1:3" x14ac:dyDescent="0.25">
      <c r="A181" s="1">
        <f t="shared" ca="1" si="2"/>
        <v>13687</v>
      </c>
      <c r="B181" s="21">
        <v>7625</v>
      </c>
      <c r="C181" s="23">
        <v>43</v>
      </c>
    </row>
    <row r="182" spans="1:3" x14ac:dyDescent="0.25">
      <c r="A182" s="1">
        <f t="shared" ca="1" si="2"/>
        <v>13688</v>
      </c>
      <c r="B182" s="21">
        <v>7625</v>
      </c>
      <c r="C182" s="23">
        <v>0</v>
      </c>
    </row>
    <row r="183" spans="1:3" x14ac:dyDescent="0.25">
      <c r="A183" s="1">
        <f t="shared" ca="1" si="2"/>
        <v>13689</v>
      </c>
      <c r="B183" s="21">
        <v>7635</v>
      </c>
      <c r="C183" s="23">
        <v>0</v>
      </c>
    </row>
    <row r="184" spans="1:3" x14ac:dyDescent="0.25">
      <c r="A184" s="1">
        <f t="shared" ca="1" si="2"/>
        <v>13690</v>
      </c>
      <c r="B184" s="21">
        <v>7630</v>
      </c>
      <c r="C184" s="23">
        <v>0</v>
      </c>
    </row>
    <row r="185" spans="1:3" x14ac:dyDescent="0.25">
      <c r="A185" s="1">
        <f t="shared" ca="1" si="2"/>
        <v>13691</v>
      </c>
      <c r="B185" s="21">
        <v>7625</v>
      </c>
      <c r="C185" s="23">
        <v>0</v>
      </c>
    </row>
    <row r="186" spans="1:3" x14ac:dyDescent="0.25">
      <c r="A186" s="1">
        <f t="shared" ca="1" si="2"/>
        <v>13692</v>
      </c>
      <c r="B186" s="21">
        <v>7625</v>
      </c>
      <c r="C186" s="23">
        <v>0</v>
      </c>
    </row>
    <row r="187" spans="1:3" x14ac:dyDescent="0.25">
      <c r="A187" s="1">
        <f t="shared" ca="1" si="2"/>
        <v>13693</v>
      </c>
      <c r="B187" s="21">
        <v>7605</v>
      </c>
      <c r="C187" s="23">
        <v>0</v>
      </c>
    </row>
    <row r="188" spans="1:3" x14ac:dyDescent="0.25">
      <c r="A188" s="1">
        <f t="shared" ca="1" si="2"/>
        <v>13694</v>
      </c>
      <c r="B188" s="21">
        <v>7600</v>
      </c>
      <c r="C188" s="23">
        <v>0</v>
      </c>
    </row>
    <row r="189" spans="1:3" x14ac:dyDescent="0.25">
      <c r="A189" s="1">
        <f t="shared" ca="1" si="2"/>
        <v>13695</v>
      </c>
      <c r="B189" s="21">
        <v>7600</v>
      </c>
      <c r="C189" s="23">
        <v>0</v>
      </c>
    </row>
    <row r="190" spans="1:3" x14ac:dyDescent="0.25">
      <c r="A190" s="1">
        <f t="shared" ca="1" si="2"/>
        <v>13696</v>
      </c>
      <c r="B190" s="21">
        <v>7625</v>
      </c>
      <c r="C190" s="23">
        <v>0</v>
      </c>
    </row>
    <row r="191" spans="1:3" x14ac:dyDescent="0.25">
      <c r="A191" s="1" t="str">
        <f t="shared" ca="1" si="2"/>
        <v>Totaal</v>
      </c>
      <c r="B191" s="22">
        <f>IF(COUNT(B161:B190)&gt;0,AVERAGE(B161:B190)/10,"")</f>
        <v>761.33333333333326</v>
      </c>
      <c r="C191" s="26">
        <f>SUM(C161:C190)/10</f>
        <v>8.8000000000000007</v>
      </c>
    </row>
    <row r="192" spans="1:3" x14ac:dyDescent="0.25">
      <c r="A192" s="1">
        <f t="shared" ca="1" si="2"/>
        <v>13697</v>
      </c>
      <c r="B192" s="21">
        <v>7635</v>
      </c>
      <c r="C192" s="23">
        <v>0</v>
      </c>
    </row>
    <row r="193" spans="1:3" x14ac:dyDescent="0.25">
      <c r="A193" s="1">
        <f t="shared" ca="1" si="2"/>
        <v>13698</v>
      </c>
      <c r="B193" s="21">
        <v>7630</v>
      </c>
      <c r="C193" s="23">
        <v>7</v>
      </c>
    </row>
    <row r="194" spans="1:3" x14ac:dyDescent="0.25">
      <c r="A194" s="1">
        <f t="shared" ca="1" si="2"/>
        <v>13699</v>
      </c>
      <c r="B194" s="21">
        <v>7625</v>
      </c>
      <c r="C194" s="23">
        <v>0</v>
      </c>
    </row>
    <row r="195" spans="1:3" x14ac:dyDescent="0.25">
      <c r="A195" s="1">
        <f t="shared" ca="1" si="2"/>
        <v>13700</v>
      </c>
      <c r="B195" s="21">
        <v>7610</v>
      </c>
      <c r="C195" s="23">
        <v>0</v>
      </c>
    </row>
    <row r="196" spans="1:3" x14ac:dyDescent="0.25">
      <c r="A196" s="1">
        <f t="shared" ca="1" si="2"/>
        <v>13701</v>
      </c>
      <c r="B196" s="21">
        <v>7605</v>
      </c>
      <c r="C196" s="23">
        <v>0</v>
      </c>
    </row>
    <row r="197" spans="1:3" x14ac:dyDescent="0.25">
      <c r="A197" s="1">
        <f t="shared" ca="1" si="2"/>
        <v>13702</v>
      </c>
      <c r="B197" s="21">
        <v>7610</v>
      </c>
      <c r="C197" s="23">
        <v>0</v>
      </c>
    </row>
    <row r="198" spans="1:3" x14ac:dyDescent="0.25">
      <c r="A198" s="1">
        <f t="shared" ca="1" si="2"/>
        <v>13703</v>
      </c>
      <c r="B198" s="21">
        <v>7615</v>
      </c>
      <c r="C198" s="23">
        <v>0</v>
      </c>
    </row>
    <row r="199" spans="1:3" x14ac:dyDescent="0.25">
      <c r="A199" s="1">
        <f t="shared" ref="A199:A262" ca="1" si="3">IF(ISTEXT(A198),A197+1,IF(MONTH(A198+1)=MONTH(A198),A198+1,"Totaal"))</f>
        <v>13704</v>
      </c>
      <c r="B199" s="21">
        <v>7615</v>
      </c>
      <c r="C199" s="23">
        <v>18</v>
      </c>
    </row>
    <row r="200" spans="1:3" x14ac:dyDescent="0.25">
      <c r="A200" s="1">
        <f t="shared" ca="1" si="3"/>
        <v>13705</v>
      </c>
      <c r="B200" s="21">
        <v>7620</v>
      </c>
      <c r="C200" s="23">
        <v>51</v>
      </c>
    </row>
    <row r="201" spans="1:3" x14ac:dyDescent="0.25">
      <c r="A201" s="1">
        <f t="shared" ca="1" si="3"/>
        <v>13706</v>
      </c>
      <c r="B201" s="21">
        <v>7620</v>
      </c>
      <c r="C201" s="23">
        <v>16</v>
      </c>
    </row>
    <row r="202" spans="1:3" x14ac:dyDescent="0.25">
      <c r="A202" s="1">
        <f t="shared" ca="1" si="3"/>
        <v>13707</v>
      </c>
      <c r="B202" s="21">
        <v>7625</v>
      </c>
      <c r="C202" s="23">
        <v>0</v>
      </c>
    </row>
    <row r="203" spans="1:3" x14ac:dyDescent="0.25">
      <c r="A203" s="1">
        <f t="shared" ca="1" si="3"/>
        <v>13708</v>
      </c>
      <c r="B203" s="21">
        <v>7620</v>
      </c>
      <c r="C203" s="23">
        <v>0</v>
      </c>
    </row>
    <row r="204" spans="1:3" x14ac:dyDescent="0.25">
      <c r="A204" s="1">
        <f t="shared" ca="1" si="3"/>
        <v>13709</v>
      </c>
      <c r="B204" s="21">
        <v>7620</v>
      </c>
      <c r="C204" s="23">
        <v>0</v>
      </c>
    </row>
    <row r="205" spans="1:3" x14ac:dyDescent="0.25">
      <c r="A205" s="1">
        <f t="shared" ca="1" si="3"/>
        <v>13710</v>
      </c>
      <c r="B205" s="21">
        <v>7615</v>
      </c>
      <c r="C205" s="23">
        <v>0</v>
      </c>
    </row>
    <row r="206" spans="1:3" x14ac:dyDescent="0.25">
      <c r="A206" s="1">
        <f t="shared" ca="1" si="3"/>
        <v>13711</v>
      </c>
      <c r="B206" s="21">
        <v>7625</v>
      </c>
      <c r="C206" s="23">
        <v>0</v>
      </c>
    </row>
    <row r="207" spans="1:3" x14ac:dyDescent="0.25">
      <c r="A207" s="1">
        <f t="shared" ca="1" si="3"/>
        <v>13712</v>
      </c>
      <c r="B207" s="21">
        <v>7610</v>
      </c>
      <c r="C207" s="23">
        <v>0</v>
      </c>
    </row>
    <row r="208" spans="1:3" x14ac:dyDescent="0.25">
      <c r="A208" s="1">
        <f t="shared" ca="1" si="3"/>
        <v>13713</v>
      </c>
      <c r="B208" s="21">
        <v>7610</v>
      </c>
      <c r="C208" s="23">
        <v>34</v>
      </c>
    </row>
    <row r="209" spans="1:3" x14ac:dyDescent="0.25">
      <c r="A209" s="1">
        <f t="shared" ca="1" si="3"/>
        <v>13714</v>
      </c>
      <c r="B209" s="21">
        <v>7625</v>
      </c>
      <c r="C209" s="23">
        <v>0</v>
      </c>
    </row>
    <row r="210" spans="1:3" x14ac:dyDescent="0.25">
      <c r="A210" s="1">
        <f t="shared" ca="1" si="3"/>
        <v>13715</v>
      </c>
      <c r="B210" s="21">
        <v>7610</v>
      </c>
      <c r="C210" s="23">
        <v>0</v>
      </c>
    </row>
    <row r="211" spans="1:3" x14ac:dyDescent="0.25">
      <c r="A211" s="1">
        <f t="shared" ca="1" si="3"/>
        <v>13716</v>
      </c>
      <c r="B211" s="21">
        <v>7615</v>
      </c>
      <c r="C211" s="23">
        <v>0</v>
      </c>
    </row>
    <row r="212" spans="1:3" x14ac:dyDescent="0.25">
      <c r="A212" s="1">
        <f t="shared" ca="1" si="3"/>
        <v>13717</v>
      </c>
      <c r="B212" s="21">
        <v>7610</v>
      </c>
      <c r="C212" s="23">
        <v>0</v>
      </c>
    </row>
    <row r="213" spans="1:3" x14ac:dyDescent="0.25">
      <c r="A213" s="1">
        <f t="shared" ca="1" si="3"/>
        <v>13718</v>
      </c>
      <c r="B213" s="21">
        <v>7610</v>
      </c>
      <c r="C213" s="23">
        <v>0</v>
      </c>
    </row>
    <row r="214" spans="1:3" x14ac:dyDescent="0.25">
      <c r="A214" s="1">
        <f t="shared" ca="1" si="3"/>
        <v>13719</v>
      </c>
      <c r="B214" s="21">
        <v>7615</v>
      </c>
      <c r="C214" s="23">
        <v>0</v>
      </c>
    </row>
    <row r="215" spans="1:3" x14ac:dyDescent="0.25">
      <c r="A215" s="1">
        <f t="shared" ca="1" si="3"/>
        <v>13720</v>
      </c>
      <c r="B215" s="21">
        <v>7590</v>
      </c>
      <c r="C215" s="23">
        <v>0</v>
      </c>
    </row>
    <row r="216" spans="1:3" x14ac:dyDescent="0.25">
      <c r="A216" s="1">
        <f t="shared" ca="1" si="3"/>
        <v>13721</v>
      </c>
      <c r="B216" s="21">
        <v>7600</v>
      </c>
      <c r="C216" s="23">
        <v>0</v>
      </c>
    </row>
    <row r="217" spans="1:3" x14ac:dyDescent="0.25">
      <c r="A217" s="1">
        <f t="shared" ca="1" si="3"/>
        <v>13722</v>
      </c>
      <c r="B217" s="21">
        <v>7600</v>
      </c>
      <c r="C217" s="23">
        <v>0</v>
      </c>
    </row>
    <row r="218" spans="1:3" x14ac:dyDescent="0.25">
      <c r="A218" s="1">
        <f t="shared" ca="1" si="3"/>
        <v>13723</v>
      </c>
      <c r="B218" s="21">
        <v>7605</v>
      </c>
      <c r="C218" s="23">
        <v>0</v>
      </c>
    </row>
    <row r="219" spans="1:3" x14ac:dyDescent="0.25">
      <c r="A219" s="1">
        <f t="shared" ca="1" si="3"/>
        <v>13724</v>
      </c>
      <c r="B219" s="21">
        <v>7610</v>
      </c>
      <c r="C219" s="23">
        <v>0</v>
      </c>
    </row>
    <row r="220" spans="1:3" x14ac:dyDescent="0.25">
      <c r="A220" s="1">
        <f t="shared" ca="1" si="3"/>
        <v>13725</v>
      </c>
      <c r="B220" s="21">
        <v>7625</v>
      </c>
      <c r="C220" s="23">
        <v>0</v>
      </c>
    </row>
    <row r="221" spans="1:3" x14ac:dyDescent="0.25">
      <c r="A221" s="1">
        <f t="shared" ca="1" si="3"/>
        <v>13726</v>
      </c>
      <c r="B221" s="21">
        <v>7620</v>
      </c>
      <c r="C221" s="23">
        <v>0</v>
      </c>
    </row>
    <row r="222" spans="1:3" x14ac:dyDescent="0.25">
      <c r="A222" s="1">
        <f t="shared" ca="1" si="3"/>
        <v>13727</v>
      </c>
      <c r="B222" s="21">
        <v>7620</v>
      </c>
      <c r="C222" s="23">
        <v>0</v>
      </c>
    </row>
    <row r="223" spans="1:3" x14ac:dyDescent="0.25">
      <c r="A223" s="1" t="str">
        <f t="shared" ca="1" si="3"/>
        <v>Totaal</v>
      </c>
      <c r="B223" s="22">
        <f>IF(COUNT(B192:B222)&gt;0,AVERAGE(B192:B222)/10,"")</f>
        <v>761.5</v>
      </c>
      <c r="C223" s="26">
        <f>SUM(C192:C222)/10</f>
        <v>12.6</v>
      </c>
    </row>
    <row r="224" spans="1:3" x14ac:dyDescent="0.25">
      <c r="A224" s="1">
        <f t="shared" ca="1" si="3"/>
        <v>13728</v>
      </c>
      <c r="B224" s="21">
        <v>7625</v>
      </c>
      <c r="C224" s="23">
        <v>0</v>
      </c>
    </row>
    <row r="225" spans="1:3" x14ac:dyDescent="0.25">
      <c r="A225" s="1">
        <f t="shared" ca="1" si="3"/>
        <v>13729</v>
      </c>
      <c r="B225" s="21">
        <v>7620</v>
      </c>
      <c r="C225" s="23">
        <v>0</v>
      </c>
    </row>
    <row r="226" spans="1:3" x14ac:dyDescent="0.25">
      <c r="A226" s="1">
        <f t="shared" ca="1" si="3"/>
        <v>13730</v>
      </c>
      <c r="B226" s="21">
        <v>7620</v>
      </c>
      <c r="C226" s="23">
        <v>0</v>
      </c>
    </row>
    <row r="227" spans="1:3" x14ac:dyDescent="0.25">
      <c r="A227" s="1">
        <f t="shared" ca="1" si="3"/>
        <v>13731</v>
      </c>
      <c r="B227" s="21">
        <v>7605</v>
      </c>
      <c r="C227" s="23">
        <v>0</v>
      </c>
    </row>
    <row r="228" spans="1:3" x14ac:dyDescent="0.25">
      <c r="A228" s="1">
        <f t="shared" ca="1" si="3"/>
        <v>13732</v>
      </c>
      <c r="B228" s="21">
        <v>7600</v>
      </c>
      <c r="C228" s="23">
        <v>0</v>
      </c>
    </row>
    <row r="229" spans="1:3" x14ac:dyDescent="0.25">
      <c r="A229" s="1">
        <f t="shared" ca="1" si="3"/>
        <v>13733</v>
      </c>
      <c r="B229" s="21">
        <v>7615</v>
      </c>
      <c r="C229" s="23">
        <v>0</v>
      </c>
    </row>
    <row r="230" spans="1:3" x14ac:dyDescent="0.25">
      <c r="A230" s="1">
        <f t="shared" ca="1" si="3"/>
        <v>13734</v>
      </c>
      <c r="B230" s="21">
        <v>7615</v>
      </c>
      <c r="C230" s="23">
        <v>0</v>
      </c>
    </row>
    <row r="231" spans="1:3" x14ac:dyDescent="0.25">
      <c r="A231" s="1">
        <f t="shared" ca="1" si="3"/>
        <v>13735</v>
      </c>
      <c r="B231" s="21">
        <v>7620</v>
      </c>
      <c r="C231" s="23">
        <v>0</v>
      </c>
    </row>
    <row r="232" spans="1:3" x14ac:dyDescent="0.25">
      <c r="A232" s="1">
        <f t="shared" ca="1" si="3"/>
        <v>13736</v>
      </c>
      <c r="B232" s="21">
        <v>7625</v>
      </c>
      <c r="C232" s="23">
        <v>0</v>
      </c>
    </row>
    <row r="233" spans="1:3" x14ac:dyDescent="0.25">
      <c r="A233" s="1">
        <f t="shared" ca="1" si="3"/>
        <v>13737</v>
      </c>
      <c r="B233" s="21">
        <v>7620</v>
      </c>
      <c r="C233" s="23">
        <v>0</v>
      </c>
    </row>
    <row r="234" spans="1:3" x14ac:dyDescent="0.25">
      <c r="A234" s="1">
        <f t="shared" ca="1" si="3"/>
        <v>13738</v>
      </c>
      <c r="B234" s="21">
        <v>7615</v>
      </c>
      <c r="C234" s="23">
        <v>0</v>
      </c>
    </row>
    <row r="235" spans="1:3" x14ac:dyDescent="0.25">
      <c r="A235" s="1">
        <f t="shared" ca="1" si="3"/>
        <v>13739</v>
      </c>
      <c r="B235" s="21">
        <v>7615</v>
      </c>
      <c r="C235" s="23">
        <v>0</v>
      </c>
    </row>
    <row r="236" spans="1:3" x14ac:dyDescent="0.25">
      <c r="A236" s="1">
        <f t="shared" ca="1" si="3"/>
        <v>13740</v>
      </c>
      <c r="B236" s="21">
        <v>7610</v>
      </c>
      <c r="C236" s="23">
        <v>18</v>
      </c>
    </row>
    <row r="237" spans="1:3" x14ac:dyDescent="0.25">
      <c r="A237" s="1">
        <f t="shared" ca="1" si="3"/>
        <v>13741</v>
      </c>
      <c r="B237" s="21">
        <v>7590</v>
      </c>
      <c r="C237" s="23">
        <v>0</v>
      </c>
    </row>
    <row r="238" spans="1:3" x14ac:dyDescent="0.25">
      <c r="A238" s="1">
        <f t="shared" ca="1" si="3"/>
        <v>13742</v>
      </c>
      <c r="B238" s="21">
        <v>7605</v>
      </c>
      <c r="C238" s="23">
        <v>0</v>
      </c>
    </row>
    <row r="239" spans="1:3" x14ac:dyDescent="0.25">
      <c r="A239" s="1">
        <f t="shared" ca="1" si="3"/>
        <v>13743</v>
      </c>
      <c r="B239" s="21">
        <v>7600</v>
      </c>
      <c r="C239" s="23">
        <v>0</v>
      </c>
    </row>
    <row r="240" spans="1:3" x14ac:dyDescent="0.25">
      <c r="A240" s="1">
        <f t="shared" ca="1" si="3"/>
        <v>13744</v>
      </c>
      <c r="B240" s="21">
        <v>7590</v>
      </c>
      <c r="C240" s="23">
        <v>0</v>
      </c>
    </row>
    <row r="241" spans="1:3" x14ac:dyDescent="0.25">
      <c r="A241" s="1">
        <f t="shared" ca="1" si="3"/>
        <v>13745</v>
      </c>
      <c r="B241" s="21">
        <v>7600</v>
      </c>
      <c r="C241" s="23">
        <v>0</v>
      </c>
    </row>
    <row r="242" spans="1:3" x14ac:dyDescent="0.25">
      <c r="A242" s="1">
        <f t="shared" ca="1" si="3"/>
        <v>13746</v>
      </c>
      <c r="B242" s="21">
        <v>7595</v>
      </c>
      <c r="C242" s="23">
        <v>0</v>
      </c>
    </row>
    <row r="243" spans="1:3" x14ac:dyDescent="0.25">
      <c r="A243" s="1">
        <f t="shared" ca="1" si="3"/>
        <v>13747</v>
      </c>
      <c r="B243" s="21">
        <v>7590</v>
      </c>
      <c r="C243" s="23">
        <v>0</v>
      </c>
    </row>
    <row r="244" spans="1:3" x14ac:dyDescent="0.25">
      <c r="A244" s="1">
        <f t="shared" ca="1" si="3"/>
        <v>13748</v>
      </c>
      <c r="B244" s="21">
        <v>7590</v>
      </c>
      <c r="C244" s="23">
        <v>7</v>
      </c>
    </row>
    <row r="245" spans="1:3" x14ac:dyDescent="0.25">
      <c r="A245" s="1">
        <f t="shared" ca="1" si="3"/>
        <v>13749</v>
      </c>
      <c r="B245" s="21">
        <v>7600</v>
      </c>
      <c r="C245" s="23">
        <v>0</v>
      </c>
    </row>
    <row r="246" spans="1:3" x14ac:dyDescent="0.25">
      <c r="A246" s="1">
        <f t="shared" ca="1" si="3"/>
        <v>13750</v>
      </c>
      <c r="B246" s="21">
        <v>7590</v>
      </c>
      <c r="C246" s="23">
        <v>0</v>
      </c>
    </row>
    <row r="247" spans="1:3" x14ac:dyDescent="0.25">
      <c r="A247" s="1">
        <f t="shared" ca="1" si="3"/>
        <v>13751</v>
      </c>
      <c r="B247" s="21">
        <v>7590</v>
      </c>
      <c r="C247" s="23">
        <v>109</v>
      </c>
    </row>
    <row r="248" spans="1:3" x14ac:dyDescent="0.25">
      <c r="A248" s="1">
        <f t="shared" ca="1" si="3"/>
        <v>13752</v>
      </c>
      <c r="B248" s="21">
        <v>7595</v>
      </c>
      <c r="C248" s="23">
        <v>0</v>
      </c>
    </row>
    <row r="249" spans="1:3" x14ac:dyDescent="0.25">
      <c r="A249" s="1">
        <f t="shared" ca="1" si="3"/>
        <v>13753</v>
      </c>
      <c r="B249" s="21">
        <v>7595</v>
      </c>
      <c r="C249" s="23">
        <v>0</v>
      </c>
    </row>
    <row r="250" spans="1:3" x14ac:dyDescent="0.25">
      <c r="A250" s="1">
        <f t="shared" ca="1" si="3"/>
        <v>13754</v>
      </c>
      <c r="B250" s="21">
        <v>7605</v>
      </c>
      <c r="C250" s="23">
        <v>0</v>
      </c>
    </row>
    <row r="251" spans="1:3" x14ac:dyDescent="0.25">
      <c r="A251" s="1">
        <f t="shared" ca="1" si="3"/>
        <v>13755</v>
      </c>
      <c r="B251" s="21">
        <v>7600</v>
      </c>
      <c r="C251" s="23">
        <v>0</v>
      </c>
    </row>
    <row r="252" spans="1:3" x14ac:dyDescent="0.25">
      <c r="A252" s="1">
        <f t="shared" ca="1" si="3"/>
        <v>13756</v>
      </c>
      <c r="B252" s="21">
        <v>7600</v>
      </c>
      <c r="C252" s="23">
        <v>0</v>
      </c>
    </row>
    <row r="253" spans="1:3" x14ac:dyDescent="0.25">
      <c r="A253" s="1">
        <f t="shared" ca="1" si="3"/>
        <v>13757</v>
      </c>
      <c r="B253" s="21">
        <v>7590</v>
      </c>
      <c r="C253" s="23">
        <v>0</v>
      </c>
    </row>
    <row r="254" spans="1:3" x14ac:dyDescent="0.25">
      <c r="A254" s="1">
        <f t="shared" ca="1" si="3"/>
        <v>13758</v>
      </c>
      <c r="B254" s="21"/>
      <c r="C254" s="23">
        <v>0</v>
      </c>
    </row>
    <row r="255" spans="1:3" x14ac:dyDescent="0.25">
      <c r="A255" s="1" t="str">
        <f t="shared" ca="1" si="3"/>
        <v>Totaal</v>
      </c>
      <c r="B255" s="22">
        <f>IF(COUNT(B224:B254)&gt;0,AVERAGE(B224:B254)/10,"")</f>
        <v>760.43333333333328</v>
      </c>
      <c r="C255" s="26">
        <f>SUM(C224:C254)/10</f>
        <v>13.4</v>
      </c>
    </row>
    <row r="256" spans="1:3" x14ac:dyDescent="0.25">
      <c r="A256" s="1">
        <f t="shared" ca="1" si="3"/>
        <v>13759</v>
      </c>
      <c r="B256" s="21">
        <v>7595</v>
      </c>
      <c r="C256" s="23">
        <v>0</v>
      </c>
    </row>
    <row r="257" spans="1:3" x14ac:dyDescent="0.25">
      <c r="A257" s="1">
        <f t="shared" ca="1" si="3"/>
        <v>13760</v>
      </c>
      <c r="B257" s="21">
        <v>7590</v>
      </c>
      <c r="C257" s="23">
        <v>0</v>
      </c>
    </row>
    <row r="258" spans="1:3" x14ac:dyDescent="0.25">
      <c r="A258" s="1">
        <f t="shared" ca="1" si="3"/>
        <v>13761</v>
      </c>
      <c r="B258" s="21">
        <v>7595</v>
      </c>
      <c r="C258" s="23">
        <v>0</v>
      </c>
    </row>
    <row r="259" spans="1:3" x14ac:dyDescent="0.25">
      <c r="A259" s="1">
        <f t="shared" ca="1" si="3"/>
        <v>13762</v>
      </c>
      <c r="B259" s="21">
        <v>7600</v>
      </c>
      <c r="C259" s="23">
        <v>0</v>
      </c>
    </row>
    <row r="260" spans="1:3" x14ac:dyDescent="0.25">
      <c r="A260" s="1">
        <f t="shared" ca="1" si="3"/>
        <v>13763</v>
      </c>
      <c r="B260" s="21">
        <v>7600</v>
      </c>
      <c r="C260" s="23">
        <v>0</v>
      </c>
    </row>
    <row r="261" spans="1:3" x14ac:dyDescent="0.25">
      <c r="A261" s="1">
        <f t="shared" ca="1" si="3"/>
        <v>13764</v>
      </c>
      <c r="B261" s="21">
        <v>7595</v>
      </c>
      <c r="C261" s="23">
        <v>0</v>
      </c>
    </row>
    <row r="262" spans="1:3" x14ac:dyDescent="0.25">
      <c r="A262" s="1">
        <f t="shared" ca="1" si="3"/>
        <v>13765</v>
      </c>
      <c r="B262" s="21">
        <v>7595</v>
      </c>
      <c r="C262" s="23">
        <v>0</v>
      </c>
    </row>
    <row r="263" spans="1:3" x14ac:dyDescent="0.25">
      <c r="A263" s="1">
        <f t="shared" ref="A263:A326" ca="1" si="4">IF(ISTEXT(A262),A261+1,IF(MONTH(A262+1)=MONTH(A262),A262+1,"Totaal"))</f>
        <v>13766</v>
      </c>
      <c r="B263" s="21">
        <v>7585</v>
      </c>
      <c r="C263" s="23">
        <v>18</v>
      </c>
    </row>
    <row r="264" spans="1:3" x14ac:dyDescent="0.25">
      <c r="A264" s="1">
        <f t="shared" ca="1" si="4"/>
        <v>13767</v>
      </c>
      <c r="B264" s="21">
        <v>7615</v>
      </c>
      <c r="C264" s="23">
        <v>16</v>
      </c>
    </row>
    <row r="265" spans="1:3" x14ac:dyDescent="0.25">
      <c r="A265" s="1">
        <f t="shared" ca="1" si="4"/>
        <v>13768</v>
      </c>
      <c r="B265" s="21">
        <v>7615</v>
      </c>
      <c r="C265" s="23">
        <v>46</v>
      </c>
    </row>
    <row r="266" spans="1:3" x14ac:dyDescent="0.25">
      <c r="A266" s="1">
        <f t="shared" ca="1" si="4"/>
        <v>13769</v>
      </c>
      <c r="B266" s="21">
        <v>7610</v>
      </c>
      <c r="C266" s="23">
        <v>77</v>
      </c>
    </row>
    <row r="267" spans="1:3" x14ac:dyDescent="0.25">
      <c r="A267" s="1">
        <f t="shared" ca="1" si="4"/>
        <v>13770</v>
      </c>
      <c r="B267" s="21">
        <v>7615</v>
      </c>
      <c r="C267" s="23">
        <v>0</v>
      </c>
    </row>
    <row r="268" spans="1:3" x14ac:dyDescent="0.25">
      <c r="A268" s="1">
        <f t="shared" ca="1" si="4"/>
        <v>13771</v>
      </c>
      <c r="B268" s="21">
        <v>7610</v>
      </c>
      <c r="C268" s="23">
        <v>0</v>
      </c>
    </row>
    <row r="269" spans="1:3" x14ac:dyDescent="0.25">
      <c r="A269" s="1">
        <f t="shared" ca="1" si="4"/>
        <v>13772</v>
      </c>
      <c r="B269" s="21">
        <v>7595</v>
      </c>
      <c r="C269" s="23">
        <v>0</v>
      </c>
    </row>
    <row r="270" spans="1:3" x14ac:dyDescent="0.25">
      <c r="A270" s="1">
        <f t="shared" ca="1" si="4"/>
        <v>13773</v>
      </c>
      <c r="B270" s="21">
        <v>7600</v>
      </c>
      <c r="C270" s="23">
        <v>0</v>
      </c>
    </row>
    <row r="271" spans="1:3" x14ac:dyDescent="0.25">
      <c r="A271" s="1">
        <f t="shared" ca="1" si="4"/>
        <v>13774</v>
      </c>
      <c r="B271" s="21">
        <v>7605</v>
      </c>
      <c r="C271" s="23">
        <v>0</v>
      </c>
    </row>
    <row r="272" spans="1:3" x14ac:dyDescent="0.25">
      <c r="A272" s="1">
        <f t="shared" ca="1" si="4"/>
        <v>13775</v>
      </c>
      <c r="B272" s="21">
        <v>7590</v>
      </c>
      <c r="C272" s="23">
        <v>0</v>
      </c>
    </row>
    <row r="273" spans="1:3" x14ac:dyDescent="0.25">
      <c r="A273" s="1">
        <f t="shared" ca="1" si="4"/>
        <v>13776</v>
      </c>
      <c r="B273" s="21">
        <v>7590</v>
      </c>
      <c r="C273" s="23">
        <v>0</v>
      </c>
    </row>
    <row r="274" spans="1:3" x14ac:dyDescent="0.25">
      <c r="A274" s="1">
        <f t="shared" ca="1" si="4"/>
        <v>13777</v>
      </c>
      <c r="B274" s="21">
        <v>7595</v>
      </c>
      <c r="C274" s="23">
        <v>0</v>
      </c>
    </row>
    <row r="275" spans="1:3" x14ac:dyDescent="0.25">
      <c r="A275" s="1">
        <f t="shared" ca="1" si="4"/>
        <v>13778</v>
      </c>
      <c r="B275" s="21">
        <v>7610</v>
      </c>
      <c r="C275" s="23">
        <v>8</v>
      </c>
    </row>
    <row r="276" spans="1:3" x14ac:dyDescent="0.25">
      <c r="A276" s="1">
        <f t="shared" ca="1" si="4"/>
        <v>13779</v>
      </c>
      <c r="B276" s="21">
        <v>7615</v>
      </c>
      <c r="C276" s="23">
        <v>221</v>
      </c>
    </row>
    <row r="277" spans="1:3" x14ac:dyDescent="0.25">
      <c r="A277" s="1">
        <f t="shared" ca="1" si="4"/>
        <v>13780</v>
      </c>
      <c r="B277" s="21">
        <v>7625</v>
      </c>
      <c r="C277" s="23">
        <v>0</v>
      </c>
    </row>
    <row r="278" spans="1:3" x14ac:dyDescent="0.25">
      <c r="A278" s="1">
        <f t="shared" ca="1" si="4"/>
        <v>13781</v>
      </c>
      <c r="B278" s="21">
        <v>7600</v>
      </c>
      <c r="C278" s="23">
        <v>0</v>
      </c>
    </row>
    <row r="279" spans="1:3" x14ac:dyDescent="0.25">
      <c r="A279" s="1">
        <f t="shared" ca="1" si="4"/>
        <v>13782</v>
      </c>
      <c r="B279" s="21">
        <v>7605</v>
      </c>
      <c r="C279" s="23">
        <v>59</v>
      </c>
    </row>
    <row r="280" spans="1:3" x14ac:dyDescent="0.25">
      <c r="A280" s="1">
        <f t="shared" ca="1" si="4"/>
        <v>13783</v>
      </c>
      <c r="B280" s="21">
        <v>7600</v>
      </c>
      <c r="C280" s="23">
        <v>0</v>
      </c>
    </row>
    <row r="281" spans="1:3" x14ac:dyDescent="0.25">
      <c r="A281" s="1">
        <f t="shared" ca="1" si="4"/>
        <v>13784</v>
      </c>
      <c r="B281" s="21">
        <v>7615</v>
      </c>
      <c r="C281" s="23">
        <v>0</v>
      </c>
    </row>
    <row r="282" spans="1:3" x14ac:dyDescent="0.25">
      <c r="A282" s="1">
        <f t="shared" ca="1" si="4"/>
        <v>13785</v>
      </c>
      <c r="B282" s="21">
        <v>7615</v>
      </c>
      <c r="C282" s="23">
        <v>0</v>
      </c>
    </row>
    <row r="283" spans="1:3" x14ac:dyDescent="0.25">
      <c r="A283" s="1">
        <f t="shared" ca="1" si="4"/>
        <v>13786</v>
      </c>
      <c r="B283" s="21">
        <v>7605</v>
      </c>
      <c r="C283" s="23">
        <v>8</v>
      </c>
    </row>
    <row r="284" spans="1:3" x14ac:dyDescent="0.25">
      <c r="A284" s="1">
        <f t="shared" ca="1" si="4"/>
        <v>13787</v>
      </c>
      <c r="B284" s="21">
        <v>7595</v>
      </c>
      <c r="C284" s="23">
        <v>0</v>
      </c>
    </row>
    <row r="285" spans="1:3" x14ac:dyDescent="0.25">
      <c r="A285" s="1">
        <f t="shared" ca="1" si="4"/>
        <v>13788</v>
      </c>
      <c r="B285" s="21">
        <v>7595</v>
      </c>
      <c r="C285" s="23">
        <v>5</v>
      </c>
    </row>
    <row r="286" spans="1:3" x14ac:dyDescent="0.25">
      <c r="A286" s="1" t="str">
        <f t="shared" ca="1" si="4"/>
        <v>Totaal</v>
      </c>
      <c r="B286" s="22">
        <f>IF(COUNT(B256:B285)&gt;0,AVERAGE(B256:B285)/10,"")</f>
        <v>760.25</v>
      </c>
      <c r="C286" s="26">
        <f>SUM(C256:C285)/10</f>
        <v>45.8</v>
      </c>
    </row>
    <row r="287" spans="1:3" x14ac:dyDescent="0.25">
      <c r="A287" s="1">
        <f t="shared" ca="1" si="4"/>
        <v>13789</v>
      </c>
      <c r="B287" s="21">
        <v>7605</v>
      </c>
      <c r="C287" s="23">
        <v>0</v>
      </c>
    </row>
    <row r="288" spans="1:3" x14ac:dyDescent="0.25">
      <c r="A288" s="1">
        <f t="shared" ca="1" si="4"/>
        <v>13790</v>
      </c>
      <c r="B288" s="21">
        <v>7595</v>
      </c>
      <c r="C288" s="23">
        <v>0</v>
      </c>
    </row>
    <row r="289" spans="1:3" x14ac:dyDescent="0.25">
      <c r="A289" s="1">
        <f t="shared" ca="1" si="4"/>
        <v>13791</v>
      </c>
      <c r="B289" s="21">
        <v>7595</v>
      </c>
      <c r="C289" s="23">
        <v>0</v>
      </c>
    </row>
    <row r="290" spans="1:3" x14ac:dyDescent="0.25">
      <c r="A290" s="1">
        <f t="shared" ca="1" si="4"/>
        <v>13792</v>
      </c>
      <c r="B290" s="21">
        <v>7590</v>
      </c>
      <c r="C290" s="23">
        <v>0</v>
      </c>
    </row>
    <row r="291" spans="1:3" x14ac:dyDescent="0.25">
      <c r="A291" s="1">
        <f t="shared" ca="1" si="4"/>
        <v>13793</v>
      </c>
      <c r="B291" s="21">
        <v>7600</v>
      </c>
      <c r="C291" s="23">
        <v>0</v>
      </c>
    </row>
    <row r="292" spans="1:3" x14ac:dyDescent="0.25">
      <c r="A292" s="1">
        <f t="shared" ca="1" si="4"/>
        <v>13794</v>
      </c>
      <c r="B292" s="21">
        <v>7590</v>
      </c>
      <c r="C292" s="23">
        <v>0</v>
      </c>
    </row>
    <row r="293" spans="1:3" x14ac:dyDescent="0.25">
      <c r="A293" s="1">
        <f t="shared" ca="1" si="4"/>
        <v>13795</v>
      </c>
      <c r="B293" s="21">
        <v>7595</v>
      </c>
      <c r="C293" s="23">
        <v>0</v>
      </c>
    </row>
    <row r="294" spans="1:3" x14ac:dyDescent="0.25">
      <c r="A294" s="1">
        <f t="shared" ca="1" si="4"/>
        <v>13796</v>
      </c>
      <c r="B294" s="21">
        <v>7595</v>
      </c>
      <c r="C294" s="23">
        <v>0</v>
      </c>
    </row>
    <row r="295" spans="1:3" x14ac:dyDescent="0.25">
      <c r="A295" s="1">
        <f t="shared" ca="1" si="4"/>
        <v>13797</v>
      </c>
      <c r="B295" s="21">
        <v>7590</v>
      </c>
      <c r="C295" s="23">
        <v>0</v>
      </c>
    </row>
    <row r="296" spans="1:3" x14ac:dyDescent="0.25">
      <c r="A296" s="1">
        <f t="shared" ca="1" si="4"/>
        <v>13798</v>
      </c>
      <c r="B296" s="21">
        <v>7600</v>
      </c>
      <c r="C296" s="23">
        <v>0</v>
      </c>
    </row>
    <row r="297" spans="1:3" x14ac:dyDescent="0.25">
      <c r="A297" s="1">
        <f t="shared" ca="1" si="4"/>
        <v>13799</v>
      </c>
      <c r="B297" s="21">
        <v>7595</v>
      </c>
      <c r="C297" s="23">
        <v>0</v>
      </c>
    </row>
    <row r="298" spans="1:3" x14ac:dyDescent="0.25">
      <c r="A298" s="1">
        <f t="shared" ca="1" si="4"/>
        <v>13800</v>
      </c>
      <c r="B298" s="21">
        <v>7590</v>
      </c>
      <c r="C298" s="23">
        <v>0</v>
      </c>
    </row>
    <row r="299" spans="1:3" x14ac:dyDescent="0.25">
      <c r="A299" s="1">
        <f t="shared" ca="1" si="4"/>
        <v>13801</v>
      </c>
      <c r="B299" s="21">
        <v>7600</v>
      </c>
      <c r="C299" s="23">
        <v>0</v>
      </c>
    </row>
    <row r="300" spans="1:3" x14ac:dyDescent="0.25">
      <c r="A300" s="1">
        <f t="shared" ca="1" si="4"/>
        <v>13802</v>
      </c>
      <c r="B300" s="21">
        <v>7600</v>
      </c>
      <c r="C300" s="23">
        <v>0</v>
      </c>
    </row>
    <row r="301" spans="1:3" x14ac:dyDescent="0.25">
      <c r="A301" s="1">
        <f t="shared" ca="1" si="4"/>
        <v>13803</v>
      </c>
      <c r="B301" s="21">
        <v>7595</v>
      </c>
      <c r="C301" s="23">
        <v>0</v>
      </c>
    </row>
    <row r="302" spans="1:3" x14ac:dyDescent="0.25">
      <c r="A302" s="1">
        <f t="shared" ca="1" si="4"/>
        <v>13804</v>
      </c>
      <c r="B302" s="21">
        <v>7595</v>
      </c>
      <c r="C302" s="23">
        <v>0</v>
      </c>
    </row>
    <row r="303" spans="1:3" x14ac:dyDescent="0.25">
      <c r="A303" s="1">
        <f t="shared" ca="1" si="4"/>
        <v>13805</v>
      </c>
      <c r="B303" s="21">
        <v>7590</v>
      </c>
      <c r="C303" s="23">
        <v>0</v>
      </c>
    </row>
    <row r="304" spans="1:3" x14ac:dyDescent="0.25">
      <c r="A304" s="1">
        <f t="shared" ca="1" si="4"/>
        <v>13806</v>
      </c>
      <c r="B304" s="21">
        <v>7595</v>
      </c>
      <c r="C304" s="23">
        <v>16</v>
      </c>
    </row>
    <row r="305" spans="1:3" x14ac:dyDescent="0.25">
      <c r="A305" s="1">
        <f t="shared" ca="1" si="4"/>
        <v>13807</v>
      </c>
      <c r="B305" s="21">
        <v>7605</v>
      </c>
      <c r="C305" s="23">
        <v>0</v>
      </c>
    </row>
    <row r="306" spans="1:3" x14ac:dyDescent="0.25">
      <c r="A306" s="1">
        <f t="shared" ca="1" si="4"/>
        <v>13808</v>
      </c>
      <c r="B306" s="21">
        <v>7590</v>
      </c>
      <c r="C306" s="23">
        <v>0</v>
      </c>
    </row>
    <row r="307" spans="1:3" x14ac:dyDescent="0.25">
      <c r="A307" s="1">
        <f t="shared" ca="1" si="4"/>
        <v>13809</v>
      </c>
      <c r="B307" s="21">
        <v>7590</v>
      </c>
      <c r="C307" s="23">
        <v>0</v>
      </c>
    </row>
    <row r="308" spans="1:3" x14ac:dyDescent="0.25">
      <c r="A308" s="1">
        <f t="shared" ca="1" si="4"/>
        <v>13810</v>
      </c>
      <c r="B308" s="21">
        <v>7605</v>
      </c>
      <c r="C308" s="23">
        <v>0</v>
      </c>
    </row>
    <row r="309" spans="1:3" x14ac:dyDescent="0.25">
      <c r="A309" s="1">
        <f t="shared" ca="1" si="4"/>
        <v>13811</v>
      </c>
      <c r="B309" s="21">
        <v>7600</v>
      </c>
      <c r="C309" s="23">
        <v>0</v>
      </c>
    </row>
    <row r="310" spans="1:3" x14ac:dyDescent="0.25">
      <c r="A310" s="1">
        <f t="shared" ca="1" si="4"/>
        <v>13812</v>
      </c>
      <c r="B310" s="21">
        <v>7600</v>
      </c>
      <c r="C310" s="23">
        <v>0</v>
      </c>
    </row>
    <row r="311" spans="1:3" x14ac:dyDescent="0.25">
      <c r="A311" s="1">
        <f t="shared" ca="1" si="4"/>
        <v>13813</v>
      </c>
      <c r="B311" s="21">
        <v>7605</v>
      </c>
      <c r="C311" s="23">
        <v>20</v>
      </c>
    </row>
    <row r="312" spans="1:3" x14ac:dyDescent="0.25">
      <c r="A312" s="1">
        <f t="shared" ca="1" si="4"/>
        <v>13814</v>
      </c>
      <c r="B312" s="21">
        <v>7590</v>
      </c>
      <c r="C312" s="23">
        <v>32</v>
      </c>
    </row>
    <row r="313" spans="1:3" x14ac:dyDescent="0.25">
      <c r="A313" s="1">
        <f t="shared" ca="1" si="4"/>
        <v>13815</v>
      </c>
      <c r="B313" s="21">
        <v>7590</v>
      </c>
      <c r="C313" s="23">
        <v>320</v>
      </c>
    </row>
    <row r="314" spans="1:3" x14ac:dyDescent="0.25">
      <c r="A314" s="1">
        <f t="shared" ca="1" si="4"/>
        <v>13816</v>
      </c>
      <c r="B314" s="21">
        <v>7590</v>
      </c>
      <c r="C314" s="23">
        <v>0</v>
      </c>
    </row>
    <row r="315" spans="1:3" x14ac:dyDescent="0.25">
      <c r="A315" s="1">
        <f t="shared" ca="1" si="4"/>
        <v>13817</v>
      </c>
      <c r="B315" s="21">
        <v>7595</v>
      </c>
      <c r="C315" s="23">
        <v>488</v>
      </c>
    </row>
    <row r="316" spans="1:3" x14ac:dyDescent="0.25">
      <c r="A316" s="1">
        <f t="shared" ca="1" si="4"/>
        <v>13818</v>
      </c>
      <c r="B316" s="21">
        <v>7590</v>
      </c>
      <c r="C316" s="23">
        <v>20</v>
      </c>
    </row>
    <row r="317" spans="1:3" x14ac:dyDescent="0.25">
      <c r="A317" s="1">
        <f t="shared" ca="1" si="4"/>
        <v>13819</v>
      </c>
      <c r="B317" s="21">
        <v>7600</v>
      </c>
      <c r="C317" s="23">
        <v>0</v>
      </c>
    </row>
    <row r="318" spans="1:3" x14ac:dyDescent="0.25">
      <c r="A318" s="1" t="str">
        <f t="shared" ca="1" si="4"/>
        <v>Totaal</v>
      </c>
      <c r="B318" s="22">
        <f>IF(COUNT(B287:B317)&gt;0,AVERAGE(B287:B317)/10,"")</f>
        <v>759.56451612903231</v>
      </c>
      <c r="C318" s="26">
        <f>SUM(C287:C317)/10</f>
        <v>89.6</v>
      </c>
    </row>
    <row r="319" spans="1:3" x14ac:dyDescent="0.25">
      <c r="A319" s="1">
        <f t="shared" ca="1" si="4"/>
        <v>13820</v>
      </c>
      <c r="B319" s="21">
        <v>7600</v>
      </c>
      <c r="C319" s="23">
        <v>0</v>
      </c>
    </row>
    <row r="320" spans="1:3" x14ac:dyDescent="0.25">
      <c r="A320" s="1">
        <f t="shared" ca="1" si="4"/>
        <v>13821</v>
      </c>
      <c r="B320" s="21">
        <v>7600</v>
      </c>
      <c r="C320" s="23">
        <v>86</v>
      </c>
    </row>
    <row r="321" spans="1:3" x14ac:dyDescent="0.25">
      <c r="A321" s="1">
        <f t="shared" ca="1" si="4"/>
        <v>13822</v>
      </c>
      <c r="B321" s="21">
        <v>7595</v>
      </c>
      <c r="C321" s="23">
        <v>99</v>
      </c>
    </row>
    <row r="322" spans="1:3" x14ac:dyDescent="0.25">
      <c r="A322" s="1">
        <f t="shared" ca="1" si="4"/>
        <v>13823</v>
      </c>
      <c r="B322" s="21">
        <v>7595</v>
      </c>
      <c r="C322" s="23">
        <v>155</v>
      </c>
    </row>
    <row r="323" spans="1:3" x14ac:dyDescent="0.25">
      <c r="A323" s="1">
        <f t="shared" ca="1" si="4"/>
        <v>13824</v>
      </c>
      <c r="B323" s="21">
        <v>7590</v>
      </c>
      <c r="C323" s="23">
        <v>44</v>
      </c>
    </row>
    <row r="324" spans="1:3" x14ac:dyDescent="0.25">
      <c r="A324" s="1">
        <f t="shared" ca="1" si="4"/>
        <v>13825</v>
      </c>
      <c r="B324" s="21">
        <v>7600</v>
      </c>
      <c r="C324" s="23">
        <v>0</v>
      </c>
    </row>
    <row r="325" spans="1:3" x14ac:dyDescent="0.25">
      <c r="A325" s="1">
        <f t="shared" ca="1" si="4"/>
        <v>13826</v>
      </c>
      <c r="B325" s="21">
        <v>7600</v>
      </c>
      <c r="C325" s="23">
        <v>0</v>
      </c>
    </row>
    <row r="326" spans="1:3" x14ac:dyDescent="0.25">
      <c r="A326" s="1">
        <f t="shared" ca="1" si="4"/>
        <v>13827</v>
      </c>
      <c r="B326" s="21">
        <v>7605</v>
      </c>
      <c r="C326" s="23">
        <v>85</v>
      </c>
    </row>
    <row r="327" spans="1:3" x14ac:dyDescent="0.25">
      <c r="A327" s="1">
        <f t="shared" ref="A327:A381" ca="1" si="5">IF(ISTEXT(A326),A325+1,IF(MONTH(A326+1)=MONTH(A326),A326+1,"Totaal"))</f>
        <v>13828</v>
      </c>
      <c r="B327" s="21">
        <v>7595</v>
      </c>
      <c r="C327" s="23">
        <v>0</v>
      </c>
    </row>
    <row r="328" spans="1:3" x14ac:dyDescent="0.25">
      <c r="A328" s="1">
        <f t="shared" ca="1" si="5"/>
        <v>13829</v>
      </c>
      <c r="B328" s="21">
        <v>7590</v>
      </c>
      <c r="C328" s="23">
        <v>0</v>
      </c>
    </row>
    <row r="329" spans="1:3" x14ac:dyDescent="0.25">
      <c r="A329" s="1">
        <f t="shared" ca="1" si="5"/>
        <v>13830</v>
      </c>
      <c r="B329" s="21">
        <v>7600</v>
      </c>
      <c r="C329" s="23">
        <v>25</v>
      </c>
    </row>
    <row r="330" spans="1:3" x14ac:dyDescent="0.25">
      <c r="A330" s="1">
        <f t="shared" ca="1" si="5"/>
        <v>13831</v>
      </c>
      <c r="B330" s="21">
        <v>7600</v>
      </c>
      <c r="C330" s="23">
        <v>0</v>
      </c>
    </row>
    <row r="331" spans="1:3" x14ac:dyDescent="0.25">
      <c r="A331" s="1">
        <f t="shared" ca="1" si="5"/>
        <v>13832</v>
      </c>
      <c r="B331" s="21">
        <v>7585</v>
      </c>
      <c r="C331" s="23">
        <v>0</v>
      </c>
    </row>
    <row r="332" spans="1:3" x14ac:dyDescent="0.25">
      <c r="A332" s="1">
        <f t="shared" ca="1" si="5"/>
        <v>13833</v>
      </c>
      <c r="B332" s="21">
        <v>7590</v>
      </c>
      <c r="C332" s="23">
        <v>0</v>
      </c>
    </row>
    <row r="333" spans="1:3" x14ac:dyDescent="0.25">
      <c r="A333" s="1">
        <f t="shared" ca="1" si="5"/>
        <v>13834</v>
      </c>
      <c r="B333" s="21">
        <v>7570</v>
      </c>
      <c r="C333" s="23">
        <v>156</v>
      </c>
    </row>
    <row r="334" spans="1:3" x14ac:dyDescent="0.25">
      <c r="A334" s="1">
        <f t="shared" ca="1" si="5"/>
        <v>13835</v>
      </c>
      <c r="B334" s="21">
        <v>7590</v>
      </c>
      <c r="C334" s="23">
        <v>0</v>
      </c>
    </row>
    <row r="335" spans="1:3" x14ac:dyDescent="0.25">
      <c r="A335" s="1">
        <f t="shared" ca="1" si="5"/>
        <v>13836</v>
      </c>
      <c r="B335" s="21">
        <v>7590</v>
      </c>
      <c r="C335" s="23">
        <v>0</v>
      </c>
    </row>
    <row r="336" spans="1:3" x14ac:dyDescent="0.25">
      <c r="A336" s="1">
        <f t="shared" ca="1" si="5"/>
        <v>13837</v>
      </c>
      <c r="B336" s="21">
        <v>7605</v>
      </c>
      <c r="C336" s="23">
        <v>127</v>
      </c>
    </row>
    <row r="337" spans="1:3" x14ac:dyDescent="0.25">
      <c r="A337" s="1">
        <f t="shared" ca="1" si="5"/>
        <v>13838</v>
      </c>
      <c r="B337" s="21">
        <v>7600</v>
      </c>
      <c r="C337" s="23">
        <v>4</v>
      </c>
    </row>
    <row r="338" spans="1:3" x14ac:dyDescent="0.25">
      <c r="A338" s="1">
        <f t="shared" ca="1" si="5"/>
        <v>13839</v>
      </c>
      <c r="B338" s="21">
        <v>7595</v>
      </c>
      <c r="C338" s="23">
        <v>5</v>
      </c>
    </row>
    <row r="339" spans="1:3" x14ac:dyDescent="0.25">
      <c r="A339" s="1">
        <f t="shared" ca="1" si="5"/>
        <v>13840</v>
      </c>
      <c r="B339" s="21">
        <v>7590</v>
      </c>
      <c r="C339" s="23">
        <v>0</v>
      </c>
    </row>
    <row r="340" spans="1:3" x14ac:dyDescent="0.25">
      <c r="A340" s="1">
        <f t="shared" ca="1" si="5"/>
        <v>13841</v>
      </c>
      <c r="B340" s="21">
        <v>7600</v>
      </c>
      <c r="C340" s="23">
        <v>3</v>
      </c>
    </row>
    <row r="341" spans="1:3" x14ac:dyDescent="0.25">
      <c r="A341" s="1">
        <f t="shared" ca="1" si="5"/>
        <v>13842</v>
      </c>
      <c r="B341" s="21">
        <v>7590</v>
      </c>
      <c r="C341" s="23">
        <v>76</v>
      </c>
    </row>
    <row r="342" spans="1:3" x14ac:dyDescent="0.25">
      <c r="A342" s="1">
        <f t="shared" ca="1" si="5"/>
        <v>13843</v>
      </c>
      <c r="B342" s="21">
        <v>7590</v>
      </c>
      <c r="C342" s="23">
        <v>0</v>
      </c>
    </row>
    <row r="343" spans="1:3" x14ac:dyDescent="0.25">
      <c r="A343" s="1">
        <f t="shared" ca="1" si="5"/>
        <v>13844</v>
      </c>
      <c r="B343" s="21">
        <v>7590</v>
      </c>
      <c r="C343" s="23">
        <v>0</v>
      </c>
    </row>
    <row r="344" spans="1:3" x14ac:dyDescent="0.25">
      <c r="A344" s="1">
        <f t="shared" ca="1" si="5"/>
        <v>13845</v>
      </c>
      <c r="B344" s="21">
        <v>7575</v>
      </c>
      <c r="C344" s="23">
        <v>0</v>
      </c>
    </row>
    <row r="345" spans="1:3" x14ac:dyDescent="0.25">
      <c r="A345" s="1">
        <f t="shared" ca="1" si="5"/>
        <v>13846</v>
      </c>
      <c r="B345" s="21">
        <v>7590</v>
      </c>
      <c r="C345" s="23">
        <v>24</v>
      </c>
    </row>
    <row r="346" spans="1:3" x14ac:dyDescent="0.25">
      <c r="A346" s="1">
        <f t="shared" ca="1" si="5"/>
        <v>13847</v>
      </c>
      <c r="B346" s="21">
        <v>7590</v>
      </c>
      <c r="C346" s="23">
        <v>0</v>
      </c>
    </row>
    <row r="347" spans="1:3" x14ac:dyDescent="0.25">
      <c r="A347" s="1">
        <f t="shared" ca="1" si="5"/>
        <v>13848</v>
      </c>
      <c r="B347" s="21">
        <v>7590</v>
      </c>
      <c r="C347" s="23">
        <v>0</v>
      </c>
    </row>
    <row r="348" spans="1:3" x14ac:dyDescent="0.25">
      <c r="A348" s="1">
        <f t="shared" ca="1" si="5"/>
        <v>13849</v>
      </c>
      <c r="B348" s="21">
        <v>7600</v>
      </c>
      <c r="C348" s="23">
        <v>0</v>
      </c>
    </row>
    <row r="349" spans="1:3" x14ac:dyDescent="0.25">
      <c r="A349" s="1" t="str">
        <f t="shared" ca="1" si="5"/>
        <v>Totaal</v>
      </c>
      <c r="B349" s="22">
        <f>IF(COUNT(B319:B348)&gt;0,AVERAGE(B319:B348)/10,"")</f>
        <v>759.33333333333326</v>
      </c>
      <c r="C349" s="26">
        <f>SUM(C319:C348)/10</f>
        <v>88.9</v>
      </c>
    </row>
    <row r="350" spans="1:3" x14ac:dyDescent="0.25">
      <c r="A350" s="1">
        <f t="shared" ca="1" si="5"/>
        <v>13850</v>
      </c>
      <c r="B350" s="21">
        <v>7590</v>
      </c>
      <c r="C350" s="23">
        <v>0</v>
      </c>
    </row>
    <row r="351" spans="1:3" x14ac:dyDescent="0.25">
      <c r="A351" s="1">
        <f t="shared" ca="1" si="5"/>
        <v>13851</v>
      </c>
      <c r="B351" s="21">
        <v>7600</v>
      </c>
      <c r="C351" s="23">
        <v>12</v>
      </c>
    </row>
    <row r="352" spans="1:3" x14ac:dyDescent="0.25">
      <c r="A352" s="1">
        <f t="shared" ca="1" si="5"/>
        <v>13852</v>
      </c>
      <c r="B352" s="21">
        <v>7590</v>
      </c>
      <c r="C352" s="23">
        <v>0</v>
      </c>
    </row>
    <row r="353" spans="1:3" x14ac:dyDescent="0.25">
      <c r="A353" s="1">
        <f t="shared" ca="1" si="5"/>
        <v>13853</v>
      </c>
      <c r="B353" s="21">
        <v>7570</v>
      </c>
      <c r="C353" s="23">
        <v>70</v>
      </c>
    </row>
    <row r="354" spans="1:3" x14ac:dyDescent="0.25">
      <c r="A354" s="1">
        <f t="shared" ca="1" si="5"/>
        <v>13854</v>
      </c>
      <c r="B354" s="21">
        <v>7570</v>
      </c>
      <c r="C354" s="23">
        <v>0</v>
      </c>
    </row>
    <row r="355" spans="1:3" x14ac:dyDescent="0.25">
      <c r="A355" s="1">
        <f t="shared" ca="1" si="5"/>
        <v>13855</v>
      </c>
      <c r="B355" s="21">
        <v>7580</v>
      </c>
      <c r="C355" s="23">
        <v>336</v>
      </c>
    </row>
    <row r="356" spans="1:3" x14ac:dyDescent="0.25">
      <c r="A356" s="1">
        <f t="shared" ca="1" si="5"/>
        <v>13856</v>
      </c>
      <c r="B356" s="21">
        <v>7595</v>
      </c>
      <c r="C356" s="23">
        <v>0</v>
      </c>
    </row>
    <row r="357" spans="1:3" x14ac:dyDescent="0.25">
      <c r="A357" s="1">
        <f t="shared" ca="1" si="5"/>
        <v>13857</v>
      </c>
      <c r="B357" s="21">
        <v>7595</v>
      </c>
      <c r="C357" s="23">
        <v>0</v>
      </c>
    </row>
    <row r="358" spans="1:3" x14ac:dyDescent="0.25">
      <c r="A358" s="1">
        <f t="shared" ca="1" si="5"/>
        <v>13858</v>
      </c>
      <c r="B358" s="21">
        <v>7595</v>
      </c>
      <c r="C358" s="23">
        <v>57</v>
      </c>
    </row>
    <row r="359" spans="1:3" x14ac:dyDescent="0.25">
      <c r="A359" s="1">
        <f t="shared" ca="1" si="5"/>
        <v>13859</v>
      </c>
      <c r="B359" s="21">
        <v>7585</v>
      </c>
      <c r="C359" s="23">
        <v>217</v>
      </c>
    </row>
    <row r="360" spans="1:3" x14ac:dyDescent="0.25">
      <c r="A360" s="1">
        <f t="shared" ca="1" si="5"/>
        <v>13860</v>
      </c>
      <c r="B360" s="21">
        <v>7585</v>
      </c>
      <c r="C360" s="23">
        <v>52</v>
      </c>
    </row>
    <row r="361" spans="1:3" x14ac:dyDescent="0.25">
      <c r="A361" s="1">
        <f t="shared" ca="1" si="5"/>
        <v>13861</v>
      </c>
      <c r="B361" s="21">
        <v>7585</v>
      </c>
      <c r="C361" s="23">
        <v>0</v>
      </c>
    </row>
    <row r="362" spans="1:3" x14ac:dyDescent="0.25">
      <c r="A362" s="1">
        <f t="shared" ca="1" si="5"/>
        <v>13862</v>
      </c>
      <c r="B362" s="21">
        <v>7605</v>
      </c>
      <c r="C362" s="23">
        <v>60</v>
      </c>
    </row>
    <row r="363" spans="1:3" x14ac:dyDescent="0.25">
      <c r="A363" s="1">
        <f t="shared" ca="1" si="5"/>
        <v>13863</v>
      </c>
      <c r="B363" s="21">
        <v>7605</v>
      </c>
      <c r="C363" s="23">
        <v>71</v>
      </c>
    </row>
    <row r="364" spans="1:3" x14ac:dyDescent="0.25">
      <c r="A364" s="1">
        <f t="shared" ca="1" si="5"/>
        <v>13864</v>
      </c>
      <c r="B364" s="21">
        <v>7605</v>
      </c>
      <c r="C364" s="23">
        <v>36</v>
      </c>
    </row>
    <row r="365" spans="1:3" x14ac:dyDescent="0.25">
      <c r="A365" s="1">
        <f t="shared" ca="1" si="5"/>
        <v>13865</v>
      </c>
      <c r="B365" s="21">
        <v>7600</v>
      </c>
      <c r="C365" s="23">
        <v>42</v>
      </c>
    </row>
    <row r="366" spans="1:3" x14ac:dyDescent="0.25">
      <c r="A366" s="1">
        <f t="shared" ca="1" si="5"/>
        <v>13866</v>
      </c>
      <c r="B366" s="21">
        <v>7600</v>
      </c>
      <c r="C366" s="23">
        <v>162</v>
      </c>
    </row>
    <row r="367" spans="1:3" x14ac:dyDescent="0.25">
      <c r="A367" s="1">
        <f t="shared" ca="1" si="5"/>
        <v>13867</v>
      </c>
      <c r="B367" s="21">
        <v>7605</v>
      </c>
      <c r="C367" s="23">
        <v>0</v>
      </c>
    </row>
    <row r="368" spans="1:3" x14ac:dyDescent="0.25">
      <c r="A368" s="1">
        <f t="shared" ca="1" si="5"/>
        <v>13868</v>
      </c>
      <c r="B368" s="21">
        <v>7605</v>
      </c>
      <c r="C368" s="23">
        <v>0</v>
      </c>
    </row>
    <row r="369" spans="1:3" x14ac:dyDescent="0.25">
      <c r="A369" s="1">
        <f t="shared" ca="1" si="5"/>
        <v>13869</v>
      </c>
      <c r="B369" s="21">
        <v>7620</v>
      </c>
      <c r="C369" s="23">
        <v>4</v>
      </c>
    </row>
    <row r="370" spans="1:3" x14ac:dyDescent="0.25">
      <c r="A370" s="1">
        <f t="shared" ca="1" si="5"/>
        <v>13870</v>
      </c>
      <c r="B370" s="21">
        <v>7615</v>
      </c>
      <c r="C370" s="23">
        <v>159</v>
      </c>
    </row>
    <row r="371" spans="1:3" x14ac:dyDescent="0.25">
      <c r="A371" s="1">
        <f t="shared" ca="1" si="5"/>
        <v>13871</v>
      </c>
      <c r="B371" s="21">
        <v>7615</v>
      </c>
      <c r="C371" s="23">
        <v>4</v>
      </c>
    </row>
    <row r="372" spans="1:3" x14ac:dyDescent="0.25">
      <c r="A372" s="1">
        <f t="shared" ca="1" si="5"/>
        <v>13872</v>
      </c>
      <c r="B372" s="21">
        <v>7610</v>
      </c>
      <c r="C372" s="23">
        <v>0</v>
      </c>
    </row>
    <row r="373" spans="1:3" x14ac:dyDescent="0.25">
      <c r="A373" s="1">
        <f t="shared" ca="1" si="5"/>
        <v>13873</v>
      </c>
      <c r="B373" s="21">
        <v>7605</v>
      </c>
      <c r="C373" s="23">
        <v>103</v>
      </c>
    </row>
    <row r="374" spans="1:3" x14ac:dyDescent="0.25">
      <c r="A374" s="1">
        <f t="shared" ca="1" si="5"/>
        <v>13874</v>
      </c>
      <c r="B374" s="21">
        <v>7605</v>
      </c>
      <c r="C374" s="23">
        <v>100</v>
      </c>
    </row>
    <row r="375" spans="1:3" x14ac:dyDescent="0.25">
      <c r="A375" s="1">
        <f t="shared" ca="1" si="5"/>
        <v>13875</v>
      </c>
      <c r="B375" s="21">
        <v>7605</v>
      </c>
      <c r="C375" s="23">
        <v>400</v>
      </c>
    </row>
    <row r="376" spans="1:3" x14ac:dyDescent="0.25">
      <c r="A376" s="1">
        <f t="shared" ca="1" si="5"/>
        <v>13876</v>
      </c>
      <c r="B376" s="21">
        <v>7605</v>
      </c>
      <c r="C376" s="23">
        <v>310</v>
      </c>
    </row>
    <row r="377" spans="1:3" x14ac:dyDescent="0.25">
      <c r="A377" s="1">
        <f t="shared" ca="1" si="5"/>
        <v>13877</v>
      </c>
      <c r="B377" s="21">
        <v>7600</v>
      </c>
      <c r="C377" s="23">
        <v>164</v>
      </c>
    </row>
    <row r="378" spans="1:3" x14ac:dyDescent="0.25">
      <c r="A378" s="1">
        <f t="shared" ca="1" si="5"/>
        <v>13878</v>
      </c>
      <c r="B378" s="21">
        <v>7605</v>
      </c>
      <c r="C378" s="23">
        <v>0</v>
      </c>
    </row>
    <row r="379" spans="1:3" x14ac:dyDescent="0.25">
      <c r="A379" s="1">
        <f t="shared" ca="1" si="5"/>
        <v>13879</v>
      </c>
      <c r="B379" s="21">
        <v>7600</v>
      </c>
      <c r="C379" s="23">
        <v>408</v>
      </c>
    </row>
    <row r="380" spans="1:3" x14ac:dyDescent="0.25">
      <c r="A380" s="1">
        <f t="shared" ca="1" si="5"/>
        <v>13880</v>
      </c>
      <c r="B380" s="21">
        <v>7600</v>
      </c>
      <c r="C380" s="23">
        <v>0</v>
      </c>
    </row>
    <row r="381" spans="1:3" x14ac:dyDescent="0.25">
      <c r="A381" s="1" t="str">
        <f t="shared" ca="1" si="5"/>
        <v>Totaal</v>
      </c>
      <c r="B381" s="22">
        <f>IF(COUNT(B350:B380)&gt;0,AVERAGE(B350:B380)/10,"")</f>
        <v>759.83870967741927</v>
      </c>
      <c r="C381" s="26">
        <f>SUM(C350:C380)/10</f>
        <v>276.7</v>
      </c>
    </row>
  </sheetData>
  <sheetProtection sheet="1" objects="1" scenarios="1" selectLockedCells="1"/>
  <mergeCells count="2">
    <mergeCell ref="A3:A4"/>
    <mergeCell ref="B3:B4"/>
  </mergeCells>
  <conditionalFormatting sqref="A5:C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L11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1" max="12" width="17.7109375" customWidth="1"/>
  </cols>
  <sheetData>
    <row r="1" spans="1:12" x14ac:dyDescent="0.25">
      <c r="A1" t="s">
        <v>9</v>
      </c>
      <c r="D1" t="s">
        <v>21</v>
      </c>
      <c r="G1" t="s">
        <v>19</v>
      </c>
      <c r="J1" t="s">
        <v>20</v>
      </c>
    </row>
    <row r="2" spans="1:12" ht="15.75" thickBot="1" x14ac:dyDescent="0.3"/>
    <row r="3" spans="1:12" ht="15.75" thickBot="1" x14ac:dyDescent="0.3">
      <c r="J3" s="33" t="s">
        <v>0</v>
      </c>
      <c r="K3" s="35" t="s">
        <v>27</v>
      </c>
      <c r="L3" s="27" t="s">
        <v>1</v>
      </c>
    </row>
    <row r="4" spans="1:12" x14ac:dyDescent="0.25">
      <c r="A4" s="14" t="s">
        <v>10</v>
      </c>
      <c r="B4" s="13" t="s">
        <v>11</v>
      </c>
      <c r="D4" s="13" t="s">
        <v>22</v>
      </c>
      <c r="E4" s="13" t="s">
        <v>24</v>
      </c>
      <c r="G4" s="9" t="s">
        <v>12</v>
      </c>
      <c r="H4" s="9" t="s">
        <v>13</v>
      </c>
      <c r="J4" s="34"/>
      <c r="K4" s="36"/>
      <c r="L4" s="3" t="s">
        <v>29</v>
      </c>
    </row>
    <row r="5" spans="1:12" x14ac:dyDescent="0.25">
      <c r="A5" s="4">
        <v>32</v>
      </c>
      <c r="B5" t="s">
        <v>29</v>
      </c>
      <c r="D5" t="s">
        <v>6</v>
      </c>
      <c r="E5" t="s">
        <v>23</v>
      </c>
      <c r="G5" t="s">
        <v>14</v>
      </c>
      <c r="H5" s="5">
        <v>0</v>
      </c>
    </row>
    <row r="6" spans="1:12" x14ac:dyDescent="0.25">
      <c r="A6" s="4">
        <v>31</v>
      </c>
      <c r="B6" t="s">
        <v>30</v>
      </c>
      <c r="D6" s="15" t="s">
        <v>8</v>
      </c>
      <c r="E6" s="15" t="s">
        <v>25</v>
      </c>
      <c r="G6" t="s">
        <v>15</v>
      </c>
      <c r="H6" s="5">
        <v>1</v>
      </c>
    </row>
    <row r="7" spans="1:12" ht="15.75" thickBot="1" x14ac:dyDescent="0.3">
      <c r="A7" s="4">
        <v>33</v>
      </c>
      <c r="B7" t="s">
        <v>31</v>
      </c>
      <c r="D7" s="16" t="s">
        <v>4</v>
      </c>
      <c r="E7" s="16" t="s">
        <v>26</v>
      </c>
      <c r="G7" t="s">
        <v>16</v>
      </c>
      <c r="H7" s="5">
        <v>4</v>
      </c>
    </row>
    <row r="8" spans="1:12" x14ac:dyDescent="0.25">
      <c r="A8" s="4">
        <v>34</v>
      </c>
      <c r="B8" t="s">
        <v>32</v>
      </c>
      <c r="G8" t="s">
        <v>17</v>
      </c>
      <c r="H8" s="5">
        <v>6</v>
      </c>
    </row>
    <row r="9" spans="1:12" ht="15.75" thickBot="1" x14ac:dyDescent="0.3">
      <c r="A9" s="4">
        <v>35</v>
      </c>
      <c r="B9" t="s">
        <v>33</v>
      </c>
      <c r="G9" s="6" t="s">
        <v>18</v>
      </c>
      <c r="H9" s="7">
        <v>7</v>
      </c>
    </row>
    <row r="10" spans="1:12" x14ac:dyDescent="0.25">
      <c r="A10" s="4">
        <v>36</v>
      </c>
      <c r="B10" t="s">
        <v>34</v>
      </c>
    </row>
    <row r="11" spans="1:12" ht="15.75" thickBot="1" x14ac:dyDescent="0.3">
      <c r="A11" s="8">
        <v>37</v>
      </c>
      <c r="B11" s="6" t="s">
        <v>35</v>
      </c>
    </row>
  </sheetData>
  <mergeCells count="2">
    <mergeCell ref="J3:J4"/>
    <mergeCell ref="K3:K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INDEX(Stations,INT((ROWS(A$2:A2)-1)/(DATE(YEAR(Invoer!$A$5),12,31)-DATE(YEAR(Invoer!$A$5),1,1)+1))+2,1)</f>
        <v>32</v>
      </c>
      <c r="B2" t="str">
        <f ca="1">TEXT(DATE(YEAR(Invoer!$A$5),1,1)+MOD(ROWS(B$2:B2)-1,DATE(YEAR(Invoer!$A$5),12,31)-DATE(YEAR(Invoer!$A$5),1,1)+1),"jjjjmmdd")</f>
        <v>19370101</v>
      </c>
      <c r="C2" s="5">
        <v>1</v>
      </c>
      <c r="D2" s="10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1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4">
        <f ca="1">INDEX(Stations,INT((ROWS(A$2:A3)-1)/(DATE(YEAR(Invoer!$A$5),12,31)-DATE(YEAR(Invoer!$A$5),1,1)+1))+2,1)</f>
        <v>32</v>
      </c>
      <c r="B3" t="str">
        <f ca="1">TEXT(DATE(YEAR(Invoer!$A$5),1,1)+MOD(ROWS(B$2:B3)-1,DATE(YEAR(Invoer!$A$5),12,31)-DATE(YEAR(Invoer!$A$5),1,1)+1),"jjjjmmdd")</f>
        <v>19370102</v>
      </c>
      <c r="C3" s="5">
        <v>1</v>
      </c>
      <c r="D3" s="10">
        <f t="shared" ca="1" si="0"/>
        <v>0</v>
      </c>
      <c r="E3" s="11">
        <f t="shared" ca="1" si="1"/>
        <v>0</v>
      </c>
    </row>
    <row r="4" spans="1:5" x14ac:dyDescent="0.25">
      <c r="A4" s="4">
        <f ca="1">INDEX(Stations,INT((ROWS(A$2:A4)-1)/(DATE(YEAR(Invoer!$A$5),12,31)-DATE(YEAR(Invoer!$A$5),1,1)+1))+2,1)</f>
        <v>32</v>
      </c>
      <c r="B4" t="str">
        <f ca="1">TEXT(DATE(YEAR(Invoer!$A$5),1,1)+MOD(ROWS(B$2:B4)-1,DATE(YEAR(Invoer!$A$5),12,31)-DATE(YEAR(Invoer!$A$5),1,1)+1),"jjjjmmdd")</f>
        <v>19370103</v>
      </c>
      <c r="C4" s="5">
        <v>1</v>
      </c>
      <c r="D4" s="10">
        <f t="shared" ca="1" si="0"/>
        <v>0</v>
      </c>
      <c r="E4" s="11">
        <f t="shared" ca="1" si="1"/>
        <v>0</v>
      </c>
    </row>
    <row r="5" spans="1:5" x14ac:dyDescent="0.25">
      <c r="A5" s="4">
        <f ca="1">INDEX(Stations,INT((ROWS(A$2:A5)-1)/(DATE(YEAR(Invoer!$A$5),12,31)-DATE(YEAR(Invoer!$A$5),1,1)+1))+2,1)</f>
        <v>32</v>
      </c>
      <c r="B5" t="str">
        <f ca="1">TEXT(DATE(YEAR(Invoer!$A$5),1,1)+MOD(ROWS(B$2:B5)-1,DATE(YEAR(Invoer!$A$5),12,31)-DATE(YEAR(Invoer!$A$5),1,1)+1),"jjjjmmdd")</f>
        <v>19370104</v>
      </c>
      <c r="C5" s="5">
        <v>1</v>
      </c>
      <c r="D5" s="10">
        <f t="shared" ca="1" si="0"/>
        <v>36</v>
      </c>
      <c r="E5" s="11">
        <f t="shared" ca="1" si="1"/>
        <v>0</v>
      </c>
    </row>
    <row r="6" spans="1:5" x14ac:dyDescent="0.25">
      <c r="A6" s="4">
        <f ca="1">INDEX(Stations,INT((ROWS(A$2:A6)-1)/(DATE(YEAR(Invoer!$A$5),12,31)-DATE(YEAR(Invoer!$A$5),1,1)+1))+2,1)</f>
        <v>32</v>
      </c>
      <c r="B6" t="str">
        <f ca="1">TEXT(DATE(YEAR(Invoer!$A$5),1,1)+MOD(ROWS(B$2:B6)-1,DATE(YEAR(Invoer!$A$5),12,31)-DATE(YEAR(Invoer!$A$5),1,1)+1),"jjjjmmdd")</f>
        <v>19370105</v>
      </c>
      <c r="C6" s="5">
        <v>1</v>
      </c>
      <c r="D6" s="10">
        <f t="shared" ca="1" si="0"/>
        <v>4130</v>
      </c>
      <c r="E6" s="11">
        <f t="shared" ca="1" si="1"/>
        <v>0</v>
      </c>
    </row>
    <row r="7" spans="1:5" x14ac:dyDescent="0.25">
      <c r="A7" s="4">
        <f ca="1">INDEX(Stations,INT((ROWS(A$2:A7)-1)/(DATE(YEAR(Invoer!$A$5),12,31)-DATE(YEAR(Invoer!$A$5),1,1)+1))+2,1)</f>
        <v>32</v>
      </c>
      <c r="B7" t="str">
        <f ca="1">TEXT(DATE(YEAR(Invoer!$A$5),1,1)+MOD(ROWS(B$2:B7)-1,DATE(YEAR(Invoer!$A$5),12,31)-DATE(YEAR(Invoer!$A$5),1,1)+1),"jjjjmmdd")</f>
        <v>19370106</v>
      </c>
      <c r="C7" s="5">
        <v>1</v>
      </c>
      <c r="D7" s="10">
        <f t="shared" ca="1" si="0"/>
        <v>0</v>
      </c>
      <c r="E7" s="11">
        <f t="shared" ca="1" si="1"/>
        <v>0</v>
      </c>
    </row>
    <row r="8" spans="1:5" x14ac:dyDescent="0.25">
      <c r="A8" s="4">
        <f ca="1">INDEX(Stations,INT((ROWS(A$2:A8)-1)/(DATE(YEAR(Invoer!$A$5),12,31)-DATE(YEAR(Invoer!$A$5),1,1)+1))+2,1)</f>
        <v>32</v>
      </c>
      <c r="B8" t="str">
        <f ca="1">TEXT(DATE(YEAR(Invoer!$A$5),1,1)+MOD(ROWS(B$2:B8)-1,DATE(YEAR(Invoer!$A$5),12,31)-DATE(YEAR(Invoer!$A$5),1,1)+1),"jjjjmmdd")</f>
        <v>19370107</v>
      </c>
      <c r="C8" s="5">
        <v>1</v>
      </c>
      <c r="D8" s="10">
        <f t="shared" ca="1" si="0"/>
        <v>0</v>
      </c>
      <c r="E8" s="11">
        <f t="shared" ca="1" si="1"/>
        <v>0</v>
      </c>
    </row>
    <row r="9" spans="1:5" x14ac:dyDescent="0.25">
      <c r="A9" s="4">
        <f ca="1">INDEX(Stations,INT((ROWS(A$2:A9)-1)/(DATE(YEAR(Invoer!$A$5),12,31)-DATE(YEAR(Invoer!$A$5),1,1)+1))+2,1)</f>
        <v>32</v>
      </c>
      <c r="B9" t="str">
        <f ca="1">TEXT(DATE(YEAR(Invoer!$A$5),1,1)+MOD(ROWS(B$2:B9)-1,DATE(YEAR(Invoer!$A$5),12,31)-DATE(YEAR(Invoer!$A$5),1,1)+1),"jjjjmmdd")</f>
        <v>19370108</v>
      </c>
      <c r="C9" s="5">
        <v>1</v>
      </c>
      <c r="D9" s="10">
        <f t="shared" ca="1" si="0"/>
        <v>32</v>
      </c>
      <c r="E9" s="11">
        <f t="shared" ca="1" si="1"/>
        <v>0</v>
      </c>
    </row>
    <row r="10" spans="1:5" x14ac:dyDescent="0.25">
      <c r="A10" s="4">
        <f ca="1">INDEX(Stations,INT((ROWS(A$2:A10)-1)/(DATE(YEAR(Invoer!$A$5),12,31)-DATE(YEAR(Invoer!$A$5),1,1)+1))+2,1)</f>
        <v>32</v>
      </c>
      <c r="B10" t="str">
        <f ca="1">TEXT(DATE(YEAR(Invoer!$A$5),1,1)+MOD(ROWS(B$2:B10)-1,DATE(YEAR(Invoer!$A$5),12,31)-DATE(YEAR(Invoer!$A$5),1,1)+1),"jjjjmmdd")</f>
        <v>19370109</v>
      </c>
      <c r="C10" s="5">
        <v>1</v>
      </c>
      <c r="D10" s="10">
        <f t="shared" ca="1" si="0"/>
        <v>34</v>
      </c>
      <c r="E10" s="11">
        <f t="shared" ca="1" si="1"/>
        <v>0</v>
      </c>
    </row>
    <row r="11" spans="1:5" x14ac:dyDescent="0.25">
      <c r="A11" s="4">
        <f ca="1">INDEX(Stations,INT((ROWS(A$2:A11)-1)/(DATE(YEAR(Invoer!$A$5),12,31)-DATE(YEAR(Invoer!$A$5),1,1)+1))+2,1)</f>
        <v>32</v>
      </c>
      <c r="B11" t="str">
        <f ca="1">TEXT(DATE(YEAR(Invoer!$A$5),1,1)+MOD(ROWS(B$2:B11)-1,DATE(YEAR(Invoer!$A$5),12,31)-DATE(YEAR(Invoer!$A$5),1,1)+1),"jjjjmmdd")</f>
        <v>19370110</v>
      </c>
      <c r="C11" s="5">
        <v>1</v>
      </c>
      <c r="D11" s="10">
        <f t="shared" ca="1" si="0"/>
        <v>0</v>
      </c>
      <c r="E11" s="11">
        <f t="shared" ca="1" si="1"/>
        <v>0</v>
      </c>
    </row>
    <row r="12" spans="1:5" x14ac:dyDescent="0.25">
      <c r="A12" s="4">
        <f ca="1">INDEX(Stations,INT((ROWS(A$2:A12)-1)/(DATE(YEAR(Invoer!$A$5),12,31)-DATE(YEAR(Invoer!$A$5),1,1)+1))+2,1)</f>
        <v>32</v>
      </c>
      <c r="B12" t="str">
        <f ca="1">TEXT(DATE(YEAR(Invoer!$A$5),1,1)+MOD(ROWS(B$2:B12)-1,DATE(YEAR(Invoer!$A$5),12,31)-DATE(YEAR(Invoer!$A$5),1,1)+1),"jjjjmmdd")</f>
        <v>19370111</v>
      </c>
      <c r="C12" s="5">
        <v>1</v>
      </c>
      <c r="D12" s="10">
        <f t="shared" ca="1" si="0"/>
        <v>30</v>
      </c>
      <c r="E12" s="11">
        <f t="shared" ca="1" si="1"/>
        <v>0</v>
      </c>
    </row>
    <row r="13" spans="1:5" x14ac:dyDescent="0.25">
      <c r="A13" s="4">
        <f ca="1">INDEX(Stations,INT((ROWS(A$2:A13)-1)/(DATE(YEAR(Invoer!$A$5),12,31)-DATE(YEAR(Invoer!$A$5),1,1)+1))+2,1)</f>
        <v>32</v>
      </c>
      <c r="B13" t="str">
        <f ca="1">TEXT(DATE(YEAR(Invoer!$A$5),1,1)+MOD(ROWS(B$2:B13)-1,DATE(YEAR(Invoer!$A$5),12,31)-DATE(YEAR(Invoer!$A$5),1,1)+1),"jjjjmmdd")</f>
        <v>19370112</v>
      </c>
      <c r="C13" s="5">
        <v>1</v>
      </c>
      <c r="D13" s="10">
        <f t="shared" ca="1" si="0"/>
        <v>8</v>
      </c>
      <c r="E13" s="11">
        <f t="shared" ca="1" si="1"/>
        <v>0</v>
      </c>
    </row>
    <row r="14" spans="1:5" x14ac:dyDescent="0.25">
      <c r="A14" s="4">
        <f ca="1">INDEX(Stations,INT((ROWS(A$2:A14)-1)/(DATE(YEAR(Invoer!$A$5),12,31)-DATE(YEAR(Invoer!$A$5),1,1)+1))+2,1)</f>
        <v>32</v>
      </c>
      <c r="B14" t="str">
        <f ca="1">TEXT(DATE(YEAR(Invoer!$A$5),1,1)+MOD(ROWS(B$2:B14)-1,DATE(YEAR(Invoer!$A$5),12,31)-DATE(YEAR(Invoer!$A$5),1,1)+1),"jjjjmmdd")</f>
        <v>19370113</v>
      </c>
      <c r="C14" s="5">
        <v>1</v>
      </c>
      <c r="D14" s="10">
        <f t="shared" ca="1" si="0"/>
        <v>29</v>
      </c>
      <c r="E14" s="11">
        <f t="shared" ca="1" si="1"/>
        <v>0</v>
      </c>
    </row>
    <row r="15" spans="1:5" x14ac:dyDescent="0.25">
      <c r="A15" s="4">
        <f ca="1">INDEX(Stations,INT((ROWS(A$2:A15)-1)/(DATE(YEAR(Invoer!$A$5),12,31)-DATE(YEAR(Invoer!$A$5),1,1)+1))+2,1)</f>
        <v>32</v>
      </c>
      <c r="B15" t="str">
        <f ca="1">TEXT(DATE(YEAR(Invoer!$A$5),1,1)+MOD(ROWS(B$2:B15)-1,DATE(YEAR(Invoer!$A$5),12,31)-DATE(YEAR(Invoer!$A$5),1,1)+1),"jjjjmmdd")</f>
        <v>19370114</v>
      </c>
      <c r="C15" s="5">
        <v>1</v>
      </c>
      <c r="D15" s="10">
        <f t="shared" ca="1" si="0"/>
        <v>4</v>
      </c>
      <c r="E15" s="11">
        <f t="shared" ca="1" si="1"/>
        <v>0</v>
      </c>
    </row>
    <row r="16" spans="1:5" x14ac:dyDescent="0.25">
      <c r="A16" s="4">
        <f ca="1">INDEX(Stations,INT((ROWS(A$2:A16)-1)/(DATE(YEAR(Invoer!$A$5),12,31)-DATE(YEAR(Invoer!$A$5),1,1)+1))+2,1)</f>
        <v>32</v>
      </c>
      <c r="B16" t="str">
        <f ca="1">TEXT(DATE(YEAR(Invoer!$A$5),1,1)+MOD(ROWS(B$2:B16)-1,DATE(YEAR(Invoer!$A$5),12,31)-DATE(YEAR(Invoer!$A$5),1,1)+1),"jjjjmmdd")</f>
        <v>19370115</v>
      </c>
      <c r="C16" s="5">
        <v>1</v>
      </c>
      <c r="D16" s="10">
        <f t="shared" ca="1" si="0"/>
        <v>82</v>
      </c>
      <c r="E16" s="11">
        <f t="shared" ca="1" si="1"/>
        <v>0</v>
      </c>
    </row>
    <row r="17" spans="1:5" x14ac:dyDescent="0.25">
      <c r="A17" s="4">
        <f ca="1">INDEX(Stations,INT((ROWS(A$2:A17)-1)/(DATE(YEAR(Invoer!$A$5),12,31)-DATE(YEAR(Invoer!$A$5),1,1)+1))+2,1)</f>
        <v>32</v>
      </c>
      <c r="B17" t="str">
        <f ca="1">TEXT(DATE(YEAR(Invoer!$A$5),1,1)+MOD(ROWS(B$2:B17)-1,DATE(YEAR(Invoer!$A$5),12,31)-DATE(YEAR(Invoer!$A$5),1,1)+1),"jjjjmmdd")</f>
        <v>19370116</v>
      </c>
      <c r="C17" s="5">
        <v>1</v>
      </c>
      <c r="D17" s="10">
        <f t="shared" ca="1" si="0"/>
        <v>6</v>
      </c>
      <c r="E17" s="11">
        <f t="shared" ca="1" si="1"/>
        <v>0</v>
      </c>
    </row>
    <row r="18" spans="1:5" x14ac:dyDescent="0.25">
      <c r="A18" s="4">
        <f ca="1">INDEX(Stations,INT((ROWS(A$2:A18)-1)/(DATE(YEAR(Invoer!$A$5),12,31)-DATE(YEAR(Invoer!$A$5),1,1)+1))+2,1)</f>
        <v>32</v>
      </c>
      <c r="B18" t="str">
        <f ca="1">TEXT(DATE(YEAR(Invoer!$A$5),1,1)+MOD(ROWS(B$2:B18)-1,DATE(YEAR(Invoer!$A$5),12,31)-DATE(YEAR(Invoer!$A$5),1,1)+1),"jjjjmmdd")</f>
        <v>19370117</v>
      </c>
      <c r="C18" s="5">
        <v>1</v>
      </c>
      <c r="D18" s="10">
        <f t="shared" ca="1" si="0"/>
        <v>0</v>
      </c>
      <c r="E18" s="11">
        <f t="shared" ca="1" si="1"/>
        <v>0</v>
      </c>
    </row>
    <row r="19" spans="1:5" x14ac:dyDescent="0.25">
      <c r="A19" s="4">
        <f ca="1">INDEX(Stations,INT((ROWS(A$2:A19)-1)/(DATE(YEAR(Invoer!$A$5),12,31)-DATE(YEAR(Invoer!$A$5),1,1)+1))+2,1)</f>
        <v>32</v>
      </c>
      <c r="B19" t="str">
        <f ca="1">TEXT(DATE(YEAR(Invoer!$A$5),1,1)+MOD(ROWS(B$2:B19)-1,DATE(YEAR(Invoer!$A$5),12,31)-DATE(YEAR(Invoer!$A$5),1,1)+1),"jjjjmmdd")</f>
        <v>19370118</v>
      </c>
      <c r="C19" s="5">
        <v>1</v>
      </c>
      <c r="D19" s="10">
        <f t="shared" ca="1" si="0"/>
        <v>6</v>
      </c>
      <c r="E19" s="11">
        <f t="shared" ca="1" si="1"/>
        <v>0</v>
      </c>
    </row>
    <row r="20" spans="1:5" x14ac:dyDescent="0.25">
      <c r="A20" s="4">
        <f ca="1">INDEX(Stations,INT((ROWS(A$2:A20)-1)/(DATE(YEAR(Invoer!$A$5),12,31)-DATE(YEAR(Invoer!$A$5),1,1)+1))+2,1)</f>
        <v>32</v>
      </c>
      <c r="B20" t="str">
        <f ca="1">TEXT(DATE(YEAR(Invoer!$A$5),1,1)+MOD(ROWS(B$2:B20)-1,DATE(YEAR(Invoer!$A$5),12,31)-DATE(YEAR(Invoer!$A$5),1,1)+1),"jjjjmmdd")</f>
        <v>19370119</v>
      </c>
      <c r="C20" s="5">
        <v>1</v>
      </c>
      <c r="D20" s="10">
        <f t="shared" ca="1" si="0"/>
        <v>63</v>
      </c>
      <c r="E20" s="11">
        <f t="shared" ca="1" si="1"/>
        <v>0</v>
      </c>
    </row>
    <row r="21" spans="1:5" x14ac:dyDescent="0.25">
      <c r="A21" s="4">
        <f ca="1">INDEX(Stations,INT((ROWS(A$2:A21)-1)/(DATE(YEAR(Invoer!$A$5),12,31)-DATE(YEAR(Invoer!$A$5),1,1)+1))+2,1)</f>
        <v>32</v>
      </c>
      <c r="B21" t="str">
        <f ca="1">TEXT(DATE(YEAR(Invoer!$A$5),1,1)+MOD(ROWS(B$2:B21)-1,DATE(YEAR(Invoer!$A$5),12,31)-DATE(YEAR(Invoer!$A$5),1,1)+1),"jjjjmmdd")</f>
        <v>19370120</v>
      </c>
      <c r="C21" s="5">
        <v>1</v>
      </c>
      <c r="D21" s="10">
        <f t="shared" ca="1" si="0"/>
        <v>28</v>
      </c>
      <c r="E21" s="11">
        <f t="shared" ca="1" si="1"/>
        <v>0</v>
      </c>
    </row>
    <row r="22" spans="1:5" x14ac:dyDescent="0.25">
      <c r="A22" s="4">
        <f ca="1">INDEX(Stations,INT((ROWS(A$2:A22)-1)/(DATE(YEAR(Invoer!$A$5),12,31)-DATE(YEAR(Invoer!$A$5),1,1)+1))+2,1)</f>
        <v>32</v>
      </c>
      <c r="B22" t="str">
        <f ca="1">TEXT(DATE(YEAR(Invoer!$A$5),1,1)+MOD(ROWS(B$2:B22)-1,DATE(YEAR(Invoer!$A$5),12,31)-DATE(YEAR(Invoer!$A$5),1,1)+1),"jjjjmmdd")</f>
        <v>19370121</v>
      </c>
      <c r="C22" s="5">
        <v>1</v>
      </c>
      <c r="D22" s="10">
        <f t="shared" ca="1" si="0"/>
        <v>42</v>
      </c>
      <c r="E22" s="11">
        <f t="shared" ca="1" si="1"/>
        <v>0</v>
      </c>
    </row>
    <row r="23" spans="1:5" x14ac:dyDescent="0.25">
      <c r="A23" s="4">
        <f ca="1">INDEX(Stations,INT((ROWS(A$2:A23)-1)/(DATE(YEAR(Invoer!$A$5),12,31)-DATE(YEAR(Invoer!$A$5),1,1)+1))+2,1)</f>
        <v>32</v>
      </c>
      <c r="B23" t="str">
        <f ca="1">TEXT(DATE(YEAR(Invoer!$A$5),1,1)+MOD(ROWS(B$2:B23)-1,DATE(YEAR(Invoer!$A$5),12,31)-DATE(YEAR(Invoer!$A$5),1,1)+1),"jjjjmmdd")</f>
        <v>19370122</v>
      </c>
      <c r="C23" s="5">
        <v>1</v>
      </c>
      <c r="D23" s="10">
        <f t="shared" ca="1" si="0"/>
        <v>62</v>
      </c>
      <c r="E23" s="11">
        <f t="shared" ca="1" si="1"/>
        <v>0</v>
      </c>
    </row>
    <row r="24" spans="1:5" x14ac:dyDescent="0.25">
      <c r="A24" s="4">
        <f ca="1">INDEX(Stations,INT((ROWS(A$2:A24)-1)/(DATE(YEAR(Invoer!$A$5),12,31)-DATE(YEAR(Invoer!$A$5),1,1)+1))+2,1)</f>
        <v>32</v>
      </c>
      <c r="B24" t="str">
        <f ca="1">TEXT(DATE(YEAR(Invoer!$A$5),1,1)+MOD(ROWS(B$2:B24)-1,DATE(YEAR(Invoer!$A$5),12,31)-DATE(YEAR(Invoer!$A$5),1,1)+1),"jjjjmmdd")</f>
        <v>19370123</v>
      </c>
      <c r="C24" s="5">
        <v>1</v>
      </c>
      <c r="D24" s="10">
        <f t="shared" ca="1" si="0"/>
        <v>8</v>
      </c>
      <c r="E24" s="11">
        <f t="shared" ca="1" si="1"/>
        <v>0</v>
      </c>
    </row>
    <row r="25" spans="1:5" x14ac:dyDescent="0.25">
      <c r="A25" s="4">
        <f ca="1">INDEX(Stations,INT((ROWS(A$2:A25)-1)/(DATE(YEAR(Invoer!$A$5),12,31)-DATE(YEAR(Invoer!$A$5),1,1)+1))+2,1)</f>
        <v>32</v>
      </c>
      <c r="B25" t="str">
        <f ca="1">TEXT(DATE(YEAR(Invoer!$A$5),1,1)+MOD(ROWS(B$2:B25)-1,DATE(YEAR(Invoer!$A$5),12,31)-DATE(YEAR(Invoer!$A$5),1,1)+1),"jjjjmmdd")</f>
        <v>19370124</v>
      </c>
      <c r="C25" s="5">
        <v>1</v>
      </c>
      <c r="D25" s="10">
        <f t="shared" ca="1" si="0"/>
        <v>0</v>
      </c>
      <c r="E25" s="11">
        <f t="shared" ca="1" si="1"/>
        <v>0</v>
      </c>
    </row>
    <row r="26" spans="1:5" x14ac:dyDescent="0.25">
      <c r="A26" s="4">
        <f ca="1">INDEX(Stations,INT((ROWS(A$2:A26)-1)/(DATE(YEAR(Invoer!$A$5),12,31)-DATE(YEAR(Invoer!$A$5),1,1)+1))+2,1)</f>
        <v>32</v>
      </c>
      <c r="B26" t="str">
        <f ca="1">TEXT(DATE(YEAR(Invoer!$A$5),1,1)+MOD(ROWS(B$2:B26)-1,DATE(YEAR(Invoer!$A$5),12,31)-DATE(YEAR(Invoer!$A$5),1,1)+1),"jjjjmmdd")</f>
        <v>19370125</v>
      </c>
      <c r="C26" s="5">
        <v>1</v>
      </c>
      <c r="D26" s="10">
        <f t="shared" ca="1" si="0"/>
        <v>0</v>
      </c>
      <c r="E26" s="11">
        <f t="shared" ca="1" si="1"/>
        <v>0</v>
      </c>
    </row>
    <row r="27" spans="1:5" x14ac:dyDescent="0.25">
      <c r="A27" s="4">
        <f ca="1">INDEX(Stations,INT((ROWS(A$2:A27)-1)/(DATE(YEAR(Invoer!$A$5),12,31)-DATE(YEAR(Invoer!$A$5),1,1)+1))+2,1)</f>
        <v>32</v>
      </c>
      <c r="B27" t="str">
        <f ca="1">TEXT(DATE(YEAR(Invoer!$A$5),1,1)+MOD(ROWS(B$2:B27)-1,DATE(YEAR(Invoer!$A$5),12,31)-DATE(YEAR(Invoer!$A$5),1,1)+1),"jjjjmmdd")</f>
        <v>19370126</v>
      </c>
      <c r="C27" s="5">
        <v>1</v>
      </c>
      <c r="D27" s="10">
        <f t="shared" ca="1" si="0"/>
        <v>0</v>
      </c>
      <c r="E27" s="11">
        <f t="shared" ca="1" si="1"/>
        <v>0</v>
      </c>
    </row>
    <row r="28" spans="1:5" x14ac:dyDescent="0.25">
      <c r="A28" s="4">
        <f ca="1">INDEX(Stations,INT((ROWS(A$2:A28)-1)/(DATE(YEAR(Invoer!$A$5),12,31)-DATE(YEAR(Invoer!$A$5),1,1)+1))+2,1)</f>
        <v>32</v>
      </c>
      <c r="B28" t="str">
        <f ca="1">TEXT(DATE(YEAR(Invoer!$A$5),1,1)+MOD(ROWS(B$2:B28)-1,DATE(YEAR(Invoer!$A$5),12,31)-DATE(YEAR(Invoer!$A$5),1,1)+1),"jjjjmmdd")</f>
        <v>19370127</v>
      </c>
      <c r="C28" s="5">
        <v>1</v>
      </c>
      <c r="D28" s="10">
        <f t="shared" ca="1" si="0"/>
        <v>0</v>
      </c>
      <c r="E28" s="11">
        <f t="shared" ca="1" si="1"/>
        <v>0</v>
      </c>
    </row>
    <row r="29" spans="1:5" x14ac:dyDescent="0.25">
      <c r="A29" s="4">
        <f ca="1">INDEX(Stations,INT((ROWS(A$2:A29)-1)/(DATE(YEAR(Invoer!$A$5),12,31)-DATE(YEAR(Invoer!$A$5),1,1)+1))+2,1)</f>
        <v>32</v>
      </c>
      <c r="B29" t="str">
        <f ca="1">TEXT(DATE(YEAR(Invoer!$A$5),1,1)+MOD(ROWS(B$2:B29)-1,DATE(YEAR(Invoer!$A$5),12,31)-DATE(YEAR(Invoer!$A$5),1,1)+1),"jjjjmmdd")</f>
        <v>19370128</v>
      </c>
      <c r="C29" s="5">
        <v>1</v>
      </c>
      <c r="D29" s="10">
        <f t="shared" ca="1" si="0"/>
        <v>0</v>
      </c>
      <c r="E29" s="11">
        <f t="shared" ca="1" si="1"/>
        <v>0</v>
      </c>
    </row>
    <row r="30" spans="1:5" x14ac:dyDescent="0.25">
      <c r="A30" s="4">
        <f ca="1">INDEX(Stations,INT((ROWS(A$2:A30)-1)/(DATE(YEAR(Invoer!$A$5),12,31)-DATE(YEAR(Invoer!$A$5),1,1)+1))+2,1)</f>
        <v>32</v>
      </c>
      <c r="B30" t="str">
        <f ca="1">TEXT(DATE(YEAR(Invoer!$A$5),1,1)+MOD(ROWS(B$2:B30)-1,DATE(YEAR(Invoer!$A$5),12,31)-DATE(YEAR(Invoer!$A$5),1,1)+1),"jjjjmmdd")</f>
        <v>19370129</v>
      </c>
      <c r="C30" s="5">
        <v>1</v>
      </c>
      <c r="D30" s="10">
        <f t="shared" ca="1" si="0"/>
        <v>16</v>
      </c>
      <c r="E30" s="11">
        <f t="shared" ca="1" si="1"/>
        <v>0</v>
      </c>
    </row>
    <row r="31" spans="1:5" x14ac:dyDescent="0.25">
      <c r="A31" s="4">
        <f ca="1">INDEX(Stations,INT((ROWS(A$2:A31)-1)/(DATE(YEAR(Invoer!$A$5),12,31)-DATE(YEAR(Invoer!$A$5),1,1)+1))+2,1)</f>
        <v>32</v>
      </c>
      <c r="B31" t="str">
        <f ca="1">TEXT(DATE(YEAR(Invoer!$A$5),1,1)+MOD(ROWS(B$2:B31)-1,DATE(YEAR(Invoer!$A$5),12,31)-DATE(YEAR(Invoer!$A$5),1,1)+1),"jjjjmmdd")</f>
        <v>19370130</v>
      </c>
      <c r="C31" s="5">
        <v>1</v>
      </c>
      <c r="D31" s="10">
        <f t="shared" ca="1" si="0"/>
        <v>24</v>
      </c>
      <c r="E31" s="11">
        <f t="shared" ca="1" si="1"/>
        <v>0</v>
      </c>
    </row>
    <row r="32" spans="1:5" x14ac:dyDescent="0.25">
      <c r="A32" s="4">
        <f ca="1">INDEX(Stations,INT((ROWS(A$2:A32)-1)/(DATE(YEAR(Invoer!$A$5),12,31)-DATE(YEAR(Invoer!$A$5),1,1)+1))+2,1)</f>
        <v>32</v>
      </c>
      <c r="B32" t="str">
        <f ca="1">TEXT(DATE(YEAR(Invoer!$A$5),1,1)+MOD(ROWS(B$2:B32)-1,DATE(YEAR(Invoer!$A$5),12,31)-DATE(YEAR(Invoer!$A$5),1,1)+1),"jjjjmmdd")</f>
        <v>19370131</v>
      </c>
      <c r="C32" s="5">
        <v>1</v>
      </c>
      <c r="D32" s="10">
        <f t="shared" ca="1" si="0"/>
        <v>0</v>
      </c>
      <c r="E32" s="11">
        <f t="shared" ca="1" si="1"/>
        <v>0</v>
      </c>
    </row>
    <row r="33" spans="1:5" x14ac:dyDescent="0.25">
      <c r="A33" s="4">
        <f ca="1">INDEX(Stations,INT((ROWS(A$2:A33)-1)/(DATE(YEAR(Invoer!$A$5),12,31)-DATE(YEAR(Invoer!$A$5),1,1)+1))+2,1)</f>
        <v>32</v>
      </c>
      <c r="B33" t="str">
        <f ca="1">TEXT(DATE(YEAR(Invoer!$A$5),1,1)+MOD(ROWS(B$2:B33)-1,DATE(YEAR(Invoer!$A$5),12,31)-DATE(YEAR(Invoer!$A$5),1,1)+1),"jjjjmmdd")</f>
        <v>19370201</v>
      </c>
      <c r="C33" s="5">
        <v>1</v>
      </c>
      <c r="D33" s="10">
        <f t="shared" ca="1" si="0"/>
        <v>0</v>
      </c>
      <c r="E33" s="11">
        <f t="shared" ca="1" si="1"/>
        <v>0</v>
      </c>
    </row>
    <row r="34" spans="1:5" x14ac:dyDescent="0.25">
      <c r="A34" s="4">
        <f ca="1">INDEX(Stations,INT((ROWS(A$2:A34)-1)/(DATE(YEAR(Invoer!$A$5),12,31)-DATE(YEAR(Invoer!$A$5),1,1)+1))+2,1)</f>
        <v>32</v>
      </c>
      <c r="B34" t="str">
        <f ca="1">TEXT(DATE(YEAR(Invoer!$A$5),1,1)+MOD(ROWS(B$2:B34)-1,DATE(YEAR(Invoer!$A$5),12,31)-DATE(YEAR(Invoer!$A$5),1,1)+1),"jjjjmmdd")</f>
        <v>19370202</v>
      </c>
      <c r="C34" s="5">
        <v>1</v>
      </c>
      <c r="D34" s="10">
        <f t="shared" ca="1" si="0"/>
        <v>12</v>
      </c>
      <c r="E34" s="11">
        <f t="shared" ca="1" si="1"/>
        <v>0</v>
      </c>
    </row>
    <row r="35" spans="1:5" x14ac:dyDescent="0.25">
      <c r="A35" s="4">
        <f ca="1">INDEX(Stations,INT((ROWS(A$2:A35)-1)/(DATE(YEAR(Invoer!$A$5),12,31)-DATE(YEAR(Invoer!$A$5),1,1)+1))+2,1)</f>
        <v>32</v>
      </c>
      <c r="B35" t="str">
        <f ca="1">TEXT(DATE(YEAR(Invoer!$A$5),1,1)+MOD(ROWS(B$2:B35)-1,DATE(YEAR(Invoer!$A$5),12,31)-DATE(YEAR(Invoer!$A$5),1,1)+1),"jjjjmmdd")</f>
        <v>19370203</v>
      </c>
      <c r="C35" s="5">
        <v>1</v>
      </c>
      <c r="D35" s="10">
        <f t="shared" ca="1" si="0"/>
        <v>0</v>
      </c>
      <c r="E35" s="11">
        <f t="shared" ca="1" si="1"/>
        <v>0</v>
      </c>
    </row>
    <row r="36" spans="1:5" x14ac:dyDescent="0.25">
      <c r="A36" s="4">
        <f ca="1">INDEX(Stations,INT((ROWS(A$2:A36)-1)/(DATE(YEAR(Invoer!$A$5),12,31)-DATE(YEAR(Invoer!$A$5),1,1)+1))+2,1)</f>
        <v>32</v>
      </c>
      <c r="B36" t="str">
        <f ca="1">TEXT(DATE(YEAR(Invoer!$A$5),1,1)+MOD(ROWS(B$2:B36)-1,DATE(YEAR(Invoer!$A$5),12,31)-DATE(YEAR(Invoer!$A$5),1,1)+1),"jjjjmmdd")</f>
        <v>19370204</v>
      </c>
      <c r="C36" s="5">
        <v>1</v>
      </c>
      <c r="D36" s="10">
        <f t="shared" ca="1" si="0"/>
        <v>0</v>
      </c>
      <c r="E36" s="11">
        <f t="shared" ca="1" si="1"/>
        <v>0</v>
      </c>
    </row>
    <row r="37" spans="1:5" x14ac:dyDescent="0.25">
      <c r="A37" s="4">
        <f ca="1">INDEX(Stations,INT((ROWS(A$2:A37)-1)/(DATE(YEAR(Invoer!$A$5),12,31)-DATE(YEAR(Invoer!$A$5),1,1)+1))+2,1)</f>
        <v>32</v>
      </c>
      <c r="B37" t="str">
        <f ca="1">TEXT(DATE(YEAR(Invoer!$A$5),1,1)+MOD(ROWS(B$2:B37)-1,DATE(YEAR(Invoer!$A$5),12,31)-DATE(YEAR(Invoer!$A$5),1,1)+1),"jjjjmmdd")</f>
        <v>19370205</v>
      </c>
      <c r="C37" s="5">
        <v>1</v>
      </c>
      <c r="D37" s="10">
        <f t="shared" ca="1" si="0"/>
        <v>58</v>
      </c>
      <c r="E37" s="11">
        <f t="shared" ca="1" si="1"/>
        <v>0</v>
      </c>
    </row>
    <row r="38" spans="1:5" x14ac:dyDescent="0.25">
      <c r="A38" s="4">
        <f ca="1">INDEX(Stations,INT((ROWS(A$2:A38)-1)/(DATE(YEAR(Invoer!$A$5),12,31)-DATE(YEAR(Invoer!$A$5),1,1)+1))+2,1)</f>
        <v>32</v>
      </c>
      <c r="B38" t="str">
        <f ca="1">TEXT(DATE(YEAR(Invoer!$A$5),1,1)+MOD(ROWS(B$2:B38)-1,DATE(YEAR(Invoer!$A$5),12,31)-DATE(YEAR(Invoer!$A$5),1,1)+1),"jjjjmmdd")</f>
        <v>19370206</v>
      </c>
      <c r="C38" s="5">
        <v>1</v>
      </c>
      <c r="D38" s="10">
        <f t="shared" ca="1" si="0"/>
        <v>0</v>
      </c>
      <c r="E38" s="11">
        <f t="shared" ca="1" si="1"/>
        <v>0</v>
      </c>
    </row>
    <row r="39" spans="1:5" x14ac:dyDescent="0.25">
      <c r="A39" s="4">
        <f ca="1">INDEX(Stations,INT((ROWS(A$2:A39)-1)/(DATE(YEAR(Invoer!$A$5),12,31)-DATE(YEAR(Invoer!$A$5),1,1)+1))+2,1)</f>
        <v>32</v>
      </c>
      <c r="B39" t="str">
        <f ca="1">TEXT(DATE(YEAR(Invoer!$A$5),1,1)+MOD(ROWS(B$2:B39)-1,DATE(YEAR(Invoer!$A$5),12,31)-DATE(YEAR(Invoer!$A$5),1,1)+1),"jjjjmmdd")</f>
        <v>19370207</v>
      </c>
      <c r="C39" s="5">
        <v>1</v>
      </c>
      <c r="D39" s="10">
        <f t="shared" ca="1" si="0"/>
        <v>0</v>
      </c>
      <c r="E39" s="11">
        <f t="shared" ca="1" si="1"/>
        <v>0</v>
      </c>
    </row>
    <row r="40" spans="1:5" x14ac:dyDescent="0.25">
      <c r="A40" s="4">
        <f ca="1">INDEX(Stations,INT((ROWS(A$2:A40)-1)/(DATE(YEAR(Invoer!$A$5),12,31)-DATE(YEAR(Invoer!$A$5),1,1)+1))+2,1)</f>
        <v>32</v>
      </c>
      <c r="B40" t="str">
        <f ca="1">TEXT(DATE(YEAR(Invoer!$A$5),1,1)+MOD(ROWS(B$2:B40)-1,DATE(YEAR(Invoer!$A$5),12,31)-DATE(YEAR(Invoer!$A$5),1,1)+1),"jjjjmmdd")</f>
        <v>19370208</v>
      </c>
      <c r="C40" s="5">
        <v>1</v>
      </c>
      <c r="D40" s="10">
        <f t="shared" ca="1" si="0"/>
        <v>0</v>
      </c>
      <c r="E40" s="11">
        <f t="shared" ca="1" si="1"/>
        <v>0</v>
      </c>
    </row>
    <row r="41" spans="1:5" x14ac:dyDescent="0.25">
      <c r="A41" s="4">
        <f ca="1">INDEX(Stations,INT((ROWS(A$2:A41)-1)/(DATE(YEAR(Invoer!$A$5),12,31)-DATE(YEAR(Invoer!$A$5),1,1)+1))+2,1)</f>
        <v>32</v>
      </c>
      <c r="B41" t="str">
        <f ca="1">TEXT(DATE(YEAR(Invoer!$A$5),1,1)+MOD(ROWS(B$2:B41)-1,DATE(YEAR(Invoer!$A$5),12,31)-DATE(YEAR(Invoer!$A$5),1,1)+1),"jjjjmmdd")</f>
        <v>19370209</v>
      </c>
      <c r="C41" s="5">
        <v>1</v>
      </c>
      <c r="D41" s="10">
        <f t="shared" ca="1" si="0"/>
        <v>0</v>
      </c>
      <c r="E41" s="11">
        <f t="shared" ca="1" si="1"/>
        <v>0</v>
      </c>
    </row>
    <row r="42" spans="1:5" x14ac:dyDescent="0.25">
      <c r="A42" s="4">
        <f ca="1">INDEX(Stations,INT((ROWS(A$2:A42)-1)/(DATE(YEAR(Invoer!$A$5),12,31)-DATE(YEAR(Invoer!$A$5),1,1)+1))+2,1)</f>
        <v>32</v>
      </c>
      <c r="B42" t="str">
        <f ca="1">TEXT(DATE(YEAR(Invoer!$A$5),1,1)+MOD(ROWS(B$2:B42)-1,DATE(YEAR(Invoer!$A$5),12,31)-DATE(YEAR(Invoer!$A$5),1,1)+1),"jjjjmmdd")</f>
        <v>19370210</v>
      </c>
      <c r="C42" s="5">
        <v>1</v>
      </c>
      <c r="D42" s="10">
        <f t="shared" ca="1" si="0"/>
        <v>0</v>
      </c>
      <c r="E42" s="11">
        <f t="shared" ca="1" si="1"/>
        <v>0</v>
      </c>
    </row>
    <row r="43" spans="1:5" x14ac:dyDescent="0.25">
      <c r="A43" s="4">
        <f ca="1">INDEX(Stations,INT((ROWS(A$2:A43)-1)/(DATE(YEAR(Invoer!$A$5),12,31)-DATE(YEAR(Invoer!$A$5),1,1)+1))+2,1)</f>
        <v>32</v>
      </c>
      <c r="B43" t="str">
        <f ca="1">TEXT(DATE(YEAR(Invoer!$A$5),1,1)+MOD(ROWS(B$2:B43)-1,DATE(YEAR(Invoer!$A$5),12,31)-DATE(YEAR(Invoer!$A$5),1,1)+1),"jjjjmmdd")</f>
        <v>19370211</v>
      </c>
      <c r="C43" s="5">
        <v>1</v>
      </c>
      <c r="D43" s="10">
        <f t="shared" ca="1" si="0"/>
        <v>0</v>
      </c>
      <c r="E43" s="11">
        <f t="shared" ca="1" si="1"/>
        <v>0</v>
      </c>
    </row>
    <row r="44" spans="1:5" x14ac:dyDescent="0.25">
      <c r="A44" s="4">
        <f ca="1">INDEX(Stations,INT((ROWS(A$2:A44)-1)/(DATE(YEAR(Invoer!$A$5),12,31)-DATE(YEAR(Invoer!$A$5),1,1)+1))+2,1)</f>
        <v>32</v>
      </c>
      <c r="B44" t="str">
        <f ca="1">TEXT(DATE(YEAR(Invoer!$A$5),1,1)+MOD(ROWS(B$2:B44)-1,DATE(YEAR(Invoer!$A$5),12,31)-DATE(YEAR(Invoer!$A$5),1,1)+1),"jjjjmmdd")</f>
        <v>19370212</v>
      </c>
      <c r="C44" s="5">
        <v>1</v>
      </c>
      <c r="D44" s="10">
        <f t="shared" ca="1" si="0"/>
        <v>0</v>
      </c>
      <c r="E44" s="11">
        <f t="shared" ca="1" si="1"/>
        <v>0</v>
      </c>
    </row>
    <row r="45" spans="1:5" x14ac:dyDescent="0.25">
      <c r="A45" s="4">
        <f ca="1">INDEX(Stations,INT((ROWS(A$2:A45)-1)/(DATE(YEAR(Invoer!$A$5),12,31)-DATE(YEAR(Invoer!$A$5),1,1)+1))+2,1)</f>
        <v>32</v>
      </c>
      <c r="B45" t="str">
        <f ca="1">TEXT(DATE(YEAR(Invoer!$A$5),1,1)+MOD(ROWS(B$2:B45)-1,DATE(YEAR(Invoer!$A$5),12,31)-DATE(YEAR(Invoer!$A$5),1,1)+1),"jjjjmmdd")</f>
        <v>19370213</v>
      </c>
      <c r="C45" s="5">
        <v>1</v>
      </c>
      <c r="D45" s="10">
        <f t="shared" ca="1" si="0"/>
        <v>8</v>
      </c>
      <c r="E45" s="11">
        <f t="shared" ca="1" si="1"/>
        <v>0</v>
      </c>
    </row>
    <row r="46" spans="1:5" x14ac:dyDescent="0.25">
      <c r="A46" s="4">
        <f ca="1">INDEX(Stations,INT((ROWS(A$2:A46)-1)/(DATE(YEAR(Invoer!$A$5),12,31)-DATE(YEAR(Invoer!$A$5),1,1)+1))+2,1)</f>
        <v>32</v>
      </c>
      <c r="B46" t="str">
        <f ca="1">TEXT(DATE(YEAR(Invoer!$A$5),1,1)+MOD(ROWS(B$2:B46)-1,DATE(YEAR(Invoer!$A$5),12,31)-DATE(YEAR(Invoer!$A$5),1,1)+1),"jjjjmmdd")</f>
        <v>19370214</v>
      </c>
      <c r="C46" s="5">
        <v>1</v>
      </c>
      <c r="D46" s="10">
        <f t="shared" ca="1" si="0"/>
        <v>0</v>
      </c>
      <c r="E46" s="11">
        <f t="shared" ca="1" si="1"/>
        <v>0</v>
      </c>
    </row>
    <row r="47" spans="1:5" x14ac:dyDescent="0.25">
      <c r="A47" s="4">
        <f ca="1">INDEX(Stations,INT((ROWS(A$2:A47)-1)/(DATE(YEAR(Invoer!$A$5),12,31)-DATE(YEAR(Invoer!$A$5),1,1)+1))+2,1)</f>
        <v>32</v>
      </c>
      <c r="B47" t="str">
        <f ca="1">TEXT(DATE(YEAR(Invoer!$A$5),1,1)+MOD(ROWS(B$2:B47)-1,DATE(YEAR(Invoer!$A$5),12,31)-DATE(YEAR(Invoer!$A$5),1,1)+1),"jjjjmmdd")</f>
        <v>19370215</v>
      </c>
      <c r="C47" s="5">
        <v>1</v>
      </c>
      <c r="D47" s="10">
        <f t="shared" ca="1" si="0"/>
        <v>0</v>
      </c>
      <c r="E47" s="11">
        <f t="shared" ca="1" si="1"/>
        <v>0</v>
      </c>
    </row>
    <row r="48" spans="1:5" x14ac:dyDescent="0.25">
      <c r="A48" s="4">
        <f ca="1">INDEX(Stations,INT((ROWS(A$2:A48)-1)/(DATE(YEAR(Invoer!$A$5),12,31)-DATE(YEAR(Invoer!$A$5),1,1)+1))+2,1)</f>
        <v>32</v>
      </c>
      <c r="B48" t="str">
        <f ca="1">TEXT(DATE(YEAR(Invoer!$A$5),1,1)+MOD(ROWS(B$2:B48)-1,DATE(YEAR(Invoer!$A$5),12,31)-DATE(YEAR(Invoer!$A$5),1,1)+1),"jjjjmmdd")</f>
        <v>19370216</v>
      </c>
      <c r="C48" s="5">
        <v>1</v>
      </c>
      <c r="D48" s="10">
        <f t="shared" ca="1" si="0"/>
        <v>0</v>
      </c>
      <c r="E48" s="11">
        <f t="shared" ca="1" si="1"/>
        <v>0</v>
      </c>
    </row>
    <row r="49" spans="1:5" x14ac:dyDescent="0.25">
      <c r="A49" s="4">
        <f ca="1">INDEX(Stations,INT((ROWS(A$2:A49)-1)/(DATE(YEAR(Invoer!$A$5),12,31)-DATE(YEAR(Invoer!$A$5),1,1)+1))+2,1)</f>
        <v>32</v>
      </c>
      <c r="B49" t="str">
        <f ca="1">TEXT(DATE(YEAR(Invoer!$A$5),1,1)+MOD(ROWS(B$2:B49)-1,DATE(YEAR(Invoer!$A$5),12,31)-DATE(YEAR(Invoer!$A$5),1,1)+1),"jjjjmmdd")</f>
        <v>19370217</v>
      </c>
      <c r="C49" s="5">
        <v>1</v>
      </c>
      <c r="D49" s="10">
        <f t="shared" ca="1" si="0"/>
        <v>0</v>
      </c>
      <c r="E49" s="11">
        <f t="shared" ca="1" si="1"/>
        <v>0</v>
      </c>
    </row>
    <row r="50" spans="1:5" x14ac:dyDescent="0.25">
      <c r="A50" s="4">
        <f ca="1">INDEX(Stations,INT((ROWS(A$2:A50)-1)/(DATE(YEAR(Invoer!$A$5),12,31)-DATE(YEAR(Invoer!$A$5),1,1)+1))+2,1)</f>
        <v>32</v>
      </c>
      <c r="B50" t="str">
        <f ca="1">TEXT(DATE(YEAR(Invoer!$A$5),1,1)+MOD(ROWS(B$2:B50)-1,DATE(YEAR(Invoer!$A$5),12,31)-DATE(YEAR(Invoer!$A$5),1,1)+1),"jjjjmmdd")</f>
        <v>19370218</v>
      </c>
      <c r="C50" s="5">
        <v>1</v>
      </c>
      <c r="D50" s="10">
        <f t="shared" ca="1" si="0"/>
        <v>0</v>
      </c>
      <c r="E50" s="11">
        <f t="shared" ca="1" si="1"/>
        <v>0</v>
      </c>
    </row>
    <row r="51" spans="1:5" x14ac:dyDescent="0.25">
      <c r="A51" s="4">
        <f ca="1">INDEX(Stations,INT((ROWS(A$2:A51)-1)/(DATE(YEAR(Invoer!$A$5),12,31)-DATE(YEAR(Invoer!$A$5),1,1)+1))+2,1)</f>
        <v>32</v>
      </c>
      <c r="B51" t="str">
        <f ca="1">TEXT(DATE(YEAR(Invoer!$A$5),1,1)+MOD(ROWS(B$2:B51)-1,DATE(YEAR(Invoer!$A$5),12,31)-DATE(YEAR(Invoer!$A$5),1,1)+1),"jjjjmmdd")</f>
        <v>19370219</v>
      </c>
      <c r="C51" s="5">
        <v>1</v>
      </c>
      <c r="D51" s="10">
        <f t="shared" ca="1" si="0"/>
        <v>0</v>
      </c>
      <c r="E51" s="11">
        <f t="shared" ca="1" si="1"/>
        <v>0</v>
      </c>
    </row>
    <row r="52" spans="1:5" x14ac:dyDescent="0.25">
      <c r="A52" s="4">
        <f ca="1">INDEX(Stations,INT((ROWS(A$2:A52)-1)/(DATE(YEAR(Invoer!$A$5),12,31)-DATE(YEAR(Invoer!$A$5),1,1)+1))+2,1)</f>
        <v>32</v>
      </c>
      <c r="B52" t="str">
        <f ca="1">TEXT(DATE(YEAR(Invoer!$A$5),1,1)+MOD(ROWS(B$2:B52)-1,DATE(YEAR(Invoer!$A$5),12,31)-DATE(YEAR(Invoer!$A$5),1,1)+1),"jjjjmmdd")</f>
        <v>19370220</v>
      </c>
      <c r="C52" s="5">
        <v>1</v>
      </c>
      <c r="D52" s="10">
        <f t="shared" ca="1" si="0"/>
        <v>0</v>
      </c>
      <c r="E52" s="11">
        <f t="shared" ca="1" si="1"/>
        <v>0</v>
      </c>
    </row>
    <row r="53" spans="1:5" x14ac:dyDescent="0.25">
      <c r="A53" s="4">
        <f ca="1">INDEX(Stations,INT((ROWS(A$2:A53)-1)/(DATE(YEAR(Invoer!$A$5),12,31)-DATE(YEAR(Invoer!$A$5),1,1)+1))+2,1)</f>
        <v>32</v>
      </c>
      <c r="B53" t="str">
        <f ca="1">TEXT(DATE(YEAR(Invoer!$A$5),1,1)+MOD(ROWS(B$2:B53)-1,DATE(YEAR(Invoer!$A$5),12,31)-DATE(YEAR(Invoer!$A$5),1,1)+1),"jjjjmmdd")</f>
        <v>19370221</v>
      </c>
      <c r="C53" s="5">
        <v>1</v>
      </c>
      <c r="D53" s="10">
        <f t="shared" ca="1" si="0"/>
        <v>0</v>
      </c>
      <c r="E53" s="11">
        <f t="shared" ca="1" si="1"/>
        <v>0</v>
      </c>
    </row>
    <row r="54" spans="1:5" x14ac:dyDescent="0.25">
      <c r="A54" s="4">
        <f ca="1">INDEX(Stations,INT((ROWS(A$2:A54)-1)/(DATE(YEAR(Invoer!$A$5),12,31)-DATE(YEAR(Invoer!$A$5),1,1)+1))+2,1)</f>
        <v>32</v>
      </c>
      <c r="B54" t="str">
        <f ca="1">TEXT(DATE(YEAR(Invoer!$A$5),1,1)+MOD(ROWS(B$2:B54)-1,DATE(YEAR(Invoer!$A$5),12,31)-DATE(YEAR(Invoer!$A$5),1,1)+1),"jjjjmmdd")</f>
        <v>19370222</v>
      </c>
      <c r="C54" s="5">
        <v>1</v>
      </c>
      <c r="D54" s="10">
        <f t="shared" ca="1" si="0"/>
        <v>0</v>
      </c>
      <c r="E54" s="11">
        <f t="shared" ca="1" si="1"/>
        <v>0</v>
      </c>
    </row>
    <row r="55" spans="1:5" x14ac:dyDescent="0.25">
      <c r="A55" s="4">
        <f ca="1">INDEX(Stations,INT((ROWS(A$2:A55)-1)/(DATE(YEAR(Invoer!$A$5),12,31)-DATE(YEAR(Invoer!$A$5),1,1)+1))+2,1)</f>
        <v>32</v>
      </c>
      <c r="B55" t="str">
        <f ca="1">TEXT(DATE(YEAR(Invoer!$A$5),1,1)+MOD(ROWS(B$2:B55)-1,DATE(YEAR(Invoer!$A$5),12,31)-DATE(YEAR(Invoer!$A$5),1,1)+1),"jjjjmmdd")</f>
        <v>19370223</v>
      </c>
      <c r="C55" s="5">
        <v>1</v>
      </c>
      <c r="D55" s="10">
        <f t="shared" ca="1" si="0"/>
        <v>12</v>
      </c>
      <c r="E55" s="11">
        <f t="shared" ca="1" si="1"/>
        <v>0</v>
      </c>
    </row>
    <row r="56" spans="1:5" x14ac:dyDescent="0.25">
      <c r="A56" s="4">
        <f ca="1">INDEX(Stations,INT((ROWS(A$2:A56)-1)/(DATE(YEAR(Invoer!$A$5),12,31)-DATE(YEAR(Invoer!$A$5),1,1)+1))+2,1)</f>
        <v>32</v>
      </c>
      <c r="B56" t="str">
        <f ca="1">TEXT(DATE(YEAR(Invoer!$A$5),1,1)+MOD(ROWS(B$2:B56)-1,DATE(YEAR(Invoer!$A$5),12,31)-DATE(YEAR(Invoer!$A$5),1,1)+1),"jjjjmmdd")</f>
        <v>19370224</v>
      </c>
      <c r="C56" s="5">
        <v>1</v>
      </c>
      <c r="D56" s="10">
        <f t="shared" ca="1" si="0"/>
        <v>0</v>
      </c>
      <c r="E56" s="11">
        <f t="shared" ca="1" si="1"/>
        <v>0</v>
      </c>
    </row>
    <row r="57" spans="1:5" x14ac:dyDescent="0.25">
      <c r="A57" s="4">
        <f ca="1">INDEX(Stations,INT((ROWS(A$2:A57)-1)/(DATE(YEAR(Invoer!$A$5),12,31)-DATE(YEAR(Invoer!$A$5),1,1)+1))+2,1)</f>
        <v>32</v>
      </c>
      <c r="B57" t="str">
        <f ca="1">TEXT(DATE(YEAR(Invoer!$A$5),1,1)+MOD(ROWS(B$2:B57)-1,DATE(YEAR(Invoer!$A$5),12,31)-DATE(YEAR(Invoer!$A$5),1,1)+1),"jjjjmmdd")</f>
        <v>19370225</v>
      </c>
      <c r="C57" s="5">
        <v>1</v>
      </c>
      <c r="D57" s="10">
        <f t="shared" ca="1" si="0"/>
        <v>0</v>
      </c>
      <c r="E57" s="11">
        <f t="shared" ca="1" si="1"/>
        <v>0</v>
      </c>
    </row>
    <row r="58" spans="1:5" x14ac:dyDescent="0.25">
      <c r="A58" s="4">
        <f ca="1">INDEX(Stations,INT((ROWS(A$2:A58)-1)/(DATE(YEAR(Invoer!$A$5),12,31)-DATE(YEAR(Invoer!$A$5),1,1)+1))+2,1)</f>
        <v>32</v>
      </c>
      <c r="B58" t="str">
        <f ca="1">TEXT(DATE(YEAR(Invoer!$A$5),1,1)+MOD(ROWS(B$2:B58)-1,DATE(YEAR(Invoer!$A$5),12,31)-DATE(YEAR(Invoer!$A$5),1,1)+1),"jjjjmmdd")</f>
        <v>19370226</v>
      </c>
      <c r="C58" s="5">
        <v>1</v>
      </c>
      <c r="D58" s="10">
        <f t="shared" ca="1" si="0"/>
        <v>0</v>
      </c>
      <c r="E58" s="11">
        <f t="shared" ca="1" si="1"/>
        <v>0</v>
      </c>
    </row>
    <row r="59" spans="1:5" x14ac:dyDescent="0.25">
      <c r="A59" s="4">
        <f ca="1">INDEX(Stations,INT((ROWS(A$2:A59)-1)/(DATE(YEAR(Invoer!$A$5),12,31)-DATE(YEAR(Invoer!$A$5),1,1)+1))+2,1)</f>
        <v>32</v>
      </c>
      <c r="B59" t="str">
        <f ca="1">TEXT(DATE(YEAR(Invoer!$A$5),1,1)+MOD(ROWS(B$2:B59)-1,DATE(YEAR(Invoer!$A$5),12,31)-DATE(YEAR(Invoer!$A$5),1,1)+1),"jjjjmmdd")</f>
        <v>19370227</v>
      </c>
      <c r="C59" s="5">
        <v>1</v>
      </c>
      <c r="D59" s="10">
        <f t="shared" ca="1" si="0"/>
        <v>0</v>
      </c>
      <c r="E59" s="11">
        <f t="shared" ca="1" si="1"/>
        <v>0</v>
      </c>
    </row>
    <row r="60" spans="1:5" x14ac:dyDescent="0.25">
      <c r="A60" s="4">
        <f ca="1">INDEX(Stations,INT((ROWS(A$2:A60)-1)/(DATE(YEAR(Invoer!$A$5),12,31)-DATE(YEAR(Invoer!$A$5),1,1)+1))+2,1)</f>
        <v>32</v>
      </c>
      <c r="B60" t="str">
        <f ca="1">TEXT(DATE(YEAR(Invoer!$A$5),1,1)+MOD(ROWS(B$2:B60)-1,DATE(YEAR(Invoer!$A$5),12,31)-DATE(YEAR(Invoer!$A$5),1,1)+1),"jjjjmmdd")</f>
        <v>19370228</v>
      </c>
      <c r="C60" s="5">
        <v>1</v>
      </c>
      <c r="D60" s="10">
        <f t="shared" ca="1" si="0"/>
        <v>0</v>
      </c>
      <c r="E60" s="11">
        <f t="shared" ca="1" si="1"/>
        <v>0</v>
      </c>
    </row>
    <row r="61" spans="1:5" x14ac:dyDescent="0.25">
      <c r="A61" s="4">
        <f ca="1">INDEX(Stations,INT((ROWS(A$2:A61)-1)/(DATE(YEAR(Invoer!$A$5),12,31)-DATE(YEAR(Invoer!$A$5),1,1)+1))+2,1)</f>
        <v>32</v>
      </c>
      <c r="B61" t="str">
        <f ca="1">TEXT(DATE(YEAR(Invoer!$A$5),1,1)+MOD(ROWS(B$2:B61)-1,DATE(YEAR(Invoer!$A$5),12,31)-DATE(YEAR(Invoer!$A$5),1,1)+1),"jjjjmmdd")</f>
        <v>19370301</v>
      </c>
      <c r="C61" s="5">
        <v>1</v>
      </c>
      <c r="D61" s="10">
        <f t="shared" ca="1" si="0"/>
        <v>0</v>
      </c>
      <c r="E61" s="11">
        <f t="shared" ca="1" si="1"/>
        <v>0</v>
      </c>
    </row>
    <row r="62" spans="1:5" x14ac:dyDescent="0.25">
      <c r="A62" s="4">
        <f ca="1">INDEX(Stations,INT((ROWS(A$2:A62)-1)/(DATE(YEAR(Invoer!$A$5),12,31)-DATE(YEAR(Invoer!$A$5),1,1)+1))+2,1)</f>
        <v>32</v>
      </c>
      <c r="B62" t="str">
        <f ca="1">TEXT(DATE(YEAR(Invoer!$A$5),1,1)+MOD(ROWS(B$2:B62)-1,DATE(YEAR(Invoer!$A$5),12,31)-DATE(YEAR(Invoer!$A$5),1,1)+1),"jjjjmmdd")</f>
        <v>19370302</v>
      </c>
      <c r="C62" s="5">
        <v>1</v>
      </c>
      <c r="D62" s="10">
        <f t="shared" ca="1" si="0"/>
        <v>0</v>
      </c>
      <c r="E62" s="11">
        <f t="shared" ca="1" si="1"/>
        <v>0</v>
      </c>
    </row>
    <row r="63" spans="1:5" x14ac:dyDescent="0.25">
      <c r="A63" s="4">
        <f ca="1">INDEX(Stations,INT((ROWS(A$2:A63)-1)/(DATE(YEAR(Invoer!$A$5),12,31)-DATE(YEAR(Invoer!$A$5),1,1)+1))+2,1)</f>
        <v>32</v>
      </c>
      <c r="B63" t="str">
        <f ca="1">TEXT(DATE(YEAR(Invoer!$A$5),1,1)+MOD(ROWS(B$2:B63)-1,DATE(YEAR(Invoer!$A$5),12,31)-DATE(YEAR(Invoer!$A$5),1,1)+1),"jjjjmmdd")</f>
        <v>19370303</v>
      </c>
      <c r="C63" s="5">
        <v>1</v>
      </c>
      <c r="D63" s="10">
        <f t="shared" ca="1" si="0"/>
        <v>0</v>
      </c>
      <c r="E63" s="11">
        <f t="shared" ca="1" si="1"/>
        <v>0</v>
      </c>
    </row>
    <row r="64" spans="1:5" x14ac:dyDescent="0.25">
      <c r="A64" s="4">
        <f ca="1">INDEX(Stations,INT((ROWS(A$2:A64)-1)/(DATE(YEAR(Invoer!$A$5),12,31)-DATE(YEAR(Invoer!$A$5),1,1)+1))+2,1)</f>
        <v>32</v>
      </c>
      <c r="B64" t="str">
        <f ca="1">TEXT(DATE(YEAR(Invoer!$A$5),1,1)+MOD(ROWS(B$2:B64)-1,DATE(YEAR(Invoer!$A$5),12,31)-DATE(YEAR(Invoer!$A$5),1,1)+1),"jjjjmmdd")</f>
        <v>19370304</v>
      </c>
      <c r="C64" s="5">
        <v>1</v>
      </c>
      <c r="D64" s="10">
        <f t="shared" ca="1" si="0"/>
        <v>32</v>
      </c>
      <c r="E64" s="11">
        <f t="shared" ca="1" si="1"/>
        <v>0</v>
      </c>
    </row>
    <row r="65" spans="1:5" x14ac:dyDescent="0.25">
      <c r="A65" s="4">
        <f ca="1">INDEX(Stations,INT((ROWS(A$2:A65)-1)/(DATE(YEAR(Invoer!$A$5),12,31)-DATE(YEAR(Invoer!$A$5),1,1)+1))+2,1)</f>
        <v>32</v>
      </c>
      <c r="B65" t="str">
        <f ca="1">TEXT(DATE(YEAR(Invoer!$A$5),1,1)+MOD(ROWS(B$2:B65)-1,DATE(YEAR(Invoer!$A$5),12,31)-DATE(YEAR(Invoer!$A$5),1,1)+1),"jjjjmmdd")</f>
        <v>19370305</v>
      </c>
      <c r="C65" s="5">
        <v>1</v>
      </c>
      <c r="D65" s="10">
        <f t="shared" ca="1" si="0"/>
        <v>0</v>
      </c>
      <c r="E65" s="11">
        <f t="shared" ca="1" si="1"/>
        <v>0</v>
      </c>
    </row>
    <row r="66" spans="1:5" x14ac:dyDescent="0.25">
      <c r="A66" s="4">
        <f ca="1">INDEX(Stations,INT((ROWS(A$2:A66)-1)/(DATE(YEAR(Invoer!$A$5),12,31)-DATE(YEAR(Invoer!$A$5),1,1)+1))+2,1)</f>
        <v>32</v>
      </c>
      <c r="B66" t="str">
        <f ca="1">TEXT(DATE(YEAR(Invoer!$A$5),1,1)+MOD(ROWS(B$2:B66)-1,DATE(YEAR(Invoer!$A$5),12,31)-DATE(YEAR(Invoer!$A$5),1,1)+1),"jjjjmmdd")</f>
        <v>19370306</v>
      </c>
      <c r="C66" s="5">
        <v>1</v>
      </c>
      <c r="D66" s="10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1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4">
        <f ca="1">INDEX(Stations,INT((ROWS(A$2:A67)-1)/(DATE(YEAR(Invoer!$A$5),12,31)-DATE(YEAR(Invoer!$A$5),1,1)+1))+2,1)</f>
        <v>32</v>
      </c>
      <c r="B67" t="str">
        <f ca="1">TEXT(DATE(YEAR(Invoer!$A$5),1,1)+MOD(ROWS(B$2:B67)-1,DATE(YEAR(Invoer!$A$5),12,31)-DATE(YEAR(Invoer!$A$5),1,1)+1),"jjjjmmdd")</f>
        <v>19370307</v>
      </c>
      <c r="C67" s="5">
        <v>1</v>
      </c>
      <c r="D67" s="10">
        <f t="shared" ca="1" si="2"/>
        <v>0</v>
      </c>
      <c r="E67" s="11">
        <f t="shared" ca="1" si="3"/>
        <v>0</v>
      </c>
    </row>
    <row r="68" spans="1:5" x14ac:dyDescent="0.25">
      <c r="A68" s="4">
        <f ca="1">INDEX(Stations,INT((ROWS(A$2:A68)-1)/(DATE(YEAR(Invoer!$A$5),12,31)-DATE(YEAR(Invoer!$A$5),1,1)+1))+2,1)</f>
        <v>32</v>
      </c>
      <c r="B68" t="str">
        <f ca="1">TEXT(DATE(YEAR(Invoer!$A$5),1,1)+MOD(ROWS(B$2:B68)-1,DATE(YEAR(Invoer!$A$5),12,31)-DATE(YEAR(Invoer!$A$5),1,1)+1),"jjjjmmdd")</f>
        <v>19370308</v>
      </c>
      <c r="C68" s="5">
        <v>1</v>
      </c>
      <c r="D68" s="10">
        <f t="shared" ca="1" si="2"/>
        <v>0</v>
      </c>
      <c r="E68" s="11">
        <f t="shared" ca="1" si="3"/>
        <v>0</v>
      </c>
    </row>
    <row r="69" spans="1:5" x14ac:dyDescent="0.25">
      <c r="A69" s="4">
        <f ca="1">INDEX(Stations,INT((ROWS(A$2:A69)-1)/(DATE(YEAR(Invoer!$A$5),12,31)-DATE(YEAR(Invoer!$A$5),1,1)+1))+2,1)</f>
        <v>32</v>
      </c>
      <c r="B69" t="str">
        <f ca="1">TEXT(DATE(YEAR(Invoer!$A$5),1,1)+MOD(ROWS(B$2:B69)-1,DATE(YEAR(Invoer!$A$5),12,31)-DATE(YEAR(Invoer!$A$5),1,1)+1),"jjjjmmdd")</f>
        <v>19370309</v>
      </c>
      <c r="C69" s="5">
        <v>1</v>
      </c>
      <c r="D69" s="10">
        <f t="shared" ca="1" si="2"/>
        <v>0</v>
      </c>
      <c r="E69" s="11">
        <f t="shared" ca="1" si="3"/>
        <v>0</v>
      </c>
    </row>
    <row r="70" spans="1:5" x14ac:dyDescent="0.25">
      <c r="A70" s="4">
        <f ca="1">INDEX(Stations,INT((ROWS(A$2:A70)-1)/(DATE(YEAR(Invoer!$A$5),12,31)-DATE(YEAR(Invoer!$A$5),1,1)+1))+2,1)</f>
        <v>32</v>
      </c>
      <c r="B70" t="str">
        <f ca="1">TEXT(DATE(YEAR(Invoer!$A$5),1,1)+MOD(ROWS(B$2:B70)-1,DATE(YEAR(Invoer!$A$5),12,31)-DATE(YEAR(Invoer!$A$5),1,1)+1),"jjjjmmdd")</f>
        <v>19370310</v>
      </c>
      <c r="C70" s="5">
        <v>1</v>
      </c>
      <c r="D70" s="10">
        <f t="shared" ca="1" si="2"/>
        <v>0</v>
      </c>
      <c r="E70" s="11">
        <f t="shared" ca="1" si="3"/>
        <v>0</v>
      </c>
    </row>
    <row r="71" spans="1:5" x14ac:dyDescent="0.25">
      <c r="A71" s="4">
        <f ca="1">INDEX(Stations,INT((ROWS(A$2:A71)-1)/(DATE(YEAR(Invoer!$A$5),12,31)-DATE(YEAR(Invoer!$A$5),1,1)+1))+2,1)</f>
        <v>32</v>
      </c>
      <c r="B71" t="str">
        <f ca="1">TEXT(DATE(YEAR(Invoer!$A$5),1,1)+MOD(ROWS(B$2:B71)-1,DATE(YEAR(Invoer!$A$5),12,31)-DATE(YEAR(Invoer!$A$5),1,1)+1),"jjjjmmdd")</f>
        <v>19370311</v>
      </c>
      <c r="C71" s="5">
        <v>1</v>
      </c>
      <c r="D71" s="10">
        <f t="shared" ca="1" si="2"/>
        <v>0</v>
      </c>
      <c r="E71" s="11">
        <f t="shared" ca="1" si="3"/>
        <v>0</v>
      </c>
    </row>
    <row r="72" spans="1:5" x14ac:dyDescent="0.25">
      <c r="A72" s="4">
        <f ca="1">INDEX(Stations,INT((ROWS(A$2:A72)-1)/(DATE(YEAR(Invoer!$A$5),12,31)-DATE(YEAR(Invoer!$A$5),1,1)+1))+2,1)</f>
        <v>32</v>
      </c>
      <c r="B72" t="str">
        <f ca="1">TEXT(DATE(YEAR(Invoer!$A$5),1,1)+MOD(ROWS(B$2:B72)-1,DATE(YEAR(Invoer!$A$5),12,31)-DATE(YEAR(Invoer!$A$5),1,1)+1),"jjjjmmdd")</f>
        <v>19370312</v>
      </c>
      <c r="C72" s="5">
        <v>1</v>
      </c>
      <c r="D72" s="10">
        <f t="shared" ca="1" si="2"/>
        <v>0</v>
      </c>
      <c r="E72" s="11">
        <f t="shared" ca="1" si="3"/>
        <v>0</v>
      </c>
    </row>
    <row r="73" spans="1:5" x14ac:dyDescent="0.25">
      <c r="A73" s="4">
        <f ca="1">INDEX(Stations,INT((ROWS(A$2:A73)-1)/(DATE(YEAR(Invoer!$A$5),12,31)-DATE(YEAR(Invoer!$A$5),1,1)+1))+2,1)</f>
        <v>32</v>
      </c>
      <c r="B73" t="str">
        <f ca="1">TEXT(DATE(YEAR(Invoer!$A$5),1,1)+MOD(ROWS(B$2:B73)-1,DATE(YEAR(Invoer!$A$5),12,31)-DATE(YEAR(Invoer!$A$5),1,1)+1),"jjjjmmdd")</f>
        <v>19370313</v>
      </c>
      <c r="C73" s="5">
        <v>1</v>
      </c>
      <c r="D73" s="10">
        <f t="shared" ca="1" si="2"/>
        <v>0</v>
      </c>
      <c r="E73" s="11">
        <f t="shared" ca="1" si="3"/>
        <v>0</v>
      </c>
    </row>
    <row r="74" spans="1:5" x14ac:dyDescent="0.25">
      <c r="A74" s="4">
        <f ca="1">INDEX(Stations,INT((ROWS(A$2:A74)-1)/(DATE(YEAR(Invoer!$A$5),12,31)-DATE(YEAR(Invoer!$A$5),1,1)+1))+2,1)</f>
        <v>32</v>
      </c>
      <c r="B74" t="str">
        <f ca="1">TEXT(DATE(YEAR(Invoer!$A$5),1,1)+MOD(ROWS(B$2:B74)-1,DATE(YEAR(Invoer!$A$5),12,31)-DATE(YEAR(Invoer!$A$5),1,1)+1),"jjjjmmdd")</f>
        <v>19370314</v>
      </c>
      <c r="C74" s="5">
        <v>1</v>
      </c>
      <c r="D74" s="10">
        <f t="shared" ca="1" si="2"/>
        <v>0</v>
      </c>
      <c r="E74" s="11">
        <f t="shared" ca="1" si="3"/>
        <v>0</v>
      </c>
    </row>
    <row r="75" spans="1:5" x14ac:dyDescent="0.25">
      <c r="A75" s="4">
        <f ca="1">INDEX(Stations,INT((ROWS(A$2:A75)-1)/(DATE(YEAR(Invoer!$A$5),12,31)-DATE(YEAR(Invoer!$A$5),1,1)+1))+2,1)</f>
        <v>32</v>
      </c>
      <c r="B75" t="str">
        <f ca="1">TEXT(DATE(YEAR(Invoer!$A$5),1,1)+MOD(ROWS(B$2:B75)-1,DATE(YEAR(Invoer!$A$5),12,31)-DATE(YEAR(Invoer!$A$5),1,1)+1),"jjjjmmdd")</f>
        <v>19370315</v>
      </c>
      <c r="C75" s="5">
        <v>1</v>
      </c>
      <c r="D75" s="10">
        <f t="shared" ca="1" si="2"/>
        <v>0</v>
      </c>
      <c r="E75" s="11">
        <f t="shared" ca="1" si="3"/>
        <v>0</v>
      </c>
    </row>
    <row r="76" spans="1:5" x14ac:dyDescent="0.25">
      <c r="A76" s="4">
        <f ca="1">INDEX(Stations,INT((ROWS(A$2:A76)-1)/(DATE(YEAR(Invoer!$A$5),12,31)-DATE(YEAR(Invoer!$A$5),1,1)+1))+2,1)</f>
        <v>32</v>
      </c>
      <c r="B76" t="str">
        <f ca="1">TEXT(DATE(YEAR(Invoer!$A$5),1,1)+MOD(ROWS(B$2:B76)-1,DATE(YEAR(Invoer!$A$5),12,31)-DATE(YEAR(Invoer!$A$5),1,1)+1),"jjjjmmdd")</f>
        <v>19370316</v>
      </c>
      <c r="C76" s="5">
        <v>1</v>
      </c>
      <c r="D76" s="10">
        <f t="shared" ca="1" si="2"/>
        <v>0</v>
      </c>
      <c r="E76" s="11">
        <f t="shared" ca="1" si="3"/>
        <v>0</v>
      </c>
    </row>
    <row r="77" spans="1:5" x14ac:dyDescent="0.25">
      <c r="A77" s="4">
        <f ca="1">INDEX(Stations,INT((ROWS(A$2:A77)-1)/(DATE(YEAR(Invoer!$A$5),12,31)-DATE(YEAR(Invoer!$A$5),1,1)+1))+2,1)</f>
        <v>32</v>
      </c>
      <c r="B77" t="str">
        <f ca="1">TEXT(DATE(YEAR(Invoer!$A$5),1,1)+MOD(ROWS(B$2:B77)-1,DATE(YEAR(Invoer!$A$5),12,31)-DATE(YEAR(Invoer!$A$5),1,1)+1),"jjjjmmdd")</f>
        <v>19370317</v>
      </c>
      <c r="C77" s="5">
        <v>1</v>
      </c>
      <c r="D77" s="10">
        <f t="shared" ca="1" si="2"/>
        <v>0</v>
      </c>
      <c r="E77" s="11">
        <f t="shared" ca="1" si="3"/>
        <v>0</v>
      </c>
    </row>
    <row r="78" spans="1:5" x14ac:dyDescent="0.25">
      <c r="A78" s="4">
        <f ca="1">INDEX(Stations,INT((ROWS(A$2:A78)-1)/(DATE(YEAR(Invoer!$A$5),12,31)-DATE(YEAR(Invoer!$A$5),1,1)+1))+2,1)</f>
        <v>32</v>
      </c>
      <c r="B78" t="str">
        <f ca="1">TEXT(DATE(YEAR(Invoer!$A$5),1,1)+MOD(ROWS(B$2:B78)-1,DATE(YEAR(Invoer!$A$5),12,31)-DATE(YEAR(Invoer!$A$5),1,1)+1),"jjjjmmdd")</f>
        <v>19370318</v>
      </c>
      <c r="C78" s="5">
        <v>1</v>
      </c>
      <c r="D78" s="10">
        <f t="shared" ca="1" si="2"/>
        <v>0</v>
      </c>
      <c r="E78" s="11">
        <f t="shared" ca="1" si="3"/>
        <v>0</v>
      </c>
    </row>
    <row r="79" spans="1:5" x14ac:dyDescent="0.25">
      <c r="A79" s="4">
        <f ca="1">INDEX(Stations,INT((ROWS(A$2:A79)-1)/(DATE(YEAR(Invoer!$A$5),12,31)-DATE(YEAR(Invoer!$A$5),1,1)+1))+2,1)</f>
        <v>32</v>
      </c>
      <c r="B79" t="str">
        <f ca="1">TEXT(DATE(YEAR(Invoer!$A$5),1,1)+MOD(ROWS(B$2:B79)-1,DATE(YEAR(Invoer!$A$5),12,31)-DATE(YEAR(Invoer!$A$5),1,1)+1),"jjjjmmdd")</f>
        <v>19370319</v>
      </c>
      <c r="C79" s="5">
        <v>1</v>
      </c>
      <c r="D79" s="10">
        <f t="shared" ca="1" si="2"/>
        <v>0</v>
      </c>
      <c r="E79" s="11">
        <f t="shared" ca="1" si="3"/>
        <v>0</v>
      </c>
    </row>
    <row r="80" spans="1:5" x14ac:dyDescent="0.25">
      <c r="A80" s="4">
        <f ca="1">INDEX(Stations,INT((ROWS(A$2:A80)-1)/(DATE(YEAR(Invoer!$A$5),12,31)-DATE(YEAR(Invoer!$A$5),1,1)+1))+2,1)</f>
        <v>32</v>
      </c>
      <c r="B80" t="str">
        <f ca="1">TEXT(DATE(YEAR(Invoer!$A$5),1,1)+MOD(ROWS(B$2:B80)-1,DATE(YEAR(Invoer!$A$5),12,31)-DATE(YEAR(Invoer!$A$5),1,1)+1),"jjjjmmdd")</f>
        <v>19370320</v>
      </c>
      <c r="C80" s="5">
        <v>1</v>
      </c>
      <c r="D80" s="10">
        <f t="shared" ca="1" si="2"/>
        <v>0</v>
      </c>
      <c r="E80" s="11">
        <f t="shared" ca="1" si="3"/>
        <v>0</v>
      </c>
    </row>
    <row r="81" spans="1:5" x14ac:dyDescent="0.25">
      <c r="A81" s="4">
        <f ca="1">INDEX(Stations,INT((ROWS(A$2:A81)-1)/(DATE(YEAR(Invoer!$A$5),12,31)-DATE(YEAR(Invoer!$A$5),1,1)+1))+2,1)</f>
        <v>32</v>
      </c>
      <c r="B81" t="str">
        <f ca="1">TEXT(DATE(YEAR(Invoer!$A$5),1,1)+MOD(ROWS(B$2:B81)-1,DATE(YEAR(Invoer!$A$5),12,31)-DATE(YEAR(Invoer!$A$5),1,1)+1),"jjjjmmdd")</f>
        <v>19370321</v>
      </c>
      <c r="C81" s="5">
        <v>1</v>
      </c>
      <c r="D81" s="10">
        <f t="shared" ca="1" si="2"/>
        <v>0</v>
      </c>
      <c r="E81" s="11">
        <f t="shared" ca="1" si="3"/>
        <v>0</v>
      </c>
    </row>
    <row r="82" spans="1:5" x14ac:dyDescent="0.25">
      <c r="A82" s="4">
        <f ca="1">INDEX(Stations,INT((ROWS(A$2:A82)-1)/(DATE(YEAR(Invoer!$A$5),12,31)-DATE(YEAR(Invoer!$A$5),1,1)+1))+2,1)</f>
        <v>32</v>
      </c>
      <c r="B82" t="str">
        <f ca="1">TEXT(DATE(YEAR(Invoer!$A$5),1,1)+MOD(ROWS(B$2:B82)-1,DATE(YEAR(Invoer!$A$5),12,31)-DATE(YEAR(Invoer!$A$5),1,1)+1),"jjjjmmdd")</f>
        <v>19370322</v>
      </c>
      <c r="C82" s="5">
        <v>1</v>
      </c>
      <c r="D82" s="10">
        <f t="shared" ca="1" si="2"/>
        <v>0</v>
      </c>
      <c r="E82" s="11">
        <f t="shared" ca="1" si="3"/>
        <v>0</v>
      </c>
    </row>
    <row r="83" spans="1:5" x14ac:dyDescent="0.25">
      <c r="A83" s="4">
        <f ca="1">INDEX(Stations,INT((ROWS(A$2:A83)-1)/(DATE(YEAR(Invoer!$A$5),12,31)-DATE(YEAR(Invoer!$A$5),1,1)+1))+2,1)</f>
        <v>32</v>
      </c>
      <c r="B83" t="str">
        <f ca="1">TEXT(DATE(YEAR(Invoer!$A$5),1,1)+MOD(ROWS(B$2:B83)-1,DATE(YEAR(Invoer!$A$5),12,31)-DATE(YEAR(Invoer!$A$5),1,1)+1),"jjjjmmdd")</f>
        <v>19370323</v>
      </c>
      <c r="C83" s="5">
        <v>1</v>
      </c>
      <c r="D83" s="10">
        <f t="shared" ca="1" si="2"/>
        <v>0</v>
      </c>
      <c r="E83" s="11">
        <f t="shared" ca="1" si="3"/>
        <v>0</v>
      </c>
    </row>
    <row r="84" spans="1:5" x14ac:dyDescent="0.25">
      <c r="A84" s="4">
        <f ca="1">INDEX(Stations,INT((ROWS(A$2:A84)-1)/(DATE(YEAR(Invoer!$A$5),12,31)-DATE(YEAR(Invoer!$A$5),1,1)+1))+2,1)</f>
        <v>32</v>
      </c>
      <c r="B84" t="str">
        <f ca="1">TEXT(DATE(YEAR(Invoer!$A$5),1,1)+MOD(ROWS(B$2:B84)-1,DATE(YEAR(Invoer!$A$5),12,31)-DATE(YEAR(Invoer!$A$5),1,1)+1),"jjjjmmdd")</f>
        <v>19370324</v>
      </c>
      <c r="C84" s="5">
        <v>1</v>
      </c>
      <c r="D84" s="10">
        <f t="shared" ca="1" si="2"/>
        <v>0</v>
      </c>
      <c r="E84" s="11">
        <f t="shared" ca="1" si="3"/>
        <v>0</v>
      </c>
    </row>
    <row r="85" spans="1:5" x14ac:dyDescent="0.25">
      <c r="A85" s="4">
        <f ca="1">INDEX(Stations,INT((ROWS(A$2:A85)-1)/(DATE(YEAR(Invoer!$A$5),12,31)-DATE(YEAR(Invoer!$A$5),1,1)+1))+2,1)</f>
        <v>32</v>
      </c>
      <c r="B85" t="str">
        <f ca="1">TEXT(DATE(YEAR(Invoer!$A$5),1,1)+MOD(ROWS(B$2:B85)-1,DATE(YEAR(Invoer!$A$5),12,31)-DATE(YEAR(Invoer!$A$5),1,1)+1),"jjjjmmdd")</f>
        <v>19370325</v>
      </c>
      <c r="C85" s="5">
        <v>1</v>
      </c>
      <c r="D85" s="10">
        <f t="shared" ca="1" si="2"/>
        <v>0</v>
      </c>
      <c r="E85" s="11">
        <f t="shared" ca="1" si="3"/>
        <v>0</v>
      </c>
    </row>
    <row r="86" spans="1:5" x14ac:dyDescent="0.25">
      <c r="A86" s="4">
        <f ca="1">INDEX(Stations,INT((ROWS(A$2:A86)-1)/(DATE(YEAR(Invoer!$A$5),12,31)-DATE(YEAR(Invoer!$A$5),1,1)+1))+2,1)</f>
        <v>32</v>
      </c>
      <c r="B86" t="str">
        <f ca="1">TEXT(DATE(YEAR(Invoer!$A$5),1,1)+MOD(ROWS(B$2:B86)-1,DATE(YEAR(Invoer!$A$5),12,31)-DATE(YEAR(Invoer!$A$5),1,1)+1),"jjjjmmdd")</f>
        <v>19370326</v>
      </c>
      <c r="C86" s="5">
        <v>1</v>
      </c>
      <c r="D86" s="10">
        <f t="shared" ca="1" si="2"/>
        <v>0</v>
      </c>
      <c r="E86" s="11">
        <f t="shared" ca="1" si="3"/>
        <v>0</v>
      </c>
    </row>
    <row r="87" spans="1:5" x14ac:dyDescent="0.25">
      <c r="A87" s="4">
        <f ca="1">INDEX(Stations,INT((ROWS(A$2:A87)-1)/(DATE(YEAR(Invoer!$A$5),12,31)-DATE(YEAR(Invoer!$A$5),1,1)+1))+2,1)</f>
        <v>32</v>
      </c>
      <c r="B87" t="str">
        <f ca="1">TEXT(DATE(YEAR(Invoer!$A$5),1,1)+MOD(ROWS(B$2:B87)-1,DATE(YEAR(Invoer!$A$5),12,31)-DATE(YEAR(Invoer!$A$5),1,1)+1),"jjjjmmdd")</f>
        <v>19370327</v>
      </c>
      <c r="C87" s="5">
        <v>1</v>
      </c>
      <c r="D87" s="10">
        <f t="shared" ca="1" si="2"/>
        <v>0</v>
      </c>
      <c r="E87" s="11">
        <f t="shared" ca="1" si="3"/>
        <v>0</v>
      </c>
    </row>
    <row r="88" spans="1:5" x14ac:dyDescent="0.25">
      <c r="A88" s="4">
        <f ca="1">INDEX(Stations,INT((ROWS(A$2:A88)-1)/(DATE(YEAR(Invoer!$A$5),12,31)-DATE(YEAR(Invoer!$A$5),1,1)+1))+2,1)</f>
        <v>32</v>
      </c>
      <c r="B88" t="str">
        <f ca="1">TEXT(DATE(YEAR(Invoer!$A$5),1,1)+MOD(ROWS(B$2:B88)-1,DATE(YEAR(Invoer!$A$5),12,31)-DATE(YEAR(Invoer!$A$5),1,1)+1),"jjjjmmdd")</f>
        <v>19370328</v>
      </c>
      <c r="C88" s="5">
        <v>1</v>
      </c>
      <c r="D88" s="10">
        <f t="shared" ca="1" si="2"/>
        <v>0</v>
      </c>
      <c r="E88" s="11">
        <f t="shared" ca="1" si="3"/>
        <v>0</v>
      </c>
    </row>
    <row r="89" spans="1:5" x14ac:dyDescent="0.25">
      <c r="A89" s="4">
        <f ca="1">INDEX(Stations,INT((ROWS(A$2:A89)-1)/(DATE(YEAR(Invoer!$A$5),12,31)-DATE(YEAR(Invoer!$A$5),1,1)+1))+2,1)</f>
        <v>32</v>
      </c>
      <c r="B89" t="str">
        <f ca="1">TEXT(DATE(YEAR(Invoer!$A$5),1,1)+MOD(ROWS(B$2:B89)-1,DATE(YEAR(Invoer!$A$5),12,31)-DATE(YEAR(Invoer!$A$5),1,1)+1),"jjjjmmdd")</f>
        <v>19370329</v>
      </c>
      <c r="C89" s="5">
        <v>1</v>
      </c>
      <c r="D89" s="10">
        <f t="shared" ca="1" si="2"/>
        <v>0</v>
      </c>
      <c r="E89" s="11">
        <f t="shared" ca="1" si="3"/>
        <v>0</v>
      </c>
    </row>
    <row r="90" spans="1:5" x14ac:dyDescent="0.25">
      <c r="A90" s="4">
        <f ca="1">INDEX(Stations,INT((ROWS(A$2:A90)-1)/(DATE(YEAR(Invoer!$A$5),12,31)-DATE(YEAR(Invoer!$A$5),1,1)+1))+2,1)</f>
        <v>32</v>
      </c>
      <c r="B90" t="str">
        <f ca="1">TEXT(DATE(YEAR(Invoer!$A$5),1,1)+MOD(ROWS(B$2:B90)-1,DATE(YEAR(Invoer!$A$5),12,31)-DATE(YEAR(Invoer!$A$5),1,1)+1),"jjjjmmdd")</f>
        <v>19370330</v>
      </c>
      <c r="C90" s="5">
        <v>1</v>
      </c>
      <c r="D90" s="10">
        <f t="shared" ca="1" si="2"/>
        <v>0</v>
      </c>
      <c r="E90" s="11">
        <f t="shared" ca="1" si="3"/>
        <v>0</v>
      </c>
    </row>
    <row r="91" spans="1:5" x14ac:dyDescent="0.25">
      <c r="A91" s="4">
        <f ca="1">INDEX(Stations,INT((ROWS(A$2:A91)-1)/(DATE(YEAR(Invoer!$A$5),12,31)-DATE(YEAR(Invoer!$A$5),1,1)+1))+2,1)</f>
        <v>32</v>
      </c>
      <c r="B91" t="str">
        <f ca="1">TEXT(DATE(YEAR(Invoer!$A$5),1,1)+MOD(ROWS(B$2:B91)-1,DATE(YEAR(Invoer!$A$5),12,31)-DATE(YEAR(Invoer!$A$5),1,1)+1),"jjjjmmdd")</f>
        <v>19370331</v>
      </c>
      <c r="C91" s="5">
        <v>1</v>
      </c>
      <c r="D91" s="10">
        <f t="shared" ca="1" si="2"/>
        <v>0</v>
      </c>
      <c r="E91" s="11">
        <f t="shared" ca="1" si="3"/>
        <v>0</v>
      </c>
    </row>
    <row r="92" spans="1:5" x14ac:dyDescent="0.25">
      <c r="A92" s="4">
        <f ca="1">INDEX(Stations,INT((ROWS(A$2:A92)-1)/(DATE(YEAR(Invoer!$A$5),12,31)-DATE(YEAR(Invoer!$A$5),1,1)+1))+2,1)</f>
        <v>32</v>
      </c>
      <c r="B92" t="str">
        <f ca="1">TEXT(DATE(YEAR(Invoer!$A$5),1,1)+MOD(ROWS(B$2:B92)-1,DATE(YEAR(Invoer!$A$5),12,31)-DATE(YEAR(Invoer!$A$5),1,1)+1),"jjjjmmdd")</f>
        <v>19370401</v>
      </c>
      <c r="C92" s="5">
        <v>1</v>
      </c>
      <c r="D92" s="10">
        <f t="shared" ca="1" si="2"/>
        <v>0</v>
      </c>
      <c r="E92" s="11">
        <f t="shared" ca="1" si="3"/>
        <v>0</v>
      </c>
    </row>
    <row r="93" spans="1:5" x14ac:dyDescent="0.25">
      <c r="A93" s="4">
        <f ca="1">INDEX(Stations,INT((ROWS(A$2:A93)-1)/(DATE(YEAR(Invoer!$A$5),12,31)-DATE(YEAR(Invoer!$A$5),1,1)+1))+2,1)</f>
        <v>32</v>
      </c>
      <c r="B93" t="str">
        <f ca="1">TEXT(DATE(YEAR(Invoer!$A$5),1,1)+MOD(ROWS(B$2:B93)-1,DATE(YEAR(Invoer!$A$5),12,31)-DATE(YEAR(Invoer!$A$5),1,1)+1),"jjjjmmdd")</f>
        <v>19370402</v>
      </c>
      <c r="C93" s="5">
        <v>1</v>
      </c>
      <c r="D93" s="10">
        <f t="shared" ca="1" si="2"/>
        <v>0</v>
      </c>
      <c r="E93" s="11">
        <f t="shared" ca="1" si="3"/>
        <v>0</v>
      </c>
    </row>
    <row r="94" spans="1:5" x14ac:dyDescent="0.25">
      <c r="A94" s="4">
        <f ca="1">INDEX(Stations,INT((ROWS(A$2:A94)-1)/(DATE(YEAR(Invoer!$A$5),12,31)-DATE(YEAR(Invoer!$A$5),1,1)+1))+2,1)</f>
        <v>32</v>
      </c>
      <c r="B94" t="str">
        <f ca="1">TEXT(DATE(YEAR(Invoer!$A$5),1,1)+MOD(ROWS(B$2:B94)-1,DATE(YEAR(Invoer!$A$5),12,31)-DATE(YEAR(Invoer!$A$5),1,1)+1),"jjjjmmdd")</f>
        <v>19370403</v>
      </c>
      <c r="C94" s="5">
        <v>1</v>
      </c>
      <c r="D94" s="10">
        <f t="shared" ca="1" si="2"/>
        <v>0</v>
      </c>
      <c r="E94" s="11">
        <f t="shared" ca="1" si="3"/>
        <v>0</v>
      </c>
    </row>
    <row r="95" spans="1:5" x14ac:dyDescent="0.25">
      <c r="A95" s="4">
        <f ca="1">INDEX(Stations,INT((ROWS(A$2:A95)-1)/(DATE(YEAR(Invoer!$A$5),12,31)-DATE(YEAR(Invoer!$A$5),1,1)+1))+2,1)</f>
        <v>32</v>
      </c>
      <c r="B95" t="str">
        <f ca="1">TEXT(DATE(YEAR(Invoer!$A$5),1,1)+MOD(ROWS(B$2:B95)-1,DATE(YEAR(Invoer!$A$5),12,31)-DATE(YEAR(Invoer!$A$5),1,1)+1),"jjjjmmdd")</f>
        <v>19370404</v>
      </c>
      <c r="C95" s="5">
        <v>1</v>
      </c>
      <c r="D95" s="10">
        <f t="shared" ca="1" si="2"/>
        <v>0</v>
      </c>
      <c r="E95" s="11">
        <f t="shared" ca="1" si="3"/>
        <v>0</v>
      </c>
    </row>
    <row r="96" spans="1:5" x14ac:dyDescent="0.25">
      <c r="A96" s="4">
        <f ca="1">INDEX(Stations,INT((ROWS(A$2:A96)-1)/(DATE(YEAR(Invoer!$A$5),12,31)-DATE(YEAR(Invoer!$A$5),1,1)+1))+2,1)</f>
        <v>32</v>
      </c>
      <c r="B96" t="str">
        <f ca="1">TEXT(DATE(YEAR(Invoer!$A$5),1,1)+MOD(ROWS(B$2:B96)-1,DATE(YEAR(Invoer!$A$5),12,31)-DATE(YEAR(Invoer!$A$5),1,1)+1),"jjjjmmdd")</f>
        <v>19370405</v>
      </c>
      <c r="C96" s="5">
        <v>1</v>
      </c>
      <c r="D96" s="10">
        <f t="shared" ca="1" si="2"/>
        <v>0</v>
      </c>
      <c r="E96" s="11">
        <f t="shared" ca="1" si="3"/>
        <v>0</v>
      </c>
    </row>
    <row r="97" spans="1:5" x14ac:dyDescent="0.25">
      <c r="A97" s="4">
        <f ca="1">INDEX(Stations,INT((ROWS(A$2:A97)-1)/(DATE(YEAR(Invoer!$A$5),12,31)-DATE(YEAR(Invoer!$A$5),1,1)+1))+2,1)</f>
        <v>32</v>
      </c>
      <c r="B97" t="str">
        <f ca="1">TEXT(DATE(YEAR(Invoer!$A$5),1,1)+MOD(ROWS(B$2:B97)-1,DATE(YEAR(Invoer!$A$5),12,31)-DATE(YEAR(Invoer!$A$5),1,1)+1),"jjjjmmdd")</f>
        <v>19370406</v>
      </c>
      <c r="C97" s="5">
        <v>1</v>
      </c>
      <c r="D97" s="10">
        <f t="shared" ca="1" si="2"/>
        <v>0</v>
      </c>
      <c r="E97" s="11">
        <f t="shared" ca="1" si="3"/>
        <v>0</v>
      </c>
    </row>
    <row r="98" spans="1:5" x14ac:dyDescent="0.25">
      <c r="A98" s="4">
        <f ca="1">INDEX(Stations,INT((ROWS(A$2:A98)-1)/(DATE(YEAR(Invoer!$A$5),12,31)-DATE(YEAR(Invoer!$A$5),1,1)+1))+2,1)</f>
        <v>32</v>
      </c>
      <c r="B98" t="str">
        <f ca="1">TEXT(DATE(YEAR(Invoer!$A$5),1,1)+MOD(ROWS(B$2:B98)-1,DATE(YEAR(Invoer!$A$5),12,31)-DATE(YEAR(Invoer!$A$5),1,1)+1),"jjjjmmdd")</f>
        <v>19370407</v>
      </c>
      <c r="C98" s="5">
        <v>1</v>
      </c>
      <c r="D98" s="10">
        <f t="shared" ca="1" si="2"/>
        <v>0</v>
      </c>
      <c r="E98" s="11">
        <f t="shared" ca="1" si="3"/>
        <v>0</v>
      </c>
    </row>
    <row r="99" spans="1:5" x14ac:dyDescent="0.25">
      <c r="A99" s="4">
        <f ca="1">INDEX(Stations,INT((ROWS(A$2:A99)-1)/(DATE(YEAR(Invoer!$A$5),12,31)-DATE(YEAR(Invoer!$A$5),1,1)+1))+2,1)</f>
        <v>32</v>
      </c>
      <c r="B99" t="str">
        <f ca="1">TEXT(DATE(YEAR(Invoer!$A$5),1,1)+MOD(ROWS(B$2:B99)-1,DATE(YEAR(Invoer!$A$5),12,31)-DATE(YEAR(Invoer!$A$5),1,1)+1),"jjjjmmdd")</f>
        <v>19370408</v>
      </c>
      <c r="C99" s="5">
        <v>1</v>
      </c>
      <c r="D99" s="10">
        <f t="shared" ca="1" si="2"/>
        <v>0</v>
      </c>
      <c r="E99" s="11">
        <f t="shared" ca="1" si="3"/>
        <v>0</v>
      </c>
    </row>
    <row r="100" spans="1:5" x14ac:dyDescent="0.25">
      <c r="A100" s="4">
        <f ca="1">INDEX(Stations,INT((ROWS(A$2:A100)-1)/(DATE(YEAR(Invoer!$A$5),12,31)-DATE(YEAR(Invoer!$A$5),1,1)+1))+2,1)</f>
        <v>32</v>
      </c>
      <c r="B100" t="str">
        <f ca="1">TEXT(DATE(YEAR(Invoer!$A$5),1,1)+MOD(ROWS(B$2:B100)-1,DATE(YEAR(Invoer!$A$5),12,31)-DATE(YEAR(Invoer!$A$5),1,1)+1),"jjjjmmdd")</f>
        <v>19370409</v>
      </c>
      <c r="C100" s="5">
        <v>1</v>
      </c>
      <c r="D100" s="10">
        <f t="shared" ca="1" si="2"/>
        <v>0</v>
      </c>
      <c r="E100" s="11">
        <f t="shared" ca="1" si="3"/>
        <v>0</v>
      </c>
    </row>
    <row r="101" spans="1:5" x14ac:dyDescent="0.25">
      <c r="A101" s="4">
        <f ca="1">INDEX(Stations,INT((ROWS(A$2:A101)-1)/(DATE(YEAR(Invoer!$A$5),12,31)-DATE(YEAR(Invoer!$A$5),1,1)+1))+2,1)</f>
        <v>32</v>
      </c>
      <c r="B101" t="str">
        <f ca="1">TEXT(DATE(YEAR(Invoer!$A$5),1,1)+MOD(ROWS(B$2:B101)-1,DATE(YEAR(Invoer!$A$5),12,31)-DATE(YEAR(Invoer!$A$5),1,1)+1),"jjjjmmdd")</f>
        <v>19370410</v>
      </c>
      <c r="C101" s="5">
        <v>1</v>
      </c>
      <c r="D101" s="10">
        <f t="shared" ca="1" si="2"/>
        <v>0</v>
      </c>
      <c r="E101" s="11">
        <f t="shared" ca="1" si="3"/>
        <v>0</v>
      </c>
    </row>
    <row r="102" spans="1:5" x14ac:dyDescent="0.25">
      <c r="A102" s="4">
        <f ca="1">INDEX(Stations,INT((ROWS(A$2:A102)-1)/(DATE(YEAR(Invoer!$A$5),12,31)-DATE(YEAR(Invoer!$A$5),1,1)+1))+2,1)</f>
        <v>32</v>
      </c>
      <c r="B102" t="str">
        <f ca="1">TEXT(DATE(YEAR(Invoer!$A$5),1,1)+MOD(ROWS(B$2:B102)-1,DATE(YEAR(Invoer!$A$5),12,31)-DATE(YEAR(Invoer!$A$5),1,1)+1),"jjjjmmdd")</f>
        <v>19370411</v>
      </c>
      <c r="C102" s="5">
        <v>1</v>
      </c>
      <c r="D102" s="10">
        <f t="shared" ca="1" si="2"/>
        <v>0</v>
      </c>
      <c r="E102" s="11">
        <f t="shared" ca="1" si="3"/>
        <v>0</v>
      </c>
    </row>
    <row r="103" spans="1:5" x14ac:dyDescent="0.25">
      <c r="A103" s="4">
        <f ca="1">INDEX(Stations,INT((ROWS(A$2:A103)-1)/(DATE(YEAR(Invoer!$A$5),12,31)-DATE(YEAR(Invoer!$A$5),1,1)+1))+2,1)</f>
        <v>32</v>
      </c>
      <c r="B103" t="str">
        <f ca="1">TEXT(DATE(YEAR(Invoer!$A$5),1,1)+MOD(ROWS(B$2:B103)-1,DATE(YEAR(Invoer!$A$5),12,31)-DATE(YEAR(Invoer!$A$5),1,1)+1),"jjjjmmdd")</f>
        <v>19370412</v>
      </c>
      <c r="C103" s="5">
        <v>1</v>
      </c>
      <c r="D103" s="10">
        <f t="shared" ca="1" si="2"/>
        <v>0</v>
      </c>
      <c r="E103" s="11">
        <f t="shared" ca="1" si="3"/>
        <v>0</v>
      </c>
    </row>
    <row r="104" spans="1:5" x14ac:dyDescent="0.25">
      <c r="A104" s="4">
        <f ca="1">INDEX(Stations,INT((ROWS(A$2:A104)-1)/(DATE(YEAR(Invoer!$A$5),12,31)-DATE(YEAR(Invoer!$A$5),1,1)+1))+2,1)</f>
        <v>32</v>
      </c>
      <c r="B104" t="str">
        <f ca="1">TEXT(DATE(YEAR(Invoer!$A$5),1,1)+MOD(ROWS(B$2:B104)-1,DATE(YEAR(Invoer!$A$5),12,31)-DATE(YEAR(Invoer!$A$5),1,1)+1),"jjjjmmdd")</f>
        <v>19370413</v>
      </c>
      <c r="C104" s="5">
        <v>1</v>
      </c>
      <c r="D104" s="10">
        <f t="shared" ca="1" si="2"/>
        <v>0</v>
      </c>
      <c r="E104" s="11">
        <f t="shared" ca="1" si="3"/>
        <v>0</v>
      </c>
    </row>
    <row r="105" spans="1:5" x14ac:dyDescent="0.25">
      <c r="A105" s="4">
        <f ca="1">INDEX(Stations,INT((ROWS(A$2:A105)-1)/(DATE(YEAR(Invoer!$A$5),12,31)-DATE(YEAR(Invoer!$A$5),1,1)+1))+2,1)</f>
        <v>32</v>
      </c>
      <c r="B105" t="str">
        <f ca="1">TEXT(DATE(YEAR(Invoer!$A$5),1,1)+MOD(ROWS(B$2:B105)-1,DATE(YEAR(Invoer!$A$5),12,31)-DATE(YEAR(Invoer!$A$5),1,1)+1),"jjjjmmdd")</f>
        <v>19370414</v>
      </c>
      <c r="C105" s="5">
        <v>1</v>
      </c>
      <c r="D105" s="10">
        <f t="shared" ca="1" si="2"/>
        <v>0</v>
      </c>
      <c r="E105" s="11">
        <f t="shared" ca="1" si="3"/>
        <v>0</v>
      </c>
    </row>
    <row r="106" spans="1:5" x14ac:dyDescent="0.25">
      <c r="A106" s="4">
        <f ca="1">INDEX(Stations,INT((ROWS(A$2:A106)-1)/(DATE(YEAR(Invoer!$A$5),12,31)-DATE(YEAR(Invoer!$A$5),1,1)+1))+2,1)</f>
        <v>32</v>
      </c>
      <c r="B106" t="str">
        <f ca="1">TEXT(DATE(YEAR(Invoer!$A$5),1,1)+MOD(ROWS(B$2:B106)-1,DATE(YEAR(Invoer!$A$5),12,31)-DATE(YEAR(Invoer!$A$5),1,1)+1),"jjjjmmdd")</f>
        <v>19370415</v>
      </c>
      <c r="C106" s="5">
        <v>1</v>
      </c>
      <c r="D106" s="10">
        <f t="shared" ca="1" si="2"/>
        <v>0</v>
      </c>
      <c r="E106" s="11">
        <f t="shared" ca="1" si="3"/>
        <v>0</v>
      </c>
    </row>
    <row r="107" spans="1:5" x14ac:dyDescent="0.25">
      <c r="A107" s="4">
        <f ca="1">INDEX(Stations,INT((ROWS(A$2:A107)-1)/(DATE(YEAR(Invoer!$A$5),12,31)-DATE(YEAR(Invoer!$A$5),1,1)+1))+2,1)</f>
        <v>32</v>
      </c>
      <c r="B107" t="str">
        <f ca="1">TEXT(DATE(YEAR(Invoer!$A$5),1,1)+MOD(ROWS(B$2:B107)-1,DATE(YEAR(Invoer!$A$5),12,31)-DATE(YEAR(Invoer!$A$5),1,1)+1),"jjjjmmdd")</f>
        <v>19370416</v>
      </c>
      <c r="C107" s="5">
        <v>1</v>
      </c>
      <c r="D107" s="10">
        <f t="shared" ca="1" si="2"/>
        <v>0</v>
      </c>
      <c r="E107" s="11">
        <f t="shared" ca="1" si="3"/>
        <v>0</v>
      </c>
    </row>
    <row r="108" spans="1:5" x14ac:dyDescent="0.25">
      <c r="A108" s="4">
        <f ca="1">INDEX(Stations,INT((ROWS(A$2:A108)-1)/(DATE(YEAR(Invoer!$A$5),12,31)-DATE(YEAR(Invoer!$A$5),1,1)+1))+2,1)</f>
        <v>32</v>
      </c>
      <c r="B108" t="str">
        <f ca="1">TEXT(DATE(YEAR(Invoer!$A$5),1,1)+MOD(ROWS(B$2:B108)-1,DATE(YEAR(Invoer!$A$5),12,31)-DATE(YEAR(Invoer!$A$5),1,1)+1),"jjjjmmdd")</f>
        <v>19370417</v>
      </c>
      <c r="C108" s="5">
        <v>1</v>
      </c>
      <c r="D108" s="10">
        <f t="shared" ca="1" si="2"/>
        <v>0</v>
      </c>
      <c r="E108" s="11">
        <f t="shared" ca="1" si="3"/>
        <v>0</v>
      </c>
    </row>
    <row r="109" spans="1:5" x14ac:dyDescent="0.25">
      <c r="A109" s="4">
        <f ca="1">INDEX(Stations,INT((ROWS(A$2:A109)-1)/(DATE(YEAR(Invoer!$A$5),12,31)-DATE(YEAR(Invoer!$A$5),1,1)+1))+2,1)</f>
        <v>32</v>
      </c>
      <c r="B109" t="str">
        <f ca="1">TEXT(DATE(YEAR(Invoer!$A$5),1,1)+MOD(ROWS(B$2:B109)-1,DATE(YEAR(Invoer!$A$5),12,31)-DATE(YEAR(Invoer!$A$5),1,1)+1),"jjjjmmdd")</f>
        <v>19370418</v>
      </c>
      <c r="C109" s="5">
        <v>1</v>
      </c>
      <c r="D109" s="10">
        <f t="shared" ca="1" si="2"/>
        <v>0</v>
      </c>
      <c r="E109" s="11">
        <f t="shared" ca="1" si="3"/>
        <v>0</v>
      </c>
    </row>
    <row r="110" spans="1:5" x14ac:dyDescent="0.25">
      <c r="A110" s="4">
        <f ca="1">INDEX(Stations,INT((ROWS(A$2:A110)-1)/(DATE(YEAR(Invoer!$A$5),12,31)-DATE(YEAR(Invoer!$A$5),1,1)+1))+2,1)</f>
        <v>32</v>
      </c>
      <c r="B110" t="str">
        <f ca="1">TEXT(DATE(YEAR(Invoer!$A$5),1,1)+MOD(ROWS(B$2:B110)-1,DATE(YEAR(Invoer!$A$5),12,31)-DATE(YEAR(Invoer!$A$5),1,1)+1),"jjjjmmdd")</f>
        <v>19370419</v>
      </c>
      <c r="C110" s="5">
        <v>1</v>
      </c>
      <c r="D110" s="10">
        <f t="shared" ca="1" si="2"/>
        <v>0</v>
      </c>
      <c r="E110" s="11">
        <f t="shared" ca="1" si="3"/>
        <v>0</v>
      </c>
    </row>
    <row r="111" spans="1:5" x14ac:dyDescent="0.25">
      <c r="A111" s="4">
        <f ca="1">INDEX(Stations,INT((ROWS(A$2:A111)-1)/(DATE(YEAR(Invoer!$A$5),12,31)-DATE(YEAR(Invoer!$A$5),1,1)+1))+2,1)</f>
        <v>32</v>
      </c>
      <c r="B111" t="str">
        <f ca="1">TEXT(DATE(YEAR(Invoer!$A$5),1,1)+MOD(ROWS(B$2:B111)-1,DATE(YEAR(Invoer!$A$5),12,31)-DATE(YEAR(Invoer!$A$5),1,1)+1),"jjjjmmdd")</f>
        <v>19370420</v>
      </c>
      <c r="C111" s="5">
        <v>1</v>
      </c>
      <c r="D111" s="10">
        <f t="shared" ca="1" si="2"/>
        <v>0</v>
      </c>
      <c r="E111" s="11">
        <f t="shared" ca="1" si="3"/>
        <v>0</v>
      </c>
    </row>
    <row r="112" spans="1:5" x14ac:dyDescent="0.25">
      <c r="A112" s="4">
        <f ca="1">INDEX(Stations,INT((ROWS(A$2:A112)-1)/(DATE(YEAR(Invoer!$A$5),12,31)-DATE(YEAR(Invoer!$A$5),1,1)+1))+2,1)</f>
        <v>32</v>
      </c>
      <c r="B112" t="str">
        <f ca="1">TEXT(DATE(YEAR(Invoer!$A$5),1,1)+MOD(ROWS(B$2:B112)-1,DATE(YEAR(Invoer!$A$5),12,31)-DATE(YEAR(Invoer!$A$5),1,1)+1),"jjjjmmdd")</f>
        <v>19370421</v>
      </c>
      <c r="C112" s="5">
        <v>1</v>
      </c>
      <c r="D112" s="10">
        <f t="shared" ca="1" si="2"/>
        <v>0</v>
      </c>
      <c r="E112" s="11">
        <f t="shared" ca="1" si="3"/>
        <v>0</v>
      </c>
    </row>
    <row r="113" spans="1:5" x14ac:dyDescent="0.25">
      <c r="A113" s="4">
        <f ca="1">INDEX(Stations,INT((ROWS(A$2:A113)-1)/(DATE(YEAR(Invoer!$A$5),12,31)-DATE(YEAR(Invoer!$A$5),1,1)+1))+2,1)</f>
        <v>32</v>
      </c>
      <c r="B113" t="str">
        <f ca="1">TEXT(DATE(YEAR(Invoer!$A$5),1,1)+MOD(ROWS(B$2:B113)-1,DATE(YEAR(Invoer!$A$5),12,31)-DATE(YEAR(Invoer!$A$5),1,1)+1),"jjjjmmdd")</f>
        <v>19370422</v>
      </c>
      <c r="C113" s="5">
        <v>1</v>
      </c>
      <c r="D113" s="10">
        <f t="shared" ca="1" si="2"/>
        <v>0</v>
      </c>
      <c r="E113" s="11">
        <f t="shared" ca="1" si="3"/>
        <v>0</v>
      </c>
    </row>
    <row r="114" spans="1:5" x14ac:dyDescent="0.25">
      <c r="A114" s="4">
        <f ca="1">INDEX(Stations,INT((ROWS(A$2:A114)-1)/(DATE(YEAR(Invoer!$A$5),12,31)-DATE(YEAR(Invoer!$A$5),1,1)+1))+2,1)</f>
        <v>32</v>
      </c>
      <c r="B114" t="str">
        <f ca="1">TEXT(DATE(YEAR(Invoer!$A$5),1,1)+MOD(ROWS(B$2:B114)-1,DATE(YEAR(Invoer!$A$5),12,31)-DATE(YEAR(Invoer!$A$5),1,1)+1),"jjjjmmdd")</f>
        <v>19370423</v>
      </c>
      <c r="C114" s="5">
        <v>1</v>
      </c>
      <c r="D114" s="10">
        <f t="shared" ca="1" si="2"/>
        <v>0</v>
      </c>
      <c r="E114" s="11">
        <f t="shared" ca="1" si="3"/>
        <v>0</v>
      </c>
    </row>
    <row r="115" spans="1:5" x14ac:dyDescent="0.25">
      <c r="A115" s="4">
        <f ca="1">INDEX(Stations,INT((ROWS(A$2:A115)-1)/(DATE(YEAR(Invoer!$A$5),12,31)-DATE(YEAR(Invoer!$A$5),1,1)+1))+2,1)</f>
        <v>32</v>
      </c>
      <c r="B115" t="str">
        <f ca="1">TEXT(DATE(YEAR(Invoer!$A$5),1,1)+MOD(ROWS(B$2:B115)-1,DATE(YEAR(Invoer!$A$5),12,31)-DATE(YEAR(Invoer!$A$5),1,1)+1),"jjjjmmdd")</f>
        <v>19370424</v>
      </c>
      <c r="C115" s="5">
        <v>1</v>
      </c>
      <c r="D115" s="10">
        <f t="shared" ca="1" si="2"/>
        <v>0</v>
      </c>
      <c r="E115" s="11">
        <f t="shared" ca="1" si="3"/>
        <v>0</v>
      </c>
    </row>
    <row r="116" spans="1:5" x14ac:dyDescent="0.25">
      <c r="A116" s="4">
        <f ca="1">INDEX(Stations,INT((ROWS(A$2:A116)-1)/(DATE(YEAR(Invoer!$A$5),12,31)-DATE(YEAR(Invoer!$A$5),1,1)+1))+2,1)</f>
        <v>32</v>
      </c>
      <c r="B116" t="str">
        <f ca="1">TEXT(DATE(YEAR(Invoer!$A$5),1,1)+MOD(ROWS(B$2:B116)-1,DATE(YEAR(Invoer!$A$5),12,31)-DATE(YEAR(Invoer!$A$5),1,1)+1),"jjjjmmdd")</f>
        <v>19370425</v>
      </c>
      <c r="C116" s="5">
        <v>1</v>
      </c>
      <c r="D116" s="10">
        <f t="shared" ca="1" si="2"/>
        <v>0</v>
      </c>
      <c r="E116" s="11">
        <f t="shared" ca="1" si="3"/>
        <v>0</v>
      </c>
    </row>
    <row r="117" spans="1:5" x14ac:dyDescent="0.25">
      <c r="A117" s="4">
        <f ca="1">INDEX(Stations,INT((ROWS(A$2:A117)-1)/(DATE(YEAR(Invoer!$A$5),12,31)-DATE(YEAR(Invoer!$A$5),1,1)+1))+2,1)</f>
        <v>32</v>
      </c>
      <c r="B117" t="str">
        <f ca="1">TEXT(DATE(YEAR(Invoer!$A$5),1,1)+MOD(ROWS(B$2:B117)-1,DATE(YEAR(Invoer!$A$5),12,31)-DATE(YEAR(Invoer!$A$5),1,1)+1),"jjjjmmdd")</f>
        <v>19370426</v>
      </c>
      <c r="C117" s="5">
        <v>1</v>
      </c>
      <c r="D117" s="10">
        <f t="shared" ca="1" si="2"/>
        <v>0</v>
      </c>
      <c r="E117" s="11">
        <f t="shared" ca="1" si="3"/>
        <v>0</v>
      </c>
    </row>
    <row r="118" spans="1:5" x14ac:dyDescent="0.25">
      <c r="A118" s="4">
        <f ca="1">INDEX(Stations,INT((ROWS(A$2:A118)-1)/(DATE(YEAR(Invoer!$A$5),12,31)-DATE(YEAR(Invoer!$A$5),1,1)+1))+2,1)</f>
        <v>32</v>
      </c>
      <c r="B118" t="str">
        <f ca="1">TEXT(DATE(YEAR(Invoer!$A$5),1,1)+MOD(ROWS(B$2:B118)-1,DATE(YEAR(Invoer!$A$5),12,31)-DATE(YEAR(Invoer!$A$5),1,1)+1),"jjjjmmdd")</f>
        <v>19370427</v>
      </c>
      <c r="C118" s="5">
        <v>1</v>
      </c>
      <c r="D118" s="10">
        <f t="shared" ca="1" si="2"/>
        <v>0</v>
      </c>
      <c r="E118" s="11">
        <f t="shared" ca="1" si="3"/>
        <v>0</v>
      </c>
    </row>
    <row r="119" spans="1:5" x14ac:dyDescent="0.25">
      <c r="A119" s="4">
        <f ca="1">INDEX(Stations,INT((ROWS(A$2:A119)-1)/(DATE(YEAR(Invoer!$A$5),12,31)-DATE(YEAR(Invoer!$A$5),1,1)+1))+2,1)</f>
        <v>32</v>
      </c>
      <c r="B119" t="str">
        <f ca="1">TEXT(DATE(YEAR(Invoer!$A$5),1,1)+MOD(ROWS(B$2:B119)-1,DATE(YEAR(Invoer!$A$5),12,31)-DATE(YEAR(Invoer!$A$5),1,1)+1),"jjjjmmdd")</f>
        <v>19370428</v>
      </c>
      <c r="C119" s="5">
        <v>1</v>
      </c>
      <c r="D119" s="10">
        <f t="shared" ca="1" si="2"/>
        <v>0</v>
      </c>
      <c r="E119" s="11">
        <f t="shared" ca="1" si="3"/>
        <v>0</v>
      </c>
    </row>
    <row r="120" spans="1:5" x14ac:dyDescent="0.25">
      <c r="A120" s="4">
        <f ca="1">INDEX(Stations,INT((ROWS(A$2:A120)-1)/(DATE(YEAR(Invoer!$A$5),12,31)-DATE(YEAR(Invoer!$A$5),1,1)+1))+2,1)</f>
        <v>32</v>
      </c>
      <c r="B120" t="str">
        <f ca="1">TEXT(DATE(YEAR(Invoer!$A$5),1,1)+MOD(ROWS(B$2:B120)-1,DATE(YEAR(Invoer!$A$5),12,31)-DATE(YEAR(Invoer!$A$5),1,1)+1),"jjjjmmdd")</f>
        <v>19370429</v>
      </c>
      <c r="C120" s="5">
        <v>1</v>
      </c>
      <c r="D120" s="10">
        <f t="shared" ca="1" si="2"/>
        <v>0</v>
      </c>
      <c r="E120" s="11">
        <f t="shared" ca="1" si="3"/>
        <v>0</v>
      </c>
    </row>
    <row r="121" spans="1:5" x14ac:dyDescent="0.25">
      <c r="A121" s="4">
        <f ca="1">INDEX(Stations,INT((ROWS(A$2:A121)-1)/(DATE(YEAR(Invoer!$A$5),12,31)-DATE(YEAR(Invoer!$A$5),1,1)+1))+2,1)</f>
        <v>32</v>
      </c>
      <c r="B121" t="str">
        <f ca="1">TEXT(DATE(YEAR(Invoer!$A$5),1,1)+MOD(ROWS(B$2:B121)-1,DATE(YEAR(Invoer!$A$5),12,31)-DATE(YEAR(Invoer!$A$5),1,1)+1),"jjjjmmdd")</f>
        <v>19370430</v>
      </c>
      <c r="C121" s="5">
        <v>1</v>
      </c>
      <c r="D121" s="10">
        <f t="shared" ca="1" si="2"/>
        <v>0</v>
      </c>
      <c r="E121" s="11">
        <f t="shared" ca="1" si="3"/>
        <v>0</v>
      </c>
    </row>
    <row r="122" spans="1:5" x14ac:dyDescent="0.25">
      <c r="A122" s="4">
        <f ca="1">INDEX(Stations,INT((ROWS(A$2:A122)-1)/(DATE(YEAR(Invoer!$A$5),12,31)-DATE(YEAR(Invoer!$A$5),1,1)+1))+2,1)</f>
        <v>32</v>
      </c>
      <c r="B122" t="str">
        <f ca="1">TEXT(DATE(YEAR(Invoer!$A$5),1,1)+MOD(ROWS(B$2:B122)-1,DATE(YEAR(Invoer!$A$5),12,31)-DATE(YEAR(Invoer!$A$5),1,1)+1),"jjjjmmdd")</f>
        <v>19370501</v>
      </c>
      <c r="C122" s="5">
        <v>1</v>
      </c>
      <c r="D122" s="10">
        <f t="shared" ca="1" si="2"/>
        <v>0</v>
      </c>
      <c r="E122" s="11">
        <f t="shared" ca="1" si="3"/>
        <v>0</v>
      </c>
    </row>
    <row r="123" spans="1:5" x14ac:dyDescent="0.25">
      <c r="A123" s="4">
        <f ca="1">INDEX(Stations,INT((ROWS(A$2:A123)-1)/(DATE(YEAR(Invoer!$A$5),12,31)-DATE(YEAR(Invoer!$A$5),1,1)+1))+2,1)</f>
        <v>32</v>
      </c>
      <c r="B123" t="str">
        <f ca="1">TEXT(DATE(YEAR(Invoer!$A$5),1,1)+MOD(ROWS(B$2:B123)-1,DATE(YEAR(Invoer!$A$5),12,31)-DATE(YEAR(Invoer!$A$5),1,1)+1),"jjjjmmdd")</f>
        <v>19370502</v>
      </c>
      <c r="C123" s="5">
        <v>1</v>
      </c>
      <c r="D123" s="10">
        <f t="shared" ca="1" si="2"/>
        <v>3</v>
      </c>
      <c r="E123" s="11">
        <f t="shared" ca="1" si="3"/>
        <v>0</v>
      </c>
    </row>
    <row r="124" spans="1:5" x14ac:dyDescent="0.25">
      <c r="A124" s="4">
        <f ca="1">INDEX(Stations,INT((ROWS(A$2:A124)-1)/(DATE(YEAR(Invoer!$A$5),12,31)-DATE(YEAR(Invoer!$A$5),1,1)+1))+2,1)</f>
        <v>32</v>
      </c>
      <c r="B124" t="str">
        <f ca="1">TEXT(DATE(YEAR(Invoer!$A$5),1,1)+MOD(ROWS(B$2:B124)-1,DATE(YEAR(Invoer!$A$5),12,31)-DATE(YEAR(Invoer!$A$5),1,1)+1),"jjjjmmdd")</f>
        <v>19370503</v>
      </c>
      <c r="C124" s="5">
        <v>1</v>
      </c>
      <c r="D124" s="10">
        <f t="shared" ca="1" si="2"/>
        <v>0</v>
      </c>
      <c r="E124" s="11">
        <f t="shared" ca="1" si="3"/>
        <v>0</v>
      </c>
    </row>
    <row r="125" spans="1:5" x14ac:dyDescent="0.25">
      <c r="A125" s="4">
        <f ca="1">INDEX(Stations,INT((ROWS(A$2:A125)-1)/(DATE(YEAR(Invoer!$A$5),12,31)-DATE(YEAR(Invoer!$A$5),1,1)+1))+2,1)</f>
        <v>32</v>
      </c>
      <c r="B125" t="str">
        <f ca="1">TEXT(DATE(YEAR(Invoer!$A$5),1,1)+MOD(ROWS(B$2:B125)-1,DATE(YEAR(Invoer!$A$5),12,31)-DATE(YEAR(Invoer!$A$5),1,1)+1),"jjjjmmdd")</f>
        <v>19370504</v>
      </c>
      <c r="C125" s="5">
        <v>1</v>
      </c>
      <c r="D125" s="10">
        <f t="shared" ca="1" si="2"/>
        <v>0</v>
      </c>
      <c r="E125" s="11">
        <f t="shared" ca="1" si="3"/>
        <v>0</v>
      </c>
    </row>
    <row r="126" spans="1:5" x14ac:dyDescent="0.25">
      <c r="A126" s="4">
        <f ca="1">INDEX(Stations,INT((ROWS(A$2:A126)-1)/(DATE(YEAR(Invoer!$A$5),12,31)-DATE(YEAR(Invoer!$A$5),1,1)+1))+2,1)</f>
        <v>32</v>
      </c>
      <c r="B126" t="str">
        <f ca="1">TEXT(DATE(YEAR(Invoer!$A$5),1,1)+MOD(ROWS(B$2:B126)-1,DATE(YEAR(Invoer!$A$5),12,31)-DATE(YEAR(Invoer!$A$5),1,1)+1),"jjjjmmdd")</f>
        <v>19370505</v>
      </c>
      <c r="C126" s="5">
        <v>1</v>
      </c>
      <c r="D126" s="10">
        <f t="shared" ca="1" si="2"/>
        <v>0</v>
      </c>
      <c r="E126" s="11">
        <f t="shared" ca="1" si="3"/>
        <v>0</v>
      </c>
    </row>
    <row r="127" spans="1:5" x14ac:dyDescent="0.25">
      <c r="A127" s="4">
        <f ca="1">INDEX(Stations,INT((ROWS(A$2:A127)-1)/(DATE(YEAR(Invoer!$A$5),12,31)-DATE(YEAR(Invoer!$A$5),1,1)+1))+2,1)</f>
        <v>32</v>
      </c>
      <c r="B127" t="str">
        <f ca="1">TEXT(DATE(YEAR(Invoer!$A$5),1,1)+MOD(ROWS(B$2:B127)-1,DATE(YEAR(Invoer!$A$5),12,31)-DATE(YEAR(Invoer!$A$5),1,1)+1),"jjjjmmdd")</f>
        <v>19370506</v>
      </c>
      <c r="C127" s="5">
        <v>1</v>
      </c>
      <c r="D127" s="10">
        <f t="shared" ca="1" si="2"/>
        <v>0</v>
      </c>
      <c r="E127" s="11">
        <f t="shared" ca="1" si="3"/>
        <v>0</v>
      </c>
    </row>
    <row r="128" spans="1:5" x14ac:dyDescent="0.25">
      <c r="A128" s="4">
        <f ca="1">INDEX(Stations,INT((ROWS(A$2:A128)-1)/(DATE(YEAR(Invoer!$A$5),12,31)-DATE(YEAR(Invoer!$A$5),1,1)+1))+2,1)</f>
        <v>32</v>
      </c>
      <c r="B128" t="str">
        <f ca="1">TEXT(DATE(YEAR(Invoer!$A$5),1,1)+MOD(ROWS(B$2:B128)-1,DATE(YEAR(Invoer!$A$5),12,31)-DATE(YEAR(Invoer!$A$5),1,1)+1),"jjjjmmdd")</f>
        <v>19370507</v>
      </c>
      <c r="C128" s="5">
        <v>1</v>
      </c>
      <c r="D128" s="10">
        <f t="shared" ca="1" si="2"/>
        <v>0</v>
      </c>
      <c r="E128" s="11">
        <f t="shared" ca="1" si="3"/>
        <v>0</v>
      </c>
    </row>
    <row r="129" spans="1:5" x14ac:dyDescent="0.25">
      <c r="A129" s="4">
        <f ca="1">INDEX(Stations,INT((ROWS(A$2:A129)-1)/(DATE(YEAR(Invoer!$A$5),12,31)-DATE(YEAR(Invoer!$A$5),1,1)+1))+2,1)</f>
        <v>32</v>
      </c>
      <c r="B129" t="str">
        <f ca="1">TEXT(DATE(YEAR(Invoer!$A$5),1,1)+MOD(ROWS(B$2:B129)-1,DATE(YEAR(Invoer!$A$5),12,31)-DATE(YEAR(Invoer!$A$5),1,1)+1),"jjjjmmdd")</f>
        <v>19370508</v>
      </c>
      <c r="C129" s="5">
        <v>1</v>
      </c>
      <c r="D129" s="10">
        <f t="shared" ca="1" si="2"/>
        <v>0</v>
      </c>
      <c r="E129" s="11">
        <f t="shared" ca="1" si="3"/>
        <v>0</v>
      </c>
    </row>
    <row r="130" spans="1:5" x14ac:dyDescent="0.25">
      <c r="A130" s="4">
        <f ca="1">INDEX(Stations,INT((ROWS(A$2:A130)-1)/(DATE(YEAR(Invoer!$A$5),12,31)-DATE(YEAR(Invoer!$A$5),1,1)+1))+2,1)</f>
        <v>32</v>
      </c>
      <c r="B130" t="str">
        <f ca="1">TEXT(DATE(YEAR(Invoer!$A$5),1,1)+MOD(ROWS(B$2:B130)-1,DATE(YEAR(Invoer!$A$5),12,31)-DATE(YEAR(Invoer!$A$5),1,1)+1),"jjjjmmdd")</f>
        <v>19370509</v>
      </c>
      <c r="C130" s="5">
        <v>1</v>
      </c>
      <c r="D130" s="10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1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4">
        <f ca="1">INDEX(Stations,INT((ROWS(A$2:A131)-1)/(DATE(YEAR(Invoer!$A$5),12,31)-DATE(YEAR(Invoer!$A$5),1,1)+1))+2,1)</f>
        <v>32</v>
      </c>
      <c r="B131" t="str">
        <f ca="1">TEXT(DATE(YEAR(Invoer!$A$5),1,1)+MOD(ROWS(B$2:B131)-1,DATE(YEAR(Invoer!$A$5),12,31)-DATE(YEAR(Invoer!$A$5),1,1)+1),"jjjjmmdd")</f>
        <v>19370510</v>
      </c>
      <c r="C131" s="5">
        <v>1</v>
      </c>
      <c r="D131" s="10">
        <f t="shared" ca="1" si="4"/>
        <v>0</v>
      </c>
      <c r="E131" s="11">
        <f t="shared" ca="1" si="5"/>
        <v>0</v>
      </c>
    </row>
    <row r="132" spans="1:5" x14ac:dyDescent="0.25">
      <c r="A132" s="4">
        <f ca="1">INDEX(Stations,INT((ROWS(A$2:A132)-1)/(DATE(YEAR(Invoer!$A$5),12,31)-DATE(YEAR(Invoer!$A$5),1,1)+1))+2,1)</f>
        <v>32</v>
      </c>
      <c r="B132" t="str">
        <f ca="1">TEXT(DATE(YEAR(Invoer!$A$5),1,1)+MOD(ROWS(B$2:B132)-1,DATE(YEAR(Invoer!$A$5),12,31)-DATE(YEAR(Invoer!$A$5),1,1)+1),"jjjjmmdd")</f>
        <v>19370511</v>
      </c>
      <c r="C132" s="5">
        <v>1</v>
      </c>
      <c r="D132" s="10">
        <f t="shared" ca="1" si="4"/>
        <v>0</v>
      </c>
      <c r="E132" s="11">
        <f t="shared" ca="1" si="5"/>
        <v>0</v>
      </c>
    </row>
    <row r="133" spans="1:5" x14ac:dyDescent="0.25">
      <c r="A133" s="4">
        <f ca="1">INDEX(Stations,INT((ROWS(A$2:A133)-1)/(DATE(YEAR(Invoer!$A$5),12,31)-DATE(YEAR(Invoer!$A$5),1,1)+1))+2,1)</f>
        <v>32</v>
      </c>
      <c r="B133" t="str">
        <f ca="1">TEXT(DATE(YEAR(Invoer!$A$5),1,1)+MOD(ROWS(B$2:B133)-1,DATE(YEAR(Invoer!$A$5),12,31)-DATE(YEAR(Invoer!$A$5),1,1)+1),"jjjjmmdd")</f>
        <v>19370512</v>
      </c>
      <c r="C133" s="5">
        <v>1</v>
      </c>
      <c r="D133" s="10">
        <f t="shared" ca="1" si="4"/>
        <v>0</v>
      </c>
      <c r="E133" s="11">
        <f t="shared" ca="1" si="5"/>
        <v>0</v>
      </c>
    </row>
    <row r="134" spans="1:5" x14ac:dyDescent="0.25">
      <c r="A134" s="4">
        <f ca="1">INDEX(Stations,INT((ROWS(A$2:A134)-1)/(DATE(YEAR(Invoer!$A$5),12,31)-DATE(YEAR(Invoer!$A$5),1,1)+1))+2,1)</f>
        <v>32</v>
      </c>
      <c r="B134" t="str">
        <f ca="1">TEXT(DATE(YEAR(Invoer!$A$5),1,1)+MOD(ROWS(B$2:B134)-1,DATE(YEAR(Invoer!$A$5),12,31)-DATE(YEAR(Invoer!$A$5),1,1)+1),"jjjjmmdd")</f>
        <v>19370513</v>
      </c>
      <c r="C134" s="5">
        <v>1</v>
      </c>
      <c r="D134" s="10">
        <f t="shared" ca="1" si="4"/>
        <v>0</v>
      </c>
      <c r="E134" s="11">
        <f t="shared" ca="1" si="5"/>
        <v>0</v>
      </c>
    </row>
    <row r="135" spans="1:5" x14ac:dyDescent="0.25">
      <c r="A135" s="4">
        <f ca="1">INDEX(Stations,INT((ROWS(A$2:A135)-1)/(DATE(YEAR(Invoer!$A$5),12,31)-DATE(YEAR(Invoer!$A$5),1,1)+1))+2,1)</f>
        <v>32</v>
      </c>
      <c r="B135" t="str">
        <f ca="1">TEXT(DATE(YEAR(Invoer!$A$5),1,1)+MOD(ROWS(B$2:B135)-1,DATE(YEAR(Invoer!$A$5),12,31)-DATE(YEAR(Invoer!$A$5),1,1)+1),"jjjjmmdd")</f>
        <v>19370514</v>
      </c>
      <c r="C135" s="5">
        <v>1</v>
      </c>
      <c r="D135" s="10">
        <f t="shared" ca="1" si="4"/>
        <v>0</v>
      </c>
      <c r="E135" s="11">
        <f t="shared" ca="1" si="5"/>
        <v>0</v>
      </c>
    </row>
    <row r="136" spans="1:5" x14ac:dyDescent="0.25">
      <c r="A136" s="4">
        <f ca="1">INDEX(Stations,INT((ROWS(A$2:A136)-1)/(DATE(YEAR(Invoer!$A$5),12,31)-DATE(YEAR(Invoer!$A$5),1,1)+1))+2,1)</f>
        <v>32</v>
      </c>
      <c r="B136" t="str">
        <f ca="1">TEXT(DATE(YEAR(Invoer!$A$5),1,1)+MOD(ROWS(B$2:B136)-1,DATE(YEAR(Invoer!$A$5),12,31)-DATE(YEAR(Invoer!$A$5),1,1)+1),"jjjjmmdd")</f>
        <v>19370515</v>
      </c>
      <c r="C136" s="5">
        <v>1</v>
      </c>
      <c r="D136" s="10">
        <f t="shared" ca="1" si="4"/>
        <v>0</v>
      </c>
      <c r="E136" s="11">
        <f t="shared" ca="1" si="5"/>
        <v>0</v>
      </c>
    </row>
    <row r="137" spans="1:5" x14ac:dyDescent="0.25">
      <c r="A137" s="4">
        <f ca="1">INDEX(Stations,INT((ROWS(A$2:A137)-1)/(DATE(YEAR(Invoer!$A$5),12,31)-DATE(YEAR(Invoer!$A$5),1,1)+1))+2,1)</f>
        <v>32</v>
      </c>
      <c r="B137" t="str">
        <f ca="1">TEXT(DATE(YEAR(Invoer!$A$5),1,1)+MOD(ROWS(B$2:B137)-1,DATE(YEAR(Invoer!$A$5),12,31)-DATE(YEAR(Invoer!$A$5),1,1)+1),"jjjjmmdd")</f>
        <v>19370516</v>
      </c>
      <c r="C137" s="5">
        <v>1</v>
      </c>
      <c r="D137" s="10">
        <f t="shared" ca="1" si="4"/>
        <v>0</v>
      </c>
      <c r="E137" s="11">
        <f t="shared" ca="1" si="5"/>
        <v>0</v>
      </c>
    </row>
    <row r="138" spans="1:5" x14ac:dyDescent="0.25">
      <c r="A138" s="4">
        <f ca="1">INDEX(Stations,INT((ROWS(A$2:A138)-1)/(DATE(YEAR(Invoer!$A$5),12,31)-DATE(YEAR(Invoer!$A$5),1,1)+1))+2,1)</f>
        <v>32</v>
      </c>
      <c r="B138" t="str">
        <f ca="1">TEXT(DATE(YEAR(Invoer!$A$5),1,1)+MOD(ROWS(B$2:B138)-1,DATE(YEAR(Invoer!$A$5),12,31)-DATE(YEAR(Invoer!$A$5),1,1)+1),"jjjjmmdd")</f>
        <v>19370517</v>
      </c>
      <c r="C138" s="5">
        <v>1</v>
      </c>
      <c r="D138" s="10">
        <f t="shared" ca="1" si="4"/>
        <v>0</v>
      </c>
      <c r="E138" s="11">
        <f t="shared" ca="1" si="5"/>
        <v>0</v>
      </c>
    </row>
    <row r="139" spans="1:5" x14ac:dyDescent="0.25">
      <c r="A139" s="4">
        <f ca="1">INDEX(Stations,INT((ROWS(A$2:A139)-1)/(DATE(YEAR(Invoer!$A$5),12,31)-DATE(YEAR(Invoer!$A$5),1,1)+1))+2,1)</f>
        <v>32</v>
      </c>
      <c r="B139" t="str">
        <f ca="1">TEXT(DATE(YEAR(Invoer!$A$5),1,1)+MOD(ROWS(B$2:B139)-1,DATE(YEAR(Invoer!$A$5),12,31)-DATE(YEAR(Invoer!$A$5),1,1)+1),"jjjjmmdd")</f>
        <v>19370518</v>
      </c>
      <c r="C139" s="5">
        <v>1</v>
      </c>
      <c r="D139" s="10">
        <f t="shared" ca="1" si="4"/>
        <v>0</v>
      </c>
      <c r="E139" s="11">
        <f t="shared" ca="1" si="5"/>
        <v>0</v>
      </c>
    </row>
    <row r="140" spans="1:5" x14ac:dyDescent="0.25">
      <c r="A140" s="4">
        <f ca="1">INDEX(Stations,INT((ROWS(A$2:A140)-1)/(DATE(YEAR(Invoer!$A$5),12,31)-DATE(YEAR(Invoer!$A$5),1,1)+1))+2,1)</f>
        <v>32</v>
      </c>
      <c r="B140" t="str">
        <f ca="1">TEXT(DATE(YEAR(Invoer!$A$5),1,1)+MOD(ROWS(B$2:B140)-1,DATE(YEAR(Invoer!$A$5),12,31)-DATE(YEAR(Invoer!$A$5),1,1)+1),"jjjjmmdd")</f>
        <v>19370519</v>
      </c>
      <c r="C140" s="5">
        <v>1</v>
      </c>
      <c r="D140" s="10">
        <f t="shared" ca="1" si="4"/>
        <v>0</v>
      </c>
      <c r="E140" s="11">
        <f t="shared" ca="1" si="5"/>
        <v>0</v>
      </c>
    </row>
    <row r="141" spans="1:5" x14ac:dyDescent="0.25">
      <c r="A141" s="4">
        <f ca="1">INDEX(Stations,INT((ROWS(A$2:A141)-1)/(DATE(YEAR(Invoer!$A$5),12,31)-DATE(YEAR(Invoer!$A$5),1,1)+1))+2,1)</f>
        <v>32</v>
      </c>
      <c r="B141" t="str">
        <f ca="1">TEXT(DATE(YEAR(Invoer!$A$5),1,1)+MOD(ROWS(B$2:B141)-1,DATE(YEAR(Invoer!$A$5),12,31)-DATE(YEAR(Invoer!$A$5),1,1)+1),"jjjjmmdd")</f>
        <v>19370520</v>
      </c>
      <c r="C141" s="5">
        <v>1</v>
      </c>
      <c r="D141" s="10">
        <f t="shared" ca="1" si="4"/>
        <v>0</v>
      </c>
      <c r="E141" s="11">
        <f t="shared" ca="1" si="5"/>
        <v>0</v>
      </c>
    </row>
    <row r="142" spans="1:5" x14ac:dyDescent="0.25">
      <c r="A142" s="4">
        <f ca="1">INDEX(Stations,INT((ROWS(A$2:A142)-1)/(DATE(YEAR(Invoer!$A$5),12,31)-DATE(YEAR(Invoer!$A$5),1,1)+1))+2,1)</f>
        <v>32</v>
      </c>
      <c r="B142" t="str">
        <f ca="1">TEXT(DATE(YEAR(Invoer!$A$5),1,1)+MOD(ROWS(B$2:B142)-1,DATE(YEAR(Invoer!$A$5),12,31)-DATE(YEAR(Invoer!$A$5),1,1)+1),"jjjjmmdd")</f>
        <v>19370521</v>
      </c>
      <c r="C142" s="5">
        <v>1</v>
      </c>
      <c r="D142" s="10">
        <f t="shared" ca="1" si="4"/>
        <v>0</v>
      </c>
      <c r="E142" s="11">
        <f t="shared" ca="1" si="5"/>
        <v>0</v>
      </c>
    </row>
    <row r="143" spans="1:5" x14ac:dyDescent="0.25">
      <c r="A143" s="4">
        <f ca="1">INDEX(Stations,INT((ROWS(A$2:A143)-1)/(DATE(YEAR(Invoer!$A$5),12,31)-DATE(YEAR(Invoer!$A$5),1,1)+1))+2,1)</f>
        <v>32</v>
      </c>
      <c r="B143" t="str">
        <f ca="1">TEXT(DATE(YEAR(Invoer!$A$5),1,1)+MOD(ROWS(B$2:B143)-1,DATE(YEAR(Invoer!$A$5),12,31)-DATE(YEAR(Invoer!$A$5),1,1)+1),"jjjjmmdd")</f>
        <v>19370522</v>
      </c>
      <c r="C143" s="5">
        <v>1</v>
      </c>
      <c r="D143" s="10">
        <f t="shared" ca="1" si="4"/>
        <v>0</v>
      </c>
      <c r="E143" s="11">
        <f t="shared" ca="1" si="5"/>
        <v>0</v>
      </c>
    </row>
    <row r="144" spans="1:5" x14ac:dyDescent="0.25">
      <c r="A144" s="4">
        <f ca="1">INDEX(Stations,INT((ROWS(A$2:A144)-1)/(DATE(YEAR(Invoer!$A$5),12,31)-DATE(YEAR(Invoer!$A$5),1,1)+1))+2,1)</f>
        <v>32</v>
      </c>
      <c r="B144" t="str">
        <f ca="1">TEXT(DATE(YEAR(Invoer!$A$5),1,1)+MOD(ROWS(B$2:B144)-1,DATE(YEAR(Invoer!$A$5),12,31)-DATE(YEAR(Invoer!$A$5),1,1)+1),"jjjjmmdd")</f>
        <v>19370523</v>
      </c>
      <c r="C144" s="5">
        <v>1</v>
      </c>
      <c r="D144" s="10">
        <f t="shared" ca="1" si="4"/>
        <v>0</v>
      </c>
      <c r="E144" s="11">
        <f t="shared" ca="1" si="5"/>
        <v>0</v>
      </c>
    </row>
    <row r="145" spans="1:5" x14ac:dyDescent="0.25">
      <c r="A145" s="4">
        <f ca="1">INDEX(Stations,INT((ROWS(A$2:A145)-1)/(DATE(YEAR(Invoer!$A$5),12,31)-DATE(YEAR(Invoer!$A$5),1,1)+1))+2,1)</f>
        <v>32</v>
      </c>
      <c r="B145" t="str">
        <f ca="1">TEXT(DATE(YEAR(Invoer!$A$5),1,1)+MOD(ROWS(B$2:B145)-1,DATE(YEAR(Invoer!$A$5),12,31)-DATE(YEAR(Invoer!$A$5),1,1)+1),"jjjjmmdd")</f>
        <v>19370524</v>
      </c>
      <c r="C145" s="5">
        <v>1</v>
      </c>
      <c r="D145" s="10">
        <f t="shared" ca="1" si="4"/>
        <v>0</v>
      </c>
      <c r="E145" s="11">
        <f t="shared" ca="1" si="5"/>
        <v>0</v>
      </c>
    </row>
    <row r="146" spans="1:5" x14ac:dyDescent="0.25">
      <c r="A146" s="4">
        <f ca="1">INDEX(Stations,INT((ROWS(A$2:A146)-1)/(DATE(YEAR(Invoer!$A$5),12,31)-DATE(YEAR(Invoer!$A$5),1,1)+1))+2,1)</f>
        <v>32</v>
      </c>
      <c r="B146" t="str">
        <f ca="1">TEXT(DATE(YEAR(Invoer!$A$5),1,1)+MOD(ROWS(B$2:B146)-1,DATE(YEAR(Invoer!$A$5),12,31)-DATE(YEAR(Invoer!$A$5),1,1)+1),"jjjjmmdd")</f>
        <v>19370525</v>
      </c>
      <c r="C146" s="5">
        <v>1</v>
      </c>
      <c r="D146" s="10">
        <f t="shared" ca="1" si="4"/>
        <v>0</v>
      </c>
      <c r="E146" s="11">
        <f t="shared" ca="1" si="5"/>
        <v>0</v>
      </c>
    </row>
    <row r="147" spans="1:5" x14ac:dyDescent="0.25">
      <c r="A147" s="4">
        <f ca="1">INDEX(Stations,INT((ROWS(A$2:A147)-1)/(DATE(YEAR(Invoer!$A$5),12,31)-DATE(YEAR(Invoer!$A$5),1,1)+1))+2,1)</f>
        <v>32</v>
      </c>
      <c r="B147" t="str">
        <f ca="1">TEXT(DATE(YEAR(Invoer!$A$5),1,1)+MOD(ROWS(B$2:B147)-1,DATE(YEAR(Invoer!$A$5),12,31)-DATE(YEAR(Invoer!$A$5),1,1)+1),"jjjjmmdd")</f>
        <v>19370526</v>
      </c>
      <c r="C147" s="5">
        <v>1</v>
      </c>
      <c r="D147" s="10">
        <f t="shared" ca="1" si="4"/>
        <v>0</v>
      </c>
      <c r="E147" s="11">
        <f t="shared" ca="1" si="5"/>
        <v>0</v>
      </c>
    </row>
    <row r="148" spans="1:5" x14ac:dyDescent="0.25">
      <c r="A148" s="4">
        <f ca="1">INDEX(Stations,INT((ROWS(A$2:A148)-1)/(DATE(YEAR(Invoer!$A$5),12,31)-DATE(YEAR(Invoer!$A$5),1,1)+1))+2,1)</f>
        <v>32</v>
      </c>
      <c r="B148" t="str">
        <f ca="1">TEXT(DATE(YEAR(Invoer!$A$5),1,1)+MOD(ROWS(B$2:B148)-1,DATE(YEAR(Invoer!$A$5),12,31)-DATE(YEAR(Invoer!$A$5),1,1)+1),"jjjjmmdd")</f>
        <v>19370527</v>
      </c>
      <c r="C148" s="5">
        <v>1</v>
      </c>
      <c r="D148" s="10">
        <f t="shared" ca="1" si="4"/>
        <v>20</v>
      </c>
      <c r="E148" s="11">
        <f t="shared" ca="1" si="5"/>
        <v>0</v>
      </c>
    </row>
    <row r="149" spans="1:5" x14ac:dyDescent="0.25">
      <c r="A149" s="4">
        <f ca="1">INDEX(Stations,INT((ROWS(A$2:A149)-1)/(DATE(YEAR(Invoer!$A$5),12,31)-DATE(YEAR(Invoer!$A$5),1,1)+1))+2,1)</f>
        <v>32</v>
      </c>
      <c r="B149" t="str">
        <f ca="1">TEXT(DATE(YEAR(Invoer!$A$5),1,1)+MOD(ROWS(B$2:B149)-1,DATE(YEAR(Invoer!$A$5),12,31)-DATE(YEAR(Invoer!$A$5),1,1)+1),"jjjjmmdd")</f>
        <v>19370528</v>
      </c>
      <c r="C149" s="5">
        <v>1</v>
      </c>
      <c r="D149" s="10">
        <f t="shared" ca="1" si="4"/>
        <v>0</v>
      </c>
      <c r="E149" s="11">
        <f t="shared" ca="1" si="5"/>
        <v>0</v>
      </c>
    </row>
    <row r="150" spans="1:5" x14ac:dyDescent="0.25">
      <c r="A150" s="4">
        <f ca="1">INDEX(Stations,INT((ROWS(A$2:A150)-1)/(DATE(YEAR(Invoer!$A$5),12,31)-DATE(YEAR(Invoer!$A$5),1,1)+1))+2,1)</f>
        <v>32</v>
      </c>
      <c r="B150" t="str">
        <f ca="1">TEXT(DATE(YEAR(Invoer!$A$5),1,1)+MOD(ROWS(B$2:B150)-1,DATE(YEAR(Invoer!$A$5),12,31)-DATE(YEAR(Invoer!$A$5),1,1)+1),"jjjjmmdd")</f>
        <v>19370529</v>
      </c>
      <c r="C150" s="5">
        <v>1</v>
      </c>
      <c r="D150" s="10">
        <f t="shared" ca="1" si="4"/>
        <v>0</v>
      </c>
      <c r="E150" s="11">
        <f t="shared" ca="1" si="5"/>
        <v>0</v>
      </c>
    </row>
    <row r="151" spans="1:5" x14ac:dyDescent="0.25">
      <c r="A151" s="4">
        <f ca="1">INDEX(Stations,INT((ROWS(A$2:A151)-1)/(DATE(YEAR(Invoer!$A$5),12,31)-DATE(YEAR(Invoer!$A$5),1,1)+1))+2,1)</f>
        <v>32</v>
      </c>
      <c r="B151" t="str">
        <f ca="1">TEXT(DATE(YEAR(Invoer!$A$5),1,1)+MOD(ROWS(B$2:B151)-1,DATE(YEAR(Invoer!$A$5),12,31)-DATE(YEAR(Invoer!$A$5),1,1)+1),"jjjjmmdd")</f>
        <v>19370530</v>
      </c>
      <c r="C151" s="5">
        <v>1</v>
      </c>
      <c r="D151" s="10">
        <f t="shared" ca="1" si="4"/>
        <v>0</v>
      </c>
      <c r="E151" s="11">
        <f t="shared" ca="1" si="5"/>
        <v>0</v>
      </c>
    </row>
    <row r="152" spans="1:5" x14ac:dyDescent="0.25">
      <c r="A152" s="4">
        <f ca="1">INDEX(Stations,INT((ROWS(A$2:A152)-1)/(DATE(YEAR(Invoer!$A$5),12,31)-DATE(YEAR(Invoer!$A$5),1,1)+1))+2,1)</f>
        <v>32</v>
      </c>
      <c r="B152" t="str">
        <f ca="1">TEXT(DATE(YEAR(Invoer!$A$5),1,1)+MOD(ROWS(B$2:B152)-1,DATE(YEAR(Invoer!$A$5),12,31)-DATE(YEAR(Invoer!$A$5),1,1)+1),"jjjjmmdd")</f>
        <v>19370531</v>
      </c>
      <c r="C152" s="5">
        <v>1</v>
      </c>
      <c r="D152" s="10">
        <f t="shared" ca="1" si="4"/>
        <v>0</v>
      </c>
      <c r="E152" s="11">
        <f t="shared" ca="1" si="5"/>
        <v>0</v>
      </c>
    </row>
    <row r="153" spans="1:5" x14ac:dyDescent="0.25">
      <c r="A153" s="4">
        <f ca="1">INDEX(Stations,INT((ROWS(A$2:A153)-1)/(DATE(YEAR(Invoer!$A$5),12,31)-DATE(YEAR(Invoer!$A$5),1,1)+1))+2,1)</f>
        <v>32</v>
      </c>
      <c r="B153" t="str">
        <f ca="1">TEXT(DATE(YEAR(Invoer!$A$5),1,1)+MOD(ROWS(B$2:B153)-1,DATE(YEAR(Invoer!$A$5),12,31)-DATE(YEAR(Invoer!$A$5),1,1)+1),"jjjjmmdd")</f>
        <v>19370601</v>
      </c>
      <c r="C153" s="5">
        <v>1</v>
      </c>
      <c r="D153" s="10">
        <f t="shared" ca="1" si="4"/>
        <v>0</v>
      </c>
      <c r="E153" s="11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32</v>
      </c>
      <c r="B154" t="str">
        <f ca="1">TEXT(DATE(YEAR(Invoer!$A$5),1,1)+MOD(ROWS(B$2:B154)-1,DATE(YEAR(Invoer!$A$5),12,31)-DATE(YEAR(Invoer!$A$5),1,1)+1),"jjjjmmdd")</f>
        <v>19370602</v>
      </c>
      <c r="C154" s="5">
        <v>1</v>
      </c>
      <c r="D154" s="10">
        <f t="shared" ca="1" si="4"/>
        <v>0</v>
      </c>
      <c r="E154" s="11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32</v>
      </c>
      <c r="B155" t="str">
        <f ca="1">TEXT(DATE(YEAR(Invoer!$A$5),1,1)+MOD(ROWS(B$2:B155)-1,DATE(YEAR(Invoer!$A$5),12,31)-DATE(YEAR(Invoer!$A$5),1,1)+1),"jjjjmmdd")</f>
        <v>19370603</v>
      </c>
      <c r="C155" s="5">
        <v>1</v>
      </c>
      <c r="D155" s="10">
        <f t="shared" ca="1" si="4"/>
        <v>0</v>
      </c>
      <c r="E155" s="11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32</v>
      </c>
      <c r="B156" t="str">
        <f ca="1">TEXT(DATE(YEAR(Invoer!$A$5),1,1)+MOD(ROWS(B$2:B156)-1,DATE(YEAR(Invoer!$A$5),12,31)-DATE(YEAR(Invoer!$A$5),1,1)+1),"jjjjmmdd")</f>
        <v>19370604</v>
      </c>
      <c r="C156" s="5">
        <v>1</v>
      </c>
      <c r="D156" s="10">
        <f t="shared" ca="1" si="4"/>
        <v>0</v>
      </c>
      <c r="E156" s="11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32</v>
      </c>
      <c r="B157" t="str">
        <f ca="1">TEXT(DATE(YEAR(Invoer!$A$5),1,1)+MOD(ROWS(B$2:B157)-1,DATE(YEAR(Invoer!$A$5),12,31)-DATE(YEAR(Invoer!$A$5),1,1)+1),"jjjjmmdd")</f>
        <v>19370605</v>
      </c>
      <c r="C157" s="5">
        <v>1</v>
      </c>
      <c r="D157" s="10">
        <f t="shared" ca="1" si="4"/>
        <v>0</v>
      </c>
      <c r="E157" s="11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32</v>
      </c>
      <c r="B158" t="str">
        <f ca="1">TEXT(DATE(YEAR(Invoer!$A$5),1,1)+MOD(ROWS(B$2:B158)-1,DATE(YEAR(Invoer!$A$5),12,31)-DATE(YEAR(Invoer!$A$5),1,1)+1),"jjjjmmdd")</f>
        <v>19370606</v>
      </c>
      <c r="C158" s="5">
        <v>1</v>
      </c>
      <c r="D158" s="10">
        <f t="shared" ca="1" si="4"/>
        <v>0</v>
      </c>
      <c r="E158" s="11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32</v>
      </c>
      <c r="B159" t="str">
        <f ca="1">TEXT(DATE(YEAR(Invoer!$A$5),1,1)+MOD(ROWS(B$2:B159)-1,DATE(YEAR(Invoer!$A$5),12,31)-DATE(YEAR(Invoer!$A$5),1,1)+1),"jjjjmmdd")</f>
        <v>19370607</v>
      </c>
      <c r="C159" s="5">
        <v>1</v>
      </c>
      <c r="D159" s="10">
        <f t="shared" ca="1" si="4"/>
        <v>2</v>
      </c>
      <c r="E159" s="11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32</v>
      </c>
      <c r="B160" t="str">
        <f ca="1">TEXT(DATE(YEAR(Invoer!$A$5),1,1)+MOD(ROWS(B$2:B160)-1,DATE(YEAR(Invoer!$A$5),12,31)-DATE(YEAR(Invoer!$A$5),1,1)+1),"jjjjmmdd")</f>
        <v>19370608</v>
      </c>
      <c r="C160" s="5">
        <v>1</v>
      </c>
      <c r="D160" s="10">
        <f t="shared" ca="1" si="4"/>
        <v>0</v>
      </c>
      <c r="E160" s="11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32</v>
      </c>
      <c r="B161" t="str">
        <f ca="1">TEXT(DATE(YEAR(Invoer!$A$5),1,1)+MOD(ROWS(B$2:B161)-1,DATE(YEAR(Invoer!$A$5),12,31)-DATE(YEAR(Invoer!$A$5),1,1)+1),"jjjjmmdd")</f>
        <v>19370609</v>
      </c>
      <c r="C161" s="5">
        <v>1</v>
      </c>
      <c r="D161" s="10">
        <f t="shared" ca="1" si="4"/>
        <v>0</v>
      </c>
      <c r="E161" s="11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32</v>
      </c>
      <c r="B162" t="str">
        <f ca="1">TEXT(DATE(YEAR(Invoer!$A$5),1,1)+MOD(ROWS(B$2:B162)-1,DATE(YEAR(Invoer!$A$5),12,31)-DATE(YEAR(Invoer!$A$5),1,1)+1),"jjjjmmdd")</f>
        <v>19370610</v>
      </c>
      <c r="C162" s="5">
        <v>1</v>
      </c>
      <c r="D162" s="10">
        <f t="shared" ca="1" si="4"/>
        <v>0</v>
      </c>
      <c r="E162" s="11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32</v>
      </c>
      <c r="B163" t="str">
        <f ca="1">TEXT(DATE(YEAR(Invoer!$A$5),1,1)+MOD(ROWS(B$2:B163)-1,DATE(YEAR(Invoer!$A$5),12,31)-DATE(YEAR(Invoer!$A$5),1,1)+1),"jjjjmmdd")</f>
        <v>19370611</v>
      </c>
      <c r="C163" s="5">
        <v>1</v>
      </c>
      <c r="D163" s="10">
        <f t="shared" ca="1" si="4"/>
        <v>0</v>
      </c>
      <c r="E163" s="11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32</v>
      </c>
      <c r="B164" t="str">
        <f ca="1">TEXT(DATE(YEAR(Invoer!$A$5),1,1)+MOD(ROWS(B$2:B164)-1,DATE(YEAR(Invoer!$A$5),12,31)-DATE(YEAR(Invoer!$A$5),1,1)+1),"jjjjmmdd")</f>
        <v>19370612</v>
      </c>
      <c r="C164" s="5">
        <v>1</v>
      </c>
      <c r="D164" s="10">
        <f t="shared" ca="1" si="4"/>
        <v>0</v>
      </c>
      <c r="E164" s="11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32</v>
      </c>
      <c r="B165" t="str">
        <f ca="1">TEXT(DATE(YEAR(Invoer!$A$5),1,1)+MOD(ROWS(B$2:B165)-1,DATE(YEAR(Invoer!$A$5),12,31)-DATE(YEAR(Invoer!$A$5),1,1)+1),"jjjjmmdd")</f>
        <v>19370613</v>
      </c>
      <c r="C165" s="5">
        <v>1</v>
      </c>
      <c r="D165" s="10">
        <f t="shared" ca="1" si="4"/>
        <v>2</v>
      </c>
      <c r="E165" s="11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32</v>
      </c>
      <c r="B166" t="str">
        <f ca="1">TEXT(DATE(YEAR(Invoer!$A$5),1,1)+MOD(ROWS(B$2:B166)-1,DATE(YEAR(Invoer!$A$5),12,31)-DATE(YEAR(Invoer!$A$5),1,1)+1),"jjjjmmdd")</f>
        <v>19370614</v>
      </c>
      <c r="C166" s="5">
        <v>1</v>
      </c>
      <c r="D166" s="10">
        <f t="shared" ca="1" si="4"/>
        <v>0</v>
      </c>
      <c r="E166" s="11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32</v>
      </c>
      <c r="B167" t="str">
        <f ca="1">TEXT(DATE(YEAR(Invoer!$A$5),1,1)+MOD(ROWS(B$2:B167)-1,DATE(YEAR(Invoer!$A$5),12,31)-DATE(YEAR(Invoer!$A$5),1,1)+1),"jjjjmmdd")</f>
        <v>19370615</v>
      </c>
      <c r="C167" s="5">
        <v>1</v>
      </c>
      <c r="D167" s="10">
        <f t="shared" ca="1" si="4"/>
        <v>22</v>
      </c>
      <c r="E167" s="11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32</v>
      </c>
      <c r="B168" t="str">
        <f ca="1">TEXT(DATE(YEAR(Invoer!$A$5),1,1)+MOD(ROWS(B$2:B168)-1,DATE(YEAR(Invoer!$A$5),12,31)-DATE(YEAR(Invoer!$A$5),1,1)+1),"jjjjmmdd")</f>
        <v>19370616</v>
      </c>
      <c r="C168" s="5">
        <v>1</v>
      </c>
      <c r="D168" s="10">
        <f t="shared" ca="1" si="4"/>
        <v>0</v>
      </c>
      <c r="E168" s="11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32</v>
      </c>
      <c r="B169" t="str">
        <f ca="1">TEXT(DATE(YEAR(Invoer!$A$5),1,1)+MOD(ROWS(B$2:B169)-1,DATE(YEAR(Invoer!$A$5),12,31)-DATE(YEAR(Invoer!$A$5),1,1)+1),"jjjjmmdd")</f>
        <v>19370617</v>
      </c>
      <c r="C169" s="5">
        <v>1</v>
      </c>
      <c r="D169" s="10">
        <f t="shared" ca="1" si="4"/>
        <v>0</v>
      </c>
      <c r="E169" s="11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32</v>
      </c>
      <c r="B170" t="str">
        <f ca="1">TEXT(DATE(YEAR(Invoer!$A$5),1,1)+MOD(ROWS(B$2:B170)-1,DATE(YEAR(Invoer!$A$5),12,31)-DATE(YEAR(Invoer!$A$5),1,1)+1),"jjjjmmdd")</f>
        <v>19370618</v>
      </c>
      <c r="C170" s="5">
        <v>1</v>
      </c>
      <c r="D170" s="10">
        <f t="shared" ca="1" si="4"/>
        <v>0</v>
      </c>
      <c r="E170" s="11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32</v>
      </c>
      <c r="B171" t="str">
        <f ca="1">TEXT(DATE(YEAR(Invoer!$A$5),1,1)+MOD(ROWS(B$2:B171)-1,DATE(YEAR(Invoer!$A$5),12,31)-DATE(YEAR(Invoer!$A$5),1,1)+1),"jjjjmmdd")</f>
        <v>19370619</v>
      </c>
      <c r="C171" s="5">
        <v>1</v>
      </c>
      <c r="D171" s="10">
        <f t="shared" ca="1" si="4"/>
        <v>19</v>
      </c>
      <c r="E171" s="11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32</v>
      </c>
      <c r="B172" t="str">
        <f ca="1">TEXT(DATE(YEAR(Invoer!$A$5),1,1)+MOD(ROWS(B$2:B172)-1,DATE(YEAR(Invoer!$A$5),12,31)-DATE(YEAR(Invoer!$A$5),1,1)+1),"jjjjmmdd")</f>
        <v>19370620</v>
      </c>
      <c r="C172" s="5">
        <v>1</v>
      </c>
      <c r="D172" s="10">
        <f t="shared" ca="1" si="4"/>
        <v>0</v>
      </c>
      <c r="E172" s="11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32</v>
      </c>
      <c r="B173" t="str">
        <f ca="1">TEXT(DATE(YEAR(Invoer!$A$5),1,1)+MOD(ROWS(B$2:B173)-1,DATE(YEAR(Invoer!$A$5),12,31)-DATE(YEAR(Invoer!$A$5),1,1)+1),"jjjjmmdd")</f>
        <v>19370621</v>
      </c>
      <c r="C173" s="5">
        <v>1</v>
      </c>
      <c r="D173" s="10">
        <f t="shared" ca="1" si="4"/>
        <v>43</v>
      </c>
      <c r="E173" s="11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32</v>
      </c>
      <c r="B174" t="str">
        <f ca="1">TEXT(DATE(YEAR(Invoer!$A$5),1,1)+MOD(ROWS(B$2:B174)-1,DATE(YEAR(Invoer!$A$5),12,31)-DATE(YEAR(Invoer!$A$5),1,1)+1),"jjjjmmdd")</f>
        <v>19370622</v>
      </c>
      <c r="C174" s="5">
        <v>1</v>
      </c>
      <c r="D174" s="10">
        <f t="shared" ca="1" si="4"/>
        <v>0</v>
      </c>
      <c r="E174" s="11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32</v>
      </c>
      <c r="B175" t="str">
        <f ca="1">TEXT(DATE(YEAR(Invoer!$A$5),1,1)+MOD(ROWS(B$2:B175)-1,DATE(YEAR(Invoer!$A$5),12,31)-DATE(YEAR(Invoer!$A$5),1,1)+1),"jjjjmmdd")</f>
        <v>19370623</v>
      </c>
      <c r="C175" s="5">
        <v>1</v>
      </c>
      <c r="D175" s="10">
        <f t="shared" ca="1" si="4"/>
        <v>0</v>
      </c>
      <c r="E175" s="11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32</v>
      </c>
      <c r="B176" t="str">
        <f ca="1">TEXT(DATE(YEAR(Invoer!$A$5),1,1)+MOD(ROWS(B$2:B176)-1,DATE(YEAR(Invoer!$A$5),12,31)-DATE(YEAR(Invoer!$A$5),1,1)+1),"jjjjmmdd")</f>
        <v>19370624</v>
      </c>
      <c r="C176" s="5">
        <v>1</v>
      </c>
      <c r="D176" s="10">
        <f t="shared" ca="1" si="4"/>
        <v>0</v>
      </c>
      <c r="E176" s="11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32</v>
      </c>
      <c r="B177" t="str">
        <f ca="1">TEXT(DATE(YEAR(Invoer!$A$5),1,1)+MOD(ROWS(B$2:B177)-1,DATE(YEAR(Invoer!$A$5),12,31)-DATE(YEAR(Invoer!$A$5),1,1)+1),"jjjjmmdd")</f>
        <v>19370625</v>
      </c>
      <c r="C177" s="5">
        <v>1</v>
      </c>
      <c r="D177" s="10">
        <f t="shared" ca="1" si="4"/>
        <v>0</v>
      </c>
      <c r="E177" s="11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32</v>
      </c>
      <c r="B178" t="str">
        <f ca="1">TEXT(DATE(YEAR(Invoer!$A$5),1,1)+MOD(ROWS(B$2:B178)-1,DATE(YEAR(Invoer!$A$5),12,31)-DATE(YEAR(Invoer!$A$5),1,1)+1),"jjjjmmdd")</f>
        <v>19370626</v>
      </c>
      <c r="C178" s="5">
        <v>1</v>
      </c>
      <c r="D178" s="10">
        <f t="shared" ca="1" si="4"/>
        <v>0</v>
      </c>
      <c r="E178" s="11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32</v>
      </c>
      <c r="B179" t="str">
        <f ca="1">TEXT(DATE(YEAR(Invoer!$A$5),1,1)+MOD(ROWS(B$2:B179)-1,DATE(YEAR(Invoer!$A$5),12,31)-DATE(YEAR(Invoer!$A$5),1,1)+1),"jjjjmmdd")</f>
        <v>19370627</v>
      </c>
      <c r="C179" s="5">
        <v>1</v>
      </c>
      <c r="D179" s="10">
        <f t="shared" ca="1" si="4"/>
        <v>0</v>
      </c>
      <c r="E179" s="11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32</v>
      </c>
      <c r="B180" t="str">
        <f ca="1">TEXT(DATE(YEAR(Invoer!$A$5),1,1)+MOD(ROWS(B$2:B180)-1,DATE(YEAR(Invoer!$A$5),12,31)-DATE(YEAR(Invoer!$A$5),1,1)+1),"jjjjmmdd")</f>
        <v>19370628</v>
      </c>
      <c r="C180" s="5">
        <v>1</v>
      </c>
      <c r="D180" s="10">
        <f t="shared" ca="1" si="4"/>
        <v>0</v>
      </c>
      <c r="E180" s="11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32</v>
      </c>
      <c r="B181" t="str">
        <f ca="1">TEXT(DATE(YEAR(Invoer!$A$5),1,1)+MOD(ROWS(B$2:B181)-1,DATE(YEAR(Invoer!$A$5),12,31)-DATE(YEAR(Invoer!$A$5),1,1)+1),"jjjjmmdd")</f>
        <v>19370629</v>
      </c>
      <c r="C181" s="5">
        <v>1</v>
      </c>
      <c r="D181" s="10">
        <f t="shared" ca="1" si="4"/>
        <v>0</v>
      </c>
      <c r="E181" s="11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32</v>
      </c>
      <c r="B182" t="str">
        <f ca="1">TEXT(DATE(YEAR(Invoer!$A$5),1,1)+MOD(ROWS(B$2:B182)-1,DATE(YEAR(Invoer!$A$5),12,31)-DATE(YEAR(Invoer!$A$5),1,1)+1),"jjjjmmdd")</f>
        <v>19370630</v>
      </c>
      <c r="C182" s="5">
        <v>1</v>
      </c>
      <c r="D182" s="10">
        <f t="shared" ca="1" si="4"/>
        <v>0</v>
      </c>
      <c r="E182" s="11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32</v>
      </c>
      <c r="B183" t="str">
        <f ca="1">TEXT(DATE(YEAR(Invoer!$A$5),1,1)+MOD(ROWS(B$2:B183)-1,DATE(YEAR(Invoer!$A$5),12,31)-DATE(YEAR(Invoer!$A$5),1,1)+1),"jjjjmmdd")</f>
        <v>19370701</v>
      </c>
      <c r="C183" s="5">
        <v>1</v>
      </c>
      <c r="D183" s="10">
        <f t="shared" ca="1" si="4"/>
        <v>0</v>
      </c>
      <c r="E183" s="11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32</v>
      </c>
      <c r="B184" t="str">
        <f ca="1">TEXT(DATE(YEAR(Invoer!$A$5),1,1)+MOD(ROWS(B$2:B184)-1,DATE(YEAR(Invoer!$A$5),12,31)-DATE(YEAR(Invoer!$A$5),1,1)+1),"jjjjmmdd")</f>
        <v>19370702</v>
      </c>
      <c r="C184" s="5">
        <v>1</v>
      </c>
      <c r="D184" s="10">
        <f t="shared" ca="1" si="4"/>
        <v>7</v>
      </c>
      <c r="E184" s="11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32</v>
      </c>
      <c r="B185" t="str">
        <f ca="1">TEXT(DATE(YEAR(Invoer!$A$5),1,1)+MOD(ROWS(B$2:B185)-1,DATE(YEAR(Invoer!$A$5),12,31)-DATE(YEAR(Invoer!$A$5),1,1)+1),"jjjjmmdd")</f>
        <v>19370703</v>
      </c>
      <c r="C185" s="5">
        <v>1</v>
      </c>
      <c r="D185" s="10">
        <f t="shared" ca="1" si="4"/>
        <v>0</v>
      </c>
      <c r="E185" s="11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32</v>
      </c>
      <c r="B186" t="str">
        <f ca="1">TEXT(DATE(YEAR(Invoer!$A$5),1,1)+MOD(ROWS(B$2:B186)-1,DATE(YEAR(Invoer!$A$5),12,31)-DATE(YEAR(Invoer!$A$5),1,1)+1),"jjjjmmdd")</f>
        <v>19370704</v>
      </c>
      <c r="C186" s="5">
        <v>1</v>
      </c>
      <c r="D186" s="10">
        <f t="shared" ca="1" si="4"/>
        <v>0</v>
      </c>
      <c r="E186" s="11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32</v>
      </c>
      <c r="B187" t="str">
        <f ca="1">TEXT(DATE(YEAR(Invoer!$A$5),1,1)+MOD(ROWS(B$2:B187)-1,DATE(YEAR(Invoer!$A$5),12,31)-DATE(YEAR(Invoer!$A$5),1,1)+1),"jjjjmmdd")</f>
        <v>19370705</v>
      </c>
      <c r="C187" s="5">
        <v>1</v>
      </c>
      <c r="D187" s="10">
        <f t="shared" ca="1" si="4"/>
        <v>0</v>
      </c>
      <c r="E187" s="11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32</v>
      </c>
      <c r="B188" t="str">
        <f ca="1">TEXT(DATE(YEAR(Invoer!$A$5),1,1)+MOD(ROWS(B$2:B188)-1,DATE(YEAR(Invoer!$A$5),12,31)-DATE(YEAR(Invoer!$A$5),1,1)+1),"jjjjmmdd")</f>
        <v>19370706</v>
      </c>
      <c r="C188" s="5">
        <v>1</v>
      </c>
      <c r="D188" s="10">
        <f t="shared" ca="1" si="4"/>
        <v>0</v>
      </c>
      <c r="E188" s="11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32</v>
      </c>
      <c r="B189" t="str">
        <f ca="1">TEXT(DATE(YEAR(Invoer!$A$5),1,1)+MOD(ROWS(B$2:B189)-1,DATE(YEAR(Invoer!$A$5),12,31)-DATE(YEAR(Invoer!$A$5),1,1)+1),"jjjjmmdd")</f>
        <v>19370707</v>
      </c>
      <c r="C189" s="5">
        <v>1</v>
      </c>
      <c r="D189" s="10">
        <f t="shared" ca="1" si="4"/>
        <v>0</v>
      </c>
      <c r="E189" s="11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32</v>
      </c>
      <c r="B190" t="str">
        <f ca="1">TEXT(DATE(YEAR(Invoer!$A$5),1,1)+MOD(ROWS(B$2:B190)-1,DATE(YEAR(Invoer!$A$5),12,31)-DATE(YEAR(Invoer!$A$5),1,1)+1),"jjjjmmdd")</f>
        <v>19370708</v>
      </c>
      <c r="C190" s="5">
        <v>1</v>
      </c>
      <c r="D190" s="10">
        <f t="shared" ca="1" si="4"/>
        <v>18</v>
      </c>
      <c r="E190" s="11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32</v>
      </c>
      <c r="B191" t="str">
        <f ca="1">TEXT(DATE(YEAR(Invoer!$A$5),1,1)+MOD(ROWS(B$2:B191)-1,DATE(YEAR(Invoer!$A$5),12,31)-DATE(YEAR(Invoer!$A$5),1,1)+1),"jjjjmmdd")</f>
        <v>19370709</v>
      </c>
      <c r="C191" s="5">
        <v>1</v>
      </c>
      <c r="D191" s="10">
        <f t="shared" ca="1" si="4"/>
        <v>51</v>
      </c>
      <c r="E191" s="11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32</v>
      </c>
      <c r="B192" t="str">
        <f ca="1">TEXT(DATE(YEAR(Invoer!$A$5),1,1)+MOD(ROWS(B$2:B192)-1,DATE(YEAR(Invoer!$A$5),12,31)-DATE(YEAR(Invoer!$A$5),1,1)+1),"jjjjmmdd")</f>
        <v>19370710</v>
      </c>
      <c r="C192" s="5">
        <v>1</v>
      </c>
      <c r="D192" s="10">
        <f t="shared" ca="1" si="4"/>
        <v>16</v>
      </c>
      <c r="E192" s="11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32</v>
      </c>
      <c r="B193" t="str">
        <f ca="1">TEXT(DATE(YEAR(Invoer!$A$5),1,1)+MOD(ROWS(B$2:B193)-1,DATE(YEAR(Invoer!$A$5),12,31)-DATE(YEAR(Invoer!$A$5),1,1)+1),"jjjjmmdd")</f>
        <v>19370711</v>
      </c>
      <c r="C193" s="5">
        <v>1</v>
      </c>
      <c r="D193" s="10">
        <f t="shared" ca="1" si="4"/>
        <v>0</v>
      </c>
      <c r="E193" s="11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32</v>
      </c>
      <c r="B194" t="str">
        <f ca="1">TEXT(DATE(YEAR(Invoer!$A$5),1,1)+MOD(ROWS(B$2:B194)-1,DATE(YEAR(Invoer!$A$5),12,31)-DATE(YEAR(Invoer!$A$5),1,1)+1),"jjjjmmdd")</f>
        <v>19370712</v>
      </c>
      <c r="C194" s="5">
        <v>1</v>
      </c>
      <c r="D194" s="10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1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32</v>
      </c>
      <c r="B195" t="str">
        <f ca="1">TEXT(DATE(YEAR(Invoer!$A$5),1,1)+MOD(ROWS(B$2:B195)-1,DATE(YEAR(Invoer!$A$5),12,31)-DATE(YEAR(Invoer!$A$5),1,1)+1),"jjjjmmdd")</f>
        <v>19370713</v>
      </c>
      <c r="C195" s="5">
        <v>1</v>
      </c>
      <c r="D195" s="10">
        <f t="shared" ca="1" si="6"/>
        <v>0</v>
      </c>
      <c r="E195" s="11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32</v>
      </c>
      <c r="B196" t="str">
        <f ca="1">TEXT(DATE(YEAR(Invoer!$A$5),1,1)+MOD(ROWS(B$2:B196)-1,DATE(YEAR(Invoer!$A$5),12,31)-DATE(YEAR(Invoer!$A$5),1,1)+1),"jjjjmmdd")</f>
        <v>19370714</v>
      </c>
      <c r="C196" s="5">
        <v>1</v>
      </c>
      <c r="D196" s="10">
        <f t="shared" ca="1" si="6"/>
        <v>0</v>
      </c>
      <c r="E196" s="11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32</v>
      </c>
      <c r="B197" t="str">
        <f ca="1">TEXT(DATE(YEAR(Invoer!$A$5),1,1)+MOD(ROWS(B$2:B197)-1,DATE(YEAR(Invoer!$A$5),12,31)-DATE(YEAR(Invoer!$A$5),1,1)+1),"jjjjmmdd")</f>
        <v>19370715</v>
      </c>
      <c r="C197" s="5">
        <v>1</v>
      </c>
      <c r="D197" s="10">
        <f t="shared" ca="1" si="6"/>
        <v>0</v>
      </c>
      <c r="E197" s="11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32</v>
      </c>
      <c r="B198" t="str">
        <f ca="1">TEXT(DATE(YEAR(Invoer!$A$5),1,1)+MOD(ROWS(B$2:B198)-1,DATE(YEAR(Invoer!$A$5),12,31)-DATE(YEAR(Invoer!$A$5),1,1)+1),"jjjjmmdd")</f>
        <v>19370716</v>
      </c>
      <c r="C198" s="5">
        <v>1</v>
      </c>
      <c r="D198" s="10">
        <f t="shared" ca="1" si="6"/>
        <v>0</v>
      </c>
      <c r="E198" s="11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32</v>
      </c>
      <c r="B199" t="str">
        <f ca="1">TEXT(DATE(YEAR(Invoer!$A$5),1,1)+MOD(ROWS(B$2:B199)-1,DATE(YEAR(Invoer!$A$5),12,31)-DATE(YEAR(Invoer!$A$5),1,1)+1),"jjjjmmdd")</f>
        <v>19370717</v>
      </c>
      <c r="C199" s="5">
        <v>1</v>
      </c>
      <c r="D199" s="10">
        <f t="shared" ca="1" si="6"/>
        <v>34</v>
      </c>
      <c r="E199" s="11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32</v>
      </c>
      <c r="B200" t="str">
        <f ca="1">TEXT(DATE(YEAR(Invoer!$A$5),1,1)+MOD(ROWS(B$2:B200)-1,DATE(YEAR(Invoer!$A$5),12,31)-DATE(YEAR(Invoer!$A$5),1,1)+1),"jjjjmmdd")</f>
        <v>19370718</v>
      </c>
      <c r="C200" s="5">
        <v>1</v>
      </c>
      <c r="D200" s="10">
        <f t="shared" ca="1" si="6"/>
        <v>0</v>
      </c>
      <c r="E200" s="11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32</v>
      </c>
      <c r="B201" t="str">
        <f ca="1">TEXT(DATE(YEAR(Invoer!$A$5),1,1)+MOD(ROWS(B$2:B201)-1,DATE(YEAR(Invoer!$A$5),12,31)-DATE(YEAR(Invoer!$A$5),1,1)+1),"jjjjmmdd")</f>
        <v>19370719</v>
      </c>
      <c r="C201" s="5">
        <v>1</v>
      </c>
      <c r="D201" s="10">
        <f t="shared" ca="1" si="6"/>
        <v>0</v>
      </c>
      <c r="E201" s="11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32</v>
      </c>
      <c r="B202" t="str">
        <f ca="1">TEXT(DATE(YEAR(Invoer!$A$5),1,1)+MOD(ROWS(B$2:B202)-1,DATE(YEAR(Invoer!$A$5),12,31)-DATE(YEAR(Invoer!$A$5),1,1)+1),"jjjjmmdd")</f>
        <v>19370720</v>
      </c>
      <c r="C202" s="5">
        <v>1</v>
      </c>
      <c r="D202" s="10">
        <f t="shared" ca="1" si="6"/>
        <v>0</v>
      </c>
      <c r="E202" s="11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32</v>
      </c>
      <c r="B203" t="str">
        <f ca="1">TEXT(DATE(YEAR(Invoer!$A$5),1,1)+MOD(ROWS(B$2:B203)-1,DATE(YEAR(Invoer!$A$5),12,31)-DATE(YEAR(Invoer!$A$5),1,1)+1),"jjjjmmdd")</f>
        <v>19370721</v>
      </c>
      <c r="C203" s="5">
        <v>1</v>
      </c>
      <c r="D203" s="10">
        <f t="shared" ca="1" si="6"/>
        <v>0</v>
      </c>
      <c r="E203" s="11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32</v>
      </c>
      <c r="B204" t="str">
        <f ca="1">TEXT(DATE(YEAR(Invoer!$A$5),1,1)+MOD(ROWS(B$2:B204)-1,DATE(YEAR(Invoer!$A$5),12,31)-DATE(YEAR(Invoer!$A$5),1,1)+1),"jjjjmmdd")</f>
        <v>19370722</v>
      </c>
      <c r="C204" s="5">
        <v>1</v>
      </c>
      <c r="D204" s="10">
        <f t="shared" ca="1" si="6"/>
        <v>0</v>
      </c>
      <c r="E204" s="11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32</v>
      </c>
      <c r="B205" t="str">
        <f ca="1">TEXT(DATE(YEAR(Invoer!$A$5),1,1)+MOD(ROWS(B$2:B205)-1,DATE(YEAR(Invoer!$A$5),12,31)-DATE(YEAR(Invoer!$A$5),1,1)+1),"jjjjmmdd")</f>
        <v>19370723</v>
      </c>
      <c r="C205" s="5">
        <v>1</v>
      </c>
      <c r="D205" s="10">
        <f t="shared" ca="1" si="6"/>
        <v>0</v>
      </c>
      <c r="E205" s="11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32</v>
      </c>
      <c r="B206" t="str">
        <f ca="1">TEXT(DATE(YEAR(Invoer!$A$5),1,1)+MOD(ROWS(B$2:B206)-1,DATE(YEAR(Invoer!$A$5),12,31)-DATE(YEAR(Invoer!$A$5),1,1)+1),"jjjjmmdd")</f>
        <v>19370724</v>
      </c>
      <c r="C206" s="5">
        <v>1</v>
      </c>
      <c r="D206" s="10">
        <f t="shared" ca="1" si="6"/>
        <v>0</v>
      </c>
      <c r="E206" s="11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32</v>
      </c>
      <c r="B207" t="str">
        <f ca="1">TEXT(DATE(YEAR(Invoer!$A$5),1,1)+MOD(ROWS(B$2:B207)-1,DATE(YEAR(Invoer!$A$5),12,31)-DATE(YEAR(Invoer!$A$5),1,1)+1),"jjjjmmdd")</f>
        <v>19370725</v>
      </c>
      <c r="C207" s="5">
        <v>1</v>
      </c>
      <c r="D207" s="10">
        <f t="shared" ca="1" si="6"/>
        <v>0</v>
      </c>
      <c r="E207" s="11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32</v>
      </c>
      <c r="B208" t="str">
        <f ca="1">TEXT(DATE(YEAR(Invoer!$A$5),1,1)+MOD(ROWS(B$2:B208)-1,DATE(YEAR(Invoer!$A$5),12,31)-DATE(YEAR(Invoer!$A$5),1,1)+1),"jjjjmmdd")</f>
        <v>19370726</v>
      </c>
      <c r="C208" s="5">
        <v>1</v>
      </c>
      <c r="D208" s="10">
        <f t="shared" ca="1" si="6"/>
        <v>0</v>
      </c>
      <c r="E208" s="11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32</v>
      </c>
      <c r="B209" t="str">
        <f ca="1">TEXT(DATE(YEAR(Invoer!$A$5),1,1)+MOD(ROWS(B$2:B209)-1,DATE(YEAR(Invoer!$A$5),12,31)-DATE(YEAR(Invoer!$A$5),1,1)+1),"jjjjmmdd")</f>
        <v>19370727</v>
      </c>
      <c r="C209" s="5">
        <v>1</v>
      </c>
      <c r="D209" s="10">
        <f t="shared" ca="1" si="6"/>
        <v>0</v>
      </c>
      <c r="E209" s="11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32</v>
      </c>
      <c r="B210" t="str">
        <f ca="1">TEXT(DATE(YEAR(Invoer!$A$5),1,1)+MOD(ROWS(B$2:B210)-1,DATE(YEAR(Invoer!$A$5),12,31)-DATE(YEAR(Invoer!$A$5),1,1)+1),"jjjjmmdd")</f>
        <v>19370728</v>
      </c>
      <c r="C210" s="5">
        <v>1</v>
      </c>
      <c r="D210" s="10">
        <f t="shared" ca="1" si="6"/>
        <v>0</v>
      </c>
      <c r="E210" s="11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32</v>
      </c>
      <c r="B211" t="str">
        <f ca="1">TEXT(DATE(YEAR(Invoer!$A$5),1,1)+MOD(ROWS(B$2:B211)-1,DATE(YEAR(Invoer!$A$5),12,31)-DATE(YEAR(Invoer!$A$5),1,1)+1),"jjjjmmdd")</f>
        <v>19370729</v>
      </c>
      <c r="C211" s="5">
        <v>1</v>
      </c>
      <c r="D211" s="10">
        <f t="shared" ca="1" si="6"/>
        <v>0</v>
      </c>
      <c r="E211" s="11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32</v>
      </c>
      <c r="B212" t="str">
        <f ca="1">TEXT(DATE(YEAR(Invoer!$A$5),1,1)+MOD(ROWS(B$2:B212)-1,DATE(YEAR(Invoer!$A$5),12,31)-DATE(YEAR(Invoer!$A$5),1,1)+1),"jjjjmmdd")</f>
        <v>19370730</v>
      </c>
      <c r="C212" s="5">
        <v>1</v>
      </c>
      <c r="D212" s="10">
        <f t="shared" ca="1" si="6"/>
        <v>0</v>
      </c>
      <c r="E212" s="11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32</v>
      </c>
      <c r="B213" t="str">
        <f ca="1">TEXT(DATE(YEAR(Invoer!$A$5),1,1)+MOD(ROWS(B$2:B213)-1,DATE(YEAR(Invoer!$A$5),12,31)-DATE(YEAR(Invoer!$A$5),1,1)+1),"jjjjmmdd")</f>
        <v>19370731</v>
      </c>
      <c r="C213" s="5">
        <v>1</v>
      </c>
      <c r="D213" s="10">
        <f t="shared" ca="1" si="6"/>
        <v>0</v>
      </c>
      <c r="E213" s="11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32</v>
      </c>
      <c r="B214" t="str">
        <f ca="1">TEXT(DATE(YEAR(Invoer!$A$5),1,1)+MOD(ROWS(B$2:B214)-1,DATE(YEAR(Invoer!$A$5),12,31)-DATE(YEAR(Invoer!$A$5),1,1)+1),"jjjjmmdd")</f>
        <v>19370801</v>
      </c>
      <c r="C214" s="5">
        <v>1</v>
      </c>
      <c r="D214" s="10">
        <f t="shared" ca="1" si="6"/>
        <v>0</v>
      </c>
      <c r="E214" s="11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32</v>
      </c>
      <c r="B215" t="str">
        <f ca="1">TEXT(DATE(YEAR(Invoer!$A$5),1,1)+MOD(ROWS(B$2:B215)-1,DATE(YEAR(Invoer!$A$5),12,31)-DATE(YEAR(Invoer!$A$5),1,1)+1),"jjjjmmdd")</f>
        <v>19370802</v>
      </c>
      <c r="C215" s="5">
        <v>1</v>
      </c>
      <c r="D215" s="10">
        <f t="shared" ca="1" si="6"/>
        <v>0</v>
      </c>
      <c r="E215" s="11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32</v>
      </c>
      <c r="B216" t="str">
        <f ca="1">TEXT(DATE(YEAR(Invoer!$A$5),1,1)+MOD(ROWS(B$2:B216)-1,DATE(YEAR(Invoer!$A$5),12,31)-DATE(YEAR(Invoer!$A$5),1,1)+1),"jjjjmmdd")</f>
        <v>19370803</v>
      </c>
      <c r="C216" s="5">
        <v>1</v>
      </c>
      <c r="D216" s="10">
        <f t="shared" ca="1" si="6"/>
        <v>0</v>
      </c>
      <c r="E216" s="11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32</v>
      </c>
      <c r="B217" t="str">
        <f ca="1">TEXT(DATE(YEAR(Invoer!$A$5),1,1)+MOD(ROWS(B$2:B217)-1,DATE(YEAR(Invoer!$A$5),12,31)-DATE(YEAR(Invoer!$A$5),1,1)+1),"jjjjmmdd")</f>
        <v>19370804</v>
      </c>
      <c r="C217" s="5">
        <v>1</v>
      </c>
      <c r="D217" s="10">
        <f t="shared" ca="1" si="6"/>
        <v>0</v>
      </c>
      <c r="E217" s="11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32</v>
      </c>
      <c r="B218" t="str">
        <f ca="1">TEXT(DATE(YEAR(Invoer!$A$5),1,1)+MOD(ROWS(B$2:B218)-1,DATE(YEAR(Invoer!$A$5),12,31)-DATE(YEAR(Invoer!$A$5),1,1)+1),"jjjjmmdd")</f>
        <v>19370805</v>
      </c>
      <c r="C218" s="5">
        <v>1</v>
      </c>
      <c r="D218" s="10">
        <f t="shared" ca="1" si="6"/>
        <v>0</v>
      </c>
      <c r="E218" s="11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32</v>
      </c>
      <c r="B219" t="str">
        <f ca="1">TEXT(DATE(YEAR(Invoer!$A$5),1,1)+MOD(ROWS(B$2:B219)-1,DATE(YEAR(Invoer!$A$5),12,31)-DATE(YEAR(Invoer!$A$5),1,1)+1),"jjjjmmdd")</f>
        <v>19370806</v>
      </c>
      <c r="C219" s="5">
        <v>1</v>
      </c>
      <c r="D219" s="10">
        <f t="shared" ca="1" si="6"/>
        <v>0</v>
      </c>
      <c r="E219" s="11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32</v>
      </c>
      <c r="B220" t="str">
        <f ca="1">TEXT(DATE(YEAR(Invoer!$A$5),1,1)+MOD(ROWS(B$2:B220)-1,DATE(YEAR(Invoer!$A$5),12,31)-DATE(YEAR(Invoer!$A$5),1,1)+1),"jjjjmmdd")</f>
        <v>19370807</v>
      </c>
      <c r="C220" s="5">
        <v>1</v>
      </c>
      <c r="D220" s="10">
        <f t="shared" ca="1" si="6"/>
        <v>0</v>
      </c>
      <c r="E220" s="11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32</v>
      </c>
      <c r="B221" t="str">
        <f ca="1">TEXT(DATE(YEAR(Invoer!$A$5),1,1)+MOD(ROWS(B$2:B221)-1,DATE(YEAR(Invoer!$A$5),12,31)-DATE(YEAR(Invoer!$A$5),1,1)+1),"jjjjmmdd")</f>
        <v>19370808</v>
      </c>
      <c r="C221" s="5">
        <v>1</v>
      </c>
      <c r="D221" s="10">
        <f t="shared" ca="1" si="6"/>
        <v>0</v>
      </c>
      <c r="E221" s="11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32</v>
      </c>
      <c r="B222" t="str">
        <f ca="1">TEXT(DATE(YEAR(Invoer!$A$5),1,1)+MOD(ROWS(B$2:B222)-1,DATE(YEAR(Invoer!$A$5),12,31)-DATE(YEAR(Invoer!$A$5),1,1)+1),"jjjjmmdd")</f>
        <v>19370809</v>
      </c>
      <c r="C222" s="5">
        <v>1</v>
      </c>
      <c r="D222" s="10">
        <f t="shared" ca="1" si="6"/>
        <v>0</v>
      </c>
      <c r="E222" s="11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32</v>
      </c>
      <c r="B223" t="str">
        <f ca="1">TEXT(DATE(YEAR(Invoer!$A$5),1,1)+MOD(ROWS(B$2:B223)-1,DATE(YEAR(Invoer!$A$5),12,31)-DATE(YEAR(Invoer!$A$5),1,1)+1),"jjjjmmdd")</f>
        <v>19370810</v>
      </c>
      <c r="C223" s="5">
        <v>1</v>
      </c>
      <c r="D223" s="10">
        <f t="shared" ca="1" si="6"/>
        <v>0</v>
      </c>
      <c r="E223" s="11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32</v>
      </c>
      <c r="B224" t="str">
        <f ca="1">TEXT(DATE(YEAR(Invoer!$A$5),1,1)+MOD(ROWS(B$2:B224)-1,DATE(YEAR(Invoer!$A$5),12,31)-DATE(YEAR(Invoer!$A$5),1,1)+1),"jjjjmmdd")</f>
        <v>19370811</v>
      </c>
      <c r="C224" s="5">
        <v>1</v>
      </c>
      <c r="D224" s="10">
        <f t="shared" ca="1" si="6"/>
        <v>0</v>
      </c>
      <c r="E224" s="11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32</v>
      </c>
      <c r="B225" t="str">
        <f ca="1">TEXT(DATE(YEAR(Invoer!$A$5),1,1)+MOD(ROWS(B$2:B225)-1,DATE(YEAR(Invoer!$A$5),12,31)-DATE(YEAR(Invoer!$A$5),1,1)+1),"jjjjmmdd")</f>
        <v>19370812</v>
      </c>
      <c r="C225" s="5">
        <v>1</v>
      </c>
      <c r="D225" s="10">
        <f t="shared" ca="1" si="6"/>
        <v>0</v>
      </c>
      <c r="E225" s="11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32</v>
      </c>
      <c r="B226" t="str">
        <f ca="1">TEXT(DATE(YEAR(Invoer!$A$5),1,1)+MOD(ROWS(B$2:B226)-1,DATE(YEAR(Invoer!$A$5),12,31)-DATE(YEAR(Invoer!$A$5),1,1)+1),"jjjjmmdd")</f>
        <v>19370813</v>
      </c>
      <c r="C226" s="5">
        <v>1</v>
      </c>
      <c r="D226" s="10">
        <f t="shared" ca="1" si="6"/>
        <v>18</v>
      </c>
      <c r="E226" s="11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32</v>
      </c>
      <c r="B227" t="str">
        <f ca="1">TEXT(DATE(YEAR(Invoer!$A$5),1,1)+MOD(ROWS(B$2:B227)-1,DATE(YEAR(Invoer!$A$5),12,31)-DATE(YEAR(Invoer!$A$5),1,1)+1),"jjjjmmdd")</f>
        <v>19370814</v>
      </c>
      <c r="C227" s="5">
        <v>1</v>
      </c>
      <c r="D227" s="10">
        <f t="shared" ca="1" si="6"/>
        <v>0</v>
      </c>
      <c r="E227" s="11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32</v>
      </c>
      <c r="B228" t="str">
        <f ca="1">TEXT(DATE(YEAR(Invoer!$A$5),1,1)+MOD(ROWS(B$2:B228)-1,DATE(YEAR(Invoer!$A$5),12,31)-DATE(YEAR(Invoer!$A$5),1,1)+1),"jjjjmmdd")</f>
        <v>19370815</v>
      </c>
      <c r="C228" s="5">
        <v>1</v>
      </c>
      <c r="D228" s="10">
        <f t="shared" ca="1" si="6"/>
        <v>0</v>
      </c>
      <c r="E228" s="11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32</v>
      </c>
      <c r="B229" t="str">
        <f ca="1">TEXT(DATE(YEAR(Invoer!$A$5),1,1)+MOD(ROWS(B$2:B229)-1,DATE(YEAR(Invoer!$A$5),12,31)-DATE(YEAR(Invoer!$A$5),1,1)+1),"jjjjmmdd")</f>
        <v>19370816</v>
      </c>
      <c r="C229" s="5">
        <v>1</v>
      </c>
      <c r="D229" s="10">
        <f t="shared" ca="1" si="6"/>
        <v>0</v>
      </c>
      <c r="E229" s="11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32</v>
      </c>
      <c r="B230" t="str">
        <f ca="1">TEXT(DATE(YEAR(Invoer!$A$5),1,1)+MOD(ROWS(B$2:B230)-1,DATE(YEAR(Invoer!$A$5),12,31)-DATE(YEAR(Invoer!$A$5),1,1)+1),"jjjjmmdd")</f>
        <v>19370817</v>
      </c>
      <c r="C230" s="5">
        <v>1</v>
      </c>
      <c r="D230" s="10">
        <f t="shared" ca="1" si="6"/>
        <v>0</v>
      </c>
      <c r="E230" s="11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32</v>
      </c>
      <c r="B231" t="str">
        <f ca="1">TEXT(DATE(YEAR(Invoer!$A$5),1,1)+MOD(ROWS(B$2:B231)-1,DATE(YEAR(Invoer!$A$5),12,31)-DATE(YEAR(Invoer!$A$5),1,1)+1),"jjjjmmdd")</f>
        <v>19370818</v>
      </c>
      <c r="C231" s="5">
        <v>1</v>
      </c>
      <c r="D231" s="10">
        <f t="shared" ca="1" si="6"/>
        <v>0</v>
      </c>
      <c r="E231" s="11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32</v>
      </c>
      <c r="B232" t="str">
        <f ca="1">TEXT(DATE(YEAR(Invoer!$A$5),1,1)+MOD(ROWS(B$2:B232)-1,DATE(YEAR(Invoer!$A$5),12,31)-DATE(YEAR(Invoer!$A$5),1,1)+1),"jjjjmmdd")</f>
        <v>19370819</v>
      </c>
      <c r="C232" s="5">
        <v>1</v>
      </c>
      <c r="D232" s="10">
        <f t="shared" ca="1" si="6"/>
        <v>0</v>
      </c>
      <c r="E232" s="11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32</v>
      </c>
      <c r="B233" t="str">
        <f ca="1">TEXT(DATE(YEAR(Invoer!$A$5),1,1)+MOD(ROWS(B$2:B233)-1,DATE(YEAR(Invoer!$A$5),12,31)-DATE(YEAR(Invoer!$A$5),1,1)+1),"jjjjmmdd")</f>
        <v>19370820</v>
      </c>
      <c r="C233" s="5">
        <v>1</v>
      </c>
      <c r="D233" s="10">
        <f t="shared" ca="1" si="6"/>
        <v>0</v>
      </c>
      <c r="E233" s="11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32</v>
      </c>
      <c r="B234" t="str">
        <f ca="1">TEXT(DATE(YEAR(Invoer!$A$5),1,1)+MOD(ROWS(B$2:B234)-1,DATE(YEAR(Invoer!$A$5),12,31)-DATE(YEAR(Invoer!$A$5),1,1)+1),"jjjjmmdd")</f>
        <v>19370821</v>
      </c>
      <c r="C234" s="5">
        <v>1</v>
      </c>
      <c r="D234" s="10">
        <f t="shared" ca="1" si="6"/>
        <v>7</v>
      </c>
      <c r="E234" s="11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32</v>
      </c>
      <c r="B235" t="str">
        <f ca="1">TEXT(DATE(YEAR(Invoer!$A$5),1,1)+MOD(ROWS(B$2:B235)-1,DATE(YEAR(Invoer!$A$5),12,31)-DATE(YEAR(Invoer!$A$5),1,1)+1),"jjjjmmdd")</f>
        <v>19370822</v>
      </c>
      <c r="C235" s="5">
        <v>1</v>
      </c>
      <c r="D235" s="10">
        <f t="shared" ca="1" si="6"/>
        <v>0</v>
      </c>
      <c r="E235" s="11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32</v>
      </c>
      <c r="B236" t="str">
        <f ca="1">TEXT(DATE(YEAR(Invoer!$A$5),1,1)+MOD(ROWS(B$2:B236)-1,DATE(YEAR(Invoer!$A$5),12,31)-DATE(YEAR(Invoer!$A$5),1,1)+1),"jjjjmmdd")</f>
        <v>19370823</v>
      </c>
      <c r="C236" s="5">
        <v>1</v>
      </c>
      <c r="D236" s="10">
        <f t="shared" ca="1" si="6"/>
        <v>0</v>
      </c>
      <c r="E236" s="11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32</v>
      </c>
      <c r="B237" t="str">
        <f ca="1">TEXT(DATE(YEAR(Invoer!$A$5),1,1)+MOD(ROWS(B$2:B237)-1,DATE(YEAR(Invoer!$A$5),12,31)-DATE(YEAR(Invoer!$A$5),1,1)+1),"jjjjmmdd")</f>
        <v>19370824</v>
      </c>
      <c r="C237" s="5">
        <v>1</v>
      </c>
      <c r="D237" s="10">
        <f t="shared" ca="1" si="6"/>
        <v>109</v>
      </c>
      <c r="E237" s="11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32</v>
      </c>
      <c r="B238" t="str">
        <f ca="1">TEXT(DATE(YEAR(Invoer!$A$5),1,1)+MOD(ROWS(B$2:B238)-1,DATE(YEAR(Invoer!$A$5),12,31)-DATE(YEAR(Invoer!$A$5),1,1)+1),"jjjjmmdd")</f>
        <v>19370825</v>
      </c>
      <c r="C238" s="5">
        <v>1</v>
      </c>
      <c r="D238" s="10">
        <f t="shared" ca="1" si="6"/>
        <v>0</v>
      </c>
      <c r="E238" s="11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32</v>
      </c>
      <c r="B239" t="str">
        <f ca="1">TEXT(DATE(YEAR(Invoer!$A$5),1,1)+MOD(ROWS(B$2:B239)-1,DATE(YEAR(Invoer!$A$5),12,31)-DATE(YEAR(Invoer!$A$5),1,1)+1),"jjjjmmdd")</f>
        <v>19370826</v>
      </c>
      <c r="C239" s="5">
        <v>1</v>
      </c>
      <c r="D239" s="10">
        <f t="shared" ca="1" si="6"/>
        <v>0</v>
      </c>
      <c r="E239" s="11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32</v>
      </c>
      <c r="B240" t="str">
        <f ca="1">TEXT(DATE(YEAR(Invoer!$A$5),1,1)+MOD(ROWS(B$2:B240)-1,DATE(YEAR(Invoer!$A$5),12,31)-DATE(YEAR(Invoer!$A$5),1,1)+1),"jjjjmmdd")</f>
        <v>19370827</v>
      </c>
      <c r="C240" s="5">
        <v>1</v>
      </c>
      <c r="D240" s="10">
        <f t="shared" ca="1" si="6"/>
        <v>0</v>
      </c>
      <c r="E240" s="11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32</v>
      </c>
      <c r="B241" t="str">
        <f ca="1">TEXT(DATE(YEAR(Invoer!$A$5),1,1)+MOD(ROWS(B$2:B241)-1,DATE(YEAR(Invoer!$A$5),12,31)-DATE(YEAR(Invoer!$A$5),1,1)+1),"jjjjmmdd")</f>
        <v>19370828</v>
      </c>
      <c r="C241" s="5">
        <v>1</v>
      </c>
      <c r="D241" s="10">
        <f t="shared" ca="1" si="6"/>
        <v>0</v>
      </c>
      <c r="E241" s="11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32</v>
      </c>
      <c r="B242" t="str">
        <f ca="1">TEXT(DATE(YEAR(Invoer!$A$5),1,1)+MOD(ROWS(B$2:B242)-1,DATE(YEAR(Invoer!$A$5),12,31)-DATE(YEAR(Invoer!$A$5),1,1)+1),"jjjjmmdd")</f>
        <v>19370829</v>
      </c>
      <c r="C242" s="5">
        <v>1</v>
      </c>
      <c r="D242" s="10">
        <f t="shared" ca="1" si="6"/>
        <v>0</v>
      </c>
      <c r="E242" s="11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32</v>
      </c>
      <c r="B243" t="str">
        <f ca="1">TEXT(DATE(YEAR(Invoer!$A$5),1,1)+MOD(ROWS(B$2:B243)-1,DATE(YEAR(Invoer!$A$5),12,31)-DATE(YEAR(Invoer!$A$5),1,1)+1),"jjjjmmdd")</f>
        <v>19370830</v>
      </c>
      <c r="C243" s="5">
        <v>1</v>
      </c>
      <c r="D243" s="10">
        <f t="shared" ca="1" si="6"/>
        <v>0</v>
      </c>
      <c r="E243" s="11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32</v>
      </c>
      <c r="B244" t="str">
        <f ca="1">TEXT(DATE(YEAR(Invoer!$A$5),1,1)+MOD(ROWS(B$2:B244)-1,DATE(YEAR(Invoer!$A$5),12,31)-DATE(YEAR(Invoer!$A$5),1,1)+1),"jjjjmmdd")</f>
        <v>19370831</v>
      </c>
      <c r="C244" s="5">
        <v>1</v>
      </c>
      <c r="D244" s="10">
        <f t="shared" ca="1" si="6"/>
        <v>0</v>
      </c>
      <c r="E244" s="11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32</v>
      </c>
      <c r="B245" t="str">
        <f ca="1">TEXT(DATE(YEAR(Invoer!$A$5),1,1)+MOD(ROWS(B$2:B245)-1,DATE(YEAR(Invoer!$A$5),12,31)-DATE(YEAR(Invoer!$A$5),1,1)+1),"jjjjmmdd")</f>
        <v>19370901</v>
      </c>
      <c r="C245" s="5">
        <v>1</v>
      </c>
      <c r="D245" s="10">
        <f t="shared" ca="1" si="6"/>
        <v>0</v>
      </c>
      <c r="E245" s="11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32</v>
      </c>
      <c r="B246" t="str">
        <f ca="1">TEXT(DATE(YEAR(Invoer!$A$5),1,1)+MOD(ROWS(B$2:B246)-1,DATE(YEAR(Invoer!$A$5),12,31)-DATE(YEAR(Invoer!$A$5),1,1)+1),"jjjjmmdd")</f>
        <v>19370902</v>
      </c>
      <c r="C246" s="5">
        <v>1</v>
      </c>
      <c r="D246" s="10">
        <f t="shared" ca="1" si="6"/>
        <v>0</v>
      </c>
      <c r="E246" s="11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32</v>
      </c>
      <c r="B247" t="str">
        <f ca="1">TEXT(DATE(YEAR(Invoer!$A$5),1,1)+MOD(ROWS(B$2:B247)-1,DATE(YEAR(Invoer!$A$5),12,31)-DATE(YEAR(Invoer!$A$5),1,1)+1),"jjjjmmdd")</f>
        <v>19370903</v>
      </c>
      <c r="C247" s="5">
        <v>1</v>
      </c>
      <c r="D247" s="10">
        <f t="shared" ca="1" si="6"/>
        <v>0</v>
      </c>
      <c r="E247" s="11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32</v>
      </c>
      <c r="B248" t="str">
        <f ca="1">TEXT(DATE(YEAR(Invoer!$A$5),1,1)+MOD(ROWS(B$2:B248)-1,DATE(YEAR(Invoer!$A$5),12,31)-DATE(YEAR(Invoer!$A$5),1,1)+1),"jjjjmmdd")</f>
        <v>19370904</v>
      </c>
      <c r="C248" s="5">
        <v>1</v>
      </c>
      <c r="D248" s="10">
        <f t="shared" ca="1" si="6"/>
        <v>0</v>
      </c>
      <c r="E248" s="11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32</v>
      </c>
      <c r="B249" t="str">
        <f ca="1">TEXT(DATE(YEAR(Invoer!$A$5),1,1)+MOD(ROWS(B$2:B249)-1,DATE(YEAR(Invoer!$A$5),12,31)-DATE(YEAR(Invoer!$A$5),1,1)+1),"jjjjmmdd")</f>
        <v>19370905</v>
      </c>
      <c r="C249" s="5">
        <v>1</v>
      </c>
      <c r="D249" s="10">
        <f t="shared" ca="1" si="6"/>
        <v>0</v>
      </c>
      <c r="E249" s="11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32</v>
      </c>
      <c r="B250" t="str">
        <f ca="1">TEXT(DATE(YEAR(Invoer!$A$5),1,1)+MOD(ROWS(B$2:B250)-1,DATE(YEAR(Invoer!$A$5),12,31)-DATE(YEAR(Invoer!$A$5),1,1)+1),"jjjjmmdd")</f>
        <v>19370906</v>
      </c>
      <c r="C250" s="5">
        <v>1</v>
      </c>
      <c r="D250" s="10">
        <f t="shared" ca="1" si="6"/>
        <v>0</v>
      </c>
      <c r="E250" s="11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32</v>
      </c>
      <c r="B251" t="str">
        <f ca="1">TEXT(DATE(YEAR(Invoer!$A$5),1,1)+MOD(ROWS(B$2:B251)-1,DATE(YEAR(Invoer!$A$5),12,31)-DATE(YEAR(Invoer!$A$5),1,1)+1),"jjjjmmdd")</f>
        <v>19370907</v>
      </c>
      <c r="C251" s="5">
        <v>1</v>
      </c>
      <c r="D251" s="10">
        <f t="shared" ca="1" si="6"/>
        <v>0</v>
      </c>
      <c r="E251" s="11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32</v>
      </c>
      <c r="B252" t="str">
        <f ca="1">TEXT(DATE(YEAR(Invoer!$A$5),1,1)+MOD(ROWS(B$2:B252)-1,DATE(YEAR(Invoer!$A$5),12,31)-DATE(YEAR(Invoer!$A$5),1,1)+1),"jjjjmmdd")</f>
        <v>19370908</v>
      </c>
      <c r="C252" s="5">
        <v>1</v>
      </c>
      <c r="D252" s="10">
        <f t="shared" ca="1" si="6"/>
        <v>18</v>
      </c>
      <c r="E252" s="11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32</v>
      </c>
      <c r="B253" t="str">
        <f ca="1">TEXT(DATE(YEAR(Invoer!$A$5),1,1)+MOD(ROWS(B$2:B253)-1,DATE(YEAR(Invoer!$A$5),12,31)-DATE(YEAR(Invoer!$A$5),1,1)+1),"jjjjmmdd")</f>
        <v>19370909</v>
      </c>
      <c r="C253" s="5">
        <v>1</v>
      </c>
      <c r="D253" s="10">
        <f t="shared" ca="1" si="6"/>
        <v>16</v>
      </c>
      <c r="E253" s="11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32</v>
      </c>
      <c r="B254" t="str">
        <f ca="1">TEXT(DATE(YEAR(Invoer!$A$5),1,1)+MOD(ROWS(B$2:B254)-1,DATE(YEAR(Invoer!$A$5),12,31)-DATE(YEAR(Invoer!$A$5),1,1)+1),"jjjjmmdd")</f>
        <v>19370910</v>
      </c>
      <c r="C254" s="5">
        <v>1</v>
      </c>
      <c r="D254" s="10">
        <f t="shared" ca="1" si="6"/>
        <v>46</v>
      </c>
      <c r="E254" s="11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32</v>
      </c>
      <c r="B255" t="str">
        <f ca="1">TEXT(DATE(YEAR(Invoer!$A$5),1,1)+MOD(ROWS(B$2:B255)-1,DATE(YEAR(Invoer!$A$5),12,31)-DATE(YEAR(Invoer!$A$5),1,1)+1),"jjjjmmdd")</f>
        <v>19370911</v>
      </c>
      <c r="C255" s="5">
        <v>1</v>
      </c>
      <c r="D255" s="10">
        <f t="shared" ca="1" si="6"/>
        <v>77</v>
      </c>
      <c r="E255" s="11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32</v>
      </c>
      <c r="B256" t="str">
        <f ca="1">TEXT(DATE(YEAR(Invoer!$A$5),1,1)+MOD(ROWS(B$2:B256)-1,DATE(YEAR(Invoer!$A$5),12,31)-DATE(YEAR(Invoer!$A$5),1,1)+1),"jjjjmmdd")</f>
        <v>19370912</v>
      </c>
      <c r="C256" s="5">
        <v>1</v>
      </c>
      <c r="D256" s="10">
        <f t="shared" ca="1" si="6"/>
        <v>0</v>
      </c>
      <c r="E256" s="11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32</v>
      </c>
      <c r="B257" t="str">
        <f ca="1">TEXT(DATE(YEAR(Invoer!$A$5),1,1)+MOD(ROWS(B$2:B257)-1,DATE(YEAR(Invoer!$A$5),12,31)-DATE(YEAR(Invoer!$A$5),1,1)+1),"jjjjmmdd")</f>
        <v>19370913</v>
      </c>
      <c r="C257" s="5">
        <v>1</v>
      </c>
      <c r="D257" s="10">
        <f t="shared" ca="1" si="6"/>
        <v>0</v>
      </c>
      <c r="E257" s="11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32</v>
      </c>
      <c r="B258" t="str">
        <f ca="1">TEXT(DATE(YEAR(Invoer!$A$5),1,1)+MOD(ROWS(B$2:B258)-1,DATE(YEAR(Invoer!$A$5),12,31)-DATE(YEAR(Invoer!$A$5),1,1)+1),"jjjjmmdd")</f>
        <v>19370914</v>
      </c>
      <c r="C258" s="5">
        <v>1</v>
      </c>
      <c r="D258" s="10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1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32</v>
      </c>
      <c r="B259" t="str">
        <f ca="1">TEXT(DATE(YEAR(Invoer!$A$5),1,1)+MOD(ROWS(B$2:B259)-1,DATE(YEAR(Invoer!$A$5),12,31)-DATE(YEAR(Invoer!$A$5),1,1)+1),"jjjjmmdd")</f>
        <v>19370915</v>
      </c>
      <c r="C259" s="5">
        <v>1</v>
      </c>
      <c r="D259" s="10">
        <f t="shared" ca="1" si="8"/>
        <v>0</v>
      </c>
      <c r="E259" s="11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32</v>
      </c>
      <c r="B260" t="str">
        <f ca="1">TEXT(DATE(YEAR(Invoer!$A$5),1,1)+MOD(ROWS(B$2:B260)-1,DATE(YEAR(Invoer!$A$5),12,31)-DATE(YEAR(Invoer!$A$5),1,1)+1),"jjjjmmdd")</f>
        <v>19370916</v>
      </c>
      <c r="C260" s="5">
        <v>1</v>
      </c>
      <c r="D260" s="10">
        <f t="shared" ca="1" si="8"/>
        <v>0</v>
      </c>
      <c r="E260" s="11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32</v>
      </c>
      <c r="B261" t="str">
        <f ca="1">TEXT(DATE(YEAR(Invoer!$A$5),1,1)+MOD(ROWS(B$2:B261)-1,DATE(YEAR(Invoer!$A$5),12,31)-DATE(YEAR(Invoer!$A$5),1,1)+1),"jjjjmmdd")</f>
        <v>19370917</v>
      </c>
      <c r="C261" s="5">
        <v>1</v>
      </c>
      <c r="D261" s="10">
        <f t="shared" ca="1" si="8"/>
        <v>0</v>
      </c>
      <c r="E261" s="11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32</v>
      </c>
      <c r="B262" t="str">
        <f ca="1">TEXT(DATE(YEAR(Invoer!$A$5),1,1)+MOD(ROWS(B$2:B262)-1,DATE(YEAR(Invoer!$A$5),12,31)-DATE(YEAR(Invoer!$A$5),1,1)+1),"jjjjmmdd")</f>
        <v>19370918</v>
      </c>
      <c r="C262" s="5">
        <v>1</v>
      </c>
      <c r="D262" s="10">
        <f t="shared" ca="1" si="8"/>
        <v>0</v>
      </c>
      <c r="E262" s="11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32</v>
      </c>
      <c r="B263" t="str">
        <f ca="1">TEXT(DATE(YEAR(Invoer!$A$5),1,1)+MOD(ROWS(B$2:B263)-1,DATE(YEAR(Invoer!$A$5),12,31)-DATE(YEAR(Invoer!$A$5),1,1)+1),"jjjjmmdd")</f>
        <v>19370919</v>
      </c>
      <c r="C263" s="5">
        <v>1</v>
      </c>
      <c r="D263" s="10">
        <f t="shared" ca="1" si="8"/>
        <v>0</v>
      </c>
      <c r="E263" s="11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32</v>
      </c>
      <c r="B264" t="str">
        <f ca="1">TEXT(DATE(YEAR(Invoer!$A$5),1,1)+MOD(ROWS(B$2:B264)-1,DATE(YEAR(Invoer!$A$5),12,31)-DATE(YEAR(Invoer!$A$5),1,1)+1),"jjjjmmdd")</f>
        <v>19370920</v>
      </c>
      <c r="C264" s="5">
        <v>1</v>
      </c>
      <c r="D264" s="10">
        <f t="shared" ca="1" si="8"/>
        <v>8</v>
      </c>
      <c r="E264" s="11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32</v>
      </c>
      <c r="B265" t="str">
        <f ca="1">TEXT(DATE(YEAR(Invoer!$A$5),1,1)+MOD(ROWS(B$2:B265)-1,DATE(YEAR(Invoer!$A$5),12,31)-DATE(YEAR(Invoer!$A$5),1,1)+1),"jjjjmmdd")</f>
        <v>19370921</v>
      </c>
      <c r="C265" s="5">
        <v>1</v>
      </c>
      <c r="D265" s="10">
        <f t="shared" ca="1" si="8"/>
        <v>221</v>
      </c>
      <c r="E265" s="11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32</v>
      </c>
      <c r="B266" t="str">
        <f ca="1">TEXT(DATE(YEAR(Invoer!$A$5),1,1)+MOD(ROWS(B$2:B266)-1,DATE(YEAR(Invoer!$A$5),12,31)-DATE(YEAR(Invoer!$A$5),1,1)+1),"jjjjmmdd")</f>
        <v>19370922</v>
      </c>
      <c r="C266" s="5">
        <v>1</v>
      </c>
      <c r="D266" s="10">
        <f t="shared" ca="1" si="8"/>
        <v>0</v>
      </c>
      <c r="E266" s="11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32</v>
      </c>
      <c r="B267" t="str">
        <f ca="1">TEXT(DATE(YEAR(Invoer!$A$5),1,1)+MOD(ROWS(B$2:B267)-1,DATE(YEAR(Invoer!$A$5),12,31)-DATE(YEAR(Invoer!$A$5),1,1)+1),"jjjjmmdd")</f>
        <v>19370923</v>
      </c>
      <c r="C267" s="5">
        <v>1</v>
      </c>
      <c r="D267" s="10">
        <f t="shared" ca="1" si="8"/>
        <v>0</v>
      </c>
      <c r="E267" s="11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32</v>
      </c>
      <c r="B268" t="str">
        <f ca="1">TEXT(DATE(YEAR(Invoer!$A$5),1,1)+MOD(ROWS(B$2:B268)-1,DATE(YEAR(Invoer!$A$5),12,31)-DATE(YEAR(Invoer!$A$5),1,1)+1),"jjjjmmdd")</f>
        <v>19370924</v>
      </c>
      <c r="C268" s="5">
        <v>1</v>
      </c>
      <c r="D268" s="10">
        <f t="shared" ca="1" si="8"/>
        <v>59</v>
      </c>
      <c r="E268" s="11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32</v>
      </c>
      <c r="B269" t="str">
        <f ca="1">TEXT(DATE(YEAR(Invoer!$A$5),1,1)+MOD(ROWS(B$2:B269)-1,DATE(YEAR(Invoer!$A$5),12,31)-DATE(YEAR(Invoer!$A$5),1,1)+1),"jjjjmmdd")</f>
        <v>19370925</v>
      </c>
      <c r="C269" s="5">
        <v>1</v>
      </c>
      <c r="D269" s="10">
        <f t="shared" ca="1" si="8"/>
        <v>0</v>
      </c>
      <c r="E269" s="11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32</v>
      </c>
      <c r="B270" t="str">
        <f ca="1">TEXT(DATE(YEAR(Invoer!$A$5),1,1)+MOD(ROWS(B$2:B270)-1,DATE(YEAR(Invoer!$A$5),12,31)-DATE(YEAR(Invoer!$A$5),1,1)+1),"jjjjmmdd")</f>
        <v>19370926</v>
      </c>
      <c r="C270" s="5">
        <v>1</v>
      </c>
      <c r="D270" s="10">
        <f t="shared" ca="1" si="8"/>
        <v>0</v>
      </c>
      <c r="E270" s="11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32</v>
      </c>
      <c r="B271" t="str">
        <f ca="1">TEXT(DATE(YEAR(Invoer!$A$5),1,1)+MOD(ROWS(B$2:B271)-1,DATE(YEAR(Invoer!$A$5),12,31)-DATE(YEAR(Invoer!$A$5),1,1)+1),"jjjjmmdd")</f>
        <v>19370927</v>
      </c>
      <c r="C271" s="5">
        <v>1</v>
      </c>
      <c r="D271" s="10">
        <f t="shared" ca="1" si="8"/>
        <v>0</v>
      </c>
      <c r="E271" s="11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32</v>
      </c>
      <c r="B272" t="str">
        <f ca="1">TEXT(DATE(YEAR(Invoer!$A$5),1,1)+MOD(ROWS(B$2:B272)-1,DATE(YEAR(Invoer!$A$5),12,31)-DATE(YEAR(Invoer!$A$5),1,1)+1),"jjjjmmdd")</f>
        <v>19370928</v>
      </c>
      <c r="C272" s="5">
        <v>1</v>
      </c>
      <c r="D272" s="10">
        <f t="shared" ca="1" si="8"/>
        <v>8</v>
      </c>
      <c r="E272" s="11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32</v>
      </c>
      <c r="B273" t="str">
        <f ca="1">TEXT(DATE(YEAR(Invoer!$A$5),1,1)+MOD(ROWS(B$2:B273)-1,DATE(YEAR(Invoer!$A$5),12,31)-DATE(YEAR(Invoer!$A$5),1,1)+1),"jjjjmmdd")</f>
        <v>19370929</v>
      </c>
      <c r="C273" s="5">
        <v>1</v>
      </c>
      <c r="D273" s="10">
        <f t="shared" ca="1" si="8"/>
        <v>0</v>
      </c>
      <c r="E273" s="11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32</v>
      </c>
      <c r="B274" t="str">
        <f ca="1">TEXT(DATE(YEAR(Invoer!$A$5),1,1)+MOD(ROWS(B$2:B274)-1,DATE(YEAR(Invoer!$A$5),12,31)-DATE(YEAR(Invoer!$A$5),1,1)+1),"jjjjmmdd")</f>
        <v>19370930</v>
      </c>
      <c r="C274" s="5">
        <v>1</v>
      </c>
      <c r="D274" s="10">
        <f t="shared" ca="1" si="8"/>
        <v>5</v>
      </c>
      <c r="E274" s="11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32</v>
      </c>
      <c r="B275" t="str">
        <f ca="1">TEXT(DATE(YEAR(Invoer!$A$5),1,1)+MOD(ROWS(B$2:B275)-1,DATE(YEAR(Invoer!$A$5),12,31)-DATE(YEAR(Invoer!$A$5),1,1)+1),"jjjjmmdd")</f>
        <v>19371001</v>
      </c>
      <c r="C275" s="5">
        <v>1</v>
      </c>
      <c r="D275" s="10">
        <f t="shared" ca="1" si="8"/>
        <v>0</v>
      </c>
      <c r="E275" s="11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32</v>
      </c>
      <c r="B276" t="str">
        <f ca="1">TEXT(DATE(YEAR(Invoer!$A$5),1,1)+MOD(ROWS(B$2:B276)-1,DATE(YEAR(Invoer!$A$5),12,31)-DATE(YEAR(Invoer!$A$5),1,1)+1),"jjjjmmdd")</f>
        <v>19371002</v>
      </c>
      <c r="C276" s="5">
        <v>1</v>
      </c>
      <c r="D276" s="10">
        <f t="shared" ca="1" si="8"/>
        <v>0</v>
      </c>
      <c r="E276" s="11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32</v>
      </c>
      <c r="B277" t="str">
        <f ca="1">TEXT(DATE(YEAR(Invoer!$A$5),1,1)+MOD(ROWS(B$2:B277)-1,DATE(YEAR(Invoer!$A$5),12,31)-DATE(YEAR(Invoer!$A$5),1,1)+1),"jjjjmmdd")</f>
        <v>19371003</v>
      </c>
      <c r="C277" s="5">
        <v>1</v>
      </c>
      <c r="D277" s="10">
        <f t="shared" ca="1" si="8"/>
        <v>0</v>
      </c>
      <c r="E277" s="11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32</v>
      </c>
      <c r="B278" t="str">
        <f ca="1">TEXT(DATE(YEAR(Invoer!$A$5),1,1)+MOD(ROWS(B$2:B278)-1,DATE(YEAR(Invoer!$A$5),12,31)-DATE(YEAR(Invoer!$A$5),1,1)+1),"jjjjmmdd")</f>
        <v>19371004</v>
      </c>
      <c r="C278" s="5">
        <v>1</v>
      </c>
      <c r="D278" s="10">
        <f t="shared" ca="1" si="8"/>
        <v>0</v>
      </c>
      <c r="E278" s="11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32</v>
      </c>
      <c r="B279" t="str">
        <f ca="1">TEXT(DATE(YEAR(Invoer!$A$5),1,1)+MOD(ROWS(B$2:B279)-1,DATE(YEAR(Invoer!$A$5),12,31)-DATE(YEAR(Invoer!$A$5),1,1)+1),"jjjjmmdd")</f>
        <v>19371005</v>
      </c>
      <c r="C279" s="5">
        <v>1</v>
      </c>
      <c r="D279" s="10">
        <f t="shared" ca="1" si="8"/>
        <v>0</v>
      </c>
      <c r="E279" s="11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32</v>
      </c>
      <c r="B280" t="str">
        <f ca="1">TEXT(DATE(YEAR(Invoer!$A$5),1,1)+MOD(ROWS(B$2:B280)-1,DATE(YEAR(Invoer!$A$5),12,31)-DATE(YEAR(Invoer!$A$5),1,1)+1),"jjjjmmdd")</f>
        <v>19371006</v>
      </c>
      <c r="C280" s="5">
        <v>1</v>
      </c>
      <c r="D280" s="10">
        <f t="shared" ca="1" si="8"/>
        <v>0</v>
      </c>
      <c r="E280" s="11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32</v>
      </c>
      <c r="B281" t="str">
        <f ca="1">TEXT(DATE(YEAR(Invoer!$A$5),1,1)+MOD(ROWS(B$2:B281)-1,DATE(YEAR(Invoer!$A$5),12,31)-DATE(YEAR(Invoer!$A$5),1,1)+1),"jjjjmmdd")</f>
        <v>19371007</v>
      </c>
      <c r="C281" s="5">
        <v>1</v>
      </c>
      <c r="D281" s="10">
        <f t="shared" ca="1" si="8"/>
        <v>0</v>
      </c>
      <c r="E281" s="11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32</v>
      </c>
      <c r="B282" t="str">
        <f ca="1">TEXT(DATE(YEAR(Invoer!$A$5),1,1)+MOD(ROWS(B$2:B282)-1,DATE(YEAR(Invoer!$A$5),12,31)-DATE(YEAR(Invoer!$A$5),1,1)+1),"jjjjmmdd")</f>
        <v>19371008</v>
      </c>
      <c r="C282" s="5">
        <v>1</v>
      </c>
      <c r="D282" s="10">
        <f t="shared" ca="1" si="8"/>
        <v>0</v>
      </c>
      <c r="E282" s="11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32</v>
      </c>
      <c r="B283" t="str">
        <f ca="1">TEXT(DATE(YEAR(Invoer!$A$5),1,1)+MOD(ROWS(B$2:B283)-1,DATE(YEAR(Invoer!$A$5),12,31)-DATE(YEAR(Invoer!$A$5),1,1)+1),"jjjjmmdd")</f>
        <v>19371009</v>
      </c>
      <c r="C283" s="5">
        <v>1</v>
      </c>
      <c r="D283" s="10">
        <f t="shared" ca="1" si="8"/>
        <v>0</v>
      </c>
      <c r="E283" s="11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32</v>
      </c>
      <c r="B284" t="str">
        <f ca="1">TEXT(DATE(YEAR(Invoer!$A$5),1,1)+MOD(ROWS(B$2:B284)-1,DATE(YEAR(Invoer!$A$5),12,31)-DATE(YEAR(Invoer!$A$5),1,1)+1),"jjjjmmdd")</f>
        <v>19371010</v>
      </c>
      <c r="C284" s="5">
        <v>1</v>
      </c>
      <c r="D284" s="10">
        <f t="shared" ca="1" si="8"/>
        <v>0</v>
      </c>
      <c r="E284" s="11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32</v>
      </c>
      <c r="B285" t="str">
        <f ca="1">TEXT(DATE(YEAR(Invoer!$A$5),1,1)+MOD(ROWS(B$2:B285)-1,DATE(YEAR(Invoer!$A$5),12,31)-DATE(YEAR(Invoer!$A$5),1,1)+1),"jjjjmmdd")</f>
        <v>19371011</v>
      </c>
      <c r="C285" s="5">
        <v>1</v>
      </c>
      <c r="D285" s="10">
        <f t="shared" ca="1" si="8"/>
        <v>0</v>
      </c>
      <c r="E285" s="11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32</v>
      </c>
      <c r="B286" t="str">
        <f ca="1">TEXT(DATE(YEAR(Invoer!$A$5),1,1)+MOD(ROWS(B$2:B286)-1,DATE(YEAR(Invoer!$A$5),12,31)-DATE(YEAR(Invoer!$A$5),1,1)+1),"jjjjmmdd")</f>
        <v>19371012</v>
      </c>
      <c r="C286" s="5">
        <v>1</v>
      </c>
      <c r="D286" s="10">
        <f t="shared" ca="1" si="8"/>
        <v>0</v>
      </c>
      <c r="E286" s="11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32</v>
      </c>
      <c r="B287" t="str">
        <f ca="1">TEXT(DATE(YEAR(Invoer!$A$5),1,1)+MOD(ROWS(B$2:B287)-1,DATE(YEAR(Invoer!$A$5),12,31)-DATE(YEAR(Invoer!$A$5),1,1)+1),"jjjjmmdd")</f>
        <v>19371013</v>
      </c>
      <c r="C287" s="5">
        <v>1</v>
      </c>
      <c r="D287" s="10">
        <f t="shared" ca="1" si="8"/>
        <v>0</v>
      </c>
      <c r="E287" s="11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32</v>
      </c>
      <c r="B288" t="str">
        <f ca="1">TEXT(DATE(YEAR(Invoer!$A$5),1,1)+MOD(ROWS(B$2:B288)-1,DATE(YEAR(Invoer!$A$5),12,31)-DATE(YEAR(Invoer!$A$5),1,1)+1),"jjjjmmdd")</f>
        <v>19371014</v>
      </c>
      <c r="C288" s="5">
        <v>1</v>
      </c>
      <c r="D288" s="10">
        <f t="shared" ca="1" si="8"/>
        <v>0</v>
      </c>
      <c r="E288" s="11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32</v>
      </c>
      <c r="B289" t="str">
        <f ca="1">TEXT(DATE(YEAR(Invoer!$A$5),1,1)+MOD(ROWS(B$2:B289)-1,DATE(YEAR(Invoer!$A$5),12,31)-DATE(YEAR(Invoer!$A$5),1,1)+1),"jjjjmmdd")</f>
        <v>19371015</v>
      </c>
      <c r="C289" s="5">
        <v>1</v>
      </c>
      <c r="D289" s="10">
        <f t="shared" ca="1" si="8"/>
        <v>0</v>
      </c>
      <c r="E289" s="11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32</v>
      </c>
      <c r="B290" t="str">
        <f ca="1">TEXT(DATE(YEAR(Invoer!$A$5),1,1)+MOD(ROWS(B$2:B290)-1,DATE(YEAR(Invoer!$A$5),12,31)-DATE(YEAR(Invoer!$A$5),1,1)+1),"jjjjmmdd")</f>
        <v>19371016</v>
      </c>
      <c r="C290" s="5">
        <v>1</v>
      </c>
      <c r="D290" s="10">
        <f t="shared" ca="1" si="8"/>
        <v>0</v>
      </c>
      <c r="E290" s="11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32</v>
      </c>
      <c r="B291" t="str">
        <f ca="1">TEXT(DATE(YEAR(Invoer!$A$5),1,1)+MOD(ROWS(B$2:B291)-1,DATE(YEAR(Invoer!$A$5),12,31)-DATE(YEAR(Invoer!$A$5),1,1)+1),"jjjjmmdd")</f>
        <v>19371017</v>
      </c>
      <c r="C291" s="5">
        <v>1</v>
      </c>
      <c r="D291" s="10">
        <f t="shared" ca="1" si="8"/>
        <v>0</v>
      </c>
      <c r="E291" s="11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32</v>
      </c>
      <c r="B292" t="str">
        <f ca="1">TEXT(DATE(YEAR(Invoer!$A$5),1,1)+MOD(ROWS(B$2:B292)-1,DATE(YEAR(Invoer!$A$5),12,31)-DATE(YEAR(Invoer!$A$5),1,1)+1),"jjjjmmdd")</f>
        <v>19371018</v>
      </c>
      <c r="C292" s="5">
        <v>1</v>
      </c>
      <c r="D292" s="10">
        <f t="shared" ca="1" si="8"/>
        <v>16</v>
      </c>
      <c r="E292" s="11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32</v>
      </c>
      <c r="B293" t="str">
        <f ca="1">TEXT(DATE(YEAR(Invoer!$A$5),1,1)+MOD(ROWS(B$2:B293)-1,DATE(YEAR(Invoer!$A$5),12,31)-DATE(YEAR(Invoer!$A$5),1,1)+1),"jjjjmmdd")</f>
        <v>19371019</v>
      </c>
      <c r="C293" s="5">
        <v>1</v>
      </c>
      <c r="D293" s="10">
        <f t="shared" ca="1" si="8"/>
        <v>0</v>
      </c>
      <c r="E293" s="11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32</v>
      </c>
      <c r="B294" t="str">
        <f ca="1">TEXT(DATE(YEAR(Invoer!$A$5),1,1)+MOD(ROWS(B$2:B294)-1,DATE(YEAR(Invoer!$A$5),12,31)-DATE(YEAR(Invoer!$A$5),1,1)+1),"jjjjmmdd")</f>
        <v>19371020</v>
      </c>
      <c r="C294" s="5">
        <v>1</v>
      </c>
      <c r="D294" s="10">
        <f t="shared" ca="1" si="8"/>
        <v>0</v>
      </c>
      <c r="E294" s="11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32</v>
      </c>
      <c r="B295" t="str">
        <f ca="1">TEXT(DATE(YEAR(Invoer!$A$5),1,1)+MOD(ROWS(B$2:B295)-1,DATE(YEAR(Invoer!$A$5),12,31)-DATE(YEAR(Invoer!$A$5),1,1)+1),"jjjjmmdd")</f>
        <v>19371021</v>
      </c>
      <c r="C295" s="5">
        <v>1</v>
      </c>
      <c r="D295" s="10">
        <f t="shared" ca="1" si="8"/>
        <v>0</v>
      </c>
      <c r="E295" s="11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32</v>
      </c>
      <c r="B296" t="str">
        <f ca="1">TEXT(DATE(YEAR(Invoer!$A$5),1,1)+MOD(ROWS(B$2:B296)-1,DATE(YEAR(Invoer!$A$5),12,31)-DATE(YEAR(Invoer!$A$5),1,1)+1),"jjjjmmdd")</f>
        <v>19371022</v>
      </c>
      <c r="C296" s="5">
        <v>1</v>
      </c>
      <c r="D296" s="10">
        <f t="shared" ca="1" si="8"/>
        <v>0</v>
      </c>
      <c r="E296" s="11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32</v>
      </c>
      <c r="B297" t="str">
        <f ca="1">TEXT(DATE(YEAR(Invoer!$A$5),1,1)+MOD(ROWS(B$2:B297)-1,DATE(YEAR(Invoer!$A$5),12,31)-DATE(YEAR(Invoer!$A$5),1,1)+1),"jjjjmmdd")</f>
        <v>19371023</v>
      </c>
      <c r="C297" s="5">
        <v>1</v>
      </c>
      <c r="D297" s="10">
        <f t="shared" ca="1" si="8"/>
        <v>0</v>
      </c>
      <c r="E297" s="11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32</v>
      </c>
      <c r="B298" t="str">
        <f ca="1">TEXT(DATE(YEAR(Invoer!$A$5),1,1)+MOD(ROWS(B$2:B298)-1,DATE(YEAR(Invoer!$A$5),12,31)-DATE(YEAR(Invoer!$A$5),1,1)+1),"jjjjmmdd")</f>
        <v>19371024</v>
      </c>
      <c r="C298" s="5">
        <v>1</v>
      </c>
      <c r="D298" s="10">
        <f t="shared" ca="1" si="8"/>
        <v>0</v>
      </c>
      <c r="E298" s="11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32</v>
      </c>
      <c r="B299" t="str">
        <f ca="1">TEXT(DATE(YEAR(Invoer!$A$5),1,1)+MOD(ROWS(B$2:B299)-1,DATE(YEAR(Invoer!$A$5),12,31)-DATE(YEAR(Invoer!$A$5),1,1)+1),"jjjjmmdd")</f>
        <v>19371025</v>
      </c>
      <c r="C299" s="5">
        <v>1</v>
      </c>
      <c r="D299" s="10">
        <f t="shared" ca="1" si="8"/>
        <v>20</v>
      </c>
      <c r="E299" s="11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32</v>
      </c>
      <c r="B300" t="str">
        <f ca="1">TEXT(DATE(YEAR(Invoer!$A$5),1,1)+MOD(ROWS(B$2:B300)-1,DATE(YEAR(Invoer!$A$5),12,31)-DATE(YEAR(Invoer!$A$5),1,1)+1),"jjjjmmdd")</f>
        <v>19371026</v>
      </c>
      <c r="C300" s="5">
        <v>1</v>
      </c>
      <c r="D300" s="10">
        <f t="shared" ca="1" si="8"/>
        <v>32</v>
      </c>
      <c r="E300" s="11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32</v>
      </c>
      <c r="B301" t="str">
        <f ca="1">TEXT(DATE(YEAR(Invoer!$A$5),1,1)+MOD(ROWS(B$2:B301)-1,DATE(YEAR(Invoer!$A$5),12,31)-DATE(YEAR(Invoer!$A$5),1,1)+1),"jjjjmmdd")</f>
        <v>19371027</v>
      </c>
      <c r="C301" s="5">
        <v>1</v>
      </c>
      <c r="D301" s="10">
        <f t="shared" ca="1" si="8"/>
        <v>320</v>
      </c>
      <c r="E301" s="11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32</v>
      </c>
      <c r="B302" t="str">
        <f ca="1">TEXT(DATE(YEAR(Invoer!$A$5),1,1)+MOD(ROWS(B$2:B302)-1,DATE(YEAR(Invoer!$A$5),12,31)-DATE(YEAR(Invoer!$A$5),1,1)+1),"jjjjmmdd")</f>
        <v>19371028</v>
      </c>
      <c r="C302" s="5">
        <v>1</v>
      </c>
      <c r="D302" s="10">
        <f t="shared" ca="1" si="8"/>
        <v>0</v>
      </c>
      <c r="E302" s="11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32</v>
      </c>
      <c r="B303" t="str">
        <f ca="1">TEXT(DATE(YEAR(Invoer!$A$5),1,1)+MOD(ROWS(B$2:B303)-1,DATE(YEAR(Invoer!$A$5),12,31)-DATE(YEAR(Invoer!$A$5),1,1)+1),"jjjjmmdd")</f>
        <v>19371029</v>
      </c>
      <c r="C303" s="5">
        <v>1</v>
      </c>
      <c r="D303" s="10">
        <f t="shared" ca="1" si="8"/>
        <v>488</v>
      </c>
      <c r="E303" s="11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32</v>
      </c>
      <c r="B304" t="str">
        <f ca="1">TEXT(DATE(YEAR(Invoer!$A$5),1,1)+MOD(ROWS(B$2:B304)-1,DATE(YEAR(Invoer!$A$5),12,31)-DATE(YEAR(Invoer!$A$5),1,1)+1),"jjjjmmdd")</f>
        <v>19371030</v>
      </c>
      <c r="C304" s="5">
        <v>1</v>
      </c>
      <c r="D304" s="10">
        <f t="shared" ca="1" si="8"/>
        <v>20</v>
      </c>
      <c r="E304" s="11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32</v>
      </c>
      <c r="B305" t="str">
        <f ca="1">TEXT(DATE(YEAR(Invoer!$A$5),1,1)+MOD(ROWS(B$2:B305)-1,DATE(YEAR(Invoer!$A$5),12,31)-DATE(YEAR(Invoer!$A$5),1,1)+1),"jjjjmmdd")</f>
        <v>19371031</v>
      </c>
      <c r="C305" s="5">
        <v>1</v>
      </c>
      <c r="D305" s="10">
        <f t="shared" ca="1" si="8"/>
        <v>0</v>
      </c>
      <c r="E305" s="11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32</v>
      </c>
      <c r="B306" t="str">
        <f ca="1">TEXT(DATE(YEAR(Invoer!$A$5),1,1)+MOD(ROWS(B$2:B306)-1,DATE(YEAR(Invoer!$A$5),12,31)-DATE(YEAR(Invoer!$A$5),1,1)+1),"jjjjmmdd")</f>
        <v>19371101</v>
      </c>
      <c r="C306" s="5">
        <v>1</v>
      </c>
      <c r="D306" s="10">
        <f t="shared" ca="1" si="8"/>
        <v>0</v>
      </c>
      <c r="E306" s="11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32</v>
      </c>
      <c r="B307" t="str">
        <f ca="1">TEXT(DATE(YEAR(Invoer!$A$5),1,1)+MOD(ROWS(B$2:B307)-1,DATE(YEAR(Invoer!$A$5),12,31)-DATE(YEAR(Invoer!$A$5),1,1)+1),"jjjjmmdd")</f>
        <v>19371102</v>
      </c>
      <c r="C307" s="5">
        <v>1</v>
      </c>
      <c r="D307" s="10">
        <f t="shared" ca="1" si="8"/>
        <v>86</v>
      </c>
      <c r="E307" s="11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32</v>
      </c>
      <c r="B308" t="str">
        <f ca="1">TEXT(DATE(YEAR(Invoer!$A$5),1,1)+MOD(ROWS(B$2:B308)-1,DATE(YEAR(Invoer!$A$5),12,31)-DATE(YEAR(Invoer!$A$5),1,1)+1),"jjjjmmdd")</f>
        <v>19371103</v>
      </c>
      <c r="C308" s="5">
        <v>1</v>
      </c>
      <c r="D308" s="10">
        <f t="shared" ca="1" si="8"/>
        <v>99</v>
      </c>
      <c r="E308" s="11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32</v>
      </c>
      <c r="B309" t="str">
        <f ca="1">TEXT(DATE(YEAR(Invoer!$A$5),1,1)+MOD(ROWS(B$2:B309)-1,DATE(YEAR(Invoer!$A$5),12,31)-DATE(YEAR(Invoer!$A$5),1,1)+1),"jjjjmmdd")</f>
        <v>19371104</v>
      </c>
      <c r="C309" s="5">
        <v>1</v>
      </c>
      <c r="D309" s="10">
        <f t="shared" ca="1" si="8"/>
        <v>155</v>
      </c>
      <c r="E309" s="11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32</v>
      </c>
      <c r="B310" t="str">
        <f ca="1">TEXT(DATE(YEAR(Invoer!$A$5),1,1)+MOD(ROWS(B$2:B310)-1,DATE(YEAR(Invoer!$A$5),12,31)-DATE(YEAR(Invoer!$A$5),1,1)+1),"jjjjmmdd")</f>
        <v>19371105</v>
      </c>
      <c r="C310" s="5">
        <v>1</v>
      </c>
      <c r="D310" s="10">
        <f t="shared" ca="1" si="8"/>
        <v>44</v>
      </c>
      <c r="E310" s="11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32</v>
      </c>
      <c r="B311" t="str">
        <f ca="1">TEXT(DATE(YEAR(Invoer!$A$5),1,1)+MOD(ROWS(B$2:B311)-1,DATE(YEAR(Invoer!$A$5),12,31)-DATE(YEAR(Invoer!$A$5),1,1)+1),"jjjjmmdd")</f>
        <v>19371106</v>
      </c>
      <c r="C311" s="5">
        <v>1</v>
      </c>
      <c r="D311" s="10">
        <f t="shared" ca="1" si="8"/>
        <v>0</v>
      </c>
      <c r="E311" s="11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32</v>
      </c>
      <c r="B312" t="str">
        <f ca="1">TEXT(DATE(YEAR(Invoer!$A$5),1,1)+MOD(ROWS(B$2:B312)-1,DATE(YEAR(Invoer!$A$5),12,31)-DATE(YEAR(Invoer!$A$5),1,1)+1),"jjjjmmdd")</f>
        <v>19371107</v>
      </c>
      <c r="C312" s="5">
        <v>1</v>
      </c>
      <c r="D312" s="10">
        <f t="shared" ca="1" si="8"/>
        <v>0</v>
      </c>
      <c r="E312" s="11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32</v>
      </c>
      <c r="B313" t="str">
        <f ca="1">TEXT(DATE(YEAR(Invoer!$A$5),1,1)+MOD(ROWS(B$2:B313)-1,DATE(YEAR(Invoer!$A$5),12,31)-DATE(YEAR(Invoer!$A$5),1,1)+1),"jjjjmmdd")</f>
        <v>19371108</v>
      </c>
      <c r="C313" s="5">
        <v>1</v>
      </c>
      <c r="D313" s="10">
        <f t="shared" ca="1" si="8"/>
        <v>85</v>
      </c>
      <c r="E313" s="11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32</v>
      </c>
      <c r="B314" t="str">
        <f ca="1">TEXT(DATE(YEAR(Invoer!$A$5),1,1)+MOD(ROWS(B$2:B314)-1,DATE(YEAR(Invoer!$A$5),12,31)-DATE(YEAR(Invoer!$A$5),1,1)+1),"jjjjmmdd")</f>
        <v>19371109</v>
      </c>
      <c r="C314" s="5">
        <v>1</v>
      </c>
      <c r="D314" s="10">
        <f t="shared" ca="1" si="8"/>
        <v>0</v>
      </c>
      <c r="E314" s="11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32</v>
      </c>
      <c r="B315" t="str">
        <f ca="1">TEXT(DATE(YEAR(Invoer!$A$5),1,1)+MOD(ROWS(B$2:B315)-1,DATE(YEAR(Invoer!$A$5),12,31)-DATE(YEAR(Invoer!$A$5),1,1)+1),"jjjjmmdd")</f>
        <v>19371110</v>
      </c>
      <c r="C315" s="5">
        <v>1</v>
      </c>
      <c r="D315" s="10">
        <f t="shared" ca="1" si="8"/>
        <v>0</v>
      </c>
      <c r="E315" s="11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32</v>
      </c>
      <c r="B316" t="str">
        <f ca="1">TEXT(DATE(YEAR(Invoer!$A$5),1,1)+MOD(ROWS(B$2:B316)-1,DATE(YEAR(Invoer!$A$5),12,31)-DATE(YEAR(Invoer!$A$5),1,1)+1),"jjjjmmdd")</f>
        <v>19371111</v>
      </c>
      <c r="C316" s="5">
        <v>1</v>
      </c>
      <c r="D316" s="10">
        <f t="shared" ca="1" si="8"/>
        <v>25</v>
      </c>
      <c r="E316" s="11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32</v>
      </c>
      <c r="B317" t="str">
        <f ca="1">TEXT(DATE(YEAR(Invoer!$A$5),1,1)+MOD(ROWS(B$2:B317)-1,DATE(YEAR(Invoer!$A$5),12,31)-DATE(YEAR(Invoer!$A$5),1,1)+1),"jjjjmmdd")</f>
        <v>19371112</v>
      </c>
      <c r="C317" s="5">
        <v>1</v>
      </c>
      <c r="D317" s="10">
        <f t="shared" ca="1" si="8"/>
        <v>0</v>
      </c>
      <c r="E317" s="11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32</v>
      </c>
      <c r="B318" t="str">
        <f ca="1">TEXT(DATE(YEAR(Invoer!$A$5),1,1)+MOD(ROWS(B$2:B318)-1,DATE(YEAR(Invoer!$A$5),12,31)-DATE(YEAR(Invoer!$A$5),1,1)+1),"jjjjmmdd")</f>
        <v>19371113</v>
      </c>
      <c r="C318" s="5">
        <v>1</v>
      </c>
      <c r="D318" s="10">
        <f t="shared" ca="1" si="8"/>
        <v>0</v>
      </c>
      <c r="E318" s="11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32</v>
      </c>
      <c r="B319" t="str">
        <f ca="1">TEXT(DATE(YEAR(Invoer!$A$5),1,1)+MOD(ROWS(B$2:B319)-1,DATE(YEAR(Invoer!$A$5),12,31)-DATE(YEAR(Invoer!$A$5),1,1)+1),"jjjjmmdd")</f>
        <v>19371114</v>
      </c>
      <c r="C319" s="5">
        <v>1</v>
      </c>
      <c r="D319" s="10">
        <f t="shared" ca="1" si="8"/>
        <v>0</v>
      </c>
      <c r="E319" s="11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32</v>
      </c>
      <c r="B320" t="str">
        <f ca="1">TEXT(DATE(YEAR(Invoer!$A$5),1,1)+MOD(ROWS(B$2:B320)-1,DATE(YEAR(Invoer!$A$5),12,31)-DATE(YEAR(Invoer!$A$5),1,1)+1),"jjjjmmdd")</f>
        <v>19371115</v>
      </c>
      <c r="C320" s="5">
        <v>1</v>
      </c>
      <c r="D320" s="10">
        <f t="shared" ca="1" si="8"/>
        <v>156</v>
      </c>
      <c r="E320" s="11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32</v>
      </c>
      <c r="B321" t="str">
        <f ca="1">TEXT(DATE(YEAR(Invoer!$A$5),1,1)+MOD(ROWS(B$2:B321)-1,DATE(YEAR(Invoer!$A$5),12,31)-DATE(YEAR(Invoer!$A$5),1,1)+1),"jjjjmmdd")</f>
        <v>19371116</v>
      </c>
      <c r="C321" s="5">
        <v>1</v>
      </c>
      <c r="D321" s="10">
        <f t="shared" ca="1" si="8"/>
        <v>0</v>
      </c>
      <c r="E321" s="11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32</v>
      </c>
      <c r="B322" t="str">
        <f ca="1">TEXT(DATE(YEAR(Invoer!$A$5),1,1)+MOD(ROWS(B$2:B322)-1,DATE(YEAR(Invoer!$A$5),12,31)-DATE(YEAR(Invoer!$A$5),1,1)+1),"jjjjmmdd")</f>
        <v>19371117</v>
      </c>
      <c r="C322" s="5">
        <v>1</v>
      </c>
      <c r="D322" s="10">
        <f t="shared" ref="D322:D366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1">
        <f t="shared" ref="E322:E366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32</v>
      </c>
      <c r="B323" t="str">
        <f ca="1">TEXT(DATE(YEAR(Invoer!$A$5),1,1)+MOD(ROWS(B$2:B323)-1,DATE(YEAR(Invoer!$A$5),12,31)-DATE(YEAR(Invoer!$A$5),1,1)+1),"jjjjmmdd")</f>
        <v>19371118</v>
      </c>
      <c r="C323" s="5">
        <v>1</v>
      </c>
      <c r="D323" s="10">
        <f t="shared" ca="1" si="10"/>
        <v>127</v>
      </c>
      <c r="E323" s="11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32</v>
      </c>
      <c r="B324" t="str">
        <f ca="1">TEXT(DATE(YEAR(Invoer!$A$5),1,1)+MOD(ROWS(B$2:B324)-1,DATE(YEAR(Invoer!$A$5),12,31)-DATE(YEAR(Invoer!$A$5),1,1)+1),"jjjjmmdd")</f>
        <v>19371119</v>
      </c>
      <c r="C324" s="5">
        <v>1</v>
      </c>
      <c r="D324" s="10">
        <f t="shared" ca="1" si="10"/>
        <v>4</v>
      </c>
      <c r="E324" s="11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32</v>
      </c>
      <c r="B325" t="str">
        <f ca="1">TEXT(DATE(YEAR(Invoer!$A$5),1,1)+MOD(ROWS(B$2:B325)-1,DATE(YEAR(Invoer!$A$5),12,31)-DATE(YEAR(Invoer!$A$5),1,1)+1),"jjjjmmdd")</f>
        <v>19371120</v>
      </c>
      <c r="C325" s="5">
        <v>1</v>
      </c>
      <c r="D325" s="10">
        <f t="shared" ca="1" si="10"/>
        <v>5</v>
      </c>
      <c r="E325" s="11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32</v>
      </c>
      <c r="B326" t="str">
        <f ca="1">TEXT(DATE(YEAR(Invoer!$A$5),1,1)+MOD(ROWS(B$2:B326)-1,DATE(YEAR(Invoer!$A$5),12,31)-DATE(YEAR(Invoer!$A$5),1,1)+1),"jjjjmmdd")</f>
        <v>19371121</v>
      </c>
      <c r="C326" s="5">
        <v>1</v>
      </c>
      <c r="D326" s="10">
        <f t="shared" ca="1" si="10"/>
        <v>0</v>
      </c>
      <c r="E326" s="11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32</v>
      </c>
      <c r="B327" t="str">
        <f ca="1">TEXT(DATE(YEAR(Invoer!$A$5),1,1)+MOD(ROWS(B$2:B327)-1,DATE(YEAR(Invoer!$A$5),12,31)-DATE(YEAR(Invoer!$A$5),1,1)+1),"jjjjmmdd")</f>
        <v>19371122</v>
      </c>
      <c r="C327" s="5">
        <v>1</v>
      </c>
      <c r="D327" s="10">
        <f t="shared" ca="1" si="10"/>
        <v>3</v>
      </c>
      <c r="E327" s="11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32</v>
      </c>
      <c r="B328" t="str">
        <f ca="1">TEXT(DATE(YEAR(Invoer!$A$5),1,1)+MOD(ROWS(B$2:B328)-1,DATE(YEAR(Invoer!$A$5),12,31)-DATE(YEAR(Invoer!$A$5),1,1)+1),"jjjjmmdd")</f>
        <v>19371123</v>
      </c>
      <c r="C328" s="5">
        <v>1</v>
      </c>
      <c r="D328" s="10">
        <f t="shared" ca="1" si="10"/>
        <v>76</v>
      </c>
      <c r="E328" s="11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32</v>
      </c>
      <c r="B329" t="str">
        <f ca="1">TEXT(DATE(YEAR(Invoer!$A$5),1,1)+MOD(ROWS(B$2:B329)-1,DATE(YEAR(Invoer!$A$5),12,31)-DATE(YEAR(Invoer!$A$5),1,1)+1),"jjjjmmdd")</f>
        <v>19371124</v>
      </c>
      <c r="C329" s="5">
        <v>1</v>
      </c>
      <c r="D329" s="10">
        <f t="shared" ca="1" si="10"/>
        <v>0</v>
      </c>
      <c r="E329" s="11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32</v>
      </c>
      <c r="B330" t="str">
        <f ca="1">TEXT(DATE(YEAR(Invoer!$A$5),1,1)+MOD(ROWS(B$2:B330)-1,DATE(YEAR(Invoer!$A$5),12,31)-DATE(YEAR(Invoer!$A$5),1,1)+1),"jjjjmmdd")</f>
        <v>19371125</v>
      </c>
      <c r="C330" s="5">
        <v>1</v>
      </c>
      <c r="D330" s="10">
        <f t="shared" ca="1" si="10"/>
        <v>0</v>
      </c>
      <c r="E330" s="11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32</v>
      </c>
      <c r="B331" t="str">
        <f ca="1">TEXT(DATE(YEAR(Invoer!$A$5),1,1)+MOD(ROWS(B$2:B331)-1,DATE(YEAR(Invoer!$A$5),12,31)-DATE(YEAR(Invoer!$A$5),1,1)+1),"jjjjmmdd")</f>
        <v>19371126</v>
      </c>
      <c r="C331" s="5">
        <v>1</v>
      </c>
      <c r="D331" s="10">
        <f t="shared" ca="1" si="10"/>
        <v>0</v>
      </c>
      <c r="E331" s="11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32</v>
      </c>
      <c r="B332" t="str">
        <f ca="1">TEXT(DATE(YEAR(Invoer!$A$5),1,1)+MOD(ROWS(B$2:B332)-1,DATE(YEAR(Invoer!$A$5),12,31)-DATE(YEAR(Invoer!$A$5),1,1)+1),"jjjjmmdd")</f>
        <v>19371127</v>
      </c>
      <c r="C332" s="5">
        <v>1</v>
      </c>
      <c r="D332" s="10">
        <f t="shared" ca="1" si="10"/>
        <v>24</v>
      </c>
      <c r="E332" s="11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32</v>
      </c>
      <c r="B333" t="str">
        <f ca="1">TEXT(DATE(YEAR(Invoer!$A$5),1,1)+MOD(ROWS(B$2:B333)-1,DATE(YEAR(Invoer!$A$5),12,31)-DATE(YEAR(Invoer!$A$5),1,1)+1),"jjjjmmdd")</f>
        <v>19371128</v>
      </c>
      <c r="C333" s="5">
        <v>1</v>
      </c>
      <c r="D333" s="10">
        <f t="shared" ca="1" si="10"/>
        <v>0</v>
      </c>
      <c r="E333" s="11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32</v>
      </c>
      <c r="B334" t="str">
        <f ca="1">TEXT(DATE(YEAR(Invoer!$A$5),1,1)+MOD(ROWS(B$2:B334)-1,DATE(YEAR(Invoer!$A$5),12,31)-DATE(YEAR(Invoer!$A$5),1,1)+1),"jjjjmmdd")</f>
        <v>19371129</v>
      </c>
      <c r="C334" s="5">
        <v>1</v>
      </c>
      <c r="D334" s="10">
        <f t="shared" ca="1" si="10"/>
        <v>0</v>
      </c>
      <c r="E334" s="11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32</v>
      </c>
      <c r="B335" t="str">
        <f ca="1">TEXT(DATE(YEAR(Invoer!$A$5),1,1)+MOD(ROWS(B$2:B335)-1,DATE(YEAR(Invoer!$A$5),12,31)-DATE(YEAR(Invoer!$A$5),1,1)+1),"jjjjmmdd")</f>
        <v>19371130</v>
      </c>
      <c r="C335" s="5">
        <v>1</v>
      </c>
      <c r="D335" s="10">
        <f t="shared" ca="1" si="10"/>
        <v>0</v>
      </c>
      <c r="E335" s="11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32</v>
      </c>
      <c r="B336" t="str">
        <f ca="1">TEXT(DATE(YEAR(Invoer!$A$5),1,1)+MOD(ROWS(B$2:B336)-1,DATE(YEAR(Invoer!$A$5),12,31)-DATE(YEAR(Invoer!$A$5),1,1)+1),"jjjjmmdd")</f>
        <v>19371201</v>
      </c>
      <c r="C336" s="5">
        <v>1</v>
      </c>
      <c r="D336" s="10">
        <f t="shared" ca="1" si="10"/>
        <v>0</v>
      </c>
      <c r="E336" s="11">
        <f t="shared" ca="1" si="11"/>
        <v>0</v>
      </c>
    </row>
    <row r="337" spans="1:5" x14ac:dyDescent="0.25">
      <c r="A337" s="4">
        <f ca="1">INDEX(Stations,INT((ROWS(A$2:A337)-1)/(DATE(YEAR(Invoer!$A$5),12,31)-DATE(YEAR(Invoer!$A$5),1,1)+1))+2,1)</f>
        <v>32</v>
      </c>
      <c r="B337" t="str">
        <f ca="1">TEXT(DATE(YEAR(Invoer!$A$5),1,1)+MOD(ROWS(B$2:B337)-1,DATE(YEAR(Invoer!$A$5),12,31)-DATE(YEAR(Invoer!$A$5),1,1)+1),"jjjjmmdd")</f>
        <v>19371202</v>
      </c>
      <c r="C337" s="5">
        <v>1</v>
      </c>
      <c r="D337" s="10">
        <f t="shared" ca="1" si="10"/>
        <v>12</v>
      </c>
      <c r="E337" s="11">
        <f t="shared" ca="1" si="11"/>
        <v>0</v>
      </c>
    </row>
    <row r="338" spans="1:5" x14ac:dyDescent="0.25">
      <c r="A338" s="4">
        <f ca="1">INDEX(Stations,INT((ROWS(A$2:A338)-1)/(DATE(YEAR(Invoer!$A$5),12,31)-DATE(YEAR(Invoer!$A$5),1,1)+1))+2,1)</f>
        <v>32</v>
      </c>
      <c r="B338" t="str">
        <f ca="1">TEXT(DATE(YEAR(Invoer!$A$5),1,1)+MOD(ROWS(B$2:B338)-1,DATE(YEAR(Invoer!$A$5),12,31)-DATE(YEAR(Invoer!$A$5),1,1)+1),"jjjjmmdd")</f>
        <v>19371203</v>
      </c>
      <c r="C338" s="5">
        <v>1</v>
      </c>
      <c r="D338" s="10">
        <f t="shared" ca="1" si="10"/>
        <v>0</v>
      </c>
      <c r="E338" s="11">
        <f t="shared" ca="1" si="11"/>
        <v>0</v>
      </c>
    </row>
    <row r="339" spans="1:5" x14ac:dyDescent="0.25">
      <c r="A339" s="4">
        <f ca="1">INDEX(Stations,INT((ROWS(A$2:A339)-1)/(DATE(YEAR(Invoer!$A$5),12,31)-DATE(YEAR(Invoer!$A$5),1,1)+1))+2,1)</f>
        <v>32</v>
      </c>
      <c r="B339" t="str">
        <f ca="1">TEXT(DATE(YEAR(Invoer!$A$5),1,1)+MOD(ROWS(B$2:B339)-1,DATE(YEAR(Invoer!$A$5),12,31)-DATE(YEAR(Invoer!$A$5),1,1)+1),"jjjjmmdd")</f>
        <v>19371204</v>
      </c>
      <c r="C339" s="5">
        <v>1</v>
      </c>
      <c r="D339" s="10">
        <f t="shared" ca="1" si="10"/>
        <v>70</v>
      </c>
      <c r="E339" s="11">
        <f t="shared" ca="1" si="11"/>
        <v>0</v>
      </c>
    </row>
    <row r="340" spans="1:5" x14ac:dyDescent="0.25">
      <c r="A340" s="4">
        <f ca="1">INDEX(Stations,INT((ROWS(A$2:A340)-1)/(DATE(YEAR(Invoer!$A$5),12,31)-DATE(YEAR(Invoer!$A$5),1,1)+1))+2,1)</f>
        <v>32</v>
      </c>
      <c r="B340" t="str">
        <f ca="1">TEXT(DATE(YEAR(Invoer!$A$5),1,1)+MOD(ROWS(B$2:B340)-1,DATE(YEAR(Invoer!$A$5),12,31)-DATE(YEAR(Invoer!$A$5),1,1)+1),"jjjjmmdd")</f>
        <v>19371205</v>
      </c>
      <c r="C340" s="5">
        <v>1</v>
      </c>
      <c r="D340" s="10">
        <f t="shared" ca="1" si="10"/>
        <v>0</v>
      </c>
      <c r="E340" s="11">
        <f t="shared" ca="1" si="11"/>
        <v>0</v>
      </c>
    </row>
    <row r="341" spans="1:5" x14ac:dyDescent="0.25">
      <c r="A341" s="4">
        <f ca="1">INDEX(Stations,INT((ROWS(A$2:A341)-1)/(DATE(YEAR(Invoer!$A$5),12,31)-DATE(YEAR(Invoer!$A$5),1,1)+1))+2,1)</f>
        <v>32</v>
      </c>
      <c r="B341" t="str">
        <f ca="1">TEXT(DATE(YEAR(Invoer!$A$5),1,1)+MOD(ROWS(B$2:B341)-1,DATE(YEAR(Invoer!$A$5),12,31)-DATE(YEAR(Invoer!$A$5),1,1)+1),"jjjjmmdd")</f>
        <v>19371206</v>
      </c>
      <c r="C341" s="5">
        <v>1</v>
      </c>
      <c r="D341" s="10">
        <f t="shared" ca="1" si="10"/>
        <v>336</v>
      </c>
      <c r="E341" s="11">
        <f t="shared" ca="1" si="11"/>
        <v>0</v>
      </c>
    </row>
    <row r="342" spans="1:5" x14ac:dyDescent="0.25">
      <c r="A342" s="4">
        <f ca="1">INDEX(Stations,INT((ROWS(A$2:A342)-1)/(DATE(YEAR(Invoer!$A$5),12,31)-DATE(YEAR(Invoer!$A$5),1,1)+1))+2,1)</f>
        <v>32</v>
      </c>
      <c r="B342" t="str">
        <f ca="1">TEXT(DATE(YEAR(Invoer!$A$5),1,1)+MOD(ROWS(B$2:B342)-1,DATE(YEAR(Invoer!$A$5),12,31)-DATE(YEAR(Invoer!$A$5),1,1)+1),"jjjjmmdd")</f>
        <v>19371207</v>
      </c>
      <c r="C342" s="5">
        <v>1</v>
      </c>
      <c r="D342" s="10">
        <f t="shared" ca="1" si="10"/>
        <v>0</v>
      </c>
      <c r="E342" s="11">
        <f t="shared" ca="1" si="11"/>
        <v>0</v>
      </c>
    </row>
    <row r="343" spans="1:5" x14ac:dyDescent="0.25">
      <c r="A343" s="4">
        <f ca="1">INDEX(Stations,INT((ROWS(A$2:A343)-1)/(DATE(YEAR(Invoer!$A$5),12,31)-DATE(YEAR(Invoer!$A$5),1,1)+1))+2,1)</f>
        <v>32</v>
      </c>
      <c r="B343" t="str">
        <f ca="1">TEXT(DATE(YEAR(Invoer!$A$5),1,1)+MOD(ROWS(B$2:B343)-1,DATE(YEAR(Invoer!$A$5),12,31)-DATE(YEAR(Invoer!$A$5),1,1)+1),"jjjjmmdd")</f>
        <v>19371208</v>
      </c>
      <c r="C343" s="5">
        <v>1</v>
      </c>
      <c r="D343" s="10">
        <f t="shared" ca="1" si="10"/>
        <v>0</v>
      </c>
      <c r="E343" s="11">
        <f t="shared" ca="1" si="11"/>
        <v>0</v>
      </c>
    </row>
    <row r="344" spans="1:5" x14ac:dyDescent="0.25">
      <c r="A344" s="4">
        <f ca="1">INDEX(Stations,INT((ROWS(A$2:A344)-1)/(DATE(YEAR(Invoer!$A$5),12,31)-DATE(YEAR(Invoer!$A$5),1,1)+1))+2,1)</f>
        <v>32</v>
      </c>
      <c r="B344" t="str">
        <f ca="1">TEXT(DATE(YEAR(Invoer!$A$5),1,1)+MOD(ROWS(B$2:B344)-1,DATE(YEAR(Invoer!$A$5),12,31)-DATE(YEAR(Invoer!$A$5),1,1)+1),"jjjjmmdd")</f>
        <v>19371209</v>
      </c>
      <c r="C344" s="5">
        <v>1</v>
      </c>
      <c r="D344" s="10">
        <f t="shared" ca="1" si="10"/>
        <v>57</v>
      </c>
      <c r="E344" s="11">
        <f t="shared" ca="1" si="11"/>
        <v>0</v>
      </c>
    </row>
    <row r="345" spans="1:5" x14ac:dyDescent="0.25">
      <c r="A345" s="4">
        <f ca="1">INDEX(Stations,INT((ROWS(A$2:A345)-1)/(DATE(YEAR(Invoer!$A$5),12,31)-DATE(YEAR(Invoer!$A$5),1,1)+1))+2,1)</f>
        <v>32</v>
      </c>
      <c r="B345" t="str">
        <f ca="1">TEXT(DATE(YEAR(Invoer!$A$5),1,1)+MOD(ROWS(B$2:B345)-1,DATE(YEAR(Invoer!$A$5),12,31)-DATE(YEAR(Invoer!$A$5),1,1)+1),"jjjjmmdd")</f>
        <v>19371210</v>
      </c>
      <c r="C345" s="5">
        <v>1</v>
      </c>
      <c r="D345" s="10">
        <f t="shared" ca="1" si="10"/>
        <v>217</v>
      </c>
      <c r="E345" s="11">
        <f t="shared" ca="1" si="11"/>
        <v>0</v>
      </c>
    </row>
    <row r="346" spans="1:5" x14ac:dyDescent="0.25">
      <c r="A346" s="4">
        <f ca="1">INDEX(Stations,INT((ROWS(A$2:A346)-1)/(DATE(YEAR(Invoer!$A$5),12,31)-DATE(YEAR(Invoer!$A$5),1,1)+1))+2,1)</f>
        <v>32</v>
      </c>
      <c r="B346" t="str">
        <f ca="1">TEXT(DATE(YEAR(Invoer!$A$5),1,1)+MOD(ROWS(B$2:B346)-1,DATE(YEAR(Invoer!$A$5),12,31)-DATE(YEAR(Invoer!$A$5),1,1)+1),"jjjjmmdd")</f>
        <v>19371211</v>
      </c>
      <c r="C346" s="5">
        <v>1</v>
      </c>
      <c r="D346" s="10">
        <f t="shared" ca="1" si="10"/>
        <v>52</v>
      </c>
      <c r="E346" s="11">
        <f t="shared" ca="1" si="11"/>
        <v>0</v>
      </c>
    </row>
    <row r="347" spans="1:5" x14ac:dyDescent="0.25">
      <c r="A347" s="4">
        <f ca="1">INDEX(Stations,INT((ROWS(A$2:A347)-1)/(DATE(YEAR(Invoer!$A$5),12,31)-DATE(YEAR(Invoer!$A$5),1,1)+1))+2,1)</f>
        <v>32</v>
      </c>
      <c r="B347" t="str">
        <f ca="1">TEXT(DATE(YEAR(Invoer!$A$5),1,1)+MOD(ROWS(B$2:B347)-1,DATE(YEAR(Invoer!$A$5),12,31)-DATE(YEAR(Invoer!$A$5),1,1)+1),"jjjjmmdd")</f>
        <v>19371212</v>
      </c>
      <c r="C347" s="5">
        <v>1</v>
      </c>
      <c r="D347" s="10">
        <f t="shared" ca="1" si="10"/>
        <v>0</v>
      </c>
      <c r="E347" s="11">
        <f t="shared" ca="1" si="11"/>
        <v>0</v>
      </c>
    </row>
    <row r="348" spans="1:5" x14ac:dyDescent="0.25">
      <c r="A348" s="4">
        <f ca="1">INDEX(Stations,INT((ROWS(A$2:A348)-1)/(DATE(YEAR(Invoer!$A$5),12,31)-DATE(YEAR(Invoer!$A$5),1,1)+1))+2,1)</f>
        <v>32</v>
      </c>
      <c r="B348" t="str">
        <f ca="1">TEXT(DATE(YEAR(Invoer!$A$5),1,1)+MOD(ROWS(B$2:B348)-1,DATE(YEAR(Invoer!$A$5),12,31)-DATE(YEAR(Invoer!$A$5),1,1)+1),"jjjjmmdd")</f>
        <v>19371213</v>
      </c>
      <c r="C348" s="5">
        <v>1</v>
      </c>
      <c r="D348" s="10">
        <f t="shared" ca="1" si="10"/>
        <v>60</v>
      </c>
      <c r="E348" s="11">
        <f t="shared" ca="1" si="11"/>
        <v>0</v>
      </c>
    </row>
    <row r="349" spans="1:5" x14ac:dyDescent="0.25">
      <c r="A349" s="4">
        <f ca="1">INDEX(Stations,INT((ROWS(A$2:A349)-1)/(DATE(YEAR(Invoer!$A$5),12,31)-DATE(YEAR(Invoer!$A$5),1,1)+1))+2,1)</f>
        <v>32</v>
      </c>
      <c r="B349" t="str">
        <f ca="1">TEXT(DATE(YEAR(Invoer!$A$5),1,1)+MOD(ROWS(B$2:B349)-1,DATE(YEAR(Invoer!$A$5),12,31)-DATE(YEAR(Invoer!$A$5),1,1)+1),"jjjjmmdd")</f>
        <v>19371214</v>
      </c>
      <c r="C349" s="5">
        <v>1</v>
      </c>
      <c r="D349" s="10">
        <f t="shared" ca="1" si="10"/>
        <v>71</v>
      </c>
      <c r="E349" s="11">
        <f t="shared" ca="1" si="11"/>
        <v>0</v>
      </c>
    </row>
    <row r="350" spans="1:5" x14ac:dyDescent="0.25">
      <c r="A350" s="4">
        <f ca="1">INDEX(Stations,INT((ROWS(A$2:A350)-1)/(DATE(YEAR(Invoer!$A$5),12,31)-DATE(YEAR(Invoer!$A$5),1,1)+1))+2,1)</f>
        <v>32</v>
      </c>
      <c r="B350" t="str">
        <f ca="1">TEXT(DATE(YEAR(Invoer!$A$5),1,1)+MOD(ROWS(B$2:B350)-1,DATE(YEAR(Invoer!$A$5),12,31)-DATE(YEAR(Invoer!$A$5),1,1)+1),"jjjjmmdd")</f>
        <v>19371215</v>
      </c>
      <c r="C350" s="5">
        <v>1</v>
      </c>
      <c r="D350" s="10">
        <f t="shared" ca="1" si="10"/>
        <v>36</v>
      </c>
      <c r="E350" s="11">
        <f t="shared" ca="1" si="11"/>
        <v>0</v>
      </c>
    </row>
    <row r="351" spans="1:5" x14ac:dyDescent="0.25">
      <c r="A351" s="4">
        <f ca="1">INDEX(Stations,INT((ROWS(A$2:A351)-1)/(DATE(YEAR(Invoer!$A$5),12,31)-DATE(YEAR(Invoer!$A$5),1,1)+1))+2,1)</f>
        <v>32</v>
      </c>
      <c r="B351" t="str">
        <f ca="1">TEXT(DATE(YEAR(Invoer!$A$5),1,1)+MOD(ROWS(B$2:B351)-1,DATE(YEAR(Invoer!$A$5),12,31)-DATE(YEAR(Invoer!$A$5),1,1)+1),"jjjjmmdd")</f>
        <v>19371216</v>
      </c>
      <c r="C351" s="5">
        <v>1</v>
      </c>
      <c r="D351" s="10">
        <f t="shared" ca="1" si="10"/>
        <v>42</v>
      </c>
      <c r="E351" s="11">
        <f t="shared" ca="1" si="11"/>
        <v>0</v>
      </c>
    </row>
    <row r="352" spans="1:5" x14ac:dyDescent="0.25">
      <c r="A352" s="4">
        <f ca="1">INDEX(Stations,INT((ROWS(A$2:A352)-1)/(DATE(YEAR(Invoer!$A$5),12,31)-DATE(YEAR(Invoer!$A$5),1,1)+1))+2,1)</f>
        <v>32</v>
      </c>
      <c r="B352" t="str">
        <f ca="1">TEXT(DATE(YEAR(Invoer!$A$5),1,1)+MOD(ROWS(B$2:B352)-1,DATE(YEAR(Invoer!$A$5),12,31)-DATE(YEAR(Invoer!$A$5),1,1)+1),"jjjjmmdd")</f>
        <v>19371217</v>
      </c>
      <c r="C352" s="5">
        <v>1</v>
      </c>
      <c r="D352" s="10">
        <f t="shared" ca="1" si="10"/>
        <v>162</v>
      </c>
      <c r="E352" s="11">
        <f t="shared" ca="1" si="11"/>
        <v>0</v>
      </c>
    </row>
    <row r="353" spans="1:5" x14ac:dyDescent="0.25">
      <c r="A353" s="4">
        <f ca="1">INDEX(Stations,INT((ROWS(A$2:A353)-1)/(DATE(YEAR(Invoer!$A$5),12,31)-DATE(YEAR(Invoer!$A$5),1,1)+1))+2,1)</f>
        <v>32</v>
      </c>
      <c r="B353" t="str">
        <f ca="1">TEXT(DATE(YEAR(Invoer!$A$5),1,1)+MOD(ROWS(B$2:B353)-1,DATE(YEAR(Invoer!$A$5),12,31)-DATE(YEAR(Invoer!$A$5),1,1)+1),"jjjjmmdd")</f>
        <v>19371218</v>
      </c>
      <c r="C353" s="5">
        <v>1</v>
      </c>
      <c r="D353" s="10">
        <f t="shared" ca="1" si="10"/>
        <v>0</v>
      </c>
      <c r="E353" s="11">
        <f t="shared" ca="1" si="11"/>
        <v>0</v>
      </c>
    </row>
    <row r="354" spans="1:5" x14ac:dyDescent="0.25">
      <c r="A354" s="4">
        <f ca="1">INDEX(Stations,INT((ROWS(A$2:A354)-1)/(DATE(YEAR(Invoer!$A$5),12,31)-DATE(YEAR(Invoer!$A$5),1,1)+1))+2,1)</f>
        <v>32</v>
      </c>
      <c r="B354" t="str">
        <f ca="1">TEXT(DATE(YEAR(Invoer!$A$5),1,1)+MOD(ROWS(B$2:B354)-1,DATE(YEAR(Invoer!$A$5),12,31)-DATE(YEAR(Invoer!$A$5),1,1)+1),"jjjjmmdd")</f>
        <v>19371219</v>
      </c>
      <c r="C354" s="5">
        <v>1</v>
      </c>
      <c r="D354" s="10">
        <f t="shared" ca="1" si="10"/>
        <v>0</v>
      </c>
      <c r="E354" s="11">
        <f t="shared" ca="1" si="11"/>
        <v>0</v>
      </c>
    </row>
    <row r="355" spans="1:5" x14ac:dyDescent="0.25">
      <c r="A355" s="4">
        <f ca="1">INDEX(Stations,INT((ROWS(A$2:A355)-1)/(DATE(YEAR(Invoer!$A$5),12,31)-DATE(YEAR(Invoer!$A$5),1,1)+1))+2,1)</f>
        <v>32</v>
      </c>
      <c r="B355" t="str">
        <f ca="1">TEXT(DATE(YEAR(Invoer!$A$5),1,1)+MOD(ROWS(B$2:B355)-1,DATE(YEAR(Invoer!$A$5),12,31)-DATE(YEAR(Invoer!$A$5),1,1)+1),"jjjjmmdd")</f>
        <v>19371220</v>
      </c>
      <c r="C355" s="5">
        <v>1</v>
      </c>
      <c r="D355" s="10">
        <f t="shared" ca="1" si="10"/>
        <v>4</v>
      </c>
      <c r="E355" s="11">
        <f t="shared" ca="1" si="11"/>
        <v>0</v>
      </c>
    </row>
    <row r="356" spans="1:5" x14ac:dyDescent="0.25">
      <c r="A356" s="4">
        <f ca="1">INDEX(Stations,INT((ROWS(A$2:A356)-1)/(DATE(YEAR(Invoer!$A$5),12,31)-DATE(YEAR(Invoer!$A$5),1,1)+1))+2,1)</f>
        <v>32</v>
      </c>
      <c r="B356" t="str">
        <f ca="1">TEXT(DATE(YEAR(Invoer!$A$5),1,1)+MOD(ROWS(B$2:B356)-1,DATE(YEAR(Invoer!$A$5),12,31)-DATE(YEAR(Invoer!$A$5),1,1)+1),"jjjjmmdd")</f>
        <v>19371221</v>
      </c>
      <c r="C356" s="5">
        <v>1</v>
      </c>
      <c r="D356" s="10">
        <f t="shared" ca="1" si="10"/>
        <v>159</v>
      </c>
      <c r="E356" s="11">
        <f t="shared" ca="1" si="11"/>
        <v>0</v>
      </c>
    </row>
    <row r="357" spans="1:5" x14ac:dyDescent="0.25">
      <c r="A357" s="4">
        <f ca="1">INDEX(Stations,INT((ROWS(A$2:A357)-1)/(DATE(YEAR(Invoer!$A$5),12,31)-DATE(YEAR(Invoer!$A$5),1,1)+1))+2,1)</f>
        <v>32</v>
      </c>
      <c r="B357" t="str">
        <f ca="1">TEXT(DATE(YEAR(Invoer!$A$5),1,1)+MOD(ROWS(B$2:B357)-1,DATE(YEAR(Invoer!$A$5),12,31)-DATE(YEAR(Invoer!$A$5),1,1)+1),"jjjjmmdd")</f>
        <v>19371222</v>
      </c>
      <c r="C357" s="5">
        <v>1</v>
      </c>
      <c r="D357" s="10">
        <f t="shared" ca="1" si="10"/>
        <v>4</v>
      </c>
      <c r="E357" s="11">
        <f t="shared" ca="1" si="11"/>
        <v>0</v>
      </c>
    </row>
    <row r="358" spans="1:5" x14ac:dyDescent="0.25">
      <c r="A358" s="4">
        <f ca="1">INDEX(Stations,INT((ROWS(A$2:A358)-1)/(DATE(YEAR(Invoer!$A$5),12,31)-DATE(YEAR(Invoer!$A$5),1,1)+1))+2,1)</f>
        <v>32</v>
      </c>
      <c r="B358" t="str">
        <f ca="1">TEXT(DATE(YEAR(Invoer!$A$5),1,1)+MOD(ROWS(B$2:B358)-1,DATE(YEAR(Invoer!$A$5),12,31)-DATE(YEAR(Invoer!$A$5),1,1)+1),"jjjjmmdd")</f>
        <v>19371223</v>
      </c>
      <c r="C358" s="5">
        <v>1</v>
      </c>
      <c r="D358" s="10">
        <f t="shared" ca="1" si="10"/>
        <v>0</v>
      </c>
      <c r="E358" s="11">
        <f t="shared" ca="1" si="11"/>
        <v>0</v>
      </c>
    </row>
    <row r="359" spans="1:5" x14ac:dyDescent="0.25">
      <c r="A359" s="4">
        <f ca="1">INDEX(Stations,INT((ROWS(A$2:A359)-1)/(DATE(YEAR(Invoer!$A$5),12,31)-DATE(YEAR(Invoer!$A$5),1,1)+1))+2,1)</f>
        <v>32</v>
      </c>
      <c r="B359" t="str">
        <f ca="1">TEXT(DATE(YEAR(Invoer!$A$5),1,1)+MOD(ROWS(B$2:B359)-1,DATE(YEAR(Invoer!$A$5),12,31)-DATE(YEAR(Invoer!$A$5),1,1)+1),"jjjjmmdd")</f>
        <v>19371224</v>
      </c>
      <c r="C359" s="5">
        <v>1</v>
      </c>
      <c r="D359" s="10">
        <f t="shared" ca="1" si="10"/>
        <v>103</v>
      </c>
      <c r="E359" s="11">
        <f t="shared" ca="1" si="11"/>
        <v>0</v>
      </c>
    </row>
    <row r="360" spans="1:5" x14ac:dyDescent="0.25">
      <c r="A360" s="4">
        <f ca="1">INDEX(Stations,INT((ROWS(A$2:A360)-1)/(DATE(YEAR(Invoer!$A$5),12,31)-DATE(YEAR(Invoer!$A$5),1,1)+1))+2,1)</f>
        <v>32</v>
      </c>
      <c r="B360" t="str">
        <f ca="1">TEXT(DATE(YEAR(Invoer!$A$5),1,1)+MOD(ROWS(B$2:B360)-1,DATE(YEAR(Invoer!$A$5),12,31)-DATE(YEAR(Invoer!$A$5),1,1)+1),"jjjjmmdd")</f>
        <v>19371225</v>
      </c>
      <c r="C360" s="5">
        <v>1</v>
      </c>
      <c r="D360" s="10">
        <f t="shared" ca="1" si="10"/>
        <v>100</v>
      </c>
      <c r="E360" s="11">
        <f t="shared" ca="1" si="11"/>
        <v>0</v>
      </c>
    </row>
    <row r="361" spans="1:5" x14ac:dyDescent="0.25">
      <c r="A361" s="4">
        <f ca="1">INDEX(Stations,INT((ROWS(A$2:A361)-1)/(DATE(YEAR(Invoer!$A$5),12,31)-DATE(YEAR(Invoer!$A$5),1,1)+1))+2,1)</f>
        <v>32</v>
      </c>
      <c r="B361" t="str">
        <f ca="1">TEXT(DATE(YEAR(Invoer!$A$5),1,1)+MOD(ROWS(B$2:B361)-1,DATE(YEAR(Invoer!$A$5),12,31)-DATE(YEAR(Invoer!$A$5),1,1)+1),"jjjjmmdd")</f>
        <v>19371226</v>
      </c>
      <c r="C361" s="5">
        <v>1</v>
      </c>
      <c r="D361" s="10">
        <f t="shared" ca="1" si="10"/>
        <v>400</v>
      </c>
      <c r="E361" s="11">
        <f t="shared" ca="1" si="11"/>
        <v>0</v>
      </c>
    </row>
    <row r="362" spans="1:5" x14ac:dyDescent="0.25">
      <c r="A362" s="4">
        <f ca="1">INDEX(Stations,INT((ROWS(A$2:A362)-1)/(DATE(YEAR(Invoer!$A$5),12,31)-DATE(YEAR(Invoer!$A$5),1,1)+1))+2,1)</f>
        <v>32</v>
      </c>
      <c r="B362" t="str">
        <f ca="1">TEXT(DATE(YEAR(Invoer!$A$5),1,1)+MOD(ROWS(B$2:B362)-1,DATE(YEAR(Invoer!$A$5),12,31)-DATE(YEAR(Invoer!$A$5),1,1)+1),"jjjjmmdd")</f>
        <v>19371227</v>
      </c>
      <c r="C362" s="5">
        <v>1</v>
      </c>
      <c r="D362" s="10">
        <f t="shared" ca="1" si="10"/>
        <v>310</v>
      </c>
      <c r="E362" s="11">
        <f t="shared" ca="1" si="11"/>
        <v>0</v>
      </c>
    </row>
    <row r="363" spans="1:5" x14ac:dyDescent="0.25">
      <c r="A363" s="4">
        <f ca="1">INDEX(Stations,INT((ROWS(A$2:A363)-1)/(DATE(YEAR(Invoer!$A$5),12,31)-DATE(YEAR(Invoer!$A$5),1,1)+1))+2,1)</f>
        <v>32</v>
      </c>
      <c r="B363" t="str">
        <f ca="1">TEXT(DATE(YEAR(Invoer!$A$5),1,1)+MOD(ROWS(B$2:B363)-1,DATE(YEAR(Invoer!$A$5),12,31)-DATE(YEAR(Invoer!$A$5),1,1)+1),"jjjjmmdd")</f>
        <v>19371228</v>
      </c>
      <c r="C363" s="5">
        <v>1</v>
      </c>
      <c r="D363" s="10">
        <f t="shared" ca="1" si="10"/>
        <v>164</v>
      </c>
      <c r="E363" s="11">
        <f t="shared" ca="1" si="11"/>
        <v>0</v>
      </c>
    </row>
    <row r="364" spans="1:5" x14ac:dyDescent="0.25">
      <c r="A364" s="4">
        <f ca="1">INDEX(Stations,INT((ROWS(A$2:A364)-1)/(DATE(YEAR(Invoer!$A$5),12,31)-DATE(YEAR(Invoer!$A$5),1,1)+1))+2,1)</f>
        <v>32</v>
      </c>
      <c r="B364" t="str">
        <f ca="1">TEXT(DATE(YEAR(Invoer!$A$5),1,1)+MOD(ROWS(B$2:B364)-1,DATE(YEAR(Invoer!$A$5),12,31)-DATE(YEAR(Invoer!$A$5),1,1)+1),"jjjjmmdd")</f>
        <v>19371229</v>
      </c>
      <c r="C364" s="5">
        <v>1</v>
      </c>
      <c r="D364" s="10">
        <f t="shared" ca="1" si="10"/>
        <v>0</v>
      </c>
      <c r="E364" s="11">
        <f t="shared" ca="1" si="11"/>
        <v>0</v>
      </c>
    </row>
    <row r="365" spans="1:5" x14ac:dyDescent="0.25">
      <c r="A365" s="4">
        <f ca="1">INDEX(Stations,INT((ROWS(A$2:A365)-1)/(DATE(YEAR(Invoer!$A$5),12,31)-DATE(YEAR(Invoer!$A$5),1,1)+1))+2,1)</f>
        <v>32</v>
      </c>
      <c r="B365" t="str">
        <f ca="1">TEXT(DATE(YEAR(Invoer!$A$5),1,1)+MOD(ROWS(B$2:B365)-1,DATE(YEAR(Invoer!$A$5),12,31)-DATE(YEAR(Invoer!$A$5),1,1)+1),"jjjjmmdd")</f>
        <v>19371230</v>
      </c>
      <c r="C365" s="5">
        <v>1</v>
      </c>
      <c r="D365" s="10">
        <f t="shared" ca="1" si="10"/>
        <v>408</v>
      </c>
      <c r="E365" s="11">
        <f t="shared" ca="1" si="11"/>
        <v>0</v>
      </c>
    </row>
    <row r="366" spans="1:5" x14ac:dyDescent="0.25">
      <c r="A366" s="4">
        <f ca="1">INDEX(Stations,INT((ROWS(A$2:A366)-1)/(DATE(YEAR(Invoer!$A$5),12,31)-DATE(YEAR(Invoer!$A$5),1,1)+1))+2,1)</f>
        <v>32</v>
      </c>
      <c r="B366" t="str">
        <f ca="1">TEXT(DATE(YEAR(Invoer!$A$5),1,1)+MOD(ROWS(B$2:B366)-1,DATE(YEAR(Invoer!$A$5),12,31)-DATE(YEAR(Invoer!$A$5),1,1)+1),"jjjjmmdd")</f>
        <v>19371231</v>
      </c>
      <c r="C366" s="5">
        <v>1</v>
      </c>
      <c r="D366" s="10">
        <f t="shared" ca="1" si="10"/>
        <v>0</v>
      </c>
      <c r="E366" s="11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D366"/>
  <sheetViews>
    <sheetView workbookViewId="0"/>
  </sheetViews>
  <sheetFormatPr defaultRowHeight="15" x14ac:dyDescent="0.25"/>
  <sheetData>
    <row r="1" spans="1:4" x14ac:dyDescent="0.25">
      <c r="A1" s="3" t="s">
        <v>2</v>
      </c>
      <c r="B1" s="2" t="s">
        <v>0</v>
      </c>
      <c r="C1" s="3" t="s">
        <v>6</v>
      </c>
      <c r="D1" s="3" t="s">
        <v>7</v>
      </c>
    </row>
    <row r="2" spans="1:4" x14ac:dyDescent="0.25">
      <c r="A2" s="4">
        <f t="shared" ref="A2:A65" si="0">INDEX(Stations,2,1)</f>
        <v>32</v>
      </c>
      <c r="B2" t="str">
        <f ca="1">TEXT(DATE(YEAR(Invoer!$A$5),1,1)+ROWS(B$2:B2)-1,"jjjjmmdd")</f>
        <v>19370101</v>
      </c>
      <c r="C2" s="18">
        <f t="shared" ref="C2:C65" ca="1" si="1">IF(OR(ISBLANK(VLOOKUP(DATEVALUE(LEFT($B2,4)&amp;"-"&amp;MID($B2,5,2)&amp;"-"&amp;RIGHT($B2,2)),Data,MATCH(LEFT(VLOOKUP(C$1,Parameters,2,FALSE()),4)&amp;"*",OFFSET(Data,0,0,1),0),FALSE())),ISTEXT(VLOOKUP(DATEVALUE(LEFT($B2,4)&amp;"-"&amp;MID($B2,5,2)&amp;"-"&amp;RIGHT($B2,2)),Data,MATCH(LEFT(VLOOKUP(C$1,Parameters,2,FALSE()),4)&amp;"*",OFFSET(Data,0,0,1),0),FALSE()))),"—",VLOOKUP(DATEVALUE(LEFT($B2,4)&amp;"-"&amp;MID($B2,5,2)&amp;"-"&amp;RIGHT($B2,2)),Data,MATCH(LEFT(VLOOKUP(C$1,Parameters,2,FALSE()),4)&amp;"*",OFFSET(Data,0,0,1),0),FALSE())/10)</f>
        <v>760</v>
      </c>
      <c r="D2" s="17">
        <f t="shared" ref="D2:D65" ca="1" si="2">IF(OR(ISBLANK(VLOOKUP(DATEVALUE(LEFT($B2,4)&amp;"-"&amp;MID($B2,5,2)&amp;"-"&amp;RIGHT($B2,2)),Data,MATCH(LEFT(VLOOKUP(MID(D$1,2,LEN(D$1)-1),Parameters,2,FALSE()),4)&amp;"*",OFFSET(Data,0,0,1),0),FALSE())),ISTEXT(VLOOKUP(DATEVALUE(LEFT($B2,4)&amp;"-"&amp;MID($B2,5,2)&amp;"-"&amp;RIGHT($B2,2)),Data,MATCH(LEFT(VLOOKUP(MID(D$1,2,LEN(D$1)-1),Parameters,2,FALSE()),4)&amp;"*",OFFSET(Data,0,0,1),0),FALSE()))),Lacking,IF(ISNA(MATCH(DATEVALUE(LEFT($B2,4)&amp;"-"&amp;MID($B2,5,2)&amp;"-"&amp;RIGHT($B2,2)),OFFSET(Catalogus,0,0,,1),0)),Ok,VLOOKUP(DATEVALUE(LEFT($B2,4)&amp;"-"&amp;MID($B2,5,2)&amp;"-"&amp;RIGHT($B2,2)),Catalogus,MATCH(LEFT(VLOOKUP(MID(D$1,2,LEN(D$1)-1),Parameters,2,FALSE()),4)&amp;"*",OFFSET(Catalogus,0,0,1),0),FALSE())))</f>
        <v>0</v>
      </c>
    </row>
    <row r="3" spans="1:4" x14ac:dyDescent="0.25">
      <c r="A3" s="4">
        <f t="shared" si="0"/>
        <v>32</v>
      </c>
      <c r="B3" t="str">
        <f ca="1">TEXT(DATE(YEAR(Invoer!$A$5),1,1)+ROWS(B$2:B3)-1,"jjjjmmdd")</f>
        <v>19370102</v>
      </c>
      <c r="C3" s="18">
        <f t="shared" ca="1" si="1"/>
        <v>760.5</v>
      </c>
      <c r="D3" s="17">
        <f t="shared" ca="1" si="2"/>
        <v>0</v>
      </c>
    </row>
    <row r="4" spans="1:4" x14ac:dyDescent="0.25">
      <c r="A4" s="4">
        <f t="shared" si="0"/>
        <v>32</v>
      </c>
      <c r="B4" t="str">
        <f ca="1">TEXT(DATE(YEAR(Invoer!$A$5),1,1)+ROWS(B$2:B4)-1,"jjjjmmdd")</f>
        <v>19370103</v>
      </c>
      <c r="C4" s="18">
        <f t="shared" ca="1" si="1"/>
        <v>760</v>
      </c>
      <c r="D4" s="17">
        <f t="shared" ca="1" si="2"/>
        <v>0</v>
      </c>
    </row>
    <row r="5" spans="1:4" x14ac:dyDescent="0.25">
      <c r="A5" s="4">
        <f t="shared" si="0"/>
        <v>32</v>
      </c>
      <c r="B5" t="str">
        <f ca="1">TEXT(DATE(YEAR(Invoer!$A$5),1,1)+ROWS(B$2:B5)-1,"jjjjmmdd")</f>
        <v>19370104</v>
      </c>
      <c r="C5" s="18">
        <f t="shared" ca="1" si="1"/>
        <v>761</v>
      </c>
      <c r="D5" s="17">
        <f t="shared" ca="1" si="2"/>
        <v>0</v>
      </c>
    </row>
    <row r="6" spans="1:4" x14ac:dyDescent="0.25">
      <c r="A6" s="4">
        <f t="shared" si="0"/>
        <v>32</v>
      </c>
      <c r="B6" t="str">
        <f ca="1">TEXT(DATE(YEAR(Invoer!$A$5),1,1)+ROWS(B$2:B6)-1,"jjjjmmdd")</f>
        <v>19370105</v>
      </c>
      <c r="C6" s="18">
        <f t="shared" ca="1" si="1"/>
        <v>760.5</v>
      </c>
      <c r="D6" s="17">
        <f t="shared" ca="1" si="2"/>
        <v>0</v>
      </c>
    </row>
    <row r="7" spans="1:4" x14ac:dyDescent="0.25">
      <c r="A7" s="4">
        <f t="shared" si="0"/>
        <v>32</v>
      </c>
      <c r="B7" t="str">
        <f ca="1">TEXT(DATE(YEAR(Invoer!$A$5),1,1)+ROWS(B$2:B7)-1,"jjjjmmdd")</f>
        <v>19370106</v>
      </c>
      <c r="C7" s="18">
        <f t="shared" ca="1" si="1"/>
        <v>761</v>
      </c>
      <c r="D7" s="17">
        <f t="shared" ca="1" si="2"/>
        <v>0</v>
      </c>
    </row>
    <row r="8" spans="1:4" x14ac:dyDescent="0.25">
      <c r="A8" s="4">
        <f t="shared" si="0"/>
        <v>32</v>
      </c>
      <c r="B8" t="str">
        <f ca="1">TEXT(DATE(YEAR(Invoer!$A$5),1,1)+ROWS(B$2:B8)-1,"jjjjmmdd")</f>
        <v>19370107</v>
      </c>
      <c r="C8" s="18">
        <f t="shared" ca="1" si="1"/>
        <v>759.5</v>
      </c>
      <c r="D8" s="17">
        <f t="shared" ca="1" si="2"/>
        <v>0</v>
      </c>
    </row>
    <row r="9" spans="1:4" x14ac:dyDescent="0.25">
      <c r="A9" s="4">
        <f t="shared" si="0"/>
        <v>32</v>
      </c>
      <c r="B9" t="str">
        <f ca="1">TEXT(DATE(YEAR(Invoer!$A$5),1,1)+ROWS(B$2:B9)-1,"jjjjmmdd")</f>
        <v>19370108</v>
      </c>
      <c r="C9" s="18">
        <f t="shared" ca="1" si="1"/>
        <v>759</v>
      </c>
      <c r="D9" s="17">
        <f t="shared" ca="1" si="2"/>
        <v>0</v>
      </c>
    </row>
    <row r="10" spans="1:4" x14ac:dyDescent="0.25">
      <c r="A10" s="4">
        <f t="shared" si="0"/>
        <v>32</v>
      </c>
      <c r="B10" t="str">
        <f ca="1">TEXT(DATE(YEAR(Invoer!$A$5),1,1)+ROWS(B$2:B10)-1,"jjjjmmdd")</f>
        <v>19370109</v>
      </c>
      <c r="C10" s="18">
        <f t="shared" ca="1" si="1"/>
        <v>760</v>
      </c>
      <c r="D10" s="17">
        <f t="shared" ca="1" si="2"/>
        <v>0</v>
      </c>
    </row>
    <row r="11" spans="1:4" x14ac:dyDescent="0.25">
      <c r="A11" s="4">
        <f t="shared" si="0"/>
        <v>32</v>
      </c>
      <c r="B11" t="str">
        <f ca="1">TEXT(DATE(YEAR(Invoer!$A$5),1,1)+ROWS(B$2:B11)-1,"jjjjmmdd")</f>
        <v>19370110</v>
      </c>
      <c r="C11" s="18">
        <f t="shared" ca="1" si="1"/>
        <v>760</v>
      </c>
      <c r="D11" s="17">
        <f t="shared" ca="1" si="2"/>
        <v>0</v>
      </c>
    </row>
    <row r="12" spans="1:4" x14ac:dyDescent="0.25">
      <c r="A12" s="4">
        <f t="shared" si="0"/>
        <v>32</v>
      </c>
      <c r="B12" t="str">
        <f ca="1">TEXT(DATE(YEAR(Invoer!$A$5),1,1)+ROWS(B$2:B12)-1,"jjjjmmdd")</f>
        <v>19370111</v>
      </c>
      <c r="C12" s="18">
        <f t="shared" ca="1" si="1"/>
        <v>760.5</v>
      </c>
      <c r="D12" s="17">
        <f t="shared" ca="1" si="2"/>
        <v>0</v>
      </c>
    </row>
    <row r="13" spans="1:4" x14ac:dyDescent="0.25">
      <c r="A13" s="4">
        <f t="shared" si="0"/>
        <v>32</v>
      </c>
      <c r="B13" t="str">
        <f ca="1">TEXT(DATE(YEAR(Invoer!$A$5),1,1)+ROWS(B$2:B13)-1,"jjjjmmdd")</f>
        <v>19370112</v>
      </c>
      <c r="C13" s="18">
        <f t="shared" ca="1" si="1"/>
        <v>760.5</v>
      </c>
      <c r="D13" s="17">
        <f t="shared" ca="1" si="2"/>
        <v>0</v>
      </c>
    </row>
    <row r="14" spans="1:4" x14ac:dyDescent="0.25">
      <c r="A14" s="4">
        <f t="shared" si="0"/>
        <v>32</v>
      </c>
      <c r="B14" t="str">
        <f ca="1">TEXT(DATE(YEAR(Invoer!$A$5),1,1)+ROWS(B$2:B14)-1,"jjjjmmdd")</f>
        <v>19370113</v>
      </c>
      <c r="C14" s="18">
        <f t="shared" ca="1" si="1"/>
        <v>761</v>
      </c>
      <c r="D14" s="17">
        <f t="shared" ca="1" si="2"/>
        <v>0</v>
      </c>
    </row>
    <row r="15" spans="1:4" x14ac:dyDescent="0.25">
      <c r="A15" s="4">
        <f t="shared" si="0"/>
        <v>32</v>
      </c>
      <c r="B15" t="str">
        <f ca="1">TEXT(DATE(YEAR(Invoer!$A$5),1,1)+ROWS(B$2:B15)-1,"jjjjmmdd")</f>
        <v>19370114</v>
      </c>
      <c r="C15" s="18">
        <f t="shared" ca="1" si="1"/>
        <v>763</v>
      </c>
      <c r="D15" s="17">
        <f t="shared" ca="1" si="2"/>
        <v>0</v>
      </c>
    </row>
    <row r="16" spans="1:4" x14ac:dyDescent="0.25">
      <c r="A16" s="4">
        <f t="shared" si="0"/>
        <v>32</v>
      </c>
      <c r="B16" t="str">
        <f ca="1">TEXT(DATE(YEAR(Invoer!$A$5),1,1)+ROWS(B$2:B16)-1,"jjjjmmdd")</f>
        <v>19370115</v>
      </c>
      <c r="C16" s="18">
        <f t="shared" ca="1" si="1"/>
        <v>760</v>
      </c>
      <c r="D16" s="17">
        <f t="shared" ca="1" si="2"/>
        <v>0</v>
      </c>
    </row>
    <row r="17" spans="1:4" x14ac:dyDescent="0.25">
      <c r="A17" s="4">
        <f t="shared" si="0"/>
        <v>32</v>
      </c>
      <c r="B17" t="str">
        <f ca="1">TEXT(DATE(YEAR(Invoer!$A$5),1,1)+ROWS(B$2:B17)-1,"jjjjmmdd")</f>
        <v>19370116</v>
      </c>
      <c r="C17" s="18">
        <f t="shared" ca="1" si="1"/>
        <v>761.5</v>
      </c>
      <c r="D17" s="17">
        <f t="shared" ca="1" si="2"/>
        <v>0</v>
      </c>
    </row>
    <row r="18" spans="1:4" x14ac:dyDescent="0.25">
      <c r="A18" s="4">
        <f t="shared" si="0"/>
        <v>32</v>
      </c>
      <c r="B18" t="str">
        <f ca="1">TEXT(DATE(YEAR(Invoer!$A$5),1,1)+ROWS(B$2:B18)-1,"jjjjmmdd")</f>
        <v>19370117</v>
      </c>
      <c r="C18" s="18">
        <f t="shared" ca="1" si="1"/>
        <v>760</v>
      </c>
      <c r="D18" s="17">
        <f t="shared" ca="1" si="2"/>
        <v>0</v>
      </c>
    </row>
    <row r="19" spans="1:4" x14ac:dyDescent="0.25">
      <c r="A19" s="4">
        <f t="shared" si="0"/>
        <v>32</v>
      </c>
      <c r="B19" t="str">
        <f ca="1">TEXT(DATE(YEAR(Invoer!$A$5),1,1)+ROWS(B$2:B19)-1,"jjjjmmdd")</f>
        <v>19370118</v>
      </c>
      <c r="C19" s="18">
        <f t="shared" ca="1" si="1"/>
        <v>761</v>
      </c>
      <c r="D19" s="17">
        <f t="shared" ca="1" si="2"/>
        <v>0</v>
      </c>
    </row>
    <row r="20" spans="1:4" x14ac:dyDescent="0.25">
      <c r="A20" s="4">
        <f t="shared" si="0"/>
        <v>32</v>
      </c>
      <c r="B20" t="str">
        <f ca="1">TEXT(DATE(YEAR(Invoer!$A$5),1,1)+ROWS(B$2:B20)-1,"jjjjmmdd")</f>
        <v>19370119</v>
      </c>
      <c r="C20" s="18">
        <f t="shared" ca="1" si="1"/>
        <v>763</v>
      </c>
      <c r="D20" s="17">
        <f t="shared" ca="1" si="2"/>
        <v>0</v>
      </c>
    </row>
    <row r="21" spans="1:4" x14ac:dyDescent="0.25">
      <c r="A21" s="4">
        <f t="shared" si="0"/>
        <v>32</v>
      </c>
      <c r="B21" t="str">
        <f ca="1">TEXT(DATE(YEAR(Invoer!$A$5),1,1)+ROWS(B$2:B21)-1,"jjjjmmdd")</f>
        <v>19370120</v>
      </c>
      <c r="C21" s="18">
        <f t="shared" ca="1" si="1"/>
        <v>762.5</v>
      </c>
      <c r="D21" s="17">
        <f t="shared" ca="1" si="2"/>
        <v>0</v>
      </c>
    </row>
    <row r="22" spans="1:4" x14ac:dyDescent="0.25">
      <c r="A22" s="4">
        <f t="shared" si="0"/>
        <v>32</v>
      </c>
      <c r="B22" t="str">
        <f ca="1">TEXT(DATE(YEAR(Invoer!$A$5),1,1)+ROWS(B$2:B22)-1,"jjjjmmdd")</f>
        <v>19370121</v>
      </c>
      <c r="C22" s="18">
        <f t="shared" ca="1" si="1"/>
        <v>761</v>
      </c>
      <c r="D22" s="17">
        <f t="shared" ca="1" si="2"/>
        <v>0</v>
      </c>
    </row>
    <row r="23" spans="1:4" x14ac:dyDescent="0.25">
      <c r="A23" s="4">
        <f t="shared" si="0"/>
        <v>32</v>
      </c>
      <c r="B23" t="str">
        <f ca="1">TEXT(DATE(YEAR(Invoer!$A$5),1,1)+ROWS(B$2:B23)-1,"jjjjmmdd")</f>
        <v>19370122</v>
      </c>
      <c r="C23" s="18">
        <f t="shared" ca="1" si="1"/>
        <v>760.5</v>
      </c>
      <c r="D23" s="17">
        <f t="shared" ca="1" si="2"/>
        <v>0</v>
      </c>
    </row>
    <row r="24" spans="1:4" x14ac:dyDescent="0.25">
      <c r="A24" s="4">
        <f t="shared" si="0"/>
        <v>32</v>
      </c>
      <c r="B24" t="str">
        <f ca="1">TEXT(DATE(YEAR(Invoer!$A$5),1,1)+ROWS(B$2:B24)-1,"jjjjmmdd")</f>
        <v>19370123</v>
      </c>
      <c r="C24" s="18">
        <f t="shared" ca="1" si="1"/>
        <v>759.5</v>
      </c>
      <c r="D24" s="17">
        <f t="shared" ca="1" si="2"/>
        <v>0</v>
      </c>
    </row>
    <row r="25" spans="1:4" x14ac:dyDescent="0.25">
      <c r="A25" s="4">
        <f t="shared" si="0"/>
        <v>32</v>
      </c>
      <c r="B25" t="str">
        <f ca="1">TEXT(DATE(YEAR(Invoer!$A$5),1,1)+ROWS(B$2:B25)-1,"jjjjmmdd")</f>
        <v>19370124</v>
      </c>
      <c r="C25" s="18">
        <f t="shared" ca="1" si="1"/>
        <v>759.5</v>
      </c>
      <c r="D25" s="17">
        <f t="shared" ca="1" si="2"/>
        <v>0</v>
      </c>
    </row>
    <row r="26" spans="1:4" x14ac:dyDescent="0.25">
      <c r="A26" s="4">
        <f t="shared" si="0"/>
        <v>32</v>
      </c>
      <c r="B26" t="str">
        <f ca="1">TEXT(DATE(YEAR(Invoer!$A$5),1,1)+ROWS(B$2:B26)-1,"jjjjmmdd")</f>
        <v>19370125</v>
      </c>
      <c r="C26" s="18">
        <f t="shared" ca="1" si="1"/>
        <v>762</v>
      </c>
      <c r="D26" s="17">
        <f t="shared" ca="1" si="2"/>
        <v>0</v>
      </c>
    </row>
    <row r="27" spans="1:4" x14ac:dyDescent="0.25">
      <c r="A27" s="4">
        <f t="shared" si="0"/>
        <v>32</v>
      </c>
      <c r="B27" t="str">
        <f ca="1">TEXT(DATE(YEAR(Invoer!$A$5),1,1)+ROWS(B$2:B27)-1,"jjjjmmdd")</f>
        <v>19370126</v>
      </c>
      <c r="C27" s="18">
        <f t="shared" ca="1" si="1"/>
        <v>762.5</v>
      </c>
      <c r="D27" s="17">
        <f t="shared" ca="1" si="2"/>
        <v>0</v>
      </c>
    </row>
    <row r="28" spans="1:4" x14ac:dyDescent="0.25">
      <c r="A28" s="4">
        <f t="shared" si="0"/>
        <v>32</v>
      </c>
      <c r="B28" t="str">
        <f ca="1">TEXT(DATE(YEAR(Invoer!$A$5),1,1)+ROWS(B$2:B28)-1,"jjjjmmdd")</f>
        <v>19370127</v>
      </c>
      <c r="C28" s="18">
        <f t="shared" ca="1" si="1"/>
        <v>762</v>
      </c>
      <c r="D28" s="17">
        <f t="shared" ca="1" si="2"/>
        <v>0</v>
      </c>
    </row>
    <row r="29" spans="1:4" x14ac:dyDescent="0.25">
      <c r="A29" s="4">
        <f t="shared" si="0"/>
        <v>32</v>
      </c>
      <c r="B29" t="str">
        <f ca="1">TEXT(DATE(YEAR(Invoer!$A$5),1,1)+ROWS(B$2:B29)-1,"jjjjmmdd")</f>
        <v>19370128</v>
      </c>
      <c r="C29" s="18">
        <f t="shared" ca="1" si="1"/>
        <v>762.5</v>
      </c>
      <c r="D29" s="17">
        <f t="shared" ca="1" si="2"/>
        <v>0</v>
      </c>
    </row>
    <row r="30" spans="1:4" x14ac:dyDescent="0.25">
      <c r="A30" s="4">
        <f t="shared" si="0"/>
        <v>32</v>
      </c>
      <c r="B30" t="str">
        <f ca="1">TEXT(DATE(YEAR(Invoer!$A$5),1,1)+ROWS(B$2:B30)-1,"jjjjmmdd")</f>
        <v>19370129</v>
      </c>
      <c r="C30" s="18">
        <f t="shared" ca="1" si="1"/>
        <v>762.5</v>
      </c>
      <c r="D30" s="17">
        <f t="shared" ca="1" si="2"/>
        <v>0</v>
      </c>
    </row>
    <row r="31" spans="1:4" x14ac:dyDescent="0.25">
      <c r="A31" s="4">
        <f t="shared" si="0"/>
        <v>32</v>
      </c>
      <c r="B31" t="str">
        <f ca="1">TEXT(DATE(YEAR(Invoer!$A$5),1,1)+ROWS(B$2:B31)-1,"jjjjmmdd")</f>
        <v>19370130</v>
      </c>
      <c r="C31" s="18">
        <f t="shared" ca="1" si="1"/>
        <v>762.5</v>
      </c>
      <c r="D31" s="17">
        <f t="shared" ca="1" si="2"/>
        <v>0</v>
      </c>
    </row>
    <row r="32" spans="1:4" x14ac:dyDescent="0.25">
      <c r="A32" s="4">
        <f t="shared" si="0"/>
        <v>32</v>
      </c>
      <c r="B32" t="str">
        <f ca="1">TEXT(DATE(YEAR(Invoer!$A$5),1,1)+ROWS(B$2:B32)-1,"jjjjmmdd")</f>
        <v>19370131</v>
      </c>
      <c r="C32" s="18">
        <f t="shared" ca="1" si="1"/>
        <v>760.5</v>
      </c>
      <c r="D32" s="17">
        <f t="shared" ca="1" si="2"/>
        <v>0</v>
      </c>
    </row>
    <row r="33" spans="1:4" x14ac:dyDescent="0.25">
      <c r="A33" s="4">
        <f t="shared" si="0"/>
        <v>32</v>
      </c>
      <c r="B33" t="str">
        <f ca="1">TEXT(DATE(YEAR(Invoer!$A$5),1,1)+ROWS(B$2:B33)-1,"jjjjmmdd")</f>
        <v>19370201</v>
      </c>
      <c r="C33" s="18">
        <f t="shared" ca="1" si="1"/>
        <v>760.5</v>
      </c>
      <c r="D33" s="17">
        <f t="shared" ca="1" si="2"/>
        <v>0</v>
      </c>
    </row>
    <row r="34" spans="1:4" x14ac:dyDescent="0.25">
      <c r="A34" s="4">
        <f t="shared" si="0"/>
        <v>32</v>
      </c>
      <c r="B34" t="str">
        <f ca="1">TEXT(DATE(YEAR(Invoer!$A$5),1,1)+ROWS(B$2:B34)-1,"jjjjmmdd")</f>
        <v>19370202</v>
      </c>
      <c r="C34" s="18">
        <f t="shared" ca="1" si="1"/>
        <v>762.5</v>
      </c>
      <c r="D34" s="17">
        <f t="shared" ca="1" si="2"/>
        <v>0</v>
      </c>
    </row>
    <row r="35" spans="1:4" x14ac:dyDescent="0.25">
      <c r="A35" s="4">
        <f t="shared" si="0"/>
        <v>32</v>
      </c>
      <c r="B35" t="str">
        <f ca="1">TEXT(DATE(YEAR(Invoer!$A$5),1,1)+ROWS(B$2:B35)-1,"jjjjmmdd")</f>
        <v>19370203</v>
      </c>
      <c r="C35" s="18">
        <f t="shared" ca="1" si="1"/>
        <v>762.5</v>
      </c>
      <c r="D35" s="17">
        <f t="shared" ca="1" si="2"/>
        <v>0</v>
      </c>
    </row>
    <row r="36" spans="1:4" x14ac:dyDescent="0.25">
      <c r="A36" s="4">
        <f t="shared" si="0"/>
        <v>32</v>
      </c>
      <c r="B36" t="str">
        <f ca="1">TEXT(DATE(YEAR(Invoer!$A$5),1,1)+ROWS(B$2:B36)-1,"jjjjmmdd")</f>
        <v>19370204</v>
      </c>
      <c r="C36" s="18">
        <f t="shared" ca="1" si="1"/>
        <v>763</v>
      </c>
      <c r="D36" s="17">
        <f t="shared" ca="1" si="2"/>
        <v>0</v>
      </c>
    </row>
    <row r="37" spans="1:4" x14ac:dyDescent="0.25">
      <c r="A37" s="4">
        <f t="shared" si="0"/>
        <v>32</v>
      </c>
      <c r="B37" t="str">
        <f ca="1">TEXT(DATE(YEAR(Invoer!$A$5),1,1)+ROWS(B$2:B37)-1,"jjjjmmdd")</f>
        <v>19370205</v>
      </c>
      <c r="C37" s="18">
        <f t="shared" ca="1" si="1"/>
        <v>762.5</v>
      </c>
      <c r="D37" s="17">
        <f t="shared" ca="1" si="2"/>
        <v>0</v>
      </c>
    </row>
    <row r="38" spans="1:4" x14ac:dyDescent="0.25">
      <c r="A38" s="4">
        <f t="shared" si="0"/>
        <v>32</v>
      </c>
      <c r="B38" t="str">
        <f ca="1">TEXT(DATE(YEAR(Invoer!$A$5),1,1)+ROWS(B$2:B38)-1,"jjjjmmdd")</f>
        <v>19370206</v>
      </c>
      <c r="C38" s="18">
        <f t="shared" ca="1" si="1"/>
        <v>761</v>
      </c>
      <c r="D38" s="17">
        <f t="shared" ca="1" si="2"/>
        <v>0</v>
      </c>
    </row>
    <row r="39" spans="1:4" x14ac:dyDescent="0.25">
      <c r="A39" s="4">
        <f t="shared" si="0"/>
        <v>32</v>
      </c>
      <c r="B39" t="str">
        <f ca="1">TEXT(DATE(YEAR(Invoer!$A$5),1,1)+ROWS(B$2:B39)-1,"jjjjmmdd")</f>
        <v>19370207</v>
      </c>
      <c r="C39" s="18">
        <f t="shared" ca="1" si="1"/>
        <v>762.5</v>
      </c>
      <c r="D39" s="17">
        <f t="shared" ca="1" si="2"/>
        <v>0</v>
      </c>
    </row>
    <row r="40" spans="1:4" x14ac:dyDescent="0.25">
      <c r="A40" s="4">
        <f t="shared" si="0"/>
        <v>32</v>
      </c>
      <c r="B40" t="str">
        <f ca="1">TEXT(DATE(YEAR(Invoer!$A$5),1,1)+ROWS(B$2:B40)-1,"jjjjmmdd")</f>
        <v>19370208</v>
      </c>
      <c r="C40" s="18">
        <f t="shared" ca="1" si="1"/>
        <v>762</v>
      </c>
      <c r="D40" s="17">
        <f t="shared" ca="1" si="2"/>
        <v>0</v>
      </c>
    </row>
    <row r="41" spans="1:4" x14ac:dyDescent="0.25">
      <c r="A41" s="4">
        <f t="shared" si="0"/>
        <v>32</v>
      </c>
      <c r="B41" t="str">
        <f ca="1">TEXT(DATE(YEAR(Invoer!$A$5),1,1)+ROWS(B$2:B41)-1,"jjjjmmdd")</f>
        <v>19370209</v>
      </c>
      <c r="C41" s="18">
        <f t="shared" ca="1" si="1"/>
        <v>762</v>
      </c>
      <c r="D41" s="17">
        <f t="shared" ca="1" si="2"/>
        <v>0</v>
      </c>
    </row>
    <row r="42" spans="1:4" x14ac:dyDescent="0.25">
      <c r="A42" s="4">
        <f t="shared" si="0"/>
        <v>32</v>
      </c>
      <c r="B42" t="str">
        <f ca="1">TEXT(DATE(YEAR(Invoer!$A$5),1,1)+ROWS(B$2:B42)-1,"jjjjmmdd")</f>
        <v>19370210</v>
      </c>
      <c r="C42" s="18">
        <f t="shared" ca="1" si="1"/>
        <v>761.5</v>
      </c>
      <c r="D42" s="17">
        <f t="shared" ca="1" si="2"/>
        <v>0</v>
      </c>
    </row>
    <row r="43" spans="1:4" x14ac:dyDescent="0.25">
      <c r="A43" s="4">
        <f t="shared" si="0"/>
        <v>32</v>
      </c>
      <c r="B43" t="str">
        <f ca="1">TEXT(DATE(YEAR(Invoer!$A$5),1,1)+ROWS(B$2:B43)-1,"jjjjmmdd")</f>
        <v>19370211</v>
      </c>
      <c r="C43" s="18">
        <f t="shared" ca="1" si="1"/>
        <v>762.5</v>
      </c>
      <c r="D43" s="17">
        <f t="shared" ca="1" si="2"/>
        <v>0</v>
      </c>
    </row>
    <row r="44" spans="1:4" x14ac:dyDescent="0.25">
      <c r="A44" s="4">
        <f t="shared" si="0"/>
        <v>32</v>
      </c>
      <c r="B44" t="str">
        <f ca="1">TEXT(DATE(YEAR(Invoer!$A$5),1,1)+ROWS(B$2:B44)-1,"jjjjmmdd")</f>
        <v>19370212</v>
      </c>
      <c r="C44" s="18">
        <f t="shared" ca="1" si="1"/>
        <v>762</v>
      </c>
      <c r="D44" s="17">
        <f t="shared" ca="1" si="2"/>
        <v>0</v>
      </c>
    </row>
    <row r="45" spans="1:4" x14ac:dyDescent="0.25">
      <c r="A45" s="4">
        <f t="shared" si="0"/>
        <v>32</v>
      </c>
      <c r="B45" t="str">
        <f ca="1">TEXT(DATE(YEAR(Invoer!$A$5),1,1)+ROWS(B$2:B45)-1,"jjjjmmdd")</f>
        <v>19370213</v>
      </c>
      <c r="C45" s="18">
        <f t="shared" ca="1" si="1"/>
        <v>761</v>
      </c>
      <c r="D45" s="17">
        <f t="shared" ca="1" si="2"/>
        <v>0</v>
      </c>
    </row>
    <row r="46" spans="1:4" x14ac:dyDescent="0.25">
      <c r="A46" s="4">
        <f t="shared" si="0"/>
        <v>32</v>
      </c>
      <c r="B46" t="str">
        <f ca="1">TEXT(DATE(YEAR(Invoer!$A$5),1,1)+ROWS(B$2:B46)-1,"jjjjmmdd")</f>
        <v>19370214</v>
      </c>
      <c r="C46" s="18">
        <f t="shared" ca="1" si="1"/>
        <v>761</v>
      </c>
      <c r="D46" s="17">
        <f t="shared" ca="1" si="2"/>
        <v>0</v>
      </c>
    </row>
    <row r="47" spans="1:4" x14ac:dyDescent="0.25">
      <c r="A47" s="4">
        <f t="shared" si="0"/>
        <v>32</v>
      </c>
      <c r="B47" t="str">
        <f ca="1">TEXT(DATE(YEAR(Invoer!$A$5),1,1)+ROWS(B$2:B47)-1,"jjjjmmdd")</f>
        <v>19370215</v>
      </c>
      <c r="C47" s="18">
        <f t="shared" ca="1" si="1"/>
        <v>762.5</v>
      </c>
      <c r="D47" s="17">
        <f t="shared" ca="1" si="2"/>
        <v>0</v>
      </c>
    </row>
    <row r="48" spans="1:4" x14ac:dyDescent="0.25">
      <c r="A48" s="4">
        <f t="shared" si="0"/>
        <v>32</v>
      </c>
      <c r="B48" t="str">
        <f ca="1">TEXT(DATE(YEAR(Invoer!$A$5),1,1)+ROWS(B$2:B48)-1,"jjjjmmdd")</f>
        <v>19370216</v>
      </c>
      <c r="C48" s="18">
        <f t="shared" ca="1" si="1"/>
        <v>762</v>
      </c>
      <c r="D48" s="17">
        <f t="shared" ca="1" si="2"/>
        <v>0</v>
      </c>
    </row>
    <row r="49" spans="1:4" x14ac:dyDescent="0.25">
      <c r="A49" s="4">
        <f t="shared" si="0"/>
        <v>32</v>
      </c>
      <c r="B49" t="str">
        <f ca="1">TEXT(DATE(YEAR(Invoer!$A$5),1,1)+ROWS(B$2:B49)-1,"jjjjmmdd")</f>
        <v>19370217</v>
      </c>
      <c r="C49" s="18">
        <f t="shared" ca="1" si="1"/>
        <v>762</v>
      </c>
      <c r="D49" s="17">
        <f t="shared" ca="1" si="2"/>
        <v>0</v>
      </c>
    </row>
    <row r="50" spans="1:4" x14ac:dyDescent="0.25">
      <c r="A50" s="4">
        <f t="shared" si="0"/>
        <v>32</v>
      </c>
      <c r="B50" t="str">
        <f ca="1">TEXT(DATE(YEAR(Invoer!$A$5),1,1)+ROWS(B$2:B50)-1,"jjjjmmdd")</f>
        <v>19370218</v>
      </c>
      <c r="C50" s="18">
        <f t="shared" ca="1" si="1"/>
        <v>762</v>
      </c>
      <c r="D50" s="17">
        <f t="shared" ca="1" si="2"/>
        <v>0</v>
      </c>
    </row>
    <row r="51" spans="1:4" x14ac:dyDescent="0.25">
      <c r="A51" s="4">
        <f t="shared" si="0"/>
        <v>32</v>
      </c>
      <c r="B51" t="str">
        <f ca="1">TEXT(DATE(YEAR(Invoer!$A$5),1,1)+ROWS(B$2:B51)-1,"jjjjmmdd")</f>
        <v>19370219</v>
      </c>
      <c r="C51" s="18">
        <f t="shared" ca="1" si="1"/>
        <v>762</v>
      </c>
      <c r="D51" s="17">
        <f t="shared" ca="1" si="2"/>
        <v>0</v>
      </c>
    </row>
    <row r="52" spans="1:4" x14ac:dyDescent="0.25">
      <c r="A52" s="4">
        <f t="shared" si="0"/>
        <v>32</v>
      </c>
      <c r="B52" t="str">
        <f ca="1">TEXT(DATE(YEAR(Invoer!$A$5),1,1)+ROWS(B$2:B52)-1,"jjjjmmdd")</f>
        <v>19370220</v>
      </c>
      <c r="C52" s="18">
        <f t="shared" ca="1" si="1"/>
        <v>762.5</v>
      </c>
      <c r="D52" s="17">
        <f t="shared" ca="1" si="2"/>
        <v>0</v>
      </c>
    </row>
    <row r="53" spans="1:4" x14ac:dyDescent="0.25">
      <c r="A53" s="4">
        <f t="shared" si="0"/>
        <v>32</v>
      </c>
      <c r="B53" t="str">
        <f ca="1">TEXT(DATE(YEAR(Invoer!$A$5),1,1)+ROWS(B$2:B53)-1,"jjjjmmdd")</f>
        <v>19370221</v>
      </c>
      <c r="C53" s="18">
        <f t="shared" ca="1" si="1"/>
        <v>762.5</v>
      </c>
      <c r="D53" s="17">
        <f t="shared" ca="1" si="2"/>
        <v>0</v>
      </c>
    </row>
    <row r="54" spans="1:4" x14ac:dyDescent="0.25">
      <c r="A54" s="4">
        <f t="shared" si="0"/>
        <v>32</v>
      </c>
      <c r="B54" t="str">
        <f ca="1">TEXT(DATE(YEAR(Invoer!$A$5),1,1)+ROWS(B$2:B54)-1,"jjjjmmdd")</f>
        <v>19370222</v>
      </c>
      <c r="C54" s="18">
        <f t="shared" ca="1" si="1"/>
        <v>762.5</v>
      </c>
      <c r="D54" s="17">
        <f t="shared" ca="1" si="2"/>
        <v>0</v>
      </c>
    </row>
    <row r="55" spans="1:4" x14ac:dyDescent="0.25">
      <c r="A55" s="4">
        <f t="shared" si="0"/>
        <v>32</v>
      </c>
      <c r="B55" t="str">
        <f ca="1">TEXT(DATE(YEAR(Invoer!$A$5),1,1)+ROWS(B$2:B55)-1,"jjjjmmdd")</f>
        <v>19370223</v>
      </c>
      <c r="C55" s="18">
        <f t="shared" ca="1" si="1"/>
        <v>762.5</v>
      </c>
      <c r="D55" s="17">
        <f t="shared" ca="1" si="2"/>
        <v>0</v>
      </c>
    </row>
    <row r="56" spans="1:4" x14ac:dyDescent="0.25">
      <c r="A56" s="4">
        <f t="shared" si="0"/>
        <v>32</v>
      </c>
      <c r="B56" t="str">
        <f ca="1">TEXT(DATE(YEAR(Invoer!$A$5),1,1)+ROWS(B$2:B56)-1,"jjjjmmdd")</f>
        <v>19370224</v>
      </c>
      <c r="C56" s="18">
        <f t="shared" ca="1" si="1"/>
        <v>762</v>
      </c>
      <c r="D56" s="17">
        <f t="shared" ca="1" si="2"/>
        <v>0</v>
      </c>
    </row>
    <row r="57" spans="1:4" x14ac:dyDescent="0.25">
      <c r="A57" s="4">
        <f t="shared" si="0"/>
        <v>32</v>
      </c>
      <c r="B57" t="str">
        <f ca="1">TEXT(DATE(YEAR(Invoer!$A$5),1,1)+ROWS(B$2:B57)-1,"jjjjmmdd")</f>
        <v>19370225</v>
      </c>
      <c r="C57" s="18">
        <f t="shared" ca="1" si="1"/>
        <v>762</v>
      </c>
      <c r="D57" s="17">
        <f t="shared" ca="1" si="2"/>
        <v>0</v>
      </c>
    </row>
    <row r="58" spans="1:4" x14ac:dyDescent="0.25">
      <c r="A58" s="4">
        <f t="shared" si="0"/>
        <v>32</v>
      </c>
      <c r="B58" t="str">
        <f ca="1">TEXT(DATE(YEAR(Invoer!$A$5),1,1)+ROWS(B$2:B58)-1,"jjjjmmdd")</f>
        <v>19370226</v>
      </c>
      <c r="C58" s="18">
        <f t="shared" ca="1" si="1"/>
        <v>761.5</v>
      </c>
      <c r="D58" s="17">
        <f t="shared" ca="1" si="2"/>
        <v>0</v>
      </c>
    </row>
    <row r="59" spans="1:4" x14ac:dyDescent="0.25">
      <c r="A59" s="4">
        <f t="shared" si="0"/>
        <v>32</v>
      </c>
      <c r="B59" t="str">
        <f ca="1">TEXT(DATE(YEAR(Invoer!$A$5),1,1)+ROWS(B$2:B59)-1,"jjjjmmdd")</f>
        <v>19370227</v>
      </c>
      <c r="C59" s="18">
        <f t="shared" ca="1" si="1"/>
        <v>761</v>
      </c>
      <c r="D59" s="17">
        <f t="shared" ca="1" si="2"/>
        <v>0</v>
      </c>
    </row>
    <row r="60" spans="1:4" x14ac:dyDescent="0.25">
      <c r="A60" s="4">
        <f t="shared" si="0"/>
        <v>32</v>
      </c>
      <c r="B60" t="str">
        <f ca="1">TEXT(DATE(YEAR(Invoer!$A$5),1,1)+ROWS(B$2:B60)-1,"jjjjmmdd")</f>
        <v>19370228</v>
      </c>
      <c r="C60" s="18">
        <f t="shared" ca="1" si="1"/>
        <v>761</v>
      </c>
      <c r="D60" s="17">
        <f t="shared" ca="1" si="2"/>
        <v>0</v>
      </c>
    </row>
    <row r="61" spans="1:4" x14ac:dyDescent="0.25">
      <c r="A61" s="4">
        <f t="shared" si="0"/>
        <v>32</v>
      </c>
      <c r="B61" t="str">
        <f ca="1">TEXT(DATE(YEAR(Invoer!$A$5),1,1)+ROWS(B$2:B61)-1,"jjjjmmdd")</f>
        <v>19370301</v>
      </c>
      <c r="C61" s="18">
        <f t="shared" ca="1" si="1"/>
        <v>762</v>
      </c>
      <c r="D61" s="17">
        <f t="shared" ca="1" si="2"/>
        <v>0</v>
      </c>
    </row>
    <row r="62" spans="1:4" x14ac:dyDescent="0.25">
      <c r="A62" s="4">
        <f t="shared" si="0"/>
        <v>32</v>
      </c>
      <c r="B62" t="str">
        <f ca="1">TEXT(DATE(YEAR(Invoer!$A$5),1,1)+ROWS(B$2:B62)-1,"jjjjmmdd")</f>
        <v>19370302</v>
      </c>
      <c r="C62" s="18">
        <f t="shared" ca="1" si="1"/>
        <v>762</v>
      </c>
      <c r="D62" s="17">
        <f t="shared" ca="1" si="2"/>
        <v>0</v>
      </c>
    </row>
    <row r="63" spans="1:4" x14ac:dyDescent="0.25">
      <c r="A63" s="4">
        <f t="shared" si="0"/>
        <v>32</v>
      </c>
      <c r="B63" t="str">
        <f ca="1">TEXT(DATE(YEAR(Invoer!$A$5),1,1)+ROWS(B$2:B63)-1,"jjjjmmdd")</f>
        <v>19370303</v>
      </c>
      <c r="C63" s="18">
        <f t="shared" ca="1" si="1"/>
        <v>763.5</v>
      </c>
      <c r="D63" s="17">
        <f t="shared" ca="1" si="2"/>
        <v>0</v>
      </c>
    </row>
    <row r="64" spans="1:4" x14ac:dyDescent="0.25">
      <c r="A64" s="4">
        <f t="shared" si="0"/>
        <v>32</v>
      </c>
      <c r="B64" t="str">
        <f ca="1">TEXT(DATE(YEAR(Invoer!$A$5),1,1)+ROWS(B$2:B64)-1,"jjjjmmdd")</f>
        <v>19370304</v>
      </c>
      <c r="C64" s="18">
        <f t="shared" ca="1" si="1"/>
        <v>761</v>
      </c>
      <c r="D64" s="17">
        <f t="shared" ca="1" si="2"/>
        <v>0</v>
      </c>
    </row>
    <row r="65" spans="1:4" x14ac:dyDescent="0.25">
      <c r="A65" s="4">
        <f t="shared" si="0"/>
        <v>32</v>
      </c>
      <c r="B65" t="str">
        <f ca="1">TEXT(DATE(YEAR(Invoer!$A$5),1,1)+ROWS(B$2:B65)-1,"jjjjmmdd")</f>
        <v>19370305</v>
      </c>
      <c r="C65" s="18">
        <f t="shared" ca="1" si="1"/>
        <v>761</v>
      </c>
      <c r="D65" s="17">
        <f t="shared" ca="1" si="2"/>
        <v>0</v>
      </c>
    </row>
    <row r="66" spans="1:4" x14ac:dyDescent="0.25">
      <c r="A66" s="4">
        <f t="shared" ref="A66:A129" si="3">INDEX(Stations,2,1)</f>
        <v>32</v>
      </c>
      <c r="B66" t="str">
        <f ca="1">TEXT(DATE(YEAR(Invoer!$A$5),1,1)+ROWS(B$2:B66)-1,"jjjjmmdd")</f>
        <v>19370306</v>
      </c>
      <c r="C66" s="18">
        <f t="shared" ref="C66:C129" ca="1" si="4">IF(OR(ISBLANK(VLOOKUP(DATEVALUE(LEFT($B66,4)&amp;"-"&amp;MID($B66,5,2)&amp;"-"&amp;RIGHT($B66,2)),Data,MATCH(LEFT(VLOOKUP(C$1,Parameters,2,FALSE()),4)&amp;"*",OFFSET(Data,0,0,1),0),FALSE())),ISTEXT(VLOOKUP(DATEVALUE(LEFT($B66,4)&amp;"-"&amp;MID($B66,5,2)&amp;"-"&amp;RIGHT($B66,2)),Data,MATCH(LEFT(VLOOKUP(C$1,Parameters,2,FALSE()),4)&amp;"*",OFFSET(Data,0,0,1),0),FALSE()))),"—",VLOOKUP(DATEVALUE(LEFT($B66,4)&amp;"-"&amp;MID($B66,5,2)&amp;"-"&amp;RIGHT($B66,2)),Data,MATCH(LEFT(VLOOKUP(C$1,Parameters,2,FALSE()),4)&amp;"*",OFFSET(Data,0,0,1),0),FALSE())/10)</f>
        <v>761</v>
      </c>
      <c r="D66" s="17">
        <f t="shared" ref="D66:D129" ca="1" si="5">IF(OR(ISBLANK(VLOOKUP(DATEVALUE(LEFT($B66,4)&amp;"-"&amp;MID($B66,5,2)&amp;"-"&amp;RIGHT($B66,2)),Data,MATCH(LEFT(VLOOKUP(MID(D$1,2,LEN(D$1)-1),Parameters,2,FALSE()),4)&amp;"*",OFFSET(Data,0,0,1),0),FALSE())),ISTEXT(VLOOKUP(DATEVALUE(LEFT($B66,4)&amp;"-"&amp;MID($B66,5,2)&amp;"-"&amp;RIGHT($B66,2)),Data,MATCH(LEFT(VLOOKUP(MID(D$1,2,LEN(D$1)-1),Parameters,2,FALSE()),4)&amp;"*",OFFSET(Data,0,0,1),0),FALSE()))),Lacking,IF(ISNA(MATCH(DATEVALUE(LEFT($B66,4)&amp;"-"&amp;MID($B66,5,2)&amp;"-"&amp;RIGHT($B66,2)),OFFSET(Catalogus,0,0,,1),0)),Ok,VLOOKUP(DATEVALUE(LEFT($B66,4)&amp;"-"&amp;MID($B66,5,2)&amp;"-"&amp;RIGHT($B66,2)),Catalogus,MATCH(LEFT(VLOOKUP(MID(D$1,2,LEN(D$1)-1),Parameters,2,FALSE()),4)&amp;"*",OFFSET(Catalogus,0,0,1),0),FALSE())))</f>
        <v>0</v>
      </c>
    </row>
    <row r="67" spans="1:4" x14ac:dyDescent="0.25">
      <c r="A67" s="4">
        <f t="shared" si="3"/>
        <v>32</v>
      </c>
      <c r="B67" t="str">
        <f ca="1">TEXT(DATE(YEAR(Invoer!$A$5),1,1)+ROWS(B$2:B67)-1,"jjjjmmdd")</f>
        <v>19370307</v>
      </c>
      <c r="C67" s="18">
        <f t="shared" ca="1" si="4"/>
        <v>761</v>
      </c>
      <c r="D67" s="17">
        <f t="shared" ca="1" si="5"/>
        <v>0</v>
      </c>
    </row>
    <row r="68" spans="1:4" x14ac:dyDescent="0.25">
      <c r="A68" s="4">
        <f t="shared" si="3"/>
        <v>32</v>
      </c>
      <c r="B68" t="str">
        <f ca="1">TEXT(DATE(YEAR(Invoer!$A$5),1,1)+ROWS(B$2:B68)-1,"jjjjmmdd")</f>
        <v>19370308</v>
      </c>
      <c r="C68" s="18">
        <f t="shared" ca="1" si="4"/>
        <v>760.5</v>
      </c>
      <c r="D68" s="17">
        <f t="shared" ca="1" si="5"/>
        <v>0</v>
      </c>
    </row>
    <row r="69" spans="1:4" x14ac:dyDescent="0.25">
      <c r="A69" s="4">
        <f t="shared" si="3"/>
        <v>32</v>
      </c>
      <c r="B69" t="str">
        <f ca="1">TEXT(DATE(YEAR(Invoer!$A$5),1,1)+ROWS(B$2:B69)-1,"jjjjmmdd")</f>
        <v>19370309</v>
      </c>
      <c r="C69" s="18">
        <f t="shared" ca="1" si="4"/>
        <v>760.5</v>
      </c>
      <c r="D69" s="17">
        <f t="shared" ca="1" si="5"/>
        <v>0</v>
      </c>
    </row>
    <row r="70" spans="1:4" x14ac:dyDescent="0.25">
      <c r="A70" s="4">
        <f t="shared" si="3"/>
        <v>32</v>
      </c>
      <c r="B70" t="str">
        <f ca="1">TEXT(DATE(YEAR(Invoer!$A$5),1,1)+ROWS(B$2:B70)-1,"jjjjmmdd")</f>
        <v>19370310</v>
      </c>
      <c r="C70" s="18">
        <f t="shared" ca="1" si="4"/>
        <v>760</v>
      </c>
      <c r="D70" s="17">
        <f t="shared" ca="1" si="5"/>
        <v>0</v>
      </c>
    </row>
    <row r="71" spans="1:4" x14ac:dyDescent="0.25">
      <c r="A71" s="4">
        <f t="shared" si="3"/>
        <v>32</v>
      </c>
      <c r="B71" t="str">
        <f ca="1">TEXT(DATE(YEAR(Invoer!$A$5),1,1)+ROWS(B$2:B71)-1,"jjjjmmdd")</f>
        <v>19370311</v>
      </c>
      <c r="C71" s="18">
        <f t="shared" ca="1" si="4"/>
        <v>760</v>
      </c>
      <c r="D71" s="17">
        <f t="shared" ca="1" si="5"/>
        <v>0</v>
      </c>
    </row>
    <row r="72" spans="1:4" x14ac:dyDescent="0.25">
      <c r="A72" s="4">
        <f t="shared" si="3"/>
        <v>32</v>
      </c>
      <c r="B72" t="str">
        <f ca="1">TEXT(DATE(YEAR(Invoer!$A$5),1,1)+ROWS(B$2:B72)-1,"jjjjmmdd")</f>
        <v>19370312</v>
      </c>
      <c r="C72" s="18">
        <f t="shared" ca="1" si="4"/>
        <v>759</v>
      </c>
      <c r="D72" s="17">
        <f t="shared" ca="1" si="5"/>
        <v>0</v>
      </c>
    </row>
    <row r="73" spans="1:4" x14ac:dyDescent="0.25">
      <c r="A73" s="4">
        <f t="shared" si="3"/>
        <v>32</v>
      </c>
      <c r="B73" t="str">
        <f ca="1">TEXT(DATE(YEAR(Invoer!$A$5),1,1)+ROWS(B$2:B73)-1,"jjjjmmdd")</f>
        <v>19370313</v>
      </c>
      <c r="C73" s="18">
        <f t="shared" ca="1" si="4"/>
        <v>758.5</v>
      </c>
      <c r="D73" s="17">
        <f t="shared" ca="1" si="5"/>
        <v>0</v>
      </c>
    </row>
    <row r="74" spans="1:4" x14ac:dyDescent="0.25">
      <c r="A74" s="4">
        <f t="shared" si="3"/>
        <v>32</v>
      </c>
      <c r="B74" t="str">
        <f ca="1">TEXT(DATE(YEAR(Invoer!$A$5),1,1)+ROWS(B$2:B74)-1,"jjjjmmdd")</f>
        <v>19370314</v>
      </c>
      <c r="C74" s="18">
        <f t="shared" ca="1" si="4"/>
        <v>759</v>
      </c>
      <c r="D74" s="17">
        <f t="shared" ca="1" si="5"/>
        <v>0</v>
      </c>
    </row>
    <row r="75" spans="1:4" x14ac:dyDescent="0.25">
      <c r="A75" s="4">
        <f t="shared" si="3"/>
        <v>32</v>
      </c>
      <c r="B75" t="str">
        <f ca="1">TEXT(DATE(YEAR(Invoer!$A$5),1,1)+ROWS(B$2:B75)-1,"jjjjmmdd")</f>
        <v>19370315</v>
      </c>
      <c r="C75" s="18">
        <f t="shared" ca="1" si="4"/>
        <v>759.5</v>
      </c>
      <c r="D75" s="17">
        <f t="shared" ca="1" si="5"/>
        <v>0</v>
      </c>
    </row>
    <row r="76" spans="1:4" x14ac:dyDescent="0.25">
      <c r="A76" s="4">
        <f t="shared" si="3"/>
        <v>32</v>
      </c>
      <c r="B76" t="str">
        <f ca="1">TEXT(DATE(YEAR(Invoer!$A$5),1,1)+ROWS(B$2:B76)-1,"jjjjmmdd")</f>
        <v>19370316</v>
      </c>
      <c r="C76" s="18">
        <f t="shared" ca="1" si="4"/>
        <v>759.5</v>
      </c>
      <c r="D76" s="17">
        <f t="shared" ca="1" si="5"/>
        <v>0</v>
      </c>
    </row>
    <row r="77" spans="1:4" x14ac:dyDescent="0.25">
      <c r="A77" s="4">
        <f t="shared" si="3"/>
        <v>32</v>
      </c>
      <c r="B77" t="str">
        <f ca="1">TEXT(DATE(YEAR(Invoer!$A$5),1,1)+ROWS(B$2:B77)-1,"jjjjmmdd")</f>
        <v>19370317</v>
      </c>
      <c r="C77" s="18">
        <f t="shared" ca="1" si="4"/>
        <v>760.5</v>
      </c>
      <c r="D77" s="17">
        <f t="shared" ca="1" si="5"/>
        <v>0</v>
      </c>
    </row>
    <row r="78" spans="1:4" x14ac:dyDescent="0.25">
      <c r="A78" s="4">
        <f t="shared" si="3"/>
        <v>32</v>
      </c>
      <c r="B78" t="str">
        <f ca="1">TEXT(DATE(YEAR(Invoer!$A$5),1,1)+ROWS(B$2:B78)-1,"jjjjmmdd")</f>
        <v>19370318</v>
      </c>
      <c r="C78" s="18">
        <f t="shared" ca="1" si="4"/>
        <v>762</v>
      </c>
      <c r="D78" s="17">
        <f t="shared" ca="1" si="5"/>
        <v>0</v>
      </c>
    </row>
    <row r="79" spans="1:4" x14ac:dyDescent="0.25">
      <c r="A79" s="4">
        <f t="shared" si="3"/>
        <v>32</v>
      </c>
      <c r="B79" t="str">
        <f ca="1">TEXT(DATE(YEAR(Invoer!$A$5),1,1)+ROWS(B$2:B79)-1,"jjjjmmdd")</f>
        <v>19370319</v>
      </c>
      <c r="C79" s="18">
        <f t="shared" ca="1" si="4"/>
        <v>760</v>
      </c>
      <c r="D79" s="17">
        <f t="shared" ca="1" si="5"/>
        <v>0</v>
      </c>
    </row>
    <row r="80" spans="1:4" x14ac:dyDescent="0.25">
      <c r="A80" s="4">
        <f t="shared" si="3"/>
        <v>32</v>
      </c>
      <c r="B80" t="str">
        <f ca="1">TEXT(DATE(YEAR(Invoer!$A$5),1,1)+ROWS(B$2:B80)-1,"jjjjmmdd")</f>
        <v>19370320</v>
      </c>
      <c r="C80" s="18">
        <f t="shared" ca="1" si="4"/>
        <v>760.5</v>
      </c>
      <c r="D80" s="17">
        <f t="shared" ca="1" si="5"/>
        <v>0</v>
      </c>
    </row>
    <row r="81" spans="1:4" x14ac:dyDescent="0.25">
      <c r="A81" s="4">
        <f t="shared" si="3"/>
        <v>32</v>
      </c>
      <c r="B81" t="str">
        <f ca="1">TEXT(DATE(YEAR(Invoer!$A$5),1,1)+ROWS(B$2:B81)-1,"jjjjmmdd")</f>
        <v>19370321</v>
      </c>
      <c r="C81" s="18">
        <f t="shared" ca="1" si="4"/>
        <v>760.5</v>
      </c>
      <c r="D81" s="17">
        <f t="shared" ca="1" si="5"/>
        <v>0</v>
      </c>
    </row>
    <row r="82" spans="1:4" x14ac:dyDescent="0.25">
      <c r="A82" s="4">
        <f t="shared" si="3"/>
        <v>32</v>
      </c>
      <c r="B82" t="str">
        <f ca="1">TEXT(DATE(YEAR(Invoer!$A$5),1,1)+ROWS(B$2:B82)-1,"jjjjmmdd")</f>
        <v>19370322</v>
      </c>
      <c r="C82" s="18">
        <f t="shared" ca="1" si="4"/>
        <v>761</v>
      </c>
      <c r="D82" s="17">
        <f t="shared" ca="1" si="5"/>
        <v>0</v>
      </c>
    </row>
    <row r="83" spans="1:4" x14ac:dyDescent="0.25">
      <c r="A83" s="4">
        <f t="shared" si="3"/>
        <v>32</v>
      </c>
      <c r="B83" t="str">
        <f ca="1">TEXT(DATE(YEAR(Invoer!$A$5),1,1)+ROWS(B$2:B83)-1,"jjjjmmdd")</f>
        <v>19370323</v>
      </c>
      <c r="C83" s="18">
        <f t="shared" ca="1" si="4"/>
        <v>760.5</v>
      </c>
      <c r="D83" s="17">
        <f t="shared" ca="1" si="5"/>
        <v>0</v>
      </c>
    </row>
    <row r="84" spans="1:4" x14ac:dyDescent="0.25">
      <c r="A84" s="4">
        <f t="shared" si="3"/>
        <v>32</v>
      </c>
      <c r="B84" t="str">
        <f ca="1">TEXT(DATE(YEAR(Invoer!$A$5),1,1)+ROWS(B$2:B84)-1,"jjjjmmdd")</f>
        <v>19370324</v>
      </c>
      <c r="C84" s="18">
        <f t="shared" ca="1" si="4"/>
        <v>760.5</v>
      </c>
      <c r="D84" s="17">
        <f t="shared" ca="1" si="5"/>
        <v>0</v>
      </c>
    </row>
    <row r="85" spans="1:4" x14ac:dyDescent="0.25">
      <c r="A85" s="4">
        <f t="shared" si="3"/>
        <v>32</v>
      </c>
      <c r="B85" t="str">
        <f ca="1">TEXT(DATE(YEAR(Invoer!$A$5),1,1)+ROWS(B$2:B85)-1,"jjjjmmdd")</f>
        <v>19370325</v>
      </c>
      <c r="C85" s="18">
        <f t="shared" ca="1" si="4"/>
        <v>761.5</v>
      </c>
      <c r="D85" s="17">
        <f t="shared" ca="1" si="5"/>
        <v>0</v>
      </c>
    </row>
    <row r="86" spans="1:4" x14ac:dyDescent="0.25">
      <c r="A86" s="4">
        <f t="shared" si="3"/>
        <v>32</v>
      </c>
      <c r="B86" t="str">
        <f ca="1">TEXT(DATE(YEAR(Invoer!$A$5),1,1)+ROWS(B$2:B86)-1,"jjjjmmdd")</f>
        <v>19370326</v>
      </c>
      <c r="C86" s="18">
        <f t="shared" ca="1" si="4"/>
        <v>759</v>
      </c>
      <c r="D86" s="17">
        <f t="shared" ca="1" si="5"/>
        <v>0</v>
      </c>
    </row>
    <row r="87" spans="1:4" x14ac:dyDescent="0.25">
      <c r="A87" s="4">
        <f t="shared" si="3"/>
        <v>32</v>
      </c>
      <c r="B87" t="str">
        <f ca="1">TEXT(DATE(YEAR(Invoer!$A$5),1,1)+ROWS(B$2:B87)-1,"jjjjmmdd")</f>
        <v>19370327</v>
      </c>
      <c r="C87" s="18">
        <f t="shared" ca="1" si="4"/>
        <v>759.5</v>
      </c>
      <c r="D87" s="17">
        <f t="shared" ca="1" si="5"/>
        <v>0</v>
      </c>
    </row>
    <row r="88" spans="1:4" x14ac:dyDescent="0.25">
      <c r="A88" s="4">
        <f t="shared" si="3"/>
        <v>32</v>
      </c>
      <c r="B88" t="str">
        <f ca="1">TEXT(DATE(YEAR(Invoer!$A$5),1,1)+ROWS(B$2:B88)-1,"jjjjmmdd")</f>
        <v>19370328</v>
      </c>
      <c r="C88" s="18">
        <f t="shared" ca="1" si="4"/>
        <v>759.5</v>
      </c>
      <c r="D88" s="17">
        <f t="shared" ca="1" si="5"/>
        <v>0</v>
      </c>
    </row>
    <row r="89" spans="1:4" x14ac:dyDescent="0.25">
      <c r="A89" s="4">
        <f t="shared" si="3"/>
        <v>32</v>
      </c>
      <c r="B89" t="str">
        <f ca="1">TEXT(DATE(YEAR(Invoer!$A$5),1,1)+ROWS(B$2:B89)-1,"jjjjmmdd")</f>
        <v>19370329</v>
      </c>
      <c r="C89" s="18">
        <f t="shared" ca="1" si="4"/>
        <v>759.5</v>
      </c>
      <c r="D89" s="17">
        <f t="shared" ca="1" si="5"/>
        <v>0</v>
      </c>
    </row>
    <row r="90" spans="1:4" x14ac:dyDescent="0.25">
      <c r="A90" s="4">
        <f t="shared" si="3"/>
        <v>32</v>
      </c>
      <c r="B90" t="str">
        <f ca="1">TEXT(DATE(YEAR(Invoer!$A$5),1,1)+ROWS(B$2:B90)-1,"jjjjmmdd")</f>
        <v>19370330</v>
      </c>
      <c r="C90" s="18">
        <f t="shared" ca="1" si="4"/>
        <v>762</v>
      </c>
      <c r="D90" s="17">
        <f t="shared" ca="1" si="5"/>
        <v>0</v>
      </c>
    </row>
    <row r="91" spans="1:4" x14ac:dyDescent="0.25">
      <c r="A91" s="4">
        <f t="shared" si="3"/>
        <v>32</v>
      </c>
      <c r="B91" t="str">
        <f ca="1">TEXT(DATE(YEAR(Invoer!$A$5),1,1)+ROWS(B$2:B91)-1,"jjjjmmdd")</f>
        <v>19370331</v>
      </c>
      <c r="C91" s="18">
        <f t="shared" ca="1" si="4"/>
        <v>764</v>
      </c>
      <c r="D91" s="17">
        <f t="shared" ca="1" si="5"/>
        <v>0</v>
      </c>
    </row>
    <row r="92" spans="1:4" x14ac:dyDescent="0.25">
      <c r="A92" s="4">
        <f t="shared" si="3"/>
        <v>32</v>
      </c>
      <c r="B92" t="str">
        <f ca="1">TEXT(DATE(YEAR(Invoer!$A$5),1,1)+ROWS(B$2:B92)-1,"jjjjmmdd")</f>
        <v>19370401</v>
      </c>
      <c r="C92" s="18">
        <f t="shared" ca="1" si="4"/>
        <v>762</v>
      </c>
      <c r="D92" s="17">
        <f t="shared" ca="1" si="5"/>
        <v>0</v>
      </c>
    </row>
    <row r="93" spans="1:4" x14ac:dyDescent="0.25">
      <c r="A93" s="4">
        <f t="shared" si="3"/>
        <v>32</v>
      </c>
      <c r="B93" t="str">
        <f ca="1">TEXT(DATE(YEAR(Invoer!$A$5),1,1)+ROWS(B$2:B93)-1,"jjjjmmdd")</f>
        <v>19370402</v>
      </c>
      <c r="C93" s="18">
        <f t="shared" ca="1" si="4"/>
        <v>759</v>
      </c>
      <c r="D93" s="17">
        <f t="shared" ca="1" si="5"/>
        <v>0</v>
      </c>
    </row>
    <row r="94" spans="1:4" x14ac:dyDescent="0.25">
      <c r="A94" s="4">
        <f t="shared" si="3"/>
        <v>32</v>
      </c>
      <c r="B94" t="str">
        <f ca="1">TEXT(DATE(YEAR(Invoer!$A$5),1,1)+ROWS(B$2:B94)-1,"jjjjmmdd")</f>
        <v>19370403</v>
      </c>
      <c r="C94" s="18">
        <f t="shared" ca="1" si="4"/>
        <v>760</v>
      </c>
      <c r="D94" s="17">
        <f t="shared" ca="1" si="5"/>
        <v>0</v>
      </c>
    </row>
    <row r="95" spans="1:4" x14ac:dyDescent="0.25">
      <c r="A95" s="4">
        <f t="shared" si="3"/>
        <v>32</v>
      </c>
      <c r="B95" t="str">
        <f ca="1">TEXT(DATE(YEAR(Invoer!$A$5),1,1)+ROWS(B$2:B95)-1,"jjjjmmdd")</f>
        <v>19370404</v>
      </c>
      <c r="C95" s="18">
        <f t="shared" ca="1" si="4"/>
        <v>760.5</v>
      </c>
      <c r="D95" s="17">
        <f t="shared" ca="1" si="5"/>
        <v>0</v>
      </c>
    </row>
    <row r="96" spans="1:4" x14ac:dyDescent="0.25">
      <c r="A96" s="4">
        <f t="shared" si="3"/>
        <v>32</v>
      </c>
      <c r="B96" t="str">
        <f ca="1">TEXT(DATE(YEAR(Invoer!$A$5),1,1)+ROWS(B$2:B96)-1,"jjjjmmdd")</f>
        <v>19370405</v>
      </c>
      <c r="C96" s="18">
        <f t="shared" ca="1" si="4"/>
        <v>760.5</v>
      </c>
      <c r="D96" s="17">
        <f t="shared" ca="1" si="5"/>
        <v>0</v>
      </c>
    </row>
    <row r="97" spans="1:4" x14ac:dyDescent="0.25">
      <c r="A97" s="4">
        <f t="shared" si="3"/>
        <v>32</v>
      </c>
      <c r="B97" t="str">
        <f ca="1">TEXT(DATE(YEAR(Invoer!$A$5),1,1)+ROWS(B$2:B97)-1,"jjjjmmdd")</f>
        <v>19370406</v>
      </c>
      <c r="C97" s="18">
        <f t="shared" ca="1" si="4"/>
        <v>759.5</v>
      </c>
      <c r="D97" s="17">
        <f t="shared" ca="1" si="5"/>
        <v>0</v>
      </c>
    </row>
    <row r="98" spans="1:4" x14ac:dyDescent="0.25">
      <c r="A98" s="4">
        <f t="shared" si="3"/>
        <v>32</v>
      </c>
      <c r="B98" t="str">
        <f ca="1">TEXT(DATE(YEAR(Invoer!$A$5),1,1)+ROWS(B$2:B98)-1,"jjjjmmdd")</f>
        <v>19370407</v>
      </c>
      <c r="C98" s="18">
        <f t="shared" ca="1" si="4"/>
        <v>759</v>
      </c>
      <c r="D98" s="17">
        <f t="shared" ca="1" si="5"/>
        <v>0</v>
      </c>
    </row>
    <row r="99" spans="1:4" x14ac:dyDescent="0.25">
      <c r="A99" s="4">
        <f t="shared" si="3"/>
        <v>32</v>
      </c>
      <c r="B99" t="str">
        <f ca="1">TEXT(DATE(YEAR(Invoer!$A$5),1,1)+ROWS(B$2:B99)-1,"jjjjmmdd")</f>
        <v>19370408</v>
      </c>
      <c r="C99" s="18">
        <f t="shared" ca="1" si="4"/>
        <v>759</v>
      </c>
      <c r="D99" s="17">
        <f t="shared" ca="1" si="5"/>
        <v>0</v>
      </c>
    </row>
    <row r="100" spans="1:4" x14ac:dyDescent="0.25">
      <c r="A100" s="4">
        <f t="shared" si="3"/>
        <v>32</v>
      </c>
      <c r="B100" t="str">
        <f ca="1">TEXT(DATE(YEAR(Invoer!$A$5),1,1)+ROWS(B$2:B100)-1,"jjjjmmdd")</f>
        <v>19370409</v>
      </c>
      <c r="C100" s="18">
        <f t="shared" ca="1" si="4"/>
        <v>759.5</v>
      </c>
      <c r="D100" s="17">
        <f t="shared" ca="1" si="5"/>
        <v>0</v>
      </c>
    </row>
    <row r="101" spans="1:4" x14ac:dyDescent="0.25">
      <c r="A101" s="4">
        <f t="shared" si="3"/>
        <v>32</v>
      </c>
      <c r="B101" t="str">
        <f ca="1">TEXT(DATE(YEAR(Invoer!$A$5),1,1)+ROWS(B$2:B101)-1,"jjjjmmdd")</f>
        <v>19370410</v>
      </c>
      <c r="C101" s="18">
        <f t="shared" ca="1" si="4"/>
        <v>762.5</v>
      </c>
      <c r="D101" s="17">
        <f t="shared" ca="1" si="5"/>
        <v>0</v>
      </c>
    </row>
    <row r="102" spans="1:4" x14ac:dyDescent="0.25">
      <c r="A102" s="4">
        <f t="shared" si="3"/>
        <v>32</v>
      </c>
      <c r="B102" t="str">
        <f ca="1">TEXT(DATE(YEAR(Invoer!$A$5),1,1)+ROWS(B$2:B102)-1,"jjjjmmdd")</f>
        <v>19370411</v>
      </c>
      <c r="C102" s="18">
        <f t="shared" ca="1" si="4"/>
        <v>763.5</v>
      </c>
      <c r="D102" s="17">
        <f t="shared" ca="1" si="5"/>
        <v>0</v>
      </c>
    </row>
    <row r="103" spans="1:4" x14ac:dyDescent="0.25">
      <c r="A103" s="4">
        <f t="shared" si="3"/>
        <v>32</v>
      </c>
      <c r="B103" t="str">
        <f ca="1">TEXT(DATE(YEAR(Invoer!$A$5),1,1)+ROWS(B$2:B103)-1,"jjjjmmdd")</f>
        <v>19370412</v>
      </c>
      <c r="C103" s="18">
        <f t="shared" ca="1" si="4"/>
        <v>761</v>
      </c>
      <c r="D103" s="17">
        <f t="shared" ca="1" si="5"/>
        <v>0</v>
      </c>
    </row>
    <row r="104" spans="1:4" x14ac:dyDescent="0.25">
      <c r="A104" s="4">
        <f t="shared" si="3"/>
        <v>32</v>
      </c>
      <c r="B104" t="str">
        <f ca="1">TEXT(DATE(YEAR(Invoer!$A$5),1,1)+ROWS(B$2:B104)-1,"jjjjmmdd")</f>
        <v>19370413</v>
      </c>
      <c r="C104" s="18">
        <f t="shared" ca="1" si="4"/>
        <v>761</v>
      </c>
      <c r="D104" s="17">
        <f t="shared" ca="1" si="5"/>
        <v>0</v>
      </c>
    </row>
    <row r="105" spans="1:4" x14ac:dyDescent="0.25">
      <c r="A105" s="4">
        <f t="shared" si="3"/>
        <v>32</v>
      </c>
      <c r="B105" t="str">
        <f ca="1">TEXT(DATE(YEAR(Invoer!$A$5),1,1)+ROWS(B$2:B105)-1,"jjjjmmdd")</f>
        <v>19370414</v>
      </c>
      <c r="C105" s="18">
        <f t="shared" ca="1" si="4"/>
        <v>761.5</v>
      </c>
      <c r="D105" s="17">
        <f t="shared" ca="1" si="5"/>
        <v>0</v>
      </c>
    </row>
    <row r="106" spans="1:4" x14ac:dyDescent="0.25">
      <c r="A106" s="4">
        <f t="shared" si="3"/>
        <v>32</v>
      </c>
      <c r="B106" t="str">
        <f ca="1">TEXT(DATE(YEAR(Invoer!$A$5),1,1)+ROWS(B$2:B106)-1,"jjjjmmdd")</f>
        <v>19370415</v>
      </c>
      <c r="C106" s="18">
        <f t="shared" ca="1" si="4"/>
        <v>761</v>
      </c>
      <c r="D106" s="17">
        <f t="shared" ca="1" si="5"/>
        <v>0</v>
      </c>
    </row>
    <row r="107" spans="1:4" x14ac:dyDescent="0.25">
      <c r="A107" s="4">
        <f t="shared" si="3"/>
        <v>32</v>
      </c>
      <c r="B107" t="str">
        <f ca="1">TEXT(DATE(YEAR(Invoer!$A$5),1,1)+ROWS(B$2:B107)-1,"jjjjmmdd")</f>
        <v>19370416</v>
      </c>
      <c r="C107" s="18">
        <f t="shared" ca="1" si="4"/>
        <v>759</v>
      </c>
      <c r="D107" s="17">
        <f t="shared" ca="1" si="5"/>
        <v>0</v>
      </c>
    </row>
    <row r="108" spans="1:4" x14ac:dyDescent="0.25">
      <c r="A108" s="4">
        <f t="shared" si="3"/>
        <v>32</v>
      </c>
      <c r="B108" t="str">
        <f ca="1">TEXT(DATE(YEAR(Invoer!$A$5),1,1)+ROWS(B$2:B108)-1,"jjjjmmdd")</f>
        <v>19370417</v>
      </c>
      <c r="C108" s="18">
        <f t="shared" ca="1" si="4"/>
        <v>760</v>
      </c>
      <c r="D108" s="17">
        <f t="shared" ca="1" si="5"/>
        <v>0</v>
      </c>
    </row>
    <row r="109" spans="1:4" x14ac:dyDescent="0.25">
      <c r="A109" s="4">
        <f t="shared" si="3"/>
        <v>32</v>
      </c>
      <c r="B109" t="str">
        <f ca="1">TEXT(DATE(YEAR(Invoer!$A$5),1,1)+ROWS(B$2:B109)-1,"jjjjmmdd")</f>
        <v>19370418</v>
      </c>
      <c r="C109" s="18">
        <f t="shared" ca="1" si="4"/>
        <v>760.5</v>
      </c>
      <c r="D109" s="17">
        <f t="shared" ca="1" si="5"/>
        <v>0</v>
      </c>
    </row>
    <row r="110" spans="1:4" x14ac:dyDescent="0.25">
      <c r="A110" s="4">
        <f t="shared" si="3"/>
        <v>32</v>
      </c>
      <c r="B110" t="str">
        <f ca="1">TEXT(DATE(YEAR(Invoer!$A$5),1,1)+ROWS(B$2:B110)-1,"jjjjmmdd")</f>
        <v>19370419</v>
      </c>
      <c r="C110" s="18">
        <f t="shared" ca="1" si="4"/>
        <v>761</v>
      </c>
      <c r="D110" s="17">
        <f t="shared" ca="1" si="5"/>
        <v>0</v>
      </c>
    </row>
    <row r="111" spans="1:4" x14ac:dyDescent="0.25">
      <c r="A111" s="4">
        <f t="shared" si="3"/>
        <v>32</v>
      </c>
      <c r="B111" t="str">
        <f ca="1">TEXT(DATE(YEAR(Invoer!$A$5),1,1)+ROWS(B$2:B111)-1,"jjjjmmdd")</f>
        <v>19370420</v>
      </c>
      <c r="C111" s="18">
        <f t="shared" ca="1" si="4"/>
        <v>760.5</v>
      </c>
      <c r="D111" s="17">
        <f t="shared" ca="1" si="5"/>
        <v>0</v>
      </c>
    </row>
    <row r="112" spans="1:4" x14ac:dyDescent="0.25">
      <c r="A112" s="4">
        <f t="shared" si="3"/>
        <v>32</v>
      </c>
      <c r="B112" t="str">
        <f ca="1">TEXT(DATE(YEAR(Invoer!$A$5),1,1)+ROWS(B$2:B112)-1,"jjjjmmdd")</f>
        <v>19370421</v>
      </c>
      <c r="C112" s="18">
        <f t="shared" ca="1" si="4"/>
        <v>761</v>
      </c>
      <c r="D112" s="17">
        <f t="shared" ca="1" si="5"/>
        <v>0</v>
      </c>
    </row>
    <row r="113" spans="1:4" x14ac:dyDescent="0.25">
      <c r="A113" s="4">
        <f t="shared" si="3"/>
        <v>32</v>
      </c>
      <c r="B113" t="str">
        <f ca="1">TEXT(DATE(YEAR(Invoer!$A$5),1,1)+ROWS(B$2:B113)-1,"jjjjmmdd")</f>
        <v>19370422</v>
      </c>
      <c r="C113" s="18">
        <f t="shared" ca="1" si="4"/>
        <v>759</v>
      </c>
      <c r="D113" s="17">
        <f t="shared" ca="1" si="5"/>
        <v>0</v>
      </c>
    </row>
    <row r="114" spans="1:4" x14ac:dyDescent="0.25">
      <c r="A114" s="4">
        <f t="shared" si="3"/>
        <v>32</v>
      </c>
      <c r="B114" t="str">
        <f ca="1">TEXT(DATE(YEAR(Invoer!$A$5),1,1)+ROWS(B$2:B114)-1,"jjjjmmdd")</f>
        <v>19370423</v>
      </c>
      <c r="C114" s="18">
        <f t="shared" ca="1" si="4"/>
        <v>760</v>
      </c>
      <c r="D114" s="17">
        <f t="shared" ca="1" si="5"/>
        <v>0</v>
      </c>
    </row>
    <row r="115" spans="1:4" x14ac:dyDescent="0.25">
      <c r="A115" s="4">
        <f t="shared" si="3"/>
        <v>32</v>
      </c>
      <c r="B115" t="str">
        <f ca="1">TEXT(DATE(YEAR(Invoer!$A$5),1,1)+ROWS(B$2:B115)-1,"jjjjmmdd")</f>
        <v>19370424</v>
      </c>
      <c r="C115" s="18">
        <f t="shared" ca="1" si="4"/>
        <v>760.5</v>
      </c>
      <c r="D115" s="17">
        <f t="shared" ca="1" si="5"/>
        <v>0</v>
      </c>
    </row>
    <row r="116" spans="1:4" x14ac:dyDescent="0.25">
      <c r="A116" s="4">
        <f t="shared" si="3"/>
        <v>32</v>
      </c>
      <c r="B116" t="str">
        <f ca="1">TEXT(DATE(YEAR(Invoer!$A$5),1,1)+ROWS(B$2:B116)-1,"jjjjmmdd")</f>
        <v>19370425</v>
      </c>
      <c r="C116" s="18">
        <f t="shared" ca="1" si="4"/>
        <v>760.5</v>
      </c>
      <c r="D116" s="17">
        <f t="shared" ca="1" si="5"/>
        <v>0</v>
      </c>
    </row>
    <row r="117" spans="1:4" x14ac:dyDescent="0.25">
      <c r="A117" s="4">
        <f t="shared" si="3"/>
        <v>32</v>
      </c>
      <c r="B117" t="str">
        <f ca="1">TEXT(DATE(YEAR(Invoer!$A$5),1,1)+ROWS(B$2:B117)-1,"jjjjmmdd")</f>
        <v>19370426</v>
      </c>
      <c r="C117" s="18">
        <f t="shared" ca="1" si="4"/>
        <v>759.5</v>
      </c>
      <c r="D117" s="17">
        <f t="shared" ca="1" si="5"/>
        <v>0</v>
      </c>
    </row>
    <row r="118" spans="1:4" x14ac:dyDescent="0.25">
      <c r="A118" s="4">
        <f t="shared" si="3"/>
        <v>32</v>
      </c>
      <c r="B118" t="str">
        <f ca="1">TEXT(DATE(YEAR(Invoer!$A$5),1,1)+ROWS(B$2:B118)-1,"jjjjmmdd")</f>
        <v>19370427</v>
      </c>
      <c r="C118" s="18">
        <f t="shared" ca="1" si="4"/>
        <v>759</v>
      </c>
      <c r="D118" s="17">
        <f t="shared" ca="1" si="5"/>
        <v>0</v>
      </c>
    </row>
    <row r="119" spans="1:4" x14ac:dyDescent="0.25">
      <c r="A119" s="4">
        <f t="shared" si="3"/>
        <v>32</v>
      </c>
      <c r="B119" t="str">
        <f ca="1">TEXT(DATE(YEAR(Invoer!$A$5),1,1)+ROWS(B$2:B119)-1,"jjjjmmdd")</f>
        <v>19370428</v>
      </c>
      <c r="C119" s="18">
        <f t="shared" ca="1" si="4"/>
        <v>759</v>
      </c>
      <c r="D119" s="17">
        <f t="shared" ca="1" si="5"/>
        <v>0</v>
      </c>
    </row>
    <row r="120" spans="1:4" x14ac:dyDescent="0.25">
      <c r="A120" s="4">
        <f t="shared" si="3"/>
        <v>32</v>
      </c>
      <c r="B120" t="str">
        <f ca="1">TEXT(DATE(YEAR(Invoer!$A$5),1,1)+ROWS(B$2:B120)-1,"jjjjmmdd")</f>
        <v>19370429</v>
      </c>
      <c r="C120" s="18">
        <f t="shared" ca="1" si="4"/>
        <v>760.5</v>
      </c>
      <c r="D120" s="17">
        <f t="shared" ca="1" si="5"/>
        <v>0</v>
      </c>
    </row>
    <row r="121" spans="1:4" x14ac:dyDescent="0.25">
      <c r="A121" s="4">
        <f t="shared" si="3"/>
        <v>32</v>
      </c>
      <c r="B121" t="str">
        <f ca="1">TEXT(DATE(YEAR(Invoer!$A$5),1,1)+ROWS(B$2:B121)-1,"jjjjmmdd")</f>
        <v>19370430</v>
      </c>
      <c r="C121" s="18">
        <f t="shared" ca="1" si="4"/>
        <v>760.5</v>
      </c>
      <c r="D121" s="17">
        <f t="shared" ca="1" si="5"/>
        <v>0</v>
      </c>
    </row>
    <row r="122" spans="1:4" x14ac:dyDescent="0.25">
      <c r="A122" s="4">
        <f t="shared" si="3"/>
        <v>32</v>
      </c>
      <c r="B122" t="str">
        <f ca="1">TEXT(DATE(YEAR(Invoer!$A$5),1,1)+ROWS(B$2:B122)-1,"jjjjmmdd")</f>
        <v>19370501</v>
      </c>
      <c r="C122" s="18">
        <f t="shared" ca="1" si="4"/>
        <v>762.5</v>
      </c>
      <c r="D122" s="17">
        <f t="shared" ca="1" si="5"/>
        <v>0</v>
      </c>
    </row>
    <row r="123" spans="1:4" x14ac:dyDescent="0.25">
      <c r="A123" s="4">
        <f t="shared" si="3"/>
        <v>32</v>
      </c>
      <c r="B123" t="str">
        <f ca="1">TEXT(DATE(YEAR(Invoer!$A$5),1,1)+ROWS(B$2:B123)-1,"jjjjmmdd")</f>
        <v>19370502</v>
      </c>
      <c r="C123" s="18">
        <f t="shared" ca="1" si="4"/>
        <v>760</v>
      </c>
      <c r="D123" s="17">
        <f t="shared" ca="1" si="5"/>
        <v>0</v>
      </c>
    </row>
    <row r="124" spans="1:4" x14ac:dyDescent="0.25">
      <c r="A124" s="4">
        <f t="shared" si="3"/>
        <v>32</v>
      </c>
      <c r="B124" t="str">
        <f ca="1">TEXT(DATE(YEAR(Invoer!$A$5),1,1)+ROWS(B$2:B124)-1,"jjjjmmdd")</f>
        <v>19370503</v>
      </c>
      <c r="C124" s="18">
        <f t="shared" ca="1" si="4"/>
        <v>762.5</v>
      </c>
      <c r="D124" s="17">
        <f t="shared" ca="1" si="5"/>
        <v>0</v>
      </c>
    </row>
    <row r="125" spans="1:4" x14ac:dyDescent="0.25">
      <c r="A125" s="4">
        <f t="shared" si="3"/>
        <v>32</v>
      </c>
      <c r="B125" t="str">
        <f ca="1">TEXT(DATE(YEAR(Invoer!$A$5),1,1)+ROWS(B$2:B125)-1,"jjjjmmdd")</f>
        <v>19370504</v>
      </c>
      <c r="C125" s="18">
        <f t="shared" ca="1" si="4"/>
        <v>760</v>
      </c>
      <c r="D125" s="17">
        <f t="shared" ca="1" si="5"/>
        <v>0</v>
      </c>
    </row>
    <row r="126" spans="1:4" x14ac:dyDescent="0.25">
      <c r="A126" s="4">
        <f t="shared" si="3"/>
        <v>32</v>
      </c>
      <c r="B126" t="str">
        <f ca="1">TEXT(DATE(YEAR(Invoer!$A$5),1,1)+ROWS(B$2:B126)-1,"jjjjmmdd")</f>
        <v>19370505</v>
      </c>
      <c r="C126" s="18">
        <f t="shared" ca="1" si="4"/>
        <v>762.5</v>
      </c>
      <c r="D126" s="17">
        <f t="shared" ca="1" si="5"/>
        <v>0</v>
      </c>
    </row>
    <row r="127" spans="1:4" x14ac:dyDescent="0.25">
      <c r="A127" s="4">
        <f t="shared" si="3"/>
        <v>32</v>
      </c>
      <c r="B127" t="str">
        <f ca="1">TEXT(DATE(YEAR(Invoer!$A$5),1,1)+ROWS(B$2:B127)-1,"jjjjmmdd")</f>
        <v>19370506</v>
      </c>
      <c r="C127" s="18">
        <f t="shared" ca="1" si="4"/>
        <v>761</v>
      </c>
      <c r="D127" s="17">
        <f t="shared" ca="1" si="5"/>
        <v>0</v>
      </c>
    </row>
    <row r="128" spans="1:4" x14ac:dyDescent="0.25">
      <c r="A128" s="4">
        <f t="shared" si="3"/>
        <v>32</v>
      </c>
      <c r="B128" t="str">
        <f ca="1">TEXT(DATE(YEAR(Invoer!$A$5),1,1)+ROWS(B$2:B128)-1,"jjjjmmdd")</f>
        <v>19370507</v>
      </c>
      <c r="C128" s="18">
        <f t="shared" ca="1" si="4"/>
        <v>759</v>
      </c>
      <c r="D128" s="17">
        <f t="shared" ca="1" si="5"/>
        <v>0</v>
      </c>
    </row>
    <row r="129" spans="1:4" x14ac:dyDescent="0.25">
      <c r="A129" s="4">
        <f t="shared" si="3"/>
        <v>32</v>
      </c>
      <c r="B129" t="str">
        <f ca="1">TEXT(DATE(YEAR(Invoer!$A$5),1,1)+ROWS(B$2:B129)-1,"jjjjmmdd")</f>
        <v>19370508</v>
      </c>
      <c r="C129" s="18">
        <f t="shared" ca="1" si="4"/>
        <v>759</v>
      </c>
      <c r="D129" s="17">
        <f t="shared" ca="1" si="5"/>
        <v>0</v>
      </c>
    </row>
    <row r="130" spans="1:4" x14ac:dyDescent="0.25">
      <c r="A130" s="4">
        <f t="shared" ref="A130:A193" si="6">INDEX(Stations,2,1)</f>
        <v>32</v>
      </c>
      <c r="B130" t="str">
        <f ca="1">TEXT(DATE(YEAR(Invoer!$A$5),1,1)+ROWS(B$2:B130)-1,"jjjjmmdd")</f>
        <v>19370509</v>
      </c>
      <c r="C130" s="18">
        <f t="shared" ref="C130:C193" ca="1" si="7">IF(OR(ISBLANK(VLOOKUP(DATEVALUE(LEFT($B130,4)&amp;"-"&amp;MID($B130,5,2)&amp;"-"&amp;RIGHT($B130,2)),Data,MATCH(LEFT(VLOOKUP(C$1,Parameters,2,FALSE()),4)&amp;"*",OFFSET(Data,0,0,1),0),FALSE())),ISTEXT(VLOOKUP(DATEVALUE(LEFT($B130,4)&amp;"-"&amp;MID($B130,5,2)&amp;"-"&amp;RIGHT($B130,2)),Data,MATCH(LEFT(VLOOKUP(C$1,Parameters,2,FALSE()),4)&amp;"*",OFFSET(Data,0,0,1),0),FALSE()))),"—",VLOOKUP(DATEVALUE(LEFT($B130,4)&amp;"-"&amp;MID($B130,5,2)&amp;"-"&amp;RIGHT($B130,2)),Data,MATCH(LEFT(VLOOKUP(C$1,Parameters,2,FALSE()),4)&amp;"*",OFFSET(Data,0,0,1),0),FALSE())/10)</f>
        <v>760.5</v>
      </c>
      <c r="D130" s="17">
        <f t="shared" ref="D130:D193" ca="1" si="8">IF(OR(ISBLANK(VLOOKUP(DATEVALUE(LEFT($B130,4)&amp;"-"&amp;MID($B130,5,2)&amp;"-"&amp;RIGHT($B130,2)),Data,MATCH(LEFT(VLOOKUP(MID(D$1,2,LEN(D$1)-1),Parameters,2,FALSE()),4)&amp;"*",OFFSET(Data,0,0,1),0),FALSE())),ISTEXT(VLOOKUP(DATEVALUE(LEFT($B130,4)&amp;"-"&amp;MID($B130,5,2)&amp;"-"&amp;RIGHT($B130,2)),Data,MATCH(LEFT(VLOOKUP(MID(D$1,2,LEN(D$1)-1),Parameters,2,FALSE()),4)&amp;"*",OFFSET(Data,0,0,1),0),FALSE()))),Lacking,IF(ISNA(MATCH(DATEVALUE(LEFT($B130,4)&amp;"-"&amp;MID($B130,5,2)&amp;"-"&amp;RIGHT($B130,2)),OFFSET(Catalogus,0,0,,1),0)),Ok,VLOOKUP(DATEVALUE(LEFT($B130,4)&amp;"-"&amp;MID($B130,5,2)&amp;"-"&amp;RIGHT($B130,2)),Catalogus,MATCH(LEFT(VLOOKUP(MID(D$1,2,LEN(D$1)-1),Parameters,2,FALSE()),4)&amp;"*",OFFSET(Catalogus,0,0,1),0),FALSE())))</f>
        <v>0</v>
      </c>
    </row>
    <row r="131" spans="1:4" x14ac:dyDescent="0.25">
      <c r="A131" s="4">
        <f t="shared" si="6"/>
        <v>32</v>
      </c>
      <c r="B131" t="str">
        <f ca="1">TEXT(DATE(YEAR(Invoer!$A$5),1,1)+ROWS(B$2:B131)-1,"jjjjmmdd")</f>
        <v>19370510</v>
      </c>
      <c r="C131" s="18">
        <f t="shared" ca="1" si="7"/>
        <v>759.5</v>
      </c>
      <c r="D131" s="17">
        <f t="shared" ca="1" si="8"/>
        <v>0</v>
      </c>
    </row>
    <row r="132" spans="1:4" x14ac:dyDescent="0.25">
      <c r="A132" s="4">
        <f t="shared" si="6"/>
        <v>32</v>
      </c>
      <c r="B132" t="str">
        <f ca="1">TEXT(DATE(YEAR(Invoer!$A$5),1,1)+ROWS(B$2:B132)-1,"jjjjmmdd")</f>
        <v>19370511</v>
      </c>
      <c r="C132" s="18">
        <f t="shared" ca="1" si="7"/>
        <v>759.5</v>
      </c>
      <c r="D132" s="17">
        <f t="shared" ca="1" si="8"/>
        <v>0</v>
      </c>
    </row>
    <row r="133" spans="1:4" x14ac:dyDescent="0.25">
      <c r="A133" s="4">
        <f t="shared" si="6"/>
        <v>32</v>
      </c>
      <c r="B133" t="str">
        <f ca="1">TEXT(DATE(YEAR(Invoer!$A$5),1,1)+ROWS(B$2:B133)-1,"jjjjmmdd")</f>
        <v>19370512</v>
      </c>
      <c r="C133" s="18">
        <f t="shared" ca="1" si="7"/>
        <v>760</v>
      </c>
      <c r="D133" s="17">
        <f t="shared" ca="1" si="8"/>
        <v>0</v>
      </c>
    </row>
    <row r="134" spans="1:4" x14ac:dyDescent="0.25">
      <c r="A134" s="4">
        <f t="shared" si="6"/>
        <v>32</v>
      </c>
      <c r="B134" t="str">
        <f ca="1">TEXT(DATE(YEAR(Invoer!$A$5),1,1)+ROWS(B$2:B134)-1,"jjjjmmdd")</f>
        <v>19370513</v>
      </c>
      <c r="C134" s="18">
        <f t="shared" ca="1" si="7"/>
        <v>760</v>
      </c>
      <c r="D134" s="17">
        <f t="shared" ca="1" si="8"/>
        <v>0</v>
      </c>
    </row>
    <row r="135" spans="1:4" x14ac:dyDescent="0.25">
      <c r="A135" s="4">
        <f t="shared" si="6"/>
        <v>32</v>
      </c>
      <c r="B135" t="str">
        <f ca="1">TEXT(DATE(YEAR(Invoer!$A$5),1,1)+ROWS(B$2:B135)-1,"jjjjmmdd")</f>
        <v>19370514</v>
      </c>
      <c r="C135" s="18">
        <f t="shared" ca="1" si="7"/>
        <v>759</v>
      </c>
      <c r="D135" s="17">
        <f t="shared" ca="1" si="8"/>
        <v>0</v>
      </c>
    </row>
    <row r="136" spans="1:4" x14ac:dyDescent="0.25">
      <c r="A136" s="4">
        <f t="shared" si="6"/>
        <v>32</v>
      </c>
      <c r="B136" t="str">
        <f ca="1">TEXT(DATE(YEAR(Invoer!$A$5),1,1)+ROWS(B$2:B136)-1,"jjjjmmdd")</f>
        <v>19370515</v>
      </c>
      <c r="C136" s="18">
        <f t="shared" ca="1" si="7"/>
        <v>759.5</v>
      </c>
      <c r="D136" s="17">
        <f t="shared" ca="1" si="8"/>
        <v>0</v>
      </c>
    </row>
    <row r="137" spans="1:4" x14ac:dyDescent="0.25">
      <c r="A137" s="4">
        <f t="shared" si="6"/>
        <v>32</v>
      </c>
      <c r="B137" t="str">
        <f ca="1">TEXT(DATE(YEAR(Invoer!$A$5),1,1)+ROWS(B$2:B137)-1,"jjjjmmdd")</f>
        <v>19370516</v>
      </c>
      <c r="C137" s="18">
        <f t="shared" ca="1" si="7"/>
        <v>760.5</v>
      </c>
      <c r="D137" s="17">
        <f t="shared" ca="1" si="8"/>
        <v>0</v>
      </c>
    </row>
    <row r="138" spans="1:4" x14ac:dyDescent="0.25">
      <c r="A138" s="4">
        <f t="shared" si="6"/>
        <v>32</v>
      </c>
      <c r="B138" t="str">
        <f ca="1">TEXT(DATE(YEAR(Invoer!$A$5),1,1)+ROWS(B$2:B138)-1,"jjjjmmdd")</f>
        <v>19370517</v>
      </c>
      <c r="C138" s="18">
        <f t="shared" ca="1" si="7"/>
        <v>760.5</v>
      </c>
      <c r="D138" s="17">
        <f t="shared" ca="1" si="8"/>
        <v>0</v>
      </c>
    </row>
    <row r="139" spans="1:4" x14ac:dyDescent="0.25">
      <c r="A139" s="4">
        <f t="shared" si="6"/>
        <v>32</v>
      </c>
      <c r="B139" t="str">
        <f ca="1">TEXT(DATE(YEAR(Invoer!$A$5),1,1)+ROWS(B$2:B139)-1,"jjjjmmdd")</f>
        <v>19370518</v>
      </c>
      <c r="C139" s="18">
        <f t="shared" ca="1" si="7"/>
        <v>761</v>
      </c>
      <c r="D139" s="17">
        <f t="shared" ca="1" si="8"/>
        <v>0</v>
      </c>
    </row>
    <row r="140" spans="1:4" x14ac:dyDescent="0.25">
      <c r="A140" s="4">
        <f t="shared" si="6"/>
        <v>32</v>
      </c>
      <c r="B140" t="str">
        <f ca="1">TEXT(DATE(YEAR(Invoer!$A$5),1,1)+ROWS(B$2:B140)-1,"jjjjmmdd")</f>
        <v>19370519</v>
      </c>
      <c r="C140" s="18">
        <f t="shared" ca="1" si="7"/>
        <v>761</v>
      </c>
      <c r="D140" s="17">
        <f t="shared" ca="1" si="8"/>
        <v>0</v>
      </c>
    </row>
    <row r="141" spans="1:4" x14ac:dyDescent="0.25">
      <c r="A141" s="4">
        <f t="shared" si="6"/>
        <v>32</v>
      </c>
      <c r="B141" t="str">
        <f ca="1">TEXT(DATE(YEAR(Invoer!$A$5),1,1)+ROWS(B$2:B141)-1,"jjjjmmdd")</f>
        <v>19370520</v>
      </c>
      <c r="C141" s="18">
        <f t="shared" ca="1" si="7"/>
        <v>762.5</v>
      </c>
      <c r="D141" s="17">
        <f t="shared" ca="1" si="8"/>
        <v>0</v>
      </c>
    </row>
    <row r="142" spans="1:4" x14ac:dyDescent="0.25">
      <c r="A142" s="4">
        <f t="shared" si="6"/>
        <v>32</v>
      </c>
      <c r="B142" t="str">
        <f ca="1">TEXT(DATE(YEAR(Invoer!$A$5),1,1)+ROWS(B$2:B142)-1,"jjjjmmdd")</f>
        <v>19370521</v>
      </c>
      <c r="C142" s="18">
        <f t="shared" ca="1" si="7"/>
        <v>762</v>
      </c>
      <c r="D142" s="17">
        <f t="shared" ca="1" si="8"/>
        <v>0</v>
      </c>
    </row>
    <row r="143" spans="1:4" x14ac:dyDescent="0.25">
      <c r="A143" s="4">
        <f t="shared" si="6"/>
        <v>32</v>
      </c>
      <c r="B143" t="str">
        <f ca="1">TEXT(DATE(YEAR(Invoer!$A$5),1,1)+ROWS(B$2:B143)-1,"jjjjmmdd")</f>
        <v>19370522</v>
      </c>
      <c r="C143" s="18">
        <f t="shared" ca="1" si="7"/>
        <v>762</v>
      </c>
      <c r="D143" s="17">
        <f t="shared" ca="1" si="8"/>
        <v>0</v>
      </c>
    </row>
    <row r="144" spans="1:4" x14ac:dyDescent="0.25">
      <c r="A144" s="4">
        <f t="shared" si="6"/>
        <v>32</v>
      </c>
      <c r="B144" t="str">
        <f ca="1">TEXT(DATE(YEAR(Invoer!$A$5),1,1)+ROWS(B$2:B144)-1,"jjjjmmdd")</f>
        <v>19370523</v>
      </c>
      <c r="C144" s="18">
        <f t="shared" ca="1" si="7"/>
        <v>759.5</v>
      </c>
      <c r="D144" s="17">
        <f t="shared" ca="1" si="8"/>
        <v>0</v>
      </c>
    </row>
    <row r="145" spans="1:4" x14ac:dyDescent="0.25">
      <c r="A145" s="4">
        <f t="shared" si="6"/>
        <v>32</v>
      </c>
      <c r="B145" t="str">
        <f ca="1">TEXT(DATE(YEAR(Invoer!$A$5),1,1)+ROWS(B$2:B145)-1,"jjjjmmdd")</f>
        <v>19370524</v>
      </c>
      <c r="C145" s="18">
        <f t="shared" ca="1" si="7"/>
        <v>759.5</v>
      </c>
      <c r="D145" s="17">
        <f t="shared" ca="1" si="8"/>
        <v>0</v>
      </c>
    </row>
    <row r="146" spans="1:4" x14ac:dyDescent="0.25">
      <c r="A146" s="4">
        <f t="shared" si="6"/>
        <v>32</v>
      </c>
      <c r="B146" t="str">
        <f ca="1">TEXT(DATE(YEAR(Invoer!$A$5),1,1)+ROWS(B$2:B146)-1,"jjjjmmdd")</f>
        <v>19370525</v>
      </c>
      <c r="C146" s="18">
        <f t="shared" ca="1" si="7"/>
        <v>760</v>
      </c>
      <c r="D146" s="17">
        <f t="shared" ca="1" si="8"/>
        <v>0</v>
      </c>
    </row>
    <row r="147" spans="1:4" x14ac:dyDescent="0.25">
      <c r="A147" s="4">
        <f t="shared" si="6"/>
        <v>32</v>
      </c>
      <c r="B147" t="str">
        <f ca="1">TEXT(DATE(YEAR(Invoer!$A$5),1,1)+ROWS(B$2:B147)-1,"jjjjmmdd")</f>
        <v>19370526</v>
      </c>
      <c r="C147" s="18">
        <f t="shared" ca="1" si="7"/>
        <v>760</v>
      </c>
      <c r="D147" s="17">
        <f t="shared" ca="1" si="8"/>
        <v>0</v>
      </c>
    </row>
    <row r="148" spans="1:4" x14ac:dyDescent="0.25">
      <c r="A148" s="4">
        <f t="shared" si="6"/>
        <v>32</v>
      </c>
      <c r="B148" t="str">
        <f ca="1">TEXT(DATE(YEAR(Invoer!$A$5),1,1)+ROWS(B$2:B148)-1,"jjjjmmdd")</f>
        <v>19370527</v>
      </c>
      <c r="C148" s="18">
        <f t="shared" ca="1" si="7"/>
        <v>760.5</v>
      </c>
      <c r="D148" s="17">
        <f t="shared" ca="1" si="8"/>
        <v>0</v>
      </c>
    </row>
    <row r="149" spans="1:4" x14ac:dyDescent="0.25">
      <c r="A149" s="4">
        <f t="shared" si="6"/>
        <v>32</v>
      </c>
      <c r="B149" t="str">
        <f ca="1">TEXT(DATE(YEAR(Invoer!$A$5),1,1)+ROWS(B$2:B149)-1,"jjjjmmdd")</f>
        <v>19370528</v>
      </c>
      <c r="C149" s="18">
        <f t="shared" ca="1" si="7"/>
        <v>760.5</v>
      </c>
      <c r="D149" s="17">
        <f t="shared" ca="1" si="8"/>
        <v>0</v>
      </c>
    </row>
    <row r="150" spans="1:4" x14ac:dyDescent="0.25">
      <c r="A150" s="4">
        <f t="shared" si="6"/>
        <v>32</v>
      </c>
      <c r="B150" t="str">
        <f ca="1">TEXT(DATE(YEAR(Invoer!$A$5),1,1)+ROWS(B$2:B150)-1,"jjjjmmdd")</f>
        <v>19370529</v>
      </c>
      <c r="C150" s="18">
        <f t="shared" ca="1" si="7"/>
        <v>760</v>
      </c>
      <c r="D150" s="17">
        <f t="shared" ca="1" si="8"/>
        <v>0</v>
      </c>
    </row>
    <row r="151" spans="1:4" x14ac:dyDescent="0.25">
      <c r="A151" s="4">
        <f t="shared" si="6"/>
        <v>32</v>
      </c>
      <c r="B151" t="str">
        <f ca="1">TEXT(DATE(YEAR(Invoer!$A$5),1,1)+ROWS(B$2:B151)-1,"jjjjmmdd")</f>
        <v>19370530</v>
      </c>
      <c r="C151" s="18">
        <f t="shared" ca="1" si="7"/>
        <v>760</v>
      </c>
      <c r="D151" s="17">
        <f t="shared" ca="1" si="8"/>
        <v>0</v>
      </c>
    </row>
    <row r="152" spans="1:4" x14ac:dyDescent="0.25">
      <c r="A152" s="4">
        <f t="shared" si="6"/>
        <v>32</v>
      </c>
      <c r="B152" t="str">
        <f ca="1">TEXT(DATE(YEAR(Invoer!$A$5),1,1)+ROWS(B$2:B152)-1,"jjjjmmdd")</f>
        <v>19370531</v>
      </c>
      <c r="C152" s="18">
        <f t="shared" ca="1" si="7"/>
        <v>760.5</v>
      </c>
      <c r="D152" s="17">
        <f t="shared" ca="1" si="8"/>
        <v>0</v>
      </c>
    </row>
    <row r="153" spans="1:4" x14ac:dyDescent="0.25">
      <c r="A153" s="4">
        <f t="shared" si="6"/>
        <v>32</v>
      </c>
      <c r="B153" t="str">
        <f ca="1">TEXT(DATE(YEAR(Invoer!$A$5),1,1)+ROWS(B$2:B153)-1,"jjjjmmdd")</f>
        <v>19370601</v>
      </c>
      <c r="C153" s="18">
        <f t="shared" ca="1" si="7"/>
        <v>762</v>
      </c>
      <c r="D153" s="17">
        <f t="shared" ca="1" si="8"/>
        <v>0</v>
      </c>
    </row>
    <row r="154" spans="1:4" x14ac:dyDescent="0.25">
      <c r="A154" s="4">
        <f t="shared" si="6"/>
        <v>32</v>
      </c>
      <c r="B154" t="str">
        <f ca="1">TEXT(DATE(YEAR(Invoer!$A$5),1,1)+ROWS(B$2:B154)-1,"jjjjmmdd")</f>
        <v>19370602</v>
      </c>
      <c r="C154" s="18">
        <f t="shared" ca="1" si="7"/>
        <v>759</v>
      </c>
      <c r="D154" s="17">
        <f t="shared" ca="1" si="8"/>
        <v>0</v>
      </c>
    </row>
    <row r="155" spans="1:4" x14ac:dyDescent="0.25">
      <c r="A155" s="4">
        <f t="shared" si="6"/>
        <v>32</v>
      </c>
      <c r="B155" t="str">
        <f ca="1">TEXT(DATE(YEAR(Invoer!$A$5),1,1)+ROWS(B$2:B155)-1,"jjjjmmdd")</f>
        <v>19370603</v>
      </c>
      <c r="C155" s="18">
        <f t="shared" ca="1" si="7"/>
        <v>760</v>
      </c>
      <c r="D155" s="17">
        <f t="shared" ca="1" si="8"/>
        <v>0</v>
      </c>
    </row>
    <row r="156" spans="1:4" x14ac:dyDescent="0.25">
      <c r="A156" s="4">
        <f t="shared" si="6"/>
        <v>32</v>
      </c>
      <c r="B156" t="str">
        <f ca="1">TEXT(DATE(YEAR(Invoer!$A$5),1,1)+ROWS(B$2:B156)-1,"jjjjmmdd")</f>
        <v>19370604</v>
      </c>
      <c r="C156" s="18">
        <f t="shared" ca="1" si="7"/>
        <v>762.5</v>
      </c>
      <c r="D156" s="17">
        <f t="shared" ca="1" si="8"/>
        <v>0</v>
      </c>
    </row>
    <row r="157" spans="1:4" x14ac:dyDescent="0.25">
      <c r="A157" s="4">
        <f t="shared" si="6"/>
        <v>32</v>
      </c>
      <c r="B157" t="str">
        <f ca="1">TEXT(DATE(YEAR(Invoer!$A$5),1,1)+ROWS(B$2:B157)-1,"jjjjmmdd")</f>
        <v>19370605</v>
      </c>
      <c r="C157" s="18">
        <f t="shared" ca="1" si="7"/>
        <v>762.5</v>
      </c>
      <c r="D157" s="17">
        <f t="shared" ca="1" si="8"/>
        <v>0</v>
      </c>
    </row>
    <row r="158" spans="1:4" x14ac:dyDescent="0.25">
      <c r="A158" s="4">
        <f t="shared" si="6"/>
        <v>32</v>
      </c>
      <c r="B158" t="str">
        <f ca="1">TEXT(DATE(YEAR(Invoer!$A$5),1,1)+ROWS(B$2:B158)-1,"jjjjmmdd")</f>
        <v>19370606</v>
      </c>
      <c r="C158" s="18">
        <f t="shared" ca="1" si="7"/>
        <v>760.5</v>
      </c>
      <c r="D158" s="17">
        <f t="shared" ca="1" si="8"/>
        <v>0</v>
      </c>
    </row>
    <row r="159" spans="1:4" x14ac:dyDescent="0.25">
      <c r="A159" s="4">
        <f t="shared" si="6"/>
        <v>32</v>
      </c>
      <c r="B159" t="str">
        <f ca="1">TEXT(DATE(YEAR(Invoer!$A$5),1,1)+ROWS(B$2:B159)-1,"jjjjmmdd")</f>
        <v>19370607</v>
      </c>
      <c r="C159" s="18">
        <f t="shared" ca="1" si="7"/>
        <v>759</v>
      </c>
      <c r="D159" s="17">
        <f t="shared" ca="1" si="8"/>
        <v>0</v>
      </c>
    </row>
    <row r="160" spans="1:4" x14ac:dyDescent="0.25">
      <c r="A160" s="4">
        <f t="shared" si="6"/>
        <v>32</v>
      </c>
      <c r="B160" t="str">
        <f ca="1">TEXT(DATE(YEAR(Invoer!$A$5),1,1)+ROWS(B$2:B160)-1,"jjjjmmdd")</f>
        <v>19370608</v>
      </c>
      <c r="C160" s="18">
        <f t="shared" ca="1" si="7"/>
        <v>759</v>
      </c>
      <c r="D160" s="17">
        <f t="shared" ca="1" si="8"/>
        <v>0</v>
      </c>
    </row>
    <row r="161" spans="1:4" x14ac:dyDescent="0.25">
      <c r="A161" s="4">
        <f t="shared" si="6"/>
        <v>32</v>
      </c>
      <c r="B161" t="str">
        <f ca="1">TEXT(DATE(YEAR(Invoer!$A$5),1,1)+ROWS(B$2:B161)-1,"jjjjmmdd")</f>
        <v>19370609</v>
      </c>
      <c r="C161" s="18">
        <f t="shared" ca="1" si="7"/>
        <v>762</v>
      </c>
      <c r="D161" s="17">
        <f t="shared" ca="1" si="8"/>
        <v>0</v>
      </c>
    </row>
    <row r="162" spans="1:4" x14ac:dyDescent="0.25">
      <c r="A162" s="4">
        <f t="shared" si="6"/>
        <v>32</v>
      </c>
      <c r="B162" t="str">
        <f ca="1">TEXT(DATE(YEAR(Invoer!$A$5),1,1)+ROWS(B$2:B162)-1,"jjjjmmdd")</f>
        <v>19370610</v>
      </c>
      <c r="C162" s="18">
        <f t="shared" ca="1" si="7"/>
        <v>762.5</v>
      </c>
      <c r="D162" s="17">
        <f t="shared" ca="1" si="8"/>
        <v>0</v>
      </c>
    </row>
    <row r="163" spans="1:4" x14ac:dyDescent="0.25">
      <c r="A163" s="4">
        <f t="shared" si="6"/>
        <v>32</v>
      </c>
      <c r="B163" t="str">
        <f ca="1">TEXT(DATE(YEAR(Invoer!$A$5),1,1)+ROWS(B$2:B163)-1,"jjjjmmdd")</f>
        <v>19370611</v>
      </c>
      <c r="C163" s="18">
        <f t="shared" ca="1" si="7"/>
        <v>763</v>
      </c>
      <c r="D163" s="17">
        <f t="shared" ca="1" si="8"/>
        <v>0</v>
      </c>
    </row>
    <row r="164" spans="1:4" x14ac:dyDescent="0.25">
      <c r="A164" s="4">
        <f t="shared" si="6"/>
        <v>32</v>
      </c>
      <c r="B164" t="str">
        <f ca="1">TEXT(DATE(YEAR(Invoer!$A$5),1,1)+ROWS(B$2:B164)-1,"jjjjmmdd")</f>
        <v>19370612</v>
      </c>
      <c r="C164" s="18">
        <f t="shared" ca="1" si="7"/>
        <v>762.5</v>
      </c>
      <c r="D164" s="17">
        <f t="shared" ca="1" si="8"/>
        <v>0</v>
      </c>
    </row>
    <row r="165" spans="1:4" x14ac:dyDescent="0.25">
      <c r="A165" s="4">
        <f t="shared" si="6"/>
        <v>32</v>
      </c>
      <c r="B165" t="str">
        <f ca="1">TEXT(DATE(YEAR(Invoer!$A$5),1,1)+ROWS(B$2:B165)-1,"jjjjmmdd")</f>
        <v>19370613</v>
      </c>
      <c r="C165" s="18">
        <f t="shared" ca="1" si="7"/>
        <v>760.5</v>
      </c>
      <c r="D165" s="17">
        <f t="shared" ca="1" si="8"/>
        <v>0</v>
      </c>
    </row>
    <row r="166" spans="1:4" x14ac:dyDescent="0.25">
      <c r="A166" s="4">
        <f t="shared" si="6"/>
        <v>32</v>
      </c>
      <c r="B166" t="str">
        <f ca="1">TEXT(DATE(YEAR(Invoer!$A$5),1,1)+ROWS(B$2:B166)-1,"jjjjmmdd")</f>
        <v>19370614</v>
      </c>
      <c r="C166" s="18">
        <f t="shared" ca="1" si="7"/>
        <v>760.5</v>
      </c>
      <c r="D166" s="17">
        <f t="shared" ca="1" si="8"/>
        <v>0</v>
      </c>
    </row>
    <row r="167" spans="1:4" x14ac:dyDescent="0.25">
      <c r="A167" s="4">
        <f t="shared" si="6"/>
        <v>32</v>
      </c>
      <c r="B167" t="str">
        <f ca="1">TEXT(DATE(YEAR(Invoer!$A$5),1,1)+ROWS(B$2:B167)-1,"jjjjmmdd")</f>
        <v>19370615</v>
      </c>
      <c r="C167" s="18">
        <f t="shared" ca="1" si="7"/>
        <v>762.5</v>
      </c>
      <c r="D167" s="17">
        <f t="shared" ca="1" si="8"/>
        <v>0</v>
      </c>
    </row>
    <row r="168" spans="1:4" x14ac:dyDescent="0.25">
      <c r="A168" s="4">
        <f t="shared" si="6"/>
        <v>32</v>
      </c>
      <c r="B168" t="str">
        <f ca="1">TEXT(DATE(YEAR(Invoer!$A$5),1,1)+ROWS(B$2:B168)-1,"jjjjmmdd")</f>
        <v>19370616</v>
      </c>
      <c r="C168" s="18">
        <f t="shared" ca="1" si="7"/>
        <v>762.5</v>
      </c>
      <c r="D168" s="17">
        <f t="shared" ca="1" si="8"/>
        <v>0</v>
      </c>
    </row>
    <row r="169" spans="1:4" x14ac:dyDescent="0.25">
      <c r="A169" s="4">
        <f t="shared" si="6"/>
        <v>32</v>
      </c>
      <c r="B169" t="str">
        <f ca="1">TEXT(DATE(YEAR(Invoer!$A$5),1,1)+ROWS(B$2:B169)-1,"jjjjmmdd")</f>
        <v>19370617</v>
      </c>
      <c r="C169" s="18">
        <f t="shared" ca="1" si="7"/>
        <v>759.5</v>
      </c>
      <c r="D169" s="17">
        <f t="shared" ca="1" si="8"/>
        <v>0</v>
      </c>
    </row>
    <row r="170" spans="1:4" x14ac:dyDescent="0.25">
      <c r="A170" s="4">
        <f t="shared" si="6"/>
        <v>32</v>
      </c>
      <c r="B170" t="str">
        <f ca="1">TEXT(DATE(YEAR(Invoer!$A$5),1,1)+ROWS(B$2:B170)-1,"jjjjmmdd")</f>
        <v>19370618</v>
      </c>
      <c r="C170" s="18">
        <f t="shared" ca="1" si="7"/>
        <v>759.5</v>
      </c>
      <c r="D170" s="17">
        <f t="shared" ca="1" si="8"/>
        <v>0</v>
      </c>
    </row>
    <row r="171" spans="1:4" x14ac:dyDescent="0.25">
      <c r="A171" s="4">
        <f t="shared" si="6"/>
        <v>32</v>
      </c>
      <c r="B171" t="str">
        <f ca="1">TEXT(DATE(YEAR(Invoer!$A$5),1,1)+ROWS(B$2:B171)-1,"jjjjmmdd")</f>
        <v>19370619</v>
      </c>
      <c r="C171" s="18">
        <f t="shared" ca="1" si="7"/>
        <v>760.5</v>
      </c>
      <c r="D171" s="17">
        <f t="shared" ca="1" si="8"/>
        <v>0</v>
      </c>
    </row>
    <row r="172" spans="1:4" x14ac:dyDescent="0.25">
      <c r="A172" s="4">
        <f t="shared" si="6"/>
        <v>32</v>
      </c>
      <c r="B172" t="str">
        <f ca="1">TEXT(DATE(YEAR(Invoer!$A$5),1,1)+ROWS(B$2:B172)-1,"jjjjmmdd")</f>
        <v>19370620</v>
      </c>
      <c r="C172" s="18">
        <f t="shared" ca="1" si="7"/>
        <v>760.5</v>
      </c>
      <c r="D172" s="17">
        <f t="shared" ca="1" si="8"/>
        <v>0</v>
      </c>
    </row>
    <row r="173" spans="1:4" x14ac:dyDescent="0.25">
      <c r="A173" s="4">
        <f t="shared" si="6"/>
        <v>32</v>
      </c>
      <c r="B173" t="str">
        <f ca="1">TEXT(DATE(YEAR(Invoer!$A$5),1,1)+ROWS(B$2:B173)-1,"jjjjmmdd")</f>
        <v>19370621</v>
      </c>
      <c r="C173" s="18">
        <f t="shared" ca="1" si="7"/>
        <v>762.5</v>
      </c>
      <c r="D173" s="17">
        <f t="shared" ca="1" si="8"/>
        <v>0</v>
      </c>
    </row>
    <row r="174" spans="1:4" x14ac:dyDescent="0.25">
      <c r="A174" s="4">
        <f t="shared" si="6"/>
        <v>32</v>
      </c>
      <c r="B174" t="str">
        <f ca="1">TEXT(DATE(YEAR(Invoer!$A$5),1,1)+ROWS(B$2:B174)-1,"jjjjmmdd")</f>
        <v>19370622</v>
      </c>
      <c r="C174" s="18">
        <f t="shared" ca="1" si="7"/>
        <v>762.5</v>
      </c>
      <c r="D174" s="17">
        <f t="shared" ca="1" si="8"/>
        <v>0</v>
      </c>
    </row>
    <row r="175" spans="1:4" x14ac:dyDescent="0.25">
      <c r="A175" s="4">
        <f t="shared" si="6"/>
        <v>32</v>
      </c>
      <c r="B175" t="str">
        <f ca="1">TEXT(DATE(YEAR(Invoer!$A$5),1,1)+ROWS(B$2:B175)-1,"jjjjmmdd")</f>
        <v>19370623</v>
      </c>
      <c r="C175" s="18">
        <f t="shared" ca="1" si="7"/>
        <v>763.5</v>
      </c>
      <c r="D175" s="17">
        <f t="shared" ca="1" si="8"/>
        <v>0</v>
      </c>
    </row>
    <row r="176" spans="1:4" x14ac:dyDescent="0.25">
      <c r="A176" s="4">
        <f t="shared" si="6"/>
        <v>32</v>
      </c>
      <c r="B176" t="str">
        <f ca="1">TEXT(DATE(YEAR(Invoer!$A$5),1,1)+ROWS(B$2:B176)-1,"jjjjmmdd")</f>
        <v>19370624</v>
      </c>
      <c r="C176" s="18">
        <f t="shared" ca="1" si="7"/>
        <v>763</v>
      </c>
      <c r="D176" s="17">
        <f t="shared" ca="1" si="8"/>
        <v>0</v>
      </c>
    </row>
    <row r="177" spans="1:4" x14ac:dyDescent="0.25">
      <c r="A177" s="4">
        <f t="shared" si="6"/>
        <v>32</v>
      </c>
      <c r="B177" t="str">
        <f ca="1">TEXT(DATE(YEAR(Invoer!$A$5),1,1)+ROWS(B$2:B177)-1,"jjjjmmdd")</f>
        <v>19370625</v>
      </c>
      <c r="C177" s="18">
        <f t="shared" ca="1" si="7"/>
        <v>762.5</v>
      </c>
      <c r="D177" s="17">
        <f t="shared" ca="1" si="8"/>
        <v>0</v>
      </c>
    </row>
    <row r="178" spans="1:4" x14ac:dyDescent="0.25">
      <c r="A178" s="4">
        <f t="shared" si="6"/>
        <v>32</v>
      </c>
      <c r="B178" t="str">
        <f ca="1">TEXT(DATE(YEAR(Invoer!$A$5),1,1)+ROWS(B$2:B178)-1,"jjjjmmdd")</f>
        <v>19370626</v>
      </c>
      <c r="C178" s="18">
        <f t="shared" ca="1" si="7"/>
        <v>762.5</v>
      </c>
      <c r="D178" s="17">
        <f t="shared" ca="1" si="8"/>
        <v>0</v>
      </c>
    </row>
    <row r="179" spans="1:4" x14ac:dyDescent="0.25">
      <c r="A179" s="4">
        <f t="shared" si="6"/>
        <v>32</v>
      </c>
      <c r="B179" t="str">
        <f ca="1">TEXT(DATE(YEAR(Invoer!$A$5),1,1)+ROWS(B$2:B179)-1,"jjjjmmdd")</f>
        <v>19370627</v>
      </c>
      <c r="C179" s="18">
        <f t="shared" ca="1" si="7"/>
        <v>760.5</v>
      </c>
      <c r="D179" s="17">
        <f t="shared" ca="1" si="8"/>
        <v>0</v>
      </c>
    </row>
    <row r="180" spans="1:4" x14ac:dyDescent="0.25">
      <c r="A180" s="4">
        <f t="shared" si="6"/>
        <v>32</v>
      </c>
      <c r="B180" t="str">
        <f ca="1">TEXT(DATE(YEAR(Invoer!$A$5),1,1)+ROWS(B$2:B180)-1,"jjjjmmdd")</f>
        <v>19370628</v>
      </c>
      <c r="C180" s="18">
        <f t="shared" ca="1" si="7"/>
        <v>760</v>
      </c>
      <c r="D180" s="17">
        <f t="shared" ca="1" si="8"/>
        <v>0</v>
      </c>
    </row>
    <row r="181" spans="1:4" x14ac:dyDescent="0.25">
      <c r="A181" s="4">
        <f t="shared" si="6"/>
        <v>32</v>
      </c>
      <c r="B181" t="str">
        <f ca="1">TEXT(DATE(YEAR(Invoer!$A$5),1,1)+ROWS(B$2:B181)-1,"jjjjmmdd")</f>
        <v>19370629</v>
      </c>
      <c r="C181" s="18">
        <f t="shared" ca="1" si="7"/>
        <v>760</v>
      </c>
      <c r="D181" s="17">
        <f t="shared" ca="1" si="8"/>
        <v>0</v>
      </c>
    </row>
    <row r="182" spans="1:4" x14ac:dyDescent="0.25">
      <c r="A182" s="4">
        <f t="shared" si="6"/>
        <v>32</v>
      </c>
      <c r="B182" t="str">
        <f ca="1">TEXT(DATE(YEAR(Invoer!$A$5),1,1)+ROWS(B$2:B182)-1,"jjjjmmdd")</f>
        <v>19370630</v>
      </c>
      <c r="C182" s="18">
        <f t="shared" ca="1" si="7"/>
        <v>762.5</v>
      </c>
      <c r="D182" s="17">
        <f t="shared" ca="1" si="8"/>
        <v>0</v>
      </c>
    </row>
    <row r="183" spans="1:4" x14ac:dyDescent="0.25">
      <c r="A183" s="4">
        <f t="shared" si="6"/>
        <v>32</v>
      </c>
      <c r="B183" t="str">
        <f ca="1">TEXT(DATE(YEAR(Invoer!$A$5),1,1)+ROWS(B$2:B183)-1,"jjjjmmdd")</f>
        <v>19370701</v>
      </c>
      <c r="C183" s="18">
        <f t="shared" ca="1" si="7"/>
        <v>763.5</v>
      </c>
      <c r="D183" s="17">
        <f t="shared" ca="1" si="8"/>
        <v>0</v>
      </c>
    </row>
    <row r="184" spans="1:4" x14ac:dyDescent="0.25">
      <c r="A184" s="4">
        <f t="shared" si="6"/>
        <v>32</v>
      </c>
      <c r="B184" t="str">
        <f ca="1">TEXT(DATE(YEAR(Invoer!$A$5),1,1)+ROWS(B$2:B184)-1,"jjjjmmdd")</f>
        <v>19370702</v>
      </c>
      <c r="C184" s="18">
        <f t="shared" ca="1" si="7"/>
        <v>763</v>
      </c>
      <c r="D184" s="17">
        <f t="shared" ca="1" si="8"/>
        <v>0</v>
      </c>
    </row>
    <row r="185" spans="1:4" x14ac:dyDescent="0.25">
      <c r="A185" s="4">
        <f t="shared" si="6"/>
        <v>32</v>
      </c>
      <c r="B185" t="str">
        <f ca="1">TEXT(DATE(YEAR(Invoer!$A$5),1,1)+ROWS(B$2:B185)-1,"jjjjmmdd")</f>
        <v>19370703</v>
      </c>
      <c r="C185" s="18">
        <f t="shared" ca="1" si="7"/>
        <v>762.5</v>
      </c>
      <c r="D185" s="17">
        <f t="shared" ca="1" si="8"/>
        <v>0</v>
      </c>
    </row>
    <row r="186" spans="1:4" x14ac:dyDescent="0.25">
      <c r="A186" s="4">
        <f t="shared" si="6"/>
        <v>32</v>
      </c>
      <c r="B186" t="str">
        <f ca="1">TEXT(DATE(YEAR(Invoer!$A$5),1,1)+ROWS(B$2:B186)-1,"jjjjmmdd")</f>
        <v>19370704</v>
      </c>
      <c r="C186" s="18">
        <f t="shared" ca="1" si="7"/>
        <v>761</v>
      </c>
      <c r="D186" s="17">
        <f t="shared" ca="1" si="8"/>
        <v>0</v>
      </c>
    </row>
    <row r="187" spans="1:4" x14ac:dyDescent="0.25">
      <c r="A187" s="4">
        <f t="shared" si="6"/>
        <v>32</v>
      </c>
      <c r="B187" t="str">
        <f ca="1">TEXT(DATE(YEAR(Invoer!$A$5),1,1)+ROWS(B$2:B187)-1,"jjjjmmdd")</f>
        <v>19370705</v>
      </c>
      <c r="C187" s="18">
        <f t="shared" ca="1" si="7"/>
        <v>760.5</v>
      </c>
      <c r="D187" s="17">
        <f t="shared" ca="1" si="8"/>
        <v>0</v>
      </c>
    </row>
    <row r="188" spans="1:4" x14ac:dyDescent="0.25">
      <c r="A188" s="4">
        <f t="shared" si="6"/>
        <v>32</v>
      </c>
      <c r="B188" t="str">
        <f ca="1">TEXT(DATE(YEAR(Invoer!$A$5),1,1)+ROWS(B$2:B188)-1,"jjjjmmdd")</f>
        <v>19370706</v>
      </c>
      <c r="C188" s="18">
        <f t="shared" ca="1" si="7"/>
        <v>761</v>
      </c>
      <c r="D188" s="17">
        <f t="shared" ca="1" si="8"/>
        <v>0</v>
      </c>
    </row>
    <row r="189" spans="1:4" x14ac:dyDescent="0.25">
      <c r="A189" s="4">
        <f t="shared" si="6"/>
        <v>32</v>
      </c>
      <c r="B189" t="str">
        <f ca="1">TEXT(DATE(YEAR(Invoer!$A$5),1,1)+ROWS(B$2:B189)-1,"jjjjmmdd")</f>
        <v>19370707</v>
      </c>
      <c r="C189" s="18">
        <f t="shared" ca="1" si="7"/>
        <v>761.5</v>
      </c>
      <c r="D189" s="17">
        <f t="shared" ca="1" si="8"/>
        <v>0</v>
      </c>
    </row>
    <row r="190" spans="1:4" x14ac:dyDescent="0.25">
      <c r="A190" s="4">
        <f t="shared" si="6"/>
        <v>32</v>
      </c>
      <c r="B190" t="str">
        <f ca="1">TEXT(DATE(YEAR(Invoer!$A$5),1,1)+ROWS(B$2:B190)-1,"jjjjmmdd")</f>
        <v>19370708</v>
      </c>
      <c r="C190" s="18">
        <f t="shared" ca="1" si="7"/>
        <v>761.5</v>
      </c>
      <c r="D190" s="17">
        <f t="shared" ca="1" si="8"/>
        <v>0</v>
      </c>
    </row>
    <row r="191" spans="1:4" x14ac:dyDescent="0.25">
      <c r="A191" s="4">
        <f t="shared" si="6"/>
        <v>32</v>
      </c>
      <c r="B191" t="str">
        <f ca="1">TEXT(DATE(YEAR(Invoer!$A$5),1,1)+ROWS(B$2:B191)-1,"jjjjmmdd")</f>
        <v>19370709</v>
      </c>
      <c r="C191" s="18">
        <f t="shared" ca="1" si="7"/>
        <v>762</v>
      </c>
      <c r="D191" s="17">
        <f t="shared" ca="1" si="8"/>
        <v>0</v>
      </c>
    </row>
    <row r="192" spans="1:4" x14ac:dyDescent="0.25">
      <c r="A192" s="4">
        <f t="shared" si="6"/>
        <v>32</v>
      </c>
      <c r="B192" t="str">
        <f ca="1">TEXT(DATE(YEAR(Invoer!$A$5),1,1)+ROWS(B$2:B192)-1,"jjjjmmdd")</f>
        <v>19370710</v>
      </c>
      <c r="C192" s="18">
        <f t="shared" ca="1" si="7"/>
        <v>762</v>
      </c>
      <c r="D192" s="17">
        <f t="shared" ca="1" si="8"/>
        <v>0</v>
      </c>
    </row>
    <row r="193" spans="1:4" x14ac:dyDescent="0.25">
      <c r="A193" s="4">
        <f t="shared" si="6"/>
        <v>32</v>
      </c>
      <c r="B193" t="str">
        <f ca="1">TEXT(DATE(YEAR(Invoer!$A$5),1,1)+ROWS(B$2:B193)-1,"jjjjmmdd")</f>
        <v>19370711</v>
      </c>
      <c r="C193" s="18">
        <f t="shared" ca="1" si="7"/>
        <v>762.5</v>
      </c>
      <c r="D193" s="17">
        <f t="shared" ca="1" si="8"/>
        <v>0</v>
      </c>
    </row>
    <row r="194" spans="1:4" x14ac:dyDescent="0.25">
      <c r="A194" s="4">
        <f t="shared" ref="A194:A257" si="9">INDEX(Stations,2,1)</f>
        <v>32</v>
      </c>
      <c r="B194" t="str">
        <f ca="1">TEXT(DATE(YEAR(Invoer!$A$5),1,1)+ROWS(B$2:B194)-1,"jjjjmmdd")</f>
        <v>19370712</v>
      </c>
      <c r="C194" s="18">
        <f t="shared" ref="C194:C257" ca="1" si="10">IF(OR(ISBLANK(VLOOKUP(DATEVALUE(LEFT($B194,4)&amp;"-"&amp;MID($B194,5,2)&amp;"-"&amp;RIGHT($B194,2)),Data,MATCH(LEFT(VLOOKUP(C$1,Parameters,2,FALSE()),4)&amp;"*",OFFSET(Data,0,0,1),0),FALSE())),ISTEXT(VLOOKUP(DATEVALUE(LEFT($B194,4)&amp;"-"&amp;MID($B194,5,2)&amp;"-"&amp;RIGHT($B194,2)),Data,MATCH(LEFT(VLOOKUP(C$1,Parameters,2,FALSE()),4)&amp;"*",OFFSET(Data,0,0,1),0),FALSE()))),"—",VLOOKUP(DATEVALUE(LEFT($B194,4)&amp;"-"&amp;MID($B194,5,2)&amp;"-"&amp;RIGHT($B194,2)),Data,MATCH(LEFT(VLOOKUP(C$1,Parameters,2,FALSE()),4)&amp;"*",OFFSET(Data,0,0,1),0),FALSE())/10)</f>
        <v>762</v>
      </c>
      <c r="D194" s="17">
        <f t="shared" ref="D194:D257" ca="1" si="11">IF(OR(ISBLANK(VLOOKUP(DATEVALUE(LEFT($B194,4)&amp;"-"&amp;MID($B194,5,2)&amp;"-"&amp;RIGHT($B194,2)),Data,MATCH(LEFT(VLOOKUP(MID(D$1,2,LEN(D$1)-1),Parameters,2,FALSE()),4)&amp;"*",OFFSET(Data,0,0,1),0),FALSE())),ISTEXT(VLOOKUP(DATEVALUE(LEFT($B194,4)&amp;"-"&amp;MID($B194,5,2)&amp;"-"&amp;RIGHT($B194,2)),Data,MATCH(LEFT(VLOOKUP(MID(D$1,2,LEN(D$1)-1),Parameters,2,FALSE()),4)&amp;"*",OFFSET(Data,0,0,1),0),FALSE()))),Lacking,IF(ISNA(MATCH(DATEVALUE(LEFT($B194,4)&amp;"-"&amp;MID($B194,5,2)&amp;"-"&amp;RIGHT($B194,2)),OFFSET(Catalogus,0,0,,1),0)),Ok,VLOOKUP(DATEVALUE(LEFT($B194,4)&amp;"-"&amp;MID($B194,5,2)&amp;"-"&amp;RIGHT($B194,2)),Catalogus,MATCH(LEFT(VLOOKUP(MID(D$1,2,LEN(D$1)-1),Parameters,2,FALSE()),4)&amp;"*",OFFSET(Catalogus,0,0,1),0),FALSE())))</f>
        <v>0</v>
      </c>
    </row>
    <row r="195" spans="1:4" x14ac:dyDescent="0.25">
      <c r="A195" s="4">
        <f t="shared" si="9"/>
        <v>32</v>
      </c>
      <c r="B195" t="str">
        <f ca="1">TEXT(DATE(YEAR(Invoer!$A$5),1,1)+ROWS(B$2:B195)-1,"jjjjmmdd")</f>
        <v>19370713</v>
      </c>
      <c r="C195" s="18">
        <f t="shared" ca="1" si="10"/>
        <v>762</v>
      </c>
      <c r="D195" s="17">
        <f t="shared" ca="1" si="11"/>
        <v>0</v>
      </c>
    </row>
    <row r="196" spans="1:4" x14ac:dyDescent="0.25">
      <c r="A196" s="4">
        <f t="shared" si="9"/>
        <v>32</v>
      </c>
      <c r="B196" t="str">
        <f ca="1">TEXT(DATE(YEAR(Invoer!$A$5),1,1)+ROWS(B$2:B196)-1,"jjjjmmdd")</f>
        <v>19370714</v>
      </c>
      <c r="C196" s="18">
        <f t="shared" ca="1" si="10"/>
        <v>761.5</v>
      </c>
      <c r="D196" s="17">
        <f t="shared" ca="1" si="11"/>
        <v>0</v>
      </c>
    </row>
    <row r="197" spans="1:4" x14ac:dyDescent="0.25">
      <c r="A197" s="4">
        <f t="shared" si="9"/>
        <v>32</v>
      </c>
      <c r="B197" t="str">
        <f ca="1">TEXT(DATE(YEAR(Invoer!$A$5),1,1)+ROWS(B$2:B197)-1,"jjjjmmdd")</f>
        <v>19370715</v>
      </c>
      <c r="C197" s="18">
        <f t="shared" ca="1" si="10"/>
        <v>762.5</v>
      </c>
      <c r="D197" s="17">
        <f t="shared" ca="1" si="11"/>
        <v>0</v>
      </c>
    </row>
    <row r="198" spans="1:4" x14ac:dyDescent="0.25">
      <c r="A198" s="4">
        <f t="shared" si="9"/>
        <v>32</v>
      </c>
      <c r="B198" t="str">
        <f ca="1">TEXT(DATE(YEAR(Invoer!$A$5),1,1)+ROWS(B$2:B198)-1,"jjjjmmdd")</f>
        <v>19370716</v>
      </c>
      <c r="C198" s="18">
        <f t="shared" ca="1" si="10"/>
        <v>761</v>
      </c>
      <c r="D198" s="17">
        <f t="shared" ca="1" si="11"/>
        <v>0</v>
      </c>
    </row>
    <row r="199" spans="1:4" x14ac:dyDescent="0.25">
      <c r="A199" s="4">
        <f t="shared" si="9"/>
        <v>32</v>
      </c>
      <c r="B199" t="str">
        <f ca="1">TEXT(DATE(YEAR(Invoer!$A$5),1,1)+ROWS(B$2:B199)-1,"jjjjmmdd")</f>
        <v>19370717</v>
      </c>
      <c r="C199" s="18">
        <f t="shared" ca="1" si="10"/>
        <v>761</v>
      </c>
      <c r="D199" s="17">
        <f t="shared" ca="1" si="11"/>
        <v>0</v>
      </c>
    </row>
    <row r="200" spans="1:4" x14ac:dyDescent="0.25">
      <c r="A200" s="4">
        <f t="shared" si="9"/>
        <v>32</v>
      </c>
      <c r="B200" t="str">
        <f ca="1">TEXT(DATE(YEAR(Invoer!$A$5),1,1)+ROWS(B$2:B200)-1,"jjjjmmdd")</f>
        <v>19370718</v>
      </c>
      <c r="C200" s="18">
        <f t="shared" ca="1" si="10"/>
        <v>762.5</v>
      </c>
      <c r="D200" s="17">
        <f t="shared" ca="1" si="11"/>
        <v>0</v>
      </c>
    </row>
    <row r="201" spans="1:4" x14ac:dyDescent="0.25">
      <c r="A201" s="4">
        <f t="shared" si="9"/>
        <v>32</v>
      </c>
      <c r="B201" t="str">
        <f ca="1">TEXT(DATE(YEAR(Invoer!$A$5),1,1)+ROWS(B$2:B201)-1,"jjjjmmdd")</f>
        <v>19370719</v>
      </c>
      <c r="C201" s="18">
        <f t="shared" ca="1" si="10"/>
        <v>761</v>
      </c>
      <c r="D201" s="17">
        <f t="shared" ca="1" si="11"/>
        <v>0</v>
      </c>
    </row>
    <row r="202" spans="1:4" x14ac:dyDescent="0.25">
      <c r="A202" s="4">
        <f t="shared" si="9"/>
        <v>32</v>
      </c>
      <c r="B202" t="str">
        <f ca="1">TEXT(DATE(YEAR(Invoer!$A$5),1,1)+ROWS(B$2:B202)-1,"jjjjmmdd")</f>
        <v>19370720</v>
      </c>
      <c r="C202" s="18">
        <f t="shared" ca="1" si="10"/>
        <v>761.5</v>
      </c>
      <c r="D202" s="17">
        <f t="shared" ca="1" si="11"/>
        <v>0</v>
      </c>
    </row>
    <row r="203" spans="1:4" x14ac:dyDescent="0.25">
      <c r="A203" s="4">
        <f t="shared" si="9"/>
        <v>32</v>
      </c>
      <c r="B203" t="str">
        <f ca="1">TEXT(DATE(YEAR(Invoer!$A$5),1,1)+ROWS(B$2:B203)-1,"jjjjmmdd")</f>
        <v>19370721</v>
      </c>
      <c r="C203" s="18">
        <f t="shared" ca="1" si="10"/>
        <v>761</v>
      </c>
      <c r="D203" s="17">
        <f t="shared" ca="1" si="11"/>
        <v>0</v>
      </c>
    </row>
    <row r="204" spans="1:4" x14ac:dyDescent="0.25">
      <c r="A204" s="4">
        <f t="shared" si="9"/>
        <v>32</v>
      </c>
      <c r="B204" t="str">
        <f ca="1">TEXT(DATE(YEAR(Invoer!$A$5),1,1)+ROWS(B$2:B204)-1,"jjjjmmdd")</f>
        <v>19370722</v>
      </c>
      <c r="C204" s="18">
        <f t="shared" ca="1" si="10"/>
        <v>761</v>
      </c>
      <c r="D204" s="17">
        <f t="shared" ca="1" si="11"/>
        <v>0</v>
      </c>
    </row>
    <row r="205" spans="1:4" x14ac:dyDescent="0.25">
      <c r="A205" s="4">
        <f t="shared" si="9"/>
        <v>32</v>
      </c>
      <c r="B205" t="str">
        <f ca="1">TEXT(DATE(YEAR(Invoer!$A$5),1,1)+ROWS(B$2:B205)-1,"jjjjmmdd")</f>
        <v>19370723</v>
      </c>
      <c r="C205" s="18">
        <f t="shared" ca="1" si="10"/>
        <v>761.5</v>
      </c>
      <c r="D205" s="17">
        <f t="shared" ca="1" si="11"/>
        <v>0</v>
      </c>
    </row>
    <row r="206" spans="1:4" x14ac:dyDescent="0.25">
      <c r="A206" s="4">
        <f t="shared" si="9"/>
        <v>32</v>
      </c>
      <c r="B206" t="str">
        <f ca="1">TEXT(DATE(YEAR(Invoer!$A$5),1,1)+ROWS(B$2:B206)-1,"jjjjmmdd")</f>
        <v>19370724</v>
      </c>
      <c r="C206" s="18">
        <f t="shared" ca="1" si="10"/>
        <v>759</v>
      </c>
      <c r="D206" s="17">
        <f t="shared" ca="1" si="11"/>
        <v>0</v>
      </c>
    </row>
    <row r="207" spans="1:4" x14ac:dyDescent="0.25">
      <c r="A207" s="4">
        <f t="shared" si="9"/>
        <v>32</v>
      </c>
      <c r="B207" t="str">
        <f ca="1">TEXT(DATE(YEAR(Invoer!$A$5),1,1)+ROWS(B$2:B207)-1,"jjjjmmdd")</f>
        <v>19370725</v>
      </c>
      <c r="C207" s="18">
        <f t="shared" ca="1" si="10"/>
        <v>760</v>
      </c>
      <c r="D207" s="17">
        <f t="shared" ca="1" si="11"/>
        <v>0</v>
      </c>
    </row>
    <row r="208" spans="1:4" x14ac:dyDescent="0.25">
      <c r="A208" s="4">
        <f t="shared" si="9"/>
        <v>32</v>
      </c>
      <c r="B208" t="str">
        <f ca="1">TEXT(DATE(YEAR(Invoer!$A$5),1,1)+ROWS(B$2:B208)-1,"jjjjmmdd")</f>
        <v>19370726</v>
      </c>
      <c r="C208" s="18">
        <f t="shared" ca="1" si="10"/>
        <v>760</v>
      </c>
      <c r="D208" s="17">
        <f t="shared" ca="1" si="11"/>
        <v>0</v>
      </c>
    </row>
    <row r="209" spans="1:4" x14ac:dyDescent="0.25">
      <c r="A209" s="4">
        <f t="shared" si="9"/>
        <v>32</v>
      </c>
      <c r="B209" t="str">
        <f ca="1">TEXT(DATE(YEAR(Invoer!$A$5),1,1)+ROWS(B$2:B209)-1,"jjjjmmdd")</f>
        <v>19370727</v>
      </c>
      <c r="C209" s="18">
        <f t="shared" ca="1" si="10"/>
        <v>760.5</v>
      </c>
      <c r="D209" s="17">
        <f t="shared" ca="1" si="11"/>
        <v>0</v>
      </c>
    </row>
    <row r="210" spans="1:4" x14ac:dyDescent="0.25">
      <c r="A210" s="4">
        <f t="shared" si="9"/>
        <v>32</v>
      </c>
      <c r="B210" t="str">
        <f ca="1">TEXT(DATE(YEAR(Invoer!$A$5),1,1)+ROWS(B$2:B210)-1,"jjjjmmdd")</f>
        <v>19370728</v>
      </c>
      <c r="C210" s="18">
        <f t="shared" ca="1" si="10"/>
        <v>761</v>
      </c>
      <c r="D210" s="17">
        <f t="shared" ca="1" si="11"/>
        <v>0</v>
      </c>
    </row>
    <row r="211" spans="1:4" x14ac:dyDescent="0.25">
      <c r="A211" s="4">
        <f t="shared" si="9"/>
        <v>32</v>
      </c>
      <c r="B211" t="str">
        <f ca="1">TEXT(DATE(YEAR(Invoer!$A$5),1,1)+ROWS(B$2:B211)-1,"jjjjmmdd")</f>
        <v>19370729</v>
      </c>
      <c r="C211" s="18">
        <f t="shared" ca="1" si="10"/>
        <v>762.5</v>
      </c>
      <c r="D211" s="17">
        <f t="shared" ca="1" si="11"/>
        <v>0</v>
      </c>
    </row>
    <row r="212" spans="1:4" x14ac:dyDescent="0.25">
      <c r="A212" s="4">
        <f t="shared" si="9"/>
        <v>32</v>
      </c>
      <c r="B212" t="str">
        <f ca="1">TEXT(DATE(YEAR(Invoer!$A$5),1,1)+ROWS(B$2:B212)-1,"jjjjmmdd")</f>
        <v>19370730</v>
      </c>
      <c r="C212" s="18">
        <f t="shared" ca="1" si="10"/>
        <v>762</v>
      </c>
      <c r="D212" s="17">
        <f t="shared" ca="1" si="11"/>
        <v>0</v>
      </c>
    </row>
    <row r="213" spans="1:4" x14ac:dyDescent="0.25">
      <c r="A213" s="4">
        <f t="shared" si="9"/>
        <v>32</v>
      </c>
      <c r="B213" t="str">
        <f ca="1">TEXT(DATE(YEAR(Invoer!$A$5),1,1)+ROWS(B$2:B213)-1,"jjjjmmdd")</f>
        <v>19370731</v>
      </c>
      <c r="C213" s="18">
        <f t="shared" ca="1" si="10"/>
        <v>762</v>
      </c>
      <c r="D213" s="17">
        <f t="shared" ca="1" si="11"/>
        <v>0</v>
      </c>
    </row>
    <row r="214" spans="1:4" x14ac:dyDescent="0.25">
      <c r="A214" s="4">
        <f t="shared" si="9"/>
        <v>32</v>
      </c>
      <c r="B214" t="str">
        <f ca="1">TEXT(DATE(YEAR(Invoer!$A$5),1,1)+ROWS(B$2:B214)-1,"jjjjmmdd")</f>
        <v>19370801</v>
      </c>
      <c r="C214" s="18">
        <f t="shared" ca="1" si="10"/>
        <v>762.5</v>
      </c>
      <c r="D214" s="17">
        <f t="shared" ca="1" si="11"/>
        <v>0</v>
      </c>
    </row>
    <row r="215" spans="1:4" x14ac:dyDescent="0.25">
      <c r="A215" s="4">
        <f t="shared" si="9"/>
        <v>32</v>
      </c>
      <c r="B215" t="str">
        <f ca="1">TEXT(DATE(YEAR(Invoer!$A$5),1,1)+ROWS(B$2:B215)-1,"jjjjmmdd")</f>
        <v>19370802</v>
      </c>
      <c r="C215" s="18">
        <f t="shared" ca="1" si="10"/>
        <v>762</v>
      </c>
      <c r="D215" s="17">
        <f t="shared" ca="1" si="11"/>
        <v>0</v>
      </c>
    </row>
    <row r="216" spans="1:4" x14ac:dyDescent="0.25">
      <c r="A216" s="4">
        <f t="shared" si="9"/>
        <v>32</v>
      </c>
      <c r="B216" t="str">
        <f ca="1">TEXT(DATE(YEAR(Invoer!$A$5),1,1)+ROWS(B$2:B216)-1,"jjjjmmdd")</f>
        <v>19370803</v>
      </c>
      <c r="C216" s="18">
        <f t="shared" ca="1" si="10"/>
        <v>762</v>
      </c>
      <c r="D216" s="17">
        <f t="shared" ca="1" si="11"/>
        <v>0</v>
      </c>
    </row>
    <row r="217" spans="1:4" x14ac:dyDescent="0.25">
      <c r="A217" s="4">
        <f t="shared" si="9"/>
        <v>32</v>
      </c>
      <c r="B217" t="str">
        <f ca="1">TEXT(DATE(YEAR(Invoer!$A$5),1,1)+ROWS(B$2:B217)-1,"jjjjmmdd")</f>
        <v>19370804</v>
      </c>
      <c r="C217" s="18">
        <f t="shared" ca="1" si="10"/>
        <v>760.5</v>
      </c>
      <c r="D217" s="17">
        <f t="shared" ca="1" si="11"/>
        <v>0</v>
      </c>
    </row>
    <row r="218" spans="1:4" x14ac:dyDescent="0.25">
      <c r="A218" s="4">
        <f t="shared" si="9"/>
        <v>32</v>
      </c>
      <c r="B218" t="str">
        <f ca="1">TEXT(DATE(YEAR(Invoer!$A$5),1,1)+ROWS(B$2:B218)-1,"jjjjmmdd")</f>
        <v>19370805</v>
      </c>
      <c r="C218" s="18">
        <f t="shared" ca="1" si="10"/>
        <v>760</v>
      </c>
      <c r="D218" s="17">
        <f t="shared" ca="1" si="11"/>
        <v>0</v>
      </c>
    </row>
    <row r="219" spans="1:4" x14ac:dyDescent="0.25">
      <c r="A219" s="4">
        <f t="shared" si="9"/>
        <v>32</v>
      </c>
      <c r="B219" t="str">
        <f ca="1">TEXT(DATE(YEAR(Invoer!$A$5),1,1)+ROWS(B$2:B219)-1,"jjjjmmdd")</f>
        <v>19370806</v>
      </c>
      <c r="C219" s="18">
        <f t="shared" ca="1" si="10"/>
        <v>761.5</v>
      </c>
      <c r="D219" s="17">
        <f t="shared" ca="1" si="11"/>
        <v>0</v>
      </c>
    </row>
    <row r="220" spans="1:4" x14ac:dyDescent="0.25">
      <c r="A220" s="4">
        <f t="shared" si="9"/>
        <v>32</v>
      </c>
      <c r="B220" t="str">
        <f ca="1">TEXT(DATE(YEAR(Invoer!$A$5),1,1)+ROWS(B$2:B220)-1,"jjjjmmdd")</f>
        <v>19370807</v>
      </c>
      <c r="C220" s="18">
        <f t="shared" ca="1" si="10"/>
        <v>761.5</v>
      </c>
      <c r="D220" s="17">
        <f t="shared" ca="1" si="11"/>
        <v>0</v>
      </c>
    </row>
    <row r="221" spans="1:4" x14ac:dyDescent="0.25">
      <c r="A221" s="4">
        <f t="shared" si="9"/>
        <v>32</v>
      </c>
      <c r="B221" t="str">
        <f ca="1">TEXT(DATE(YEAR(Invoer!$A$5),1,1)+ROWS(B$2:B221)-1,"jjjjmmdd")</f>
        <v>19370808</v>
      </c>
      <c r="C221" s="18">
        <f t="shared" ca="1" si="10"/>
        <v>762</v>
      </c>
      <c r="D221" s="17">
        <f t="shared" ca="1" si="11"/>
        <v>0</v>
      </c>
    </row>
    <row r="222" spans="1:4" x14ac:dyDescent="0.25">
      <c r="A222" s="4">
        <f t="shared" si="9"/>
        <v>32</v>
      </c>
      <c r="B222" t="str">
        <f ca="1">TEXT(DATE(YEAR(Invoer!$A$5),1,1)+ROWS(B$2:B222)-1,"jjjjmmdd")</f>
        <v>19370809</v>
      </c>
      <c r="C222" s="18">
        <f t="shared" ca="1" si="10"/>
        <v>762.5</v>
      </c>
      <c r="D222" s="17">
        <f t="shared" ca="1" si="11"/>
        <v>0</v>
      </c>
    </row>
    <row r="223" spans="1:4" x14ac:dyDescent="0.25">
      <c r="A223" s="4">
        <f t="shared" si="9"/>
        <v>32</v>
      </c>
      <c r="B223" t="str">
        <f ca="1">TEXT(DATE(YEAR(Invoer!$A$5),1,1)+ROWS(B$2:B223)-1,"jjjjmmdd")</f>
        <v>19370810</v>
      </c>
      <c r="C223" s="18">
        <f t="shared" ca="1" si="10"/>
        <v>762</v>
      </c>
      <c r="D223" s="17">
        <f t="shared" ca="1" si="11"/>
        <v>0</v>
      </c>
    </row>
    <row r="224" spans="1:4" x14ac:dyDescent="0.25">
      <c r="A224" s="4">
        <f t="shared" si="9"/>
        <v>32</v>
      </c>
      <c r="B224" t="str">
        <f ca="1">TEXT(DATE(YEAR(Invoer!$A$5),1,1)+ROWS(B$2:B224)-1,"jjjjmmdd")</f>
        <v>19370811</v>
      </c>
      <c r="C224" s="18">
        <f t="shared" ca="1" si="10"/>
        <v>761.5</v>
      </c>
      <c r="D224" s="17">
        <f t="shared" ca="1" si="11"/>
        <v>0</v>
      </c>
    </row>
    <row r="225" spans="1:4" x14ac:dyDescent="0.25">
      <c r="A225" s="4">
        <f t="shared" si="9"/>
        <v>32</v>
      </c>
      <c r="B225" t="str">
        <f ca="1">TEXT(DATE(YEAR(Invoer!$A$5),1,1)+ROWS(B$2:B225)-1,"jjjjmmdd")</f>
        <v>19370812</v>
      </c>
      <c r="C225" s="18">
        <f t="shared" ca="1" si="10"/>
        <v>761.5</v>
      </c>
      <c r="D225" s="17">
        <f t="shared" ca="1" si="11"/>
        <v>0</v>
      </c>
    </row>
    <row r="226" spans="1:4" x14ac:dyDescent="0.25">
      <c r="A226" s="4">
        <f t="shared" si="9"/>
        <v>32</v>
      </c>
      <c r="B226" t="str">
        <f ca="1">TEXT(DATE(YEAR(Invoer!$A$5),1,1)+ROWS(B$2:B226)-1,"jjjjmmdd")</f>
        <v>19370813</v>
      </c>
      <c r="C226" s="18">
        <f t="shared" ca="1" si="10"/>
        <v>761</v>
      </c>
      <c r="D226" s="17">
        <f t="shared" ca="1" si="11"/>
        <v>0</v>
      </c>
    </row>
    <row r="227" spans="1:4" x14ac:dyDescent="0.25">
      <c r="A227" s="4">
        <f t="shared" si="9"/>
        <v>32</v>
      </c>
      <c r="B227" t="str">
        <f ca="1">TEXT(DATE(YEAR(Invoer!$A$5),1,1)+ROWS(B$2:B227)-1,"jjjjmmdd")</f>
        <v>19370814</v>
      </c>
      <c r="C227" s="18">
        <f t="shared" ca="1" si="10"/>
        <v>759</v>
      </c>
      <c r="D227" s="17">
        <f t="shared" ca="1" si="11"/>
        <v>0</v>
      </c>
    </row>
    <row r="228" spans="1:4" x14ac:dyDescent="0.25">
      <c r="A228" s="4">
        <f t="shared" si="9"/>
        <v>32</v>
      </c>
      <c r="B228" t="str">
        <f ca="1">TEXT(DATE(YEAR(Invoer!$A$5),1,1)+ROWS(B$2:B228)-1,"jjjjmmdd")</f>
        <v>19370815</v>
      </c>
      <c r="C228" s="18">
        <f t="shared" ca="1" si="10"/>
        <v>760.5</v>
      </c>
      <c r="D228" s="17">
        <f t="shared" ca="1" si="11"/>
        <v>0</v>
      </c>
    </row>
    <row r="229" spans="1:4" x14ac:dyDescent="0.25">
      <c r="A229" s="4">
        <f t="shared" si="9"/>
        <v>32</v>
      </c>
      <c r="B229" t="str">
        <f ca="1">TEXT(DATE(YEAR(Invoer!$A$5),1,1)+ROWS(B$2:B229)-1,"jjjjmmdd")</f>
        <v>19370816</v>
      </c>
      <c r="C229" s="18">
        <f t="shared" ca="1" si="10"/>
        <v>760</v>
      </c>
      <c r="D229" s="17">
        <f t="shared" ca="1" si="11"/>
        <v>0</v>
      </c>
    </row>
    <row r="230" spans="1:4" x14ac:dyDescent="0.25">
      <c r="A230" s="4">
        <f t="shared" si="9"/>
        <v>32</v>
      </c>
      <c r="B230" t="str">
        <f ca="1">TEXT(DATE(YEAR(Invoer!$A$5),1,1)+ROWS(B$2:B230)-1,"jjjjmmdd")</f>
        <v>19370817</v>
      </c>
      <c r="C230" s="18">
        <f t="shared" ca="1" si="10"/>
        <v>759</v>
      </c>
      <c r="D230" s="17">
        <f t="shared" ca="1" si="11"/>
        <v>0</v>
      </c>
    </row>
    <row r="231" spans="1:4" x14ac:dyDescent="0.25">
      <c r="A231" s="4">
        <f t="shared" si="9"/>
        <v>32</v>
      </c>
      <c r="B231" t="str">
        <f ca="1">TEXT(DATE(YEAR(Invoer!$A$5),1,1)+ROWS(B$2:B231)-1,"jjjjmmdd")</f>
        <v>19370818</v>
      </c>
      <c r="C231" s="18">
        <f t="shared" ca="1" si="10"/>
        <v>760</v>
      </c>
      <c r="D231" s="17">
        <f t="shared" ca="1" si="11"/>
        <v>0</v>
      </c>
    </row>
    <row r="232" spans="1:4" x14ac:dyDescent="0.25">
      <c r="A232" s="4">
        <f t="shared" si="9"/>
        <v>32</v>
      </c>
      <c r="B232" t="str">
        <f ca="1">TEXT(DATE(YEAR(Invoer!$A$5),1,1)+ROWS(B$2:B232)-1,"jjjjmmdd")</f>
        <v>19370819</v>
      </c>
      <c r="C232" s="18">
        <f t="shared" ca="1" si="10"/>
        <v>759.5</v>
      </c>
      <c r="D232" s="17">
        <f t="shared" ca="1" si="11"/>
        <v>0</v>
      </c>
    </row>
    <row r="233" spans="1:4" x14ac:dyDescent="0.25">
      <c r="A233" s="4">
        <f t="shared" si="9"/>
        <v>32</v>
      </c>
      <c r="B233" t="str">
        <f ca="1">TEXT(DATE(YEAR(Invoer!$A$5),1,1)+ROWS(B$2:B233)-1,"jjjjmmdd")</f>
        <v>19370820</v>
      </c>
      <c r="C233" s="18">
        <f t="shared" ca="1" si="10"/>
        <v>759</v>
      </c>
      <c r="D233" s="17">
        <f t="shared" ca="1" si="11"/>
        <v>0</v>
      </c>
    </row>
    <row r="234" spans="1:4" x14ac:dyDescent="0.25">
      <c r="A234" s="4">
        <f t="shared" si="9"/>
        <v>32</v>
      </c>
      <c r="B234" t="str">
        <f ca="1">TEXT(DATE(YEAR(Invoer!$A$5),1,1)+ROWS(B$2:B234)-1,"jjjjmmdd")</f>
        <v>19370821</v>
      </c>
      <c r="C234" s="18">
        <f t="shared" ca="1" si="10"/>
        <v>759</v>
      </c>
      <c r="D234" s="17">
        <f t="shared" ca="1" si="11"/>
        <v>0</v>
      </c>
    </row>
    <row r="235" spans="1:4" x14ac:dyDescent="0.25">
      <c r="A235" s="4">
        <f t="shared" si="9"/>
        <v>32</v>
      </c>
      <c r="B235" t="str">
        <f ca="1">TEXT(DATE(YEAR(Invoer!$A$5),1,1)+ROWS(B$2:B235)-1,"jjjjmmdd")</f>
        <v>19370822</v>
      </c>
      <c r="C235" s="18">
        <f t="shared" ca="1" si="10"/>
        <v>760</v>
      </c>
      <c r="D235" s="17">
        <f t="shared" ca="1" si="11"/>
        <v>0</v>
      </c>
    </row>
    <row r="236" spans="1:4" x14ac:dyDescent="0.25">
      <c r="A236" s="4">
        <f t="shared" si="9"/>
        <v>32</v>
      </c>
      <c r="B236" t="str">
        <f ca="1">TEXT(DATE(YEAR(Invoer!$A$5),1,1)+ROWS(B$2:B236)-1,"jjjjmmdd")</f>
        <v>19370823</v>
      </c>
      <c r="C236" s="18">
        <f t="shared" ca="1" si="10"/>
        <v>759</v>
      </c>
      <c r="D236" s="17">
        <f t="shared" ca="1" si="11"/>
        <v>0</v>
      </c>
    </row>
    <row r="237" spans="1:4" x14ac:dyDescent="0.25">
      <c r="A237" s="4">
        <f t="shared" si="9"/>
        <v>32</v>
      </c>
      <c r="B237" t="str">
        <f ca="1">TEXT(DATE(YEAR(Invoer!$A$5),1,1)+ROWS(B$2:B237)-1,"jjjjmmdd")</f>
        <v>19370824</v>
      </c>
      <c r="C237" s="18">
        <f t="shared" ca="1" si="10"/>
        <v>759</v>
      </c>
      <c r="D237" s="17">
        <f t="shared" ca="1" si="11"/>
        <v>0</v>
      </c>
    </row>
    <row r="238" spans="1:4" x14ac:dyDescent="0.25">
      <c r="A238" s="4">
        <f t="shared" si="9"/>
        <v>32</v>
      </c>
      <c r="B238" t="str">
        <f ca="1">TEXT(DATE(YEAR(Invoer!$A$5),1,1)+ROWS(B$2:B238)-1,"jjjjmmdd")</f>
        <v>19370825</v>
      </c>
      <c r="C238" s="18">
        <f t="shared" ca="1" si="10"/>
        <v>759.5</v>
      </c>
      <c r="D238" s="17">
        <f t="shared" ca="1" si="11"/>
        <v>0</v>
      </c>
    </row>
    <row r="239" spans="1:4" x14ac:dyDescent="0.25">
      <c r="A239" s="4">
        <f t="shared" si="9"/>
        <v>32</v>
      </c>
      <c r="B239" t="str">
        <f ca="1">TEXT(DATE(YEAR(Invoer!$A$5),1,1)+ROWS(B$2:B239)-1,"jjjjmmdd")</f>
        <v>19370826</v>
      </c>
      <c r="C239" s="18">
        <f t="shared" ca="1" si="10"/>
        <v>759.5</v>
      </c>
      <c r="D239" s="17">
        <f t="shared" ca="1" si="11"/>
        <v>0</v>
      </c>
    </row>
    <row r="240" spans="1:4" x14ac:dyDescent="0.25">
      <c r="A240" s="4">
        <f t="shared" si="9"/>
        <v>32</v>
      </c>
      <c r="B240" t="str">
        <f ca="1">TEXT(DATE(YEAR(Invoer!$A$5),1,1)+ROWS(B$2:B240)-1,"jjjjmmdd")</f>
        <v>19370827</v>
      </c>
      <c r="C240" s="18">
        <f t="shared" ca="1" si="10"/>
        <v>760.5</v>
      </c>
      <c r="D240" s="17">
        <f t="shared" ca="1" si="11"/>
        <v>0</v>
      </c>
    </row>
    <row r="241" spans="1:4" x14ac:dyDescent="0.25">
      <c r="A241" s="4">
        <f t="shared" si="9"/>
        <v>32</v>
      </c>
      <c r="B241" t="str">
        <f ca="1">TEXT(DATE(YEAR(Invoer!$A$5),1,1)+ROWS(B$2:B241)-1,"jjjjmmdd")</f>
        <v>19370828</v>
      </c>
      <c r="C241" s="18">
        <f t="shared" ca="1" si="10"/>
        <v>760</v>
      </c>
      <c r="D241" s="17">
        <f t="shared" ca="1" si="11"/>
        <v>0</v>
      </c>
    </row>
    <row r="242" spans="1:4" x14ac:dyDescent="0.25">
      <c r="A242" s="4">
        <f t="shared" si="9"/>
        <v>32</v>
      </c>
      <c r="B242" t="str">
        <f ca="1">TEXT(DATE(YEAR(Invoer!$A$5),1,1)+ROWS(B$2:B242)-1,"jjjjmmdd")</f>
        <v>19370829</v>
      </c>
      <c r="C242" s="18">
        <f t="shared" ca="1" si="10"/>
        <v>760</v>
      </c>
      <c r="D242" s="17">
        <f t="shared" ca="1" si="11"/>
        <v>0</v>
      </c>
    </row>
    <row r="243" spans="1:4" x14ac:dyDescent="0.25">
      <c r="A243" s="4">
        <f t="shared" si="9"/>
        <v>32</v>
      </c>
      <c r="B243" t="str">
        <f ca="1">TEXT(DATE(YEAR(Invoer!$A$5),1,1)+ROWS(B$2:B243)-1,"jjjjmmdd")</f>
        <v>19370830</v>
      </c>
      <c r="C243" s="18">
        <f t="shared" ca="1" si="10"/>
        <v>759</v>
      </c>
      <c r="D243" s="17">
        <f t="shared" ca="1" si="11"/>
        <v>0</v>
      </c>
    </row>
    <row r="244" spans="1:4" x14ac:dyDescent="0.25">
      <c r="A244" s="4">
        <f t="shared" si="9"/>
        <v>32</v>
      </c>
      <c r="B244" t="str">
        <f ca="1">TEXT(DATE(YEAR(Invoer!$A$5),1,1)+ROWS(B$2:B244)-1,"jjjjmmdd")</f>
        <v>19370831</v>
      </c>
      <c r="C244" s="18" t="str">
        <f t="shared" ca="1" si="10"/>
        <v>—</v>
      </c>
      <c r="D244" s="17">
        <f t="shared" ca="1" si="11"/>
        <v>7</v>
      </c>
    </row>
    <row r="245" spans="1:4" x14ac:dyDescent="0.25">
      <c r="A245" s="4">
        <f t="shared" si="9"/>
        <v>32</v>
      </c>
      <c r="B245" t="str">
        <f ca="1">TEXT(DATE(YEAR(Invoer!$A$5),1,1)+ROWS(B$2:B245)-1,"jjjjmmdd")</f>
        <v>19370901</v>
      </c>
      <c r="C245" s="18">
        <f t="shared" ca="1" si="10"/>
        <v>759.5</v>
      </c>
      <c r="D245" s="17">
        <f t="shared" ca="1" si="11"/>
        <v>0</v>
      </c>
    </row>
    <row r="246" spans="1:4" x14ac:dyDescent="0.25">
      <c r="A246" s="4">
        <f t="shared" si="9"/>
        <v>32</v>
      </c>
      <c r="B246" t="str">
        <f ca="1">TEXT(DATE(YEAR(Invoer!$A$5),1,1)+ROWS(B$2:B246)-1,"jjjjmmdd")</f>
        <v>19370902</v>
      </c>
      <c r="C246" s="18">
        <f t="shared" ca="1" si="10"/>
        <v>759</v>
      </c>
      <c r="D246" s="17">
        <f t="shared" ca="1" si="11"/>
        <v>0</v>
      </c>
    </row>
    <row r="247" spans="1:4" x14ac:dyDescent="0.25">
      <c r="A247" s="4">
        <f t="shared" si="9"/>
        <v>32</v>
      </c>
      <c r="B247" t="str">
        <f ca="1">TEXT(DATE(YEAR(Invoer!$A$5),1,1)+ROWS(B$2:B247)-1,"jjjjmmdd")</f>
        <v>19370903</v>
      </c>
      <c r="C247" s="18">
        <f t="shared" ca="1" si="10"/>
        <v>759.5</v>
      </c>
      <c r="D247" s="17">
        <f t="shared" ca="1" si="11"/>
        <v>0</v>
      </c>
    </row>
    <row r="248" spans="1:4" x14ac:dyDescent="0.25">
      <c r="A248" s="4">
        <f t="shared" si="9"/>
        <v>32</v>
      </c>
      <c r="B248" t="str">
        <f ca="1">TEXT(DATE(YEAR(Invoer!$A$5),1,1)+ROWS(B$2:B248)-1,"jjjjmmdd")</f>
        <v>19370904</v>
      </c>
      <c r="C248" s="18">
        <f t="shared" ca="1" si="10"/>
        <v>760</v>
      </c>
      <c r="D248" s="17">
        <f t="shared" ca="1" si="11"/>
        <v>0</v>
      </c>
    </row>
    <row r="249" spans="1:4" x14ac:dyDescent="0.25">
      <c r="A249" s="4">
        <f t="shared" si="9"/>
        <v>32</v>
      </c>
      <c r="B249" t="str">
        <f ca="1">TEXT(DATE(YEAR(Invoer!$A$5),1,1)+ROWS(B$2:B249)-1,"jjjjmmdd")</f>
        <v>19370905</v>
      </c>
      <c r="C249" s="18">
        <f t="shared" ca="1" si="10"/>
        <v>760</v>
      </c>
      <c r="D249" s="17">
        <f t="shared" ca="1" si="11"/>
        <v>0</v>
      </c>
    </row>
    <row r="250" spans="1:4" x14ac:dyDescent="0.25">
      <c r="A250" s="4">
        <f t="shared" si="9"/>
        <v>32</v>
      </c>
      <c r="B250" t="str">
        <f ca="1">TEXT(DATE(YEAR(Invoer!$A$5),1,1)+ROWS(B$2:B250)-1,"jjjjmmdd")</f>
        <v>19370906</v>
      </c>
      <c r="C250" s="18">
        <f t="shared" ca="1" si="10"/>
        <v>759.5</v>
      </c>
      <c r="D250" s="17">
        <f t="shared" ca="1" si="11"/>
        <v>0</v>
      </c>
    </row>
    <row r="251" spans="1:4" x14ac:dyDescent="0.25">
      <c r="A251" s="4">
        <f t="shared" si="9"/>
        <v>32</v>
      </c>
      <c r="B251" t="str">
        <f ca="1">TEXT(DATE(YEAR(Invoer!$A$5),1,1)+ROWS(B$2:B251)-1,"jjjjmmdd")</f>
        <v>19370907</v>
      </c>
      <c r="C251" s="18">
        <f t="shared" ca="1" si="10"/>
        <v>759.5</v>
      </c>
      <c r="D251" s="17">
        <f t="shared" ca="1" si="11"/>
        <v>0</v>
      </c>
    </row>
    <row r="252" spans="1:4" x14ac:dyDescent="0.25">
      <c r="A252" s="4">
        <f t="shared" si="9"/>
        <v>32</v>
      </c>
      <c r="B252" t="str">
        <f ca="1">TEXT(DATE(YEAR(Invoer!$A$5),1,1)+ROWS(B$2:B252)-1,"jjjjmmdd")</f>
        <v>19370908</v>
      </c>
      <c r="C252" s="18">
        <f t="shared" ca="1" si="10"/>
        <v>758.5</v>
      </c>
      <c r="D252" s="17">
        <f t="shared" ca="1" si="11"/>
        <v>0</v>
      </c>
    </row>
    <row r="253" spans="1:4" x14ac:dyDescent="0.25">
      <c r="A253" s="4">
        <f t="shared" si="9"/>
        <v>32</v>
      </c>
      <c r="B253" t="str">
        <f ca="1">TEXT(DATE(YEAR(Invoer!$A$5),1,1)+ROWS(B$2:B253)-1,"jjjjmmdd")</f>
        <v>19370909</v>
      </c>
      <c r="C253" s="18">
        <f t="shared" ca="1" si="10"/>
        <v>761.5</v>
      </c>
      <c r="D253" s="17">
        <f t="shared" ca="1" si="11"/>
        <v>0</v>
      </c>
    </row>
    <row r="254" spans="1:4" x14ac:dyDescent="0.25">
      <c r="A254" s="4">
        <f t="shared" si="9"/>
        <v>32</v>
      </c>
      <c r="B254" t="str">
        <f ca="1">TEXT(DATE(YEAR(Invoer!$A$5),1,1)+ROWS(B$2:B254)-1,"jjjjmmdd")</f>
        <v>19370910</v>
      </c>
      <c r="C254" s="18">
        <f t="shared" ca="1" si="10"/>
        <v>761.5</v>
      </c>
      <c r="D254" s="17">
        <f t="shared" ca="1" si="11"/>
        <v>0</v>
      </c>
    </row>
    <row r="255" spans="1:4" x14ac:dyDescent="0.25">
      <c r="A255" s="4">
        <f t="shared" si="9"/>
        <v>32</v>
      </c>
      <c r="B255" t="str">
        <f ca="1">TEXT(DATE(YEAR(Invoer!$A$5),1,1)+ROWS(B$2:B255)-1,"jjjjmmdd")</f>
        <v>19370911</v>
      </c>
      <c r="C255" s="18">
        <f t="shared" ca="1" si="10"/>
        <v>761</v>
      </c>
      <c r="D255" s="17">
        <f t="shared" ca="1" si="11"/>
        <v>0</v>
      </c>
    </row>
    <row r="256" spans="1:4" x14ac:dyDescent="0.25">
      <c r="A256" s="4">
        <f t="shared" si="9"/>
        <v>32</v>
      </c>
      <c r="B256" t="str">
        <f ca="1">TEXT(DATE(YEAR(Invoer!$A$5),1,1)+ROWS(B$2:B256)-1,"jjjjmmdd")</f>
        <v>19370912</v>
      </c>
      <c r="C256" s="18">
        <f t="shared" ca="1" si="10"/>
        <v>761.5</v>
      </c>
      <c r="D256" s="17">
        <f t="shared" ca="1" si="11"/>
        <v>0</v>
      </c>
    </row>
    <row r="257" spans="1:4" x14ac:dyDescent="0.25">
      <c r="A257" s="4">
        <f t="shared" si="9"/>
        <v>32</v>
      </c>
      <c r="B257" t="str">
        <f ca="1">TEXT(DATE(YEAR(Invoer!$A$5),1,1)+ROWS(B$2:B257)-1,"jjjjmmdd")</f>
        <v>19370913</v>
      </c>
      <c r="C257" s="18">
        <f t="shared" ca="1" si="10"/>
        <v>761</v>
      </c>
      <c r="D257" s="17">
        <f t="shared" ca="1" si="11"/>
        <v>0</v>
      </c>
    </row>
    <row r="258" spans="1:4" x14ac:dyDescent="0.25">
      <c r="A258" s="4">
        <f t="shared" ref="A258:A321" si="12">INDEX(Stations,2,1)</f>
        <v>32</v>
      </c>
      <c r="B258" t="str">
        <f ca="1">TEXT(DATE(YEAR(Invoer!$A$5),1,1)+ROWS(B$2:B258)-1,"jjjjmmdd")</f>
        <v>19370914</v>
      </c>
      <c r="C258" s="18">
        <f t="shared" ref="C258:C321" ca="1" si="13">IF(OR(ISBLANK(VLOOKUP(DATEVALUE(LEFT($B258,4)&amp;"-"&amp;MID($B258,5,2)&amp;"-"&amp;RIGHT($B258,2)),Data,MATCH(LEFT(VLOOKUP(C$1,Parameters,2,FALSE()),4)&amp;"*",OFFSET(Data,0,0,1),0),FALSE())),ISTEXT(VLOOKUP(DATEVALUE(LEFT($B258,4)&amp;"-"&amp;MID($B258,5,2)&amp;"-"&amp;RIGHT($B258,2)),Data,MATCH(LEFT(VLOOKUP(C$1,Parameters,2,FALSE()),4)&amp;"*",OFFSET(Data,0,0,1),0),FALSE()))),"—",VLOOKUP(DATEVALUE(LEFT($B258,4)&amp;"-"&amp;MID($B258,5,2)&amp;"-"&amp;RIGHT($B258,2)),Data,MATCH(LEFT(VLOOKUP(C$1,Parameters,2,FALSE()),4)&amp;"*",OFFSET(Data,0,0,1),0),FALSE())/10)</f>
        <v>759.5</v>
      </c>
      <c r="D258" s="17">
        <f t="shared" ref="D258:D321" ca="1" si="14">IF(OR(ISBLANK(VLOOKUP(DATEVALUE(LEFT($B258,4)&amp;"-"&amp;MID($B258,5,2)&amp;"-"&amp;RIGHT($B258,2)),Data,MATCH(LEFT(VLOOKUP(MID(D$1,2,LEN(D$1)-1),Parameters,2,FALSE()),4)&amp;"*",OFFSET(Data,0,0,1),0),FALSE())),ISTEXT(VLOOKUP(DATEVALUE(LEFT($B258,4)&amp;"-"&amp;MID($B258,5,2)&amp;"-"&amp;RIGHT($B258,2)),Data,MATCH(LEFT(VLOOKUP(MID(D$1,2,LEN(D$1)-1),Parameters,2,FALSE()),4)&amp;"*",OFFSET(Data,0,0,1),0),FALSE()))),Lacking,IF(ISNA(MATCH(DATEVALUE(LEFT($B258,4)&amp;"-"&amp;MID($B258,5,2)&amp;"-"&amp;RIGHT($B258,2)),OFFSET(Catalogus,0,0,,1),0)),Ok,VLOOKUP(DATEVALUE(LEFT($B258,4)&amp;"-"&amp;MID($B258,5,2)&amp;"-"&amp;RIGHT($B258,2)),Catalogus,MATCH(LEFT(VLOOKUP(MID(D$1,2,LEN(D$1)-1),Parameters,2,FALSE()),4)&amp;"*",OFFSET(Catalogus,0,0,1),0),FALSE())))</f>
        <v>0</v>
      </c>
    </row>
    <row r="259" spans="1:4" x14ac:dyDescent="0.25">
      <c r="A259" s="4">
        <f t="shared" si="12"/>
        <v>32</v>
      </c>
      <c r="B259" t="str">
        <f ca="1">TEXT(DATE(YEAR(Invoer!$A$5),1,1)+ROWS(B$2:B259)-1,"jjjjmmdd")</f>
        <v>19370915</v>
      </c>
      <c r="C259" s="18">
        <f t="shared" ca="1" si="13"/>
        <v>760</v>
      </c>
      <c r="D259" s="17">
        <f t="shared" ca="1" si="14"/>
        <v>0</v>
      </c>
    </row>
    <row r="260" spans="1:4" x14ac:dyDescent="0.25">
      <c r="A260" s="4">
        <f t="shared" si="12"/>
        <v>32</v>
      </c>
      <c r="B260" t="str">
        <f ca="1">TEXT(DATE(YEAR(Invoer!$A$5),1,1)+ROWS(B$2:B260)-1,"jjjjmmdd")</f>
        <v>19370916</v>
      </c>
      <c r="C260" s="18">
        <f t="shared" ca="1" si="13"/>
        <v>760.5</v>
      </c>
      <c r="D260" s="17">
        <f t="shared" ca="1" si="14"/>
        <v>0</v>
      </c>
    </row>
    <row r="261" spans="1:4" x14ac:dyDescent="0.25">
      <c r="A261" s="4">
        <f t="shared" si="12"/>
        <v>32</v>
      </c>
      <c r="B261" t="str">
        <f ca="1">TEXT(DATE(YEAR(Invoer!$A$5),1,1)+ROWS(B$2:B261)-1,"jjjjmmdd")</f>
        <v>19370917</v>
      </c>
      <c r="C261" s="18">
        <f t="shared" ca="1" si="13"/>
        <v>759</v>
      </c>
      <c r="D261" s="17">
        <f t="shared" ca="1" si="14"/>
        <v>0</v>
      </c>
    </row>
    <row r="262" spans="1:4" x14ac:dyDescent="0.25">
      <c r="A262" s="4">
        <f t="shared" si="12"/>
        <v>32</v>
      </c>
      <c r="B262" t="str">
        <f ca="1">TEXT(DATE(YEAR(Invoer!$A$5),1,1)+ROWS(B$2:B262)-1,"jjjjmmdd")</f>
        <v>19370918</v>
      </c>
      <c r="C262" s="18">
        <f t="shared" ca="1" si="13"/>
        <v>759</v>
      </c>
      <c r="D262" s="17">
        <f t="shared" ca="1" si="14"/>
        <v>0</v>
      </c>
    </row>
    <row r="263" spans="1:4" x14ac:dyDescent="0.25">
      <c r="A263" s="4">
        <f t="shared" si="12"/>
        <v>32</v>
      </c>
      <c r="B263" t="str">
        <f ca="1">TEXT(DATE(YEAR(Invoer!$A$5),1,1)+ROWS(B$2:B263)-1,"jjjjmmdd")</f>
        <v>19370919</v>
      </c>
      <c r="C263" s="18">
        <f t="shared" ca="1" si="13"/>
        <v>759.5</v>
      </c>
      <c r="D263" s="17">
        <f t="shared" ca="1" si="14"/>
        <v>0</v>
      </c>
    </row>
    <row r="264" spans="1:4" x14ac:dyDescent="0.25">
      <c r="A264" s="4">
        <f t="shared" si="12"/>
        <v>32</v>
      </c>
      <c r="B264" t="str">
        <f ca="1">TEXT(DATE(YEAR(Invoer!$A$5),1,1)+ROWS(B$2:B264)-1,"jjjjmmdd")</f>
        <v>19370920</v>
      </c>
      <c r="C264" s="18">
        <f t="shared" ca="1" si="13"/>
        <v>761</v>
      </c>
      <c r="D264" s="17">
        <f t="shared" ca="1" si="14"/>
        <v>0</v>
      </c>
    </row>
    <row r="265" spans="1:4" x14ac:dyDescent="0.25">
      <c r="A265" s="4">
        <f t="shared" si="12"/>
        <v>32</v>
      </c>
      <c r="B265" t="str">
        <f ca="1">TEXT(DATE(YEAR(Invoer!$A$5),1,1)+ROWS(B$2:B265)-1,"jjjjmmdd")</f>
        <v>19370921</v>
      </c>
      <c r="C265" s="18">
        <f t="shared" ca="1" si="13"/>
        <v>761.5</v>
      </c>
      <c r="D265" s="17">
        <f t="shared" ca="1" si="14"/>
        <v>0</v>
      </c>
    </row>
    <row r="266" spans="1:4" x14ac:dyDescent="0.25">
      <c r="A266" s="4">
        <f t="shared" si="12"/>
        <v>32</v>
      </c>
      <c r="B266" t="str">
        <f ca="1">TEXT(DATE(YEAR(Invoer!$A$5),1,1)+ROWS(B$2:B266)-1,"jjjjmmdd")</f>
        <v>19370922</v>
      </c>
      <c r="C266" s="18">
        <f t="shared" ca="1" si="13"/>
        <v>762.5</v>
      </c>
      <c r="D266" s="17">
        <f t="shared" ca="1" si="14"/>
        <v>0</v>
      </c>
    </row>
    <row r="267" spans="1:4" x14ac:dyDescent="0.25">
      <c r="A267" s="4">
        <f t="shared" si="12"/>
        <v>32</v>
      </c>
      <c r="B267" t="str">
        <f ca="1">TEXT(DATE(YEAR(Invoer!$A$5),1,1)+ROWS(B$2:B267)-1,"jjjjmmdd")</f>
        <v>19370923</v>
      </c>
      <c r="C267" s="18">
        <f t="shared" ca="1" si="13"/>
        <v>760</v>
      </c>
      <c r="D267" s="17">
        <f t="shared" ca="1" si="14"/>
        <v>0</v>
      </c>
    </row>
    <row r="268" spans="1:4" x14ac:dyDescent="0.25">
      <c r="A268" s="4">
        <f t="shared" si="12"/>
        <v>32</v>
      </c>
      <c r="B268" t="str">
        <f ca="1">TEXT(DATE(YEAR(Invoer!$A$5),1,1)+ROWS(B$2:B268)-1,"jjjjmmdd")</f>
        <v>19370924</v>
      </c>
      <c r="C268" s="18">
        <f t="shared" ca="1" si="13"/>
        <v>760.5</v>
      </c>
      <c r="D268" s="17">
        <f t="shared" ca="1" si="14"/>
        <v>0</v>
      </c>
    </row>
    <row r="269" spans="1:4" x14ac:dyDescent="0.25">
      <c r="A269" s="4">
        <f t="shared" si="12"/>
        <v>32</v>
      </c>
      <c r="B269" t="str">
        <f ca="1">TEXT(DATE(YEAR(Invoer!$A$5),1,1)+ROWS(B$2:B269)-1,"jjjjmmdd")</f>
        <v>19370925</v>
      </c>
      <c r="C269" s="18">
        <f t="shared" ca="1" si="13"/>
        <v>760</v>
      </c>
      <c r="D269" s="17">
        <f t="shared" ca="1" si="14"/>
        <v>0</v>
      </c>
    </row>
    <row r="270" spans="1:4" x14ac:dyDescent="0.25">
      <c r="A270" s="4">
        <f t="shared" si="12"/>
        <v>32</v>
      </c>
      <c r="B270" t="str">
        <f ca="1">TEXT(DATE(YEAR(Invoer!$A$5),1,1)+ROWS(B$2:B270)-1,"jjjjmmdd")</f>
        <v>19370926</v>
      </c>
      <c r="C270" s="18">
        <f t="shared" ca="1" si="13"/>
        <v>761.5</v>
      </c>
      <c r="D270" s="17">
        <f t="shared" ca="1" si="14"/>
        <v>0</v>
      </c>
    </row>
    <row r="271" spans="1:4" x14ac:dyDescent="0.25">
      <c r="A271" s="4">
        <f t="shared" si="12"/>
        <v>32</v>
      </c>
      <c r="B271" t="str">
        <f ca="1">TEXT(DATE(YEAR(Invoer!$A$5),1,1)+ROWS(B$2:B271)-1,"jjjjmmdd")</f>
        <v>19370927</v>
      </c>
      <c r="C271" s="18">
        <f t="shared" ca="1" si="13"/>
        <v>761.5</v>
      </c>
      <c r="D271" s="17">
        <f t="shared" ca="1" si="14"/>
        <v>0</v>
      </c>
    </row>
    <row r="272" spans="1:4" x14ac:dyDescent="0.25">
      <c r="A272" s="4">
        <f t="shared" si="12"/>
        <v>32</v>
      </c>
      <c r="B272" t="str">
        <f ca="1">TEXT(DATE(YEAR(Invoer!$A$5),1,1)+ROWS(B$2:B272)-1,"jjjjmmdd")</f>
        <v>19370928</v>
      </c>
      <c r="C272" s="18">
        <f t="shared" ca="1" si="13"/>
        <v>760.5</v>
      </c>
      <c r="D272" s="17">
        <f t="shared" ca="1" si="14"/>
        <v>0</v>
      </c>
    </row>
    <row r="273" spans="1:4" x14ac:dyDescent="0.25">
      <c r="A273" s="4">
        <f t="shared" si="12"/>
        <v>32</v>
      </c>
      <c r="B273" t="str">
        <f ca="1">TEXT(DATE(YEAR(Invoer!$A$5),1,1)+ROWS(B$2:B273)-1,"jjjjmmdd")</f>
        <v>19370929</v>
      </c>
      <c r="C273" s="18">
        <f t="shared" ca="1" si="13"/>
        <v>759.5</v>
      </c>
      <c r="D273" s="17">
        <f t="shared" ca="1" si="14"/>
        <v>0</v>
      </c>
    </row>
    <row r="274" spans="1:4" x14ac:dyDescent="0.25">
      <c r="A274" s="4">
        <f t="shared" si="12"/>
        <v>32</v>
      </c>
      <c r="B274" t="str">
        <f ca="1">TEXT(DATE(YEAR(Invoer!$A$5),1,1)+ROWS(B$2:B274)-1,"jjjjmmdd")</f>
        <v>19370930</v>
      </c>
      <c r="C274" s="18">
        <f t="shared" ca="1" si="13"/>
        <v>759.5</v>
      </c>
      <c r="D274" s="17">
        <f t="shared" ca="1" si="14"/>
        <v>0</v>
      </c>
    </row>
    <row r="275" spans="1:4" x14ac:dyDescent="0.25">
      <c r="A275" s="4">
        <f t="shared" si="12"/>
        <v>32</v>
      </c>
      <c r="B275" t="str">
        <f ca="1">TEXT(DATE(YEAR(Invoer!$A$5),1,1)+ROWS(B$2:B275)-1,"jjjjmmdd")</f>
        <v>19371001</v>
      </c>
      <c r="C275" s="18">
        <f t="shared" ca="1" si="13"/>
        <v>760.5</v>
      </c>
      <c r="D275" s="17">
        <f t="shared" ca="1" si="14"/>
        <v>0</v>
      </c>
    </row>
    <row r="276" spans="1:4" x14ac:dyDescent="0.25">
      <c r="A276" s="4">
        <f t="shared" si="12"/>
        <v>32</v>
      </c>
      <c r="B276" t="str">
        <f ca="1">TEXT(DATE(YEAR(Invoer!$A$5),1,1)+ROWS(B$2:B276)-1,"jjjjmmdd")</f>
        <v>19371002</v>
      </c>
      <c r="C276" s="18">
        <f t="shared" ca="1" si="13"/>
        <v>759.5</v>
      </c>
      <c r="D276" s="17">
        <f t="shared" ca="1" si="14"/>
        <v>0</v>
      </c>
    </row>
    <row r="277" spans="1:4" x14ac:dyDescent="0.25">
      <c r="A277" s="4">
        <f t="shared" si="12"/>
        <v>32</v>
      </c>
      <c r="B277" t="str">
        <f ca="1">TEXT(DATE(YEAR(Invoer!$A$5),1,1)+ROWS(B$2:B277)-1,"jjjjmmdd")</f>
        <v>19371003</v>
      </c>
      <c r="C277" s="18">
        <f t="shared" ca="1" si="13"/>
        <v>759.5</v>
      </c>
      <c r="D277" s="17">
        <f t="shared" ca="1" si="14"/>
        <v>0</v>
      </c>
    </row>
    <row r="278" spans="1:4" x14ac:dyDescent="0.25">
      <c r="A278" s="4">
        <f t="shared" si="12"/>
        <v>32</v>
      </c>
      <c r="B278" t="str">
        <f ca="1">TEXT(DATE(YEAR(Invoer!$A$5),1,1)+ROWS(B$2:B278)-1,"jjjjmmdd")</f>
        <v>19371004</v>
      </c>
      <c r="C278" s="18">
        <f t="shared" ca="1" si="13"/>
        <v>759</v>
      </c>
      <c r="D278" s="17">
        <f t="shared" ca="1" si="14"/>
        <v>0</v>
      </c>
    </row>
    <row r="279" spans="1:4" x14ac:dyDescent="0.25">
      <c r="A279" s="4">
        <f t="shared" si="12"/>
        <v>32</v>
      </c>
      <c r="B279" t="str">
        <f ca="1">TEXT(DATE(YEAR(Invoer!$A$5),1,1)+ROWS(B$2:B279)-1,"jjjjmmdd")</f>
        <v>19371005</v>
      </c>
      <c r="C279" s="18">
        <f t="shared" ca="1" si="13"/>
        <v>760</v>
      </c>
      <c r="D279" s="17">
        <f t="shared" ca="1" si="14"/>
        <v>0</v>
      </c>
    </row>
    <row r="280" spans="1:4" x14ac:dyDescent="0.25">
      <c r="A280" s="4">
        <f t="shared" si="12"/>
        <v>32</v>
      </c>
      <c r="B280" t="str">
        <f ca="1">TEXT(DATE(YEAR(Invoer!$A$5),1,1)+ROWS(B$2:B280)-1,"jjjjmmdd")</f>
        <v>19371006</v>
      </c>
      <c r="C280" s="18">
        <f t="shared" ca="1" si="13"/>
        <v>759</v>
      </c>
      <c r="D280" s="17">
        <f t="shared" ca="1" si="14"/>
        <v>0</v>
      </c>
    </row>
    <row r="281" spans="1:4" x14ac:dyDescent="0.25">
      <c r="A281" s="4">
        <f t="shared" si="12"/>
        <v>32</v>
      </c>
      <c r="B281" t="str">
        <f ca="1">TEXT(DATE(YEAR(Invoer!$A$5),1,1)+ROWS(B$2:B281)-1,"jjjjmmdd")</f>
        <v>19371007</v>
      </c>
      <c r="C281" s="18">
        <f t="shared" ca="1" si="13"/>
        <v>759.5</v>
      </c>
      <c r="D281" s="17">
        <f t="shared" ca="1" si="14"/>
        <v>0</v>
      </c>
    </row>
    <row r="282" spans="1:4" x14ac:dyDescent="0.25">
      <c r="A282" s="4">
        <f t="shared" si="12"/>
        <v>32</v>
      </c>
      <c r="B282" t="str">
        <f ca="1">TEXT(DATE(YEAR(Invoer!$A$5),1,1)+ROWS(B$2:B282)-1,"jjjjmmdd")</f>
        <v>19371008</v>
      </c>
      <c r="C282" s="18">
        <f t="shared" ca="1" si="13"/>
        <v>759.5</v>
      </c>
      <c r="D282" s="17">
        <f t="shared" ca="1" si="14"/>
        <v>0</v>
      </c>
    </row>
    <row r="283" spans="1:4" x14ac:dyDescent="0.25">
      <c r="A283" s="4">
        <f t="shared" si="12"/>
        <v>32</v>
      </c>
      <c r="B283" t="str">
        <f ca="1">TEXT(DATE(YEAR(Invoer!$A$5),1,1)+ROWS(B$2:B283)-1,"jjjjmmdd")</f>
        <v>19371009</v>
      </c>
      <c r="C283" s="18">
        <f t="shared" ca="1" si="13"/>
        <v>759</v>
      </c>
      <c r="D283" s="17">
        <f t="shared" ca="1" si="14"/>
        <v>0</v>
      </c>
    </row>
    <row r="284" spans="1:4" x14ac:dyDescent="0.25">
      <c r="A284" s="4">
        <f t="shared" si="12"/>
        <v>32</v>
      </c>
      <c r="B284" t="str">
        <f ca="1">TEXT(DATE(YEAR(Invoer!$A$5),1,1)+ROWS(B$2:B284)-1,"jjjjmmdd")</f>
        <v>19371010</v>
      </c>
      <c r="C284" s="18">
        <f t="shared" ca="1" si="13"/>
        <v>760</v>
      </c>
      <c r="D284" s="17">
        <f t="shared" ca="1" si="14"/>
        <v>0</v>
      </c>
    </row>
    <row r="285" spans="1:4" x14ac:dyDescent="0.25">
      <c r="A285" s="4">
        <f t="shared" si="12"/>
        <v>32</v>
      </c>
      <c r="B285" t="str">
        <f ca="1">TEXT(DATE(YEAR(Invoer!$A$5),1,1)+ROWS(B$2:B285)-1,"jjjjmmdd")</f>
        <v>19371011</v>
      </c>
      <c r="C285" s="18">
        <f t="shared" ca="1" si="13"/>
        <v>759.5</v>
      </c>
      <c r="D285" s="17">
        <f t="shared" ca="1" si="14"/>
        <v>0</v>
      </c>
    </row>
    <row r="286" spans="1:4" x14ac:dyDescent="0.25">
      <c r="A286" s="4">
        <f t="shared" si="12"/>
        <v>32</v>
      </c>
      <c r="B286" t="str">
        <f ca="1">TEXT(DATE(YEAR(Invoer!$A$5),1,1)+ROWS(B$2:B286)-1,"jjjjmmdd")</f>
        <v>19371012</v>
      </c>
      <c r="C286" s="18">
        <f t="shared" ca="1" si="13"/>
        <v>759</v>
      </c>
      <c r="D286" s="17">
        <f t="shared" ca="1" si="14"/>
        <v>0</v>
      </c>
    </row>
    <row r="287" spans="1:4" x14ac:dyDescent="0.25">
      <c r="A287" s="4">
        <f t="shared" si="12"/>
        <v>32</v>
      </c>
      <c r="B287" t="str">
        <f ca="1">TEXT(DATE(YEAR(Invoer!$A$5),1,1)+ROWS(B$2:B287)-1,"jjjjmmdd")</f>
        <v>19371013</v>
      </c>
      <c r="C287" s="18">
        <f t="shared" ca="1" si="13"/>
        <v>760</v>
      </c>
      <c r="D287" s="17">
        <f t="shared" ca="1" si="14"/>
        <v>0</v>
      </c>
    </row>
    <row r="288" spans="1:4" x14ac:dyDescent="0.25">
      <c r="A288" s="4">
        <f t="shared" si="12"/>
        <v>32</v>
      </c>
      <c r="B288" t="str">
        <f ca="1">TEXT(DATE(YEAR(Invoer!$A$5),1,1)+ROWS(B$2:B288)-1,"jjjjmmdd")</f>
        <v>19371014</v>
      </c>
      <c r="C288" s="18">
        <f t="shared" ca="1" si="13"/>
        <v>760</v>
      </c>
      <c r="D288" s="17">
        <f t="shared" ca="1" si="14"/>
        <v>0</v>
      </c>
    </row>
    <row r="289" spans="1:4" x14ac:dyDescent="0.25">
      <c r="A289" s="4">
        <f t="shared" si="12"/>
        <v>32</v>
      </c>
      <c r="B289" t="str">
        <f ca="1">TEXT(DATE(YEAR(Invoer!$A$5),1,1)+ROWS(B$2:B289)-1,"jjjjmmdd")</f>
        <v>19371015</v>
      </c>
      <c r="C289" s="18">
        <f t="shared" ca="1" si="13"/>
        <v>759.5</v>
      </c>
      <c r="D289" s="17">
        <f t="shared" ca="1" si="14"/>
        <v>0</v>
      </c>
    </row>
    <row r="290" spans="1:4" x14ac:dyDescent="0.25">
      <c r="A290" s="4">
        <f t="shared" si="12"/>
        <v>32</v>
      </c>
      <c r="B290" t="str">
        <f ca="1">TEXT(DATE(YEAR(Invoer!$A$5),1,1)+ROWS(B$2:B290)-1,"jjjjmmdd")</f>
        <v>19371016</v>
      </c>
      <c r="C290" s="18">
        <f t="shared" ca="1" si="13"/>
        <v>759.5</v>
      </c>
      <c r="D290" s="17">
        <f t="shared" ca="1" si="14"/>
        <v>0</v>
      </c>
    </row>
    <row r="291" spans="1:4" x14ac:dyDescent="0.25">
      <c r="A291" s="4">
        <f t="shared" si="12"/>
        <v>32</v>
      </c>
      <c r="B291" t="str">
        <f ca="1">TEXT(DATE(YEAR(Invoer!$A$5),1,1)+ROWS(B$2:B291)-1,"jjjjmmdd")</f>
        <v>19371017</v>
      </c>
      <c r="C291" s="18">
        <f t="shared" ca="1" si="13"/>
        <v>759</v>
      </c>
      <c r="D291" s="17">
        <f t="shared" ca="1" si="14"/>
        <v>0</v>
      </c>
    </row>
    <row r="292" spans="1:4" x14ac:dyDescent="0.25">
      <c r="A292" s="4">
        <f t="shared" si="12"/>
        <v>32</v>
      </c>
      <c r="B292" t="str">
        <f ca="1">TEXT(DATE(YEAR(Invoer!$A$5),1,1)+ROWS(B$2:B292)-1,"jjjjmmdd")</f>
        <v>19371018</v>
      </c>
      <c r="C292" s="18">
        <f t="shared" ca="1" si="13"/>
        <v>759.5</v>
      </c>
      <c r="D292" s="17">
        <f t="shared" ca="1" si="14"/>
        <v>0</v>
      </c>
    </row>
    <row r="293" spans="1:4" x14ac:dyDescent="0.25">
      <c r="A293" s="4">
        <f t="shared" si="12"/>
        <v>32</v>
      </c>
      <c r="B293" t="str">
        <f ca="1">TEXT(DATE(YEAR(Invoer!$A$5),1,1)+ROWS(B$2:B293)-1,"jjjjmmdd")</f>
        <v>19371019</v>
      </c>
      <c r="C293" s="18">
        <f t="shared" ca="1" si="13"/>
        <v>760.5</v>
      </c>
      <c r="D293" s="17">
        <f t="shared" ca="1" si="14"/>
        <v>0</v>
      </c>
    </row>
    <row r="294" spans="1:4" x14ac:dyDescent="0.25">
      <c r="A294" s="4">
        <f t="shared" si="12"/>
        <v>32</v>
      </c>
      <c r="B294" t="str">
        <f ca="1">TEXT(DATE(YEAR(Invoer!$A$5),1,1)+ROWS(B$2:B294)-1,"jjjjmmdd")</f>
        <v>19371020</v>
      </c>
      <c r="C294" s="18">
        <f t="shared" ca="1" si="13"/>
        <v>759</v>
      </c>
      <c r="D294" s="17">
        <f t="shared" ca="1" si="14"/>
        <v>0</v>
      </c>
    </row>
    <row r="295" spans="1:4" x14ac:dyDescent="0.25">
      <c r="A295" s="4">
        <f t="shared" si="12"/>
        <v>32</v>
      </c>
      <c r="B295" t="str">
        <f ca="1">TEXT(DATE(YEAR(Invoer!$A$5),1,1)+ROWS(B$2:B295)-1,"jjjjmmdd")</f>
        <v>19371021</v>
      </c>
      <c r="C295" s="18">
        <f t="shared" ca="1" si="13"/>
        <v>759</v>
      </c>
      <c r="D295" s="17">
        <f t="shared" ca="1" si="14"/>
        <v>0</v>
      </c>
    </row>
    <row r="296" spans="1:4" x14ac:dyDescent="0.25">
      <c r="A296" s="4">
        <f t="shared" si="12"/>
        <v>32</v>
      </c>
      <c r="B296" t="str">
        <f ca="1">TEXT(DATE(YEAR(Invoer!$A$5),1,1)+ROWS(B$2:B296)-1,"jjjjmmdd")</f>
        <v>19371022</v>
      </c>
      <c r="C296" s="18">
        <f t="shared" ca="1" si="13"/>
        <v>760.5</v>
      </c>
      <c r="D296" s="17">
        <f t="shared" ca="1" si="14"/>
        <v>0</v>
      </c>
    </row>
    <row r="297" spans="1:4" x14ac:dyDescent="0.25">
      <c r="A297" s="4">
        <f t="shared" si="12"/>
        <v>32</v>
      </c>
      <c r="B297" t="str">
        <f ca="1">TEXT(DATE(YEAR(Invoer!$A$5),1,1)+ROWS(B$2:B297)-1,"jjjjmmdd")</f>
        <v>19371023</v>
      </c>
      <c r="C297" s="18">
        <f t="shared" ca="1" si="13"/>
        <v>760</v>
      </c>
      <c r="D297" s="17">
        <f t="shared" ca="1" si="14"/>
        <v>0</v>
      </c>
    </row>
    <row r="298" spans="1:4" x14ac:dyDescent="0.25">
      <c r="A298" s="4">
        <f t="shared" si="12"/>
        <v>32</v>
      </c>
      <c r="B298" t="str">
        <f ca="1">TEXT(DATE(YEAR(Invoer!$A$5),1,1)+ROWS(B$2:B298)-1,"jjjjmmdd")</f>
        <v>19371024</v>
      </c>
      <c r="C298" s="18">
        <f t="shared" ca="1" si="13"/>
        <v>760</v>
      </c>
      <c r="D298" s="17">
        <f t="shared" ca="1" si="14"/>
        <v>0</v>
      </c>
    </row>
    <row r="299" spans="1:4" x14ac:dyDescent="0.25">
      <c r="A299" s="4">
        <f t="shared" si="12"/>
        <v>32</v>
      </c>
      <c r="B299" t="str">
        <f ca="1">TEXT(DATE(YEAR(Invoer!$A$5),1,1)+ROWS(B$2:B299)-1,"jjjjmmdd")</f>
        <v>19371025</v>
      </c>
      <c r="C299" s="18">
        <f t="shared" ca="1" si="13"/>
        <v>760.5</v>
      </c>
      <c r="D299" s="17">
        <f t="shared" ca="1" si="14"/>
        <v>0</v>
      </c>
    </row>
    <row r="300" spans="1:4" x14ac:dyDescent="0.25">
      <c r="A300" s="4">
        <f t="shared" si="12"/>
        <v>32</v>
      </c>
      <c r="B300" t="str">
        <f ca="1">TEXT(DATE(YEAR(Invoer!$A$5),1,1)+ROWS(B$2:B300)-1,"jjjjmmdd")</f>
        <v>19371026</v>
      </c>
      <c r="C300" s="18">
        <f t="shared" ca="1" si="13"/>
        <v>759</v>
      </c>
      <c r="D300" s="17">
        <f t="shared" ca="1" si="14"/>
        <v>0</v>
      </c>
    </row>
    <row r="301" spans="1:4" x14ac:dyDescent="0.25">
      <c r="A301" s="4">
        <f t="shared" si="12"/>
        <v>32</v>
      </c>
      <c r="B301" t="str">
        <f ca="1">TEXT(DATE(YEAR(Invoer!$A$5),1,1)+ROWS(B$2:B301)-1,"jjjjmmdd")</f>
        <v>19371027</v>
      </c>
      <c r="C301" s="18">
        <f t="shared" ca="1" si="13"/>
        <v>759</v>
      </c>
      <c r="D301" s="17">
        <f t="shared" ca="1" si="14"/>
        <v>0</v>
      </c>
    </row>
    <row r="302" spans="1:4" x14ac:dyDescent="0.25">
      <c r="A302" s="4">
        <f t="shared" si="12"/>
        <v>32</v>
      </c>
      <c r="B302" t="str">
        <f ca="1">TEXT(DATE(YEAR(Invoer!$A$5),1,1)+ROWS(B$2:B302)-1,"jjjjmmdd")</f>
        <v>19371028</v>
      </c>
      <c r="C302" s="18">
        <f t="shared" ca="1" si="13"/>
        <v>759</v>
      </c>
      <c r="D302" s="17">
        <f t="shared" ca="1" si="14"/>
        <v>0</v>
      </c>
    </row>
    <row r="303" spans="1:4" x14ac:dyDescent="0.25">
      <c r="A303" s="4">
        <f t="shared" si="12"/>
        <v>32</v>
      </c>
      <c r="B303" t="str">
        <f ca="1">TEXT(DATE(YEAR(Invoer!$A$5),1,1)+ROWS(B$2:B303)-1,"jjjjmmdd")</f>
        <v>19371029</v>
      </c>
      <c r="C303" s="18">
        <f t="shared" ca="1" si="13"/>
        <v>759.5</v>
      </c>
      <c r="D303" s="17">
        <f t="shared" ca="1" si="14"/>
        <v>0</v>
      </c>
    </row>
    <row r="304" spans="1:4" x14ac:dyDescent="0.25">
      <c r="A304" s="4">
        <f t="shared" si="12"/>
        <v>32</v>
      </c>
      <c r="B304" t="str">
        <f ca="1">TEXT(DATE(YEAR(Invoer!$A$5),1,1)+ROWS(B$2:B304)-1,"jjjjmmdd")</f>
        <v>19371030</v>
      </c>
      <c r="C304" s="18">
        <f t="shared" ca="1" si="13"/>
        <v>759</v>
      </c>
      <c r="D304" s="17">
        <f t="shared" ca="1" si="14"/>
        <v>0</v>
      </c>
    </row>
    <row r="305" spans="1:4" x14ac:dyDescent="0.25">
      <c r="A305" s="4">
        <f t="shared" si="12"/>
        <v>32</v>
      </c>
      <c r="B305" t="str">
        <f ca="1">TEXT(DATE(YEAR(Invoer!$A$5),1,1)+ROWS(B$2:B305)-1,"jjjjmmdd")</f>
        <v>19371031</v>
      </c>
      <c r="C305" s="18">
        <f t="shared" ca="1" si="13"/>
        <v>760</v>
      </c>
      <c r="D305" s="17">
        <f t="shared" ca="1" si="14"/>
        <v>0</v>
      </c>
    </row>
    <row r="306" spans="1:4" x14ac:dyDescent="0.25">
      <c r="A306" s="4">
        <f t="shared" si="12"/>
        <v>32</v>
      </c>
      <c r="B306" t="str">
        <f ca="1">TEXT(DATE(YEAR(Invoer!$A$5),1,1)+ROWS(B$2:B306)-1,"jjjjmmdd")</f>
        <v>19371101</v>
      </c>
      <c r="C306" s="18">
        <f t="shared" ca="1" si="13"/>
        <v>760</v>
      </c>
      <c r="D306" s="17">
        <f t="shared" ca="1" si="14"/>
        <v>0</v>
      </c>
    </row>
    <row r="307" spans="1:4" x14ac:dyDescent="0.25">
      <c r="A307" s="4">
        <f t="shared" si="12"/>
        <v>32</v>
      </c>
      <c r="B307" t="str">
        <f ca="1">TEXT(DATE(YEAR(Invoer!$A$5),1,1)+ROWS(B$2:B307)-1,"jjjjmmdd")</f>
        <v>19371102</v>
      </c>
      <c r="C307" s="18">
        <f t="shared" ca="1" si="13"/>
        <v>760</v>
      </c>
      <c r="D307" s="17">
        <f t="shared" ca="1" si="14"/>
        <v>0</v>
      </c>
    </row>
    <row r="308" spans="1:4" x14ac:dyDescent="0.25">
      <c r="A308" s="4">
        <f t="shared" si="12"/>
        <v>32</v>
      </c>
      <c r="B308" t="str">
        <f ca="1">TEXT(DATE(YEAR(Invoer!$A$5),1,1)+ROWS(B$2:B308)-1,"jjjjmmdd")</f>
        <v>19371103</v>
      </c>
      <c r="C308" s="18">
        <f t="shared" ca="1" si="13"/>
        <v>759.5</v>
      </c>
      <c r="D308" s="17">
        <f t="shared" ca="1" si="14"/>
        <v>0</v>
      </c>
    </row>
    <row r="309" spans="1:4" x14ac:dyDescent="0.25">
      <c r="A309" s="4">
        <f t="shared" si="12"/>
        <v>32</v>
      </c>
      <c r="B309" t="str">
        <f ca="1">TEXT(DATE(YEAR(Invoer!$A$5),1,1)+ROWS(B$2:B309)-1,"jjjjmmdd")</f>
        <v>19371104</v>
      </c>
      <c r="C309" s="18">
        <f t="shared" ca="1" si="13"/>
        <v>759.5</v>
      </c>
      <c r="D309" s="17">
        <f t="shared" ca="1" si="14"/>
        <v>0</v>
      </c>
    </row>
    <row r="310" spans="1:4" x14ac:dyDescent="0.25">
      <c r="A310" s="4">
        <f t="shared" si="12"/>
        <v>32</v>
      </c>
      <c r="B310" t="str">
        <f ca="1">TEXT(DATE(YEAR(Invoer!$A$5),1,1)+ROWS(B$2:B310)-1,"jjjjmmdd")</f>
        <v>19371105</v>
      </c>
      <c r="C310" s="18">
        <f t="shared" ca="1" si="13"/>
        <v>759</v>
      </c>
      <c r="D310" s="17">
        <f t="shared" ca="1" si="14"/>
        <v>0</v>
      </c>
    </row>
    <row r="311" spans="1:4" x14ac:dyDescent="0.25">
      <c r="A311" s="4">
        <f t="shared" si="12"/>
        <v>32</v>
      </c>
      <c r="B311" t="str">
        <f ca="1">TEXT(DATE(YEAR(Invoer!$A$5),1,1)+ROWS(B$2:B311)-1,"jjjjmmdd")</f>
        <v>19371106</v>
      </c>
      <c r="C311" s="18">
        <f t="shared" ca="1" si="13"/>
        <v>760</v>
      </c>
      <c r="D311" s="17">
        <f t="shared" ca="1" si="14"/>
        <v>0</v>
      </c>
    </row>
    <row r="312" spans="1:4" x14ac:dyDescent="0.25">
      <c r="A312" s="4">
        <f t="shared" si="12"/>
        <v>32</v>
      </c>
      <c r="B312" t="str">
        <f ca="1">TEXT(DATE(YEAR(Invoer!$A$5),1,1)+ROWS(B$2:B312)-1,"jjjjmmdd")</f>
        <v>19371107</v>
      </c>
      <c r="C312" s="18">
        <f t="shared" ca="1" si="13"/>
        <v>760</v>
      </c>
      <c r="D312" s="17">
        <f t="shared" ca="1" si="14"/>
        <v>0</v>
      </c>
    </row>
    <row r="313" spans="1:4" x14ac:dyDescent="0.25">
      <c r="A313" s="4">
        <f t="shared" si="12"/>
        <v>32</v>
      </c>
      <c r="B313" t="str">
        <f ca="1">TEXT(DATE(YEAR(Invoer!$A$5),1,1)+ROWS(B$2:B313)-1,"jjjjmmdd")</f>
        <v>19371108</v>
      </c>
      <c r="C313" s="18">
        <f t="shared" ca="1" si="13"/>
        <v>760.5</v>
      </c>
      <c r="D313" s="17">
        <f t="shared" ca="1" si="14"/>
        <v>0</v>
      </c>
    </row>
    <row r="314" spans="1:4" x14ac:dyDescent="0.25">
      <c r="A314" s="4">
        <f t="shared" si="12"/>
        <v>32</v>
      </c>
      <c r="B314" t="str">
        <f ca="1">TEXT(DATE(YEAR(Invoer!$A$5),1,1)+ROWS(B$2:B314)-1,"jjjjmmdd")</f>
        <v>19371109</v>
      </c>
      <c r="C314" s="18">
        <f t="shared" ca="1" si="13"/>
        <v>759.5</v>
      </c>
      <c r="D314" s="17">
        <f t="shared" ca="1" si="14"/>
        <v>0</v>
      </c>
    </row>
    <row r="315" spans="1:4" x14ac:dyDescent="0.25">
      <c r="A315" s="4">
        <f t="shared" si="12"/>
        <v>32</v>
      </c>
      <c r="B315" t="str">
        <f ca="1">TEXT(DATE(YEAR(Invoer!$A$5),1,1)+ROWS(B$2:B315)-1,"jjjjmmdd")</f>
        <v>19371110</v>
      </c>
      <c r="C315" s="18">
        <f t="shared" ca="1" si="13"/>
        <v>759</v>
      </c>
      <c r="D315" s="17">
        <f t="shared" ca="1" si="14"/>
        <v>0</v>
      </c>
    </row>
    <row r="316" spans="1:4" x14ac:dyDescent="0.25">
      <c r="A316" s="4">
        <f t="shared" si="12"/>
        <v>32</v>
      </c>
      <c r="B316" t="str">
        <f ca="1">TEXT(DATE(YEAR(Invoer!$A$5),1,1)+ROWS(B$2:B316)-1,"jjjjmmdd")</f>
        <v>19371111</v>
      </c>
      <c r="C316" s="18">
        <f t="shared" ca="1" si="13"/>
        <v>760</v>
      </c>
      <c r="D316" s="17">
        <f t="shared" ca="1" si="14"/>
        <v>0</v>
      </c>
    </row>
    <row r="317" spans="1:4" x14ac:dyDescent="0.25">
      <c r="A317" s="4">
        <f t="shared" si="12"/>
        <v>32</v>
      </c>
      <c r="B317" t="str">
        <f ca="1">TEXT(DATE(YEAR(Invoer!$A$5),1,1)+ROWS(B$2:B317)-1,"jjjjmmdd")</f>
        <v>19371112</v>
      </c>
      <c r="C317" s="18">
        <f t="shared" ca="1" si="13"/>
        <v>760</v>
      </c>
      <c r="D317" s="17">
        <f t="shared" ca="1" si="14"/>
        <v>0</v>
      </c>
    </row>
    <row r="318" spans="1:4" x14ac:dyDescent="0.25">
      <c r="A318" s="4">
        <f t="shared" si="12"/>
        <v>32</v>
      </c>
      <c r="B318" t="str">
        <f ca="1">TEXT(DATE(YEAR(Invoer!$A$5),1,1)+ROWS(B$2:B318)-1,"jjjjmmdd")</f>
        <v>19371113</v>
      </c>
      <c r="C318" s="18">
        <f t="shared" ca="1" si="13"/>
        <v>758.5</v>
      </c>
      <c r="D318" s="17">
        <f t="shared" ca="1" si="14"/>
        <v>0</v>
      </c>
    </row>
    <row r="319" spans="1:4" x14ac:dyDescent="0.25">
      <c r="A319" s="4">
        <f t="shared" si="12"/>
        <v>32</v>
      </c>
      <c r="B319" t="str">
        <f ca="1">TEXT(DATE(YEAR(Invoer!$A$5),1,1)+ROWS(B$2:B319)-1,"jjjjmmdd")</f>
        <v>19371114</v>
      </c>
      <c r="C319" s="18">
        <f t="shared" ca="1" si="13"/>
        <v>759</v>
      </c>
      <c r="D319" s="17">
        <f t="shared" ca="1" si="14"/>
        <v>0</v>
      </c>
    </row>
    <row r="320" spans="1:4" x14ac:dyDescent="0.25">
      <c r="A320" s="4">
        <f t="shared" si="12"/>
        <v>32</v>
      </c>
      <c r="B320" t="str">
        <f ca="1">TEXT(DATE(YEAR(Invoer!$A$5),1,1)+ROWS(B$2:B320)-1,"jjjjmmdd")</f>
        <v>19371115</v>
      </c>
      <c r="C320" s="18">
        <f t="shared" ca="1" si="13"/>
        <v>757</v>
      </c>
      <c r="D320" s="17">
        <f t="shared" ca="1" si="14"/>
        <v>0</v>
      </c>
    </row>
    <row r="321" spans="1:4" x14ac:dyDescent="0.25">
      <c r="A321" s="4">
        <f t="shared" si="12"/>
        <v>32</v>
      </c>
      <c r="B321" t="str">
        <f ca="1">TEXT(DATE(YEAR(Invoer!$A$5),1,1)+ROWS(B$2:B321)-1,"jjjjmmdd")</f>
        <v>19371116</v>
      </c>
      <c r="C321" s="18">
        <f t="shared" ca="1" si="13"/>
        <v>759</v>
      </c>
      <c r="D321" s="17">
        <f t="shared" ca="1" si="14"/>
        <v>0</v>
      </c>
    </row>
    <row r="322" spans="1:4" x14ac:dyDescent="0.25">
      <c r="A322" s="4">
        <f t="shared" ref="A322:A366" si="15">INDEX(Stations,2,1)</f>
        <v>32</v>
      </c>
      <c r="B322" t="str">
        <f ca="1">TEXT(DATE(YEAR(Invoer!$A$5),1,1)+ROWS(B$2:B322)-1,"jjjjmmdd")</f>
        <v>19371117</v>
      </c>
      <c r="C322" s="18">
        <f t="shared" ref="C322:C366" ca="1" si="16">IF(OR(ISBLANK(VLOOKUP(DATEVALUE(LEFT($B322,4)&amp;"-"&amp;MID($B322,5,2)&amp;"-"&amp;RIGHT($B322,2)),Data,MATCH(LEFT(VLOOKUP(C$1,Parameters,2,FALSE()),4)&amp;"*",OFFSET(Data,0,0,1),0),FALSE())),ISTEXT(VLOOKUP(DATEVALUE(LEFT($B322,4)&amp;"-"&amp;MID($B322,5,2)&amp;"-"&amp;RIGHT($B322,2)),Data,MATCH(LEFT(VLOOKUP(C$1,Parameters,2,FALSE()),4)&amp;"*",OFFSET(Data,0,0,1),0),FALSE()))),"—",VLOOKUP(DATEVALUE(LEFT($B322,4)&amp;"-"&amp;MID($B322,5,2)&amp;"-"&amp;RIGHT($B322,2)),Data,MATCH(LEFT(VLOOKUP(C$1,Parameters,2,FALSE()),4)&amp;"*",OFFSET(Data,0,0,1),0),FALSE())/10)</f>
        <v>759</v>
      </c>
      <c r="D322" s="17">
        <f t="shared" ref="D322:D366" ca="1" si="17">IF(OR(ISBLANK(VLOOKUP(DATEVALUE(LEFT($B322,4)&amp;"-"&amp;MID($B322,5,2)&amp;"-"&amp;RIGHT($B322,2)),Data,MATCH(LEFT(VLOOKUP(MID(D$1,2,LEN(D$1)-1),Parameters,2,FALSE()),4)&amp;"*",OFFSET(Data,0,0,1),0),FALSE())),ISTEXT(VLOOKUP(DATEVALUE(LEFT($B322,4)&amp;"-"&amp;MID($B322,5,2)&amp;"-"&amp;RIGHT($B322,2)),Data,MATCH(LEFT(VLOOKUP(MID(D$1,2,LEN(D$1)-1),Parameters,2,FALSE()),4)&amp;"*",OFFSET(Data,0,0,1),0),FALSE()))),Lacking,IF(ISNA(MATCH(DATEVALUE(LEFT($B322,4)&amp;"-"&amp;MID($B322,5,2)&amp;"-"&amp;RIGHT($B322,2)),OFFSET(Catalogus,0,0,,1),0)),Ok,VLOOKUP(DATEVALUE(LEFT($B322,4)&amp;"-"&amp;MID($B322,5,2)&amp;"-"&amp;RIGHT($B322,2)),Catalogus,MATCH(LEFT(VLOOKUP(MID(D$1,2,LEN(D$1)-1),Parameters,2,FALSE()),4)&amp;"*",OFFSET(Catalogus,0,0,1),0),FALSE())))</f>
        <v>0</v>
      </c>
    </row>
    <row r="323" spans="1:4" x14ac:dyDescent="0.25">
      <c r="A323" s="4">
        <f t="shared" si="15"/>
        <v>32</v>
      </c>
      <c r="B323" t="str">
        <f ca="1">TEXT(DATE(YEAR(Invoer!$A$5),1,1)+ROWS(B$2:B323)-1,"jjjjmmdd")</f>
        <v>19371118</v>
      </c>
      <c r="C323" s="18">
        <f t="shared" ca="1" si="16"/>
        <v>760.5</v>
      </c>
      <c r="D323" s="17">
        <f t="shared" ca="1" si="17"/>
        <v>0</v>
      </c>
    </row>
    <row r="324" spans="1:4" x14ac:dyDescent="0.25">
      <c r="A324" s="4">
        <f t="shared" si="15"/>
        <v>32</v>
      </c>
      <c r="B324" t="str">
        <f ca="1">TEXT(DATE(YEAR(Invoer!$A$5),1,1)+ROWS(B$2:B324)-1,"jjjjmmdd")</f>
        <v>19371119</v>
      </c>
      <c r="C324" s="18">
        <f t="shared" ca="1" si="16"/>
        <v>760</v>
      </c>
      <c r="D324" s="17">
        <f t="shared" ca="1" si="17"/>
        <v>0</v>
      </c>
    </row>
    <row r="325" spans="1:4" x14ac:dyDescent="0.25">
      <c r="A325" s="4">
        <f t="shared" si="15"/>
        <v>32</v>
      </c>
      <c r="B325" t="str">
        <f ca="1">TEXT(DATE(YEAR(Invoer!$A$5),1,1)+ROWS(B$2:B325)-1,"jjjjmmdd")</f>
        <v>19371120</v>
      </c>
      <c r="C325" s="18">
        <f t="shared" ca="1" si="16"/>
        <v>759.5</v>
      </c>
      <c r="D325" s="17">
        <f t="shared" ca="1" si="17"/>
        <v>0</v>
      </c>
    </row>
    <row r="326" spans="1:4" x14ac:dyDescent="0.25">
      <c r="A326" s="4">
        <f t="shared" si="15"/>
        <v>32</v>
      </c>
      <c r="B326" t="str">
        <f ca="1">TEXT(DATE(YEAR(Invoer!$A$5),1,1)+ROWS(B$2:B326)-1,"jjjjmmdd")</f>
        <v>19371121</v>
      </c>
      <c r="C326" s="18">
        <f t="shared" ca="1" si="16"/>
        <v>759</v>
      </c>
      <c r="D326" s="17">
        <f t="shared" ca="1" si="17"/>
        <v>0</v>
      </c>
    </row>
    <row r="327" spans="1:4" x14ac:dyDescent="0.25">
      <c r="A327" s="4">
        <f t="shared" si="15"/>
        <v>32</v>
      </c>
      <c r="B327" t="str">
        <f ca="1">TEXT(DATE(YEAR(Invoer!$A$5),1,1)+ROWS(B$2:B327)-1,"jjjjmmdd")</f>
        <v>19371122</v>
      </c>
      <c r="C327" s="18">
        <f t="shared" ca="1" si="16"/>
        <v>760</v>
      </c>
      <c r="D327" s="17">
        <f t="shared" ca="1" si="17"/>
        <v>0</v>
      </c>
    </row>
    <row r="328" spans="1:4" x14ac:dyDescent="0.25">
      <c r="A328" s="4">
        <f t="shared" si="15"/>
        <v>32</v>
      </c>
      <c r="B328" t="str">
        <f ca="1">TEXT(DATE(YEAR(Invoer!$A$5),1,1)+ROWS(B$2:B328)-1,"jjjjmmdd")</f>
        <v>19371123</v>
      </c>
      <c r="C328" s="18">
        <f t="shared" ca="1" si="16"/>
        <v>759</v>
      </c>
      <c r="D328" s="17">
        <f t="shared" ca="1" si="17"/>
        <v>0</v>
      </c>
    </row>
    <row r="329" spans="1:4" x14ac:dyDescent="0.25">
      <c r="A329" s="4">
        <f t="shared" si="15"/>
        <v>32</v>
      </c>
      <c r="B329" t="str">
        <f ca="1">TEXT(DATE(YEAR(Invoer!$A$5),1,1)+ROWS(B$2:B329)-1,"jjjjmmdd")</f>
        <v>19371124</v>
      </c>
      <c r="C329" s="18">
        <f t="shared" ca="1" si="16"/>
        <v>759</v>
      </c>
      <c r="D329" s="17">
        <f t="shared" ca="1" si="17"/>
        <v>0</v>
      </c>
    </row>
    <row r="330" spans="1:4" x14ac:dyDescent="0.25">
      <c r="A330" s="4">
        <f t="shared" si="15"/>
        <v>32</v>
      </c>
      <c r="B330" t="str">
        <f ca="1">TEXT(DATE(YEAR(Invoer!$A$5),1,1)+ROWS(B$2:B330)-1,"jjjjmmdd")</f>
        <v>19371125</v>
      </c>
      <c r="C330" s="18">
        <f t="shared" ca="1" si="16"/>
        <v>759</v>
      </c>
      <c r="D330" s="17">
        <f t="shared" ca="1" si="17"/>
        <v>0</v>
      </c>
    </row>
    <row r="331" spans="1:4" x14ac:dyDescent="0.25">
      <c r="A331" s="4">
        <f t="shared" si="15"/>
        <v>32</v>
      </c>
      <c r="B331" t="str">
        <f ca="1">TEXT(DATE(YEAR(Invoer!$A$5),1,1)+ROWS(B$2:B331)-1,"jjjjmmdd")</f>
        <v>19371126</v>
      </c>
      <c r="C331" s="18">
        <f t="shared" ca="1" si="16"/>
        <v>757.5</v>
      </c>
      <c r="D331" s="17">
        <f t="shared" ca="1" si="17"/>
        <v>0</v>
      </c>
    </row>
    <row r="332" spans="1:4" x14ac:dyDescent="0.25">
      <c r="A332" s="4">
        <f t="shared" si="15"/>
        <v>32</v>
      </c>
      <c r="B332" t="str">
        <f ca="1">TEXT(DATE(YEAR(Invoer!$A$5),1,1)+ROWS(B$2:B332)-1,"jjjjmmdd")</f>
        <v>19371127</v>
      </c>
      <c r="C332" s="18">
        <f t="shared" ca="1" si="16"/>
        <v>759</v>
      </c>
      <c r="D332" s="17">
        <f t="shared" ca="1" si="17"/>
        <v>0</v>
      </c>
    </row>
    <row r="333" spans="1:4" x14ac:dyDescent="0.25">
      <c r="A333" s="4">
        <f t="shared" si="15"/>
        <v>32</v>
      </c>
      <c r="B333" t="str">
        <f ca="1">TEXT(DATE(YEAR(Invoer!$A$5),1,1)+ROWS(B$2:B333)-1,"jjjjmmdd")</f>
        <v>19371128</v>
      </c>
      <c r="C333" s="18">
        <f t="shared" ca="1" si="16"/>
        <v>759</v>
      </c>
      <c r="D333" s="17">
        <f t="shared" ca="1" si="17"/>
        <v>0</v>
      </c>
    </row>
    <row r="334" spans="1:4" x14ac:dyDescent="0.25">
      <c r="A334" s="4">
        <f t="shared" si="15"/>
        <v>32</v>
      </c>
      <c r="B334" t="str">
        <f ca="1">TEXT(DATE(YEAR(Invoer!$A$5),1,1)+ROWS(B$2:B334)-1,"jjjjmmdd")</f>
        <v>19371129</v>
      </c>
      <c r="C334" s="18">
        <f t="shared" ca="1" si="16"/>
        <v>759</v>
      </c>
      <c r="D334" s="17">
        <f t="shared" ca="1" si="17"/>
        <v>0</v>
      </c>
    </row>
    <row r="335" spans="1:4" x14ac:dyDescent="0.25">
      <c r="A335" s="4">
        <f t="shared" si="15"/>
        <v>32</v>
      </c>
      <c r="B335" t="str">
        <f ca="1">TEXT(DATE(YEAR(Invoer!$A$5),1,1)+ROWS(B$2:B335)-1,"jjjjmmdd")</f>
        <v>19371130</v>
      </c>
      <c r="C335" s="18">
        <f t="shared" ca="1" si="16"/>
        <v>760</v>
      </c>
      <c r="D335" s="17">
        <f t="shared" ca="1" si="17"/>
        <v>0</v>
      </c>
    </row>
    <row r="336" spans="1:4" x14ac:dyDescent="0.25">
      <c r="A336" s="4">
        <f t="shared" si="15"/>
        <v>32</v>
      </c>
      <c r="B336" t="str">
        <f ca="1">TEXT(DATE(YEAR(Invoer!$A$5),1,1)+ROWS(B$2:B336)-1,"jjjjmmdd")</f>
        <v>19371201</v>
      </c>
      <c r="C336" s="18">
        <f t="shared" ca="1" si="16"/>
        <v>759</v>
      </c>
      <c r="D336" s="17">
        <f t="shared" ca="1" si="17"/>
        <v>0</v>
      </c>
    </row>
    <row r="337" spans="1:4" x14ac:dyDescent="0.25">
      <c r="A337" s="4">
        <f t="shared" si="15"/>
        <v>32</v>
      </c>
      <c r="B337" t="str">
        <f ca="1">TEXT(DATE(YEAR(Invoer!$A$5),1,1)+ROWS(B$2:B337)-1,"jjjjmmdd")</f>
        <v>19371202</v>
      </c>
      <c r="C337" s="18">
        <f t="shared" ca="1" si="16"/>
        <v>760</v>
      </c>
      <c r="D337" s="17">
        <f t="shared" ca="1" si="17"/>
        <v>0</v>
      </c>
    </row>
    <row r="338" spans="1:4" x14ac:dyDescent="0.25">
      <c r="A338" s="4">
        <f t="shared" si="15"/>
        <v>32</v>
      </c>
      <c r="B338" t="str">
        <f ca="1">TEXT(DATE(YEAR(Invoer!$A$5),1,1)+ROWS(B$2:B338)-1,"jjjjmmdd")</f>
        <v>19371203</v>
      </c>
      <c r="C338" s="18">
        <f t="shared" ca="1" si="16"/>
        <v>759</v>
      </c>
      <c r="D338" s="17">
        <f t="shared" ca="1" si="17"/>
        <v>0</v>
      </c>
    </row>
    <row r="339" spans="1:4" x14ac:dyDescent="0.25">
      <c r="A339" s="4">
        <f t="shared" si="15"/>
        <v>32</v>
      </c>
      <c r="B339" t="str">
        <f ca="1">TEXT(DATE(YEAR(Invoer!$A$5),1,1)+ROWS(B$2:B339)-1,"jjjjmmdd")</f>
        <v>19371204</v>
      </c>
      <c r="C339" s="18">
        <f t="shared" ca="1" si="16"/>
        <v>757</v>
      </c>
      <c r="D339" s="17">
        <f t="shared" ca="1" si="17"/>
        <v>0</v>
      </c>
    </row>
    <row r="340" spans="1:4" x14ac:dyDescent="0.25">
      <c r="A340" s="4">
        <f t="shared" si="15"/>
        <v>32</v>
      </c>
      <c r="B340" t="str">
        <f ca="1">TEXT(DATE(YEAR(Invoer!$A$5),1,1)+ROWS(B$2:B340)-1,"jjjjmmdd")</f>
        <v>19371205</v>
      </c>
      <c r="C340" s="18">
        <f t="shared" ca="1" si="16"/>
        <v>757</v>
      </c>
      <c r="D340" s="17">
        <f t="shared" ca="1" si="17"/>
        <v>0</v>
      </c>
    </row>
    <row r="341" spans="1:4" x14ac:dyDescent="0.25">
      <c r="A341" s="4">
        <f t="shared" si="15"/>
        <v>32</v>
      </c>
      <c r="B341" t="str">
        <f ca="1">TEXT(DATE(YEAR(Invoer!$A$5),1,1)+ROWS(B$2:B341)-1,"jjjjmmdd")</f>
        <v>19371206</v>
      </c>
      <c r="C341" s="18">
        <f t="shared" ca="1" si="16"/>
        <v>758</v>
      </c>
      <c r="D341" s="17">
        <f t="shared" ca="1" si="17"/>
        <v>0</v>
      </c>
    </row>
    <row r="342" spans="1:4" x14ac:dyDescent="0.25">
      <c r="A342" s="4">
        <f t="shared" si="15"/>
        <v>32</v>
      </c>
      <c r="B342" t="str">
        <f ca="1">TEXT(DATE(YEAR(Invoer!$A$5),1,1)+ROWS(B$2:B342)-1,"jjjjmmdd")</f>
        <v>19371207</v>
      </c>
      <c r="C342" s="18">
        <f t="shared" ca="1" si="16"/>
        <v>759.5</v>
      </c>
      <c r="D342" s="17">
        <f t="shared" ca="1" si="17"/>
        <v>0</v>
      </c>
    </row>
    <row r="343" spans="1:4" x14ac:dyDescent="0.25">
      <c r="A343" s="4">
        <f t="shared" si="15"/>
        <v>32</v>
      </c>
      <c r="B343" t="str">
        <f ca="1">TEXT(DATE(YEAR(Invoer!$A$5),1,1)+ROWS(B$2:B343)-1,"jjjjmmdd")</f>
        <v>19371208</v>
      </c>
      <c r="C343" s="18">
        <f t="shared" ca="1" si="16"/>
        <v>759.5</v>
      </c>
      <c r="D343" s="17">
        <f t="shared" ca="1" si="17"/>
        <v>0</v>
      </c>
    </row>
    <row r="344" spans="1:4" x14ac:dyDescent="0.25">
      <c r="A344" s="4">
        <f t="shared" si="15"/>
        <v>32</v>
      </c>
      <c r="B344" t="str">
        <f ca="1">TEXT(DATE(YEAR(Invoer!$A$5),1,1)+ROWS(B$2:B344)-1,"jjjjmmdd")</f>
        <v>19371209</v>
      </c>
      <c r="C344" s="18">
        <f t="shared" ca="1" si="16"/>
        <v>759.5</v>
      </c>
      <c r="D344" s="17">
        <f t="shared" ca="1" si="17"/>
        <v>0</v>
      </c>
    </row>
    <row r="345" spans="1:4" x14ac:dyDescent="0.25">
      <c r="A345" s="4">
        <f t="shared" si="15"/>
        <v>32</v>
      </c>
      <c r="B345" t="str">
        <f ca="1">TEXT(DATE(YEAR(Invoer!$A$5),1,1)+ROWS(B$2:B345)-1,"jjjjmmdd")</f>
        <v>19371210</v>
      </c>
      <c r="C345" s="18">
        <f t="shared" ca="1" si="16"/>
        <v>758.5</v>
      </c>
      <c r="D345" s="17">
        <f t="shared" ca="1" si="17"/>
        <v>0</v>
      </c>
    </row>
    <row r="346" spans="1:4" x14ac:dyDescent="0.25">
      <c r="A346" s="4">
        <f t="shared" si="15"/>
        <v>32</v>
      </c>
      <c r="B346" t="str">
        <f ca="1">TEXT(DATE(YEAR(Invoer!$A$5),1,1)+ROWS(B$2:B346)-1,"jjjjmmdd")</f>
        <v>19371211</v>
      </c>
      <c r="C346" s="18">
        <f t="shared" ca="1" si="16"/>
        <v>758.5</v>
      </c>
      <c r="D346" s="17">
        <f t="shared" ca="1" si="17"/>
        <v>0</v>
      </c>
    </row>
    <row r="347" spans="1:4" x14ac:dyDescent="0.25">
      <c r="A347" s="4">
        <f t="shared" si="15"/>
        <v>32</v>
      </c>
      <c r="B347" t="str">
        <f ca="1">TEXT(DATE(YEAR(Invoer!$A$5),1,1)+ROWS(B$2:B347)-1,"jjjjmmdd")</f>
        <v>19371212</v>
      </c>
      <c r="C347" s="18">
        <f t="shared" ca="1" si="16"/>
        <v>758.5</v>
      </c>
      <c r="D347" s="17">
        <f t="shared" ca="1" si="17"/>
        <v>0</v>
      </c>
    </row>
    <row r="348" spans="1:4" x14ac:dyDescent="0.25">
      <c r="A348" s="4">
        <f t="shared" si="15"/>
        <v>32</v>
      </c>
      <c r="B348" t="str">
        <f ca="1">TEXT(DATE(YEAR(Invoer!$A$5),1,1)+ROWS(B$2:B348)-1,"jjjjmmdd")</f>
        <v>19371213</v>
      </c>
      <c r="C348" s="18">
        <f t="shared" ca="1" si="16"/>
        <v>760.5</v>
      </c>
      <c r="D348" s="17">
        <f t="shared" ca="1" si="17"/>
        <v>0</v>
      </c>
    </row>
    <row r="349" spans="1:4" x14ac:dyDescent="0.25">
      <c r="A349" s="4">
        <f t="shared" si="15"/>
        <v>32</v>
      </c>
      <c r="B349" t="str">
        <f ca="1">TEXT(DATE(YEAR(Invoer!$A$5),1,1)+ROWS(B$2:B349)-1,"jjjjmmdd")</f>
        <v>19371214</v>
      </c>
      <c r="C349" s="18">
        <f t="shared" ca="1" si="16"/>
        <v>760.5</v>
      </c>
      <c r="D349" s="17">
        <f t="shared" ca="1" si="17"/>
        <v>0</v>
      </c>
    </row>
    <row r="350" spans="1:4" x14ac:dyDescent="0.25">
      <c r="A350" s="4">
        <f t="shared" si="15"/>
        <v>32</v>
      </c>
      <c r="B350" t="str">
        <f ca="1">TEXT(DATE(YEAR(Invoer!$A$5),1,1)+ROWS(B$2:B350)-1,"jjjjmmdd")</f>
        <v>19371215</v>
      </c>
      <c r="C350" s="18">
        <f t="shared" ca="1" si="16"/>
        <v>760.5</v>
      </c>
      <c r="D350" s="17">
        <f t="shared" ca="1" si="17"/>
        <v>0</v>
      </c>
    </row>
    <row r="351" spans="1:4" x14ac:dyDescent="0.25">
      <c r="A351" s="4">
        <f t="shared" si="15"/>
        <v>32</v>
      </c>
      <c r="B351" t="str">
        <f ca="1">TEXT(DATE(YEAR(Invoer!$A$5),1,1)+ROWS(B$2:B351)-1,"jjjjmmdd")</f>
        <v>19371216</v>
      </c>
      <c r="C351" s="18">
        <f t="shared" ca="1" si="16"/>
        <v>760</v>
      </c>
      <c r="D351" s="17">
        <f t="shared" ca="1" si="17"/>
        <v>0</v>
      </c>
    </row>
    <row r="352" spans="1:4" x14ac:dyDescent="0.25">
      <c r="A352" s="4">
        <f t="shared" si="15"/>
        <v>32</v>
      </c>
      <c r="B352" t="str">
        <f ca="1">TEXT(DATE(YEAR(Invoer!$A$5),1,1)+ROWS(B$2:B352)-1,"jjjjmmdd")</f>
        <v>19371217</v>
      </c>
      <c r="C352" s="18">
        <f t="shared" ca="1" si="16"/>
        <v>760</v>
      </c>
      <c r="D352" s="17">
        <f t="shared" ca="1" si="17"/>
        <v>0</v>
      </c>
    </row>
    <row r="353" spans="1:4" x14ac:dyDescent="0.25">
      <c r="A353" s="4">
        <f t="shared" si="15"/>
        <v>32</v>
      </c>
      <c r="B353" t="str">
        <f ca="1">TEXT(DATE(YEAR(Invoer!$A$5),1,1)+ROWS(B$2:B353)-1,"jjjjmmdd")</f>
        <v>19371218</v>
      </c>
      <c r="C353" s="18">
        <f t="shared" ca="1" si="16"/>
        <v>760.5</v>
      </c>
      <c r="D353" s="17">
        <f t="shared" ca="1" si="17"/>
        <v>0</v>
      </c>
    </row>
    <row r="354" spans="1:4" x14ac:dyDescent="0.25">
      <c r="A354" s="4">
        <f t="shared" si="15"/>
        <v>32</v>
      </c>
      <c r="B354" t="str">
        <f ca="1">TEXT(DATE(YEAR(Invoer!$A$5),1,1)+ROWS(B$2:B354)-1,"jjjjmmdd")</f>
        <v>19371219</v>
      </c>
      <c r="C354" s="18">
        <f t="shared" ca="1" si="16"/>
        <v>760.5</v>
      </c>
      <c r="D354" s="17">
        <f t="shared" ca="1" si="17"/>
        <v>0</v>
      </c>
    </row>
    <row r="355" spans="1:4" x14ac:dyDescent="0.25">
      <c r="A355" s="4">
        <f t="shared" si="15"/>
        <v>32</v>
      </c>
      <c r="B355" t="str">
        <f ca="1">TEXT(DATE(YEAR(Invoer!$A$5),1,1)+ROWS(B$2:B355)-1,"jjjjmmdd")</f>
        <v>19371220</v>
      </c>
      <c r="C355" s="18">
        <f t="shared" ca="1" si="16"/>
        <v>762</v>
      </c>
      <c r="D355" s="17">
        <f t="shared" ca="1" si="17"/>
        <v>0</v>
      </c>
    </row>
    <row r="356" spans="1:4" x14ac:dyDescent="0.25">
      <c r="A356" s="4">
        <f t="shared" si="15"/>
        <v>32</v>
      </c>
      <c r="B356" t="str">
        <f ca="1">TEXT(DATE(YEAR(Invoer!$A$5),1,1)+ROWS(B$2:B356)-1,"jjjjmmdd")</f>
        <v>19371221</v>
      </c>
      <c r="C356" s="18">
        <f t="shared" ca="1" si="16"/>
        <v>761.5</v>
      </c>
      <c r="D356" s="17">
        <f t="shared" ca="1" si="17"/>
        <v>0</v>
      </c>
    </row>
    <row r="357" spans="1:4" x14ac:dyDescent="0.25">
      <c r="A357" s="4">
        <f t="shared" si="15"/>
        <v>32</v>
      </c>
      <c r="B357" t="str">
        <f ca="1">TEXT(DATE(YEAR(Invoer!$A$5),1,1)+ROWS(B$2:B357)-1,"jjjjmmdd")</f>
        <v>19371222</v>
      </c>
      <c r="C357" s="18">
        <f t="shared" ca="1" si="16"/>
        <v>761.5</v>
      </c>
      <c r="D357" s="17">
        <f t="shared" ca="1" si="17"/>
        <v>0</v>
      </c>
    </row>
    <row r="358" spans="1:4" x14ac:dyDescent="0.25">
      <c r="A358" s="4">
        <f t="shared" si="15"/>
        <v>32</v>
      </c>
      <c r="B358" t="str">
        <f ca="1">TEXT(DATE(YEAR(Invoer!$A$5),1,1)+ROWS(B$2:B358)-1,"jjjjmmdd")</f>
        <v>19371223</v>
      </c>
      <c r="C358" s="18">
        <f t="shared" ca="1" si="16"/>
        <v>761</v>
      </c>
      <c r="D358" s="17">
        <f t="shared" ca="1" si="17"/>
        <v>0</v>
      </c>
    </row>
    <row r="359" spans="1:4" x14ac:dyDescent="0.25">
      <c r="A359" s="4">
        <f t="shared" si="15"/>
        <v>32</v>
      </c>
      <c r="B359" t="str">
        <f ca="1">TEXT(DATE(YEAR(Invoer!$A$5),1,1)+ROWS(B$2:B359)-1,"jjjjmmdd")</f>
        <v>19371224</v>
      </c>
      <c r="C359" s="18">
        <f t="shared" ca="1" si="16"/>
        <v>760.5</v>
      </c>
      <c r="D359" s="17">
        <f t="shared" ca="1" si="17"/>
        <v>0</v>
      </c>
    </row>
    <row r="360" spans="1:4" x14ac:dyDescent="0.25">
      <c r="A360" s="4">
        <f t="shared" si="15"/>
        <v>32</v>
      </c>
      <c r="B360" t="str">
        <f ca="1">TEXT(DATE(YEAR(Invoer!$A$5),1,1)+ROWS(B$2:B360)-1,"jjjjmmdd")</f>
        <v>19371225</v>
      </c>
      <c r="C360" s="18">
        <f t="shared" ca="1" si="16"/>
        <v>760.5</v>
      </c>
      <c r="D360" s="17">
        <f t="shared" ca="1" si="17"/>
        <v>0</v>
      </c>
    </row>
    <row r="361" spans="1:4" x14ac:dyDescent="0.25">
      <c r="A361" s="4">
        <f t="shared" si="15"/>
        <v>32</v>
      </c>
      <c r="B361" t="str">
        <f ca="1">TEXT(DATE(YEAR(Invoer!$A$5),1,1)+ROWS(B$2:B361)-1,"jjjjmmdd")</f>
        <v>19371226</v>
      </c>
      <c r="C361" s="18">
        <f t="shared" ca="1" si="16"/>
        <v>760.5</v>
      </c>
      <c r="D361" s="17">
        <f t="shared" ca="1" si="17"/>
        <v>0</v>
      </c>
    </row>
    <row r="362" spans="1:4" x14ac:dyDescent="0.25">
      <c r="A362" s="4">
        <f t="shared" si="15"/>
        <v>32</v>
      </c>
      <c r="B362" t="str">
        <f ca="1">TEXT(DATE(YEAR(Invoer!$A$5),1,1)+ROWS(B$2:B362)-1,"jjjjmmdd")</f>
        <v>19371227</v>
      </c>
      <c r="C362" s="18">
        <f t="shared" ca="1" si="16"/>
        <v>760.5</v>
      </c>
      <c r="D362" s="17">
        <f t="shared" ca="1" si="17"/>
        <v>0</v>
      </c>
    </row>
    <row r="363" spans="1:4" x14ac:dyDescent="0.25">
      <c r="A363" s="4">
        <f t="shared" si="15"/>
        <v>32</v>
      </c>
      <c r="B363" t="str">
        <f ca="1">TEXT(DATE(YEAR(Invoer!$A$5),1,1)+ROWS(B$2:B363)-1,"jjjjmmdd")</f>
        <v>19371228</v>
      </c>
      <c r="C363" s="18">
        <f t="shared" ca="1" si="16"/>
        <v>760</v>
      </c>
      <c r="D363" s="17">
        <f t="shared" ca="1" si="17"/>
        <v>0</v>
      </c>
    </row>
    <row r="364" spans="1:4" x14ac:dyDescent="0.25">
      <c r="A364" s="4">
        <f t="shared" si="15"/>
        <v>32</v>
      </c>
      <c r="B364" t="str">
        <f ca="1">TEXT(DATE(YEAR(Invoer!$A$5),1,1)+ROWS(B$2:B364)-1,"jjjjmmdd")</f>
        <v>19371229</v>
      </c>
      <c r="C364" s="18">
        <f t="shared" ca="1" si="16"/>
        <v>760.5</v>
      </c>
      <c r="D364" s="17">
        <f t="shared" ca="1" si="17"/>
        <v>0</v>
      </c>
    </row>
    <row r="365" spans="1:4" x14ac:dyDescent="0.25">
      <c r="A365" s="4">
        <f t="shared" si="15"/>
        <v>32</v>
      </c>
      <c r="B365" t="str">
        <f ca="1">TEXT(DATE(YEAR(Invoer!$A$5),1,1)+ROWS(B$2:B365)-1,"jjjjmmdd")</f>
        <v>19371230</v>
      </c>
      <c r="C365" s="18">
        <f t="shared" ca="1" si="16"/>
        <v>760</v>
      </c>
      <c r="D365" s="17">
        <f t="shared" ca="1" si="17"/>
        <v>0</v>
      </c>
    </row>
    <row r="366" spans="1:4" x14ac:dyDescent="0.25">
      <c r="A366" s="4">
        <f t="shared" si="15"/>
        <v>32</v>
      </c>
      <c r="B366" t="str">
        <f ca="1">TEXT(DATE(YEAR(Invoer!$A$5),1,1)+ROWS(B$2:B366)-1,"jjjjmmdd")</f>
        <v>19371231</v>
      </c>
      <c r="C366" s="18">
        <f t="shared" ca="1" si="16"/>
        <v>760</v>
      </c>
      <c r="D366" s="17">
        <f t="shared" ca="1" si="17"/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032, 19370101, 1,    0, 00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032, 19370102, 1,    0, 00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032, 19370103, 1,    0, 00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032, 19370104, 1,   36, 00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032, 19370105, 1, 4130, 00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032, 19370106, 1,    0, 00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032, 19370107, 1,    0, 00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032, 19370108, 1,   32, 00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032, 19370109, 1,   34, 00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032, 19370110, 1,    0, 00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032, 19370111, 1,   30, 00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032, 19370112, 1,    8, 00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032, 19370113, 1,   29, 00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032, 19370114, 1,    4, 00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032, 19370115, 1,   82, 00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032, 19370116, 1,    6, 00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032, 19370117, 1,    0, 00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032, 19370118, 1,    6, 00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032, 19370119, 1,   63, 00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032, 19370120, 1,   28, 00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032, 19370121, 1,   42, 00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032, 19370122, 1,   62, 00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032, 19370123, 1,    8, 00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032, 19370124, 1,    0, 00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032, 19370125, 1,    0, 00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032, 19370126, 1,    0, 00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032, 19370127, 1,    0, 00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032, 19370128, 1,    0, 00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032, 19370129, 1,   16, 00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032, 19370130, 1,   24, 00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032, 19370131, 1,    0, 00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032, 19370201, 1,    0, 00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032, 19370202, 1,   12, 00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032, 19370203, 1,    0, 00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032, 19370204, 1,    0, 00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032, 19370205, 1,   58, 00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032, 19370206, 1,    0, 00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032, 19370207, 1,    0, 00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032, 19370208, 1,    0, 00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032, 19370209, 1,    0, 00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032, 19370210, 1,    0, 00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032, 19370211, 1,    0, 00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032, 19370212, 1,    0, 00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032, 19370213, 1,    8, 00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032, 19370214, 1,    0, 00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032, 19370215, 1,    0, 00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032, 19370216, 1,    0, 00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032, 19370217, 1,    0, 00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032, 19370218, 1,    0, 00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032, 19370219, 1,    0, 00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032, 19370220, 1,    0, 00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032, 19370221, 1,    0, 00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032, 19370222, 1,    0, 00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032, 19370223, 1,   12, 00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032, 19370224, 1,    0, 00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032, 19370225, 1,    0, 00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032, 19370226, 1,    0, 00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032, 19370227, 1,    0, 00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032, 19370228, 1,    0, 00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032, 19370301, 1,    0, 00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032, 19370302, 1,    0, 00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032, 19370303, 1,    0, 00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032, 19370304, 1,   32, 00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032, 19370305, 1,    0, 00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032, 19370306, 1,    0, 00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032, 19370307, 1,    0, 00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032, 19370308, 1,    0, 00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032, 19370309, 1,    0, 00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032, 19370310, 1,    0, 00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032, 19370311, 1,    0, 00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032, 19370312, 1,    0, 00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032, 19370313, 1,    0, 00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032, 19370314, 1,    0, 00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032, 19370315, 1,    0, 00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032, 19370316, 1,    0, 00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032, 19370317, 1,    0, 00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032, 19370318, 1,    0, 00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032, 19370319, 1,    0, 00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032, 19370320, 1,    0, 00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032, 19370321, 1,    0, 00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032, 19370322, 1,    0, 00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032, 19370323, 1,    0, 00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032, 19370324, 1,    0, 00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032, 19370325, 1,    0, 00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032, 19370326, 1,    0, 00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032, 19370327, 1,    0, 00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032, 19370328, 1,    0, 00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032, 19370329, 1,    0, 00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032, 19370330, 1,    0, 00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032, 19370331, 1,    0, 00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032, 19370401, 1,    0, 00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032, 19370402, 1,    0, 00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032, 19370403, 1,    0, 00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032, 19370404, 1,    0, 00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032, 19370405, 1,    0, 00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032, 19370406, 1,    0, 00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032, 19370407, 1,    0, 00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032, 19370408, 1,    0, 00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032, 19370409, 1,    0, 00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032, 19370410, 1,    0, 00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032, 19370411, 1,    0, 00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032, 19370412, 1,    0, 00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032, 19370413, 1,    0, 00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032, 19370414, 1,    0, 00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032, 19370415, 1,    0, 00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032, 19370416, 1,    0, 00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032, 19370417, 1,    0, 00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032, 19370418, 1,    0, 00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032, 19370419, 1,    0, 00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032, 19370420, 1,    0, 00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032, 19370421, 1,    0, 00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032, 19370422, 1,    0, 00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032, 19370423, 1,    0, 00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032, 19370424, 1,    0, 00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032, 19370425, 1,    0, 00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032, 19370426, 1,    0, 00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032, 19370427, 1,    0, 00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032, 19370428, 1,    0, 00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032, 19370429, 1,    0, 00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032, 19370430, 1,    0, 00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032, 19370501, 1,    0, 00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032, 19370502, 1,    3, 00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032, 19370503, 1,    0, 00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032, 19370504, 1,    0, 00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032, 19370505, 1,    0, 00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032, 19370506, 1,    0, 00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032, 19370507, 1,    0, 00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032, 19370508, 1,    0, 00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032, 19370509, 1,    0, 00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032, 19370510, 1,    0, 00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032, 19370511, 1,    0, 00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032, 19370512, 1,    0, 00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032, 19370513, 1,    0, 00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032, 19370514, 1,    0, 00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032, 19370515, 1,    0, 00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032, 19370516, 1,    0, 00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032, 19370517, 1,    0, 00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032, 19370518, 1,    0, 00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032, 19370519, 1,    0, 00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032, 19370520, 1,    0, 00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032, 19370521, 1,    0, 00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032, 19370522, 1,    0, 00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032, 19370523, 1,    0, 00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032, 19370524, 1,    0, 00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032, 19370525, 1,    0, 00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032, 19370526, 1,    0, 00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032, 19370527, 1,   20, 00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032, 19370528, 1,    0, 00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032, 19370529, 1,    0, 00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032, 19370530, 1,    0, 00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032, 19370531, 1,    0, 00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032, 19370601, 1,    0, 00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032, 19370602, 1,    0, 00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032, 19370603, 1,    0, 00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032, 19370604, 1,    0, 00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032, 19370605, 1,    0, 00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032, 19370606, 1,    0, 00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032, 19370607, 1,    2, 00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032, 19370608, 1,    0, 00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032, 19370609, 1,    0, 00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032, 19370610, 1,    0, 00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032, 19370611, 1,    0, 00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032, 19370612, 1,    0, 00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032, 19370613, 1,    2, 00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032, 19370614, 1,    0, 00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032, 19370615, 1,   22, 00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032, 19370616, 1,    0, 00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032, 19370617, 1,    0, 00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032, 19370618, 1,    0, 00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032, 19370619, 1,   19, 00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032, 19370620, 1,    0, 00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032, 19370621, 1,   43, 00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032, 19370622, 1,    0, 00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032, 19370623, 1,    0, 00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032, 19370624, 1,    0, 00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032, 19370625, 1,    0, 00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032, 19370626, 1,    0, 00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032, 19370627, 1,    0, 00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032, 19370628, 1,    0, 00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032, 19370629, 1,    0, 00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032, 19370630, 1,    0, 00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032, 19370701, 1,    0, 00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032, 19370702, 1,    7, 00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032, 19370703, 1,    0, 00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032, 19370704, 1,    0, 00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032, 19370705, 1,    0, 00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032, 19370706, 1,    0, 00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032, 19370707, 1,    0, 00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032, 19370708, 1,   18, 00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032, 19370709, 1,   51, 00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032, 19370710, 1,   16, 00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032, 19370711, 1,    0, 00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032, 19370712, 1,    0, 00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032, 19370713, 1,    0, 00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032, 19370714, 1,    0, 00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032, 19370715, 1,    0, 00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032, 19370716, 1,    0, 00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032, 19370717, 1,   34, 00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032, 19370718, 1,    0, 00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032, 19370719, 1,    0, 00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032, 19370720, 1,    0, 00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032, 19370721, 1,    0, 00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032, 19370722, 1,    0, 00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032, 19370723, 1,    0, 00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032, 19370724, 1,    0, 00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032, 19370725, 1,    0, 00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032, 19370726, 1,    0, 00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032, 19370727, 1,    0, 00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032, 19370728, 1,    0, 00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032, 19370729, 1,    0, 00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032, 19370730, 1,    0, 00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032, 19370731, 1,    0, 00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032, 19370801, 1,    0, 00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032, 19370802, 1,    0, 00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032, 19370803, 1,    0, 00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032, 19370804, 1,    0, 00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032, 19370805, 1,    0, 00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032, 19370806, 1,    0, 00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032, 19370807, 1,    0, 00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032, 19370808, 1,    0, 00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032, 19370809, 1,    0, 00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032, 19370810, 1,    0, 00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032, 19370811, 1,    0, 00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032, 19370812, 1,    0, 00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032, 19370813, 1,   18, 00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032, 19370814, 1,    0, 00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032, 19370815, 1,    0, 00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032, 19370816, 1,    0, 00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032, 19370817, 1,    0, 00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032, 19370818, 1,    0, 00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032, 19370819, 1,    0, 00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032, 19370820, 1,    0, 00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032, 19370821, 1,    7, 00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032, 19370822, 1,    0, 00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032, 19370823, 1,    0, 00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032, 19370824, 1,  109, 00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032, 19370825, 1,    0, 00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032, 19370826, 1,    0, 00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032, 19370827, 1,    0, 00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032, 19370828, 1,    0, 00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032, 19370829, 1,    0, 00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032, 19370830, 1,    0, 00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032, 19370831, 1,    0, 00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032, 19370901, 1,    0, 00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032, 19370902, 1,    0, 00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032, 19370903, 1,    0, 00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032, 19370904, 1,    0, 00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032, 19370905, 1,    0, 00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032, 19370906, 1,    0, 00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032, 19370907, 1,    0, 00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032, 19370908, 1,   18, 00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032, 19370909, 1,   16, 00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032, 19370910, 1,   46, 00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032, 19370911, 1,   77, 00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032, 19370912, 1,    0, 00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032, 19370913, 1,    0, 00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032, 19370914, 1,    0, 00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032, 19370915, 1,    0, 00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032, 19370916, 1,    0, 00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032, 19370917, 1,    0, 00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032, 19370918, 1,    0, 00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032, 19370919, 1,    0, 00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032, 19370920, 1,    8, 00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032, 19370921, 1,  221, 00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032, 19370922, 1,    0, 00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032, 19370923, 1,    0, 00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032, 19370924, 1,   59, 00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032, 19370925, 1,    0, 00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032, 19370926, 1,    0, 00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032, 19370927, 1,    0, 00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032, 19370928, 1,    8, 00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032, 19370929, 1,    0, 00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032, 19370930, 1,    5, 00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032, 19371001, 1,    0, 00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032, 19371002, 1,    0, 00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032, 19371003, 1,    0, 00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032, 19371004, 1,    0, 00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032, 19371005, 1,    0, 00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032, 19371006, 1,    0, 00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032, 19371007, 1,    0, 00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032, 19371008, 1,    0, 00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032, 19371009, 1,    0, 00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032, 19371010, 1,    0, 00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032, 19371011, 1,    0, 00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032, 19371012, 1,    0, 00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032, 19371013, 1,    0, 00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032, 19371014, 1,    0, 00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032, 19371015, 1,    0, 00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032, 19371016, 1,    0, 00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032, 19371017, 1,    0, 00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032, 19371018, 1,   16, 00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032, 19371019, 1,    0, 00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032, 19371020, 1,    0, 00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032, 19371021, 1,    0, 00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032, 19371022, 1,    0, 00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032, 19371023, 1,    0, 00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032, 19371024, 1,    0, 00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032, 19371025, 1,   20, 00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032, 19371026, 1,   32, 00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032, 19371027, 1,  320, 00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032, 19371028, 1,    0, 00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032, 19371029, 1,  488, 00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032, 19371030, 1,   20, 00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032, 19371031, 1,    0, 00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032, 19371101, 1,    0, 00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032, 19371102, 1,   86, 00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032, 19371103, 1,   99, 00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032, 19371104, 1,  155, 00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032, 19371105, 1,   44, 00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032, 19371106, 1,    0, 00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032, 19371107, 1,    0, 00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032, 19371108, 1,   85, 00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032, 19371109, 1,    0, 00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032, 19371110, 1,    0, 00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032, 19371111, 1,   25, 00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032, 19371112, 1,    0, 00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032, 19371113, 1,    0, 00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032, 19371114, 1,    0, 00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032, 19371115, 1,  156, 00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032, 19371116, 1,    0, 00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032, 19371117, 1,    0, 00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032, 19371118, 1,  127, 00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032, 19371119, 1,    4, 00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032, 19371120, 1,    5, 00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032, 19371121, 1,    0, 00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032, 19371122, 1,    3, 00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032, 19371123, 1,   76, 00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032, 19371124, 1,    0, 00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032, 19371125, 1,    0, 00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032, 19371126, 1,    0, 00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032, 19371127, 1,   24, 00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032, 19371128, 1,    0, 00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032, 19371129, 1,    0, 00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032, 19371130, 1,    0, 00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032, 19371201, 1,    0, 00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032, 19371202, 1,   12, 00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032, 19371203, 1,    0, 00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032, 19371204, 1,   70, 00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032, 19371205, 1,    0, 00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032, 19371206, 1,  336, 00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032, 19371207, 1,    0, 00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032, 19371208, 1,    0, 00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032, 19371209, 1,   57, 00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032, 19371210, 1,  217, 00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032, 19371211, 1,   52, 00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032, 19371212, 1,    0, 00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032, 19371213, 1,   60, 00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032, 19371214, 1,   71, 00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032, 19371215, 1,   36, 00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032, 19371216, 1,   42, 00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032, 19371217, 1,  162, 00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032, 19371218, 1,    0, 00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032, 19371219, 1,    0, 00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032, 19371220, 1,    4, 00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032, 19371221, 1,  159, 00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032, 19371222, 1,    4, 00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032, 19371223, 1,    0, 00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032, 19371224, 1,  103, 00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032, 19371225, 1,  100, 00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032, 19371226, 1,  400, 00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032, 19371227, 1,  310, 00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032, 19371228, 1,  164, 00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032, 19371229, 1,    0, 00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032, 19371230, 1,  408, 00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032, 19371231, 1,    0, 00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1" width="30.7109375" customWidth="1"/>
  </cols>
  <sheetData>
    <row r="1" spans="1:1" x14ac:dyDescent="0.25">
      <c r="A1" s="12" t="str">
        <f>""""&amp;Overig!A1&amp;""", """&amp;Overig!B1&amp;""", """&amp;Overig!C1&amp;""", """&amp;Overig!D1&amp;""""</f>
        <v>"Stn", "Datum", "P", "qP"</v>
      </c>
    </row>
    <row r="2" spans="1:1" x14ac:dyDescent="0.25">
      <c r="A2" s="12" t="str">
        <f ca="1">TEXT(Overig!A2,"000\,")&amp;TEXT(Overig!B2,"?00000000")&amp;SUBSTITUTE(TEXT(IF(ISTEXT(Overig!C2),Overig!C2,10*Overig!C2),""",""????0;"",""???-0;"",""????0;"", ////"""),"'","""")&amp;SUBSTITUTE(TEXT(Overig!D2,""",""?00;"",""?-00;"",""?00;"", //"""),"'","""")</f>
        <v>032, 19370101, 7600, 00</v>
      </c>
    </row>
    <row r="3" spans="1:1" x14ac:dyDescent="0.25">
      <c r="A3" s="12" t="str">
        <f ca="1">TEXT(Overig!A3,"000\,")&amp;TEXT(Overig!B3,"?00000000")&amp;SUBSTITUTE(TEXT(IF(ISTEXT(Overig!C3),Overig!C3,10*Overig!C3),""",""????0;"",""???-0;"",""????0;"", ////"""),"'","""")&amp;SUBSTITUTE(TEXT(Overig!D3,""",""?00;"",""?-00;"",""?00;"", //"""),"'","""")</f>
        <v>032, 19370102, 7605, 00</v>
      </c>
    </row>
    <row r="4" spans="1:1" x14ac:dyDescent="0.25">
      <c r="A4" s="12" t="str">
        <f ca="1">TEXT(Overig!A4,"000\,")&amp;TEXT(Overig!B4,"?00000000")&amp;SUBSTITUTE(TEXT(IF(ISTEXT(Overig!C4),Overig!C4,10*Overig!C4),""",""????0;"",""???-0;"",""????0;"", ////"""),"'","""")&amp;SUBSTITUTE(TEXT(Overig!D4,""",""?00;"",""?-00;"",""?00;"", //"""),"'","""")</f>
        <v>032, 19370103, 7600, 00</v>
      </c>
    </row>
    <row r="5" spans="1:1" x14ac:dyDescent="0.25">
      <c r="A5" s="12" t="str">
        <f ca="1">TEXT(Overig!A5,"000\,")&amp;TEXT(Overig!B5,"?00000000")&amp;SUBSTITUTE(TEXT(IF(ISTEXT(Overig!C5),Overig!C5,10*Overig!C5),""",""????0;"",""???-0;"",""????0;"", ////"""),"'","""")&amp;SUBSTITUTE(TEXT(Overig!D5,""",""?00;"",""?-00;"",""?00;"", //"""),"'","""")</f>
        <v>032, 19370104, 7610, 00</v>
      </c>
    </row>
    <row r="6" spans="1:1" x14ac:dyDescent="0.25">
      <c r="A6" s="12" t="str">
        <f ca="1">TEXT(Overig!A6,"000\,")&amp;TEXT(Overig!B6,"?00000000")&amp;SUBSTITUTE(TEXT(IF(ISTEXT(Overig!C6),Overig!C6,10*Overig!C6),""",""????0;"",""???-0;"",""????0;"", ////"""),"'","""")&amp;SUBSTITUTE(TEXT(Overig!D6,""",""?00;"",""?-00;"",""?00;"", //"""),"'","""")</f>
        <v>032, 19370105, 7605, 00</v>
      </c>
    </row>
    <row r="7" spans="1:1" x14ac:dyDescent="0.25">
      <c r="A7" s="12" t="str">
        <f ca="1">TEXT(Overig!A7,"000\,")&amp;TEXT(Overig!B7,"?00000000")&amp;SUBSTITUTE(TEXT(IF(ISTEXT(Overig!C7),Overig!C7,10*Overig!C7),""",""????0;"",""???-0;"",""????0;"", ////"""),"'","""")&amp;SUBSTITUTE(TEXT(Overig!D7,""",""?00;"",""?-00;"",""?00;"", //"""),"'","""")</f>
        <v>032, 19370106, 7610, 00</v>
      </c>
    </row>
    <row r="8" spans="1:1" x14ac:dyDescent="0.25">
      <c r="A8" s="12" t="str">
        <f ca="1">TEXT(Overig!A8,"000\,")&amp;TEXT(Overig!B8,"?00000000")&amp;SUBSTITUTE(TEXT(IF(ISTEXT(Overig!C8),Overig!C8,10*Overig!C8),""",""????0;"",""???-0;"",""????0;"", ////"""),"'","""")&amp;SUBSTITUTE(TEXT(Overig!D8,""",""?00;"",""?-00;"",""?00;"", //"""),"'","""")</f>
        <v>032, 19370107, 7595, 00</v>
      </c>
    </row>
    <row r="9" spans="1:1" x14ac:dyDescent="0.25">
      <c r="A9" s="12" t="str">
        <f ca="1">TEXT(Overig!A9,"000\,")&amp;TEXT(Overig!B9,"?00000000")&amp;SUBSTITUTE(TEXT(IF(ISTEXT(Overig!C9),Overig!C9,10*Overig!C9),""",""????0;"",""???-0;"",""????0;"", ////"""),"'","""")&amp;SUBSTITUTE(TEXT(Overig!D9,""",""?00;"",""?-00;"",""?00;"", //"""),"'","""")</f>
        <v>032, 19370108, 7590, 00</v>
      </c>
    </row>
    <row r="10" spans="1:1" x14ac:dyDescent="0.25">
      <c r="A10" s="12" t="str">
        <f ca="1">TEXT(Overig!A10,"000\,")&amp;TEXT(Overig!B10,"?00000000")&amp;SUBSTITUTE(TEXT(IF(ISTEXT(Overig!C10),Overig!C10,10*Overig!C10),""",""????0;"",""???-0;"",""????0;"", ////"""),"'","""")&amp;SUBSTITUTE(TEXT(Overig!D10,""",""?00;"",""?-00;"",""?00;"", //"""),"'","""")</f>
        <v>032, 19370109, 7600, 00</v>
      </c>
    </row>
    <row r="11" spans="1:1" x14ac:dyDescent="0.25">
      <c r="A11" s="12" t="str">
        <f ca="1">TEXT(Overig!A11,"000\,")&amp;TEXT(Overig!B11,"?00000000")&amp;SUBSTITUTE(TEXT(IF(ISTEXT(Overig!C11),Overig!C11,10*Overig!C11),""",""????0;"",""???-0;"",""????0;"", ////"""),"'","""")&amp;SUBSTITUTE(TEXT(Overig!D11,""",""?00;"",""?-00;"",""?00;"", //"""),"'","""")</f>
        <v>032, 19370110, 7600, 00</v>
      </c>
    </row>
    <row r="12" spans="1:1" x14ac:dyDescent="0.25">
      <c r="A12" s="12" t="str">
        <f ca="1">TEXT(Overig!A12,"000\,")&amp;TEXT(Overig!B12,"?00000000")&amp;SUBSTITUTE(TEXT(IF(ISTEXT(Overig!C12),Overig!C12,10*Overig!C12),""",""????0;"",""???-0;"",""????0;"", ////"""),"'","""")&amp;SUBSTITUTE(TEXT(Overig!D12,""",""?00;"",""?-00;"",""?00;"", //"""),"'","""")</f>
        <v>032, 19370111, 7605, 00</v>
      </c>
    </row>
    <row r="13" spans="1:1" x14ac:dyDescent="0.25">
      <c r="A13" s="12" t="str">
        <f ca="1">TEXT(Overig!A13,"000\,")&amp;TEXT(Overig!B13,"?00000000")&amp;SUBSTITUTE(TEXT(IF(ISTEXT(Overig!C13),Overig!C13,10*Overig!C13),""",""????0;"",""???-0;"",""????0;"", ////"""),"'","""")&amp;SUBSTITUTE(TEXT(Overig!D13,""",""?00;"",""?-00;"",""?00;"", //"""),"'","""")</f>
        <v>032, 19370112, 7605, 00</v>
      </c>
    </row>
    <row r="14" spans="1:1" x14ac:dyDescent="0.25">
      <c r="A14" s="12" t="str">
        <f ca="1">TEXT(Overig!A14,"000\,")&amp;TEXT(Overig!B14,"?00000000")&amp;SUBSTITUTE(TEXT(IF(ISTEXT(Overig!C14),Overig!C14,10*Overig!C14),""",""????0;"",""???-0;"",""????0;"", ////"""),"'","""")&amp;SUBSTITUTE(TEXT(Overig!D14,""",""?00;"",""?-00;"",""?00;"", //"""),"'","""")</f>
        <v>032, 19370113, 7610, 00</v>
      </c>
    </row>
    <row r="15" spans="1:1" x14ac:dyDescent="0.25">
      <c r="A15" s="12" t="str">
        <f ca="1">TEXT(Overig!A15,"000\,")&amp;TEXT(Overig!B15,"?00000000")&amp;SUBSTITUTE(TEXT(IF(ISTEXT(Overig!C15),Overig!C15,10*Overig!C15),""",""????0;"",""???-0;"",""????0;"", ////"""),"'","""")&amp;SUBSTITUTE(TEXT(Overig!D15,""",""?00;"",""?-00;"",""?00;"", //"""),"'","""")</f>
        <v>032, 19370114, 7630, 00</v>
      </c>
    </row>
    <row r="16" spans="1:1" x14ac:dyDescent="0.25">
      <c r="A16" s="12" t="str">
        <f ca="1">TEXT(Overig!A16,"000\,")&amp;TEXT(Overig!B16,"?00000000")&amp;SUBSTITUTE(TEXT(IF(ISTEXT(Overig!C16),Overig!C16,10*Overig!C16),""",""????0;"",""???-0;"",""????0;"", ////"""),"'","""")&amp;SUBSTITUTE(TEXT(Overig!D16,""",""?00;"",""?-00;"",""?00;"", //"""),"'","""")</f>
        <v>032, 19370115, 7600, 00</v>
      </c>
    </row>
    <row r="17" spans="1:1" x14ac:dyDescent="0.25">
      <c r="A17" s="12" t="str">
        <f ca="1">TEXT(Overig!A17,"000\,")&amp;TEXT(Overig!B17,"?00000000")&amp;SUBSTITUTE(TEXT(IF(ISTEXT(Overig!C17),Overig!C17,10*Overig!C17),""",""????0;"",""???-0;"",""????0;"", ////"""),"'","""")&amp;SUBSTITUTE(TEXT(Overig!D17,""",""?00;"",""?-00;"",""?00;"", //"""),"'","""")</f>
        <v>032, 19370116, 7615, 00</v>
      </c>
    </row>
    <row r="18" spans="1:1" x14ac:dyDescent="0.25">
      <c r="A18" s="12" t="str">
        <f ca="1">TEXT(Overig!A18,"000\,")&amp;TEXT(Overig!B18,"?00000000")&amp;SUBSTITUTE(TEXT(IF(ISTEXT(Overig!C18),Overig!C18,10*Overig!C18),""",""????0;"",""???-0;"",""????0;"", ////"""),"'","""")&amp;SUBSTITUTE(TEXT(Overig!D18,""",""?00;"",""?-00;"",""?00;"", //"""),"'","""")</f>
        <v>032, 19370117, 7600, 00</v>
      </c>
    </row>
    <row r="19" spans="1:1" x14ac:dyDescent="0.25">
      <c r="A19" s="12" t="str">
        <f ca="1">TEXT(Overig!A19,"000\,")&amp;TEXT(Overig!B19,"?00000000")&amp;SUBSTITUTE(TEXT(IF(ISTEXT(Overig!C19),Overig!C19,10*Overig!C19),""",""????0;"",""???-0;"",""????0;"", ////"""),"'","""")&amp;SUBSTITUTE(TEXT(Overig!D19,""",""?00;"",""?-00;"",""?00;"", //"""),"'","""")</f>
        <v>032, 19370118, 7610, 00</v>
      </c>
    </row>
    <row r="20" spans="1:1" x14ac:dyDescent="0.25">
      <c r="A20" s="12" t="str">
        <f ca="1">TEXT(Overig!A20,"000\,")&amp;TEXT(Overig!B20,"?00000000")&amp;SUBSTITUTE(TEXT(IF(ISTEXT(Overig!C20),Overig!C20,10*Overig!C20),""",""????0;"",""???-0;"",""????0;"", ////"""),"'","""")&amp;SUBSTITUTE(TEXT(Overig!D20,""",""?00;"",""?-00;"",""?00;"", //"""),"'","""")</f>
        <v>032, 19370119, 7630, 00</v>
      </c>
    </row>
    <row r="21" spans="1:1" x14ac:dyDescent="0.25">
      <c r="A21" s="12" t="str">
        <f ca="1">TEXT(Overig!A21,"000\,")&amp;TEXT(Overig!B21,"?00000000")&amp;SUBSTITUTE(TEXT(IF(ISTEXT(Overig!C21),Overig!C21,10*Overig!C21),""",""????0;"",""???-0;"",""????0;"", ////"""),"'","""")&amp;SUBSTITUTE(TEXT(Overig!D21,""",""?00;"",""?-00;"",""?00;"", //"""),"'","""")</f>
        <v>032, 19370120, 7625, 00</v>
      </c>
    </row>
    <row r="22" spans="1:1" x14ac:dyDescent="0.25">
      <c r="A22" s="12" t="str">
        <f ca="1">TEXT(Overig!A22,"000\,")&amp;TEXT(Overig!B22,"?00000000")&amp;SUBSTITUTE(TEXT(IF(ISTEXT(Overig!C22),Overig!C22,10*Overig!C22),""",""????0;"",""???-0;"",""????0;"", ////"""),"'","""")&amp;SUBSTITUTE(TEXT(Overig!D22,""",""?00;"",""?-00;"",""?00;"", //"""),"'","""")</f>
        <v>032, 19370121, 7610, 00</v>
      </c>
    </row>
    <row r="23" spans="1:1" x14ac:dyDescent="0.25">
      <c r="A23" s="12" t="str">
        <f ca="1">TEXT(Overig!A23,"000\,")&amp;TEXT(Overig!B23,"?00000000")&amp;SUBSTITUTE(TEXT(IF(ISTEXT(Overig!C23),Overig!C23,10*Overig!C23),""",""????0;"",""???-0;"",""????0;"", ////"""),"'","""")&amp;SUBSTITUTE(TEXT(Overig!D23,""",""?00;"",""?-00;"",""?00;"", //"""),"'","""")</f>
        <v>032, 19370122, 7605, 00</v>
      </c>
    </row>
    <row r="24" spans="1:1" x14ac:dyDescent="0.25">
      <c r="A24" s="12" t="str">
        <f ca="1">TEXT(Overig!A24,"000\,")&amp;TEXT(Overig!B24,"?00000000")&amp;SUBSTITUTE(TEXT(IF(ISTEXT(Overig!C24),Overig!C24,10*Overig!C24),""",""????0;"",""???-0;"",""????0;"", ////"""),"'","""")&amp;SUBSTITUTE(TEXT(Overig!D24,""",""?00;"",""?-00;"",""?00;"", //"""),"'","""")</f>
        <v>032, 19370123, 7595, 00</v>
      </c>
    </row>
    <row r="25" spans="1:1" x14ac:dyDescent="0.25">
      <c r="A25" s="12" t="str">
        <f ca="1">TEXT(Overig!A25,"000\,")&amp;TEXT(Overig!B25,"?00000000")&amp;SUBSTITUTE(TEXT(IF(ISTEXT(Overig!C25),Overig!C25,10*Overig!C25),""",""????0;"",""???-0;"",""????0;"", ////"""),"'","""")&amp;SUBSTITUTE(TEXT(Overig!D25,""",""?00;"",""?-00;"",""?00;"", //"""),"'","""")</f>
        <v>032, 19370124, 7595, 00</v>
      </c>
    </row>
    <row r="26" spans="1:1" x14ac:dyDescent="0.25">
      <c r="A26" s="12" t="str">
        <f ca="1">TEXT(Overig!A26,"000\,")&amp;TEXT(Overig!B26,"?00000000")&amp;SUBSTITUTE(TEXT(IF(ISTEXT(Overig!C26),Overig!C26,10*Overig!C26),""",""????0;"",""???-0;"",""????0;"", ////"""),"'","""")&amp;SUBSTITUTE(TEXT(Overig!D26,""",""?00;"",""?-00;"",""?00;"", //"""),"'","""")</f>
        <v>032, 19370125, 7620, 00</v>
      </c>
    </row>
    <row r="27" spans="1:1" x14ac:dyDescent="0.25">
      <c r="A27" s="12" t="str">
        <f ca="1">TEXT(Overig!A27,"000\,")&amp;TEXT(Overig!B27,"?00000000")&amp;SUBSTITUTE(TEXT(IF(ISTEXT(Overig!C27),Overig!C27,10*Overig!C27),""",""????0;"",""???-0;"",""????0;"", ////"""),"'","""")&amp;SUBSTITUTE(TEXT(Overig!D27,""",""?00;"",""?-00;"",""?00;"", //"""),"'","""")</f>
        <v>032, 19370126, 7625, 00</v>
      </c>
    </row>
    <row r="28" spans="1:1" x14ac:dyDescent="0.25">
      <c r="A28" s="12" t="str">
        <f ca="1">TEXT(Overig!A28,"000\,")&amp;TEXT(Overig!B28,"?00000000")&amp;SUBSTITUTE(TEXT(IF(ISTEXT(Overig!C28),Overig!C28,10*Overig!C28),""",""????0;"",""???-0;"",""????0;"", ////"""),"'","""")&amp;SUBSTITUTE(TEXT(Overig!D28,""",""?00;"",""?-00;"",""?00;"", //"""),"'","""")</f>
        <v>032, 19370127, 7620, 00</v>
      </c>
    </row>
    <row r="29" spans="1:1" x14ac:dyDescent="0.25">
      <c r="A29" s="12" t="str">
        <f ca="1">TEXT(Overig!A29,"000\,")&amp;TEXT(Overig!B29,"?00000000")&amp;SUBSTITUTE(TEXT(IF(ISTEXT(Overig!C29),Overig!C29,10*Overig!C29),""",""????0;"",""???-0;"",""????0;"", ////"""),"'","""")&amp;SUBSTITUTE(TEXT(Overig!D29,""",""?00;"",""?-00;"",""?00;"", //"""),"'","""")</f>
        <v>032, 19370128, 7625, 00</v>
      </c>
    </row>
    <row r="30" spans="1:1" x14ac:dyDescent="0.25">
      <c r="A30" s="12" t="str">
        <f ca="1">TEXT(Overig!A30,"000\,")&amp;TEXT(Overig!B30,"?00000000")&amp;SUBSTITUTE(TEXT(IF(ISTEXT(Overig!C30),Overig!C30,10*Overig!C30),""",""????0;"",""???-0;"",""????0;"", ////"""),"'","""")&amp;SUBSTITUTE(TEXT(Overig!D30,""",""?00;"",""?-00;"",""?00;"", //"""),"'","""")</f>
        <v>032, 19370129, 7625, 00</v>
      </c>
    </row>
    <row r="31" spans="1:1" x14ac:dyDescent="0.25">
      <c r="A31" s="12" t="str">
        <f ca="1">TEXT(Overig!A31,"000\,")&amp;TEXT(Overig!B31,"?00000000")&amp;SUBSTITUTE(TEXT(IF(ISTEXT(Overig!C31),Overig!C31,10*Overig!C31),""",""????0;"",""???-0;"",""????0;"", ////"""),"'","""")&amp;SUBSTITUTE(TEXT(Overig!D31,""",""?00;"",""?-00;"",""?00;"", //"""),"'","""")</f>
        <v>032, 19370130, 7625, 00</v>
      </c>
    </row>
    <row r="32" spans="1:1" x14ac:dyDescent="0.25">
      <c r="A32" s="12" t="str">
        <f ca="1">TEXT(Overig!A32,"000\,")&amp;TEXT(Overig!B32,"?00000000")&amp;SUBSTITUTE(TEXT(IF(ISTEXT(Overig!C32),Overig!C32,10*Overig!C32),""",""????0;"",""???-0;"",""????0;"", ////"""),"'","""")&amp;SUBSTITUTE(TEXT(Overig!D32,""",""?00;"",""?-00;"",""?00;"", //"""),"'","""")</f>
        <v>032, 19370131, 7605, 00</v>
      </c>
    </row>
    <row r="33" spans="1:1" x14ac:dyDescent="0.25">
      <c r="A33" s="12" t="str">
        <f ca="1">TEXT(Overig!A33,"000\,")&amp;TEXT(Overig!B33,"?00000000")&amp;SUBSTITUTE(TEXT(IF(ISTEXT(Overig!C33),Overig!C33,10*Overig!C33),""",""????0;"",""???-0;"",""????0;"", ////"""),"'","""")&amp;SUBSTITUTE(TEXT(Overig!D33,""",""?00;"",""?-00;"",""?00;"", //"""),"'","""")</f>
        <v>032, 19370201, 7605, 00</v>
      </c>
    </row>
    <row r="34" spans="1:1" x14ac:dyDescent="0.25">
      <c r="A34" s="12" t="str">
        <f ca="1">TEXT(Overig!A34,"000\,")&amp;TEXT(Overig!B34,"?00000000")&amp;SUBSTITUTE(TEXT(IF(ISTEXT(Overig!C34),Overig!C34,10*Overig!C34),""",""????0;"",""???-0;"",""????0;"", ////"""),"'","""")&amp;SUBSTITUTE(TEXT(Overig!D34,""",""?00;"",""?-00;"",""?00;"", //"""),"'","""")</f>
        <v>032, 19370202, 7625, 00</v>
      </c>
    </row>
    <row r="35" spans="1:1" x14ac:dyDescent="0.25">
      <c r="A35" s="12" t="str">
        <f ca="1">TEXT(Overig!A35,"000\,")&amp;TEXT(Overig!B35,"?00000000")&amp;SUBSTITUTE(TEXT(IF(ISTEXT(Overig!C35),Overig!C35,10*Overig!C35),""",""????0;"",""???-0;"",""????0;"", ////"""),"'","""")&amp;SUBSTITUTE(TEXT(Overig!D35,""",""?00;"",""?-00;"",""?00;"", //"""),"'","""")</f>
        <v>032, 19370203, 7625, 00</v>
      </c>
    </row>
    <row r="36" spans="1:1" x14ac:dyDescent="0.25">
      <c r="A36" s="12" t="str">
        <f ca="1">TEXT(Overig!A36,"000\,")&amp;TEXT(Overig!B36,"?00000000")&amp;SUBSTITUTE(TEXT(IF(ISTEXT(Overig!C36),Overig!C36,10*Overig!C36),""",""????0;"",""???-0;"",""????0;"", ////"""),"'","""")&amp;SUBSTITUTE(TEXT(Overig!D36,""",""?00;"",""?-00;"",""?00;"", //"""),"'","""")</f>
        <v>032, 19370204, 7630, 00</v>
      </c>
    </row>
    <row r="37" spans="1:1" x14ac:dyDescent="0.25">
      <c r="A37" s="12" t="str">
        <f ca="1">TEXT(Overig!A37,"000\,")&amp;TEXT(Overig!B37,"?00000000")&amp;SUBSTITUTE(TEXT(IF(ISTEXT(Overig!C37),Overig!C37,10*Overig!C37),""",""????0;"",""???-0;"",""????0;"", ////"""),"'","""")&amp;SUBSTITUTE(TEXT(Overig!D37,""",""?00;"",""?-00;"",""?00;"", //"""),"'","""")</f>
        <v>032, 19370205, 7625, 00</v>
      </c>
    </row>
    <row r="38" spans="1:1" x14ac:dyDescent="0.25">
      <c r="A38" s="12" t="str">
        <f ca="1">TEXT(Overig!A38,"000\,")&amp;TEXT(Overig!B38,"?00000000")&amp;SUBSTITUTE(TEXT(IF(ISTEXT(Overig!C38),Overig!C38,10*Overig!C38),""",""????0;"",""???-0;"",""????0;"", ////"""),"'","""")&amp;SUBSTITUTE(TEXT(Overig!D38,""",""?00;"",""?-00;"",""?00;"", //"""),"'","""")</f>
        <v>032, 19370206, 7610, 00</v>
      </c>
    </row>
    <row r="39" spans="1:1" x14ac:dyDescent="0.25">
      <c r="A39" s="12" t="str">
        <f ca="1">TEXT(Overig!A39,"000\,")&amp;TEXT(Overig!B39,"?00000000")&amp;SUBSTITUTE(TEXT(IF(ISTEXT(Overig!C39),Overig!C39,10*Overig!C39),""",""????0;"",""???-0;"",""????0;"", ////"""),"'","""")&amp;SUBSTITUTE(TEXT(Overig!D39,""",""?00;"",""?-00;"",""?00;"", //"""),"'","""")</f>
        <v>032, 19370207, 7625, 00</v>
      </c>
    </row>
    <row r="40" spans="1:1" x14ac:dyDescent="0.25">
      <c r="A40" s="12" t="str">
        <f ca="1">TEXT(Overig!A40,"000\,")&amp;TEXT(Overig!B40,"?00000000")&amp;SUBSTITUTE(TEXT(IF(ISTEXT(Overig!C40),Overig!C40,10*Overig!C40),""",""????0;"",""???-0;"",""????0;"", ////"""),"'","""")&amp;SUBSTITUTE(TEXT(Overig!D40,""",""?00;"",""?-00;"",""?00;"", //"""),"'","""")</f>
        <v>032, 19370208, 7620, 00</v>
      </c>
    </row>
    <row r="41" spans="1:1" x14ac:dyDescent="0.25">
      <c r="A41" s="12" t="str">
        <f ca="1">TEXT(Overig!A41,"000\,")&amp;TEXT(Overig!B41,"?00000000")&amp;SUBSTITUTE(TEXT(IF(ISTEXT(Overig!C41),Overig!C41,10*Overig!C41),""",""????0;"",""???-0;"",""????0;"", ////"""),"'","""")&amp;SUBSTITUTE(TEXT(Overig!D41,""",""?00;"",""?-00;"",""?00;"", //"""),"'","""")</f>
        <v>032, 19370209, 7620, 00</v>
      </c>
    </row>
    <row r="42" spans="1:1" x14ac:dyDescent="0.25">
      <c r="A42" s="12" t="str">
        <f ca="1">TEXT(Overig!A42,"000\,")&amp;TEXT(Overig!B42,"?00000000")&amp;SUBSTITUTE(TEXT(IF(ISTEXT(Overig!C42),Overig!C42,10*Overig!C42),""",""????0;"",""???-0;"",""????0;"", ////"""),"'","""")&amp;SUBSTITUTE(TEXT(Overig!D42,""",""?00;"",""?-00;"",""?00;"", //"""),"'","""")</f>
        <v>032, 19370210, 7615, 00</v>
      </c>
    </row>
    <row r="43" spans="1:1" x14ac:dyDescent="0.25">
      <c r="A43" s="12" t="str">
        <f ca="1">TEXT(Overig!A43,"000\,")&amp;TEXT(Overig!B43,"?00000000")&amp;SUBSTITUTE(TEXT(IF(ISTEXT(Overig!C43),Overig!C43,10*Overig!C43),""",""????0;"",""???-0;"",""????0;"", ////"""),"'","""")&amp;SUBSTITUTE(TEXT(Overig!D43,""",""?00;"",""?-00;"",""?00;"", //"""),"'","""")</f>
        <v>032, 19370211, 7625, 00</v>
      </c>
    </row>
    <row r="44" spans="1:1" x14ac:dyDescent="0.25">
      <c r="A44" s="12" t="str">
        <f ca="1">TEXT(Overig!A44,"000\,")&amp;TEXT(Overig!B44,"?00000000")&amp;SUBSTITUTE(TEXT(IF(ISTEXT(Overig!C44),Overig!C44,10*Overig!C44),""",""????0;"",""???-0;"",""????0;"", ////"""),"'","""")&amp;SUBSTITUTE(TEXT(Overig!D44,""",""?00;"",""?-00;"",""?00;"", //"""),"'","""")</f>
        <v>032, 19370212, 7620, 00</v>
      </c>
    </row>
    <row r="45" spans="1:1" x14ac:dyDescent="0.25">
      <c r="A45" s="12" t="str">
        <f ca="1">TEXT(Overig!A45,"000\,")&amp;TEXT(Overig!B45,"?00000000")&amp;SUBSTITUTE(TEXT(IF(ISTEXT(Overig!C45),Overig!C45,10*Overig!C45),""",""????0;"",""???-0;"",""????0;"", ////"""),"'","""")&amp;SUBSTITUTE(TEXT(Overig!D45,""",""?00;"",""?-00;"",""?00;"", //"""),"'","""")</f>
        <v>032, 19370213, 7610, 00</v>
      </c>
    </row>
    <row r="46" spans="1:1" x14ac:dyDescent="0.25">
      <c r="A46" s="12" t="str">
        <f ca="1">TEXT(Overig!A46,"000\,")&amp;TEXT(Overig!B46,"?00000000")&amp;SUBSTITUTE(TEXT(IF(ISTEXT(Overig!C46),Overig!C46,10*Overig!C46),""",""????0;"",""???-0;"",""????0;"", ////"""),"'","""")&amp;SUBSTITUTE(TEXT(Overig!D46,""",""?00;"",""?-00;"",""?00;"", //"""),"'","""")</f>
        <v>032, 19370214, 7610, 00</v>
      </c>
    </row>
    <row r="47" spans="1:1" x14ac:dyDescent="0.25">
      <c r="A47" s="12" t="str">
        <f ca="1">TEXT(Overig!A47,"000\,")&amp;TEXT(Overig!B47,"?00000000")&amp;SUBSTITUTE(TEXT(IF(ISTEXT(Overig!C47),Overig!C47,10*Overig!C47),""",""????0;"",""???-0;"",""????0;"", ////"""),"'","""")&amp;SUBSTITUTE(TEXT(Overig!D47,""",""?00;"",""?-00;"",""?00;"", //"""),"'","""")</f>
        <v>032, 19370215, 7625, 00</v>
      </c>
    </row>
    <row r="48" spans="1:1" x14ac:dyDescent="0.25">
      <c r="A48" s="12" t="str">
        <f ca="1">TEXT(Overig!A48,"000\,")&amp;TEXT(Overig!B48,"?00000000")&amp;SUBSTITUTE(TEXT(IF(ISTEXT(Overig!C48),Overig!C48,10*Overig!C48),""",""????0;"",""???-0;"",""????0;"", ////"""),"'","""")&amp;SUBSTITUTE(TEXT(Overig!D48,""",""?00;"",""?-00;"",""?00;"", //"""),"'","""")</f>
        <v>032, 19370216, 7620, 00</v>
      </c>
    </row>
    <row r="49" spans="1:1" x14ac:dyDescent="0.25">
      <c r="A49" s="12" t="str">
        <f ca="1">TEXT(Overig!A49,"000\,")&amp;TEXT(Overig!B49,"?00000000")&amp;SUBSTITUTE(TEXT(IF(ISTEXT(Overig!C49),Overig!C49,10*Overig!C49),""",""????0;"",""???-0;"",""????0;"", ////"""),"'","""")&amp;SUBSTITUTE(TEXT(Overig!D49,""",""?00;"",""?-00;"",""?00;"", //"""),"'","""")</f>
        <v>032, 19370217, 7620, 00</v>
      </c>
    </row>
    <row r="50" spans="1:1" x14ac:dyDescent="0.25">
      <c r="A50" s="12" t="str">
        <f ca="1">TEXT(Overig!A50,"000\,")&amp;TEXT(Overig!B50,"?00000000")&amp;SUBSTITUTE(TEXT(IF(ISTEXT(Overig!C50),Overig!C50,10*Overig!C50),""",""????0;"",""???-0;"",""????0;"", ////"""),"'","""")&amp;SUBSTITUTE(TEXT(Overig!D50,""",""?00;"",""?-00;"",""?00;"", //"""),"'","""")</f>
        <v>032, 19370218, 7620, 00</v>
      </c>
    </row>
    <row r="51" spans="1:1" x14ac:dyDescent="0.25">
      <c r="A51" s="12" t="str">
        <f ca="1">TEXT(Overig!A51,"000\,")&amp;TEXT(Overig!B51,"?00000000")&amp;SUBSTITUTE(TEXT(IF(ISTEXT(Overig!C51),Overig!C51,10*Overig!C51),""",""????0;"",""???-0;"",""????0;"", ////"""),"'","""")&amp;SUBSTITUTE(TEXT(Overig!D51,""",""?00;"",""?-00;"",""?00;"", //"""),"'","""")</f>
        <v>032, 19370219, 7620, 00</v>
      </c>
    </row>
    <row r="52" spans="1:1" x14ac:dyDescent="0.25">
      <c r="A52" s="12" t="str">
        <f ca="1">TEXT(Overig!A52,"000\,")&amp;TEXT(Overig!B52,"?00000000")&amp;SUBSTITUTE(TEXT(IF(ISTEXT(Overig!C52),Overig!C52,10*Overig!C52),""",""????0;"",""???-0;"",""????0;"", ////"""),"'","""")&amp;SUBSTITUTE(TEXT(Overig!D52,""",""?00;"",""?-00;"",""?00;"", //"""),"'","""")</f>
        <v>032, 19370220, 7625, 00</v>
      </c>
    </row>
    <row r="53" spans="1:1" x14ac:dyDescent="0.25">
      <c r="A53" s="12" t="str">
        <f ca="1">TEXT(Overig!A53,"000\,")&amp;TEXT(Overig!B53,"?00000000")&amp;SUBSTITUTE(TEXT(IF(ISTEXT(Overig!C53),Overig!C53,10*Overig!C53),""",""????0;"",""???-0;"",""????0;"", ////"""),"'","""")&amp;SUBSTITUTE(TEXT(Overig!D53,""",""?00;"",""?-00;"",""?00;"", //"""),"'","""")</f>
        <v>032, 19370221, 7625, 00</v>
      </c>
    </row>
    <row r="54" spans="1:1" x14ac:dyDescent="0.25">
      <c r="A54" s="12" t="str">
        <f ca="1">TEXT(Overig!A54,"000\,")&amp;TEXT(Overig!B54,"?00000000")&amp;SUBSTITUTE(TEXT(IF(ISTEXT(Overig!C54),Overig!C54,10*Overig!C54),""",""????0;"",""???-0;"",""????0;"", ////"""),"'","""")&amp;SUBSTITUTE(TEXT(Overig!D54,""",""?00;"",""?-00;"",""?00;"", //"""),"'","""")</f>
        <v>032, 19370222, 7625, 00</v>
      </c>
    </row>
    <row r="55" spans="1:1" x14ac:dyDescent="0.25">
      <c r="A55" s="12" t="str">
        <f ca="1">TEXT(Overig!A55,"000\,")&amp;TEXT(Overig!B55,"?00000000")&amp;SUBSTITUTE(TEXT(IF(ISTEXT(Overig!C55),Overig!C55,10*Overig!C55),""",""????0;"",""???-0;"",""????0;"", ////"""),"'","""")&amp;SUBSTITUTE(TEXT(Overig!D55,""",""?00;"",""?-00;"",""?00;"", //"""),"'","""")</f>
        <v>032, 19370223, 7625, 00</v>
      </c>
    </row>
    <row r="56" spans="1:1" x14ac:dyDescent="0.25">
      <c r="A56" s="12" t="str">
        <f ca="1">TEXT(Overig!A56,"000\,")&amp;TEXT(Overig!B56,"?00000000")&amp;SUBSTITUTE(TEXT(IF(ISTEXT(Overig!C56),Overig!C56,10*Overig!C56),""",""????0;"",""???-0;"",""????0;"", ////"""),"'","""")&amp;SUBSTITUTE(TEXT(Overig!D56,""",""?00;"",""?-00;"",""?00;"", //"""),"'","""")</f>
        <v>032, 19370224, 7620, 00</v>
      </c>
    </row>
    <row r="57" spans="1:1" x14ac:dyDescent="0.25">
      <c r="A57" s="12" t="str">
        <f ca="1">TEXT(Overig!A57,"000\,")&amp;TEXT(Overig!B57,"?00000000")&amp;SUBSTITUTE(TEXT(IF(ISTEXT(Overig!C57),Overig!C57,10*Overig!C57),""",""????0;"",""???-0;"",""????0;"", ////"""),"'","""")&amp;SUBSTITUTE(TEXT(Overig!D57,""",""?00;"",""?-00;"",""?00;"", //"""),"'","""")</f>
        <v>032, 19370225, 7620, 00</v>
      </c>
    </row>
    <row r="58" spans="1:1" x14ac:dyDescent="0.25">
      <c r="A58" s="12" t="str">
        <f ca="1">TEXT(Overig!A58,"000\,")&amp;TEXT(Overig!B58,"?00000000")&amp;SUBSTITUTE(TEXT(IF(ISTEXT(Overig!C58),Overig!C58,10*Overig!C58),""",""????0;"",""???-0;"",""????0;"", ////"""),"'","""")&amp;SUBSTITUTE(TEXT(Overig!D58,""",""?00;"",""?-00;"",""?00;"", //"""),"'","""")</f>
        <v>032, 19370226, 7615, 00</v>
      </c>
    </row>
    <row r="59" spans="1:1" x14ac:dyDescent="0.25">
      <c r="A59" s="12" t="str">
        <f ca="1">TEXT(Overig!A59,"000\,")&amp;TEXT(Overig!B59,"?00000000")&amp;SUBSTITUTE(TEXT(IF(ISTEXT(Overig!C59),Overig!C59,10*Overig!C59),""",""????0;"",""???-0;"",""????0;"", ////"""),"'","""")&amp;SUBSTITUTE(TEXT(Overig!D59,""",""?00;"",""?-00;"",""?00;"", //"""),"'","""")</f>
        <v>032, 19370227, 7610, 00</v>
      </c>
    </row>
    <row r="60" spans="1:1" x14ac:dyDescent="0.25">
      <c r="A60" s="12" t="str">
        <f ca="1">TEXT(Overig!A60,"000\,")&amp;TEXT(Overig!B60,"?00000000")&amp;SUBSTITUTE(TEXT(IF(ISTEXT(Overig!C60),Overig!C60,10*Overig!C60),""",""????0;"",""???-0;"",""????0;"", ////"""),"'","""")&amp;SUBSTITUTE(TEXT(Overig!D60,""",""?00;"",""?-00;"",""?00;"", //"""),"'","""")</f>
        <v>032, 19370228, 7610, 00</v>
      </c>
    </row>
    <row r="61" spans="1:1" x14ac:dyDescent="0.25">
      <c r="A61" s="12" t="str">
        <f ca="1">TEXT(Overig!A61,"000\,")&amp;TEXT(Overig!B61,"?00000000")&amp;SUBSTITUTE(TEXT(IF(ISTEXT(Overig!C61),Overig!C61,10*Overig!C61),""",""????0;"",""???-0;"",""????0;"", ////"""),"'","""")&amp;SUBSTITUTE(TEXT(Overig!D61,""",""?00;"",""?-00;"",""?00;"", //"""),"'","""")</f>
        <v>032, 19370301, 7620, 00</v>
      </c>
    </row>
    <row r="62" spans="1:1" x14ac:dyDescent="0.25">
      <c r="A62" s="12" t="str">
        <f ca="1">TEXT(Overig!A62,"000\,")&amp;TEXT(Overig!B62,"?00000000")&amp;SUBSTITUTE(TEXT(IF(ISTEXT(Overig!C62),Overig!C62,10*Overig!C62),""",""????0;"",""???-0;"",""????0;"", ////"""),"'","""")&amp;SUBSTITUTE(TEXT(Overig!D62,""",""?00;"",""?-00;"",""?00;"", //"""),"'","""")</f>
        <v>032, 19370302, 7620, 00</v>
      </c>
    </row>
    <row r="63" spans="1:1" x14ac:dyDescent="0.25">
      <c r="A63" s="12" t="str">
        <f ca="1">TEXT(Overig!A63,"000\,")&amp;TEXT(Overig!B63,"?00000000")&amp;SUBSTITUTE(TEXT(IF(ISTEXT(Overig!C63),Overig!C63,10*Overig!C63),""",""????0;"",""???-0;"",""????0;"", ////"""),"'","""")&amp;SUBSTITUTE(TEXT(Overig!D63,""",""?00;"",""?-00;"",""?00;"", //"""),"'","""")</f>
        <v>032, 19370303, 7635, 00</v>
      </c>
    </row>
    <row r="64" spans="1:1" x14ac:dyDescent="0.25">
      <c r="A64" s="12" t="str">
        <f ca="1">TEXT(Overig!A64,"000\,")&amp;TEXT(Overig!B64,"?00000000")&amp;SUBSTITUTE(TEXT(IF(ISTEXT(Overig!C64),Overig!C64,10*Overig!C64),""",""????0;"",""???-0;"",""????0;"", ////"""),"'","""")&amp;SUBSTITUTE(TEXT(Overig!D64,""",""?00;"",""?-00;"",""?00;"", //"""),"'","""")</f>
        <v>032, 19370304, 7610, 00</v>
      </c>
    </row>
    <row r="65" spans="1:1" x14ac:dyDescent="0.25">
      <c r="A65" s="12" t="str">
        <f ca="1">TEXT(Overig!A65,"000\,")&amp;TEXT(Overig!B65,"?00000000")&amp;SUBSTITUTE(TEXT(IF(ISTEXT(Overig!C65),Overig!C65,10*Overig!C65),""",""????0;"",""???-0;"",""????0;"", ////"""),"'","""")&amp;SUBSTITUTE(TEXT(Overig!D65,""",""?00;"",""?-00;"",""?00;"", //"""),"'","""")</f>
        <v>032, 19370305, 7610, 00</v>
      </c>
    </row>
    <row r="66" spans="1:1" x14ac:dyDescent="0.25">
      <c r="A66" s="12" t="str">
        <f ca="1">TEXT(Overig!A66,"000\,")&amp;TEXT(Overig!B66,"?00000000")&amp;SUBSTITUTE(TEXT(IF(ISTEXT(Overig!C66),Overig!C66,10*Overig!C66),""",""????0;"",""???-0;"",""????0;"", ////"""),"'","""")&amp;SUBSTITUTE(TEXT(Overig!D66,""",""?00;"",""?-00;"",""?00;"", //"""),"'","""")</f>
        <v>032, 19370306, 7610, 00</v>
      </c>
    </row>
    <row r="67" spans="1:1" x14ac:dyDescent="0.25">
      <c r="A67" s="12" t="str">
        <f ca="1">TEXT(Overig!A67,"000\,")&amp;TEXT(Overig!B67,"?00000000")&amp;SUBSTITUTE(TEXT(IF(ISTEXT(Overig!C67),Overig!C67,10*Overig!C67),""",""????0;"",""???-0;"",""????0;"", ////"""),"'","""")&amp;SUBSTITUTE(TEXT(Overig!D67,""",""?00;"",""?-00;"",""?00;"", //"""),"'","""")</f>
        <v>032, 19370307, 7610, 00</v>
      </c>
    </row>
    <row r="68" spans="1:1" x14ac:dyDescent="0.25">
      <c r="A68" s="12" t="str">
        <f ca="1">TEXT(Overig!A68,"000\,")&amp;TEXT(Overig!B68,"?00000000")&amp;SUBSTITUTE(TEXT(IF(ISTEXT(Overig!C68),Overig!C68,10*Overig!C68),""",""????0;"",""???-0;"",""????0;"", ////"""),"'","""")&amp;SUBSTITUTE(TEXT(Overig!D68,""",""?00;"",""?-00;"",""?00;"", //"""),"'","""")</f>
        <v>032, 19370308, 7605, 00</v>
      </c>
    </row>
    <row r="69" spans="1:1" x14ac:dyDescent="0.25">
      <c r="A69" s="12" t="str">
        <f ca="1">TEXT(Overig!A69,"000\,")&amp;TEXT(Overig!B69,"?00000000")&amp;SUBSTITUTE(TEXT(IF(ISTEXT(Overig!C69),Overig!C69,10*Overig!C69),""",""????0;"",""???-0;"",""????0;"", ////"""),"'","""")&amp;SUBSTITUTE(TEXT(Overig!D69,""",""?00;"",""?-00;"",""?00;"", //"""),"'","""")</f>
        <v>032, 19370309, 7605, 00</v>
      </c>
    </row>
    <row r="70" spans="1:1" x14ac:dyDescent="0.25">
      <c r="A70" s="12" t="str">
        <f ca="1">TEXT(Overig!A70,"000\,")&amp;TEXT(Overig!B70,"?00000000")&amp;SUBSTITUTE(TEXT(IF(ISTEXT(Overig!C70),Overig!C70,10*Overig!C70),""",""????0;"",""???-0;"",""????0;"", ////"""),"'","""")&amp;SUBSTITUTE(TEXT(Overig!D70,""",""?00;"",""?-00;"",""?00;"", //"""),"'","""")</f>
        <v>032, 19370310, 7600, 00</v>
      </c>
    </row>
    <row r="71" spans="1:1" x14ac:dyDescent="0.25">
      <c r="A71" s="12" t="str">
        <f ca="1">TEXT(Overig!A71,"000\,")&amp;TEXT(Overig!B71,"?00000000")&amp;SUBSTITUTE(TEXT(IF(ISTEXT(Overig!C71),Overig!C71,10*Overig!C71),""",""????0;"",""???-0;"",""????0;"", ////"""),"'","""")&amp;SUBSTITUTE(TEXT(Overig!D71,""",""?00;"",""?-00;"",""?00;"", //"""),"'","""")</f>
        <v>032, 19370311, 7600, 00</v>
      </c>
    </row>
    <row r="72" spans="1:1" x14ac:dyDescent="0.25">
      <c r="A72" s="12" t="str">
        <f ca="1">TEXT(Overig!A72,"000\,")&amp;TEXT(Overig!B72,"?00000000")&amp;SUBSTITUTE(TEXT(IF(ISTEXT(Overig!C72),Overig!C72,10*Overig!C72),""",""????0;"",""???-0;"",""????0;"", ////"""),"'","""")&amp;SUBSTITUTE(TEXT(Overig!D72,""",""?00;"",""?-00;"",""?00;"", //"""),"'","""")</f>
        <v>032, 19370312, 7590, 00</v>
      </c>
    </row>
    <row r="73" spans="1:1" x14ac:dyDescent="0.25">
      <c r="A73" s="12" t="str">
        <f ca="1">TEXT(Overig!A73,"000\,")&amp;TEXT(Overig!B73,"?00000000")&amp;SUBSTITUTE(TEXT(IF(ISTEXT(Overig!C73),Overig!C73,10*Overig!C73),""",""????0;"",""???-0;"",""????0;"", ////"""),"'","""")&amp;SUBSTITUTE(TEXT(Overig!D73,""",""?00;"",""?-00;"",""?00;"", //"""),"'","""")</f>
        <v>032, 19370313, 7585, 00</v>
      </c>
    </row>
    <row r="74" spans="1:1" x14ac:dyDescent="0.25">
      <c r="A74" s="12" t="str">
        <f ca="1">TEXT(Overig!A74,"000\,")&amp;TEXT(Overig!B74,"?00000000")&amp;SUBSTITUTE(TEXT(IF(ISTEXT(Overig!C74),Overig!C74,10*Overig!C74),""",""????0;"",""???-0;"",""????0;"", ////"""),"'","""")&amp;SUBSTITUTE(TEXT(Overig!D74,""",""?00;"",""?-00;"",""?00;"", //"""),"'","""")</f>
        <v>032, 19370314, 7590, 00</v>
      </c>
    </row>
    <row r="75" spans="1:1" x14ac:dyDescent="0.25">
      <c r="A75" s="12" t="str">
        <f ca="1">TEXT(Overig!A75,"000\,")&amp;TEXT(Overig!B75,"?00000000")&amp;SUBSTITUTE(TEXT(IF(ISTEXT(Overig!C75),Overig!C75,10*Overig!C75),""",""????0;"",""???-0;"",""????0;"", ////"""),"'","""")&amp;SUBSTITUTE(TEXT(Overig!D75,""",""?00;"",""?-00;"",""?00;"", //"""),"'","""")</f>
        <v>032, 19370315, 7595, 00</v>
      </c>
    </row>
    <row r="76" spans="1:1" x14ac:dyDescent="0.25">
      <c r="A76" s="12" t="str">
        <f ca="1">TEXT(Overig!A76,"000\,")&amp;TEXT(Overig!B76,"?00000000")&amp;SUBSTITUTE(TEXT(IF(ISTEXT(Overig!C76),Overig!C76,10*Overig!C76),""",""????0;"",""???-0;"",""????0;"", ////"""),"'","""")&amp;SUBSTITUTE(TEXT(Overig!D76,""",""?00;"",""?-00;"",""?00;"", //"""),"'","""")</f>
        <v>032, 19370316, 7595, 00</v>
      </c>
    </row>
    <row r="77" spans="1:1" x14ac:dyDescent="0.25">
      <c r="A77" s="12" t="str">
        <f ca="1">TEXT(Overig!A77,"000\,")&amp;TEXT(Overig!B77,"?00000000")&amp;SUBSTITUTE(TEXT(IF(ISTEXT(Overig!C77),Overig!C77,10*Overig!C77),""",""????0;"",""???-0;"",""????0;"", ////"""),"'","""")&amp;SUBSTITUTE(TEXT(Overig!D77,""",""?00;"",""?-00;"",""?00;"", //"""),"'","""")</f>
        <v>032, 19370317, 7605, 00</v>
      </c>
    </row>
    <row r="78" spans="1:1" x14ac:dyDescent="0.25">
      <c r="A78" s="12" t="str">
        <f ca="1">TEXT(Overig!A78,"000\,")&amp;TEXT(Overig!B78,"?00000000")&amp;SUBSTITUTE(TEXT(IF(ISTEXT(Overig!C78),Overig!C78,10*Overig!C78),""",""????0;"",""???-0;"",""????0;"", ////"""),"'","""")&amp;SUBSTITUTE(TEXT(Overig!D78,""",""?00;"",""?-00;"",""?00;"", //"""),"'","""")</f>
        <v>032, 19370318, 7620, 00</v>
      </c>
    </row>
    <row r="79" spans="1:1" x14ac:dyDescent="0.25">
      <c r="A79" s="12" t="str">
        <f ca="1">TEXT(Overig!A79,"000\,")&amp;TEXT(Overig!B79,"?00000000")&amp;SUBSTITUTE(TEXT(IF(ISTEXT(Overig!C79),Overig!C79,10*Overig!C79),""",""????0;"",""???-0;"",""????0;"", ////"""),"'","""")&amp;SUBSTITUTE(TEXT(Overig!D79,""",""?00;"",""?-00;"",""?00;"", //"""),"'","""")</f>
        <v>032, 19370319, 7600, 00</v>
      </c>
    </row>
    <row r="80" spans="1:1" x14ac:dyDescent="0.25">
      <c r="A80" s="12" t="str">
        <f ca="1">TEXT(Overig!A80,"000\,")&amp;TEXT(Overig!B80,"?00000000")&amp;SUBSTITUTE(TEXT(IF(ISTEXT(Overig!C80),Overig!C80,10*Overig!C80),""",""????0;"",""???-0;"",""????0;"", ////"""),"'","""")&amp;SUBSTITUTE(TEXT(Overig!D80,""",""?00;"",""?-00;"",""?00;"", //"""),"'","""")</f>
        <v>032, 19370320, 7605, 00</v>
      </c>
    </row>
    <row r="81" spans="1:1" x14ac:dyDescent="0.25">
      <c r="A81" s="12" t="str">
        <f ca="1">TEXT(Overig!A81,"000\,")&amp;TEXT(Overig!B81,"?00000000")&amp;SUBSTITUTE(TEXT(IF(ISTEXT(Overig!C81),Overig!C81,10*Overig!C81),""",""????0;"",""???-0;"",""????0;"", ////"""),"'","""")&amp;SUBSTITUTE(TEXT(Overig!D81,""",""?00;"",""?-00;"",""?00;"", //"""),"'","""")</f>
        <v>032, 19370321, 7605, 00</v>
      </c>
    </row>
    <row r="82" spans="1:1" x14ac:dyDescent="0.25">
      <c r="A82" s="12" t="str">
        <f ca="1">TEXT(Overig!A82,"000\,")&amp;TEXT(Overig!B82,"?00000000")&amp;SUBSTITUTE(TEXT(IF(ISTEXT(Overig!C82),Overig!C82,10*Overig!C82),""",""????0;"",""???-0;"",""????0;"", ////"""),"'","""")&amp;SUBSTITUTE(TEXT(Overig!D82,""",""?00;"",""?-00;"",""?00;"", //"""),"'","""")</f>
        <v>032, 19370322, 7610, 00</v>
      </c>
    </row>
    <row r="83" spans="1:1" x14ac:dyDescent="0.25">
      <c r="A83" s="12" t="str">
        <f ca="1">TEXT(Overig!A83,"000\,")&amp;TEXT(Overig!B83,"?00000000")&amp;SUBSTITUTE(TEXT(IF(ISTEXT(Overig!C83),Overig!C83,10*Overig!C83),""",""????0;"",""???-0;"",""????0;"", ////"""),"'","""")&amp;SUBSTITUTE(TEXT(Overig!D83,""",""?00;"",""?-00;"",""?00;"", //"""),"'","""")</f>
        <v>032, 19370323, 7605, 00</v>
      </c>
    </row>
    <row r="84" spans="1:1" x14ac:dyDescent="0.25">
      <c r="A84" s="12" t="str">
        <f ca="1">TEXT(Overig!A84,"000\,")&amp;TEXT(Overig!B84,"?00000000")&amp;SUBSTITUTE(TEXT(IF(ISTEXT(Overig!C84),Overig!C84,10*Overig!C84),""",""????0;"",""???-0;"",""????0;"", ////"""),"'","""")&amp;SUBSTITUTE(TEXT(Overig!D84,""",""?00;"",""?-00;"",""?00;"", //"""),"'","""")</f>
        <v>032, 19370324, 7605, 00</v>
      </c>
    </row>
    <row r="85" spans="1:1" x14ac:dyDescent="0.25">
      <c r="A85" s="12" t="str">
        <f ca="1">TEXT(Overig!A85,"000\,")&amp;TEXT(Overig!B85,"?00000000")&amp;SUBSTITUTE(TEXT(IF(ISTEXT(Overig!C85),Overig!C85,10*Overig!C85),""",""????0;"",""???-0;"",""????0;"", ////"""),"'","""")&amp;SUBSTITUTE(TEXT(Overig!D85,""",""?00;"",""?-00;"",""?00;"", //"""),"'","""")</f>
        <v>032, 19370325, 7615, 00</v>
      </c>
    </row>
    <row r="86" spans="1:1" x14ac:dyDescent="0.25">
      <c r="A86" s="12" t="str">
        <f ca="1">TEXT(Overig!A86,"000\,")&amp;TEXT(Overig!B86,"?00000000")&amp;SUBSTITUTE(TEXT(IF(ISTEXT(Overig!C86),Overig!C86,10*Overig!C86),""",""????0;"",""???-0;"",""????0;"", ////"""),"'","""")&amp;SUBSTITUTE(TEXT(Overig!D86,""",""?00;"",""?-00;"",""?00;"", //"""),"'","""")</f>
        <v>032, 19370326, 7590, 00</v>
      </c>
    </row>
    <row r="87" spans="1:1" x14ac:dyDescent="0.25">
      <c r="A87" s="12" t="str">
        <f ca="1">TEXT(Overig!A87,"000\,")&amp;TEXT(Overig!B87,"?00000000")&amp;SUBSTITUTE(TEXT(IF(ISTEXT(Overig!C87),Overig!C87,10*Overig!C87),""",""????0;"",""???-0;"",""????0;"", ////"""),"'","""")&amp;SUBSTITUTE(TEXT(Overig!D87,""",""?00;"",""?-00;"",""?00;"", //"""),"'","""")</f>
        <v>032, 19370327, 7595, 00</v>
      </c>
    </row>
    <row r="88" spans="1:1" x14ac:dyDescent="0.25">
      <c r="A88" s="12" t="str">
        <f ca="1">TEXT(Overig!A88,"000\,")&amp;TEXT(Overig!B88,"?00000000")&amp;SUBSTITUTE(TEXT(IF(ISTEXT(Overig!C88),Overig!C88,10*Overig!C88),""",""????0;"",""???-0;"",""????0;"", ////"""),"'","""")&amp;SUBSTITUTE(TEXT(Overig!D88,""",""?00;"",""?-00;"",""?00;"", //"""),"'","""")</f>
        <v>032, 19370328, 7595, 00</v>
      </c>
    </row>
    <row r="89" spans="1:1" x14ac:dyDescent="0.25">
      <c r="A89" s="12" t="str">
        <f ca="1">TEXT(Overig!A89,"000\,")&amp;TEXT(Overig!B89,"?00000000")&amp;SUBSTITUTE(TEXT(IF(ISTEXT(Overig!C89),Overig!C89,10*Overig!C89),""",""????0;"",""???-0;"",""????0;"", ////"""),"'","""")&amp;SUBSTITUTE(TEXT(Overig!D89,""",""?00;"",""?-00;"",""?00;"", //"""),"'","""")</f>
        <v>032, 19370329, 7595, 00</v>
      </c>
    </row>
    <row r="90" spans="1:1" x14ac:dyDescent="0.25">
      <c r="A90" s="12" t="str">
        <f ca="1">TEXT(Overig!A90,"000\,")&amp;TEXT(Overig!B90,"?00000000")&amp;SUBSTITUTE(TEXT(IF(ISTEXT(Overig!C90),Overig!C90,10*Overig!C90),""",""????0;"",""???-0;"",""????0;"", ////"""),"'","""")&amp;SUBSTITUTE(TEXT(Overig!D90,""",""?00;"",""?-00;"",""?00;"", //"""),"'","""")</f>
        <v>032, 19370330, 7620, 00</v>
      </c>
    </row>
    <row r="91" spans="1:1" x14ac:dyDescent="0.25">
      <c r="A91" s="12" t="str">
        <f ca="1">TEXT(Overig!A91,"000\,")&amp;TEXT(Overig!B91,"?00000000")&amp;SUBSTITUTE(TEXT(IF(ISTEXT(Overig!C91),Overig!C91,10*Overig!C91),""",""????0;"",""???-0;"",""????0;"", ////"""),"'","""")&amp;SUBSTITUTE(TEXT(Overig!D91,""",""?00;"",""?-00;"",""?00;"", //"""),"'","""")</f>
        <v>032, 19370331, 7640, 00</v>
      </c>
    </row>
    <row r="92" spans="1:1" x14ac:dyDescent="0.25">
      <c r="A92" s="12" t="str">
        <f ca="1">TEXT(Overig!A92,"000\,")&amp;TEXT(Overig!B92,"?00000000")&amp;SUBSTITUTE(TEXT(IF(ISTEXT(Overig!C92),Overig!C92,10*Overig!C92),""",""????0;"",""???-0;"",""????0;"", ////"""),"'","""")&amp;SUBSTITUTE(TEXT(Overig!D92,""",""?00;"",""?-00;"",""?00;"", //"""),"'","""")</f>
        <v>032, 19370401, 7620, 00</v>
      </c>
    </row>
    <row r="93" spans="1:1" x14ac:dyDescent="0.25">
      <c r="A93" s="12" t="str">
        <f ca="1">TEXT(Overig!A93,"000\,")&amp;TEXT(Overig!B93,"?00000000")&amp;SUBSTITUTE(TEXT(IF(ISTEXT(Overig!C93),Overig!C93,10*Overig!C93),""",""????0;"",""???-0;"",""????0;"", ////"""),"'","""")&amp;SUBSTITUTE(TEXT(Overig!D93,""",""?00;"",""?-00;"",""?00;"", //"""),"'","""")</f>
        <v>032, 19370402, 7590, 00</v>
      </c>
    </row>
    <row r="94" spans="1:1" x14ac:dyDescent="0.25">
      <c r="A94" s="12" t="str">
        <f ca="1">TEXT(Overig!A94,"000\,")&amp;TEXT(Overig!B94,"?00000000")&amp;SUBSTITUTE(TEXT(IF(ISTEXT(Overig!C94),Overig!C94,10*Overig!C94),""",""????0;"",""???-0;"",""????0;"", ////"""),"'","""")&amp;SUBSTITUTE(TEXT(Overig!D94,""",""?00;"",""?-00;"",""?00;"", //"""),"'","""")</f>
        <v>032, 19370403, 7600, 00</v>
      </c>
    </row>
    <row r="95" spans="1:1" x14ac:dyDescent="0.25">
      <c r="A95" s="12" t="str">
        <f ca="1">TEXT(Overig!A95,"000\,")&amp;TEXT(Overig!B95,"?00000000")&amp;SUBSTITUTE(TEXT(IF(ISTEXT(Overig!C95),Overig!C95,10*Overig!C95),""",""????0;"",""???-0;"",""????0;"", ////"""),"'","""")&amp;SUBSTITUTE(TEXT(Overig!D95,""",""?00;"",""?-00;"",""?00;"", //"""),"'","""")</f>
        <v>032, 19370404, 7605, 00</v>
      </c>
    </row>
    <row r="96" spans="1:1" x14ac:dyDescent="0.25">
      <c r="A96" s="12" t="str">
        <f ca="1">TEXT(Overig!A96,"000\,")&amp;TEXT(Overig!B96,"?00000000")&amp;SUBSTITUTE(TEXT(IF(ISTEXT(Overig!C96),Overig!C96,10*Overig!C96),""",""????0;"",""???-0;"",""????0;"", ////"""),"'","""")&amp;SUBSTITUTE(TEXT(Overig!D96,""",""?00;"",""?-00;"",""?00;"", //"""),"'","""")</f>
        <v>032, 19370405, 7605, 00</v>
      </c>
    </row>
    <row r="97" spans="1:1" x14ac:dyDescent="0.25">
      <c r="A97" s="12" t="str">
        <f ca="1">TEXT(Overig!A97,"000\,")&amp;TEXT(Overig!B97,"?00000000")&amp;SUBSTITUTE(TEXT(IF(ISTEXT(Overig!C97),Overig!C97,10*Overig!C97),""",""????0;"",""???-0;"",""????0;"", ////"""),"'","""")&amp;SUBSTITUTE(TEXT(Overig!D97,""",""?00;"",""?-00;"",""?00;"", //"""),"'","""")</f>
        <v>032, 19370406, 7595, 00</v>
      </c>
    </row>
    <row r="98" spans="1:1" x14ac:dyDescent="0.25">
      <c r="A98" s="12" t="str">
        <f ca="1">TEXT(Overig!A98,"000\,")&amp;TEXT(Overig!B98,"?00000000")&amp;SUBSTITUTE(TEXT(IF(ISTEXT(Overig!C98),Overig!C98,10*Overig!C98),""",""????0;"",""???-0;"",""????0;"", ////"""),"'","""")&amp;SUBSTITUTE(TEXT(Overig!D98,""",""?00;"",""?-00;"",""?00;"", //"""),"'","""")</f>
        <v>032, 19370407, 7590, 00</v>
      </c>
    </row>
    <row r="99" spans="1:1" x14ac:dyDescent="0.25">
      <c r="A99" s="12" t="str">
        <f ca="1">TEXT(Overig!A99,"000\,")&amp;TEXT(Overig!B99,"?00000000")&amp;SUBSTITUTE(TEXT(IF(ISTEXT(Overig!C99),Overig!C99,10*Overig!C99),""",""????0;"",""???-0;"",""????0;"", ////"""),"'","""")&amp;SUBSTITUTE(TEXT(Overig!D99,""",""?00;"",""?-00;"",""?00;"", //"""),"'","""")</f>
        <v>032, 19370408, 7590, 00</v>
      </c>
    </row>
    <row r="100" spans="1:1" x14ac:dyDescent="0.25">
      <c r="A100" s="12" t="str">
        <f ca="1">TEXT(Overig!A100,"000\,")&amp;TEXT(Overig!B100,"?00000000")&amp;SUBSTITUTE(TEXT(IF(ISTEXT(Overig!C100),Overig!C100,10*Overig!C100),""",""????0;"",""???-0;"",""????0;"", ////"""),"'","""")&amp;SUBSTITUTE(TEXT(Overig!D100,""",""?00;"",""?-00;"",""?00;"", //"""),"'","""")</f>
        <v>032, 19370409, 7595, 00</v>
      </c>
    </row>
    <row r="101" spans="1:1" x14ac:dyDescent="0.25">
      <c r="A101" s="12" t="str">
        <f ca="1">TEXT(Overig!A101,"000\,")&amp;TEXT(Overig!B101,"?00000000")&amp;SUBSTITUTE(TEXT(IF(ISTEXT(Overig!C101),Overig!C101,10*Overig!C101),""",""????0;"",""???-0;"",""????0;"", ////"""),"'","""")&amp;SUBSTITUTE(TEXT(Overig!D101,""",""?00;"",""?-00;"",""?00;"", //"""),"'","""")</f>
        <v>032, 19370410, 7625, 00</v>
      </c>
    </row>
    <row r="102" spans="1:1" x14ac:dyDescent="0.25">
      <c r="A102" s="12" t="str">
        <f ca="1">TEXT(Overig!A102,"000\,")&amp;TEXT(Overig!B102,"?00000000")&amp;SUBSTITUTE(TEXT(IF(ISTEXT(Overig!C102),Overig!C102,10*Overig!C102),""",""????0;"",""???-0;"",""????0;"", ////"""),"'","""")&amp;SUBSTITUTE(TEXT(Overig!D102,""",""?00;"",""?-00;"",""?00;"", //"""),"'","""")</f>
        <v>032, 19370411, 7635, 00</v>
      </c>
    </row>
    <row r="103" spans="1:1" x14ac:dyDescent="0.25">
      <c r="A103" s="12" t="str">
        <f ca="1">TEXT(Overig!A103,"000\,")&amp;TEXT(Overig!B103,"?00000000")&amp;SUBSTITUTE(TEXT(IF(ISTEXT(Overig!C103),Overig!C103,10*Overig!C103),""",""????0;"",""???-0;"",""????0;"", ////"""),"'","""")&amp;SUBSTITUTE(TEXT(Overig!D103,""",""?00;"",""?-00;"",""?00;"", //"""),"'","""")</f>
        <v>032, 19370412, 7610, 00</v>
      </c>
    </row>
    <row r="104" spans="1:1" x14ac:dyDescent="0.25">
      <c r="A104" s="12" t="str">
        <f ca="1">TEXT(Overig!A104,"000\,")&amp;TEXT(Overig!B104,"?00000000")&amp;SUBSTITUTE(TEXT(IF(ISTEXT(Overig!C104),Overig!C104,10*Overig!C104),""",""????0;"",""???-0;"",""????0;"", ////"""),"'","""")&amp;SUBSTITUTE(TEXT(Overig!D104,""",""?00;"",""?-00;"",""?00;"", //"""),"'","""")</f>
        <v>032, 19370413, 7610, 00</v>
      </c>
    </row>
    <row r="105" spans="1:1" x14ac:dyDescent="0.25">
      <c r="A105" s="12" t="str">
        <f ca="1">TEXT(Overig!A105,"000\,")&amp;TEXT(Overig!B105,"?00000000")&amp;SUBSTITUTE(TEXT(IF(ISTEXT(Overig!C105),Overig!C105,10*Overig!C105),""",""????0;"",""???-0;"",""????0;"", ////"""),"'","""")&amp;SUBSTITUTE(TEXT(Overig!D105,""",""?00;"",""?-00;"",""?00;"", //"""),"'","""")</f>
        <v>032, 19370414, 7615, 00</v>
      </c>
    </row>
    <row r="106" spans="1:1" x14ac:dyDescent="0.25">
      <c r="A106" s="12" t="str">
        <f ca="1">TEXT(Overig!A106,"000\,")&amp;TEXT(Overig!B106,"?00000000")&amp;SUBSTITUTE(TEXT(IF(ISTEXT(Overig!C106),Overig!C106,10*Overig!C106),""",""????0;"",""???-0;"",""????0;"", ////"""),"'","""")&amp;SUBSTITUTE(TEXT(Overig!D106,""",""?00;"",""?-00;"",""?00;"", //"""),"'","""")</f>
        <v>032, 19370415, 7610, 00</v>
      </c>
    </row>
    <row r="107" spans="1:1" x14ac:dyDescent="0.25">
      <c r="A107" s="12" t="str">
        <f ca="1">TEXT(Overig!A107,"000\,")&amp;TEXT(Overig!B107,"?00000000")&amp;SUBSTITUTE(TEXT(IF(ISTEXT(Overig!C107),Overig!C107,10*Overig!C107),""",""????0;"",""???-0;"",""????0;"", ////"""),"'","""")&amp;SUBSTITUTE(TEXT(Overig!D107,""",""?00;"",""?-00;"",""?00;"", //"""),"'","""")</f>
        <v>032, 19370416, 7590, 00</v>
      </c>
    </row>
    <row r="108" spans="1:1" x14ac:dyDescent="0.25">
      <c r="A108" s="12" t="str">
        <f ca="1">TEXT(Overig!A108,"000\,")&amp;TEXT(Overig!B108,"?00000000")&amp;SUBSTITUTE(TEXT(IF(ISTEXT(Overig!C108),Overig!C108,10*Overig!C108),""",""????0;"",""???-0;"",""????0;"", ////"""),"'","""")&amp;SUBSTITUTE(TEXT(Overig!D108,""",""?00;"",""?-00;"",""?00;"", //"""),"'","""")</f>
        <v>032, 19370417, 7600, 00</v>
      </c>
    </row>
    <row r="109" spans="1:1" x14ac:dyDescent="0.25">
      <c r="A109" s="12" t="str">
        <f ca="1">TEXT(Overig!A109,"000\,")&amp;TEXT(Overig!B109,"?00000000")&amp;SUBSTITUTE(TEXT(IF(ISTEXT(Overig!C109),Overig!C109,10*Overig!C109),""",""????0;"",""???-0;"",""????0;"", ////"""),"'","""")&amp;SUBSTITUTE(TEXT(Overig!D109,""",""?00;"",""?-00;"",""?00;"", //"""),"'","""")</f>
        <v>032, 19370418, 7605, 00</v>
      </c>
    </row>
    <row r="110" spans="1:1" x14ac:dyDescent="0.25">
      <c r="A110" s="12" t="str">
        <f ca="1">TEXT(Overig!A110,"000\,")&amp;TEXT(Overig!B110,"?00000000")&amp;SUBSTITUTE(TEXT(IF(ISTEXT(Overig!C110),Overig!C110,10*Overig!C110),""",""????0;"",""???-0;"",""????0;"", ////"""),"'","""")&amp;SUBSTITUTE(TEXT(Overig!D110,""",""?00;"",""?-00;"",""?00;"", //"""),"'","""")</f>
        <v>032, 19370419, 7610, 00</v>
      </c>
    </row>
    <row r="111" spans="1:1" x14ac:dyDescent="0.25">
      <c r="A111" s="12" t="str">
        <f ca="1">TEXT(Overig!A111,"000\,")&amp;TEXT(Overig!B111,"?00000000")&amp;SUBSTITUTE(TEXT(IF(ISTEXT(Overig!C111),Overig!C111,10*Overig!C111),""",""????0;"",""???-0;"",""????0;"", ////"""),"'","""")&amp;SUBSTITUTE(TEXT(Overig!D111,""",""?00;"",""?-00;"",""?00;"", //"""),"'","""")</f>
        <v>032, 19370420, 7605, 00</v>
      </c>
    </row>
    <row r="112" spans="1:1" x14ac:dyDescent="0.25">
      <c r="A112" s="12" t="str">
        <f ca="1">TEXT(Overig!A112,"000\,")&amp;TEXT(Overig!B112,"?00000000")&amp;SUBSTITUTE(TEXT(IF(ISTEXT(Overig!C112),Overig!C112,10*Overig!C112),""",""????0;"",""???-0;"",""????0;"", ////"""),"'","""")&amp;SUBSTITUTE(TEXT(Overig!D112,""",""?00;"",""?-00;"",""?00;"", //"""),"'","""")</f>
        <v>032, 19370421, 7610, 00</v>
      </c>
    </row>
    <row r="113" spans="1:1" x14ac:dyDescent="0.25">
      <c r="A113" s="12" t="str">
        <f ca="1">TEXT(Overig!A113,"000\,")&amp;TEXT(Overig!B113,"?00000000")&amp;SUBSTITUTE(TEXT(IF(ISTEXT(Overig!C113),Overig!C113,10*Overig!C113),""",""????0;"",""???-0;"",""????0;"", ////"""),"'","""")&amp;SUBSTITUTE(TEXT(Overig!D113,""",""?00;"",""?-00;"",""?00;"", //"""),"'","""")</f>
        <v>032, 19370422, 7590, 00</v>
      </c>
    </row>
    <row r="114" spans="1:1" x14ac:dyDescent="0.25">
      <c r="A114" s="12" t="str">
        <f ca="1">TEXT(Overig!A114,"000\,")&amp;TEXT(Overig!B114,"?00000000")&amp;SUBSTITUTE(TEXT(IF(ISTEXT(Overig!C114),Overig!C114,10*Overig!C114),""",""????0;"",""???-0;"",""????0;"", ////"""),"'","""")&amp;SUBSTITUTE(TEXT(Overig!D114,""",""?00;"",""?-00;"",""?00;"", //"""),"'","""")</f>
        <v>032, 19370423, 7600, 00</v>
      </c>
    </row>
    <row r="115" spans="1:1" x14ac:dyDescent="0.25">
      <c r="A115" s="12" t="str">
        <f ca="1">TEXT(Overig!A115,"000\,")&amp;TEXT(Overig!B115,"?00000000")&amp;SUBSTITUTE(TEXT(IF(ISTEXT(Overig!C115),Overig!C115,10*Overig!C115),""",""????0;"",""???-0;"",""????0;"", ////"""),"'","""")&amp;SUBSTITUTE(TEXT(Overig!D115,""",""?00;"",""?-00;"",""?00;"", //"""),"'","""")</f>
        <v>032, 19370424, 7605, 00</v>
      </c>
    </row>
    <row r="116" spans="1:1" x14ac:dyDescent="0.25">
      <c r="A116" s="12" t="str">
        <f ca="1">TEXT(Overig!A116,"000\,")&amp;TEXT(Overig!B116,"?00000000")&amp;SUBSTITUTE(TEXT(IF(ISTEXT(Overig!C116),Overig!C116,10*Overig!C116),""",""????0;"",""???-0;"",""????0;"", ////"""),"'","""")&amp;SUBSTITUTE(TEXT(Overig!D116,""",""?00;"",""?-00;"",""?00;"", //"""),"'","""")</f>
        <v>032, 19370425, 7605, 00</v>
      </c>
    </row>
    <row r="117" spans="1:1" x14ac:dyDescent="0.25">
      <c r="A117" s="12" t="str">
        <f ca="1">TEXT(Overig!A117,"000\,")&amp;TEXT(Overig!B117,"?00000000")&amp;SUBSTITUTE(TEXT(IF(ISTEXT(Overig!C117),Overig!C117,10*Overig!C117),""",""????0;"",""???-0;"",""????0;"", ////"""),"'","""")&amp;SUBSTITUTE(TEXT(Overig!D117,""",""?00;"",""?-00;"",""?00;"", //"""),"'","""")</f>
        <v>032, 19370426, 7595, 00</v>
      </c>
    </row>
    <row r="118" spans="1:1" x14ac:dyDescent="0.25">
      <c r="A118" s="12" t="str">
        <f ca="1">TEXT(Overig!A118,"000\,")&amp;TEXT(Overig!B118,"?00000000")&amp;SUBSTITUTE(TEXT(IF(ISTEXT(Overig!C118),Overig!C118,10*Overig!C118),""",""????0;"",""???-0;"",""????0;"", ////"""),"'","""")&amp;SUBSTITUTE(TEXT(Overig!D118,""",""?00;"",""?-00;"",""?00;"", //"""),"'","""")</f>
        <v>032, 19370427, 7590, 00</v>
      </c>
    </row>
    <row r="119" spans="1:1" x14ac:dyDescent="0.25">
      <c r="A119" s="12" t="str">
        <f ca="1">TEXT(Overig!A119,"000\,")&amp;TEXT(Overig!B119,"?00000000")&amp;SUBSTITUTE(TEXT(IF(ISTEXT(Overig!C119),Overig!C119,10*Overig!C119),""",""????0;"",""???-0;"",""????0;"", ////"""),"'","""")&amp;SUBSTITUTE(TEXT(Overig!D119,""",""?00;"",""?-00;"",""?00;"", //"""),"'","""")</f>
        <v>032, 19370428, 7590, 00</v>
      </c>
    </row>
    <row r="120" spans="1:1" x14ac:dyDescent="0.25">
      <c r="A120" s="12" t="str">
        <f ca="1">TEXT(Overig!A120,"000\,")&amp;TEXT(Overig!B120,"?00000000")&amp;SUBSTITUTE(TEXT(IF(ISTEXT(Overig!C120),Overig!C120,10*Overig!C120),""",""????0;"",""???-0;"",""????0;"", ////"""),"'","""")&amp;SUBSTITUTE(TEXT(Overig!D120,""",""?00;"",""?-00;"",""?00;"", //"""),"'","""")</f>
        <v>032, 19370429, 7605, 00</v>
      </c>
    </row>
    <row r="121" spans="1:1" x14ac:dyDescent="0.25">
      <c r="A121" s="12" t="str">
        <f ca="1">TEXT(Overig!A121,"000\,")&amp;TEXT(Overig!B121,"?00000000")&amp;SUBSTITUTE(TEXT(IF(ISTEXT(Overig!C121),Overig!C121,10*Overig!C121),""",""????0;"",""???-0;"",""????0;"", ////"""),"'","""")&amp;SUBSTITUTE(TEXT(Overig!D121,""",""?00;"",""?-00;"",""?00;"", //"""),"'","""")</f>
        <v>032, 19370430, 7605, 00</v>
      </c>
    </row>
    <row r="122" spans="1:1" x14ac:dyDescent="0.25">
      <c r="A122" s="12" t="str">
        <f ca="1">TEXT(Overig!A122,"000\,")&amp;TEXT(Overig!B122,"?00000000")&amp;SUBSTITUTE(TEXT(IF(ISTEXT(Overig!C122),Overig!C122,10*Overig!C122),""",""????0;"",""???-0;"",""????0;"", ////"""),"'","""")&amp;SUBSTITUTE(TEXT(Overig!D122,""",""?00;"",""?-00;"",""?00;"", //"""),"'","""")</f>
        <v>032, 19370501, 7625, 00</v>
      </c>
    </row>
    <row r="123" spans="1:1" x14ac:dyDescent="0.25">
      <c r="A123" s="12" t="str">
        <f ca="1">TEXT(Overig!A123,"000\,")&amp;TEXT(Overig!B123,"?00000000")&amp;SUBSTITUTE(TEXT(IF(ISTEXT(Overig!C123),Overig!C123,10*Overig!C123),""",""????0;"",""???-0;"",""????0;"", ////"""),"'","""")&amp;SUBSTITUTE(TEXT(Overig!D123,""",""?00;"",""?-00;"",""?00;"", //"""),"'","""")</f>
        <v>032, 19370502, 7600, 00</v>
      </c>
    </row>
    <row r="124" spans="1:1" x14ac:dyDescent="0.25">
      <c r="A124" s="12" t="str">
        <f ca="1">TEXT(Overig!A124,"000\,")&amp;TEXT(Overig!B124,"?00000000")&amp;SUBSTITUTE(TEXT(IF(ISTEXT(Overig!C124),Overig!C124,10*Overig!C124),""",""????0;"",""???-0;"",""????0;"", ////"""),"'","""")&amp;SUBSTITUTE(TEXT(Overig!D124,""",""?00;"",""?-00;"",""?00;"", //"""),"'","""")</f>
        <v>032, 19370503, 7625, 00</v>
      </c>
    </row>
    <row r="125" spans="1:1" x14ac:dyDescent="0.25">
      <c r="A125" s="12" t="str">
        <f ca="1">TEXT(Overig!A125,"000\,")&amp;TEXT(Overig!B125,"?00000000")&amp;SUBSTITUTE(TEXT(IF(ISTEXT(Overig!C125),Overig!C125,10*Overig!C125),""",""????0;"",""???-0;"",""????0;"", ////"""),"'","""")&amp;SUBSTITUTE(TEXT(Overig!D125,""",""?00;"",""?-00;"",""?00;"", //"""),"'","""")</f>
        <v>032, 19370504, 7600, 00</v>
      </c>
    </row>
    <row r="126" spans="1:1" x14ac:dyDescent="0.25">
      <c r="A126" s="12" t="str">
        <f ca="1">TEXT(Overig!A126,"000\,")&amp;TEXT(Overig!B126,"?00000000")&amp;SUBSTITUTE(TEXT(IF(ISTEXT(Overig!C126),Overig!C126,10*Overig!C126),""",""????0;"",""???-0;"",""????0;"", ////"""),"'","""")&amp;SUBSTITUTE(TEXT(Overig!D126,""",""?00;"",""?-00;"",""?00;"", //"""),"'","""")</f>
        <v>032, 19370505, 7625, 00</v>
      </c>
    </row>
    <row r="127" spans="1:1" x14ac:dyDescent="0.25">
      <c r="A127" s="12" t="str">
        <f ca="1">TEXT(Overig!A127,"000\,")&amp;TEXT(Overig!B127,"?00000000")&amp;SUBSTITUTE(TEXT(IF(ISTEXT(Overig!C127),Overig!C127,10*Overig!C127),""",""????0;"",""???-0;"",""????0;"", ////"""),"'","""")&amp;SUBSTITUTE(TEXT(Overig!D127,""",""?00;"",""?-00;"",""?00;"", //"""),"'","""")</f>
        <v>032, 19370506, 7610, 00</v>
      </c>
    </row>
    <row r="128" spans="1:1" x14ac:dyDescent="0.25">
      <c r="A128" s="12" t="str">
        <f ca="1">TEXT(Overig!A128,"000\,")&amp;TEXT(Overig!B128,"?00000000")&amp;SUBSTITUTE(TEXT(IF(ISTEXT(Overig!C128),Overig!C128,10*Overig!C128),""",""????0;"",""???-0;"",""????0;"", ////"""),"'","""")&amp;SUBSTITUTE(TEXT(Overig!D128,""",""?00;"",""?-00;"",""?00;"", //"""),"'","""")</f>
        <v>032, 19370507, 7590, 00</v>
      </c>
    </row>
    <row r="129" spans="1:1" x14ac:dyDescent="0.25">
      <c r="A129" s="12" t="str">
        <f ca="1">TEXT(Overig!A129,"000\,")&amp;TEXT(Overig!B129,"?00000000")&amp;SUBSTITUTE(TEXT(IF(ISTEXT(Overig!C129),Overig!C129,10*Overig!C129),""",""????0;"",""???-0;"",""????0;"", ////"""),"'","""")&amp;SUBSTITUTE(TEXT(Overig!D129,""",""?00;"",""?-00;"",""?00;"", //"""),"'","""")</f>
        <v>032, 19370508, 7590, 00</v>
      </c>
    </row>
    <row r="130" spans="1:1" x14ac:dyDescent="0.25">
      <c r="A130" s="12" t="str">
        <f ca="1">TEXT(Overig!A130,"000\,")&amp;TEXT(Overig!B130,"?00000000")&amp;SUBSTITUTE(TEXT(IF(ISTEXT(Overig!C130),Overig!C130,10*Overig!C130),""",""????0;"",""???-0;"",""????0;"", ////"""),"'","""")&amp;SUBSTITUTE(TEXT(Overig!D130,""",""?00;"",""?-00;"",""?00;"", //"""),"'","""")</f>
        <v>032, 19370509, 7605, 00</v>
      </c>
    </row>
    <row r="131" spans="1:1" x14ac:dyDescent="0.25">
      <c r="A131" s="12" t="str">
        <f ca="1">TEXT(Overig!A131,"000\,")&amp;TEXT(Overig!B131,"?00000000")&amp;SUBSTITUTE(TEXT(IF(ISTEXT(Overig!C131),Overig!C131,10*Overig!C131),""",""????0;"",""???-0;"",""????0;"", ////"""),"'","""")&amp;SUBSTITUTE(TEXT(Overig!D131,""",""?00;"",""?-00;"",""?00;"", //"""),"'","""")</f>
        <v>032, 19370510, 7595, 00</v>
      </c>
    </row>
    <row r="132" spans="1:1" x14ac:dyDescent="0.25">
      <c r="A132" s="12" t="str">
        <f ca="1">TEXT(Overig!A132,"000\,")&amp;TEXT(Overig!B132,"?00000000")&amp;SUBSTITUTE(TEXT(IF(ISTEXT(Overig!C132),Overig!C132,10*Overig!C132),""",""????0;"",""???-0;"",""????0;"", ////"""),"'","""")&amp;SUBSTITUTE(TEXT(Overig!D132,""",""?00;"",""?-00;"",""?00;"", //"""),"'","""")</f>
        <v>032, 19370511, 7595, 00</v>
      </c>
    </row>
    <row r="133" spans="1:1" x14ac:dyDescent="0.25">
      <c r="A133" s="12" t="str">
        <f ca="1">TEXT(Overig!A133,"000\,")&amp;TEXT(Overig!B133,"?00000000")&amp;SUBSTITUTE(TEXT(IF(ISTEXT(Overig!C133),Overig!C133,10*Overig!C133),""",""????0;"",""???-0;"",""????0;"", ////"""),"'","""")&amp;SUBSTITUTE(TEXT(Overig!D133,""",""?00;"",""?-00;"",""?00;"", //"""),"'","""")</f>
        <v>032, 19370512, 7600, 00</v>
      </c>
    </row>
    <row r="134" spans="1:1" x14ac:dyDescent="0.25">
      <c r="A134" s="12" t="str">
        <f ca="1">TEXT(Overig!A134,"000\,")&amp;TEXT(Overig!B134,"?00000000")&amp;SUBSTITUTE(TEXT(IF(ISTEXT(Overig!C134),Overig!C134,10*Overig!C134),""",""????0;"",""???-0;"",""????0;"", ////"""),"'","""")&amp;SUBSTITUTE(TEXT(Overig!D134,""",""?00;"",""?-00;"",""?00;"", //"""),"'","""")</f>
        <v>032, 19370513, 7600, 00</v>
      </c>
    </row>
    <row r="135" spans="1:1" x14ac:dyDescent="0.25">
      <c r="A135" s="12" t="str">
        <f ca="1">TEXT(Overig!A135,"000\,")&amp;TEXT(Overig!B135,"?00000000")&amp;SUBSTITUTE(TEXT(IF(ISTEXT(Overig!C135),Overig!C135,10*Overig!C135),""",""????0;"",""???-0;"",""????0;"", ////"""),"'","""")&amp;SUBSTITUTE(TEXT(Overig!D135,""",""?00;"",""?-00;"",""?00;"", //"""),"'","""")</f>
        <v>032, 19370514, 7590, 00</v>
      </c>
    </row>
    <row r="136" spans="1:1" x14ac:dyDescent="0.25">
      <c r="A136" s="12" t="str">
        <f ca="1">TEXT(Overig!A136,"000\,")&amp;TEXT(Overig!B136,"?00000000")&amp;SUBSTITUTE(TEXT(IF(ISTEXT(Overig!C136),Overig!C136,10*Overig!C136),""",""????0;"",""???-0;"",""????0;"", ////"""),"'","""")&amp;SUBSTITUTE(TEXT(Overig!D136,""",""?00;"",""?-00;"",""?00;"", //"""),"'","""")</f>
        <v>032, 19370515, 7595, 00</v>
      </c>
    </row>
    <row r="137" spans="1:1" x14ac:dyDescent="0.25">
      <c r="A137" s="12" t="str">
        <f ca="1">TEXT(Overig!A137,"000\,")&amp;TEXT(Overig!B137,"?00000000")&amp;SUBSTITUTE(TEXT(IF(ISTEXT(Overig!C137),Overig!C137,10*Overig!C137),""",""????0;"",""???-0;"",""????0;"", ////"""),"'","""")&amp;SUBSTITUTE(TEXT(Overig!D137,""",""?00;"",""?-00;"",""?00;"", //"""),"'","""")</f>
        <v>032, 19370516, 7605, 00</v>
      </c>
    </row>
    <row r="138" spans="1:1" x14ac:dyDescent="0.25">
      <c r="A138" s="12" t="str">
        <f ca="1">TEXT(Overig!A138,"000\,")&amp;TEXT(Overig!B138,"?00000000")&amp;SUBSTITUTE(TEXT(IF(ISTEXT(Overig!C138),Overig!C138,10*Overig!C138),""",""????0;"",""???-0;"",""????0;"", ////"""),"'","""")&amp;SUBSTITUTE(TEXT(Overig!D138,""",""?00;"",""?-00;"",""?00;"", //"""),"'","""")</f>
        <v>032, 19370517, 7605, 00</v>
      </c>
    </row>
    <row r="139" spans="1:1" x14ac:dyDescent="0.25">
      <c r="A139" s="12" t="str">
        <f ca="1">TEXT(Overig!A139,"000\,")&amp;TEXT(Overig!B139,"?00000000")&amp;SUBSTITUTE(TEXT(IF(ISTEXT(Overig!C139),Overig!C139,10*Overig!C139),""",""????0;"",""???-0;"",""????0;"", ////"""),"'","""")&amp;SUBSTITUTE(TEXT(Overig!D139,""",""?00;"",""?-00;"",""?00;"", //"""),"'","""")</f>
        <v>032, 19370518, 7610, 00</v>
      </c>
    </row>
    <row r="140" spans="1:1" x14ac:dyDescent="0.25">
      <c r="A140" s="12" t="str">
        <f ca="1">TEXT(Overig!A140,"000\,")&amp;TEXT(Overig!B140,"?00000000")&amp;SUBSTITUTE(TEXT(IF(ISTEXT(Overig!C140),Overig!C140,10*Overig!C140),""",""????0;"",""???-0;"",""????0;"", ////"""),"'","""")&amp;SUBSTITUTE(TEXT(Overig!D140,""",""?00;"",""?-00;"",""?00;"", //"""),"'","""")</f>
        <v>032, 19370519, 7610, 00</v>
      </c>
    </row>
    <row r="141" spans="1:1" x14ac:dyDescent="0.25">
      <c r="A141" s="12" t="str">
        <f ca="1">TEXT(Overig!A141,"000\,")&amp;TEXT(Overig!B141,"?00000000")&amp;SUBSTITUTE(TEXT(IF(ISTEXT(Overig!C141),Overig!C141,10*Overig!C141),""",""????0;"",""???-0;"",""????0;"", ////"""),"'","""")&amp;SUBSTITUTE(TEXT(Overig!D141,""",""?00;"",""?-00;"",""?00;"", //"""),"'","""")</f>
        <v>032, 19370520, 7625, 00</v>
      </c>
    </row>
    <row r="142" spans="1:1" x14ac:dyDescent="0.25">
      <c r="A142" s="12" t="str">
        <f ca="1">TEXT(Overig!A142,"000\,")&amp;TEXT(Overig!B142,"?00000000")&amp;SUBSTITUTE(TEXT(IF(ISTEXT(Overig!C142),Overig!C142,10*Overig!C142),""",""????0;"",""???-0;"",""????0;"", ////"""),"'","""")&amp;SUBSTITUTE(TEXT(Overig!D142,""",""?00;"",""?-00;"",""?00;"", //"""),"'","""")</f>
        <v>032, 19370521, 7620, 00</v>
      </c>
    </row>
    <row r="143" spans="1:1" x14ac:dyDescent="0.25">
      <c r="A143" s="12" t="str">
        <f ca="1">TEXT(Overig!A143,"000\,")&amp;TEXT(Overig!B143,"?00000000")&amp;SUBSTITUTE(TEXT(IF(ISTEXT(Overig!C143),Overig!C143,10*Overig!C143),""",""????0;"",""???-0;"",""????0;"", ////"""),"'","""")&amp;SUBSTITUTE(TEXT(Overig!D143,""",""?00;"",""?-00;"",""?00;"", //"""),"'","""")</f>
        <v>032, 19370522, 7620, 00</v>
      </c>
    </row>
    <row r="144" spans="1:1" x14ac:dyDescent="0.25">
      <c r="A144" s="12" t="str">
        <f ca="1">TEXT(Overig!A144,"000\,")&amp;TEXT(Overig!B144,"?00000000")&amp;SUBSTITUTE(TEXT(IF(ISTEXT(Overig!C144),Overig!C144,10*Overig!C144),""",""????0;"",""???-0;"",""????0;"", ////"""),"'","""")&amp;SUBSTITUTE(TEXT(Overig!D144,""",""?00;"",""?-00;"",""?00;"", //"""),"'","""")</f>
        <v>032, 19370523, 7595, 00</v>
      </c>
    </row>
    <row r="145" spans="1:1" x14ac:dyDescent="0.25">
      <c r="A145" s="12" t="str">
        <f ca="1">TEXT(Overig!A145,"000\,")&amp;TEXT(Overig!B145,"?00000000")&amp;SUBSTITUTE(TEXT(IF(ISTEXT(Overig!C145),Overig!C145,10*Overig!C145),""",""????0;"",""???-0;"",""????0;"", ////"""),"'","""")&amp;SUBSTITUTE(TEXT(Overig!D145,""",""?00;"",""?-00;"",""?00;"", //"""),"'","""")</f>
        <v>032, 19370524, 7595, 00</v>
      </c>
    </row>
    <row r="146" spans="1:1" x14ac:dyDescent="0.25">
      <c r="A146" s="12" t="str">
        <f ca="1">TEXT(Overig!A146,"000\,")&amp;TEXT(Overig!B146,"?00000000")&amp;SUBSTITUTE(TEXT(IF(ISTEXT(Overig!C146),Overig!C146,10*Overig!C146),""",""????0;"",""???-0;"",""????0;"", ////"""),"'","""")&amp;SUBSTITUTE(TEXT(Overig!D146,""",""?00;"",""?-00;"",""?00;"", //"""),"'","""")</f>
        <v>032, 19370525, 7600, 00</v>
      </c>
    </row>
    <row r="147" spans="1:1" x14ac:dyDescent="0.25">
      <c r="A147" s="12" t="str">
        <f ca="1">TEXT(Overig!A147,"000\,")&amp;TEXT(Overig!B147,"?00000000")&amp;SUBSTITUTE(TEXT(IF(ISTEXT(Overig!C147),Overig!C147,10*Overig!C147),""",""????0;"",""???-0;"",""????0;"", ////"""),"'","""")&amp;SUBSTITUTE(TEXT(Overig!D147,""",""?00;"",""?-00;"",""?00;"", //"""),"'","""")</f>
        <v>032, 19370526, 7600, 00</v>
      </c>
    </row>
    <row r="148" spans="1:1" x14ac:dyDescent="0.25">
      <c r="A148" s="12" t="str">
        <f ca="1">TEXT(Overig!A148,"000\,")&amp;TEXT(Overig!B148,"?00000000")&amp;SUBSTITUTE(TEXT(IF(ISTEXT(Overig!C148),Overig!C148,10*Overig!C148),""",""????0;"",""???-0;"",""????0;"", ////"""),"'","""")&amp;SUBSTITUTE(TEXT(Overig!D148,""",""?00;"",""?-00;"",""?00;"", //"""),"'","""")</f>
        <v>032, 19370527, 7605, 00</v>
      </c>
    </row>
    <row r="149" spans="1:1" x14ac:dyDescent="0.25">
      <c r="A149" s="12" t="str">
        <f ca="1">TEXT(Overig!A149,"000\,")&amp;TEXT(Overig!B149,"?00000000")&amp;SUBSTITUTE(TEXT(IF(ISTEXT(Overig!C149),Overig!C149,10*Overig!C149),""",""????0;"",""???-0;"",""????0;"", ////"""),"'","""")&amp;SUBSTITUTE(TEXT(Overig!D149,""",""?00;"",""?-00;"",""?00;"", //"""),"'","""")</f>
        <v>032, 19370528, 7605, 00</v>
      </c>
    </row>
    <row r="150" spans="1:1" x14ac:dyDescent="0.25">
      <c r="A150" s="12" t="str">
        <f ca="1">TEXT(Overig!A150,"000\,")&amp;TEXT(Overig!B150,"?00000000")&amp;SUBSTITUTE(TEXT(IF(ISTEXT(Overig!C150),Overig!C150,10*Overig!C150),""",""????0;"",""???-0;"",""????0;"", ////"""),"'","""")&amp;SUBSTITUTE(TEXT(Overig!D150,""",""?00;"",""?-00;"",""?00;"", //"""),"'","""")</f>
        <v>032, 19370529, 7600, 00</v>
      </c>
    </row>
    <row r="151" spans="1:1" x14ac:dyDescent="0.25">
      <c r="A151" s="12" t="str">
        <f ca="1">TEXT(Overig!A151,"000\,")&amp;TEXT(Overig!B151,"?00000000")&amp;SUBSTITUTE(TEXT(IF(ISTEXT(Overig!C151),Overig!C151,10*Overig!C151),""",""????0;"",""???-0;"",""????0;"", ////"""),"'","""")&amp;SUBSTITUTE(TEXT(Overig!D151,""",""?00;"",""?-00;"",""?00;"", //"""),"'","""")</f>
        <v>032, 19370530, 7600, 00</v>
      </c>
    </row>
    <row r="152" spans="1:1" x14ac:dyDescent="0.25">
      <c r="A152" s="12" t="str">
        <f ca="1">TEXT(Overig!A152,"000\,")&amp;TEXT(Overig!B152,"?00000000")&amp;SUBSTITUTE(TEXT(IF(ISTEXT(Overig!C152),Overig!C152,10*Overig!C152),""",""????0;"",""???-0;"",""????0;"", ////"""),"'","""")&amp;SUBSTITUTE(TEXT(Overig!D152,""",""?00;"",""?-00;"",""?00;"", //"""),"'","""")</f>
        <v>032, 19370531, 7605, 00</v>
      </c>
    </row>
    <row r="153" spans="1:1" x14ac:dyDescent="0.25">
      <c r="A153" s="12" t="str">
        <f ca="1">TEXT(Overig!A153,"000\,")&amp;TEXT(Overig!B153,"?00000000")&amp;SUBSTITUTE(TEXT(IF(ISTEXT(Overig!C153),Overig!C153,10*Overig!C153),""",""????0;"",""???-0;"",""????0;"", ////"""),"'","""")&amp;SUBSTITUTE(TEXT(Overig!D153,""",""?00;"",""?-00;"",""?00;"", //"""),"'","""")</f>
        <v>032, 19370601, 7620, 00</v>
      </c>
    </row>
    <row r="154" spans="1:1" x14ac:dyDescent="0.25">
      <c r="A154" s="12" t="str">
        <f ca="1">TEXT(Overig!A154,"000\,")&amp;TEXT(Overig!B154,"?00000000")&amp;SUBSTITUTE(TEXT(IF(ISTEXT(Overig!C154),Overig!C154,10*Overig!C154),""",""????0;"",""???-0;"",""????0;"", ////"""),"'","""")&amp;SUBSTITUTE(TEXT(Overig!D154,""",""?00;"",""?-00;"",""?00;"", //"""),"'","""")</f>
        <v>032, 19370602, 7590, 00</v>
      </c>
    </row>
    <row r="155" spans="1:1" x14ac:dyDescent="0.25">
      <c r="A155" s="12" t="str">
        <f ca="1">TEXT(Overig!A155,"000\,")&amp;TEXT(Overig!B155,"?00000000")&amp;SUBSTITUTE(TEXT(IF(ISTEXT(Overig!C155),Overig!C155,10*Overig!C155),""",""????0;"",""???-0;"",""????0;"", ////"""),"'","""")&amp;SUBSTITUTE(TEXT(Overig!D155,""",""?00;"",""?-00;"",""?00;"", //"""),"'","""")</f>
        <v>032, 19370603, 7600, 00</v>
      </c>
    </row>
    <row r="156" spans="1:1" x14ac:dyDescent="0.25">
      <c r="A156" s="12" t="str">
        <f ca="1">TEXT(Overig!A156,"000\,")&amp;TEXT(Overig!B156,"?00000000")&amp;SUBSTITUTE(TEXT(IF(ISTEXT(Overig!C156),Overig!C156,10*Overig!C156),""",""????0;"",""???-0;"",""????0;"", ////"""),"'","""")&amp;SUBSTITUTE(TEXT(Overig!D156,""",""?00;"",""?-00;"",""?00;"", //"""),"'","""")</f>
        <v>032, 19370604, 7625, 00</v>
      </c>
    </row>
    <row r="157" spans="1:1" x14ac:dyDescent="0.25">
      <c r="A157" s="12" t="str">
        <f ca="1">TEXT(Overig!A157,"000\,")&amp;TEXT(Overig!B157,"?00000000")&amp;SUBSTITUTE(TEXT(IF(ISTEXT(Overig!C157),Overig!C157,10*Overig!C157),""",""????0;"",""???-0;"",""????0;"", ////"""),"'","""")&amp;SUBSTITUTE(TEXT(Overig!D157,""",""?00;"",""?-00;"",""?00;"", //"""),"'","""")</f>
        <v>032, 19370605, 7625, 00</v>
      </c>
    </row>
    <row r="158" spans="1:1" x14ac:dyDescent="0.25">
      <c r="A158" s="12" t="str">
        <f ca="1">TEXT(Overig!A158,"000\,")&amp;TEXT(Overig!B158,"?00000000")&amp;SUBSTITUTE(TEXT(IF(ISTEXT(Overig!C158),Overig!C158,10*Overig!C158),""",""????0;"",""???-0;"",""????0;"", ////"""),"'","""")&amp;SUBSTITUTE(TEXT(Overig!D158,""",""?00;"",""?-00;"",""?00;"", //"""),"'","""")</f>
        <v>032, 19370606, 7605, 00</v>
      </c>
    </row>
    <row r="159" spans="1:1" x14ac:dyDescent="0.25">
      <c r="A159" s="12" t="str">
        <f ca="1">TEXT(Overig!A159,"000\,")&amp;TEXT(Overig!B159,"?00000000")&amp;SUBSTITUTE(TEXT(IF(ISTEXT(Overig!C159),Overig!C159,10*Overig!C159),""",""????0;"",""???-0;"",""????0;"", ////"""),"'","""")&amp;SUBSTITUTE(TEXT(Overig!D159,""",""?00;"",""?-00;"",""?00;"", //"""),"'","""")</f>
        <v>032, 19370607, 7590, 00</v>
      </c>
    </row>
    <row r="160" spans="1:1" x14ac:dyDescent="0.25">
      <c r="A160" s="12" t="str">
        <f ca="1">TEXT(Overig!A160,"000\,")&amp;TEXT(Overig!B160,"?00000000")&amp;SUBSTITUTE(TEXT(IF(ISTEXT(Overig!C160),Overig!C160,10*Overig!C160),""",""????0;"",""???-0;"",""????0;"", ////"""),"'","""")&amp;SUBSTITUTE(TEXT(Overig!D160,""",""?00;"",""?-00;"",""?00;"", //"""),"'","""")</f>
        <v>032, 19370608, 7590, 00</v>
      </c>
    </row>
    <row r="161" spans="1:1" x14ac:dyDescent="0.25">
      <c r="A161" s="12" t="str">
        <f ca="1">TEXT(Overig!A161,"000\,")&amp;TEXT(Overig!B161,"?00000000")&amp;SUBSTITUTE(TEXT(IF(ISTEXT(Overig!C161),Overig!C161,10*Overig!C161),""",""????0;"",""???-0;"",""????0;"", ////"""),"'","""")&amp;SUBSTITUTE(TEXT(Overig!D161,""",""?00;"",""?-00;"",""?00;"", //"""),"'","""")</f>
        <v>032, 19370609, 7620, 00</v>
      </c>
    </row>
    <row r="162" spans="1:1" x14ac:dyDescent="0.25">
      <c r="A162" s="12" t="str">
        <f ca="1">TEXT(Overig!A162,"000\,")&amp;TEXT(Overig!B162,"?00000000")&amp;SUBSTITUTE(TEXT(IF(ISTEXT(Overig!C162),Overig!C162,10*Overig!C162),""",""????0;"",""???-0;"",""????0;"", ////"""),"'","""")&amp;SUBSTITUTE(TEXT(Overig!D162,""",""?00;"",""?-00;"",""?00;"", //"""),"'","""")</f>
        <v>032, 19370610, 7625, 00</v>
      </c>
    </row>
    <row r="163" spans="1:1" x14ac:dyDescent="0.25">
      <c r="A163" s="12" t="str">
        <f ca="1">TEXT(Overig!A163,"000\,")&amp;TEXT(Overig!B163,"?00000000")&amp;SUBSTITUTE(TEXT(IF(ISTEXT(Overig!C163),Overig!C163,10*Overig!C163),""",""????0;"",""???-0;"",""????0;"", ////"""),"'","""")&amp;SUBSTITUTE(TEXT(Overig!D163,""",""?00;"",""?-00;"",""?00;"", //"""),"'","""")</f>
        <v>032, 19370611, 7630, 00</v>
      </c>
    </row>
    <row r="164" spans="1:1" x14ac:dyDescent="0.25">
      <c r="A164" s="12" t="str">
        <f ca="1">TEXT(Overig!A164,"000\,")&amp;TEXT(Overig!B164,"?00000000")&amp;SUBSTITUTE(TEXT(IF(ISTEXT(Overig!C164),Overig!C164,10*Overig!C164),""",""????0;"",""???-0;"",""????0;"", ////"""),"'","""")&amp;SUBSTITUTE(TEXT(Overig!D164,""",""?00;"",""?-00;"",""?00;"", //"""),"'","""")</f>
        <v>032, 19370612, 7625, 00</v>
      </c>
    </row>
    <row r="165" spans="1:1" x14ac:dyDescent="0.25">
      <c r="A165" s="12" t="str">
        <f ca="1">TEXT(Overig!A165,"000\,")&amp;TEXT(Overig!B165,"?00000000")&amp;SUBSTITUTE(TEXT(IF(ISTEXT(Overig!C165),Overig!C165,10*Overig!C165),""",""????0;"",""???-0;"",""????0;"", ////"""),"'","""")&amp;SUBSTITUTE(TEXT(Overig!D165,""",""?00;"",""?-00;"",""?00;"", //"""),"'","""")</f>
        <v>032, 19370613, 7605, 00</v>
      </c>
    </row>
    <row r="166" spans="1:1" x14ac:dyDescent="0.25">
      <c r="A166" s="12" t="str">
        <f ca="1">TEXT(Overig!A166,"000\,")&amp;TEXT(Overig!B166,"?00000000")&amp;SUBSTITUTE(TEXT(IF(ISTEXT(Overig!C166),Overig!C166,10*Overig!C166),""",""????0;"",""???-0;"",""????0;"", ////"""),"'","""")&amp;SUBSTITUTE(TEXT(Overig!D166,""",""?00;"",""?-00;"",""?00;"", //"""),"'","""")</f>
        <v>032, 19370614, 7605, 00</v>
      </c>
    </row>
    <row r="167" spans="1:1" x14ac:dyDescent="0.25">
      <c r="A167" s="12" t="str">
        <f ca="1">TEXT(Overig!A167,"000\,")&amp;TEXT(Overig!B167,"?00000000")&amp;SUBSTITUTE(TEXT(IF(ISTEXT(Overig!C167),Overig!C167,10*Overig!C167),""",""????0;"",""???-0;"",""????0;"", ////"""),"'","""")&amp;SUBSTITUTE(TEXT(Overig!D167,""",""?00;"",""?-00;"",""?00;"", //"""),"'","""")</f>
        <v>032, 19370615, 7625, 00</v>
      </c>
    </row>
    <row r="168" spans="1:1" x14ac:dyDescent="0.25">
      <c r="A168" s="12" t="str">
        <f ca="1">TEXT(Overig!A168,"000\,")&amp;TEXT(Overig!B168,"?00000000")&amp;SUBSTITUTE(TEXT(IF(ISTEXT(Overig!C168),Overig!C168,10*Overig!C168),""",""????0;"",""???-0;"",""????0;"", ////"""),"'","""")&amp;SUBSTITUTE(TEXT(Overig!D168,""",""?00;"",""?-00;"",""?00;"", //"""),"'","""")</f>
        <v>032, 19370616, 7625, 00</v>
      </c>
    </row>
    <row r="169" spans="1:1" x14ac:dyDescent="0.25">
      <c r="A169" s="12" t="str">
        <f ca="1">TEXT(Overig!A169,"000\,")&amp;TEXT(Overig!B169,"?00000000")&amp;SUBSTITUTE(TEXT(IF(ISTEXT(Overig!C169),Overig!C169,10*Overig!C169),""",""????0;"",""???-0;"",""????0;"", ////"""),"'","""")&amp;SUBSTITUTE(TEXT(Overig!D169,""",""?00;"",""?-00;"",""?00;"", //"""),"'","""")</f>
        <v>032, 19370617, 7595, 00</v>
      </c>
    </row>
    <row r="170" spans="1:1" x14ac:dyDescent="0.25">
      <c r="A170" s="12" t="str">
        <f ca="1">TEXT(Overig!A170,"000\,")&amp;TEXT(Overig!B170,"?00000000")&amp;SUBSTITUTE(TEXT(IF(ISTEXT(Overig!C170),Overig!C170,10*Overig!C170),""",""????0;"",""???-0;"",""????0;"", ////"""),"'","""")&amp;SUBSTITUTE(TEXT(Overig!D170,""",""?00;"",""?-00;"",""?00;"", //"""),"'","""")</f>
        <v>032, 19370618, 7595, 00</v>
      </c>
    </row>
    <row r="171" spans="1:1" x14ac:dyDescent="0.25">
      <c r="A171" s="12" t="str">
        <f ca="1">TEXT(Overig!A171,"000\,")&amp;TEXT(Overig!B171,"?00000000")&amp;SUBSTITUTE(TEXT(IF(ISTEXT(Overig!C171),Overig!C171,10*Overig!C171),""",""????0;"",""???-0;"",""????0;"", ////"""),"'","""")&amp;SUBSTITUTE(TEXT(Overig!D171,""",""?00;"",""?-00;"",""?00;"", //"""),"'","""")</f>
        <v>032, 19370619, 7605, 00</v>
      </c>
    </row>
    <row r="172" spans="1:1" x14ac:dyDescent="0.25">
      <c r="A172" s="12" t="str">
        <f ca="1">TEXT(Overig!A172,"000\,")&amp;TEXT(Overig!B172,"?00000000")&amp;SUBSTITUTE(TEXT(IF(ISTEXT(Overig!C172),Overig!C172,10*Overig!C172),""",""????0;"",""???-0;"",""????0;"", ////"""),"'","""")&amp;SUBSTITUTE(TEXT(Overig!D172,""",""?00;"",""?-00;"",""?00;"", //"""),"'","""")</f>
        <v>032, 19370620, 7605, 00</v>
      </c>
    </row>
    <row r="173" spans="1:1" x14ac:dyDescent="0.25">
      <c r="A173" s="12" t="str">
        <f ca="1">TEXT(Overig!A173,"000\,")&amp;TEXT(Overig!B173,"?00000000")&amp;SUBSTITUTE(TEXT(IF(ISTEXT(Overig!C173),Overig!C173,10*Overig!C173),""",""????0;"",""???-0;"",""????0;"", ////"""),"'","""")&amp;SUBSTITUTE(TEXT(Overig!D173,""",""?00;"",""?-00;"",""?00;"", //"""),"'","""")</f>
        <v>032, 19370621, 7625, 00</v>
      </c>
    </row>
    <row r="174" spans="1:1" x14ac:dyDescent="0.25">
      <c r="A174" s="12" t="str">
        <f ca="1">TEXT(Overig!A174,"000\,")&amp;TEXT(Overig!B174,"?00000000")&amp;SUBSTITUTE(TEXT(IF(ISTEXT(Overig!C174),Overig!C174,10*Overig!C174),""",""????0;"",""???-0;"",""????0;"", ////"""),"'","""")&amp;SUBSTITUTE(TEXT(Overig!D174,""",""?00;"",""?-00;"",""?00;"", //"""),"'","""")</f>
        <v>032, 19370622, 7625, 00</v>
      </c>
    </row>
    <row r="175" spans="1:1" x14ac:dyDescent="0.25">
      <c r="A175" s="12" t="str">
        <f ca="1">TEXT(Overig!A175,"000\,")&amp;TEXT(Overig!B175,"?00000000")&amp;SUBSTITUTE(TEXT(IF(ISTEXT(Overig!C175),Overig!C175,10*Overig!C175),""",""????0;"",""???-0;"",""????0;"", ////"""),"'","""")&amp;SUBSTITUTE(TEXT(Overig!D175,""",""?00;"",""?-00;"",""?00;"", //"""),"'","""")</f>
        <v>032, 19370623, 7635, 00</v>
      </c>
    </row>
    <row r="176" spans="1:1" x14ac:dyDescent="0.25">
      <c r="A176" s="12" t="str">
        <f ca="1">TEXT(Overig!A176,"000\,")&amp;TEXT(Overig!B176,"?00000000")&amp;SUBSTITUTE(TEXT(IF(ISTEXT(Overig!C176),Overig!C176,10*Overig!C176),""",""????0;"",""???-0;"",""????0;"", ////"""),"'","""")&amp;SUBSTITUTE(TEXT(Overig!D176,""",""?00;"",""?-00;"",""?00;"", //"""),"'","""")</f>
        <v>032, 19370624, 7630, 00</v>
      </c>
    </row>
    <row r="177" spans="1:1" x14ac:dyDescent="0.25">
      <c r="A177" s="12" t="str">
        <f ca="1">TEXT(Overig!A177,"000\,")&amp;TEXT(Overig!B177,"?00000000")&amp;SUBSTITUTE(TEXT(IF(ISTEXT(Overig!C177),Overig!C177,10*Overig!C177),""",""????0;"",""???-0;"",""????0;"", ////"""),"'","""")&amp;SUBSTITUTE(TEXT(Overig!D177,""",""?00;"",""?-00;"",""?00;"", //"""),"'","""")</f>
        <v>032, 19370625, 7625, 00</v>
      </c>
    </row>
    <row r="178" spans="1:1" x14ac:dyDescent="0.25">
      <c r="A178" s="12" t="str">
        <f ca="1">TEXT(Overig!A178,"000\,")&amp;TEXT(Overig!B178,"?00000000")&amp;SUBSTITUTE(TEXT(IF(ISTEXT(Overig!C178),Overig!C178,10*Overig!C178),""",""????0;"",""???-0;"",""????0;"", ////"""),"'","""")&amp;SUBSTITUTE(TEXT(Overig!D178,""",""?00;"",""?-00;"",""?00;"", //"""),"'","""")</f>
        <v>032, 19370626, 7625, 00</v>
      </c>
    </row>
    <row r="179" spans="1:1" x14ac:dyDescent="0.25">
      <c r="A179" s="12" t="str">
        <f ca="1">TEXT(Overig!A179,"000\,")&amp;TEXT(Overig!B179,"?00000000")&amp;SUBSTITUTE(TEXT(IF(ISTEXT(Overig!C179),Overig!C179,10*Overig!C179),""",""????0;"",""???-0;"",""????0;"", ////"""),"'","""")&amp;SUBSTITUTE(TEXT(Overig!D179,""",""?00;"",""?-00;"",""?00;"", //"""),"'","""")</f>
        <v>032, 19370627, 7605, 00</v>
      </c>
    </row>
    <row r="180" spans="1:1" x14ac:dyDescent="0.25">
      <c r="A180" s="12" t="str">
        <f ca="1">TEXT(Overig!A180,"000\,")&amp;TEXT(Overig!B180,"?00000000")&amp;SUBSTITUTE(TEXT(IF(ISTEXT(Overig!C180),Overig!C180,10*Overig!C180),""",""????0;"",""???-0;"",""????0;"", ////"""),"'","""")&amp;SUBSTITUTE(TEXT(Overig!D180,""",""?00;"",""?-00;"",""?00;"", //"""),"'","""")</f>
        <v>032, 19370628, 7600, 00</v>
      </c>
    </row>
    <row r="181" spans="1:1" x14ac:dyDescent="0.25">
      <c r="A181" s="12" t="str">
        <f ca="1">TEXT(Overig!A181,"000\,")&amp;TEXT(Overig!B181,"?00000000")&amp;SUBSTITUTE(TEXT(IF(ISTEXT(Overig!C181),Overig!C181,10*Overig!C181),""",""????0;"",""???-0;"",""????0;"", ////"""),"'","""")&amp;SUBSTITUTE(TEXT(Overig!D181,""",""?00;"",""?-00;"",""?00;"", //"""),"'","""")</f>
        <v>032, 19370629, 7600, 00</v>
      </c>
    </row>
    <row r="182" spans="1:1" x14ac:dyDescent="0.25">
      <c r="A182" s="12" t="str">
        <f ca="1">TEXT(Overig!A182,"000\,")&amp;TEXT(Overig!B182,"?00000000")&amp;SUBSTITUTE(TEXT(IF(ISTEXT(Overig!C182),Overig!C182,10*Overig!C182),""",""????0;"",""???-0;"",""????0;"", ////"""),"'","""")&amp;SUBSTITUTE(TEXT(Overig!D182,""",""?00;"",""?-00;"",""?00;"", //"""),"'","""")</f>
        <v>032, 19370630, 7625, 00</v>
      </c>
    </row>
    <row r="183" spans="1:1" x14ac:dyDescent="0.25">
      <c r="A183" s="12" t="str">
        <f ca="1">TEXT(Overig!A183,"000\,")&amp;TEXT(Overig!B183,"?00000000")&amp;SUBSTITUTE(TEXT(IF(ISTEXT(Overig!C183),Overig!C183,10*Overig!C183),""",""????0;"",""???-0;"",""????0;"", ////"""),"'","""")&amp;SUBSTITUTE(TEXT(Overig!D183,""",""?00;"",""?-00;"",""?00;"", //"""),"'","""")</f>
        <v>032, 19370701, 7635, 00</v>
      </c>
    </row>
    <row r="184" spans="1:1" x14ac:dyDescent="0.25">
      <c r="A184" s="12" t="str">
        <f ca="1">TEXT(Overig!A184,"000\,")&amp;TEXT(Overig!B184,"?00000000")&amp;SUBSTITUTE(TEXT(IF(ISTEXT(Overig!C184),Overig!C184,10*Overig!C184),""",""????0;"",""???-0;"",""????0;"", ////"""),"'","""")&amp;SUBSTITUTE(TEXT(Overig!D184,""",""?00;"",""?-00;"",""?00;"", //"""),"'","""")</f>
        <v>032, 19370702, 7630, 00</v>
      </c>
    </row>
    <row r="185" spans="1:1" x14ac:dyDescent="0.25">
      <c r="A185" s="12" t="str">
        <f ca="1">TEXT(Overig!A185,"000\,")&amp;TEXT(Overig!B185,"?00000000")&amp;SUBSTITUTE(TEXT(IF(ISTEXT(Overig!C185),Overig!C185,10*Overig!C185),""",""????0;"",""???-0;"",""????0;"", ////"""),"'","""")&amp;SUBSTITUTE(TEXT(Overig!D185,""",""?00;"",""?-00;"",""?00;"", //"""),"'","""")</f>
        <v>032, 19370703, 7625, 00</v>
      </c>
    </row>
    <row r="186" spans="1:1" x14ac:dyDescent="0.25">
      <c r="A186" s="12" t="str">
        <f ca="1">TEXT(Overig!A186,"000\,")&amp;TEXT(Overig!B186,"?00000000")&amp;SUBSTITUTE(TEXT(IF(ISTEXT(Overig!C186),Overig!C186,10*Overig!C186),""",""????0;"",""???-0;"",""????0;"", ////"""),"'","""")&amp;SUBSTITUTE(TEXT(Overig!D186,""",""?00;"",""?-00;"",""?00;"", //"""),"'","""")</f>
        <v>032, 19370704, 7610, 00</v>
      </c>
    </row>
    <row r="187" spans="1:1" x14ac:dyDescent="0.25">
      <c r="A187" s="12" t="str">
        <f ca="1">TEXT(Overig!A187,"000\,")&amp;TEXT(Overig!B187,"?00000000")&amp;SUBSTITUTE(TEXT(IF(ISTEXT(Overig!C187),Overig!C187,10*Overig!C187),""",""????0;"",""???-0;"",""????0;"", ////"""),"'","""")&amp;SUBSTITUTE(TEXT(Overig!D187,""",""?00;"",""?-00;"",""?00;"", //"""),"'","""")</f>
        <v>032, 19370705, 7605, 00</v>
      </c>
    </row>
    <row r="188" spans="1:1" x14ac:dyDescent="0.25">
      <c r="A188" s="12" t="str">
        <f ca="1">TEXT(Overig!A188,"000\,")&amp;TEXT(Overig!B188,"?00000000")&amp;SUBSTITUTE(TEXT(IF(ISTEXT(Overig!C188),Overig!C188,10*Overig!C188),""",""????0;"",""???-0;"",""????0;"", ////"""),"'","""")&amp;SUBSTITUTE(TEXT(Overig!D188,""",""?00;"",""?-00;"",""?00;"", //"""),"'","""")</f>
        <v>032, 19370706, 7610, 00</v>
      </c>
    </row>
    <row r="189" spans="1:1" x14ac:dyDescent="0.25">
      <c r="A189" s="12" t="str">
        <f ca="1">TEXT(Overig!A189,"000\,")&amp;TEXT(Overig!B189,"?00000000")&amp;SUBSTITUTE(TEXT(IF(ISTEXT(Overig!C189),Overig!C189,10*Overig!C189),""",""????0;"",""???-0;"",""????0;"", ////"""),"'","""")&amp;SUBSTITUTE(TEXT(Overig!D189,""",""?00;"",""?-00;"",""?00;"", //"""),"'","""")</f>
        <v>032, 19370707, 7615, 00</v>
      </c>
    </row>
    <row r="190" spans="1:1" x14ac:dyDescent="0.25">
      <c r="A190" s="12" t="str">
        <f ca="1">TEXT(Overig!A190,"000\,")&amp;TEXT(Overig!B190,"?00000000")&amp;SUBSTITUTE(TEXT(IF(ISTEXT(Overig!C190),Overig!C190,10*Overig!C190),""",""????0;"",""???-0;"",""????0;"", ////"""),"'","""")&amp;SUBSTITUTE(TEXT(Overig!D190,""",""?00;"",""?-00;"",""?00;"", //"""),"'","""")</f>
        <v>032, 19370708, 7615, 00</v>
      </c>
    </row>
    <row r="191" spans="1:1" x14ac:dyDescent="0.25">
      <c r="A191" s="12" t="str">
        <f ca="1">TEXT(Overig!A191,"000\,")&amp;TEXT(Overig!B191,"?00000000")&amp;SUBSTITUTE(TEXT(IF(ISTEXT(Overig!C191),Overig!C191,10*Overig!C191),""",""????0;"",""???-0;"",""????0;"", ////"""),"'","""")&amp;SUBSTITUTE(TEXT(Overig!D191,""",""?00;"",""?-00;"",""?00;"", //"""),"'","""")</f>
        <v>032, 19370709, 7620, 00</v>
      </c>
    </row>
    <row r="192" spans="1:1" x14ac:dyDescent="0.25">
      <c r="A192" s="12" t="str">
        <f ca="1">TEXT(Overig!A192,"000\,")&amp;TEXT(Overig!B192,"?00000000")&amp;SUBSTITUTE(TEXT(IF(ISTEXT(Overig!C192),Overig!C192,10*Overig!C192),""",""????0;"",""???-0;"",""????0;"", ////"""),"'","""")&amp;SUBSTITUTE(TEXT(Overig!D192,""",""?00;"",""?-00;"",""?00;"", //"""),"'","""")</f>
        <v>032, 19370710, 7620, 00</v>
      </c>
    </row>
    <row r="193" spans="1:1" x14ac:dyDescent="0.25">
      <c r="A193" s="12" t="str">
        <f ca="1">TEXT(Overig!A193,"000\,")&amp;TEXT(Overig!B193,"?00000000")&amp;SUBSTITUTE(TEXT(IF(ISTEXT(Overig!C193),Overig!C193,10*Overig!C193),""",""????0;"",""???-0;"",""????0;"", ////"""),"'","""")&amp;SUBSTITUTE(TEXT(Overig!D193,""",""?00;"",""?-00;"",""?00;"", //"""),"'","""")</f>
        <v>032, 19370711, 7625, 00</v>
      </c>
    </row>
    <row r="194" spans="1:1" x14ac:dyDescent="0.25">
      <c r="A194" s="12" t="str">
        <f ca="1">TEXT(Overig!A194,"000\,")&amp;TEXT(Overig!B194,"?00000000")&amp;SUBSTITUTE(TEXT(IF(ISTEXT(Overig!C194),Overig!C194,10*Overig!C194),""",""????0;"",""???-0;"",""????0;"", ////"""),"'","""")&amp;SUBSTITUTE(TEXT(Overig!D194,""",""?00;"",""?-00;"",""?00;"", //"""),"'","""")</f>
        <v>032, 19370712, 7620, 00</v>
      </c>
    </row>
    <row r="195" spans="1:1" x14ac:dyDescent="0.25">
      <c r="A195" s="12" t="str">
        <f ca="1">TEXT(Overig!A195,"000\,")&amp;TEXT(Overig!B195,"?00000000")&amp;SUBSTITUTE(TEXT(IF(ISTEXT(Overig!C195),Overig!C195,10*Overig!C195),""",""????0;"",""???-0;"",""????0;"", ////"""),"'","""")&amp;SUBSTITUTE(TEXT(Overig!D195,""",""?00;"",""?-00;"",""?00;"", //"""),"'","""")</f>
        <v>032, 19370713, 7620, 00</v>
      </c>
    </row>
    <row r="196" spans="1:1" x14ac:dyDescent="0.25">
      <c r="A196" s="12" t="str">
        <f ca="1">TEXT(Overig!A196,"000\,")&amp;TEXT(Overig!B196,"?00000000")&amp;SUBSTITUTE(TEXT(IF(ISTEXT(Overig!C196),Overig!C196,10*Overig!C196),""",""????0;"",""???-0;"",""????0;"", ////"""),"'","""")&amp;SUBSTITUTE(TEXT(Overig!D196,""",""?00;"",""?-00;"",""?00;"", //"""),"'","""")</f>
        <v>032, 19370714, 7615, 00</v>
      </c>
    </row>
    <row r="197" spans="1:1" x14ac:dyDescent="0.25">
      <c r="A197" s="12" t="str">
        <f ca="1">TEXT(Overig!A197,"000\,")&amp;TEXT(Overig!B197,"?00000000")&amp;SUBSTITUTE(TEXT(IF(ISTEXT(Overig!C197),Overig!C197,10*Overig!C197),""",""????0;"",""???-0;"",""????0;"", ////"""),"'","""")&amp;SUBSTITUTE(TEXT(Overig!D197,""",""?00;"",""?-00;"",""?00;"", //"""),"'","""")</f>
        <v>032, 19370715, 7625, 00</v>
      </c>
    </row>
    <row r="198" spans="1:1" x14ac:dyDescent="0.25">
      <c r="A198" s="12" t="str">
        <f ca="1">TEXT(Overig!A198,"000\,")&amp;TEXT(Overig!B198,"?00000000")&amp;SUBSTITUTE(TEXT(IF(ISTEXT(Overig!C198),Overig!C198,10*Overig!C198),""",""????0;"",""???-0;"",""????0;"", ////"""),"'","""")&amp;SUBSTITUTE(TEXT(Overig!D198,""",""?00;"",""?-00;"",""?00;"", //"""),"'","""")</f>
        <v>032, 19370716, 7610, 00</v>
      </c>
    </row>
    <row r="199" spans="1:1" x14ac:dyDescent="0.25">
      <c r="A199" s="12" t="str">
        <f ca="1">TEXT(Overig!A199,"000\,")&amp;TEXT(Overig!B199,"?00000000")&amp;SUBSTITUTE(TEXT(IF(ISTEXT(Overig!C199),Overig!C199,10*Overig!C199),""",""????0;"",""???-0;"",""????0;"", ////"""),"'","""")&amp;SUBSTITUTE(TEXT(Overig!D199,""",""?00;"",""?-00;"",""?00;"", //"""),"'","""")</f>
        <v>032, 19370717, 7610, 00</v>
      </c>
    </row>
    <row r="200" spans="1:1" x14ac:dyDescent="0.25">
      <c r="A200" s="12" t="str">
        <f ca="1">TEXT(Overig!A200,"000\,")&amp;TEXT(Overig!B200,"?00000000")&amp;SUBSTITUTE(TEXT(IF(ISTEXT(Overig!C200),Overig!C200,10*Overig!C200),""",""????0;"",""???-0;"",""????0;"", ////"""),"'","""")&amp;SUBSTITUTE(TEXT(Overig!D200,""",""?00;"",""?-00;"",""?00;"", //"""),"'","""")</f>
        <v>032, 19370718, 7625, 00</v>
      </c>
    </row>
    <row r="201" spans="1:1" x14ac:dyDescent="0.25">
      <c r="A201" s="12" t="str">
        <f ca="1">TEXT(Overig!A201,"000\,")&amp;TEXT(Overig!B201,"?00000000")&amp;SUBSTITUTE(TEXT(IF(ISTEXT(Overig!C201),Overig!C201,10*Overig!C201),""",""????0;"",""???-0;"",""????0;"", ////"""),"'","""")&amp;SUBSTITUTE(TEXT(Overig!D201,""",""?00;"",""?-00;"",""?00;"", //"""),"'","""")</f>
        <v>032, 19370719, 7610, 00</v>
      </c>
    </row>
    <row r="202" spans="1:1" x14ac:dyDescent="0.25">
      <c r="A202" s="12" t="str">
        <f ca="1">TEXT(Overig!A202,"000\,")&amp;TEXT(Overig!B202,"?00000000")&amp;SUBSTITUTE(TEXT(IF(ISTEXT(Overig!C202),Overig!C202,10*Overig!C202),""",""????0;"",""???-0;"",""????0;"", ////"""),"'","""")&amp;SUBSTITUTE(TEXT(Overig!D202,""",""?00;"",""?-00;"",""?00;"", //"""),"'","""")</f>
        <v>032, 19370720, 7615, 00</v>
      </c>
    </row>
    <row r="203" spans="1:1" x14ac:dyDescent="0.25">
      <c r="A203" s="12" t="str">
        <f ca="1">TEXT(Overig!A203,"000\,")&amp;TEXT(Overig!B203,"?00000000")&amp;SUBSTITUTE(TEXT(IF(ISTEXT(Overig!C203),Overig!C203,10*Overig!C203),""",""????0;"",""???-0;"",""????0;"", ////"""),"'","""")&amp;SUBSTITUTE(TEXT(Overig!D203,""",""?00;"",""?-00;"",""?00;"", //"""),"'","""")</f>
        <v>032, 19370721, 7610, 00</v>
      </c>
    </row>
    <row r="204" spans="1:1" x14ac:dyDescent="0.25">
      <c r="A204" s="12" t="str">
        <f ca="1">TEXT(Overig!A204,"000\,")&amp;TEXT(Overig!B204,"?00000000")&amp;SUBSTITUTE(TEXT(IF(ISTEXT(Overig!C204),Overig!C204,10*Overig!C204),""",""????0;"",""???-0;"",""????0;"", ////"""),"'","""")&amp;SUBSTITUTE(TEXT(Overig!D204,""",""?00;"",""?-00;"",""?00;"", //"""),"'","""")</f>
        <v>032, 19370722, 7610, 00</v>
      </c>
    </row>
    <row r="205" spans="1:1" x14ac:dyDescent="0.25">
      <c r="A205" s="12" t="str">
        <f ca="1">TEXT(Overig!A205,"000\,")&amp;TEXT(Overig!B205,"?00000000")&amp;SUBSTITUTE(TEXT(IF(ISTEXT(Overig!C205),Overig!C205,10*Overig!C205),""",""????0;"",""???-0;"",""????0;"", ////"""),"'","""")&amp;SUBSTITUTE(TEXT(Overig!D205,""",""?00;"",""?-00;"",""?00;"", //"""),"'","""")</f>
        <v>032, 19370723, 7615, 00</v>
      </c>
    </row>
    <row r="206" spans="1:1" x14ac:dyDescent="0.25">
      <c r="A206" s="12" t="str">
        <f ca="1">TEXT(Overig!A206,"000\,")&amp;TEXT(Overig!B206,"?00000000")&amp;SUBSTITUTE(TEXT(IF(ISTEXT(Overig!C206),Overig!C206,10*Overig!C206),""",""????0;"",""???-0;"",""????0;"", ////"""),"'","""")&amp;SUBSTITUTE(TEXT(Overig!D206,""",""?00;"",""?-00;"",""?00;"", //"""),"'","""")</f>
        <v>032, 19370724, 7590, 00</v>
      </c>
    </row>
    <row r="207" spans="1:1" x14ac:dyDescent="0.25">
      <c r="A207" s="12" t="str">
        <f ca="1">TEXT(Overig!A207,"000\,")&amp;TEXT(Overig!B207,"?00000000")&amp;SUBSTITUTE(TEXT(IF(ISTEXT(Overig!C207),Overig!C207,10*Overig!C207),""",""????0;"",""???-0;"",""????0;"", ////"""),"'","""")&amp;SUBSTITUTE(TEXT(Overig!D207,""",""?00;"",""?-00;"",""?00;"", //"""),"'","""")</f>
        <v>032, 19370725, 7600, 00</v>
      </c>
    </row>
    <row r="208" spans="1:1" x14ac:dyDescent="0.25">
      <c r="A208" s="12" t="str">
        <f ca="1">TEXT(Overig!A208,"000\,")&amp;TEXT(Overig!B208,"?00000000")&amp;SUBSTITUTE(TEXT(IF(ISTEXT(Overig!C208),Overig!C208,10*Overig!C208),""",""????0;"",""???-0;"",""????0;"", ////"""),"'","""")&amp;SUBSTITUTE(TEXT(Overig!D208,""",""?00;"",""?-00;"",""?00;"", //"""),"'","""")</f>
        <v>032, 19370726, 7600, 00</v>
      </c>
    </row>
    <row r="209" spans="1:1" x14ac:dyDescent="0.25">
      <c r="A209" s="12" t="str">
        <f ca="1">TEXT(Overig!A209,"000\,")&amp;TEXT(Overig!B209,"?00000000")&amp;SUBSTITUTE(TEXT(IF(ISTEXT(Overig!C209),Overig!C209,10*Overig!C209),""",""????0;"",""???-0;"",""????0;"", ////"""),"'","""")&amp;SUBSTITUTE(TEXT(Overig!D209,""",""?00;"",""?-00;"",""?00;"", //"""),"'","""")</f>
        <v>032, 19370727, 7605, 00</v>
      </c>
    </row>
    <row r="210" spans="1:1" x14ac:dyDescent="0.25">
      <c r="A210" s="12" t="str">
        <f ca="1">TEXT(Overig!A210,"000\,")&amp;TEXT(Overig!B210,"?00000000")&amp;SUBSTITUTE(TEXT(IF(ISTEXT(Overig!C210),Overig!C210,10*Overig!C210),""",""????0;"",""???-0;"",""????0;"", ////"""),"'","""")&amp;SUBSTITUTE(TEXT(Overig!D210,""",""?00;"",""?-00;"",""?00;"", //"""),"'","""")</f>
        <v>032, 19370728, 7610, 00</v>
      </c>
    </row>
    <row r="211" spans="1:1" x14ac:dyDescent="0.25">
      <c r="A211" s="12" t="str">
        <f ca="1">TEXT(Overig!A211,"000\,")&amp;TEXT(Overig!B211,"?00000000")&amp;SUBSTITUTE(TEXT(IF(ISTEXT(Overig!C211),Overig!C211,10*Overig!C211),""",""????0;"",""???-0;"",""????0;"", ////"""),"'","""")&amp;SUBSTITUTE(TEXT(Overig!D211,""",""?00;"",""?-00;"",""?00;"", //"""),"'","""")</f>
        <v>032, 19370729, 7625, 00</v>
      </c>
    </row>
    <row r="212" spans="1:1" x14ac:dyDescent="0.25">
      <c r="A212" s="12" t="str">
        <f ca="1">TEXT(Overig!A212,"000\,")&amp;TEXT(Overig!B212,"?00000000")&amp;SUBSTITUTE(TEXT(IF(ISTEXT(Overig!C212),Overig!C212,10*Overig!C212),""",""????0;"",""???-0;"",""????0;"", ////"""),"'","""")&amp;SUBSTITUTE(TEXT(Overig!D212,""",""?00;"",""?-00;"",""?00;"", //"""),"'","""")</f>
        <v>032, 19370730, 7620, 00</v>
      </c>
    </row>
    <row r="213" spans="1:1" x14ac:dyDescent="0.25">
      <c r="A213" s="12" t="str">
        <f ca="1">TEXT(Overig!A213,"000\,")&amp;TEXT(Overig!B213,"?00000000")&amp;SUBSTITUTE(TEXT(IF(ISTEXT(Overig!C213),Overig!C213,10*Overig!C213),""",""????0;"",""???-0;"",""????0;"", ////"""),"'","""")&amp;SUBSTITUTE(TEXT(Overig!D213,""",""?00;"",""?-00;"",""?00;"", //"""),"'","""")</f>
        <v>032, 19370731, 7620, 00</v>
      </c>
    </row>
    <row r="214" spans="1:1" x14ac:dyDescent="0.25">
      <c r="A214" s="12" t="str">
        <f ca="1">TEXT(Overig!A214,"000\,")&amp;TEXT(Overig!B214,"?00000000")&amp;SUBSTITUTE(TEXT(IF(ISTEXT(Overig!C214),Overig!C214,10*Overig!C214),""",""????0;"",""???-0;"",""????0;"", ////"""),"'","""")&amp;SUBSTITUTE(TEXT(Overig!D214,""",""?00;"",""?-00;"",""?00;"", //"""),"'","""")</f>
        <v>032, 19370801, 7625, 00</v>
      </c>
    </row>
    <row r="215" spans="1:1" x14ac:dyDescent="0.25">
      <c r="A215" s="12" t="str">
        <f ca="1">TEXT(Overig!A215,"000\,")&amp;TEXT(Overig!B215,"?00000000")&amp;SUBSTITUTE(TEXT(IF(ISTEXT(Overig!C215),Overig!C215,10*Overig!C215),""",""????0;"",""???-0;"",""????0;"", ////"""),"'","""")&amp;SUBSTITUTE(TEXT(Overig!D215,""",""?00;"",""?-00;"",""?00;"", //"""),"'","""")</f>
        <v>032, 19370802, 7620, 00</v>
      </c>
    </row>
    <row r="216" spans="1:1" x14ac:dyDescent="0.25">
      <c r="A216" s="12" t="str">
        <f ca="1">TEXT(Overig!A216,"000\,")&amp;TEXT(Overig!B216,"?00000000")&amp;SUBSTITUTE(TEXT(IF(ISTEXT(Overig!C216),Overig!C216,10*Overig!C216),""",""????0;"",""???-0;"",""????0;"", ////"""),"'","""")&amp;SUBSTITUTE(TEXT(Overig!D216,""",""?00;"",""?-00;"",""?00;"", //"""),"'","""")</f>
        <v>032, 19370803, 7620, 00</v>
      </c>
    </row>
    <row r="217" spans="1:1" x14ac:dyDescent="0.25">
      <c r="A217" s="12" t="str">
        <f ca="1">TEXT(Overig!A217,"000\,")&amp;TEXT(Overig!B217,"?00000000")&amp;SUBSTITUTE(TEXT(IF(ISTEXT(Overig!C217),Overig!C217,10*Overig!C217),""",""????0;"",""???-0;"",""????0;"", ////"""),"'","""")&amp;SUBSTITUTE(TEXT(Overig!D217,""",""?00;"",""?-00;"",""?00;"", //"""),"'","""")</f>
        <v>032, 19370804, 7605, 00</v>
      </c>
    </row>
    <row r="218" spans="1:1" x14ac:dyDescent="0.25">
      <c r="A218" s="12" t="str">
        <f ca="1">TEXT(Overig!A218,"000\,")&amp;TEXT(Overig!B218,"?00000000")&amp;SUBSTITUTE(TEXT(IF(ISTEXT(Overig!C218),Overig!C218,10*Overig!C218),""",""????0;"",""???-0;"",""????0;"", ////"""),"'","""")&amp;SUBSTITUTE(TEXT(Overig!D218,""",""?00;"",""?-00;"",""?00;"", //"""),"'","""")</f>
        <v>032, 19370805, 7600, 00</v>
      </c>
    </row>
    <row r="219" spans="1:1" x14ac:dyDescent="0.25">
      <c r="A219" s="12" t="str">
        <f ca="1">TEXT(Overig!A219,"000\,")&amp;TEXT(Overig!B219,"?00000000")&amp;SUBSTITUTE(TEXT(IF(ISTEXT(Overig!C219),Overig!C219,10*Overig!C219),""",""????0;"",""???-0;"",""????0;"", ////"""),"'","""")&amp;SUBSTITUTE(TEXT(Overig!D219,""",""?00;"",""?-00;"",""?00;"", //"""),"'","""")</f>
        <v>032, 19370806, 7615, 00</v>
      </c>
    </row>
    <row r="220" spans="1:1" x14ac:dyDescent="0.25">
      <c r="A220" s="12" t="str">
        <f ca="1">TEXT(Overig!A220,"000\,")&amp;TEXT(Overig!B220,"?00000000")&amp;SUBSTITUTE(TEXT(IF(ISTEXT(Overig!C220),Overig!C220,10*Overig!C220),""",""????0;"",""???-0;"",""????0;"", ////"""),"'","""")&amp;SUBSTITUTE(TEXT(Overig!D220,""",""?00;"",""?-00;"",""?00;"", //"""),"'","""")</f>
        <v>032, 19370807, 7615, 00</v>
      </c>
    </row>
    <row r="221" spans="1:1" x14ac:dyDescent="0.25">
      <c r="A221" s="12" t="str">
        <f ca="1">TEXT(Overig!A221,"000\,")&amp;TEXT(Overig!B221,"?00000000")&amp;SUBSTITUTE(TEXT(IF(ISTEXT(Overig!C221),Overig!C221,10*Overig!C221),""",""????0;"",""???-0;"",""????0;"", ////"""),"'","""")&amp;SUBSTITUTE(TEXT(Overig!D221,""",""?00;"",""?-00;"",""?00;"", //"""),"'","""")</f>
        <v>032, 19370808, 7620, 00</v>
      </c>
    </row>
    <row r="222" spans="1:1" x14ac:dyDescent="0.25">
      <c r="A222" s="12" t="str">
        <f ca="1">TEXT(Overig!A222,"000\,")&amp;TEXT(Overig!B222,"?00000000")&amp;SUBSTITUTE(TEXT(IF(ISTEXT(Overig!C222),Overig!C222,10*Overig!C222),""",""????0;"",""???-0;"",""????0;"", ////"""),"'","""")&amp;SUBSTITUTE(TEXT(Overig!D222,""",""?00;"",""?-00;"",""?00;"", //"""),"'","""")</f>
        <v>032, 19370809, 7625, 00</v>
      </c>
    </row>
    <row r="223" spans="1:1" x14ac:dyDescent="0.25">
      <c r="A223" s="12" t="str">
        <f ca="1">TEXT(Overig!A223,"000\,")&amp;TEXT(Overig!B223,"?00000000")&amp;SUBSTITUTE(TEXT(IF(ISTEXT(Overig!C223),Overig!C223,10*Overig!C223),""",""????0;"",""???-0;"",""????0;"", ////"""),"'","""")&amp;SUBSTITUTE(TEXT(Overig!D223,""",""?00;"",""?-00;"",""?00;"", //"""),"'","""")</f>
        <v>032, 19370810, 7620, 00</v>
      </c>
    </row>
    <row r="224" spans="1:1" x14ac:dyDescent="0.25">
      <c r="A224" s="12" t="str">
        <f ca="1">TEXT(Overig!A224,"000\,")&amp;TEXT(Overig!B224,"?00000000")&amp;SUBSTITUTE(TEXT(IF(ISTEXT(Overig!C224),Overig!C224,10*Overig!C224),""",""????0;"",""???-0;"",""????0;"", ////"""),"'","""")&amp;SUBSTITUTE(TEXT(Overig!D224,""",""?00;"",""?-00;"",""?00;"", //"""),"'","""")</f>
        <v>032, 19370811, 7615, 00</v>
      </c>
    </row>
    <row r="225" spans="1:1" x14ac:dyDescent="0.25">
      <c r="A225" s="12" t="str">
        <f ca="1">TEXT(Overig!A225,"000\,")&amp;TEXT(Overig!B225,"?00000000")&amp;SUBSTITUTE(TEXT(IF(ISTEXT(Overig!C225),Overig!C225,10*Overig!C225),""",""????0;"",""???-0;"",""????0;"", ////"""),"'","""")&amp;SUBSTITUTE(TEXT(Overig!D225,""",""?00;"",""?-00;"",""?00;"", //"""),"'","""")</f>
        <v>032, 19370812, 7615, 00</v>
      </c>
    </row>
    <row r="226" spans="1:1" x14ac:dyDescent="0.25">
      <c r="A226" s="12" t="str">
        <f ca="1">TEXT(Overig!A226,"000\,")&amp;TEXT(Overig!B226,"?00000000")&amp;SUBSTITUTE(TEXT(IF(ISTEXT(Overig!C226),Overig!C226,10*Overig!C226),""",""????0;"",""???-0;"",""????0;"", ////"""),"'","""")&amp;SUBSTITUTE(TEXT(Overig!D226,""",""?00;"",""?-00;"",""?00;"", //"""),"'","""")</f>
        <v>032, 19370813, 7610, 00</v>
      </c>
    </row>
    <row r="227" spans="1:1" x14ac:dyDescent="0.25">
      <c r="A227" s="12" t="str">
        <f ca="1">TEXT(Overig!A227,"000\,")&amp;TEXT(Overig!B227,"?00000000")&amp;SUBSTITUTE(TEXT(IF(ISTEXT(Overig!C227),Overig!C227,10*Overig!C227),""",""????0;"",""???-0;"",""????0;"", ////"""),"'","""")&amp;SUBSTITUTE(TEXT(Overig!D227,""",""?00;"",""?-00;"",""?00;"", //"""),"'","""")</f>
        <v>032, 19370814, 7590, 00</v>
      </c>
    </row>
    <row r="228" spans="1:1" x14ac:dyDescent="0.25">
      <c r="A228" s="12" t="str">
        <f ca="1">TEXT(Overig!A228,"000\,")&amp;TEXT(Overig!B228,"?00000000")&amp;SUBSTITUTE(TEXT(IF(ISTEXT(Overig!C228),Overig!C228,10*Overig!C228),""",""????0;"",""???-0;"",""????0;"", ////"""),"'","""")&amp;SUBSTITUTE(TEXT(Overig!D228,""",""?00;"",""?-00;"",""?00;"", //"""),"'","""")</f>
        <v>032, 19370815, 7605, 00</v>
      </c>
    </row>
    <row r="229" spans="1:1" x14ac:dyDescent="0.25">
      <c r="A229" s="12" t="str">
        <f ca="1">TEXT(Overig!A229,"000\,")&amp;TEXT(Overig!B229,"?00000000")&amp;SUBSTITUTE(TEXT(IF(ISTEXT(Overig!C229),Overig!C229,10*Overig!C229),""",""????0;"",""???-0;"",""????0;"", ////"""),"'","""")&amp;SUBSTITUTE(TEXT(Overig!D229,""",""?00;"",""?-00;"",""?00;"", //"""),"'","""")</f>
        <v>032, 19370816, 7600, 00</v>
      </c>
    </row>
    <row r="230" spans="1:1" x14ac:dyDescent="0.25">
      <c r="A230" s="12" t="str">
        <f ca="1">TEXT(Overig!A230,"000\,")&amp;TEXT(Overig!B230,"?00000000")&amp;SUBSTITUTE(TEXT(IF(ISTEXT(Overig!C230),Overig!C230,10*Overig!C230),""",""????0;"",""???-0;"",""????0;"", ////"""),"'","""")&amp;SUBSTITUTE(TEXT(Overig!D230,""",""?00;"",""?-00;"",""?00;"", //"""),"'","""")</f>
        <v>032, 19370817, 7590, 00</v>
      </c>
    </row>
    <row r="231" spans="1:1" x14ac:dyDescent="0.25">
      <c r="A231" s="12" t="str">
        <f ca="1">TEXT(Overig!A231,"000\,")&amp;TEXT(Overig!B231,"?00000000")&amp;SUBSTITUTE(TEXT(IF(ISTEXT(Overig!C231),Overig!C231,10*Overig!C231),""",""????0;"",""???-0;"",""????0;"", ////"""),"'","""")&amp;SUBSTITUTE(TEXT(Overig!D231,""",""?00;"",""?-00;"",""?00;"", //"""),"'","""")</f>
        <v>032, 19370818, 7600, 00</v>
      </c>
    </row>
    <row r="232" spans="1:1" x14ac:dyDescent="0.25">
      <c r="A232" s="12" t="str">
        <f ca="1">TEXT(Overig!A232,"000\,")&amp;TEXT(Overig!B232,"?00000000")&amp;SUBSTITUTE(TEXT(IF(ISTEXT(Overig!C232),Overig!C232,10*Overig!C232),""",""????0;"",""???-0;"",""????0;"", ////"""),"'","""")&amp;SUBSTITUTE(TEXT(Overig!D232,""",""?00;"",""?-00;"",""?00;"", //"""),"'","""")</f>
        <v>032, 19370819, 7595, 00</v>
      </c>
    </row>
    <row r="233" spans="1:1" x14ac:dyDescent="0.25">
      <c r="A233" s="12" t="str">
        <f ca="1">TEXT(Overig!A233,"000\,")&amp;TEXT(Overig!B233,"?00000000")&amp;SUBSTITUTE(TEXT(IF(ISTEXT(Overig!C233),Overig!C233,10*Overig!C233),""",""????0;"",""???-0;"",""????0;"", ////"""),"'","""")&amp;SUBSTITUTE(TEXT(Overig!D233,""",""?00;"",""?-00;"",""?00;"", //"""),"'","""")</f>
        <v>032, 19370820, 7590, 00</v>
      </c>
    </row>
    <row r="234" spans="1:1" x14ac:dyDescent="0.25">
      <c r="A234" s="12" t="str">
        <f ca="1">TEXT(Overig!A234,"000\,")&amp;TEXT(Overig!B234,"?00000000")&amp;SUBSTITUTE(TEXT(IF(ISTEXT(Overig!C234),Overig!C234,10*Overig!C234),""",""????0;"",""???-0;"",""????0;"", ////"""),"'","""")&amp;SUBSTITUTE(TEXT(Overig!D234,""",""?00;"",""?-00;"",""?00;"", //"""),"'","""")</f>
        <v>032, 19370821, 7590, 00</v>
      </c>
    </row>
    <row r="235" spans="1:1" x14ac:dyDescent="0.25">
      <c r="A235" s="12" t="str">
        <f ca="1">TEXT(Overig!A235,"000\,")&amp;TEXT(Overig!B235,"?00000000")&amp;SUBSTITUTE(TEXT(IF(ISTEXT(Overig!C235),Overig!C235,10*Overig!C235),""",""????0;"",""???-0;"",""????0;"", ////"""),"'","""")&amp;SUBSTITUTE(TEXT(Overig!D235,""",""?00;"",""?-00;"",""?00;"", //"""),"'","""")</f>
        <v>032, 19370822, 7600, 00</v>
      </c>
    </row>
    <row r="236" spans="1:1" x14ac:dyDescent="0.25">
      <c r="A236" s="12" t="str">
        <f ca="1">TEXT(Overig!A236,"000\,")&amp;TEXT(Overig!B236,"?00000000")&amp;SUBSTITUTE(TEXT(IF(ISTEXT(Overig!C236),Overig!C236,10*Overig!C236),""",""????0;"",""???-0;"",""????0;"", ////"""),"'","""")&amp;SUBSTITUTE(TEXT(Overig!D236,""",""?00;"",""?-00;"",""?00;"", //"""),"'","""")</f>
        <v>032, 19370823, 7590, 00</v>
      </c>
    </row>
    <row r="237" spans="1:1" x14ac:dyDescent="0.25">
      <c r="A237" s="12" t="str">
        <f ca="1">TEXT(Overig!A237,"000\,")&amp;TEXT(Overig!B237,"?00000000")&amp;SUBSTITUTE(TEXT(IF(ISTEXT(Overig!C237),Overig!C237,10*Overig!C237),""",""????0;"",""???-0;"",""????0;"", ////"""),"'","""")&amp;SUBSTITUTE(TEXT(Overig!D237,""",""?00;"",""?-00;"",""?00;"", //"""),"'","""")</f>
        <v>032, 19370824, 7590, 00</v>
      </c>
    </row>
    <row r="238" spans="1:1" x14ac:dyDescent="0.25">
      <c r="A238" s="12" t="str">
        <f ca="1">TEXT(Overig!A238,"000\,")&amp;TEXT(Overig!B238,"?00000000")&amp;SUBSTITUTE(TEXT(IF(ISTEXT(Overig!C238),Overig!C238,10*Overig!C238),""",""????0;"",""???-0;"",""????0;"", ////"""),"'","""")&amp;SUBSTITUTE(TEXT(Overig!D238,""",""?00;"",""?-00;"",""?00;"", //"""),"'","""")</f>
        <v>032, 19370825, 7595, 00</v>
      </c>
    </row>
    <row r="239" spans="1:1" x14ac:dyDescent="0.25">
      <c r="A239" s="12" t="str">
        <f ca="1">TEXT(Overig!A239,"000\,")&amp;TEXT(Overig!B239,"?00000000")&amp;SUBSTITUTE(TEXT(IF(ISTEXT(Overig!C239),Overig!C239,10*Overig!C239),""",""????0;"",""???-0;"",""????0;"", ////"""),"'","""")&amp;SUBSTITUTE(TEXT(Overig!D239,""",""?00;"",""?-00;"",""?00;"", //"""),"'","""")</f>
        <v>032, 19370826, 7595, 00</v>
      </c>
    </row>
    <row r="240" spans="1:1" x14ac:dyDescent="0.25">
      <c r="A240" s="12" t="str">
        <f ca="1">TEXT(Overig!A240,"000\,")&amp;TEXT(Overig!B240,"?00000000")&amp;SUBSTITUTE(TEXT(IF(ISTEXT(Overig!C240),Overig!C240,10*Overig!C240),""",""????0;"",""???-0;"",""????0;"", ////"""),"'","""")&amp;SUBSTITUTE(TEXT(Overig!D240,""",""?00;"",""?-00;"",""?00;"", //"""),"'","""")</f>
        <v>032, 19370827, 7605, 00</v>
      </c>
    </row>
    <row r="241" spans="1:1" x14ac:dyDescent="0.25">
      <c r="A241" s="12" t="str">
        <f ca="1">TEXT(Overig!A241,"000\,")&amp;TEXT(Overig!B241,"?00000000")&amp;SUBSTITUTE(TEXT(IF(ISTEXT(Overig!C241),Overig!C241,10*Overig!C241),""",""????0;"",""???-0;"",""????0;"", ////"""),"'","""")&amp;SUBSTITUTE(TEXT(Overig!D241,""",""?00;"",""?-00;"",""?00;"", //"""),"'","""")</f>
        <v>032, 19370828, 7600, 00</v>
      </c>
    </row>
    <row r="242" spans="1:1" x14ac:dyDescent="0.25">
      <c r="A242" s="12" t="str">
        <f ca="1">TEXT(Overig!A242,"000\,")&amp;TEXT(Overig!B242,"?00000000")&amp;SUBSTITUTE(TEXT(IF(ISTEXT(Overig!C242),Overig!C242,10*Overig!C242),""",""????0;"",""???-0;"",""????0;"", ////"""),"'","""")&amp;SUBSTITUTE(TEXT(Overig!D242,""",""?00;"",""?-00;"",""?00;"", //"""),"'","""")</f>
        <v>032, 19370829, 7600, 00</v>
      </c>
    </row>
    <row r="243" spans="1:1" x14ac:dyDescent="0.25">
      <c r="A243" s="12" t="str">
        <f ca="1">TEXT(Overig!A243,"000\,")&amp;TEXT(Overig!B243,"?00000000")&amp;SUBSTITUTE(TEXT(IF(ISTEXT(Overig!C243),Overig!C243,10*Overig!C243),""",""????0;"",""???-0;"",""????0;"", ////"""),"'","""")&amp;SUBSTITUTE(TEXT(Overig!D243,""",""?00;"",""?-00;"",""?00;"", //"""),"'","""")</f>
        <v>032, 19370830, 7590, 00</v>
      </c>
    </row>
    <row r="244" spans="1:1" x14ac:dyDescent="0.25">
      <c r="A244" s="12" t="str">
        <f ca="1">TEXT(Overig!A244,"000\,")&amp;TEXT(Overig!B244,"?00000000")&amp;SUBSTITUTE(TEXT(IF(ISTEXT(Overig!C244),Overig!C244,10*Overig!C244),""",""????0;"",""???-0;"",""????0;"", ////"""),"'","""")&amp;SUBSTITUTE(TEXT(Overig!D244,""",""?00;"",""?-00;"",""?00;"", //"""),"'","""")</f>
        <v>032, 19370831, ////, 07</v>
      </c>
    </row>
    <row r="245" spans="1:1" x14ac:dyDescent="0.25">
      <c r="A245" s="12" t="str">
        <f ca="1">TEXT(Overig!A245,"000\,")&amp;TEXT(Overig!B245,"?00000000")&amp;SUBSTITUTE(TEXT(IF(ISTEXT(Overig!C245),Overig!C245,10*Overig!C245),""",""????0;"",""???-0;"",""????0;"", ////"""),"'","""")&amp;SUBSTITUTE(TEXT(Overig!D245,""",""?00;"",""?-00;"",""?00;"", //"""),"'","""")</f>
        <v>032, 19370901, 7595, 00</v>
      </c>
    </row>
    <row r="246" spans="1:1" x14ac:dyDescent="0.25">
      <c r="A246" s="12" t="str">
        <f ca="1">TEXT(Overig!A246,"000\,")&amp;TEXT(Overig!B246,"?00000000")&amp;SUBSTITUTE(TEXT(IF(ISTEXT(Overig!C246),Overig!C246,10*Overig!C246),""",""????0;"",""???-0;"",""????0;"", ////"""),"'","""")&amp;SUBSTITUTE(TEXT(Overig!D246,""",""?00;"",""?-00;"",""?00;"", //"""),"'","""")</f>
        <v>032, 19370902, 7590, 00</v>
      </c>
    </row>
    <row r="247" spans="1:1" x14ac:dyDescent="0.25">
      <c r="A247" s="12" t="str">
        <f ca="1">TEXT(Overig!A247,"000\,")&amp;TEXT(Overig!B247,"?00000000")&amp;SUBSTITUTE(TEXT(IF(ISTEXT(Overig!C247),Overig!C247,10*Overig!C247),""",""????0;"",""???-0;"",""????0;"", ////"""),"'","""")&amp;SUBSTITUTE(TEXT(Overig!D247,""",""?00;"",""?-00;"",""?00;"", //"""),"'","""")</f>
        <v>032, 19370903, 7595, 00</v>
      </c>
    </row>
    <row r="248" spans="1:1" x14ac:dyDescent="0.25">
      <c r="A248" s="12" t="str">
        <f ca="1">TEXT(Overig!A248,"000\,")&amp;TEXT(Overig!B248,"?00000000")&amp;SUBSTITUTE(TEXT(IF(ISTEXT(Overig!C248),Overig!C248,10*Overig!C248),""",""????0;"",""???-0;"",""????0;"", ////"""),"'","""")&amp;SUBSTITUTE(TEXT(Overig!D248,""",""?00;"",""?-00;"",""?00;"", //"""),"'","""")</f>
        <v>032, 19370904, 7600, 00</v>
      </c>
    </row>
    <row r="249" spans="1:1" x14ac:dyDescent="0.25">
      <c r="A249" s="12" t="str">
        <f ca="1">TEXT(Overig!A249,"000\,")&amp;TEXT(Overig!B249,"?00000000")&amp;SUBSTITUTE(TEXT(IF(ISTEXT(Overig!C249),Overig!C249,10*Overig!C249),""",""????0;"",""???-0;"",""????0;"", ////"""),"'","""")&amp;SUBSTITUTE(TEXT(Overig!D249,""",""?00;"",""?-00;"",""?00;"", //"""),"'","""")</f>
        <v>032, 19370905, 7600, 00</v>
      </c>
    </row>
    <row r="250" spans="1:1" x14ac:dyDescent="0.25">
      <c r="A250" s="12" t="str">
        <f ca="1">TEXT(Overig!A250,"000\,")&amp;TEXT(Overig!B250,"?00000000")&amp;SUBSTITUTE(TEXT(IF(ISTEXT(Overig!C250),Overig!C250,10*Overig!C250),""",""????0;"",""???-0;"",""????0;"", ////"""),"'","""")&amp;SUBSTITUTE(TEXT(Overig!D250,""",""?00;"",""?-00;"",""?00;"", //"""),"'","""")</f>
        <v>032, 19370906, 7595, 00</v>
      </c>
    </row>
    <row r="251" spans="1:1" x14ac:dyDescent="0.25">
      <c r="A251" s="12" t="str">
        <f ca="1">TEXT(Overig!A251,"000\,")&amp;TEXT(Overig!B251,"?00000000")&amp;SUBSTITUTE(TEXT(IF(ISTEXT(Overig!C251),Overig!C251,10*Overig!C251),""",""????0;"",""???-0;"",""????0;"", ////"""),"'","""")&amp;SUBSTITUTE(TEXT(Overig!D251,""",""?00;"",""?-00;"",""?00;"", //"""),"'","""")</f>
        <v>032, 19370907, 7595, 00</v>
      </c>
    </row>
    <row r="252" spans="1:1" x14ac:dyDescent="0.25">
      <c r="A252" s="12" t="str">
        <f ca="1">TEXT(Overig!A252,"000\,")&amp;TEXT(Overig!B252,"?00000000")&amp;SUBSTITUTE(TEXT(IF(ISTEXT(Overig!C252),Overig!C252,10*Overig!C252),""",""????0;"",""???-0;"",""????0;"", ////"""),"'","""")&amp;SUBSTITUTE(TEXT(Overig!D252,""",""?00;"",""?-00;"",""?00;"", //"""),"'","""")</f>
        <v>032, 19370908, 7585, 00</v>
      </c>
    </row>
    <row r="253" spans="1:1" x14ac:dyDescent="0.25">
      <c r="A253" s="12" t="str">
        <f ca="1">TEXT(Overig!A253,"000\,")&amp;TEXT(Overig!B253,"?00000000")&amp;SUBSTITUTE(TEXT(IF(ISTEXT(Overig!C253),Overig!C253,10*Overig!C253),""",""????0;"",""???-0;"",""????0;"", ////"""),"'","""")&amp;SUBSTITUTE(TEXT(Overig!D253,""",""?00;"",""?-00;"",""?00;"", //"""),"'","""")</f>
        <v>032, 19370909, 7615, 00</v>
      </c>
    </row>
    <row r="254" spans="1:1" x14ac:dyDescent="0.25">
      <c r="A254" s="12" t="str">
        <f ca="1">TEXT(Overig!A254,"000\,")&amp;TEXT(Overig!B254,"?00000000")&amp;SUBSTITUTE(TEXT(IF(ISTEXT(Overig!C254),Overig!C254,10*Overig!C254),""",""????0;"",""???-0;"",""????0;"", ////"""),"'","""")&amp;SUBSTITUTE(TEXT(Overig!D254,""",""?00;"",""?-00;"",""?00;"", //"""),"'","""")</f>
        <v>032, 19370910, 7615, 00</v>
      </c>
    </row>
    <row r="255" spans="1:1" x14ac:dyDescent="0.25">
      <c r="A255" s="12" t="str">
        <f ca="1">TEXT(Overig!A255,"000\,")&amp;TEXT(Overig!B255,"?00000000")&amp;SUBSTITUTE(TEXT(IF(ISTEXT(Overig!C255),Overig!C255,10*Overig!C255),""",""????0;"",""???-0;"",""????0;"", ////"""),"'","""")&amp;SUBSTITUTE(TEXT(Overig!D255,""",""?00;"",""?-00;"",""?00;"", //"""),"'","""")</f>
        <v>032, 19370911, 7610, 00</v>
      </c>
    </row>
    <row r="256" spans="1:1" x14ac:dyDescent="0.25">
      <c r="A256" s="12" t="str">
        <f ca="1">TEXT(Overig!A256,"000\,")&amp;TEXT(Overig!B256,"?00000000")&amp;SUBSTITUTE(TEXT(IF(ISTEXT(Overig!C256),Overig!C256,10*Overig!C256),""",""????0;"",""???-0;"",""????0;"", ////"""),"'","""")&amp;SUBSTITUTE(TEXT(Overig!D256,""",""?00;"",""?-00;"",""?00;"", //"""),"'","""")</f>
        <v>032, 19370912, 7615, 00</v>
      </c>
    </row>
    <row r="257" spans="1:1" x14ac:dyDescent="0.25">
      <c r="A257" s="12" t="str">
        <f ca="1">TEXT(Overig!A257,"000\,")&amp;TEXT(Overig!B257,"?00000000")&amp;SUBSTITUTE(TEXT(IF(ISTEXT(Overig!C257),Overig!C257,10*Overig!C257),""",""????0;"",""???-0;"",""????0;"", ////"""),"'","""")&amp;SUBSTITUTE(TEXT(Overig!D257,""",""?00;"",""?-00;"",""?00;"", //"""),"'","""")</f>
        <v>032, 19370913, 7610, 00</v>
      </c>
    </row>
    <row r="258" spans="1:1" x14ac:dyDescent="0.25">
      <c r="A258" s="12" t="str">
        <f ca="1">TEXT(Overig!A258,"000\,")&amp;TEXT(Overig!B258,"?00000000")&amp;SUBSTITUTE(TEXT(IF(ISTEXT(Overig!C258),Overig!C258,10*Overig!C258),""",""????0;"",""???-0;"",""????0;"", ////"""),"'","""")&amp;SUBSTITUTE(TEXT(Overig!D258,""",""?00;"",""?-00;"",""?00;"", //"""),"'","""")</f>
        <v>032, 19370914, 7595, 00</v>
      </c>
    </row>
    <row r="259" spans="1:1" x14ac:dyDescent="0.25">
      <c r="A259" s="12" t="str">
        <f ca="1">TEXT(Overig!A259,"000\,")&amp;TEXT(Overig!B259,"?00000000")&amp;SUBSTITUTE(TEXT(IF(ISTEXT(Overig!C259),Overig!C259,10*Overig!C259),""",""????0;"",""???-0;"",""????0;"", ////"""),"'","""")&amp;SUBSTITUTE(TEXT(Overig!D259,""",""?00;"",""?-00;"",""?00;"", //"""),"'","""")</f>
        <v>032, 19370915, 7600, 00</v>
      </c>
    </row>
    <row r="260" spans="1:1" x14ac:dyDescent="0.25">
      <c r="A260" s="12" t="str">
        <f ca="1">TEXT(Overig!A260,"000\,")&amp;TEXT(Overig!B260,"?00000000")&amp;SUBSTITUTE(TEXT(IF(ISTEXT(Overig!C260),Overig!C260,10*Overig!C260),""",""????0;"",""???-0;"",""????0;"", ////"""),"'","""")&amp;SUBSTITUTE(TEXT(Overig!D260,""",""?00;"",""?-00;"",""?00;"", //"""),"'","""")</f>
        <v>032, 19370916, 7605, 00</v>
      </c>
    </row>
    <row r="261" spans="1:1" x14ac:dyDescent="0.25">
      <c r="A261" s="12" t="str">
        <f ca="1">TEXT(Overig!A261,"000\,")&amp;TEXT(Overig!B261,"?00000000")&amp;SUBSTITUTE(TEXT(IF(ISTEXT(Overig!C261),Overig!C261,10*Overig!C261),""",""????0;"",""???-0;"",""????0;"", ////"""),"'","""")&amp;SUBSTITUTE(TEXT(Overig!D261,""",""?00;"",""?-00;"",""?00;"", //"""),"'","""")</f>
        <v>032, 19370917, 7590, 00</v>
      </c>
    </row>
    <row r="262" spans="1:1" x14ac:dyDescent="0.25">
      <c r="A262" s="12" t="str">
        <f ca="1">TEXT(Overig!A262,"000\,")&amp;TEXT(Overig!B262,"?00000000")&amp;SUBSTITUTE(TEXT(IF(ISTEXT(Overig!C262),Overig!C262,10*Overig!C262),""",""????0;"",""???-0;"",""????0;"", ////"""),"'","""")&amp;SUBSTITUTE(TEXT(Overig!D262,""",""?00;"",""?-00;"",""?00;"", //"""),"'","""")</f>
        <v>032, 19370918, 7590, 00</v>
      </c>
    </row>
    <row r="263" spans="1:1" x14ac:dyDescent="0.25">
      <c r="A263" s="12" t="str">
        <f ca="1">TEXT(Overig!A263,"000\,")&amp;TEXT(Overig!B263,"?00000000")&amp;SUBSTITUTE(TEXT(IF(ISTEXT(Overig!C263),Overig!C263,10*Overig!C263),""",""????0;"",""???-0;"",""????0;"", ////"""),"'","""")&amp;SUBSTITUTE(TEXT(Overig!D263,""",""?00;"",""?-00;"",""?00;"", //"""),"'","""")</f>
        <v>032, 19370919, 7595, 00</v>
      </c>
    </row>
    <row r="264" spans="1:1" x14ac:dyDescent="0.25">
      <c r="A264" s="12" t="str">
        <f ca="1">TEXT(Overig!A264,"000\,")&amp;TEXT(Overig!B264,"?00000000")&amp;SUBSTITUTE(TEXT(IF(ISTEXT(Overig!C264),Overig!C264,10*Overig!C264),""",""????0;"",""???-0;"",""????0;"", ////"""),"'","""")&amp;SUBSTITUTE(TEXT(Overig!D264,""",""?00;"",""?-00;"",""?00;"", //"""),"'","""")</f>
        <v>032, 19370920, 7610, 00</v>
      </c>
    </row>
    <row r="265" spans="1:1" x14ac:dyDescent="0.25">
      <c r="A265" s="12" t="str">
        <f ca="1">TEXT(Overig!A265,"000\,")&amp;TEXT(Overig!B265,"?00000000")&amp;SUBSTITUTE(TEXT(IF(ISTEXT(Overig!C265),Overig!C265,10*Overig!C265),""",""????0;"",""???-0;"",""????0;"", ////"""),"'","""")&amp;SUBSTITUTE(TEXT(Overig!D265,""",""?00;"",""?-00;"",""?00;"", //"""),"'","""")</f>
        <v>032, 19370921, 7615, 00</v>
      </c>
    </row>
    <row r="266" spans="1:1" x14ac:dyDescent="0.25">
      <c r="A266" s="12" t="str">
        <f ca="1">TEXT(Overig!A266,"000\,")&amp;TEXT(Overig!B266,"?00000000")&amp;SUBSTITUTE(TEXT(IF(ISTEXT(Overig!C266),Overig!C266,10*Overig!C266),""",""????0;"",""???-0;"",""????0;"", ////"""),"'","""")&amp;SUBSTITUTE(TEXT(Overig!D266,""",""?00;"",""?-00;"",""?00;"", //"""),"'","""")</f>
        <v>032, 19370922, 7625, 00</v>
      </c>
    </row>
    <row r="267" spans="1:1" x14ac:dyDescent="0.25">
      <c r="A267" s="12" t="str">
        <f ca="1">TEXT(Overig!A267,"000\,")&amp;TEXT(Overig!B267,"?00000000")&amp;SUBSTITUTE(TEXT(IF(ISTEXT(Overig!C267),Overig!C267,10*Overig!C267),""",""????0;"",""???-0;"",""????0;"", ////"""),"'","""")&amp;SUBSTITUTE(TEXT(Overig!D267,""",""?00;"",""?-00;"",""?00;"", //"""),"'","""")</f>
        <v>032, 19370923, 7600, 00</v>
      </c>
    </row>
    <row r="268" spans="1:1" x14ac:dyDescent="0.25">
      <c r="A268" s="12" t="str">
        <f ca="1">TEXT(Overig!A268,"000\,")&amp;TEXT(Overig!B268,"?00000000")&amp;SUBSTITUTE(TEXT(IF(ISTEXT(Overig!C268),Overig!C268,10*Overig!C268),""",""????0;"",""???-0;"",""????0;"", ////"""),"'","""")&amp;SUBSTITUTE(TEXT(Overig!D268,""",""?00;"",""?-00;"",""?00;"", //"""),"'","""")</f>
        <v>032, 19370924, 7605, 00</v>
      </c>
    </row>
    <row r="269" spans="1:1" x14ac:dyDescent="0.25">
      <c r="A269" s="12" t="str">
        <f ca="1">TEXT(Overig!A269,"000\,")&amp;TEXT(Overig!B269,"?00000000")&amp;SUBSTITUTE(TEXT(IF(ISTEXT(Overig!C269),Overig!C269,10*Overig!C269),""",""????0;"",""???-0;"",""????0;"", ////"""),"'","""")&amp;SUBSTITUTE(TEXT(Overig!D269,""",""?00;"",""?-00;"",""?00;"", //"""),"'","""")</f>
        <v>032, 19370925, 7600, 00</v>
      </c>
    </row>
    <row r="270" spans="1:1" x14ac:dyDescent="0.25">
      <c r="A270" s="12" t="str">
        <f ca="1">TEXT(Overig!A270,"000\,")&amp;TEXT(Overig!B270,"?00000000")&amp;SUBSTITUTE(TEXT(IF(ISTEXT(Overig!C270),Overig!C270,10*Overig!C270),""",""????0;"",""???-0;"",""????0;"", ////"""),"'","""")&amp;SUBSTITUTE(TEXT(Overig!D270,""",""?00;"",""?-00;"",""?00;"", //"""),"'","""")</f>
        <v>032, 19370926, 7615, 00</v>
      </c>
    </row>
    <row r="271" spans="1:1" x14ac:dyDescent="0.25">
      <c r="A271" s="12" t="str">
        <f ca="1">TEXT(Overig!A271,"000\,")&amp;TEXT(Overig!B271,"?00000000")&amp;SUBSTITUTE(TEXT(IF(ISTEXT(Overig!C271),Overig!C271,10*Overig!C271),""",""????0;"",""???-0;"",""????0;"", ////"""),"'","""")&amp;SUBSTITUTE(TEXT(Overig!D271,""",""?00;"",""?-00;"",""?00;"", //"""),"'","""")</f>
        <v>032, 19370927, 7615, 00</v>
      </c>
    </row>
    <row r="272" spans="1:1" x14ac:dyDescent="0.25">
      <c r="A272" s="12" t="str">
        <f ca="1">TEXT(Overig!A272,"000\,")&amp;TEXT(Overig!B272,"?00000000")&amp;SUBSTITUTE(TEXT(IF(ISTEXT(Overig!C272),Overig!C272,10*Overig!C272),""",""????0;"",""???-0;"",""????0;"", ////"""),"'","""")&amp;SUBSTITUTE(TEXT(Overig!D272,""",""?00;"",""?-00;"",""?00;"", //"""),"'","""")</f>
        <v>032, 19370928, 7605, 00</v>
      </c>
    </row>
    <row r="273" spans="1:1" x14ac:dyDescent="0.25">
      <c r="A273" s="12" t="str">
        <f ca="1">TEXT(Overig!A273,"000\,")&amp;TEXT(Overig!B273,"?00000000")&amp;SUBSTITUTE(TEXT(IF(ISTEXT(Overig!C273),Overig!C273,10*Overig!C273),""",""????0;"",""???-0;"",""????0;"", ////"""),"'","""")&amp;SUBSTITUTE(TEXT(Overig!D273,""",""?00;"",""?-00;"",""?00;"", //"""),"'","""")</f>
        <v>032, 19370929, 7595, 00</v>
      </c>
    </row>
    <row r="274" spans="1:1" x14ac:dyDescent="0.25">
      <c r="A274" s="12" t="str">
        <f ca="1">TEXT(Overig!A274,"000\,")&amp;TEXT(Overig!B274,"?00000000")&amp;SUBSTITUTE(TEXT(IF(ISTEXT(Overig!C274),Overig!C274,10*Overig!C274),""",""????0;"",""???-0;"",""????0;"", ////"""),"'","""")&amp;SUBSTITUTE(TEXT(Overig!D274,""",""?00;"",""?-00;"",""?00;"", //"""),"'","""")</f>
        <v>032, 19370930, 7595, 00</v>
      </c>
    </row>
    <row r="275" spans="1:1" x14ac:dyDescent="0.25">
      <c r="A275" s="12" t="str">
        <f ca="1">TEXT(Overig!A275,"000\,")&amp;TEXT(Overig!B275,"?00000000")&amp;SUBSTITUTE(TEXT(IF(ISTEXT(Overig!C275),Overig!C275,10*Overig!C275),""",""????0;"",""???-0;"",""????0;"", ////"""),"'","""")&amp;SUBSTITUTE(TEXT(Overig!D275,""",""?00;"",""?-00;"",""?00;"", //"""),"'","""")</f>
        <v>032, 19371001, 7605, 00</v>
      </c>
    </row>
    <row r="276" spans="1:1" x14ac:dyDescent="0.25">
      <c r="A276" s="12" t="str">
        <f ca="1">TEXT(Overig!A276,"000\,")&amp;TEXT(Overig!B276,"?00000000")&amp;SUBSTITUTE(TEXT(IF(ISTEXT(Overig!C276),Overig!C276,10*Overig!C276),""",""????0;"",""???-0;"",""????0;"", ////"""),"'","""")&amp;SUBSTITUTE(TEXT(Overig!D276,""",""?00;"",""?-00;"",""?00;"", //"""),"'","""")</f>
        <v>032, 19371002, 7595, 00</v>
      </c>
    </row>
    <row r="277" spans="1:1" x14ac:dyDescent="0.25">
      <c r="A277" s="12" t="str">
        <f ca="1">TEXT(Overig!A277,"000\,")&amp;TEXT(Overig!B277,"?00000000")&amp;SUBSTITUTE(TEXT(IF(ISTEXT(Overig!C277),Overig!C277,10*Overig!C277),""",""????0;"",""???-0;"",""????0;"", ////"""),"'","""")&amp;SUBSTITUTE(TEXT(Overig!D277,""",""?00;"",""?-00;"",""?00;"", //"""),"'","""")</f>
        <v>032, 19371003, 7595, 00</v>
      </c>
    </row>
    <row r="278" spans="1:1" x14ac:dyDescent="0.25">
      <c r="A278" s="12" t="str">
        <f ca="1">TEXT(Overig!A278,"000\,")&amp;TEXT(Overig!B278,"?00000000")&amp;SUBSTITUTE(TEXT(IF(ISTEXT(Overig!C278),Overig!C278,10*Overig!C278),""",""????0;"",""???-0;"",""????0;"", ////"""),"'","""")&amp;SUBSTITUTE(TEXT(Overig!D278,""",""?00;"",""?-00;"",""?00;"", //"""),"'","""")</f>
        <v>032, 19371004, 7590, 00</v>
      </c>
    </row>
    <row r="279" spans="1:1" x14ac:dyDescent="0.25">
      <c r="A279" s="12" t="str">
        <f ca="1">TEXT(Overig!A279,"000\,")&amp;TEXT(Overig!B279,"?00000000")&amp;SUBSTITUTE(TEXT(IF(ISTEXT(Overig!C279),Overig!C279,10*Overig!C279),""",""????0;"",""???-0;"",""????0;"", ////"""),"'","""")&amp;SUBSTITUTE(TEXT(Overig!D279,""",""?00;"",""?-00;"",""?00;"", //"""),"'","""")</f>
        <v>032, 19371005, 7600, 00</v>
      </c>
    </row>
    <row r="280" spans="1:1" x14ac:dyDescent="0.25">
      <c r="A280" s="12" t="str">
        <f ca="1">TEXT(Overig!A280,"000\,")&amp;TEXT(Overig!B280,"?00000000")&amp;SUBSTITUTE(TEXT(IF(ISTEXT(Overig!C280),Overig!C280,10*Overig!C280),""",""????0;"",""???-0;"",""????0;"", ////"""),"'","""")&amp;SUBSTITUTE(TEXT(Overig!D280,""",""?00;"",""?-00;"",""?00;"", //"""),"'","""")</f>
        <v>032, 19371006, 7590, 00</v>
      </c>
    </row>
    <row r="281" spans="1:1" x14ac:dyDescent="0.25">
      <c r="A281" s="12" t="str">
        <f ca="1">TEXT(Overig!A281,"000\,")&amp;TEXT(Overig!B281,"?00000000")&amp;SUBSTITUTE(TEXT(IF(ISTEXT(Overig!C281),Overig!C281,10*Overig!C281),""",""????0;"",""???-0;"",""????0;"", ////"""),"'","""")&amp;SUBSTITUTE(TEXT(Overig!D281,""",""?00;"",""?-00;"",""?00;"", //"""),"'","""")</f>
        <v>032, 19371007, 7595, 00</v>
      </c>
    </row>
    <row r="282" spans="1:1" x14ac:dyDescent="0.25">
      <c r="A282" s="12" t="str">
        <f ca="1">TEXT(Overig!A282,"000\,")&amp;TEXT(Overig!B282,"?00000000")&amp;SUBSTITUTE(TEXT(IF(ISTEXT(Overig!C282),Overig!C282,10*Overig!C282),""",""????0;"",""???-0;"",""????0;"", ////"""),"'","""")&amp;SUBSTITUTE(TEXT(Overig!D282,""",""?00;"",""?-00;"",""?00;"", //"""),"'","""")</f>
        <v>032, 19371008, 7595, 00</v>
      </c>
    </row>
    <row r="283" spans="1:1" x14ac:dyDescent="0.25">
      <c r="A283" s="12" t="str">
        <f ca="1">TEXT(Overig!A283,"000\,")&amp;TEXT(Overig!B283,"?00000000")&amp;SUBSTITUTE(TEXT(IF(ISTEXT(Overig!C283),Overig!C283,10*Overig!C283),""",""????0;"",""???-0;"",""????0;"", ////"""),"'","""")&amp;SUBSTITUTE(TEXT(Overig!D283,""",""?00;"",""?-00;"",""?00;"", //"""),"'","""")</f>
        <v>032, 19371009, 7590, 00</v>
      </c>
    </row>
    <row r="284" spans="1:1" x14ac:dyDescent="0.25">
      <c r="A284" s="12" t="str">
        <f ca="1">TEXT(Overig!A284,"000\,")&amp;TEXT(Overig!B284,"?00000000")&amp;SUBSTITUTE(TEXT(IF(ISTEXT(Overig!C284),Overig!C284,10*Overig!C284),""",""????0;"",""???-0;"",""????0;"", ////"""),"'","""")&amp;SUBSTITUTE(TEXT(Overig!D284,""",""?00;"",""?-00;"",""?00;"", //"""),"'","""")</f>
        <v>032, 19371010, 7600, 00</v>
      </c>
    </row>
    <row r="285" spans="1:1" x14ac:dyDescent="0.25">
      <c r="A285" s="12" t="str">
        <f ca="1">TEXT(Overig!A285,"000\,")&amp;TEXT(Overig!B285,"?00000000")&amp;SUBSTITUTE(TEXT(IF(ISTEXT(Overig!C285),Overig!C285,10*Overig!C285),""",""????0;"",""???-0;"",""????0;"", ////"""),"'","""")&amp;SUBSTITUTE(TEXT(Overig!D285,""",""?00;"",""?-00;"",""?00;"", //"""),"'","""")</f>
        <v>032, 19371011, 7595, 00</v>
      </c>
    </row>
    <row r="286" spans="1:1" x14ac:dyDescent="0.25">
      <c r="A286" s="12" t="str">
        <f ca="1">TEXT(Overig!A286,"000\,")&amp;TEXT(Overig!B286,"?00000000")&amp;SUBSTITUTE(TEXT(IF(ISTEXT(Overig!C286),Overig!C286,10*Overig!C286),""",""????0;"",""???-0;"",""????0;"", ////"""),"'","""")&amp;SUBSTITUTE(TEXT(Overig!D286,""",""?00;"",""?-00;"",""?00;"", //"""),"'","""")</f>
        <v>032, 19371012, 7590, 00</v>
      </c>
    </row>
    <row r="287" spans="1:1" x14ac:dyDescent="0.25">
      <c r="A287" s="12" t="str">
        <f ca="1">TEXT(Overig!A287,"000\,")&amp;TEXT(Overig!B287,"?00000000")&amp;SUBSTITUTE(TEXT(IF(ISTEXT(Overig!C287),Overig!C287,10*Overig!C287),""",""????0;"",""???-0;"",""????0;"", ////"""),"'","""")&amp;SUBSTITUTE(TEXT(Overig!D287,""",""?00;"",""?-00;"",""?00;"", //"""),"'","""")</f>
        <v>032, 19371013, 7600, 00</v>
      </c>
    </row>
    <row r="288" spans="1:1" x14ac:dyDescent="0.25">
      <c r="A288" s="12" t="str">
        <f ca="1">TEXT(Overig!A288,"000\,")&amp;TEXT(Overig!B288,"?00000000")&amp;SUBSTITUTE(TEXT(IF(ISTEXT(Overig!C288),Overig!C288,10*Overig!C288),""",""????0;"",""???-0;"",""????0;"", ////"""),"'","""")&amp;SUBSTITUTE(TEXT(Overig!D288,""",""?00;"",""?-00;"",""?00;"", //"""),"'","""")</f>
        <v>032, 19371014, 7600, 00</v>
      </c>
    </row>
    <row r="289" spans="1:1" x14ac:dyDescent="0.25">
      <c r="A289" s="12" t="str">
        <f ca="1">TEXT(Overig!A289,"000\,")&amp;TEXT(Overig!B289,"?00000000")&amp;SUBSTITUTE(TEXT(IF(ISTEXT(Overig!C289),Overig!C289,10*Overig!C289),""",""????0;"",""???-0;"",""????0;"", ////"""),"'","""")&amp;SUBSTITUTE(TEXT(Overig!D289,""",""?00;"",""?-00;"",""?00;"", //"""),"'","""")</f>
        <v>032, 19371015, 7595, 00</v>
      </c>
    </row>
    <row r="290" spans="1:1" x14ac:dyDescent="0.25">
      <c r="A290" s="12" t="str">
        <f ca="1">TEXT(Overig!A290,"000\,")&amp;TEXT(Overig!B290,"?00000000")&amp;SUBSTITUTE(TEXT(IF(ISTEXT(Overig!C290),Overig!C290,10*Overig!C290),""",""????0;"",""???-0;"",""????0;"", ////"""),"'","""")&amp;SUBSTITUTE(TEXT(Overig!D290,""",""?00;"",""?-00;"",""?00;"", //"""),"'","""")</f>
        <v>032, 19371016, 7595, 00</v>
      </c>
    </row>
    <row r="291" spans="1:1" x14ac:dyDescent="0.25">
      <c r="A291" s="12" t="str">
        <f ca="1">TEXT(Overig!A291,"000\,")&amp;TEXT(Overig!B291,"?00000000")&amp;SUBSTITUTE(TEXT(IF(ISTEXT(Overig!C291),Overig!C291,10*Overig!C291),""",""????0;"",""???-0;"",""????0;"", ////"""),"'","""")&amp;SUBSTITUTE(TEXT(Overig!D291,""",""?00;"",""?-00;"",""?00;"", //"""),"'","""")</f>
        <v>032, 19371017, 7590, 00</v>
      </c>
    </row>
    <row r="292" spans="1:1" x14ac:dyDescent="0.25">
      <c r="A292" s="12" t="str">
        <f ca="1">TEXT(Overig!A292,"000\,")&amp;TEXT(Overig!B292,"?00000000")&amp;SUBSTITUTE(TEXT(IF(ISTEXT(Overig!C292),Overig!C292,10*Overig!C292),""",""????0;"",""???-0;"",""????0;"", ////"""),"'","""")&amp;SUBSTITUTE(TEXT(Overig!D292,""",""?00;"",""?-00;"",""?00;"", //"""),"'","""")</f>
        <v>032, 19371018, 7595, 00</v>
      </c>
    </row>
    <row r="293" spans="1:1" x14ac:dyDescent="0.25">
      <c r="A293" s="12" t="str">
        <f ca="1">TEXT(Overig!A293,"000\,")&amp;TEXT(Overig!B293,"?00000000")&amp;SUBSTITUTE(TEXT(IF(ISTEXT(Overig!C293),Overig!C293,10*Overig!C293),""",""????0;"",""???-0;"",""????0;"", ////"""),"'","""")&amp;SUBSTITUTE(TEXT(Overig!D293,""",""?00;"",""?-00;"",""?00;"", //"""),"'","""")</f>
        <v>032, 19371019, 7605, 00</v>
      </c>
    </row>
    <row r="294" spans="1:1" x14ac:dyDescent="0.25">
      <c r="A294" s="12" t="str">
        <f ca="1">TEXT(Overig!A294,"000\,")&amp;TEXT(Overig!B294,"?00000000")&amp;SUBSTITUTE(TEXT(IF(ISTEXT(Overig!C294),Overig!C294,10*Overig!C294),""",""????0;"",""???-0;"",""????0;"", ////"""),"'","""")&amp;SUBSTITUTE(TEXT(Overig!D294,""",""?00;"",""?-00;"",""?00;"", //"""),"'","""")</f>
        <v>032, 19371020, 7590, 00</v>
      </c>
    </row>
    <row r="295" spans="1:1" x14ac:dyDescent="0.25">
      <c r="A295" s="12" t="str">
        <f ca="1">TEXT(Overig!A295,"000\,")&amp;TEXT(Overig!B295,"?00000000")&amp;SUBSTITUTE(TEXT(IF(ISTEXT(Overig!C295),Overig!C295,10*Overig!C295),""",""????0;"",""???-0;"",""????0;"", ////"""),"'","""")&amp;SUBSTITUTE(TEXT(Overig!D295,""",""?00;"",""?-00;"",""?00;"", //"""),"'","""")</f>
        <v>032, 19371021, 7590, 00</v>
      </c>
    </row>
    <row r="296" spans="1:1" x14ac:dyDescent="0.25">
      <c r="A296" s="12" t="str">
        <f ca="1">TEXT(Overig!A296,"000\,")&amp;TEXT(Overig!B296,"?00000000")&amp;SUBSTITUTE(TEXT(IF(ISTEXT(Overig!C296),Overig!C296,10*Overig!C296),""",""????0;"",""???-0;"",""????0;"", ////"""),"'","""")&amp;SUBSTITUTE(TEXT(Overig!D296,""",""?00;"",""?-00;"",""?00;"", //"""),"'","""")</f>
        <v>032, 19371022, 7605, 00</v>
      </c>
    </row>
    <row r="297" spans="1:1" x14ac:dyDescent="0.25">
      <c r="A297" s="12" t="str">
        <f ca="1">TEXT(Overig!A297,"000\,")&amp;TEXT(Overig!B297,"?00000000")&amp;SUBSTITUTE(TEXT(IF(ISTEXT(Overig!C297),Overig!C297,10*Overig!C297),""",""????0;"",""???-0;"",""????0;"", ////"""),"'","""")&amp;SUBSTITUTE(TEXT(Overig!D297,""",""?00;"",""?-00;"",""?00;"", //"""),"'","""")</f>
        <v>032, 19371023, 7600, 00</v>
      </c>
    </row>
    <row r="298" spans="1:1" x14ac:dyDescent="0.25">
      <c r="A298" s="12" t="str">
        <f ca="1">TEXT(Overig!A298,"000\,")&amp;TEXT(Overig!B298,"?00000000")&amp;SUBSTITUTE(TEXT(IF(ISTEXT(Overig!C298),Overig!C298,10*Overig!C298),""",""????0;"",""???-0;"",""????0;"", ////"""),"'","""")&amp;SUBSTITUTE(TEXT(Overig!D298,""",""?00;"",""?-00;"",""?00;"", //"""),"'","""")</f>
        <v>032, 19371024, 7600, 00</v>
      </c>
    </row>
    <row r="299" spans="1:1" x14ac:dyDescent="0.25">
      <c r="A299" s="12" t="str">
        <f ca="1">TEXT(Overig!A299,"000\,")&amp;TEXT(Overig!B299,"?00000000")&amp;SUBSTITUTE(TEXT(IF(ISTEXT(Overig!C299),Overig!C299,10*Overig!C299),""",""????0;"",""???-0;"",""????0;"", ////"""),"'","""")&amp;SUBSTITUTE(TEXT(Overig!D299,""",""?00;"",""?-00;"",""?00;"", //"""),"'","""")</f>
        <v>032, 19371025, 7605, 00</v>
      </c>
    </row>
    <row r="300" spans="1:1" x14ac:dyDescent="0.25">
      <c r="A300" s="12" t="str">
        <f ca="1">TEXT(Overig!A300,"000\,")&amp;TEXT(Overig!B300,"?00000000")&amp;SUBSTITUTE(TEXT(IF(ISTEXT(Overig!C300),Overig!C300,10*Overig!C300),""",""????0;"",""???-0;"",""????0;"", ////"""),"'","""")&amp;SUBSTITUTE(TEXT(Overig!D300,""",""?00;"",""?-00;"",""?00;"", //"""),"'","""")</f>
        <v>032, 19371026, 7590, 00</v>
      </c>
    </row>
    <row r="301" spans="1:1" x14ac:dyDescent="0.25">
      <c r="A301" s="12" t="str">
        <f ca="1">TEXT(Overig!A301,"000\,")&amp;TEXT(Overig!B301,"?00000000")&amp;SUBSTITUTE(TEXT(IF(ISTEXT(Overig!C301),Overig!C301,10*Overig!C301),""",""????0;"",""???-0;"",""????0;"", ////"""),"'","""")&amp;SUBSTITUTE(TEXT(Overig!D301,""",""?00;"",""?-00;"",""?00;"", //"""),"'","""")</f>
        <v>032, 19371027, 7590, 00</v>
      </c>
    </row>
    <row r="302" spans="1:1" x14ac:dyDescent="0.25">
      <c r="A302" s="12" t="str">
        <f ca="1">TEXT(Overig!A302,"000\,")&amp;TEXT(Overig!B302,"?00000000")&amp;SUBSTITUTE(TEXT(IF(ISTEXT(Overig!C302),Overig!C302,10*Overig!C302),""",""????0;"",""???-0;"",""????0;"", ////"""),"'","""")&amp;SUBSTITUTE(TEXT(Overig!D302,""",""?00;"",""?-00;"",""?00;"", //"""),"'","""")</f>
        <v>032, 19371028, 7590, 00</v>
      </c>
    </row>
    <row r="303" spans="1:1" x14ac:dyDescent="0.25">
      <c r="A303" s="12" t="str">
        <f ca="1">TEXT(Overig!A303,"000\,")&amp;TEXT(Overig!B303,"?00000000")&amp;SUBSTITUTE(TEXT(IF(ISTEXT(Overig!C303),Overig!C303,10*Overig!C303),""",""????0;"",""???-0;"",""????0;"", ////"""),"'","""")&amp;SUBSTITUTE(TEXT(Overig!D303,""",""?00;"",""?-00;"",""?00;"", //"""),"'","""")</f>
        <v>032, 19371029, 7595, 00</v>
      </c>
    </row>
    <row r="304" spans="1:1" x14ac:dyDescent="0.25">
      <c r="A304" s="12" t="str">
        <f ca="1">TEXT(Overig!A304,"000\,")&amp;TEXT(Overig!B304,"?00000000")&amp;SUBSTITUTE(TEXT(IF(ISTEXT(Overig!C304),Overig!C304,10*Overig!C304),""",""????0;"",""???-0;"",""????0;"", ////"""),"'","""")&amp;SUBSTITUTE(TEXT(Overig!D304,""",""?00;"",""?-00;"",""?00;"", //"""),"'","""")</f>
        <v>032, 19371030, 7590, 00</v>
      </c>
    </row>
    <row r="305" spans="1:1" x14ac:dyDescent="0.25">
      <c r="A305" s="12" t="str">
        <f ca="1">TEXT(Overig!A305,"000\,")&amp;TEXT(Overig!B305,"?00000000")&amp;SUBSTITUTE(TEXT(IF(ISTEXT(Overig!C305),Overig!C305,10*Overig!C305),""",""????0;"",""???-0;"",""????0;"", ////"""),"'","""")&amp;SUBSTITUTE(TEXT(Overig!D305,""",""?00;"",""?-00;"",""?00;"", //"""),"'","""")</f>
        <v>032, 19371031, 7600, 00</v>
      </c>
    </row>
    <row r="306" spans="1:1" x14ac:dyDescent="0.25">
      <c r="A306" s="12" t="str">
        <f ca="1">TEXT(Overig!A306,"000\,")&amp;TEXT(Overig!B306,"?00000000")&amp;SUBSTITUTE(TEXT(IF(ISTEXT(Overig!C306),Overig!C306,10*Overig!C306),""",""????0;"",""???-0;"",""????0;"", ////"""),"'","""")&amp;SUBSTITUTE(TEXT(Overig!D306,""",""?00;"",""?-00;"",""?00;"", //"""),"'","""")</f>
        <v>032, 19371101, 7600, 00</v>
      </c>
    </row>
    <row r="307" spans="1:1" x14ac:dyDescent="0.25">
      <c r="A307" s="12" t="str">
        <f ca="1">TEXT(Overig!A307,"000\,")&amp;TEXT(Overig!B307,"?00000000")&amp;SUBSTITUTE(TEXT(IF(ISTEXT(Overig!C307),Overig!C307,10*Overig!C307),""",""????0;"",""???-0;"",""????0;"", ////"""),"'","""")&amp;SUBSTITUTE(TEXT(Overig!D307,""",""?00;"",""?-00;"",""?00;"", //"""),"'","""")</f>
        <v>032, 19371102, 7600, 00</v>
      </c>
    </row>
    <row r="308" spans="1:1" x14ac:dyDescent="0.25">
      <c r="A308" s="12" t="str">
        <f ca="1">TEXT(Overig!A308,"000\,")&amp;TEXT(Overig!B308,"?00000000")&amp;SUBSTITUTE(TEXT(IF(ISTEXT(Overig!C308),Overig!C308,10*Overig!C308),""",""????0;"",""???-0;"",""????0;"", ////"""),"'","""")&amp;SUBSTITUTE(TEXT(Overig!D308,""",""?00;"",""?-00;"",""?00;"", //"""),"'","""")</f>
        <v>032, 19371103, 7595, 00</v>
      </c>
    </row>
    <row r="309" spans="1:1" x14ac:dyDescent="0.25">
      <c r="A309" s="12" t="str">
        <f ca="1">TEXT(Overig!A309,"000\,")&amp;TEXT(Overig!B309,"?00000000")&amp;SUBSTITUTE(TEXT(IF(ISTEXT(Overig!C309),Overig!C309,10*Overig!C309),""",""????0;"",""???-0;"",""????0;"", ////"""),"'","""")&amp;SUBSTITUTE(TEXT(Overig!D309,""",""?00;"",""?-00;"",""?00;"", //"""),"'","""")</f>
        <v>032, 19371104, 7595, 00</v>
      </c>
    </row>
    <row r="310" spans="1:1" x14ac:dyDescent="0.25">
      <c r="A310" s="12" t="str">
        <f ca="1">TEXT(Overig!A310,"000\,")&amp;TEXT(Overig!B310,"?00000000")&amp;SUBSTITUTE(TEXT(IF(ISTEXT(Overig!C310),Overig!C310,10*Overig!C310),""",""????0;"",""???-0;"",""????0;"", ////"""),"'","""")&amp;SUBSTITUTE(TEXT(Overig!D310,""",""?00;"",""?-00;"",""?00;"", //"""),"'","""")</f>
        <v>032, 19371105, 7590, 00</v>
      </c>
    </row>
    <row r="311" spans="1:1" x14ac:dyDescent="0.25">
      <c r="A311" s="12" t="str">
        <f ca="1">TEXT(Overig!A311,"000\,")&amp;TEXT(Overig!B311,"?00000000")&amp;SUBSTITUTE(TEXT(IF(ISTEXT(Overig!C311),Overig!C311,10*Overig!C311),""",""????0;"",""???-0;"",""????0;"", ////"""),"'","""")&amp;SUBSTITUTE(TEXT(Overig!D311,""",""?00;"",""?-00;"",""?00;"", //"""),"'","""")</f>
        <v>032, 19371106, 7600, 00</v>
      </c>
    </row>
    <row r="312" spans="1:1" x14ac:dyDescent="0.25">
      <c r="A312" s="12" t="str">
        <f ca="1">TEXT(Overig!A312,"000\,")&amp;TEXT(Overig!B312,"?00000000")&amp;SUBSTITUTE(TEXT(IF(ISTEXT(Overig!C312),Overig!C312,10*Overig!C312),""",""????0;"",""???-0;"",""????0;"", ////"""),"'","""")&amp;SUBSTITUTE(TEXT(Overig!D312,""",""?00;"",""?-00;"",""?00;"", //"""),"'","""")</f>
        <v>032, 19371107, 7600, 00</v>
      </c>
    </row>
    <row r="313" spans="1:1" x14ac:dyDescent="0.25">
      <c r="A313" s="12" t="str">
        <f ca="1">TEXT(Overig!A313,"000\,")&amp;TEXT(Overig!B313,"?00000000")&amp;SUBSTITUTE(TEXT(IF(ISTEXT(Overig!C313),Overig!C313,10*Overig!C313),""",""????0;"",""???-0;"",""????0;"", ////"""),"'","""")&amp;SUBSTITUTE(TEXT(Overig!D313,""",""?00;"",""?-00;"",""?00;"", //"""),"'","""")</f>
        <v>032, 19371108, 7605, 00</v>
      </c>
    </row>
    <row r="314" spans="1:1" x14ac:dyDescent="0.25">
      <c r="A314" s="12" t="str">
        <f ca="1">TEXT(Overig!A314,"000\,")&amp;TEXT(Overig!B314,"?00000000")&amp;SUBSTITUTE(TEXT(IF(ISTEXT(Overig!C314),Overig!C314,10*Overig!C314),""",""????0;"",""???-0;"",""????0;"", ////"""),"'","""")&amp;SUBSTITUTE(TEXT(Overig!D314,""",""?00;"",""?-00;"",""?00;"", //"""),"'","""")</f>
        <v>032, 19371109, 7595, 00</v>
      </c>
    </row>
    <row r="315" spans="1:1" x14ac:dyDescent="0.25">
      <c r="A315" s="12" t="str">
        <f ca="1">TEXT(Overig!A315,"000\,")&amp;TEXT(Overig!B315,"?00000000")&amp;SUBSTITUTE(TEXT(IF(ISTEXT(Overig!C315),Overig!C315,10*Overig!C315),""",""????0;"",""???-0;"",""????0;"", ////"""),"'","""")&amp;SUBSTITUTE(TEXT(Overig!D315,""",""?00;"",""?-00;"",""?00;"", //"""),"'","""")</f>
        <v>032, 19371110, 7590, 00</v>
      </c>
    </row>
    <row r="316" spans="1:1" x14ac:dyDescent="0.25">
      <c r="A316" s="12" t="str">
        <f ca="1">TEXT(Overig!A316,"000\,")&amp;TEXT(Overig!B316,"?00000000")&amp;SUBSTITUTE(TEXT(IF(ISTEXT(Overig!C316),Overig!C316,10*Overig!C316),""",""????0;"",""???-0;"",""????0;"", ////"""),"'","""")&amp;SUBSTITUTE(TEXT(Overig!D316,""",""?00;"",""?-00;"",""?00;"", //"""),"'","""")</f>
        <v>032, 19371111, 7600, 00</v>
      </c>
    </row>
    <row r="317" spans="1:1" x14ac:dyDescent="0.25">
      <c r="A317" s="12" t="str">
        <f ca="1">TEXT(Overig!A317,"000\,")&amp;TEXT(Overig!B317,"?00000000")&amp;SUBSTITUTE(TEXT(IF(ISTEXT(Overig!C317),Overig!C317,10*Overig!C317),""",""????0;"",""???-0;"",""????0;"", ////"""),"'","""")&amp;SUBSTITUTE(TEXT(Overig!D317,""",""?00;"",""?-00;"",""?00;"", //"""),"'","""")</f>
        <v>032, 19371112, 7600, 00</v>
      </c>
    </row>
    <row r="318" spans="1:1" x14ac:dyDescent="0.25">
      <c r="A318" s="12" t="str">
        <f ca="1">TEXT(Overig!A318,"000\,")&amp;TEXT(Overig!B318,"?00000000")&amp;SUBSTITUTE(TEXT(IF(ISTEXT(Overig!C318),Overig!C318,10*Overig!C318),""",""????0;"",""???-0;"",""????0;"", ////"""),"'","""")&amp;SUBSTITUTE(TEXT(Overig!D318,""",""?00;"",""?-00;"",""?00;"", //"""),"'","""")</f>
        <v>032, 19371113, 7585, 00</v>
      </c>
    </row>
    <row r="319" spans="1:1" x14ac:dyDescent="0.25">
      <c r="A319" s="12" t="str">
        <f ca="1">TEXT(Overig!A319,"000\,")&amp;TEXT(Overig!B319,"?00000000")&amp;SUBSTITUTE(TEXT(IF(ISTEXT(Overig!C319),Overig!C319,10*Overig!C319),""",""????0;"",""???-0;"",""????0;"", ////"""),"'","""")&amp;SUBSTITUTE(TEXT(Overig!D319,""",""?00;"",""?-00;"",""?00;"", //"""),"'","""")</f>
        <v>032, 19371114, 7590, 00</v>
      </c>
    </row>
    <row r="320" spans="1:1" x14ac:dyDescent="0.25">
      <c r="A320" s="12" t="str">
        <f ca="1">TEXT(Overig!A320,"000\,")&amp;TEXT(Overig!B320,"?00000000")&amp;SUBSTITUTE(TEXT(IF(ISTEXT(Overig!C320),Overig!C320,10*Overig!C320),""",""????0;"",""???-0;"",""????0;"", ////"""),"'","""")&amp;SUBSTITUTE(TEXT(Overig!D320,""",""?00;"",""?-00;"",""?00;"", //"""),"'","""")</f>
        <v>032, 19371115, 7570, 00</v>
      </c>
    </row>
    <row r="321" spans="1:1" x14ac:dyDescent="0.25">
      <c r="A321" s="12" t="str">
        <f ca="1">TEXT(Overig!A321,"000\,")&amp;TEXT(Overig!B321,"?00000000")&amp;SUBSTITUTE(TEXT(IF(ISTEXT(Overig!C321),Overig!C321,10*Overig!C321),""",""????0;"",""???-0;"",""????0;"", ////"""),"'","""")&amp;SUBSTITUTE(TEXT(Overig!D321,""",""?00;"",""?-00;"",""?00;"", //"""),"'","""")</f>
        <v>032, 19371116, 7590, 00</v>
      </c>
    </row>
    <row r="322" spans="1:1" x14ac:dyDescent="0.25">
      <c r="A322" s="12" t="str">
        <f ca="1">TEXT(Overig!A322,"000\,")&amp;TEXT(Overig!B322,"?00000000")&amp;SUBSTITUTE(TEXT(IF(ISTEXT(Overig!C322),Overig!C322,10*Overig!C322),""",""????0;"",""???-0;"",""????0;"", ////"""),"'","""")&amp;SUBSTITUTE(TEXT(Overig!D322,""",""?00;"",""?-00;"",""?00;"", //"""),"'","""")</f>
        <v>032, 19371117, 7590, 00</v>
      </c>
    </row>
    <row r="323" spans="1:1" x14ac:dyDescent="0.25">
      <c r="A323" s="12" t="str">
        <f ca="1">TEXT(Overig!A323,"000\,")&amp;TEXT(Overig!B323,"?00000000")&amp;SUBSTITUTE(TEXT(IF(ISTEXT(Overig!C323),Overig!C323,10*Overig!C323),""",""????0;"",""???-0;"",""????0;"", ////"""),"'","""")&amp;SUBSTITUTE(TEXT(Overig!D323,""",""?00;"",""?-00;"",""?00;"", //"""),"'","""")</f>
        <v>032, 19371118, 7605, 00</v>
      </c>
    </row>
    <row r="324" spans="1:1" x14ac:dyDescent="0.25">
      <c r="A324" s="12" t="str">
        <f ca="1">TEXT(Overig!A324,"000\,")&amp;TEXT(Overig!B324,"?00000000")&amp;SUBSTITUTE(TEXT(IF(ISTEXT(Overig!C324),Overig!C324,10*Overig!C324),""",""????0;"",""???-0;"",""????0;"", ////"""),"'","""")&amp;SUBSTITUTE(TEXT(Overig!D324,""",""?00;"",""?-00;"",""?00;"", //"""),"'","""")</f>
        <v>032, 19371119, 7600, 00</v>
      </c>
    </row>
    <row r="325" spans="1:1" x14ac:dyDescent="0.25">
      <c r="A325" s="12" t="str">
        <f ca="1">TEXT(Overig!A325,"000\,")&amp;TEXT(Overig!B325,"?00000000")&amp;SUBSTITUTE(TEXT(IF(ISTEXT(Overig!C325),Overig!C325,10*Overig!C325),""",""????0;"",""???-0;"",""????0;"", ////"""),"'","""")&amp;SUBSTITUTE(TEXT(Overig!D325,""",""?00;"",""?-00;"",""?00;"", //"""),"'","""")</f>
        <v>032, 19371120, 7595, 00</v>
      </c>
    </row>
    <row r="326" spans="1:1" x14ac:dyDescent="0.25">
      <c r="A326" s="12" t="str">
        <f ca="1">TEXT(Overig!A326,"000\,")&amp;TEXT(Overig!B326,"?00000000")&amp;SUBSTITUTE(TEXT(IF(ISTEXT(Overig!C326),Overig!C326,10*Overig!C326),""",""????0;"",""???-0;"",""????0;"", ////"""),"'","""")&amp;SUBSTITUTE(TEXT(Overig!D326,""",""?00;"",""?-00;"",""?00;"", //"""),"'","""")</f>
        <v>032, 19371121, 7590, 00</v>
      </c>
    </row>
    <row r="327" spans="1:1" x14ac:dyDescent="0.25">
      <c r="A327" s="12" t="str">
        <f ca="1">TEXT(Overig!A327,"000\,")&amp;TEXT(Overig!B327,"?00000000")&amp;SUBSTITUTE(TEXT(IF(ISTEXT(Overig!C327),Overig!C327,10*Overig!C327),""",""????0;"",""???-0;"",""????0;"", ////"""),"'","""")&amp;SUBSTITUTE(TEXT(Overig!D327,""",""?00;"",""?-00;"",""?00;"", //"""),"'","""")</f>
        <v>032, 19371122, 7600, 00</v>
      </c>
    </row>
    <row r="328" spans="1:1" x14ac:dyDescent="0.25">
      <c r="A328" s="12" t="str">
        <f ca="1">TEXT(Overig!A328,"000\,")&amp;TEXT(Overig!B328,"?00000000")&amp;SUBSTITUTE(TEXT(IF(ISTEXT(Overig!C328),Overig!C328,10*Overig!C328),""",""????0;"",""???-0;"",""????0;"", ////"""),"'","""")&amp;SUBSTITUTE(TEXT(Overig!D328,""",""?00;"",""?-00;"",""?00;"", //"""),"'","""")</f>
        <v>032, 19371123, 7590, 00</v>
      </c>
    </row>
    <row r="329" spans="1:1" x14ac:dyDescent="0.25">
      <c r="A329" s="12" t="str">
        <f ca="1">TEXT(Overig!A329,"000\,")&amp;TEXT(Overig!B329,"?00000000")&amp;SUBSTITUTE(TEXT(IF(ISTEXT(Overig!C329),Overig!C329,10*Overig!C329),""",""????0;"",""???-0;"",""????0;"", ////"""),"'","""")&amp;SUBSTITUTE(TEXT(Overig!D329,""",""?00;"",""?-00;"",""?00;"", //"""),"'","""")</f>
        <v>032, 19371124, 7590, 00</v>
      </c>
    </row>
    <row r="330" spans="1:1" x14ac:dyDescent="0.25">
      <c r="A330" s="12" t="str">
        <f ca="1">TEXT(Overig!A330,"000\,")&amp;TEXT(Overig!B330,"?00000000")&amp;SUBSTITUTE(TEXT(IF(ISTEXT(Overig!C330),Overig!C330,10*Overig!C330),""",""????0;"",""???-0;"",""????0;"", ////"""),"'","""")&amp;SUBSTITUTE(TEXT(Overig!D330,""",""?00;"",""?-00;"",""?00;"", //"""),"'","""")</f>
        <v>032, 19371125, 7590, 00</v>
      </c>
    </row>
    <row r="331" spans="1:1" x14ac:dyDescent="0.25">
      <c r="A331" s="12" t="str">
        <f ca="1">TEXT(Overig!A331,"000\,")&amp;TEXT(Overig!B331,"?00000000")&amp;SUBSTITUTE(TEXT(IF(ISTEXT(Overig!C331),Overig!C331,10*Overig!C331),""",""????0;"",""???-0;"",""????0;"", ////"""),"'","""")&amp;SUBSTITUTE(TEXT(Overig!D331,""",""?00;"",""?-00;"",""?00;"", //"""),"'","""")</f>
        <v>032, 19371126, 7575, 00</v>
      </c>
    </row>
    <row r="332" spans="1:1" x14ac:dyDescent="0.25">
      <c r="A332" s="12" t="str">
        <f ca="1">TEXT(Overig!A332,"000\,")&amp;TEXT(Overig!B332,"?00000000")&amp;SUBSTITUTE(TEXT(IF(ISTEXT(Overig!C332),Overig!C332,10*Overig!C332),""",""????0;"",""???-0;"",""????0;"", ////"""),"'","""")&amp;SUBSTITUTE(TEXT(Overig!D332,""",""?00;"",""?-00;"",""?00;"", //"""),"'","""")</f>
        <v>032, 19371127, 7590, 00</v>
      </c>
    </row>
    <row r="333" spans="1:1" x14ac:dyDescent="0.25">
      <c r="A333" s="12" t="str">
        <f ca="1">TEXT(Overig!A333,"000\,")&amp;TEXT(Overig!B333,"?00000000")&amp;SUBSTITUTE(TEXT(IF(ISTEXT(Overig!C333),Overig!C333,10*Overig!C333),""",""????0;"",""???-0;"",""????0;"", ////"""),"'","""")&amp;SUBSTITUTE(TEXT(Overig!D333,""",""?00;"",""?-00;"",""?00;"", //"""),"'","""")</f>
        <v>032, 19371128, 7590, 00</v>
      </c>
    </row>
    <row r="334" spans="1:1" x14ac:dyDescent="0.25">
      <c r="A334" s="12" t="str">
        <f ca="1">TEXT(Overig!A334,"000\,")&amp;TEXT(Overig!B334,"?00000000")&amp;SUBSTITUTE(TEXT(IF(ISTEXT(Overig!C334),Overig!C334,10*Overig!C334),""",""????0;"",""???-0;"",""????0;"", ////"""),"'","""")&amp;SUBSTITUTE(TEXT(Overig!D334,""",""?00;"",""?-00;"",""?00;"", //"""),"'","""")</f>
        <v>032, 19371129, 7590, 00</v>
      </c>
    </row>
    <row r="335" spans="1:1" x14ac:dyDescent="0.25">
      <c r="A335" s="12" t="str">
        <f ca="1">TEXT(Overig!A335,"000\,")&amp;TEXT(Overig!B335,"?00000000")&amp;SUBSTITUTE(TEXT(IF(ISTEXT(Overig!C335),Overig!C335,10*Overig!C335),""",""????0;"",""???-0;"",""????0;"", ////"""),"'","""")&amp;SUBSTITUTE(TEXT(Overig!D335,""",""?00;"",""?-00;"",""?00;"", //"""),"'","""")</f>
        <v>032, 19371130, 7600, 00</v>
      </c>
    </row>
    <row r="336" spans="1:1" x14ac:dyDescent="0.25">
      <c r="A336" s="12" t="str">
        <f ca="1">TEXT(Overig!A336,"000\,")&amp;TEXT(Overig!B336,"?00000000")&amp;SUBSTITUTE(TEXT(IF(ISTEXT(Overig!C336),Overig!C336,10*Overig!C336),""",""????0;"",""???-0;"",""????0;"", ////"""),"'","""")&amp;SUBSTITUTE(TEXT(Overig!D336,""",""?00;"",""?-00;"",""?00;"", //"""),"'","""")</f>
        <v>032, 19371201, 7590, 00</v>
      </c>
    </row>
    <row r="337" spans="1:1" x14ac:dyDescent="0.25">
      <c r="A337" s="12" t="str">
        <f ca="1">TEXT(Overig!A337,"000\,")&amp;TEXT(Overig!B337,"?00000000")&amp;SUBSTITUTE(TEXT(IF(ISTEXT(Overig!C337),Overig!C337,10*Overig!C337),""",""????0;"",""???-0;"",""????0;"", ////"""),"'","""")&amp;SUBSTITUTE(TEXT(Overig!D337,""",""?00;"",""?-00;"",""?00;"", //"""),"'","""")</f>
        <v>032, 19371202, 7600, 00</v>
      </c>
    </row>
    <row r="338" spans="1:1" x14ac:dyDescent="0.25">
      <c r="A338" s="12" t="str">
        <f ca="1">TEXT(Overig!A338,"000\,")&amp;TEXT(Overig!B338,"?00000000")&amp;SUBSTITUTE(TEXT(IF(ISTEXT(Overig!C338),Overig!C338,10*Overig!C338),""",""????0;"",""???-0;"",""????0;"", ////"""),"'","""")&amp;SUBSTITUTE(TEXT(Overig!D338,""",""?00;"",""?-00;"",""?00;"", //"""),"'","""")</f>
        <v>032, 19371203, 7590, 00</v>
      </c>
    </row>
    <row r="339" spans="1:1" x14ac:dyDescent="0.25">
      <c r="A339" s="12" t="str">
        <f ca="1">TEXT(Overig!A339,"000\,")&amp;TEXT(Overig!B339,"?00000000")&amp;SUBSTITUTE(TEXT(IF(ISTEXT(Overig!C339),Overig!C339,10*Overig!C339),""",""????0;"",""???-0;"",""????0;"", ////"""),"'","""")&amp;SUBSTITUTE(TEXT(Overig!D339,""",""?00;"",""?-00;"",""?00;"", //"""),"'","""")</f>
        <v>032, 19371204, 7570, 00</v>
      </c>
    </row>
    <row r="340" spans="1:1" x14ac:dyDescent="0.25">
      <c r="A340" s="12" t="str">
        <f ca="1">TEXT(Overig!A340,"000\,")&amp;TEXT(Overig!B340,"?00000000")&amp;SUBSTITUTE(TEXT(IF(ISTEXT(Overig!C340),Overig!C340,10*Overig!C340),""",""????0;"",""???-0;"",""????0;"", ////"""),"'","""")&amp;SUBSTITUTE(TEXT(Overig!D340,""",""?00;"",""?-00;"",""?00;"", //"""),"'","""")</f>
        <v>032, 19371205, 7570, 00</v>
      </c>
    </row>
    <row r="341" spans="1:1" x14ac:dyDescent="0.25">
      <c r="A341" s="12" t="str">
        <f ca="1">TEXT(Overig!A341,"000\,")&amp;TEXT(Overig!B341,"?00000000")&amp;SUBSTITUTE(TEXT(IF(ISTEXT(Overig!C341),Overig!C341,10*Overig!C341),""",""????0;"",""???-0;"",""????0;"", ////"""),"'","""")&amp;SUBSTITUTE(TEXT(Overig!D341,""",""?00;"",""?-00;"",""?00;"", //"""),"'","""")</f>
        <v>032, 19371206, 7580, 00</v>
      </c>
    </row>
    <row r="342" spans="1:1" x14ac:dyDescent="0.25">
      <c r="A342" s="12" t="str">
        <f ca="1">TEXT(Overig!A342,"000\,")&amp;TEXT(Overig!B342,"?00000000")&amp;SUBSTITUTE(TEXT(IF(ISTEXT(Overig!C342),Overig!C342,10*Overig!C342),""",""????0;"",""???-0;"",""????0;"", ////"""),"'","""")&amp;SUBSTITUTE(TEXT(Overig!D342,""",""?00;"",""?-00;"",""?00;"", //"""),"'","""")</f>
        <v>032, 19371207, 7595, 00</v>
      </c>
    </row>
    <row r="343" spans="1:1" x14ac:dyDescent="0.25">
      <c r="A343" s="12" t="str">
        <f ca="1">TEXT(Overig!A343,"000\,")&amp;TEXT(Overig!B343,"?00000000")&amp;SUBSTITUTE(TEXT(IF(ISTEXT(Overig!C343),Overig!C343,10*Overig!C343),""",""????0;"",""???-0;"",""????0;"", ////"""),"'","""")&amp;SUBSTITUTE(TEXT(Overig!D343,""",""?00;"",""?-00;"",""?00;"", //"""),"'","""")</f>
        <v>032, 19371208, 7595, 00</v>
      </c>
    </row>
    <row r="344" spans="1:1" x14ac:dyDescent="0.25">
      <c r="A344" s="12" t="str">
        <f ca="1">TEXT(Overig!A344,"000\,")&amp;TEXT(Overig!B344,"?00000000")&amp;SUBSTITUTE(TEXT(IF(ISTEXT(Overig!C344),Overig!C344,10*Overig!C344),""",""????0;"",""???-0;"",""????0;"", ////"""),"'","""")&amp;SUBSTITUTE(TEXT(Overig!D344,""",""?00;"",""?-00;"",""?00;"", //"""),"'","""")</f>
        <v>032, 19371209, 7595, 00</v>
      </c>
    </row>
    <row r="345" spans="1:1" x14ac:dyDescent="0.25">
      <c r="A345" s="12" t="str">
        <f ca="1">TEXT(Overig!A345,"000\,")&amp;TEXT(Overig!B345,"?00000000")&amp;SUBSTITUTE(TEXT(IF(ISTEXT(Overig!C345),Overig!C345,10*Overig!C345),""",""????0;"",""???-0;"",""????0;"", ////"""),"'","""")&amp;SUBSTITUTE(TEXT(Overig!D345,""",""?00;"",""?-00;"",""?00;"", //"""),"'","""")</f>
        <v>032, 19371210, 7585, 00</v>
      </c>
    </row>
    <row r="346" spans="1:1" x14ac:dyDescent="0.25">
      <c r="A346" s="12" t="str">
        <f ca="1">TEXT(Overig!A346,"000\,")&amp;TEXT(Overig!B346,"?00000000")&amp;SUBSTITUTE(TEXT(IF(ISTEXT(Overig!C346),Overig!C346,10*Overig!C346),""",""????0;"",""???-0;"",""????0;"", ////"""),"'","""")&amp;SUBSTITUTE(TEXT(Overig!D346,""",""?00;"",""?-00;"",""?00;"", //"""),"'","""")</f>
        <v>032, 19371211, 7585, 00</v>
      </c>
    </row>
    <row r="347" spans="1:1" x14ac:dyDescent="0.25">
      <c r="A347" s="12" t="str">
        <f ca="1">TEXT(Overig!A347,"000\,")&amp;TEXT(Overig!B347,"?00000000")&amp;SUBSTITUTE(TEXT(IF(ISTEXT(Overig!C347),Overig!C347,10*Overig!C347),""",""????0;"",""???-0;"",""????0;"", ////"""),"'","""")&amp;SUBSTITUTE(TEXT(Overig!D347,""",""?00;"",""?-00;"",""?00;"", //"""),"'","""")</f>
        <v>032, 19371212, 7585, 00</v>
      </c>
    </row>
    <row r="348" spans="1:1" x14ac:dyDescent="0.25">
      <c r="A348" s="12" t="str">
        <f ca="1">TEXT(Overig!A348,"000\,")&amp;TEXT(Overig!B348,"?00000000")&amp;SUBSTITUTE(TEXT(IF(ISTEXT(Overig!C348),Overig!C348,10*Overig!C348),""",""????0;"",""???-0;"",""????0;"", ////"""),"'","""")&amp;SUBSTITUTE(TEXT(Overig!D348,""",""?00;"",""?-00;"",""?00;"", //"""),"'","""")</f>
        <v>032, 19371213, 7605, 00</v>
      </c>
    </row>
    <row r="349" spans="1:1" x14ac:dyDescent="0.25">
      <c r="A349" s="12" t="str">
        <f ca="1">TEXT(Overig!A349,"000\,")&amp;TEXT(Overig!B349,"?00000000")&amp;SUBSTITUTE(TEXT(IF(ISTEXT(Overig!C349),Overig!C349,10*Overig!C349),""",""????0;"",""???-0;"",""????0;"", ////"""),"'","""")&amp;SUBSTITUTE(TEXT(Overig!D349,""",""?00;"",""?-00;"",""?00;"", //"""),"'","""")</f>
        <v>032, 19371214, 7605, 00</v>
      </c>
    </row>
    <row r="350" spans="1:1" x14ac:dyDescent="0.25">
      <c r="A350" s="12" t="str">
        <f ca="1">TEXT(Overig!A350,"000\,")&amp;TEXT(Overig!B350,"?00000000")&amp;SUBSTITUTE(TEXT(IF(ISTEXT(Overig!C350),Overig!C350,10*Overig!C350),""",""????0;"",""???-0;"",""????0;"", ////"""),"'","""")&amp;SUBSTITUTE(TEXT(Overig!D350,""",""?00;"",""?-00;"",""?00;"", //"""),"'","""")</f>
        <v>032, 19371215, 7605, 00</v>
      </c>
    </row>
    <row r="351" spans="1:1" x14ac:dyDescent="0.25">
      <c r="A351" s="12" t="str">
        <f ca="1">TEXT(Overig!A351,"000\,")&amp;TEXT(Overig!B351,"?00000000")&amp;SUBSTITUTE(TEXT(IF(ISTEXT(Overig!C351),Overig!C351,10*Overig!C351),""",""????0;"",""???-0;"",""????0;"", ////"""),"'","""")&amp;SUBSTITUTE(TEXT(Overig!D351,""",""?00;"",""?-00;"",""?00;"", //"""),"'","""")</f>
        <v>032, 19371216, 7600, 00</v>
      </c>
    </row>
    <row r="352" spans="1:1" x14ac:dyDescent="0.25">
      <c r="A352" s="12" t="str">
        <f ca="1">TEXT(Overig!A352,"000\,")&amp;TEXT(Overig!B352,"?00000000")&amp;SUBSTITUTE(TEXT(IF(ISTEXT(Overig!C352),Overig!C352,10*Overig!C352),""",""????0;"",""???-0;"",""????0;"", ////"""),"'","""")&amp;SUBSTITUTE(TEXT(Overig!D352,""",""?00;"",""?-00;"",""?00;"", //"""),"'","""")</f>
        <v>032, 19371217, 7600, 00</v>
      </c>
    </row>
    <row r="353" spans="1:1" x14ac:dyDescent="0.25">
      <c r="A353" s="12" t="str">
        <f ca="1">TEXT(Overig!A353,"000\,")&amp;TEXT(Overig!B353,"?00000000")&amp;SUBSTITUTE(TEXT(IF(ISTEXT(Overig!C353),Overig!C353,10*Overig!C353),""",""????0;"",""???-0;"",""????0;"", ////"""),"'","""")&amp;SUBSTITUTE(TEXT(Overig!D353,""",""?00;"",""?-00;"",""?00;"", //"""),"'","""")</f>
        <v>032, 19371218, 7605, 00</v>
      </c>
    </row>
    <row r="354" spans="1:1" x14ac:dyDescent="0.25">
      <c r="A354" s="12" t="str">
        <f ca="1">TEXT(Overig!A354,"000\,")&amp;TEXT(Overig!B354,"?00000000")&amp;SUBSTITUTE(TEXT(IF(ISTEXT(Overig!C354),Overig!C354,10*Overig!C354),""",""????0;"",""???-0;"",""????0;"", ////"""),"'","""")&amp;SUBSTITUTE(TEXT(Overig!D354,""",""?00;"",""?-00;"",""?00;"", //"""),"'","""")</f>
        <v>032, 19371219, 7605, 00</v>
      </c>
    </row>
    <row r="355" spans="1:1" x14ac:dyDescent="0.25">
      <c r="A355" s="12" t="str">
        <f ca="1">TEXT(Overig!A355,"000\,")&amp;TEXT(Overig!B355,"?00000000")&amp;SUBSTITUTE(TEXT(IF(ISTEXT(Overig!C355),Overig!C355,10*Overig!C355),""",""????0;"",""???-0;"",""????0;"", ////"""),"'","""")&amp;SUBSTITUTE(TEXT(Overig!D355,""",""?00;"",""?-00;"",""?00;"", //"""),"'","""")</f>
        <v>032, 19371220, 7620, 00</v>
      </c>
    </row>
    <row r="356" spans="1:1" x14ac:dyDescent="0.25">
      <c r="A356" s="12" t="str">
        <f ca="1">TEXT(Overig!A356,"000\,")&amp;TEXT(Overig!B356,"?00000000")&amp;SUBSTITUTE(TEXT(IF(ISTEXT(Overig!C356),Overig!C356,10*Overig!C356),""",""????0;"",""???-0;"",""????0;"", ////"""),"'","""")&amp;SUBSTITUTE(TEXT(Overig!D356,""",""?00;"",""?-00;"",""?00;"", //"""),"'","""")</f>
        <v>032, 19371221, 7615, 00</v>
      </c>
    </row>
    <row r="357" spans="1:1" x14ac:dyDescent="0.25">
      <c r="A357" s="12" t="str">
        <f ca="1">TEXT(Overig!A357,"000\,")&amp;TEXT(Overig!B357,"?00000000")&amp;SUBSTITUTE(TEXT(IF(ISTEXT(Overig!C357),Overig!C357,10*Overig!C357),""",""????0;"",""???-0;"",""????0;"", ////"""),"'","""")&amp;SUBSTITUTE(TEXT(Overig!D357,""",""?00;"",""?-00;"",""?00;"", //"""),"'","""")</f>
        <v>032, 19371222, 7615, 00</v>
      </c>
    </row>
    <row r="358" spans="1:1" x14ac:dyDescent="0.25">
      <c r="A358" s="12" t="str">
        <f ca="1">TEXT(Overig!A358,"000\,")&amp;TEXT(Overig!B358,"?00000000")&amp;SUBSTITUTE(TEXT(IF(ISTEXT(Overig!C358),Overig!C358,10*Overig!C358),""",""????0;"",""???-0;"",""????0;"", ////"""),"'","""")&amp;SUBSTITUTE(TEXT(Overig!D358,""",""?00;"",""?-00;"",""?00;"", //"""),"'","""")</f>
        <v>032, 19371223, 7610, 00</v>
      </c>
    </row>
    <row r="359" spans="1:1" x14ac:dyDescent="0.25">
      <c r="A359" s="12" t="str">
        <f ca="1">TEXT(Overig!A359,"000\,")&amp;TEXT(Overig!B359,"?00000000")&amp;SUBSTITUTE(TEXT(IF(ISTEXT(Overig!C359),Overig!C359,10*Overig!C359),""",""????0;"",""???-0;"",""????0;"", ////"""),"'","""")&amp;SUBSTITUTE(TEXT(Overig!D359,""",""?00;"",""?-00;"",""?00;"", //"""),"'","""")</f>
        <v>032, 19371224, 7605, 00</v>
      </c>
    </row>
    <row r="360" spans="1:1" x14ac:dyDescent="0.25">
      <c r="A360" s="12" t="str">
        <f ca="1">TEXT(Overig!A360,"000\,")&amp;TEXT(Overig!B360,"?00000000")&amp;SUBSTITUTE(TEXT(IF(ISTEXT(Overig!C360),Overig!C360,10*Overig!C360),""",""????0;"",""???-0;"",""????0;"", ////"""),"'","""")&amp;SUBSTITUTE(TEXT(Overig!D360,""",""?00;"",""?-00;"",""?00;"", //"""),"'","""")</f>
        <v>032, 19371225, 7605, 00</v>
      </c>
    </row>
    <row r="361" spans="1:1" x14ac:dyDescent="0.25">
      <c r="A361" s="12" t="str">
        <f ca="1">TEXT(Overig!A361,"000\,")&amp;TEXT(Overig!B361,"?00000000")&amp;SUBSTITUTE(TEXT(IF(ISTEXT(Overig!C361),Overig!C361,10*Overig!C361),""",""????0;"",""???-0;"",""????0;"", ////"""),"'","""")&amp;SUBSTITUTE(TEXT(Overig!D361,""",""?00;"",""?-00;"",""?00;"", //"""),"'","""")</f>
        <v>032, 19371226, 7605, 00</v>
      </c>
    </row>
    <row r="362" spans="1:1" x14ac:dyDescent="0.25">
      <c r="A362" s="12" t="str">
        <f ca="1">TEXT(Overig!A362,"000\,")&amp;TEXT(Overig!B362,"?00000000")&amp;SUBSTITUTE(TEXT(IF(ISTEXT(Overig!C362),Overig!C362,10*Overig!C362),""",""????0;"",""???-0;"",""????0;"", ////"""),"'","""")&amp;SUBSTITUTE(TEXT(Overig!D362,""",""?00;"",""?-00;"",""?00;"", //"""),"'","""")</f>
        <v>032, 19371227, 7605, 00</v>
      </c>
    </row>
    <row r="363" spans="1:1" x14ac:dyDescent="0.25">
      <c r="A363" s="12" t="str">
        <f ca="1">TEXT(Overig!A363,"000\,")&amp;TEXT(Overig!B363,"?00000000")&amp;SUBSTITUTE(TEXT(IF(ISTEXT(Overig!C363),Overig!C363,10*Overig!C363),""",""????0;"",""???-0;"",""????0;"", ////"""),"'","""")&amp;SUBSTITUTE(TEXT(Overig!D363,""",""?00;"",""?-00;"",""?00;"", //"""),"'","""")</f>
        <v>032, 19371228, 7600, 00</v>
      </c>
    </row>
    <row r="364" spans="1:1" x14ac:dyDescent="0.25">
      <c r="A364" s="12" t="str">
        <f ca="1">TEXT(Overig!A364,"000\,")&amp;TEXT(Overig!B364,"?00000000")&amp;SUBSTITUTE(TEXT(IF(ISTEXT(Overig!C364),Overig!C364,10*Overig!C364),""",""????0;"",""???-0;"",""????0;"", ////"""),"'","""")&amp;SUBSTITUTE(TEXT(Overig!D364,""",""?00;"",""?-00;"",""?00;"", //"""),"'","""")</f>
        <v>032, 19371229, 7605, 00</v>
      </c>
    </row>
    <row r="365" spans="1:1" x14ac:dyDescent="0.25">
      <c r="A365" s="12" t="str">
        <f ca="1">TEXT(Overig!A365,"000\,")&amp;TEXT(Overig!B365,"?00000000")&amp;SUBSTITUTE(TEXT(IF(ISTEXT(Overig!C365),Overig!C365,10*Overig!C365),""",""????0;"",""???-0;"",""????0;"", ////"""),"'","""")&amp;SUBSTITUTE(TEXT(Overig!D365,""",""?00;"",""?-00;"",""?00;"", //"""),"'","""")</f>
        <v>032, 19371230, 7600, 00</v>
      </c>
    </row>
    <row r="366" spans="1:1" x14ac:dyDescent="0.25">
      <c r="A366" s="12" t="str">
        <f ca="1">TEXT(Overig!A366,"000\,")&amp;TEXT(Overig!B366,"?00000000")&amp;SUBSTITUTE(TEXT(IF(ISTEXT(Overig!C366),Overig!C366,10*Overig!C366),""",""????0;"",""???-0;"",""????0;"", ////"""),"'","""")&amp;SUBSTITUTE(TEXT(Overig!D366,""",""?00;"",""?-00;"",""?00;"", //"""),"'","""")</f>
        <v>032, 19371231, 7600, 00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2015-10-22T12:39:01Z</dcterms:modified>
</cp:coreProperties>
</file>