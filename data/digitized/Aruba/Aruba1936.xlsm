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Invoer!$A$2:$C$382</definedName>
    <definedName name="Catalogus">Info!$J$3:$L$4</definedName>
    <definedName name="Data">Invoer!$A$3:$C$382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2" i="1" l="1"/>
  <c r="B350" i="1"/>
  <c r="B319" i="1"/>
  <c r="B287" i="1"/>
  <c r="B256" i="1"/>
  <c r="B224" i="1"/>
  <c r="B192" i="1"/>
  <c r="B161" i="1"/>
  <c r="B129" i="1"/>
  <c r="B98" i="1"/>
  <c r="B66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2" i="3" l="1"/>
  <c r="C382" i="1" l="1"/>
  <c r="C350" i="1"/>
  <c r="C319" i="1"/>
  <c r="C287" i="1"/>
  <c r="C256" i="1"/>
  <c r="C224" i="1"/>
  <c r="C192" i="1"/>
  <c r="C161" i="1"/>
  <c r="C129" i="1"/>
  <c r="C98" i="1"/>
  <c r="C66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C367" i="3" l="1"/>
  <c r="D367" i="3"/>
  <c r="C365" i="3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67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367" i="2" l="1"/>
  <c r="D367" i="2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A334" i="5" s="1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329" i="5" l="1"/>
  <c r="A265" i="5"/>
  <c r="A13" i="5"/>
  <c r="A22" i="5"/>
  <c r="A16" i="5"/>
  <c r="A80" i="5"/>
  <c r="A121" i="5"/>
  <c r="A248" i="5"/>
  <c r="A367" i="5"/>
  <c r="A167" i="5"/>
  <c r="A72" i="5"/>
  <c r="A200" i="5"/>
  <c r="A208" i="5"/>
  <c r="A26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<sst xmlns="http://schemas.openxmlformats.org/spreadsheetml/2006/main" count="46" uniqueCount="36">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</sst>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13150</v>
      </c>
      <c r="B5" s="21">
        <v>7600</v>
      </c>
      <c r="C5" s="23">
        <v>0</v>
      </c>
    </row>
    <row r="6" spans="1:3" x14ac:dyDescent="0.25">
      <c r="A6" s="1">
        <f ca="1">IF(ISTEXT(A5),A4+1,IF(MONTH(A5+1)=MONTH(A5),A5+1,"Totaal"))</f>
        <v>13151</v>
      </c>
      <c r="B6" s="21">
        <v>7610</v>
      </c>
      <c r="C6" s="24">
        <v>60</v>
      </c>
    </row>
    <row r="7" spans="1:3" x14ac:dyDescent="0.25">
      <c r="A7" s="1">
        <f t="shared" ref="A7:A70" ca="1" si="0">IF(ISTEXT(A6),A5+1,IF(MONTH(A6+1)=MONTH(A6),A6+1,"Totaal"))</f>
        <v>13152</v>
      </c>
      <c r="B7" s="21">
        <v>7605</v>
      </c>
      <c r="C7" s="25">
        <v>0</v>
      </c>
    </row>
    <row r="8" spans="1:3" x14ac:dyDescent="0.25">
      <c r="A8" s="1">
        <f t="shared" ca="1" si="0"/>
        <v>13153</v>
      </c>
      <c r="B8" s="21">
        <v>7600</v>
      </c>
      <c r="C8" s="23">
        <v>0</v>
      </c>
    </row>
    <row r="9" spans="1:3" x14ac:dyDescent="0.25">
      <c r="A9" s="1">
        <f t="shared" ca="1" si="0"/>
        <v>13154</v>
      </c>
      <c r="B9" s="21">
        <v>7615</v>
      </c>
      <c r="C9" s="23">
        <v>0</v>
      </c>
    </row>
    <row r="10" spans="1:3" x14ac:dyDescent="0.25">
      <c r="A10" s="1">
        <f t="shared" ca="1" si="0"/>
        <v>13155</v>
      </c>
      <c r="B10" s="21">
        <v>7600</v>
      </c>
      <c r="C10" s="23">
        <v>0</v>
      </c>
    </row>
    <row r="11" spans="1:3" x14ac:dyDescent="0.25">
      <c r="A11" s="1">
        <f t="shared" ca="1" si="0"/>
        <v>13156</v>
      </c>
      <c r="B11" s="21">
        <v>7610</v>
      </c>
      <c r="C11" s="23">
        <v>0</v>
      </c>
    </row>
    <row r="12" spans="1:3" x14ac:dyDescent="0.25">
      <c r="A12" s="1">
        <f t="shared" ca="1" si="0"/>
        <v>13157</v>
      </c>
      <c r="B12" s="21">
        <v>7600</v>
      </c>
      <c r="C12" s="23">
        <v>30</v>
      </c>
    </row>
    <row r="13" spans="1:3" x14ac:dyDescent="0.25">
      <c r="A13" s="1">
        <f t="shared" ca="1" si="0"/>
        <v>13158</v>
      </c>
      <c r="B13" s="21">
        <v>7605</v>
      </c>
      <c r="C13" s="23">
        <v>0</v>
      </c>
    </row>
    <row r="14" spans="1:3" x14ac:dyDescent="0.25">
      <c r="A14" s="1">
        <f t="shared" ca="1" si="0"/>
        <v>13159</v>
      </c>
      <c r="B14" s="21">
        <v>7605</v>
      </c>
      <c r="C14" s="23">
        <v>0</v>
      </c>
    </row>
    <row r="15" spans="1:3" x14ac:dyDescent="0.25">
      <c r="A15" s="1">
        <f t="shared" ca="1" si="0"/>
        <v>13160</v>
      </c>
      <c r="B15" s="21">
        <v>7615</v>
      </c>
      <c r="C15" s="23">
        <v>40</v>
      </c>
    </row>
    <row r="16" spans="1:3" x14ac:dyDescent="0.25">
      <c r="A16" s="1">
        <f t="shared" ca="1" si="0"/>
        <v>13161</v>
      </c>
      <c r="B16" s="21">
        <v>7615</v>
      </c>
      <c r="C16" s="23">
        <v>0</v>
      </c>
    </row>
    <row r="17" spans="1:3" x14ac:dyDescent="0.25">
      <c r="A17" s="1">
        <f t="shared" ca="1" si="0"/>
        <v>13162</v>
      </c>
      <c r="B17" s="21">
        <v>7605</v>
      </c>
      <c r="C17" s="23">
        <v>0</v>
      </c>
    </row>
    <row r="18" spans="1:3" x14ac:dyDescent="0.25">
      <c r="A18" s="1">
        <f t="shared" ca="1" si="0"/>
        <v>13163</v>
      </c>
      <c r="B18" s="21">
        <v>7600</v>
      </c>
      <c r="C18" s="23">
        <v>0</v>
      </c>
    </row>
    <row r="19" spans="1:3" x14ac:dyDescent="0.25">
      <c r="A19" s="1">
        <f t="shared" ca="1" si="0"/>
        <v>13164</v>
      </c>
      <c r="B19" s="21">
        <v>7605</v>
      </c>
      <c r="C19" s="23">
        <v>0</v>
      </c>
    </row>
    <row r="20" spans="1:3" x14ac:dyDescent="0.25">
      <c r="A20" s="1">
        <f t="shared" ca="1" si="0"/>
        <v>13165</v>
      </c>
      <c r="B20" s="21">
        <v>7600</v>
      </c>
      <c r="C20" s="23">
        <v>0</v>
      </c>
    </row>
    <row r="21" spans="1:3" x14ac:dyDescent="0.25">
      <c r="A21" s="1">
        <f t="shared" ca="1" si="0"/>
        <v>13166</v>
      </c>
      <c r="B21" s="21">
        <v>7605</v>
      </c>
      <c r="C21" s="23">
        <v>0</v>
      </c>
    </row>
    <row r="22" spans="1:3" x14ac:dyDescent="0.25">
      <c r="A22" s="1">
        <f t="shared" ca="1" si="0"/>
        <v>13167</v>
      </c>
      <c r="B22" s="21">
        <v>7595</v>
      </c>
      <c r="C22" s="23">
        <v>0</v>
      </c>
    </row>
    <row r="23" spans="1:3" x14ac:dyDescent="0.25">
      <c r="A23" s="1">
        <f t="shared" ca="1" si="0"/>
        <v>13168</v>
      </c>
      <c r="B23" s="21">
        <v>7595</v>
      </c>
      <c r="C23" s="23">
        <v>0</v>
      </c>
    </row>
    <row r="24" spans="1:3" x14ac:dyDescent="0.25">
      <c r="A24" s="1">
        <f t="shared" ca="1" si="0"/>
        <v>13169</v>
      </c>
      <c r="B24" s="21">
        <v>7600</v>
      </c>
      <c r="C24" s="23">
        <v>0</v>
      </c>
    </row>
    <row r="25" spans="1:3" x14ac:dyDescent="0.25">
      <c r="A25" s="1">
        <f t="shared" ca="1" si="0"/>
        <v>13170</v>
      </c>
      <c r="B25" s="21">
        <v>7610</v>
      </c>
      <c r="C25" s="23">
        <v>0</v>
      </c>
    </row>
    <row r="26" spans="1:3" x14ac:dyDescent="0.25">
      <c r="A26" s="1">
        <f t="shared" ca="1" si="0"/>
        <v>13171</v>
      </c>
      <c r="B26" s="21">
        <v>7585</v>
      </c>
      <c r="C26" s="23">
        <v>0</v>
      </c>
    </row>
    <row r="27" spans="1:3" x14ac:dyDescent="0.25">
      <c r="A27" s="1">
        <f t="shared" ca="1" si="0"/>
        <v>13172</v>
      </c>
      <c r="B27" s="21">
        <v>7590</v>
      </c>
      <c r="C27" s="23">
        <v>0</v>
      </c>
    </row>
    <row r="28" spans="1:3" x14ac:dyDescent="0.25">
      <c r="A28" s="1">
        <f t="shared" ca="1" si="0"/>
        <v>13173</v>
      </c>
      <c r="B28" s="21">
        <v>7590</v>
      </c>
      <c r="C28" s="23">
        <v>0</v>
      </c>
    </row>
    <row r="29" spans="1:3" x14ac:dyDescent="0.25">
      <c r="A29" s="1">
        <f t="shared" ca="1" si="0"/>
        <v>13174</v>
      </c>
      <c r="B29" s="21">
        <v>7600</v>
      </c>
      <c r="C29" s="23">
        <v>0</v>
      </c>
    </row>
    <row r="30" spans="1:3" x14ac:dyDescent="0.25">
      <c r="A30" s="1">
        <f t="shared" ca="1" si="0"/>
        <v>13175</v>
      </c>
      <c r="B30" s="21">
        <v>7600</v>
      </c>
      <c r="C30" s="23">
        <v>0</v>
      </c>
    </row>
    <row r="31" spans="1:3" x14ac:dyDescent="0.25">
      <c r="A31" s="1">
        <f t="shared" ca="1" si="0"/>
        <v>13176</v>
      </c>
      <c r="B31" s="21">
        <v>7595</v>
      </c>
      <c r="C31" s="23">
        <v>0</v>
      </c>
    </row>
    <row r="32" spans="1:3" x14ac:dyDescent="0.25">
      <c r="A32" s="1">
        <f t="shared" ca="1" si="0"/>
        <v>13177</v>
      </c>
      <c r="B32" s="21">
        <v>7605</v>
      </c>
      <c r="C32" s="23">
        <v>0</v>
      </c>
    </row>
    <row r="33" spans="1:3" x14ac:dyDescent="0.25">
      <c r="A33" s="1">
        <f t="shared" ca="1" si="0"/>
        <v>13178</v>
      </c>
      <c r="B33" s="21">
        <v>7615</v>
      </c>
      <c r="C33" s="23">
        <v>0</v>
      </c>
    </row>
    <row r="34" spans="1:3" x14ac:dyDescent="0.25">
      <c r="A34" s="1">
        <f t="shared" ca="1" si="0"/>
        <v>13179</v>
      </c>
      <c r="B34" s="21">
        <v>7605</v>
      </c>
      <c r="C34" s="23">
        <v>0</v>
      </c>
    </row>
    <row r="35" spans="1:3" x14ac:dyDescent="0.25">
      <c r="A35" s="1">
        <f t="shared" ca="1" si="0"/>
        <v>13180</v>
      </c>
      <c r="B35" s="21">
        <v>7605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760.27419354838707</v>
      </c>
      <c r="C36" s="26">
        <f>SUM(C5:C35)/10</f>
        <v>13</v>
      </c>
    </row>
    <row r="37" spans="1:3" x14ac:dyDescent="0.25">
      <c r="A37" s="1">
        <f t="shared" ca="1" si="0"/>
        <v>13181</v>
      </c>
      <c r="B37" s="21">
        <v>7600</v>
      </c>
      <c r="C37" s="23">
        <v>0</v>
      </c>
    </row>
    <row r="38" spans="1:3" x14ac:dyDescent="0.25">
      <c r="A38" s="1">
        <f t="shared" ca="1" si="0"/>
        <v>13182</v>
      </c>
      <c r="B38" s="21">
        <v>7600</v>
      </c>
      <c r="C38" s="23">
        <v>0</v>
      </c>
    </row>
    <row r="39" spans="1:3" x14ac:dyDescent="0.25">
      <c r="A39" s="1">
        <f t="shared" ca="1" si="0"/>
        <v>13183</v>
      </c>
      <c r="B39" s="21">
        <v>7600</v>
      </c>
      <c r="C39" s="23">
        <v>0</v>
      </c>
    </row>
    <row r="40" spans="1:3" x14ac:dyDescent="0.25">
      <c r="A40" s="1">
        <f t="shared" ca="1" si="0"/>
        <v>13184</v>
      </c>
      <c r="B40" s="21">
        <v>7595</v>
      </c>
      <c r="C40" s="23">
        <v>0</v>
      </c>
    </row>
    <row r="41" spans="1:3" x14ac:dyDescent="0.25">
      <c r="A41" s="1">
        <f t="shared" ca="1" si="0"/>
        <v>13185</v>
      </c>
      <c r="B41" s="21">
        <v>7605</v>
      </c>
      <c r="C41" s="23">
        <v>0</v>
      </c>
    </row>
    <row r="42" spans="1:3" x14ac:dyDescent="0.25">
      <c r="A42" s="1">
        <f t="shared" ca="1" si="0"/>
        <v>13186</v>
      </c>
      <c r="B42" s="21">
        <v>7610</v>
      </c>
      <c r="C42" s="23">
        <v>0</v>
      </c>
    </row>
    <row r="43" spans="1:3" x14ac:dyDescent="0.25">
      <c r="A43" s="1">
        <f t="shared" ca="1" si="0"/>
        <v>13187</v>
      </c>
      <c r="B43" s="21">
        <v>7605</v>
      </c>
      <c r="C43" s="23">
        <v>0</v>
      </c>
    </row>
    <row r="44" spans="1:3" x14ac:dyDescent="0.25">
      <c r="A44" s="1">
        <f t="shared" ca="1" si="0"/>
        <v>13188</v>
      </c>
      <c r="B44" s="21">
        <v>7625</v>
      </c>
      <c r="C44" s="23">
        <v>0</v>
      </c>
    </row>
    <row r="45" spans="1:3" x14ac:dyDescent="0.25">
      <c r="A45" s="1">
        <f t="shared" ca="1" si="0"/>
        <v>13189</v>
      </c>
      <c r="B45" s="21">
        <v>7630</v>
      </c>
      <c r="C45" s="23">
        <v>0</v>
      </c>
    </row>
    <row r="46" spans="1:3" x14ac:dyDescent="0.25">
      <c r="A46" s="1">
        <f t="shared" ca="1" si="0"/>
        <v>13190</v>
      </c>
      <c r="B46" s="21">
        <v>7625</v>
      </c>
      <c r="C46" s="23">
        <v>0</v>
      </c>
    </row>
    <row r="47" spans="1:3" x14ac:dyDescent="0.25">
      <c r="A47" s="1">
        <f t="shared" ca="1" si="0"/>
        <v>13191</v>
      </c>
      <c r="B47" s="21">
        <v>7630</v>
      </c>
      <c r="C47" s="23">
        <v>0</v>
      </c>
    </row>
    <row r="48" spans="1:3" x14ac:dyDescent="0.25">
      <c r="A48" s="1">
        <f t="shared" ca="1" si="0"/>
        <v>13192</v>
      </c>
      <c r="B48" s="21">
        <v>7625</v>
      </c>
      <c r="C48" s="23">
        <v>0</v>
      </c>
    </row>
    <row r="49" spans="1:3" x14ac:dyDescent="0.25">
      <c r="A49" s="1">
        <f t="shared" ca="1" si="0"/>
        <v>13193</v>
      </c>
      <c r="B49" s="21">
        <v>7625</v>
      </c>
      <c r="C49" s="23">
        <v>0</v>
      </c>
    </row>
    <row r="50" spans="1:3" x14ac:dyDescent="0.25">
      <c r="A50" s="1">
        <f t="shared" ca="1" si="0"/>
        <v>13194</v>
      </c>
      <c r="B50" s="21">
        <v>7620</v>
      </c>
      <c r="C50" s="23">
        <v>0</v>
      </c>
    </row>
    <row r="51" spans="1:3" x14ac:dyDescent="0.25">
      <c r="A51" s="1">
        <f t="shared" ca="1" si="0"/>
        <v>13195</v>
      </c>
      <c r="B51" s="21">
        <v>7605</v>
      </c>
      <c r="C51" s="23">
        <v>0</v>
      </c>
    </row>
    <row r="52" spans="1:3" x14ac:dyDescent="0.25">
      <c r="A52" s="1">
        <f t="shared" ca="1" si="0"/>
        <v>13196</v>
      </c>
      <c r="B52" s="21">
        <v>7600</v>
      </c>
      <c r="C52" s="23">
        <v>0</v>
      </c>
    </row>
    <row r="53" spans="1:3" x14ac:dyDescent="0.25">
      <c r="A53" s="1">
        <f t="shared" ca="1" si="0"/>
        <v>13197</v>
      </c>
      <c r="B53" s="21">
        <v>7615</v>
      </c>
      <c r="C53" s="23">
        <v>0</v>
      </c>
    </row>
    <row r="54" spans="1:3" x14ac:dyDescent="0.25">
      <c r="A54" s="1">
        <f t="shared" ca="1" si="0"/>
        <v>13198</v>
      </c>
      <c r="B54" s="21">
        <v>7600</v>
      </c>
      <c r="C54" s="23">
        <v>0</v>
      </c>
    </row>
    <row r="55" spans="1:3" x14ac:dyDescent="0.25">
      <c r="A55" s="1">
        <f t="shared" ca="1" si="0"/>
        <v>13199</v>
      </c>
      <c r="B55" s="21">
        <v>7620</v>
      </c>
      <c r="C55" s="23">
        <v>0</v>
      </c>
    </row>
    <row r="56" spans="1:3" x14ac:dyDescent="0.25">
      <c r="A56" s="1">
        <f t="shared" ca="1" si="0"/>
        <v>13200</v>
      </c>
      <c r="B56" s="21">
        <v>7625</v>
      </c>
      <c r="C56" s="23">
        <v>0</v>
      </c>
    </row>
    <row r="57" spans="1:3" x14ac:dyDescent="0.25">
      <c r="A57" s="1">
        <f t="shared" ca="1" si="0"/>
        <v>13201</v>
      </c>
      <c r="B57" s="21">
        <v>7625</v>
      </c>
      <c r="C57" s="23">
        <v>0</v>
      </c>
    </row>
    <row r="58" spans="1:3" x14ac:dyDescent="0.25">
      <c r="A58" s="1">
        <f t="shared" ca="1" si="0"/>
        <v>13202</v>
      </c>
      <c r="B58" s="21">
        <v>7630</v>
      </c>
      <c r="C58" s="23">
        <v>0</v>
      </c>
    </row>
    <row r="59" spans="1:3" x14ac:dyDescent="0.25">
      <c r="A59" s="1">
        <f t="shared" ca="1" si="0"/>
        <v>13203</v>
      </c>
      <c r="B59" s="21">
        <v>7630</v>
      </c>
      <c r="C59" s="23">
        <v>0</v>
      </c>
    </row>
    <row r="60" spans="1:3" x14ac:dyDescent="0.25">
      <c r="A60" s="1">
        <f t="shared" ca="1" si="0"/>
        <v>13204</v>
      </c>
      <c r="B60" s="21">
        <v>7630</v>
      </c>
      <c r="C60" s="23">
        <v>30</v>
      </c>
    </row>
    <row r="61" spans="1:3" x14ac:dyDescent="0.25">
      <c r="A61" s="1">
        <f t="shared" ca="1" si="0"/>
        <v>13205</v>
      </c>
      <c r="B61" s="21">
        <v>7620</v>
      </c>
      <c r="C61" s="23">
        <v>122</v>
      </c>
    </row>
    <row r="62" spans="1:3" x14ac:dyDescent="0.25">
      <c r="A62" s="1">
        <f t="shared" ca="1" si="0"/>
        <v>13206</v>
      </c>
      <c r="B62" s="21">
        <v>7620</v>
      </c>
      <c r="C62" s="23">
        <v>0</v>
      </c>
    </row>
    <row r="63" spans="1:3" x14ac:dyDescent="0.25">
      <c r="A63" s="1">
        <f t="shared" ca="1" si="0"/>
        <v>13207</v>
      </c>
      <c r="B63" s="21">
        <v>7610</v>
      </c>
      <c r="C63" s="23">
        <v>0</v>
      </c>
    </row>
    <row r="64" spans="1:3" x14ac:dyDescent="0.25">
      <c r="A64" s="1">
        <f t="shared" ca="1" si="0"/>
        <v>13208</v>
      </c>
      <c r="B64" s="21">
        <v>7620</v>
      </c>
      <c r="C64" s="23">
        <v>0</v>
      </c>
    </row>
    <row r="65" spans="1:3" x14ac:dyDescent="0.25">
      <c r="A65" s="1">
        <f t="shared" ca="1" si="0"/>
        <v>13209</v>
      </c>
      <c r="B65" s="21">
        <v>7620</v>
      </c>
      <c r="C65" s="23">
        <v>0</v>
      </c>
    </row>
    <row r="66" spans="1:3" x14ac:dyDescent="0.25">
      <c r="A66" s="1" t="str">
        <f t="shared" ca="1" si="0"/>
        <v>Totaal</v>
      </c>
      <c r="B66" s="22">
        <f>IF(COUNT(B37:B65)&gt;0,AVERAGE(B37:B65)/10,"")</f>
        <v>761.60344827586209</v>
      </c>
      <c r="C66" s="26">
        <f>SUM(C37:C65)/10</f>
        <v>15.2</v>
      </c>
    </row>
    <row r="67" spans="1:3" x14ac:dyDescent="0.25">
      <c r="A67" s="1">
        <f t="shared" ca="1" si="0"/>
        <v>13210</v>
      </c>
      <c r="B67" s="21">
        <v>7620</v>
      </c>
      <c r="C67" s="23">
        <v>0</v>
      </c>
    </row>
    <row r="68" spans="1:3" x14ac:dyDescent="0.25">
      <c r="A68" s="1">
        <f t="shared" ca="1" si="0"/>
        <v>13211</v>
      </c>
      <c r="B68" s="21">
        <v>7600</v>
      </c>
      <c r="C68" s="23">
        <v>0</v>
      </c>
    </row>
    <row r="69" spans="1:3" x14ac:dyDescent="0.25">
      <c r="A69" s="1">
        <f t="shared" ca="1" si="0"/>
        <v>13212</v>
      </c>
      <c r="B69" s="21">
        <v>7605</v>
      </c>
      <c r="C69" s="23">
        <v>0</v>
      </c>
    </row>
    <row r="70" spans="1:3" x14ac:dyDescent="0.25">
      <c r="A70" s="1">
        <f t="shared" ca="1" si="0"/>
        <v>13213</v>
      </c>
      <c r="B70" s="21">
        <v>7600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13214</v>
      </c>
      <c r="B71" s="21">
        <v>7605</v>
      </c>
      <c r="C71" s="23">
        <v>0</v>
      </c>
    </row>
    <row r="72" spans="1:3" x14ac:dyDescent="0.25">
      <c r="A72" s="1">
        <f t="shared" ca="1" si="1"/>
        <v>13215</v>
      </c>
      <c r="B72" s="21">
        <v>7600</v>
      </c>
      <c r="C72" s="23">
        <v>0</v>
      </c>
    </row>
    <row r="73" spans="1:3" x14ac:dyDescent="0.25">
      <c r="A73" s="1">
        <f t="shared" ca="1" si="1"/>
        <v>13216</v>
      </c>
      <c r="B73" s="21">
        <v>7625</v>
      </c>
      <c r="C73" s="23">
        <v>0</v>
      </c>
    </row>
    <row r="74" spans="1:3" x14ac:dyDescent="0.25">
      <c r="A74" s="1">
        <f t="shared" ca="1" si="1"/>
        <v>13217</v>
      </c>
      <c r="B74" s="21">
        <v>7600</v>
      </c>
      <c r="C74" s="23">
        <v>0</v>
      </c>
    </row>
    <row r="75" spans="1:3" x14ac:dyDescent="0.25">
      <c r="A75" s="1">
        <f t="shared" ca="1" si="1"/>
        <v>13218</v>
      </c>
      <c r="B75" s="21">
        <v>7605</v>
      </c>
      <c r="C75" s="23">
        <v>0</v>
      </c>
    </row>
    <row r="76" spans="1:3" x14ac:dyDescent="0.25">
      <c r="A76" s="1">
        <f t="shared" ca="1" si="1"/>
        <v>13219</v>
      </c>
      <c r="B76" s="21">
        <v>7610</v>
      </c>
      <c r="C76" s="23">
        <v>0</v>
      </c>
    </row>
    <row r="77" spans="1:3" x14ac:dyDescent="0.25">
      <c r="A77" s="1">
        <f t="shared" ca="1" si="1"/>
        <v>13220</v>
      </c>
      <c r="B77" s="21">
        <v>7600</v>
      </c>
      <c r="C77" s="23">
        <v>0</v>
      </c>
    </row>
    <row r="78" spans="1:3" x14ac:dyDescent="0.25">
      <c r="A78" s="1">
        <f t="shared" ca="1" si="1"/>
        <v>13221</v>
      </c>
      <c r="B78" s="21">
        <v>7630</v>
      </c>
      <c r="C78" s="23">
        <v>0</v>
      </c>
    </row>
    <row r="79" spans="1:3" x14ac:dyDescent="0.25">
      <c r="A79" s="1">
        <f t="shared" ca="1" si="1"/>
        <v>13222</v>
      </c>
      <c r="B79" s="21">
        <v>7625</v>
      </c>
      <c r="C79" s="23">
        <v>0</v>
      </c>
    </row>
    <row r="80" spans="1:3" x14ac:dyDescent="0.25">
      <c r="A80" s="1">
        <f t="shared" ca="1" si="1"/>
        <v>13223</v>
      </c>
      <c r="B80" s="21">
        <v>7620</v>
      </c>
      <c r="C80" s="23">
        <v>0</v>
      </c>
    </row>
    <row r="81" spans="1:3" x14ac:dyDescent="0.25">
      <c r="A81" s="1">
        <f t="shared" ca="1" si="1"/>
        <v>13224</v>
      </c>
      <c r="B81" s="21">
        <v>7600</v>
      </c>
      <c r="C81" s="23">
        <v>0</v>
      </c>
    </row>
    <row r="82" spans="1:3" x14ac:dyDescent="0.25">
      <c r="A82" s="1">
        <f t="shared" ca="1" si="1"/>
        <v>13225</v>
      </c>
      <c r="B82" s="21">
        <v>7600</v>
      </c>
      <c r="C82" s="23">
        <v>0</v>
      </c>
    </row>
    <row r="83" spans="1:3" x14ac:dyDescent="0.25">
      <c r="A83" s="1">
        <f t="shared" ca="1" si="1"/>
        <v>13226</v>
      </c>
      <c r="B83" s="21">
        <v>7590</v>
      </c>
      <c r="C83" s="23">
        <v>0</v>
      </c>
    </row>
    <row r="84" spans="1:3" x14ac:dyDescent="0.25">
      <c r="A84" s="1">
        <f t="shared" ca="1" si="1"/>
        <v>13227</v>
      </c>
      <c r="B84" s="21">
        <v>7590</v>
      </c>
      <c r="C84" s="23">
        <v>0</v>
      </c>
    </row>
    <row r="85" spans="1:3" x14ac:dyDescent="0.25">
      <c r="A85" s="1">
        <f t="shared" ca="1" si="1"/>
        <v>13228</v>
      </c>
      <c r="B85" s="21">
        <v>7590</v>
      </c>
      <c r="C85" s="23">
        <v>0</v>
      </c>
    </row>
    <row r="86" spans="1:3" x14ac:dyDescent="0.25">
      <c r="A86" s="1">
        <f t="shared" ca="1" si="1"/>
        <v>13229</v>
      </c>
      <c r="B86" s="21">
        <v>7590</v>
      </c>
      <c r="C86" s="23">
        <v>0</v>
      </c>
    </row>
    <row r="87" spans="1:3" x14ac:dyDescent="0.25">
      <c r="A87" s="1">
        <f t="shared" ca="1" si="1"/>
        <v>13230</v>
      </c>
      <c r="B87" s="21">
        <v>7590</v>
      </c>
      <c r="C87" s="23">
        <v>0</v>
      </c>
    </row>
    <row r="88" spans="1:3" x14ac:dyDescent="0.25">
      <c r="A88" s="1">
        <f t="shared" ca="1" si="1"/>
        <v>13231</v>
      </c>
      <c r="B88" s="21">
        <v>7590</v>
      </c>
      <c r="C88" s="23">
        <v>0</v>
      </c>
    </row>
    <row r="89" spans="1:3" x14ac:dyDescent="0.25">
      <c r="A89" s="1">
        <f t="shared" ca="1" si="1"/>
        <v>13232</v>
      </c>
      <c r="B89" s="21">
        <v>7590</v>
      </c>
      <c r="C89" s="23">
        <v>0</v>
      </c>
    </row>
    <row r="90" spans="1:3" x14ac:dyDescent="0.25">
      <c r="A90" s="1">
        <f t="shared" ca="1" si="1"/>
        <v>13233</v>
      </c>
      <c r="B90" s="21">
        <v>7590</v>
      </c>
      <c r="C90" s="23">
        <v>0</v>
      </c>
    </row>
    <row r="91" spans="1:3" x14ac:dyDescent="0.25">
      <c r="A91" s="1">
        <f t="shared" ca="1" si="1"/>
        <v>13234</v>
      </c>
      <c r="B91" s="21">
        <v>7590</v>
      </c>
      <c r="C91" s="23">
        <v>0</v>
      </c>
    </row>
    <row r="92" spans="1:3" x14ac:dyDescent="0.25">
      <c r="A92" s="1">
        <f t="shared" ca="1" si="1"/>
        <v>13235</v>
      </c>
      <c r="B92" s="21">
        <v>7590</v>
      </c>
      <c r="C92" s="23">
        <v>0</v>
      </c>
    </row>
    <row r="93" spans="1:3" x14ac:dyDescent="0.25">
      <c r="A93" s="1">
        <f t="shared" ca="1" si="1"/>
        <v>13236</v>
      </c>
      <c r="B93" s="21">
        <v>7590</v>
      </c>
      <c r="C93" s="23">
        <v>0</v>
      </c>
    </row>
    <row r="94" spans="1:3" x14ac:dyDescent="0.25">
      <c r="A94" s="1">
        <f t="shared" ca="1" si="1"/>
        <v>13237</v>
      </c>
      <c r="B94" s="21"/>
      <c r="C94" s="23">
        <v>0</v>
      </c>
    </row>
    <row r="95" spans="1:3" x14ac:dyDescent="0.25">
      <c r="A95" s="1">
        <f t="shared" ca="1" si="1"/>
        <v>13238</v>
      </c>
      <c r="B95" s="21"/>
      <c r="C95" s="23">
        <v>0</v>
      </c>
    </row>
    <row r="96" spans="1:3" x14ac:dyDescent="0.25">
      <c r="A96" s="1">
        <f t="shared" ca="1" si="1"/>
        <v>13239</v>
      </c>
      <c r="B96" s="21"/>
      <c r="C96" s="23">
        <v>0</v>
      </c>
    </row>
    <row r="97" spans="1:3" x14ac:dyDescent="0.25">
      <c r="A97" s="1">
        <f t="shared" ca="1" si="1"/>
        <v>13240</v>
      </c>
      <c r="B97" s="21"/>
      <c r="C97" s="23">
        <v>0</v>
      </c>
    </row>
    <row r="98" spans="1:3" x14ac:dyDescent="0.25">
      <c r="A98" s="1" t="str">
        <f t="shared" ca="1" si="1"/>
        <v>Totaal</v>
      </c>
      <c r="B98" s="22">
        <f>IF(COUNT(B67:B97)&gt;0,AVERAGE(B67:B97)/10,"")</f>
        <v>760.12962962962968</v>
      </c>
      <c r="C98" s="26">
        <f>SUM(C67:C97)/10</f>
        <v>0</v>
      </c>
    </row>
    <row r="99" spans="1:3" x14ac:dyDescent="0.25">
      <c r="A99" s="1">
        <f t="shared" ca="1" si="1"/>
        <v>13241</v>
      </c>
      <c r="B99" s="21"/>
      <c r="C99" s="23">
        <v>0</v>
      </c>
    </row>
    <row r="100" spans="1:3" x14ac:dyDescent="0.25">
      <c r="A100" s="1">
        <f t="shared" ca="1" si="1"/>
        <v>13242</v>
      </c>
      <c r="B100" s="21"/>
      <c r="C100" s="23">
        <v>0</v>
      </c>
    </row>
    <row r="101" spans="1:3" x14ac:dyDescent="0.25">
      <c r="A101" s="1">
        <f t="shared" ca="1" si="1"/>
        <v>13243</v>
      </c>
      <c r="B101" s="21"/>
      <c r="C101" s="23">
        <v>0</v>
      </c>
    </row>
    <row r="102" spans="1:3" x14ac:dyDescent="0.25">
      <c r="A102" s="1">
        <f t="shared" ca="1" si="1"/>
        <v>13244</v>
      </c>
      <c r="B102" s="21"/>
      <c r="C102" s="23">
        <v>0</v>
      </c>
    </row>
    <row r="103" spans="1:3" x14ac:dyDescent="0.25">
      <c r="A103" s="1">
        <f t="shared" ca="1" si="1"/>
        <v>13245</v>
      </c>
      <c r="B103" s="21"/>
      <c r="C103" s="23">
        <v>0</v>
      </c>
    </row>
    <row r="104" spans="1:3" x14ac:dyDescent="0.25">
      <c r="A104" s="1">
        <f t="shared" ca="1" si="1"/>
        <v>13246</v>
      </c>
      <c r="B104" s="21"/>
      <c r="C104" s="23">
        <v>0</v>
      </c>
    </row>
    <row r="105" spans="1:3" x14ac:dyDescent="0.25">
      <c r="A105" s="1">
        <f t="shared" ca="1" si="1"/>
        <v>13247</v>
      </c>
      <c r="B105" s="21"/>
      <c r="C105" s="23">
        <v>0</v>
      </c>
    </row>
    <row r="106" spans="1:3" x14ac:dyDescent="0.25">
      <c r="A106" s="1">
        <f t="shared" ca="1" si="1"/>
        <v>13248</v>
      </c>
      <c r="B106" s="21"/>
      <c r="C106" s="23">
        <v>0</v>
      </c>
    </row>
    <row r="107" spans="1:3" x14ac:dyDescent="0.25">
      <c r="A107" s="1">
        <f t="shared" ca="1" si="1"/>
        <v>13249</v>
      </c>
      <c r="B107" s="21"/>
      <c r="C107" s="23">
        <v>0</v>
      </c>
    </row>
    <row r="108" spans="1:3" x14ac:dyDescent="0.25">
      <c r="A108" s="1">
        <f t="shared" ca="1" si="1"/>
        <v>13250</v>
      </c>
      <c r="B108" s="21"/>
      <c r="C108" s="23">
        <v>0</v>
      </c>
    </row>
    <row r="109" spans="1:3" x14ac:dyDescent="0.25">
      <c r="A109" s="1">
        <f t="shared" ca="1" si="1"/>
        <v>13251</v>
      </c>
      <c r="B109" s="21"/>
      <c r="C109" s="23">
        <v>22</v>
      </c>
    </row>
    <row r="110" spans="1:3" x14ac:dyDescent="0.25">
      <c r="A110" s="1">
        <f t="shared" ca="1" si="1"/>
        <v>13252</v>
      </c>
      <c r="B110" s="21"/>
      <c r="C110" s="23">
        <v>0</v>
      </c>
    </row>
    <row r="111" spans="1:3" x14ac:dyDescent="0.25">
      <c r="A111" s="1">
        <f t="shared" ca="1" si="1"/>
        <v>13253</v>
      </c>
      <c r="B111" s="21"/>
      <c r="C111" s="23">
        <v>0</v>
      </c>
    </row>
    <row r="112" spans="1:3" x14ac:dyDescent="0.25">
      <c r="A112" s="1">
        <f t="shared" ca="1" si="1"/>
        <v>13254</v>
      </c>
      <c r="B112" s="21"/>
      <c r="C112" s="23">
        <v>0</v>
      </c>
    </row>
    <row r="113" spans="1:3" x14ac:dyDescent="0.25">
      <c r="A113" s="1">
        <f t="shared" ca="1" si="1"/>
        <v>13255</v>
      </c>
      <c r="B113" s="21"/>
      <c r="C113" s="23">
        <v>0</v>
      </c>
    </row>
    <row r="114" spans="1:3" x14ac:dyDescent="0.25">
      <c r="A114" s="1">
        <f t="shared" ca="1" si="1"/>
        <v>13256</v>
      </c>
      <c r="B114" s="21"/>
      <c r="C114" s="23">
        <v>0</v>
      </c>
    </row>
    <row r="115" spans="1:3" x14ac:dyDescent="0.25">
      <c r="A115" s="1">
        <f t="shared" ca="1" si="1"/>
        <v>13257</v>
      </c>
      <c r="B115" s="21"/>
      <c r="C115" s="23">
        <v>0</v>
      </c>
    </row>
    <row r="116" spans="1:3" x14ac:dyDescent="0.25">
      <c r="A116" s="1">
        <f t="shared" ca="1" si="1"/>
        <v>13258</v>
      </c>
      <c r="B116" s="21"/>
      <c r="C116" s="23">
        <v>0</v>
      </c>
    </row>
    <row r="117" spans="1:3" x14ac:dyDescent="0.25">
      <c r="A117" s="1">
        <f t="shared" ca="1" si="1"/>
        <v>13259</v>
      </c>
      <c r="B117" s="21"/>
      <c r="C117" s="23">
        <v>0</v>
      </c>
    </row>
    <row r="118" spans="1:3" x14ac:dyDescent="0.25">
      <c r="A118" s="1">
        <f t="shared" ca="1" si="1"/>
        <v>13260</v>
      </c>
      <c r="B118" s="21"/>
      <c r="C118" s="23">
        <v>0</v>
      </c>
    </row>
    <row r="119" spans="1:3" x14ac:dyDescent="0.25">
      <c r="A119" s="1">
        <f t="shared" ca="1" si="1"/>
        <v>13261</v>
      </c>
      <c r="B119" s="21"/>
      <c r="C119" s="23">
        <v>0</v>
      </c>
    </row>
    <row r="120" spans="1:3" x14ac:dyDescent="0.25">
      <c r="A120" s="1">
        <f t="shared" ca="1" si="1"/>
        <v>13262</v>
      </c>
      <c r="B120" s="21"/>
      <c r="C120" s="23">
        <v>0</v>
      </c>
    </row>
    <row r="121" spans="1:3" x14ac:dyDescent="0.25">
      <c r="A121" s="1">
        <f t="shared" ca="1" si="1"/>
        <v>13263</v>
      </c>
      <c r="B121" s="21"/>
      <c r="C121" s="23">
        <v>0</v>
      </c>
    </row>
    <row r="122" spans="1:3" x14ac:dyDescent="0.25">
      <c r="A122" s="1">
        <f t="shared" ca="1" si="1"/>
        <v>13264</v>
      </c>
      <c r="B122" s="21"/>
      <c r="C122" s="23">
        <v>0</v>
      </c>
    </row>
    <row r="123" spans="1:3" x14ac:dyDescent="0.25">
      <c r="A123" s="1">
        <f t="shared" ca="1" si="1"/>
        <v>13265</v>
      </c>
      <c r="B123" s="21"/>
      <c r="C123" s="23">
        <v>0</v>
      </c>
    </row>
    <row r="124" spans="1:3" x14ac:dyDescent="0.25">
      <c r="A124" s="1">
        <f t="shared" ca="1" si="1"/>
        <v>13266</v>
      </c>
      <c r="B124" s="21"/>
      <c r="C124" s="23">
        <v>0</v>
      </c>
    </row>
    <row r="125" spans="1:3" x14ac:dyDescent="0.25">
      <c r="A125" s="1">
        <f t="shared" ca="1" si="1"/>
        <v>13267</v>
      </c>
      <c r="B125" s="21"/>
      <c r="C125" s="23">
        <v>0</v>
      </c>
    </row>
    <row r="126" spans="1:3" x14ac:dyDescent="0.25">
      <c r="A126" s="1">
        <f t="shared" ca="1" si="1"/>
        <v>13268</v>
      </c>
      <c r="B126" s="21"/>
      <c r="C126" s="23">
        <v>0</v>
      </c>
    </row>
    <row r="127" spans="1:3" x14ac:dyDescent="0.25">
      <c r="A127" s="1">
        <f t="shared" ca="1" si="1"/>
        <v>13269</v>
      </c>
      <c r="B127" s="21"/>
      <c r="C127" s="23">
        <v>0</v>
      </c>
    </row>
    <row r="128" spans="1:3" x14ac:dyDescent="0.25">
      <c r="A128" s="1">
        <f t="shared" ca="1" si="1"/>
        <v>13270</v>
      </c>
      <c r="B128" s="21"/>
      <c r="C128" s="23">
        <v>0</v>
      </c>
    </row>
    <row r="129" spans="1:3" x14ac:dyDescent="0.25">
      <c r="A129" s="1" t="str">
        <f t="shared" ca="1" si="1"/>
        <v>Totaal</v>
      </c>
      <c r="B129" s="22" t="str">
        <f>IF(COUNT(B99:B128)&gt;0,AVERAGE(B99:B128)/10,"")</f>
        <v/>
      </c>
      <c r="C129" s="26">
        <f>SUM(C99:C128)/10</f>
        <v>2.2000000000000002</v>
      </c>
    </row>
    <row r="130" spans="1:3" x14ac:dyDescent="0.25">
      <c r="A130" s="1">
        <f t="shared" ca="1" si="1"/>
        <v>13271</v>
      </c>
      <c r="B130" s="21"/>
      <c r="C130" s="23">
        <v>0</v>
      </c>
    </row>
    <row r="131" spans="1:3" x14ac:dyDescent="0.25">
      <c r="A131" s="1">
        <f t="shared" ca="1" si="1"/>
        <v>13272</v>
      </c>
      <c r="B131" s="21"/>
      <c r="C131" s="23">
        <v>0</v>
      </c>
    </row>
    <row r="132" spans="1:3" x14ac:dyDescent="0.25">
      <c r="A132" s="1">
        <f t="shared" ca="1" si="1"/>
        <v>13273</v>
      </c>
      <c r="B132" s="21"/>
      <c r="C132" s="23">
        <v>0</v>
      </c>
    </row>
    <row r="133" spans="1:3" x14ac:dyDescent="0.25">
      <c r="A133" s="1">
        <f t="shared" ca="1" si="1"/>
        <v>13274</v>
      </c>
      <c r="B133" s="21"/>
      <c r="C133" s="23">
        <v>0</v>
      </c>
    </row>
    <row r="134" spans="1:3" x14ac:dyDescent="0.25">
      <c r="A134" s="1">
        <f t="shared" ca="1" si="1"/>
        <v>13275</v>
      </c>
      <c r="B134" s="21"/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13276</v>
      </c>
      <c r="B135" s="21">
        <v>7600</v>
      </c>
      <c r="C135" s="23">
        <v>0</v>
      </c>
    </row>
    <row r="136" spans="1:3" x14ac:dyDescent="0.25">
      <c r="A136" s="1">
        <f t="shared" ca="1" si="2"/>
        <v>13277</v>
      </c>
      <c r="B136" s="21">
        <v>7595</v>
      </c>
      <c r="C136" s="23">
        <v>0</v>
      </c>
    </row>
    <row r="137" spans="1:3" x14ac:dyDescent="0.25">
      <c r="A137" s="1">
        <f t="shared" ca="1" si="2"/>
        <v>13278</v>
      </c>
      <c r="B137" s="21">
        <v>7580</v>
      </c>
      <c r="C137" s="23">
        <v>0</v>
      </c>
    </row>
    <row r="138" spans="1:3" x14ac:dyDescent="0.25">
      <c r="A138" s="1">
        <f t="shared" ca="1" si="2"/>
        <v>13279</v>
      </c>
      <c r="B138" s="21">
        <v>7600</v>
      </c>
      <c r="C138" s="23">
        <v>0</v>
      </c>
    </row>
    <row r="139" spans="1:3" x14ac:dyDescent="0.25">
      <c r="A139" s="1">
        <f t="shared" ca="1" si="2"/>
        <v>13280</v>
      </c>
      <c r="B139" s="21">
        <v>7600</v>
      </c>
      <c r="C139" s="23">
        <v>0</v>
      </c>
    </row>
    <row r="140" spans="1:3" x14ac:dyDescent="0.25">
      <c r="A140" s="1">
        <f t="shared" ca="1" si="2"/>
        <v>13281</v>
      </c>
      <c r="B140" s="21">
        <v>7595</v>
      </c>
      <c r="C140" s="23">
        <v>0</v>
      </c>
    </row>
    <row r="141" spans="1:3" x14ac:dyDescent="0.25">
      <c r="A141" s="1">
        <f t="shared" ca="1" si="2"/>
        <v>13282</v>
      </c>
      <c r="B141" s="21">
        <v>7580</v>
      </c>
      <c r="C141" s="23">
        <v>0</v>
      </c>
    </row>
    <row r="142" spans="1:3" x14ac:dyDescent="0.25">
      <c r="A142" s="1">
        <f t="shared" ca="1" si="2"/>
        <v>13283</v>
      </c>
      <c r="B142" s="21">
        <v>7585</v>
      </c>
      <c r="C142" s="23">
        <v>0</v>
      </c>
    </row>
    <row r="143" spans="1:3" x14ac:dyDescent="0.25">
      <c r="A143" s="1">
        <f t="shared" ca="1" si="2"/>
        <v>13284</v>
      </c>
      <c r="B143" s="21">
        <v>7590</v>
      </c>
      <c r="C143" s="23">
        <v>0</v>
      </c>
    </row>
    <row r="144" spans="1:3" x14ac:dyDescent="0.25">
      <c r="A144" s="1">
        <f t="shared" ca="1" si="2"/>
        <v>13285</v>
      </c>
      <c r="B144" s="21">
        <v>7580</v>
      </c>
      <c r="C144" s="23">
        <v>0</v>
      </c>
    </row>
    <row r="145" spans="1:3" x14ac:dyDescent="0.25">
      <c r="A145" s="1">
        <f t="shared" ca="1" si="2"/>
        <v>13286</v>
      </c>
      <c r="B145" s="21">
        <v>7585</v>
      </c>
      <c r="C145" s="23">
        <v>0</v>
      </c>
    </row>
    <row r="146" spans="1:3" x14ac:dyDescent="0.25">
      <c r="A146" s="1">
        <f t="shared" ca="1" si="2"/>
        <v>13287</v>
      </c>
      <c r="B146" s="21">
        <v>7590</v>
      </c>
      <c r="C146" s="23">
        <v>0</v>
      </c>
    </row>
    <row r="147" spans="1:3" x14ac:dyDescent="0.25">
      <c r="A147" s="1">
        <f t="shared" ca="1" si="2"/>
        <v>13288</v>
      </c>
      <c r="B147" s="21">
        <v>7600</v>
      </c>
      <c r="C147" s="23">
        <v>0</v>
      </c>
    </row>
    <row r="148" spans="1:3" x14ac:dyDescent="0.25">
      <c r="A148" s="1">
        <f t="shared" ca="1" si="2"/>
        <v>13289</v>
      </c>
      <c r="B148" s="21">
        <v>7585</v>
      </c>
      <c r="C148" s="23">
        <v>0</v>
      </c>
    </row>
    <row r="149" spans="1:3" x14ac:dyDescent="0.25">
      <c r="A149" s="1">
        <f t="shared" ca="1" si="2"/>
        <v>13290</v>
      </c>
      <c r="B149" s="21">
        <v>7570</v>
      </c>
      <c r="C149" s="23">
        <v>0</v>
      </c>
    </row>
    <row r="150" spans="1:3" x14ac:dyDescent="0.25">
      <c r="A150" s="1">
        <f t="shared" ca="1" si="2"/>
        <v>13291</v>
      </c>
      <c r="B150" s="21">
        <v>7580</v>
      </c>
      <c r="C150" s="23">
        <v>0</v>
      </c>
    </row>
    <row r="151" spans="1:3" x14ac:dyDescent="0.25">
      <c r="A151" s="1">
        <f t="shared" ca="1" si="2"/>
        <v>13292</v>
      </c>
      <c r="B151" s="21">
        <v>7590</v>
      </c>
      <c r="C151" s="23">
        <v>0</v>
      </c>
    </row>
    <row r="152" spans="1:3" x14ac:dyDescent="0.25">
      <c r="A152" s="1">
        <f t="shared" ca="1" si="2"/>
        <v>13293</v>
      </c>
      <c r="B152" s="21">
        <v>7580</v>
      </c>
      <c r="C152" s="23">
        <v>0</v>
      </c>
    </row>
    <row r="153" spans="1:3" x14ac:dyDescent="0.25">
      <c r="A153" s="1">
        <f t="shared" ca="1" si="2"/>
        <v>13294</v>
      </c>
      <c r="B153" s="21">
        <v>7570</v>
      </c>
      <c r="C153" s="23">
        <v>0</v>
      </c>
    </row>
    <row r="154" spans="1:3" x14ac:dyDescent="0.25">
      <c r="A154" s="1">
        <f t="shared" ca="1" si="2"/>
        <v>13295</v>
      </c>
      <c r="B154" s="21">
        <v>7570</v>
      </c>
      <c r="C154" s="23">
        <v>20</v>
      </c>
    </row>
    <row r="155" spans="1:3" x14ac:dyDescent="0.25">
      <c r="A155" s="1">
        <f t="shared" ca="1" si="2"/>
        <v>13296</v>
      </c>
      <c r="B155" s="21">
        <v>7590</v>
      </c>
      <c r="C155" s="23">
        <v>0</v>
      </c>
    </row>
    <row r="156" spans="1:3" x14ac:dyDescent="0.25">
      <c r="A156" s="1">
        <f t="shared" ca="1" si="2"/>
        <v>13297</v>
      </c>
      <c r="B156" s="21">
        <v>7570</v>
      </c>
      <c r="C156" s="23">
        <v>0</v>
      </c>
    </row>
    <row r="157" spans="1:3" x14ac:dyDescent="0.25">
      <c r="A157" s="1">
        <f t="shared" ca="1" si="2"/>
        <v>13298</v>
      </c>
      <c r="B157" s="21">
        <v>7590</v>
      </c>
      <c r="C157" s="23">
        <v>0</v>
      </c>
    </row>
    <row r="158" spans="1:3" x14ac:dyDescent="0.25">
      <c r="A158" s="1">
        <f t="shared" ca="1" si="2"/>
        <v>13299</v>
      </c>
      <c r="B158" s="21">
        <v>7600</v>
      </c>
      <c r="C158" s="23">
        <v>0</v>
      </c>
    </row>
    <row r="159" spans="1:3" x14ac:dyDescent="0.25">
      <c r="A159" s="1">
        <f t="shared" ca="1" si="2"/>
        <v>13300</v>
      </c>
      <c r="B159" s="21">
        <v>7605</v>
      </c>
      <c r="C159" s="23">
        <v>0</v>
      </c>
    </row>
    <row r="160" spans="1:3" x14ac:dyDescent="0.25">
      <c r="A160" s="1">
        <f t="shared" ca="1" si="2"/>
        <v>13301</v>
      </c>
      <c r="B160" s="21">
        <v>7610</v>
      </c>
      <c r="C160" s="23">
        <v>0</v>
      </c>
    </row>
    <row r="161" spans="1:3" x14ac:dyDescent="0.25">
      <c r="A161" s="1" t="str">
        <f t="shared" ca="1" si="2"/>
        <v>Totaal</v>
      </c>
      <c r="B161" s="22">
        <f>IF(COUNT(B130:B160)&gt;0,AVERAGE(B130:B160)/10,"")</f>
        <v>758.80769230769226</v>
      </c>
      <c r="C161" s="26">
        <f>SUM(C130:C160)/10</f>
        <v>2</v>
      </c>
    </row>
    <row r="162" spans="1:3" x14ac:dyDescent="0.25">
      <c r="A162" s="1">
        <f t="shared" ca="1" si="2"/>
        <v>13302</v>
      </c>
      <c r="B162" s="21">
        <v>7610</v>
      </c>
      <c r="C162" s="23">
        <v>0</v>
      </c>
    </row>
    <row r="163" spans="1:3" x14ac:dyDescent="0.25">
      <c r="A163" s="1">
        <f t="shared" ca="1" si="2"/>
        <v>13303</v>
      </c>
      <c r="B163" s="21">
        <v>7615</v>
      </c>
      <c r="C163" s="23">
        <v>30</v>
      </c>
    </row>
    <row r="164" spans="1:3" x14ac:dyDescent="0.25">
      <c r="A164" s="1">
        <f t="shared" ca="1" si="2"/>
        <v>13304</v>
      </c>
      <c r="B164" s="21">
        <v>7590</v>
      </c>
      <c r="C164" s="23">
        <v>0</v>
      </c>
    </row>
    <row r="165" spans="1:3" x14ac:dyDescent="0.25">
      <c r="A165" s="1">
        <f t="shared" ca="1" si="2"/>
        <v>13305</v>
      </c>
      <c r="B165" s="21">
        <v>7590</v>
      </c>
      <c r="C165" s="23">
        <v>0</v>
      </c>
    </row>
    <row r="166" spans="1:3" x14ac:dyDescent="0.25">
      <c r="A166" s="1">
        <f t="shared" ca="1" si="2"/>
        <v>13306</v>
      </c>
      <c r="B166" s="21">
        <v>7595</v>
      </c>
      <c r="C166" s="23">
        <v>0</v>
      </c>
    </row>
    <row r="167" spans="1:3" x14ac:dyDescent="0.25">
      <c r="A167" s="1">
        <f t="shared" ca="1" si="2"/>
        <v>13307</v>
      </c>
      <c r="B167" s="21">
        <v>7590</v>
      </c>
      <c r="C167" s="23">
        <v>0</v>
      </c>
    </row>
    <row r="168" spans="1:3" x14ac:dyDescent="0.25">
      <c r="A168" s="1">
        <f t="shared" ca="1" si="2"/>
        <v>13308</v>
      </c>
      <c r="B168" s="21">
        <v>7590</v>
      </c>
      <c r="C168" s="23">
        <v>0</v>
      </c>
    </row>
    <row r="169" spans="1:3" x14ac:dyDescent="0.25">
      <c r="A169" s="1">
        <f t="shared" ca="1" si="2"/>
        <v>13309</v>
      </c>
      <c r="B169" s="21">
        <v>7580</v>
      </c>
      <c r="C169" s="23">
        <v>0</v>
      </c>
    </row>
    <row r="170" spans="1:3" x14ac:dyDescent="0.25">
      <c r="A170" s="1">
        <f t="shared" ca="1" si="2"/>
        <v>13310</v>
      </c>
      <c r="B170" s="21">
        <v>7580</v>
      </c>
      <c r="C170" s="23">
        <v>68</v>
      </c>
    </row>
    <row r="171" spans="1:3" x14ac:dyDescent="0.25">
      <c r="A171" s="1">
        <f t="shared" ca="1" si="2"/>
        <v>13311</v>
      </c>
      <c r="B171" s="21">
        <v>7580</v>
      </c>
      <c r="C171" s="23">
        <v>0</v>
      </c>
    </row>
    <row r="172" spans="1:3" x14ac:dyDescent="0.25">
      <c r="A172" s="1">
        <f t="shared" ca="1" si="2"/>
        <v>13312</v>
      </c>
      <c r="B172" s="21">
        <v>7595</v>
      </c>
      <c r="C172" s="23">
        <v>0</v>
      </c>
    </row>
    <row r="173" spans="1:3" x14ac:dyDescent="0.25">
      <c r="A173" s="1">
        <f t="shared" ca="1" si="2"/>
        <v>13313</v>
      </c>
      <c r="B173" s="21">
        <v>7580</v>
      </c>
      <c r="C173" s="23">
        <v>0</v>
      </c>
    </row>
    <row r="174" spans="1:3" x14ac:dyDescent="0.25">
      <c r="A174" s="1">
        <f t="shared" ca="1" si="2"/>
        <v>13314</v>
      </c>
      <c r="B174" s="21">
        <v>7585</v>
      </c>
      <c r="C174" s="23">
        <v>0</v>
      </c>
    </row>
    <row r="175" spans="1:3" x14ac:dyDescent="0.25">
      <c r="A175" s="1">
        <f t="shared" ca="1" si="2"/>
        <v>13315</v>
      </c>
      <c r="B175" s="21">
        <v>7580</v>
      </c>
      <c r="C175" s="23">
        <v>0</v>
      </c>
    </row>
    <row r="176" spans="1:3" x14ac:dyDescent="0.25">
      <c r="A176" s="1">
        <f t="shared" ca="1" si="2"/>
        <v>13316</v>
      </c>
      <c r="B176" s="21">
        <v>7590</v>
      </c>
      <c r="C176" s="23">
        <v>0</v>
      </c>
    </row>
    <row r="177" spans="1:3" x14ac:dyDescent="0.25">
      <c r="A177" s="1">
        <f t="shared" ca="1" si="2"/>
        <v>13317</v>
      </c>
      <c r="B177" s="21">
        <v>7580</v>
      </c>
      <c r="C177" s="23">
        <v>0</v>
      </c>
    </row>
    <row r="178" spans="1:3" x14ac:dyDescent="0.25">
      <c r="A178" s="1">
        <f t="shared" ca="1" si="2"/>
        <v>13318</v>
      </c>
      <c r="B178" s="21">
        <v>7610</v>
      </c>
      <c r="C178" s="23">
        <v>6</v>
      </c>
    </row>
    <row r="179" spans="1:3" x14ac:dyDescent="0.25">
      <c r="A179" s="1">
        <f t="shared" ca="1" si="2"/>
        <v>13319</v>
      </c>
      <c r="B179" s="21">
        <v>7615</v>
      </c>
      <c r="C179" s="23">
        <v>0</v>
      </c>
    </row>
    <row r="180" spans="1:3" x14ac:dyDescent="0.25">
      <c r="A180" s="1">
        <f t="shared" ca="1" si="2"/>
        <v>13320</v>
      </c>
      <c r="B180" s="21">
        <v>7600</v>
      </c>
      <c r="C180" s="23">
        <v>0</v>
      </c>
    </row>
    <row r="181" spans="1:3" x14ac:dyDescent="0.25">
      <c r="A181" s="1">
        <f t="shared" ca="1" si="2"/>
        <v>13321</v>
      </c>
      <c r="B181" s="21">
        <v>7600</v>
      </c>
      <c r="C181" s="23">
        <v>0</v>
      </c>
    </row>
    <row r="182" spans="1:3" x14ac:dyDescent="0.25">
      <c r="A182" s="1">
        <f t="shared" ca="1" si="2"/>
        <v>13322</v>
      </c>
      <c r="B182" s="21">
        <v>7610</v>
      </c>
      <c r="C182" s="23">
        <v>0</v>
      </c>
    </row>
    <row r="183" spans="1:3" x14ac:dyDescent="0.25">
      <c r="A183" s="1">
        <f t="shared" ca="1" si="2"/>
        <v>13323</v>
      </c>
      <c r="B183" s="21">
        <v>7610</v>
      </c>
      <c r="C183" s="23">
        <v>0</v>
      </c>
    </row>
    <row r="184" spans="1:3" x14ac:dyDescent="0.25">
      <c r="A184" s="1">
        <f t="shared" ca="1" si="2"/>
        <v>13324</v>
      </c>
      <c r="B184" s="21">
        <v>7610</v>
      </c>
      <c r="C184" s="23">
        <v>0</v>
      </c>
    </row>
    <row r="185" spans="1:3" x14ac:dyDescent="0.25">
      <c r="A185" s="1">
        <f t="shared" ca="1" si="2"/>
        <v>13325</v>
      </c>
      <c r="B185" s="21">
        <v>7600</v>
      </c>
      <c r="C185" s="23">
        <v>0</v>
      </c>
    </row>
    <row r="186" spans="1:3" x14ac:dyDescent="0.25">
      <c r="A186" s="1">
        <f t="shared" ca="1" si="2"/>
        <v>13326</v>
      </c>
      <c r="B186" s="21">
        <v>7590</v>
      </c>
      <c r="C186" s="23">
        <v>0</v>
      </c>
    </row>
    <row r="187" spans="1:3" x14ac:dyDescent="0.25">
      <c r="A187" s="1">
        <f t="shared" ca="1" si="2"/>
        <v>13327</v>
      </c>
      <c r="B187" s="21">
        <v>7590</v>
      </c>
      <c r="C187" s="23">
        <v>5</v>
      </c>
    </row>
    <row r="188" spans="1:3" x14ac:dyDescent="0.25">
      <c r="A188" s="1">
        <f t="shared" ca="1" si="2"/>
        <v>13328</v>
      </c>
      <c r="B188" s="21">
        <v>7590</v>
      </c>
      <c r="C188" s="23">
        <v>0</v>
      </c>
    </row>
    <row r="189" spans="1:3" x14ac:dyDescent="0.25">
      <c r="A189" s="1">
        <f t="shared" ca="1" si="2"/>
        <v>13329</v>
      </c>
      <c r="B189" s="21">
        <v>7610</v>
      </c>
      <c r="C189" s="23">
        <v>0</v>
      </c>
    </row>
    <row r="190" spans="1:3" x14ac:dyDescent="0.25">
      <c r="A190" s="1">
        <f t="shared" ca="1" si="2"/>
        <v>13330</v>
      </c>
      <c r="B190" s="21">
        <v>7600</v>
      </c>
      <c r="C190" s="23">
        <v>0</v>
      </c>
    </row>
    <row r="191" spans="1:3" x14ac:dyDescent="0.25">
      <c r="A191" s="1">
        <f t="shared" ca="1" si="2"/>
        <v>13331</v>
      </c>
      <c r="B191" s="21">
        <v>7610</v>
      </c>
      <c r="C191" s="23">
        <v>0</v>
      </c>
    </row>
    <row r="192" spans="1:3" x14ac:dyDescent="0.25">
      <c r="A192" s="1" t="str">
        <f t="shared" ca="1" si="2"/>
        <v>Totaal</v>
      </c>
      <c r="B192" s="22">
        <f>IF(COUNT(B162:B191)&gt;0,AVERAGE(B162:B191)/10,"")</f>
        <v>759.58333333333326</v>
      </c>
      <c r="C192" s="26">
        <f>SUM(C162:C191)/10</f>
        <v>10.9</v>
      </c>
    </row>
    <row r="193" spans="1:3" x14ac:dyDescent="0.25">
      <c r="A193" s="1">
        <f t="shared" ca="1" si="2"/>
        <v>13332</v>
      </c>
      <c r="B193" s="21">
        <v>7600</v>
      </c>
      <c r="C193" s="23">
        <v>0</v>
      </c>
    </row>
    <row r="194" spans="1:3" x14ac:dyDescent="0.25">
      <c r="A194" s="1">
        <f t="shared" ca="1" si="2"/>
        <v>13333</v>
      </c>
      <c r="B194" s="21">
        <v>7610</v>
      </c>
      <c r="C194" s="23">
        <v>0</v>
      </c>
    </row>
    <row r="195" spans="1:3" x14ac:dyDescent="0.25">
      <c r="A195" s="1">
        <f t="shared" ca="1" si="2"/>
        <v>13334</v>
      </c>
      <c r="B195" s="21">
        <v>7600</v>
      </c>
      <c r="C195" s="23">
        <v>0</v>
      </c>
    </row>
    <row r="196" spans="1:3" x14ac:dyDescent="0.25">
      <c r="A196" s="1">
        <f t="shared" ca="1" si="2"/>
        <v>13335</v>
      </c>
      <c r="B196" s="21">
        <v>7590</v>
      </c>
      <c r="C196" s="23">
        <v>24</v>
      </c>
    </row>
    <row r="197" spans="1:3" x14ac:dyDescent="0.25">
      <c r="A197" s="1">
        <f t="shared" ca="1" si="2"/>
        <v>13336</v>
      </c>
      <c r="B197" s="21">
        <v>7600</v>
      </c>
      <c r="C197" s="23">
        <v>0</v>
      </c>
    </row>
    <row r="198" spans="1:3" x14ac:dyDescent="0.25">
      <c r="A198" s="1">
        <f t="shared" ca="1" si="2"/>
        <v>13337</v>
      </c>
      <c r="B198" s="21">
        <v>7600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13338</v>
      </c>
      <c r="B199" s="21">
        <v>7610</v>
      </c>
      <c r="C199" s="23">
        <v>0</v>
      </c>
    </row>
    <row r="200" spans="1:3" x14ac:dyDescent="0.25">
      <c r="A200" s="1">
        <f t="shared" ca="1" si="3"/>
        <v>13339</v>
      </c>
      <c r="B200" s="21">
        <v>7600</v>
      </c>
      <c r="C200" s="23">
        <v>0</v>
      </c>
    </row>
    <row r="201" spans="1:3" x14ac:dyDescent="0.25">
      <c r="A201" s="1">
        <f t="shared" ca="1" si="3"/>
        <v>13340</v>
      </c>
      <c r="B201" s="21">
        <v>7620</v>
      </c>
      <c r="C201" s="23">
        <v>44</v>
      </c>
    </row>
    <row r="202" spans="1:3" x14ac:dyDescent="0.25">
      <c r="A202" s="1">
        <f t="shared" ca="1" si="3"/>
        <v>13341</v>
      </c>
      <c r="B202" s="21">
        <v>7610</v>
      </c>
      <c r="C202" s="23">
        <v>0</v>
      </c>
    </row>
    <row r="203" spans="1:3" x14ac:dyDescent="0.25">
      <c r="A203" s="1">
        <f t="shared" ca="1" si="3"/>
        <v>13342</v>
      </c>
      <c r="B203" s="21">
        <v>7615</v>
      </c>
      <c r="C203" s="23">
        <v>0</v>
      </c>
    </row>
    <row r="204" spans="1:3" x14ac:dyDescent="0.25">
      <c r="A204" s="1">
        <f t="shared" ca="1" si="3"/>
        <v>13343</v>
      </c>
      <c r="B204" s="21">
        <v>7610</v>
      </c>
      <c r="C204" s="23">
        <v>3</v>
      </c>
    </row>
    <row r="205" spans="1:3" x14ac:dyDescent="0.25">
      <c r="A205" s="1">
        <f t="shared" ca="1" si="3"/>
        <v>13344</v>
      </c>
      <c r="B205" s="21">
        <v>7600</v>
      </c>
      <c r="C205" s="23">
        <v>0</v>
      </c>
    </row>
    <row r="206" spans="1:3" x14ac:dyDescent="0.25">
      <c r="A206" s="1">
        <f t="shared" ca="1" si="3"/>
        <v>13345</v>
      </c>
      <c r="B206" s="21">
        <v>7605</v>
      </c>
      <c r="C206" s="23">
        <v>6</v>
      </c>
    </row>
    <row r="207" spans="1:3" x14ac:dyDescent="0.25">
      <c r="A207" s="1">
        <f t="shared" ca="1" si="3"/>
        <v>13346</v>
      </c>
      <c r="B207" s="21">
        <v>7595</v>
      </c>
      <c r="C207" s="23">
        <v>0</v>
      </c>
    </row>
    <row r="208" spans="1:3" x14ac:dyDescent="0.25">
      <c r="A208" s="1">
        <f t="shared" ca="1" si="3"/>
        <v>13347</v>
      </c>
      <c r="B208" s="21">
        <v>7600</v>
      </c>
      <c r="C208" s="23">
        <v>0</v>
      </c>
    </row>
    <row r="209" spans="1:3" x14ac:dyDescent="0.25">
      <c r="A209" s="1">
        <f t="shared" ca="1" si="3"/>
        <v>13348</v>
      </c>
      <c r="B209" s="21">
        <v>7600</v>
      </c>
      <c r="C209" s="23">
        <v>150</v>
      </c>
    </row>
    <row r="210" spans="1:3" x14ac:dyDescent="0.25">
      <c r="A210" s="1">
        <f t="shared" ca="1" si="3"/>
        <v>13349</v>
      </c>
      <c r="B210" s="21">
        <v>7610</v>
      </c>
      <c r="C210" s="23">
        <v>0</v>
      </c>
    </row>
    <row r="211" spans="1:3" x14ac:dyDescent="0.25">
      <c r="A211" s="1">
        <f t="shared" ca="1" si="3"/>
        <v>13350</v>
      </c>
      <c r="B211" s="21">
        <v>7615</v>
      </c>
      <c r="C211" s="23">
        <v>0</v>
      </c>
    </row>
    <row r="212" spans="1:3" x14ac:dyDescent="0.25">
      <c r="A212" s="1">
        <f t="shared" ca="1" si="3"/>
        <v>13351</v>
      </c>
      <c r="B212" s="21">
        <v>7600</v>
      </c>
      <c r="C212" s="23">
        <v>0</v>
      </c>
    </row>
    <row r="213" spans="1:3" x14ac:dyDescent="0.25">
      <c r="A213" s="1">
        <f t="shared" ca="1" si="3"/>
        <v>13352</v>
      </c>
      <c r="B213" s="21">
        <v>7605</v>
      </c>
      <c r="C213" s="23">
        <v>0</v>
      </c>
    </row>
    <row r="214" spans="1:3" x14ac:dyDescent="0.25">
      <c r="A214" s="1">
        <f t="shared" ca="1" si="3"/>
        <v>13353</v>
      </c>
      <c r="B214" s="21">
        <v>7610</v>
      </c>
      <c r="C214" s="23">
        <v>0</v>
      </c>
    </row>
    <row r="215" spans="1:3" x14ac:dyDescent="0.25">
      <c r="A215" s="1">
        <f t="shared" ca="1" si="3"/>
        <v>13354</v>
      </c>
      <c r="B215" s="21">
        <v>7600</v>
      </c>
      <c r="C215" s="23">
        <v>0</v>
      </c>
    </row>
    <row r="216" spans="1:3" x14ac:dyDescent="0.25">
      <c r="A216" s="1">
        <f t="shared" ca="1" si="3"/>
        <v>13355</v>
      </c>
      <c r="B216" s="21">
        <v>7595</v>
      </c>
      <c r="C216" s="23">
        <v>0</v>
      </c>
    </row>
    <row r="217" spans="1:3" x14ac:dyDescent="0.25">
      <c r="A217" s="1">
        <f t="shared" ca="1" si="3"/>
        <v>13356</v>
      </c>
      <c r="B217" s="21">
        <v>7600</v>
      </c>
      <c r="C217" s="23">
        <v>0</v>
      </c>
    </row>
    <row r="218" spans="1:3" x14ac:dyDescent="0.25">
      <c r="A218" s="1">
        <f t="shared" ca="1" si="3"/>
        <v>13357</v>
      </c>
      <c r="B218" s="21">
        <v>7610</v>
      </c>
      <c r="C218" s="23">
        <v>0</v>
      </c>
    </row>
    <row r="219" spans="1:3" x14ac:dyDescent="0.25">
      <c r="A219" s="1">
        <f t="shared" ca="1" si="3"/>
        <v>13358</v>
      </c>
      <c r="B219" s="21">
        <v>7610</v>
      </c>
      <c r="C219" s="23">
        <v>0</v>
      </c>
    </row>
    <row r="220" spans="1:3" x14ac:dyDescent="0.25">
      <c r="A220" s="1">
        <f t="shared" ca="1" si="3"/>
        <v>13359</v>
      </c>
      <c r="B220" s="21">
        <v>7615</v>
      </c>
      <c r="C220" s="23">
        <v>0</v>
      </c>
    </row>
    <row r="221" spans="1:3" x14ac:dyDescent="0.25">
      <c r="A221" s="1">
        <f t="shared" ca="1" si="3"/>
        <v>13360</v>
      </c>
      <c r="B221" s="21">
        <v>7620</v>
      </c>
      <c r="C221" s="23">
        <v>0</v>
      </c>
    </row>
    <row r="222" spans="1:3" x14ac:dyDescent="0.25">
      <c r="A222" s="1">
        <f t="shared" ca="1" si="3"/>
        <v>13361</v>
      </c>
      <c r="B222" s="21">
        <v>7625</v>
      </c>
      <c r="C222" s="23">
        <v>0</v>
      </c>
    </row>
    <row r="223" spans="1:3" x14ac:dyDescent="0.25">
      <c r="A223" s="1">
        <f t="shared" ca="1" si="3"/>
        <v>13362</v>
      </c>
      <c r="B223" s="21">
        <v>7610</v>
      </c>
      <c r="C223" s="23">
        <v>138</v>
      </c>
    </row>
    <row r="224" spans="1:3" x14ac:dyDescent="0.25">
      <c r="A224" s="1" t="str">
        <f t="shared" ca="1" si="3"/>
        <v>Totaal</v>
      </c>
      <c r="B224" s="22">
        <f>IF(COUNT(B193:B223)&gt;0,AVERAGE(B193:B223)/10,"")</f>
        <v>760.61290322580646</v>
      </c>
      <c r="C224" s="26">
        <f>SUM(C193:C223)/10</f>
        <v>36.5</v>
      </c>
    </row>
    <row r="225" spans="1:3" x14ac:dyDescent="0.25">
      <c r="A225" s="1">
        <f t="shared" ca="1" si="3"/>
        <v>13363</v>
      </c>
      <c r="B225" s="21">
        <v>7600</v>
      </c>
      <c r="C225" s="23">
        <v>0</v>
      </c>
    </row>
    <row r="226" spans="1:3" x14ac:dyDescent="0.25">
      <c r="A226" s="1">
        <f t="shared" ca="1" si="3"/>
        <v>13364</v>
      </c>
      <c r="B226" s="21">
        <v>7595</v>
      </c>
      <c r="C226" s="23">
        <v>0</v>
      </c>
    </row>
    <row r="227" spans="1:3" x14ac:dyDescent="0.25">
      <c r="A227" s="1">
        <f t="shared" ca="1" si="3"/>
        <v>13365</v>
      </c>
      <c r="B227" s="21">
        <v>7600</v>
      </c>
      <c r="C227" s="23">
        <v>0</v>
      </c>
    </row>
    <row r="228" spans="1:3" x14ac:dyDescent="0.25">
      <c r="A228" s="1">
        <f t="shared" ca="1" si="3"/>
        <v>13366</v>
      </c>
      <c r="B228" s="21">
        <v>7610</v>
      </c>
      <c r="C228" s="23">
        <v>0</v>
      </c>
    </row>
    <row r="229" spans="1:3" x14ac:dyDescent="0.25">
      <c r="A229" s="1">
        <f t="shared" ca="1" si="3"/>
        <v>13367</v>
      </c>
      <c r="B229" s="21">
        <v>7610</v>
      </c>
      <c r="C229" s="23">
        <v>0</v>
      </c>
    </row>
    <row r="230" spans="1:3" x14ac:dyDescent="0.25">
      <c r="A230" s="1">
        <f t="shared" ca="1" si="3"/>
        <v>13368</v>
      </c>
      <c r="B230" s="21">
        <v>7615</v>
      </c>
      <c r="C230" s="23">
        <v>0</v>
      </c>
    </row>
    <row r="231" spans="1:3" x14ac:dyDescent="0.25">
      <c r="A231" s="1">
        <f t="shared" ca="1" si="3"/>
        <v>13369</v>
      </c>
      <c r="B231" s="21">
        <v>7610</v>
      </c>
      <c r="C231" s="23">
        <v>0</v>
      </c>
    </row>
    <row r="232" spans="1:3" x14ac:dyDescent="0.25">
      <c r="A232" s="1">
        <f t="shared" ca="1" si="3"/>
        <v>13370</v>
      </c>
      <c r="B232" s="21">
        <v>7600</v>
      </c>
      <c r="C232" s="23">
        <v>0</v>
      </c>
    </row>
    <row r="233" spans="1:3" x14ac:dyDescent="0.25">
      <c r="A233" s="1">
        <f t="shared" ca="1" si="3"/>
        <v>13371</v>
      </c>
      <c r="B233" s="21">
        <v>7605</v>
      </c>
      <c r="C233" s="23">
        <v>0</v>
      </c>
    </row>
    <row r="234" spans="1:3" x14ac:dyDescent="0.25">
      <c r="A234" s="1">
        <f t="shared" ca="1" si="3"/>
        <v>13372</v>
      </c>
      <c r="B234" s="21">
        <v>7610</v>
      </c>
      <c r="C234" s="23">
        <v>0</v>
      </c>
    </row>
    <row r="235" spans="1:3" x14ac:dyDescent="0.25">
      <c r="A235" s="1">
        <f t="shared" ca="1" si="3"/>
        <v>13373</v>
      </c>
      <c r="B235" s="21">
        <v>7600</v>
      </c>
      <c r="C235" s="23">
        <v>0</v>
      </c>
    </row>
    <row r="236" spans="1:3" x14ac:dyDescent="0.25">
      <c r="A236" s="1">
        <f t="shared" ca="1" si="3"/>
        <v>13374</v>
      </c>
      <c r="B236" s="21">
        <v>7590</v>
      </c>
      <c r="C236" s="23">
        <v>0</v>
      </c>
    </row>
    <row r="237" spans="1:3" x14ac:dyDescent="0.25">
      <c r="A237" s="1">
        <f t="shared" ca="1" si="3"/>
        <v>13375</v>
      </c>
      <c r="B237" s="21">
        <v>7600</v>
      </c>
      <c r="C237" s="23">
        <v>0</v>
      </c>
    </row>
    <row r="238" spans="1:3" x14ac:dyDescent="0.25">
      <c r="A238" s="1">
        <f t="shared" ca="1" si="3"/>
        <v>13376</v>
      </c>
      <c r="B238" s="21">
        <v>7570</v>
      </c>
      <c r="C238" s="23">
        <v>0</v>
      </c>
    </row>
    <row r="239" spans="1:3" x14ac:dyDescent="0.25">
      <c r="A239" s="1">
        <f t="shared" ca="1" si="3"/>
        <v>13377</v>
      </c>
      <c r="B239" s="21">
        <v>7580</v>
      </c>
      <c r="C239" s="23">
        <v>0</v>
      </c>
    </row>
    <row r="240" spans="1:3" x14ac:dyDescent="0.25">
      <c r="A240" s="1">
        <f t="shared" ca="1" si="3"/>
        <v>13378</v>
      </c>
      <c r="B240" s="21">
        <v>7590</v>
      </c>
      <c r="C240" s="23">
        <v>0</v>
      </c>
    </row>
    <row r="241" spans="1:3" x14ac:dyDescent="0.25">
      <c r="A241" s="1">
        <f t="shared" ca="1" si="3"/>
        <v>13379</v>
      </c>
      <c r="B241" s="21">
        <v>7600</v>
      </c>
      <c r="C241" s="23">
        <v>0</v>
      </c>
    </row>
    <row r="242" spans="1:3" x14ac:dyDescent="0.25">
      <c r="A242" s="1">
        <f t="shared" ca="1" si="3"/>
        <v>13380</v>
      </c>
      <c r="B242" s="21">
        <v>7610</v>
      </c>
      <c r="C242" s="23">
        <v>0</v>
      </c>
    </row>
    <row r="243" spans="1:3" x14ac:dyDescent="0.25">
      <c r="A243" s="1">
        <f t="shared" ca="1" si="3"/>
        <v>13381</v>
      </c>
      <c r="B243" s="21">
        <v>7600</v>
      </c>
      <c r="C243" s="23">
        <v>0</v>
      </c>
    </row>
    <row r="244" spans="1:3" x14ac:dyDescent="0.25">
      <c r="A244" s="1">
        <f t="shared" ca="1" si="3"/>
        <v>13382</v>
      </c>
      <c r="B244" s="21">
        <v>7600</v>
      </c>
      <c r="C244" s="23">
        <v>0</v>
      </c>
    </row>
    <row r="245" spans="1:3" x14ac:dyDescent="0.25">
      <c r="A245" s="1">
        <f t="shared" ca="1" si="3"/>
        <v>13383</v>
      </c>
      <c r="B245" s="21">
        <v>7590</v>
      </c>
      <c r="C245" s="23">
        <v>0</v>
      </c>
    </row>
    <row r="246" spans="1:3" x14ac:dyDescent="0.25">
      <c r="A246" s="1">
        <f t="shared" ca="1" si="3"/>
        <v>13384</v>
      </c>
      <c r="B246" s="21">
        <v>7600</v>
      </c>
      <c r="C246" s="23">
        <v>0</v>
      </c>
    </row>
    <row r="247" spans="1:3" x14ac:dyDescent="0.25">
      <c r="A247" s="1">
        <f t="shared" ca="1" si="3"/>
        <v>13385</v>
      </c>
      <c r="B247" s="21">
        <v>7615</v>
      </c>
      <c r="C247" s="23">
        <v>0</v>
      </c>
    </row>
    <row r="248" spans="1:3" x14ac:dyDescent="0.25">
      <c r="A248" s="1">
        <f t="shared" ca="1" si="3"/>
        <v>13386</v>
      </c>
      <c r="B248" s="21">
        <v>7600</v>
      </c>
      <c r="C248" s="23">
        <v>0</v>
      </c>
    </row>
    <row r="249" spans="1:3" x14ac:dyDescent="0.25">
      <c r="A249" s="1">
        <f t="shared" ca="1" si="3"/>
        <v>13387</v>
      </c>
      <c r="B249" s="21">
        <v>7590</v>
      </c>
      <c r="C249" s="23">
        <v>0</v>
      </c>
    </row>
    <row r="250" spans="1:3" x14ac:dyDescent="0.25">
      <c r="A250" s="1">
        <f t="shared" ca="1" si="3"/>
        <v>13388</v>
      </c>
      <c r="B250" s="21">
        <v>7600</v>
      </c>
      <c r="C250" s="23">
        <v>0</v>
      </c>
    </row>
    <row r="251" spans="1:3" x14ac:dyDescent="0.25">
      <c r="A251" s="1">
        <f t="shared" ca="1" si="3"/>
        <v>13389</v>
      </c>
      <c r="B251" s="21">
        <v>7605</v>
      </c>
      <c r="C251" s="23">
        <v>0</v>
      </c>
    </row>
    <row r="252" spans="1:3" x14ac:dyDescent="0.25">
      <c r="A252" s="1">
        <f t="shared" ca="1" si="3"/>
        <v>13390</v>
      </c>
      <c r="B252" s="21">
        <v>7600</v>
      </c>
      <c r="C252" s="23">
        <v>0</v>
      </c>
    </row>
    <row r="253" spans="1:3" x14ac:dyDescent="0.25">
      <c r="A253" s="1">
        <f t="shared" ca="1" si="3"/>
        <v>13391</v>
      </c>
      <c r="B253" s="21">
        <v>7605</v>
      </c>
      <c r="C253" s="23">
        <v>0</v>
      </c>
    </row>
    <row r="254" spans="1:3" x14ac:dyDescent="0.25">
      <c r="A254" s="1">
        <f t="shared" ca="1" si="3"/>
        <v>13392</v>
      </c>
      <c r="B254" s="21">
        <v>7610</v>
      </c>
      <c r="C254" s="23">
        <v>0</v>
      </c>
    </row>
    <row r="255" spans="1:3" x14ac:dyDescent="0.25">
      <c r="A255" s="1">
        <f t="shared" ca="1" si="3"/>
        <v>13393</v>
      </c>
      <c r="B255" s="21">
        <v>7600</v>
      </c>
      <c r="C255" s="23">
        <v>0</v>
      </c>
    </row>
    <row r="256" spans="1:3" x14ac:dyDescent="0.25">
      <c r="A256" s="1" t="str">
        <f t="shared" ca="1" si="3"/>
        <v>Totaal</v>
      </c>
      <c r="B256" s="22">
        <f>IF(COUNT(B225:B255)&gt;0,AVERAGE(B225:B255)/10,"")</f>
        <v>760.0322580645161</v>
      </c>
      <c r="C256" s="26">
        <f>SUM(C225:C255)/10</f>
        <v>0</v>
      </c>
    </row>
    <row r="257" spans="1:3" x14ac:dyDescent="0.25">
      <c r="A257" s="1">
        <f t="shared" ca="1" si="3"/>
        <v>13394</v>
      </c>
      <c r="B257" s="21">
        <v>7610</v>
      </c>
      <c r="C257" s="23">
        <v>0</v>
      </c>
    </row>
    <row r="258" spans="1:3" x14ac:dyDescent="0.25">
      <c r="A258" s="1">
        <f t="shared" ca="1" si="3"/>
        <v>13395</v>
      </c>
      <c r="B258" s="21">
        <v>7615</v>
      </c>
      <c r="C258" s="23">
        <v>0</v>
      </c>
    </row>
    <row r="259" spans="1:3" x14ac:dyDescent="0.25">
      <c r="A259" s="1">
        <f t="shared" ca="1" si="3"/>
        <v>13396</v>
      </c>
      <c r="B259" s="21">
        <v>7610</v>
      </c>
      <c r="C259" s="23">
        <v>0</v>
      </c>
    </row>
    <row r="260" spans="1:3" x14ac:dyDescent="0.25">
      <c r="A260" s="1">
        <f t="shared" ca="1" si="3"/>
        <v>13397</v>
      </c>
      <c r="B260" s="21">
        <v>7615</v>
      </c>
      <c r="C260" s="23">
        <v>4</v>
      </c>
    </row>
    <row r="261" spans="1:3" x14ac:dyDescent="0.25">
      <c r="A261" s="1">
        <f t="shared" ca="1" si="3"/>
        <v>13398</v>
      </c>
      <c r="B261" s="21">
        <v>7600</v>
      </c>
      <c r="C261" s="23">
        <v>0</v>
      </c>
    </row>
    <row r="262" spans="1:3" x14ac:dyDescent="0.25">
      <c r="A262" s="1">
        <f t="shared" ca="1" si="3"/>
        <v>13399</v>
      </c>
      <c r="B262" s="21">
        <v>7615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13400</v>
      </c>
      <c r="B263" s="21">
        <v>7595</v>
      </c>
      <c r="C263" s="23">
        <v>134</v>
      </c>
    </row>
    <row r="264" spans="1:3" x14ac:dyDescent="0.25">
      <c r="A264" s="1">
        <f t="shared" ca="1" si="4"/>
        <v>13401</v>
      </c>
      <c r="B264" s="21">
        <v>7600</v>
      </c>
      <c r="C264" s="23">
        <v>0</v>
      </c>
    </row>
    <row r="265" spans="1:3" x14ac:dyDescent="0.25">
      <c r="A265" s="1">
        <f t="shared" ca="1" si="4"/>
        <v>13402</v>
      </c>
      <c r="B265" s="21">
        <v>7605</v>
      </c>
      <c r="C265" s="23">
        <v>0</v>
      </c>
    </row>
    <row r="266" spans="1:3" x14ac:dyDescent="0.25">
      <c r="A266" s="1">
        <f t="shared" ca="1" si="4"/>
        <v>13403</v>
      </c>
      <c r="B266" s="21">
        <v>7610</v>
      </c>
      <c r="C266" s="23">
        <v>0</v>
      </c>
    </row>
    <row r="267" spans="1:3" x14ac:dyDescent="0.25">
      <c r="A267" s="1">
        <f t="shared" ca="1" si="4"/>
        <v>13404</v>
      </c>
      <c r="B267" s="21">
        <v>7615</v>
      </c>
      <c r="C267" s="23">
        <v>0</v>
      </c>
    </row>
    <row r="268" spans="1:3" x14ac:dyDescent="0.25">
      <c r="A268" s="1">
        <f t="shared" ca="1" si="4"/>
        <v>13405</v>
      </c>
      <c r="B268" s="21">
        <v>7610</v>
      </c>
      <c r="C268" s="23">
        <v>0</v>
      </c>
    </row>
    <row r="269" spans="1:3" x14ac:dyDescent="0.25">
      <c r="A269" s="1">
        <f t="shared" ca="1" si="4"/>
        <v>13406</v>
      </c>
      <c r="B269" s="21">
        <v>7600</v>
      </c>
      <c r="C269" s="23">
        <v>0</v>
      </c>
    </row>
    <row r="270" spans="1:3" x14ac:dyDescent="0.25">
      <c r="A270" s="1">
        <f t="shared" ca="1" si="4"/>
        <v>13407</v>
      </c>
      <c r="B270" s="21">
        <v>7605</v>
      </c>
      <c r="C270" s="23">
        <v>0</v>
      </c>
    </row>
    <row r="271" spans="1:3" x14ac:dyDescent="0.25">
      <c r="A271" s="1">
        <f t="shared" ca="1" si="4"/>
        <v>13408</v>
      </c>
      <c r="B271" s="21">
        <v>7605</v>
      </c>
      <c r="C271" s="23">
        <v>0</v>
      </c>
    </row>
    <row r="272" spans="1:3" x14ac:dyDescent="0.25">
      <c r="A272" s="1">
        <f t="shared" ca="1" si="4"/>
        <v>13409</v>
      </c>
      <c r="B272" s="21">
        <v>7600</v>
      </c>
      <c r="C272" s="23">
        <v>0</v>
      </c>
    </row>
    <row r="273" spans="1:3" x14ac:dyDescent="0.25">
      <c r="A273" s="1">
        <f t="shared" ca="1" si="4"/>
        <v>13410</v>
      </c>
      <c r="B273" s="21">
        <v>7600</v>
      </c>
      <c r="C273" s="23">
        <v>170</v>
      </c>
    </row>
    <row r="274" spans="1:3" x14ac:dyDescent="0.25">
      <c r="A274" s="1">
        <f t="shared" ca="1" si="4"/>
        <v>13411</v>
      </c>
      <c r="B274" s="21">
        <v>7610</v>
      </c>
      <c r="C274" s="23">
        <v>0</v>
      </c>
    </row>
    <row r="275" spans="1:3" x14ac:dyDescent="0.25">
      <c r="A275" s="1">
        <f t="shared" ca="1" si="4"/>
        <v>13412</v>
      </c>
      <c r="B275" s="21">
        <v>7600</v>
      </c>
      <c r="C275" s="23">
        <v>0</v>
      </c>
    </row>
    <row r="276" spans="1:3" x14ac:dyDescent="0.25">
      <c r="A276" s="1">
        <f t="shared" ca="1" si="4"/>
        <v>13413</v>
      </c>
      <c r="B276" s="21">
        <v>7590</v>
      </c>
      <c r="C276" s="23">
        <v>0</v>
      </c>
    </row>
    <row r="277" spans="1:3" x14ac:dyDescent="0.25">
      <c r="A277" s="1">
        <f t="shared" ca="1" si="4"/>
        <v>13414</v>
      </c>
      <c r="B277" s="21">
        <v>7590</v>
      </c>
      <c r="C277" s="23">
        <v>0</v>
      </c>
    </row>
    <row r="278" spans="1:3" x14ac:dyDescent="0.25">
      <c r="A278" s="1">
        <f t="shared" ca="1" si="4"/>
        <v>13415</v>
      </c>
      <c r="B278" s="21">
        <v>7595</v>
      </c>
      <c r="C278" s="23">
        <v>28</v>
      </c>
    </row>
    <row r="279" spans="1:3" x14ac:dyDescent="0.25">
      <c r="A279" s="1">
        <f t="shared" ca="1" si="4"/>
        <v>13416</v>
      </c>
      <c r="B279" s="21">
        <v>7610</v>
      </c>
      <c r="C279" s="23">
        <v>70</v>
      </c>
    </row>
    <row r="280" spans="1:3" x14ac:dyDescent="0.25">
      <c r="A280" s="1">
        <f t="shared" ca="1" si="4"/>
        <v>13417</v>
      </c>
      <c r="B280" s="21">
        <v>7600</v>
      </c>
      <c r="C280" s="23">
        <v>0</v>
      </c>
    </row>
    <row r="281" spans="1:3" x14ac:dyDescent="0.25">
      <c r="A281" s="1">
        <f t="shared" ca="1" si="4"/>
        <v>13418</v>
      </c>
      <c r="B281" s="21">
        <v>7605</v>
      </c>
      <c r="C281" s="23">
        <v>0</v>
      </c>
    </row>
    <row r="282" spans="1:3" x14ac:dyDescent="0.25">
      <c r="A282" s="1">
        <f t="shared" ca="1" si="4"/>
        <v>13419</v>
      </c>
      <c r="B282" s="21">
        <v>7600</v>
      </c>
      <c r="C282" s="23">
        <v>0</v>
      </c>
    </row>
    <row r="283" spans="1:3" x14ac:dyDescent="0.25">
      <c r="A283" s="1">
        <f t="shared" ca="1" si="4"/>
        <v>13420</v>
      </c>
      <c r="B283" s="21">
        <v>7600</v>
      </c>
      <c r="C283" s="23">
        <v>6</v>
      </c>
    </row>
    <row r="284" spans="1:3" x14ac:dyDescent="0.25">
      <c r="A284" s="1">
        <f t="shared" ca="1" si="4"/>
        <v>13421</v>
      </c>
      <c r="B284" s="21">
        <v>7575</v>
      </c>
      <c r="C284" s="23">
        <v>0</v>
      </c>
    </row>
    <row r="285" spans="1:3" x14ac:dyDescent="0.25">
      <c r="A285" s="1">
        <f t="shared" ca="1" si="4"/>
        <v>13422</v>
      </c>
      <c r="B285" s="21">
        <v>7580</v>
      </c>
      <c r="C285" s="23">
        <v>0</v>
      </c>
    </row>
    <row r="286" spans="1:3" x14ac:dyDescent="0.25">
      <c r="A286" s="1">
        <f t="shared" ca="1" si="4"/>
        <v>13423</v>
      </c>
      <c r="B286" s="21">
        <v>7570</v>
      </c>
      <c r="C286" s="23">
        <v>0</v>
      </c>
    </row>
    <row r="287" spans="1:3" x14ac:dyDescent="0.25">
      <c r="A287" s="1" t="str">
        <f t="shared" ca="1" si="4"/>
        <v>Totaal</v>
      </c>
      <c r="B287" s="22">
        <f>IF(COUNT(B257:B286)&gt;0,AVERAGE(B257:B286)/10,"")</f>
        <v>760.11666666666667</v>
      </c>
      <c r="C287" s="26">
        <f>SUM(C257:C286)/10</f>
        <v>41.2</v>
      </c>
    </row>
    <row r="288" spans="1:3" x14ac:dyDescent="0.25">
      <c r="A288" s="1">
        <f t="shared" ca="1" si="4"/>
        <v>13424</v>
      </c>
      <c r="B288" s="21">
        <v>7600</v>
      </c>
      <c r="C288" s="23">
        <v>0</v>
      </c>
    </row>
    <row r="289" spans="1:3" x14ac:dyDescent="0.25">
      <c r="A289" s="1">
        <f t="shared" ca="1" si="4"/>
        <v>13425</v>
      </c>
      <c r="B289" s="21">
        <v>7590</v>
      </c>
      <c r="C289" s="23">
        <v>0</v>
      </c>
    </row>
    <row r="290" spans="1:3" x14ac:dyDescent="0.25">
      <c r="A290" s="1">
        <f t="shared" ca="1" si="4"/>
        <v>13426</v>
      </c>
      <c r="B290" s="21">
        <v>7590</v>
      </c>
      <c r="C290" s="23">
        <v>0</v>
      </c>
    </row>
    <row r="291" spans="1:3" x14ac:dyDescent="0.25">
      <c r="A291" s="1">
        <f t="shared" ca="1" si="4"/>
        <v>13427</v>
      </c>
      <c r="B291" s="21">
        <v>7615</v>
      </c>
      <c r="C291" s="23">
        <v>0</v>
      </c>
    </row>
    <row r="292" spans="1:3" x14ac:dyDescent="0.25">
      <c r="A292" s="1">
        <f t="shared" ca="1" si="4"/>
        <v>13428</v>
      </c>
      <c r="B292" s="21">
        <v>7600</v>
      </c>
      <c r="C292" s="23">
        <v>204</v>
      </c>
    </row>
    <row r="293" spans="1:3" x14ac:dyDescent="0.25">
      <c r="A293" s="1">
        <f t="shared" ca="1" si="4"/>
        <v>13429</v>
      </c>
      <c r="B293" s="21">
        <v>7610</v>
      </c>
      <c r="C293" s="23">
        <v>82</v>
      </c>
    </row>
    <row r="294" spans="1:3" x14ac:dyDescent="0.25">
      <c r="A294" s="1">
        <f t="shared" ca="1" si="4"/>
        <v>13430</v>
      </c>
      <c r="B294" s="21">
        <v>7615</v>
      </c>
      <c r="C294" s="23">
        <v>167</v>
      </c>
    </row>
    <row r="295" spans="1:3" x14ac:dyDescent="0.25">
      <c r="A295" s="1">
        <f t="shared" ca="1" si="4"/>
        <v>13431</v>
      </c>
      <c r="B295" s="21">
        <v>7605</v>
      </c>
      <c r="C295" s="23">
        <v>60</v>
      </c>
    </row>
    <row r="296" spans="1:3" x14ac:dyDescent="0.25">
      <c r="A296" s="1">
        <f t="shared" ca="1" si="4"/>
        <v>13432</v>
      </c>
      <c r="B296" s="21">
        <v>7605</v>
      </c>
      <c r="C296" s="23">
        <v>68</v>
      </c>
    </row>
    <row r="297" spans="1:3" x14ac:dyDescent="0.25">
      <c r="A297" s="1">
        <f t="shared" ca="1" si="4"/>
        <v>13433</v>
      </c>
      <c r="B297" s="21">
        <v>7600</v>
      </c>
      <c r="C297" s="23">
        <v>0</v>
      </c>
    </row>
    <row r="298" spans="1:3" x14ac:dyDescent="0.25">
      <c r="A298" s="1">
        <f t="shared" ca="1" si="4"/>
        <v>13434</v>
      </c>
      <c r="B298" s="21">
        <v>7600</v>
      </c>
      <c r="C298" s="23">
        <v>0</v>
      </c>
    </row>
    <row r="299" spans="1:3" x14ac:dyDescent="0.25">
      <c r="A299" s="1">
        <f t="shared" ca="1" si="4"/>
        <v>13435</v>
      </c>
      <c r="B299" s="21">
        <v>7595</v>
      </c>
      <c r="C299" s="23">
        <v>105</v>
      </c>
    </row>
    <row r="300" spans="1:3" x14ac:dyDescent="0.25">
      <c r="A300" s="1">
        <f t="shared" ca="1" si="4"/>
        <v>13436</v>
      </c>
      <c r="B300" s="21">
        <v>7590</v>
      </c>
      <c r="C300" s="23">
        <v>0</v>
      </c>
    </row>
    <row r="301" spans="1:3" x14ac:dyDescent="0.25">
      <c r="A301" s="1">
        <f t="shared" ca="1" si="4"/>
        <v>13437</v>
      </c>
      <c r="B301" s="21">
        <v>7595</v>
      </c>
      <c r="C301" s="23">
        <v>0</v>
      </c>
    </row>
    <row r="302" spans="1:3" x14ac:dyDescent="0.25">
      <c r="A302" s="1">
        <f t="shared" ca="1" si="4"/>
        <v>13438</v>
      </c>
      <c r="B302" s="21">
        <v>7595</v>
      </c>
      <c r="C302" s="23">
        <v>0</v>
      </c>
    </row>
    <row r="303" spans="1:3" x14ac:dyDescent="0.25">
      <c r="A303" s="1">
        <f t="shared" ca="1" si="4"/>
        <v>13439</v>
      </c>
      <c r="B303" s="21">
        <v>7580</v>
      </c>
      <c r="C303" s="23">
        <v>0</v>
      </c>
    </row>
    <row r="304" spans="1:3" x14ac:dyDescent="0.25">
      <c r="A304" s="1">
        <f t="shared" ca="1" si="4"/>
        <v>13440</v>
      </c>
      <c r="B304" s="21">
        <v>7580</v>
      </c>
      <c r="C304" s="23">
        <v>0</v>
      </c>
    </row>
    <row r="305" spans="1:3" x14ac:dyDescent="0.25">
      <c r="A305" s="1">
        <f t="shared" ca="1" si="4"/>
        <v>13441</v>
      </c>
      <c r="B305" s="21">
        <v>7580</v>
      </c>
      <c r="C305" s="23">
        <v>396</v>
      </c>
    </row>
    <row r="306" spans="1:3" x14ac:dyDescent="0.25">
      <c r="A306" s="1">
        <f t="shared" ca="1" si="4"/>
        <v>13442</v>
      </c>
      <c r="B306" s="21">
        <v>7610</v>
      </c>
      <c r="C306" s="23">
        <v>42</v>
      </c>
    </row>
    <row r="307" spans="1:3" x14ac:dyDescent="0.25">
      <c r="A307" s="1">
        <f t="shared" ca="1" si="4"/>
        <v>13443</v>
      </c>
      <c r="B307" s="21">
        <v>7580</v>
      </c>
      <c r="C307" s="23">
        <v>0</v>
      </c>
    </row>
    <row r="308" spans="1:3" x14ac:dyDescent="0.25">
      <c r="A308" s="1">
        <f t="shared" ca="1" si="4"/>
        <v>13444</v>
      </c>
      <c r="B308" s="21">
        <v>7600</v>
      </c>
      <c r="C308" s="23">
        <v>0</v>
      </c>
    </row>
    <row r="309" spans="1:3" x14ac:dyDescent="0.25">
      <c r="A309" s="1">
        <f t="shared" ca="1" si="4"/>
        <v>13445</v>
      </c>
      <c r="B309" s="21">
        <v>7590</v>
      </c>
      <c r="C309" s="23">
        <v>0</v>
      </c>
    </row>
    <row r="310" spans="1:3" x14ac:dyDescent="0.25">
      <c r="A310" s="1">
        <f t="shared" ca="1" si="4"/>
        <v>13446</v>
      </c>
      <c r="B310" s="21">
        <v>7580</v>
      </c>
      <c r="C310" s="23">
        <v>0</v>
      </c>
    </row>
    <row r="311" spans="1:3" x14ac:dyDescent="0.25">
      <c r="A311" s="1">
        <f t="shared" ca="1" si="4"/>
        <v>13447</v>
      </c>
      <c r="B311" s="21">
        <v>7600</v>
      </c>
      <c r="C311" s="23">
        <v>0</v>
      </c>
    </row>
    <row r="312" spans="1:3" x14ac:dyDescent="0.25">
      <c r="A312" s="1">
        <f t="shared" ca="1" si="4"/>
        <v>13448</v>
      </c>
      <c r="B312" s="21">
        <v>7605</v>
      </c>
      <c r="C312" s="23">
        <v>0</v>
      </c>
    </row>
    <row r="313" spans="1:3" x14ac:dyDescent="0.25">
      <c r="A313" s="1">
        <f t="shared" ca="1" si="4"/>
        <v>13449</v>
      </c>
      <c r="B313" s="21">
        <v>7590</v>
      </c>
      <c r="C313" s="23">
        <v>15</v>
      </c>
    </row>
    <row r="314" spans="1:3" x14ac:dyDescent="0.25">
      <c r="A314" s="1">
        <f t="shared" ca="1" si="4"/>
        <v>13450</v>
      </c>
      <c r="B314" s="21">
        <v>7585</v>
      </c>
      <c r="C314" s="23">
        <v>0</v>
      </c>
    </row>
    <row r="315" spans="1:3" x14ac:dyDescent="0.25">
      <c r="A315" s="1">
        <f t="shared" ca="1" si="4"/>
        <v>13451</v>
      </c>
      <c r="B315" s="21">
        <v>7590</v>
      </c>
      <c r="C315" s="23">
        <v>0</v>
      </c>
    </row>
    <row r="316" spans="1:3" x14ac:dyDescent="0.25">
      <c r="A316" s="1">
        <f t="shared" ca="1" si="4"/>
        <v>13452</v>
      </c>
      <c r="B316" s="21">
        <v>7595</v>
      </c>
      <c r="C316" s="23">
        <v>0</v>
      </c>
    </row>
    <row r="317" spans="1:3" x14ac:dyDescent="0.25">
      <c r="A317" s="1">
        <f t="shared" ca="1" si="4"/>
        <v>13453</v>
      </c>
      <c r="B317" s="21">
        <v>7595</v>
      </c>
      <c r="C317" s="23">
        <v>0</v>
      </c>
    </row>
    <row r="318" spans="1:3" x14ac:dyDescent="0.25">
      <c r="A318" s="1">
        <f t="shared" ca="1" si="4"/>
        <v>13454</v>
      </c>
      <c r="B318" s="21">
        <v>7590</v>
      </c>
      <c r="C318" s="23">
        <v>26</v>
      </c>
    </row>
    <row r="319" spans="1:3" x14ac:dyDescent="0.25">
      <c r="A319" s="1" t="str">
        <f t="shared" ca="1" si="4"/>
        <v>Totaal</v>
      </c>
      <c r="B319" s="22">
        <f>IF(COUNT(B288:B318)&gt;0,AVERAGE(B288:B318)/10,"")</f>
        <v>759.5322580645161</v>
      </c>
      <c r="C319" s="26">
        <f>SUM(C288:C318)/10</f>
        <v>116.5</v>
      </c>
    </row>
    <row r="320" spans="1:3" x14ac:dyDescent="0.25">
      <c r="A320" s="1">
        <f t="shared" ca="1" si="4"/>
        <v>13455</v>
      </c>
      <c r="B320" s="21">
        <v>7590</v>
      </c>
      <c r="C320" s="23">
        <v>0</v>
      </c>
    </row>
    <row r="321" spans="1:3" x14ac:dyDescent="0.25">
      <c r="A321" s="1">
        <f t="shared" ca="1" si="4"/>
        <v>13456</v>
      </c>
      <c r="B321" s="21">
        <v>7565</v>
      </c>
      <c r="C321" s="23">
        <v>48</v>
      </c>
    </row>
    <row r="322" spans="1:3" x14ac:dyDescent="0.25">
      <c r="A322" s="1">
        <f t="shared" ca="1" si="4"/>
        <v>13457</v>
      </c>
      <c r="B322" s="21">
        <v>7570</v>
      </c>
      <c r="C322" s="23">
        <v>109</v>
      </c>
    </row>
    <row r="323" spans="1:3" x14ac:dyDescent="0.25">
      <c r="A323" s="1">
        <f t="shared" ca="1" si="4"/>
        <v>13458</v>
      </c>
      <c r="B323" s="21">
        <v>7575</v>
      </c>
      <c r="C323" s="23">
        <v>352</v>
      </c>
    </row>
    <row r="324" spans="1:3" x14ac:dyDescent="0.25">
      <c r="A324" s="1">
        <f t="shared" ca="1" si="4"/>
        <v>13459</v>
      </c>
      <c r="B324" s="21">
        <v>7570</v>
      </c>
      <c r="C324" s="23">
        <v>18</v>
      </c>
    </row>
    <row r="325" spans="1:3" x14ac:dyDescent="0.25">
      <c r="A325" s="1">
        <f t="shared" ca="1" si="4"/>
        <v>13460</v>
      </c>
      <c r="B325" s="21">
        <v>7580</v>
      </c>
      <c r="C325" s="23">
        <v>5</v>
      </c>
    </row>
    <row r="326" spans="1:3" x14ac:dyDescent="0.25">
      <c r="A326" s="1">
        <f t="shared" ca="1" si="4"/>
        <v>13461</v>
      </c>
      <c r="B326" s="21">
        <v>7565</v>
      </c>
      <c r="C326" s="23">
        <v>90</v>
      </c>
    </row>
    <row r="327" spans="1:3" x14ac:dyDescent="0.25">
      <c r="A327" s="1">
        <f t="shared" ref="A327:A382" ca="1" si="5">IF(ISTEXT(A326),A325+1,IF(MONTH(A326+1)=MONTH(A326),A326+1,"Totaal"))</f>
        <v>13462</v>
      </c>
      <c r="B327" s="21">
        <v>7570</v>
      </c>
      <c r="C327" s="23">
        <v>0</v>
      </c>
    </row>
    <row r="328" spans="1:3" x14ac:dyDescent="0.25">
      <c r="A328" s="1">
        <f t="shared" ca="1" si="5"/>
        <v>13463</v>
      </c>
      <c r="B328" s="21">
        <v>7575</v>
      </c>
      <c r="C328" s="23">
        <v>0</v>
      </c>
    </row>
    <row r="329" spans="1:3" x14ac:dyDescent="0.25">
      <c r="A329" s="1">
        <f t="shared" ca="1" si="5"/>
        <v>13464</v>
      </c>
      <c r="B329" s="21">
        <v>7575</v>
      </c>
      <c r="C329" s="23">
        <v>0</v>
      </c>
    </row>
    <row r="330" spans="1:3" x14ac:dyDescent="0.25">
      <c r="A330" s="1">
        <f t="shared" ca="1" si="5"/>
        <v>13465</v>
      </c>
      <c r="B330" s="21">
        <v>7610</v>
      </c>
      <c r="C330" s="23">
        <v>0</v>
      </c>
    </row>
    <row r="331" spans="1:3" x14ac:dyDescent="0.25">
      <c r="A331" s="1">
        <f t="shared" ca="1" si="5"/>
        <v>13466</v>
      </c>
      <c r="B331" s="21">
        <v>7615</v>
      </c>
      <c r="C331" s="23">
        <v>0</v>
      </c>
    </row>
    <row r="332" spans="1:3" x14ac:dyDescent="0.25">
      <c r="A332" s="1">
        <f t="shared" ca="1" si="5"/>
        <v>13467</v>
      </c>
      <c r="B332" s="21">
        <v>7600</v>
      </c>
      <c r="C332" s="23">
        <v>0</v>
      </c>
    </row>
    <row r="333" spans="1:3" x14ac:dyDescent="0.25">
      <c r="A333" s="1">
        <f t="shared" ca="1" si="5"/>
        <v>13468</v>
      </c>
      <c r="B333" s="21">
        <v>7600</v>
      </c>
      <c r="C333" s="23">
        <v>0</v>
      </c>
    </row>
    <row r="334" spans="1:3" x14ac:dyDescent="0.25">
      <c r="A334" s="1">
        <f t="shared" ca="1" si="5"/>
        <v>13469</v>
      </c>
      <c r="B334" s="21">
        <v>7605</v>
      </c>
      <c r="C334" s="23">
        <v>0</v>
      </c>
    </row>
    <row r="335" spans="1:3" x14ac:dyDescent="0.25">
      <c r="A335" s="1">
        <f t="shared" ca="1" si="5"/>
        <v>13470</v>
      </c>
      <c r="B335" s="21">
        <v>7600</v>
      </c>
      <c r="C335" s="23">
        <v>10</v>
      </c>
    </row>
    <row r="336" spans="1:3" x14ac:dyDescent="0.25">
      <c r="A336" s="1">
        <f t="shared" ca="1" si="5"/>
        <v>13471</v>
      </c>
      <c r="B336" s="21">
        <v>7610</v>
      </c>
      <c r="C336" s="23">
        <v>114</v>
      </c>
    </row>
    <row r="337" spans="1:3" x14ac:dyDescent="0.25">
      <c r="A337" s="1">
        <f t="shared" ca="1" si="5"/>
        <v>13472</v>
      </c>
      <c r="B337" s="21">
        <v>7615</v>
      </c>
      <c r="C337" s="23">
        <v>161</v>
      </c>
    </row>
    <row r="338" spans="1:3" x14ac:dyDescent="0.25">
      <c r="A338" s="1">
        <f t="shared" ca="1" si="5"/>
        <v>13473</v>
      </c>
      <c r="B338" s="21">
        <v>7595</v>
      </c>
      <c r="C338" s="23">
        <v>82</v>
      </c>
    </row>
    <row r="339" spans="1:3" x14ac:dyDescent="0.25">
      <c r="A339" s="1">
        <f t="shared" ca="1" si="5"/>
        <v>13474</v>
      </c>
      <c r="B339" s="21">
        <v>7610</v>
      </c>
      <c r="C339" s="23">
        <v>2</v>
      </c>
    </row>
    <row r="340" spans="1:3" x14ac:dyDescent="0.25">
      <c r="A340" s="1">
        <f t="shared" ca="1" si="5"/>
        <v>13475</v>
      </c>
      <c r="B340" s="21">
        <v>7585</v>
      </c>
      <c r="C340" s="23">
        <v>0</v>
      </c>
    </row>
    <row r="341" spans="1:3" x14ac:dyDescent="0.25">
      <c r="A341" s="1">
        <f t="shared" ca="1" si="5"/>
        <v>13476</v>
      </c>
      <c r="B341" s="21">
        <v>7585</v>
      </c>
      <c r="C341" s="23">
        <v>0</v>
      </c>
    </row>
    <row r="342" spans="1:3" x14ac:dyDescent="0.25">
      <c r="A342" s="1">
        <f t="shared" ca="1" si="5"/>
        <v>13477</v>
      </c>
      <c r="B342" s="21">
        <v>7590</v>
      </c>
      <c r="C342" s="23">
        <v>0</v>
      </c>
    </row>
    <row r="343" spans="1:3" x14ac:dyDescent="0.25">
      <c r="A343" s="1">
        <f t="shared" ca="1" si="5"/>
        <v>13478</v>
      </c>
      <c r="B343" s="21">
        <v>7615</v>
      </c>
      <c r="C343" s="23">
        <v>10</v>
      </c>
    </row>
    <row r="344" spans="1:3" x14ac:dyDescent="0.25">
      <c r="A344" s="1">
        <f t="shared" ca="1" si="5"/>
        <v>13479</v>
      </c>
      <c r="B344" s="21">
        <v>7610</v>
      </c>
      <c r="C344" s="23">
        <v>48</v>
      </c>
    </row>
    <row r="345" spans="1:3" x14ac:dyDescent="0.25">
      <c r="A345" s="1">
        <f t="shared" ca="1" si="5"/>
        <v>13480</v>
      </c>
      <c r="B345" s="21">
        <v>7605</v>
      </c>
      <c r="C345" s="23">
        <v>28</v>
      </c>
    </row>
    <row r="346" spans="1:3" x14ac:dyDescent="0.25">
      <c r="A346" s="1">
        <f t="shared" ca="1" si="5"/>
        <v>13481</v>
      </c>
      <c r="B346" s="21">
        <v>7600</v>
      </c>
      <c r="C346" s="23">
        <v>10</v>
      </c>
    </row>
    <row r="347" spans="1:3" x14ac:dyDescent="0.25">
      <c r="A347" s="1">
        <f t="shared" ca="1" si="5"/>
        <v>13482</v>
      </c>
      <c r="B347" s="21">
        <v>7600</v>
      </c>
      <c r="C347" s="23">
        <v>0</v>
      </c>
    </row>
    <row r="348" spans="1:3" x14ac:dyDescent="0.25">
      <c r="A348" s="1">
        <f t="shared" ca="1" si="5"/>
        <v>13483</v>
      </c>
      <c r="B348" s="21">
        <v>7605</v>
      </c>
      <c r="C348" s="23">
        <v>0</v>
      </c>
    </row>
    <row r="349" spans="1:3" x14ac:dyDescent="0.25">
      <c r="A349" s="1">
        <f t="shared" ca="1" si="5"/>
        <v>13484</v>
      </c>
      <c r="B349" s="21">
        <v>7595</v>
      </c>
      <c r="C349" s="23">
        <v>10</v>
      </c>
    </row>
    <row r="350" spans="1:3" x14ac:dyDescent="0.25">
      <c r="A350" s="1" t="str">
        <f t="shared" ca="1" si="5"/>
        <v>Totaal</v>
      </c>
      <c r="B350" s="22">
        <f>IF(COUNT(B320:B349)&gt;0,AVERAGE(B320:B349)/10,"")</f>
        <v>759.2833333333333</v>
      </c>
      <c r="C350" s="26">
        <f>SUM(C320:C349)/10</f>
        <v>109.7</v>
      </c>
    </row>
    <row r="351" spans="1:3" x14ac:dyDescent="0.25">
      <c r="A351" s="1">
        <f t="shared" ca="1" si="5"/>
        <v>13485</v>
      </c>
      <c r="B351" s="21">
        <v>7605</v>
      </c>
      <c r="C351" s="23">
        <v>10</v>
      </c>
    </row>
    <row r="352" spans="1:3" x14ac:dyDescent="0.25">
      <c r="A352" s="1">
        <f t="shared" ca="1" si="5"/>
        <v>13486</v>
      </c>
      <c r="B352" s="21">
        <v>7600</v>
      </c>
      <c r="C352" s="23">
        <v>53</v>
      </c>
    </row>
    <row r="353" spans="1:3" x14ac:dyDescent="0.25">
      <c r="A353" s="1">
        <f t="shared" ca="1" si="5"/>
        <v>13487</v>
      </c>
      <c r="B353" s="21">
        <v>7590</v>
      </c>
      <c r="C353" s="23">
        <v>0</v>
      </c>
    </row>
    <row r="354" spans="1:3" x14ac:dyDescent="0.25">
      <c r="A354" s="1">
        <f t="shared" ca="1" si="5"/>
        <v>13488</v>
      </c>
      <c r="B354" s="21">
        <v>7620</v>
      </c>
      <c r="C354" s="23">
        <v>16</v>
      </c>
    </row>
    <row r="355" spans="1:3" x14ac:dyDescent="0.25">
      <c r="A355" s="1">
        <f t="shared" ca="1" si="5"/>
        <v>13489</v>
      </c>
      <c r="B355" s="21">
        <v>7615</v>
      </c>
      <c r="C355" s="23">
        <v>0</v>
      </c>
    </row>
    <row r="356" spans="1:3" x14ac:dyDescent="0.25">
      <c r="A356" s="1">
        <f t="shared" ca="1" si="5"/>
        <v>13490</v>
      </c>
      <c r="B356" s="21">
        <v>7615</v>
      </c>
      <c r="C356" s="23">
        <v>0</v>
      </c>
    </row>
    <row r="357" spans="1:3" x14ac:dyDescent="0.25">
      <c r="A357" s="1">
        <f t="shared" ca="1" si="5"/>
        <v>13491</v>
      </c>
      <c r="B357" s="21">
        <v>7615</v>
      </c>
      <c r="C357" s="23">
        <v>0</v>
      </c>
    </row>
    <row r="358" spans="1:3" x14ac:dyDescent="0.25">
      <c r="A358" s="1">
        <f t="shared" ca="1" si="5"/>
        <v>13492</v>
      </c>
      <c r="B358" s="21">
        <v>7590</v>
      </c>
      <c r="C358" s="23">
        <v>6</v>
      </c>
    </row>
    <row r="359" spans="1:3" x14ac:dyDescent="0.25">
      <c r="A359" s="1">
        <f t="shared" ca="1" si="5"/>
        <v>13493</v>
      </c>
      <c r="B359" s="21">
        <v>7610</v>
      </c>
      <c r="C359" s="23">
        <v>0</v>
      </c>
    </row>
    <row r="360" spans="1:3" x14ac:dyDescent="0.25">
      <c r="A360" s="1">
        <f t="shared" ca="1" si="5"/>
        <v>13494</v>
      </c>
      <c r="B360" s="21">
        <v>7595</v>
      </c>
      <c r="C360" s="23">
        <v>16</v>
      </c>
    </row>
    <row r="361" spans="1:3" x14ac:dyDescent="0.25">
      <c r="A361" s="1">
        <f t="shared" ca="1" si="5"/>
        <v>13495</v>
      </c>
      <c r="B361" s="21">
        <v>7635</v>
      </c>
      <c r="C361" s="23">
        <v>0</v>
      </c>
    </row>
    <row r="362" spans="1:3" x14ac:dyDescent="0.25">
      <c r="A362" s="1">
        <f t="shared" ca="1" si="5"/>
        <v>13496</v>
      </c>
      <c r="B362" s="21">
        <v>7635</v>
      </c>
      <c r="C362" s="23">
        <v>68</v>
      </c>
    </row>
    <row r="363" spans="1:3" x14ac:dyDescent="0.25">
      <c r="A363" s="1">
        <f t="shared" ca="1" si="5"/>
        <v>13497</v>
      </c>
      <c r="B363" s="21">
        <v>7625</v>
      </c>
      <c r="C363" s="23">
        <v>0</v>
      </c>
    </row>
    <row r="364" spans="1:3" x14ac:dyDescent="0.25">
      <c r="A364" s="1">
        <f t="shared" ca="1" si="5"/>
        <v>13498</v>
      </c>
      <c r="B364" s="21">
        <v>7620</v>
      </c>
      <c r="C364" s="23">
        <v>0</v>
      </c>
    </row>
    <row r="365" spans="1:3" x14ac:dyDescent="0.25">
      <c r="A365" s="1">
        <f t="shared" ca="1" si="5"/>
        <v>13499</v>
      </c>
      <c r="B365" s="21">
        <v>7630</v>
      </c>
      <c r="C365" s="23">
        <v>0</v>
      </c>
    </row>
    <row r="366" spans="1:3" x14ac:dyDescent="0.25">
      <c r="A366" s="1">
        <f t="shared" ca="1" si="5"/>
        <v>13500</v>
      </c>
      <c r="B366" s="21">
        <v>7630</v>
      </c>
      <c r="C366" s="23">
        <v>0</v>
      </c>
    </row>
    <row r="367" spans="1:3" x14ac:dyDescent="0.25">
      <c r="A367" s="1">
        <f t="shared" ca="1" si="5"/>
        <v>13501</v>
      </c>
      <c r="B367" s="21">
        <v>7625</v>
      </c>
      <c r="C367" s="23">
        <v>20</v>
      </c>
    </row>
    <row r="368" spans="1:3" x14ac:dyDescent="0.25">
      <c r="A368" s="1">
        <f t="shared" ca="1" si="5"/>
        <v>13502</v>
      </c>
      <c r="B368" s="21">
        <v>7620</v>
      </c>
      <c r="C368" s="23">
        <v>0</v>
      </c>
    </row>
    <row r="369" spans="1:3" x14ac:dyDescent="0.25">
      <c r="A369" s="1">
        <f t="shared" ca="1" si="5"/>
        <v>13503</v>
      </c>
      <c r="B369" s="21">
        <v>7620</v>
      </c>
      <c r="C369" s="23">
        <v>0</v>
      </c>
    </row>
    <row r="370" spans="1:3" x14ac:dyDescent="0.25">
      <c r="A370" s="1">
        <f t="shared" ca="1" si="5"/>
        <v>13504</v>
      </c>
      <c r="B370" s="21">
        <v>7625</v>
      </c>
      <c r="C370" s="23">
        <v>0</v>
      </c>
    </row>
    <row r="371" spans="1:3" x14ac:dyDescent="0.25">
      <c r="A371" s="1">
        <f t="shared" ca="1" si="5"/>
        <v>13505</v>
      </c>
      <c r="B371" s="21">
        <v>7620</v>
      </c>
      <c r="C371" s="23">
        <v>33</v>
      </c>
    </row>
    <row r="372" spans="1:3" x14ac:dyDescent="0.25">
      <c r="A372" s="1">
        <f t="shared" ca="1" si="5"/>
        <v>13506</v>
      </c>
      <c r="B372" s="21">
        <v>7600</v>
      </c>
      <c r="C372" s="23">
        <v>0</v>
      </c>
    </row>
    <row r="373" spans="1:3" x14ac:dyDescent="0.25">
      <c r="A373" s="1">
        <f t="shared" ca="1" si="5"/>
        <v>13507</v>
      </c>
      <c r="B373" s="21">
        <v>7605</v>
      </c>
      <c r="C373" s="23">
        <v>0</v>
      </c>
    </row>
    <row r="374" spans="1:3" x14ac:dyDescent="0.25">
      <c r="A374" s="1">
        <f t="shared" ca="1" si="5"/>
        <v>13508</v>
      </c>
      <c r="B374" s="21">
        <v>7600</v>
      </c>
      <c r="C374" s="23">
        <v>0</v>
      </c>
    </row>
    <row r="375" spans="1:3" x14ac:dyDescent="0.25">
      <c r="A375" s="1">
        <f t="shared" ca="1" si="5"/>
        <v>13509</v>
      </c>
      <c r="B375" s="21">
        <v>7605</v>
      </c>
      <c r="C375" s="23">
        <v>0</v>
      </c>
    </row>
    <row r="376" spans="1:3" x14ac:dyDescent="0.25">
      <c r="A376" s="1">
        <f t="shared" ca="1" si="5"/>
        <v>13510</v>
      </c>
      <c r="B376" s="21">
        <v>7620</v>
      </c>
      <c r="C376" s="23">
        <v>0</v>
      </c>
    </row>
    <row r="377" spans="1:3" x14ac:dyDescent="0.25">
      <c r="A377" s="1">
        <f t="shared" ca="1" si="5"/>
        <v>13511</v>
      </c>
      <c r="B377" s="21">
        <v>7600</v>
      </c>
      <c r="C377" s="23">
        <v>0</v>
      </c>
    </row>
    <row r="378" spans="1:3" x14ac:dyDescent="0.25">
      <c r="A378" s="1">
        <f t="shared" ca="1" si="5"/>
        <v>13512</v>
      </c>
      <c r="B378" s="21">
        <v>7605</v>
      </c>
      <c r="C378" s="23">
        <v>0</v>
      </c>
    </row>
    <row r="379" spans="1:3" x14ac:dyDescent="0.25">
      <c r="A379" s="1">
        <f t="shared" ca="1" si="5"/>
        <v>13513</v>
      </c>
      <c r="B379" s="21">
        <v>7595</v>
      </c>
      <c r="C379" s="23">
        <v>25</v>
      </c>
    </row>
    <row r="380" spans="1:3" x14ac:dyDescent="0.25">
      <c r="A380" s="1">
        <f t="shared" ca="1" si="5"/>
        <v>13514</v>
      </c>
      <c r="B380" s="21">
        <v>7590</v>
      </c>
      <c r="C380" s="23">
        <v>0</v>
      </c>
    </row>
    <row r="381" spans="1:3" x14ac:dyDescent="0.25">
      <c r="A381" s="1">
        <f t="shared" ca="1" si="5"/>
        <v>13515</v>
      </c>
      <c r="B381" s="21">
        <v>7585</v>
      </c>
      <c r="C381" s="23">
        <v>0</v>
      </c>
    </row>
    <row r="382" spans="1:3" x14ac:dyDescent="0.25">
      <c r="A382" s="1" t="str">
        <f t="shared" ca="1" si="5"/>
        <v>Totaal</v>
      </c>
      <c r="B382" s="22">
        <f>IF(COUNT(B351:B381)&gt;0,AVERAGE(B351:B381)/10,"")</f>
        <v>761.11290322580646</v>
      </c>
      <c r="C382" s="26">
        <f>SUM(C351:C381)/10</f>
        <v>24.7</v>
      </c>
    </row>
  </sheetData>
  <sheetProtection sheet="1" objects="1" scenarios="1" selectLockedCells="1"/>
  <mergeCells count="2">
    <mergeCell ref="A3:A4"/>
    <mergeCell ref="B3:B4"/>
  </mergeCells>
  <conditionalFormatting sqref="A5:C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19360101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19360102</v>
      </c>
      <c r="C3" s="5">
        <v>1</v>
      </c>
      <c r="D3" s="10">
        <f t="shared" ca="1" si="0"/>
        <v>60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19360103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19360104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19360105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19360106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19360107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19360108</v>
      </c>
      <c r="C9" s="5">
        <v>1</v>
      </c>
      <c r="D9" s="10">
        <f t="shared" ca="1" si="0"/>
        <v>30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19360109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19360110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19360111</v>
      </c>
      <c r="C12" s="5">
        <v>1</v>
      </c>
      <c r="D12" s="10">
        <f t="shared" ca="1" si="0"/>
        <v>40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19360112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19360113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19360114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19360115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19360116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19360117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19360118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19360119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19360120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19360121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19360122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19360123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19360124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19360125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19360126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19360127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19360128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19360129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19360130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19360131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19360201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19360202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19360203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19360204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19360205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19360206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19360207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19360208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19360209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19360210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19360211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19360212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19360213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19360214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19360215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19360216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19360217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19360218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19360219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19360220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19360221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19360222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19360223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19360224</v>
      </c>
      <c r="C56" s="5">
        <v>1</v>
      </c>
      <c r="D56" s="10">
        <f t="shared" ca="1" si="0"/>
        <v>30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19360225</v>
      </c>
      <c r="C57" s="5">
        <v>1</v>
      </c>
      <c r="D57" s="10">
        <f t="shared" ca="1" si="0"/>
        <v>122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19360226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19360227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19360228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19360229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19360301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19360302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19360303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19360304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19360305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19360306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19360307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19360308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19360309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19360310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19360311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19360312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19360313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19360314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19360315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19360316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19360317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19360318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19360319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19360320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19360321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19360322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19360323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19360324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19360325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19360326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19360327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19360328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19360329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19360330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19360331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19360401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19360402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19360403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19360404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19360405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19360406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19360407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19360408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19360409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19360410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19360411</v>
      </c>
      <c r="C103" s="5">
        <v>1</v>
      </c>
      <c r="D103" s="10">
        <f t="shared" ca="1" si="2"/>
        <v>22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19360412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19360413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19360414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19360415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19360416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19360417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19360418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19360419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19360420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19360421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19360422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19360423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19360424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19360425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19360426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19360427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19360428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19360429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19360430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19360501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19360502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19360503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19360504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19360505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19360506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19360507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19360508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19360509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19360510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19360511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19360512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19360513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19360514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19360515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19360516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19360517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19360518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19360519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19360520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19360521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19360522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19360523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19360524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19360525</v>
      </c>
      <c r="C147" s="5">
        <v>1</v>
      </c>
      <c r="D147" s="10">
        <f t="shared" ca="1" si="4"/>
        <v>20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19360526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19360527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19360528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19360529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19360530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19360531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19360601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19360602</v>
      </c>
      <c r="C155" s="5">
        <v>1</v>
      </c>
      <c r="D155" s="10">
        <f t="shared" ca="1" si="4"/>
        <v>30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19360603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19360604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19360605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19360606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19360607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19360608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19360609</v>
      </c>
      <c r="C162" s="5">
        <v>1</v>
      </c>
      <c r="D162" s="10">
        <f t="shared" ca="1" si="4"/>
        <v>68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19360610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19360611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19360612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19360613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19360614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19360615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19360616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19360617</v>
      </c>
      <c r="C170" s="5">
        <v>1</v>
      </c>
      <c r="D170" s="10">
        <f t="shared" ca="1" si="4"/>
        <v>6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19360618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19360619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19360620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19360621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19360622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19360623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19360624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19360625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19360626</v>
      </c>
      <c r="C179" s="5">
        <v>1</v>
      </c>
      <c r="D179" s="10">
        <f t="shared" ca="1" si="4"/>
        <v>5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19360627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19360628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19360629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19360630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19360701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19360702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19360703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19360704</v>
      </c>
      <c r="C187" s="5">
        <v>1</v>
      </c>
      <c r="D187" s="10">
        <f t="shared" ca="1" si="4"/>
        <v>24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19360705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19360706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19360707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19360708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19360709</v>
      </c>
      <c r="C192" s="5">
        <v>1</v>
      </c>
      <c r="D192" s="10">
        <f t="shared" ca="1" si="4"/>
        <v>44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19360710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19360711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19360712</v>
      </c>
      <c r="C195" s="5">
        <v>1</v>
      </c>
      <c r="D195" s="10">
        <f t="shared" ca="1" si="6"/>
        <v>3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19360713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19360714</v>
      </c>
      <c r="C197" s="5">
        <v>1</v>
      </c>
      <c r="D197" s="10">
        <f t="shared" ca="1" si="6"/>
        <v>6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19360715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19360716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19360717</v>
      </c>
      <c r="C200" s="5">
        <v>1</v>
      </c>
      <c r="D200" s="10">
        <f t="shared" ca="1" si="6"/>
        <v>150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19360718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19360719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19360720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19360721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19360722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19360723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19360724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19360725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19360726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19360727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19360728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19360729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19360730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19360731</v>
      </c>
      <c r="C214" s="5">
        <v>1</v>
      </c>
      <c r="D214" s="10">
        <f t="shared" ca="1" si="6"/>
        <v>138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19360801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19360802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19360803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19360804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19360805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19360806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19360807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19360808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19360809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19360810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19360811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19360812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19360813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19360814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19360815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19360816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19360817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19360818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19360819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19360820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19360821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19360822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19360823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19360824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19360825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19360826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19360827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19360828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19360829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19360830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19360831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19360901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19360902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19360903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19360904</v>
      </c>
      <c r="C249" s="5">
        <v>1</v>
      </c>
      <c r="D249" s="10">
        <f t="shared" ca="1" si="6"/>
        <v>4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19360905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19360906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19360907</v>
      </c>
      <c r="C252" s="5">
        <v>1</v>
      </c>
      <c r="D252" s="10">
        <f t="shared" ca="1" si="6"/>
        <v>134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19360908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19360909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19360910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19360911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19360912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19360913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19360914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19360915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19360916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19360917</v>
      </c>
      <c r="C262" s="5">
        <v>1</v>
      </c>
      <c r="D262" s="10">
        <f t="shared" ca="1" si="8"/>
        <v>170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19360918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19360919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19360920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19360921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19360922</v>
      </c>
      <c r="C267" s="5">
        <v>1</v>
      </c>
      <c r="D267" s="10">
        <f t="shared" ca="1" si="8"/>
        <v>28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19360923</v>
      </c>
      <c r="C268" s="5">
        <v>1</v>
      </c>
      <c r="D268" s="10">
        <f t="shared" ca="1" si="8"/>
        <v>70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19360924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19360925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19360926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19360927</v>
      </c>
      <c r="C272" s="5">
        <v>1</v>
      </c>
      <c r="D272" s="10">
        <f t="shared" ca="1" si="8"/>
        <v>6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19360928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19360929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19360930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19361001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19361002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19361003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19361004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19361005</v>
      </c>
      <c r="C280" s="5">
        <v>1</v>
      </c>
      <c r="D280" s="10">
        <f t="shared" ca="1" si="8"/>
        <v>204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19361006</v>
      </c>
      <c r="C281" s="5">
        <v>1</v>
      </c>
      <c r="D281" s="10">
        <f t="shared" ca="1" si="8"/>
        <v>82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19361007</v>
      </c>
      <c r="C282" s="5">
        <v>1</v>
      </c>
      <c r="D282" s="10">
        <f t="shared" ca="1" si="8"/>
        <v>167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19361008</v>
      </c>
      <c r="C283" s="5">
        <v>1</v>
      </c>
      <c r="D283" s="10">
        <f t="shared" ca="1" si="8"/>
        <v>60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19361009</v>
      </c>
      <c r="C284" s="5">
        <v>1</v>
      </c>
      <c r="D284" s="10">
        <f t="shared" ca="1" si="8"/>
        <v>68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19361010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19361011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19361012</v>
      </c>
      <c r="C287" s="5">
        <v>1</v>
      </c>
      <c r="D287" s="10">
        <f t="shared" ca="1" si="8"/>
        <v>105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19361013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19361014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19361015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19361016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19361017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19361018</v>
      </c>
      <c r="C293" s="5">
        <v>1</v>
      </c>
      <c r="D293" s="10">
        <f t="shared" ca="1" si="8"/>
        <v>396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19361019</v>
      </c>
      <c r="C294" s="5">
        <v>1</v>
      </c>
      <c r="D294" s="10">
        <f t="shared" ca="1" si="8"/>
        <v>42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19361020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19361021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19361022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19361023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19361024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19361025</v>
      </c>
      <c r="C300" s="5">
        <v>1</v>
      </c>
      <c r="D300" s="10">
        <f t="shared" ca="1" si="8"/>
        <v>0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19361026</v>
      </c>
      <c r="C301" s="5">
        <v>1</v>
      </c>
      <c r="D301" s="10">
        <f t="shared" ca="1" si="8"/>
        <v>15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19361027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19361028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19361029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19361030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19361031</v>
      </c>
      <c r="C306" s="5">
        <v>1</v>
      </c>
      <c r="D306" s="10">
        <f t="shared" ca="1" si="8"/>
        <v>26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19361101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19361102</v>
      </c>
      <c r="C308" s="5">
        <v>1</v>
      </c>
      <c r="D308" s="10">
        <f t="shared" ca="1" si="8"/>
        <v>48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19361103</v>
      </c>
      <c r="C309" s="5">
        <v>1</v>
      </c>
      <c r="D309" s="10">
        <f t="shared" ca="1" si="8"/>
        <v>109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19361104</v>
      </c>
      <c r="C310" s="5">
        <v>1</v>
      </c>
      <c r="D310" s="10">
        <f t="shared" ca="1" si="8"/>
        <v>352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19361105</v>
      </c>
      <c r="C311" s="5">
        <v>1</v>
      </c>
      <c r="D311" s="10">
        <f t="shared" ca="1" si="8"/>
        <v>18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19361106</v>
      </c>
      <c r="C312" s="5">
        <v>1</v>
      </c>
      <c r="D312" s="10">
        <f t="shared" ca="1" si="8"/>
        <v>5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19361107</v>
      </c>
      <c r="C313" s="5">
        <v>1</v>
      </c>
      <c r="D313" s="10">
        <f t="shared" ca="1" si="8"/>
        <v>90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19361108</v>
      </c>
      <c r="C314" s="5">
        <v>1</v>
      </c>
      <c r="D314" s="10">
        <f t="shared" ca="1" si="8"/>
        <v>0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19361109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19361110</v>
      </c>
      <c r="C316" s="5">
        <v>1</v>
      </c>
      <c r="D316" s="10">
        <f t="shared" ca="1" si="8"/>
        <v>0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19361111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19361112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19361113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19361114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19361115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19361116</v>
      </c>
      <c r="C322" s="5">
        <v>1</v>
      </c>
      <c r="D322" s="10">
        <f t="shared" ref="D322:D367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10</v>
      </c>
      <c r="E322" s="11">
        <f t="shared" ref="E322:E367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19361117</v>
      </c>
      <c r="C323" s="5">
        <v>1</v>
      </c>
      <c r="D323" s="10">
        <f t="shared" ca="1" si="10"/>
        <v>114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19361118</v>
      </c>
      <c r="C324" s="5">
        <v>1</v>
      </c>
      <c r="D324" s="10">
        <f t="shared" ca="1" si="10"/>
        <v>161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19361119</v>
      </c>
      <c r="C325" s="5">
        <v>1</v>
      </c>
      <c r="D325" s="10">
        <f t="shared" ca="1" si="10"/>
        <v>82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19361120</v>
      </c>
      <c r="C326" s="5">
        <v>1</v>
      </c>
      <c r="D326" s="10">
        <f t="shared" ca="1" si="10"/>
        <v>2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19361121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19361122</v>
      </c>
      <c r="C328" s="5">
        <v>1</v>
      </c>
      <c r="D328" s="10">
        <f t="shared" ca="1" si="10"/>
        <v>0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19361123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19361124</v>
      </c>
      <c r="C330" s="5">
        <v>1</v>
      </c>
      <c r="D330" s="10">
        <f t="shared" ca="1" si="10"/>
        <v>10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19361125</v>
      </c>
      <c r="C331" s="5">
        <v>1</v>
      </c>
      <c r="D331" s="10">
        <f t="shared" ca="1" si="10"/>
        <v>48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19361126</v>
      </c>
      <c r="C332" s="5">
        <v>1</v>
      </c>
      <c r="D332" s="10">
        <f t="shared" ca="1" si="10"/>
        <v>28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19361127</v>
      </c>
      <c r="C333" s="5">
        <v>1</v>
      </c>
      <c r="D333" s="10">
        <f t="shared" ca="1" si="10"/>
        <v>10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19361128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19361129</v>
      </c>
      <c r="C335" s="5">
        <v>1</v>
      </c>
      <c r="D335" s="10">
        <f t="shared" ca="1" si="10"/>
        <v>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19361130</v>
      </c>
      <c r="C336" s="5">
        <v>1</v>
      </c>
      <c r="D336" s="10">
        <f t="shared" ca="1" si="10"/>
        <v>10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19361201</v>
      </c>
      <c r="C337" s="5">
        <v>1</v>
      </c>
      <c r="D337" s="10">
        <f t="shared" ca="1" si="10"/>
        <v>10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19361202</v>
      </c>
      <c r="C338" s="5">
        <v>1</v>
      </c>
      <c r="D338" s="10">
        <f t="shared" ca="1" si="10"/>
        <v>53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19361203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19361204</v>
      </c>
      <c r="C340" s="5">
        <v>1</v>
      </c>
      <c r="D340" s="10">
        <f t="shared" ca="1" si="10"/>
        <v>16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19361205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19361206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19361207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19361208</v>
      </c>
      <c r="C344" s="5">
        <v>1</v>
      </c>
      <c r="D344" s="10">
        <f t="shared" ca="1" si="10"/>
        <v>6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19361209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19361210</v>
      </c>
      <c r="C346" s="5">
        <v>1</v>
      </c>
      <c r="D346" s="10">
        <f t="shared" ca="1" si="10"/>
        <v>16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19361211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19361212</v>
      </c>
      <c r="C348" s="5">
        <v>1</v>
      </c>
      <c r="D348" s="10">
        <f t="shared" ca="1" si="10"/>
        <v>68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19361213</v>
      </c>
      <c r="C349" s="5">
        <v>1</v>
      </c>
      <c r="D349" s="10">
        <f t="shared" ca="1" si="10"/>
        <v>0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19361214</v>
      </c>
      <c r="C350" s="5">
        <v>1</v>
      </c>
      <c r="D350" s="10">
        <f t="shared" ca="1" si="10"/>
        <v>0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19361215</v>
      </c>
      <c r="C351" s="5">
        <v>1</v>
      </c>
      <c r="D351" s="10">
        <f t="shared" ca="1" si="10"/>
        <v>0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19361216</v>
      </c>
      <c r="C352" s="5">
        <v>1</v>
      </c>
      <c r="D352" s="10">
        <f t="shared" ca="1" si="10"/>
        <v>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19361217</v>
      </c>
      <c r="C353" s="5">
        <v>1</v>
      </c>
      <c r="D353" s="10">
        <f t="shared" ca="1" si="10"/>
        <v>20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19361218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19361219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19361220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19361221</v>
      </c>
      <c r="C357" s="5">
        <v>1</v>
      </c>
      <c r="D357" s="10">
        <f t="shared" ca="1" si="10"/>
        <v>33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19361222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19361223</v>
      </c>
      <c r="C359" s="5">
        <v>1</v>
      </c>
      <c r="D359" s="10">
        <f t="shared" ca="1" si="10"/>
        <v>0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19361224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19361225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19361226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19361227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19361228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19361229</v>
      </c>
      <c r="C365" s="5">
        <v>1</v>
      </c>
      <c r="D365" s="10">
        <f t="shared" ca="1" si="10"/>
        <v>25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19361230</v>
      </c>
      <c r="C366" s="5">
        <v>1</v>
      </c>
      <c r="D366" s="10">
        <f t="shared" ca="1" si="10"/>
        <v>0</v>
      </c>
      <c r="E366" s="11">
        <f t="shared" ca="1" si="11"/>
        <v>0</v>
      </c>
    </row>
    <row r="367" spans="1:5" x14ac:dyDescent="0.25">
      <c r="A367" s="4">
        <f ca="1">INDEX(Stations,INT((ROWS(A$2:A367)-1)/(DATE(YEAR(Invoer!$A$5),12,31)-DATE(YEAR(Invoer!$A$5),1,1)+1))+2,1)</f>
        <v>32</v>
      </c>
      <c r="B367" t="str">
        <f ca="1">TEXT(DATE(YEAR(Invoer!$A$5),1,1)+MOD(ROWS(B$2:B367)-1,DATE(YEAR(Invoer!$A$5),12,31)-DATE(YEAR(Invoer!$A$5),1,1)+1),"jjjjmmdd")</f>
        <v>19361231</v>
      </c>
      <c r="C367" s="5">
        <v>1</v>
      </c>
      <c r="D367" s="10">
        <f t="shared" ca="1" si="10"/>
        <v>0</v>
      </c>
      <c r="E367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7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19360101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760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19360102</v>
      </c>
      <c r="C3" s="18">
        <f t="shared" ca="1" si="1"/>
        <v>761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19360103</v>
      </c>
      <c r="C4" s="18">
        <f t="shared" ca="1" si="1"/>
        <v>760.5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19360104</v>
      </c>
      <c r="C5" s="18">
        <f t="shared" ca="1" si="1"/>
        <v>760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19360105</v>
      </c>
      <c r="C6" s="18">
        <f t="shared" ca="1" si="1"/>
        <v>761.5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19360106</v>
      </c>
      <c r="C7" s="18">
        <f t="shared" ca="1" si="1"/>
        <v>760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19360107</v>
      </c>
      <c r="C8" s="18">
        <f t="shared" ca="1" si="1"/>
        <v>761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19360108</v>
      </c>
      <c r="C9" s="18">
        <f t="shared" ca="1" si="1"/>
        <v>760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19360109</v>
      </c>
      <c r="C10" s="18">
        <f t="shared" ca="1" si="1"/>
        <v>760.5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19360110</v>
      </c>
      <c r="C11" s="18">
        <f t="shared" ca="1" si="1"/>
        <v>760.5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19360111</v>
      </c>
      <c r="C12" s="18">
        <f t="shared" ca="1" si="1"/>
        <v>761.5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19360112</v>
      </c>
      <c r="C13" s="18">
        <f t="shared" ca="1" si="1"/>
        <v>761.5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19360113</v>
      </c>
      <c r="C14" s="18">
        <f t="shared" ca="1" si="1"/>
        <v>760.5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19360114</v>
      </c>
      <c r="C15" s="18">
        <f t="shared" ca="1" si="1"/>
        <v>760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19360115</v>
      </c>
      <c r="C16" s="18">
        <f t="shared" ca="1" si="1"/>
        <v>760.5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19360116</v>
      </c>
      <c r="C17" s="18">
        <f t="shared" ca="1" si="1"/>
        <v>760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19360117</v>
      </c>
      <c r="C18" s="18">
        <f t="shared" ca="1" si="1"/>
        <v>760.5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19360118</v>
      </c>
      <c r="C19" s="18">
        <f t="shared" ca="1" si="1"/>
        <v>759.5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19360119</v>
      </c>
      <c r="C20" s="18">
        <f t="shared" ca="1" si="1"/>
        <v>759.5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19360120</v>
      </c>
      <c r="C21" s="18">
        <f t="shared" ca="1" si="1"/>
        <v>760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19360121</v>
      </c>
      <c r="C22" s="18">
        <f t="shared" ca="1" si="1"/>
        <v>761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19360122</v>
      </c>
      <c r="C23" s="18">
        <f t="shared" ca="1" si="1"/>
        <v>758.5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19360123</v>
      </c>
      <c r="C24" s="18">
        <f t="shared" ca="1" si="1"/>
        <v>759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19360124</v>
      </c>
      <c r="C25" s="18">
        <f t="shared" ca="1" si="1"/>
        <v>759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19360125</v>
      </c>
      <c r="C26" s="18">
        <f t="shared" ca="1" si="1"/>
        <v>760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19360126</v>
      </c>
      <c r="C27" s="18">
        <f t="shared" ca="1" si="1"/>
        <v>760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19360127</v>
      </c>
      <c r="C28" s="18">
        <f t="shared" ca="1" si="1"/>
        <v>759.5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19360128</v>
      </c>
      <c r="C29" s="18">
        <f t="shared" ca="1" si="1"/>
        <v>760.5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19360129</v>
      </c>
      <c r="C30" s="18">
        <f t="shared" ca="1" si="1"/>
        <v>761.5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19360130</v>
      </c>
      <c r="C31" s="18">
        <f t="shared" ca="1" si="1"/>
        <v>760.5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19360131</v>
      </c>
      <c r="C32" s="18">
        <f t="shared" ca="1" si="1"/>
        <v>760.5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19360201</v>
      </c>
      <c r="C33" s="18">
        <f t="shared" ca="1" si="1"/>
        <v>760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19360202</v>
      </c>
      <c r="C34" s="18">
        <f t="shared" ca="1" si="1"/>
        <v>760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19360203</v>
      </c>
      <c r="C35" s="18">
        <f t="shared" ca="1" si="1"/>
        <v>760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19360204</v>
      </c>
      <c r="C36" s="18">
        <f t="shared" ca="1" si="1"/>
        <v>759.5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19360205</v>
      </c>
      <c r="C37" s="18">
        <f t="shared" ca="1" si="1"/>
        <v>760.5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19360206</v>
      </c>
      <c r="C38" s="18">
        <f t="shared" ca="1" si="1"/>
        <v>761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19360207</v>
      </c>
      <c r="C39" s="18">
        <f t="shared" ca="1" si="1"/>
        <v>760.5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19360208</v>
      </c>
      <c r="C40" s="18">
        <f t="shared" ca="1" si="1"/>
        <v>762.5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19360209</v>
      </c>
      <c r="C41" s="18">
        <f t="shared" ca="1" si="1"/>
        <v>763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19360210</v>
      </c>
      <c r="C42" s="18">
        <f t="shared" ca="1" si="1"/>
        <v>762.5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19360211</v>
      </c>
      <c r="C43" s="18">
        <f t="shared" ca="1" si="1"/>
        <v>763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19360212</v>
      </c>
      <c r="C44" s="18">
        <f t="shared" ca="1" si="1"/>
        <v>762.5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19360213</v>
      </c>
      <c r="C45" s="18">
        <f t="shared" ca="1" si="1"/>
        <v>762.5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19360214</v>
      </c>
      <c r="C46" s="18">
        <f t="shared" ca="1" si="1"/>
        <v>762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19360215</v>
      </c>
      <c r="C47" s="18">
        <f t="shared" ca="1" si="1"/>
        <v>760.5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19360216</v>
      </c>
      <c r="C48" s="18">
        <f t="shared" ca="1" si="1"/>
        <v>760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19360217</v>
      </c>
      <c r="C49" s="18">
        <f t="shared" ca="1" si="1"/>
        <v>761.5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19360218</v>
      </c>
      <c r="C50" s="18">
        <f t="shared" ca="1" si="1"/>
        <v>760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19360219</v>
      </c>
      <c r="C51" s="18">
        <f t="shared" ca="1" si="1"/>
        <v>762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19360220</v>
      </c>
      <c r="C52" s="18">
        <f t="shared" ca="1" si="1"/>
        <v>762.5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19360221</v>
      </c>
      <c r="C53" s="18">
        <f t="shared" ca="1" si="1"/>
        <v>762.5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19360222</v>
      </c>
      <c r="C54" s="18">
        <f t="shared" ca="1" si="1"/>
        <v>763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19360223</v>
      </c>
      <c r="C55" s="18">
        <f t="shared" ca="1" si="1"/>
        <v>763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19360224</v>
      </c>
      <c r="C56" s="18">
        <f t="shared" ca="1" si="1"/>
        <v>763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19360225</v>
      </c>
      <c r="C57" s="18">
        <f t="shared" ca="1" si="1"/>
        <v>762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19360226</v>
      </c>
      <c r="C58" s="18">
        <f t="shared" ca="1" si="1"/>
        <v>762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19360227</v>
      </c>
      <c r="C59" s="18">
        <f t="shared" ca="1" si="1"/>
        <v>761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19360228</v>
      </c>
      <c r="C60" s="18">
        <f t="shared" ca="1" si="1"/>
        <v>762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19360229</v>
      </c>
      <c r="C61" s="18">
        <f t="shared" ca="1" si="1"/>
        <v>762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19360301</v>
      </c>
      <c r="C62" s="18">
        <f t="shared" ca="1" si="1"/>
        <v>762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19360302</v>
      </c>
      <c r="C63" s="18">
        <f t="shared" ca="1" si="1"/>
        <v>760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19360303</v>
      </c>
      <c r="C64" s="18">
        <f t="shared" ca="1" si="1"/>
        <v>760.5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19360304</v>
      </c>
      <c r="C65" s="18">
        <f t="shared" ca="1" si="1"/>
        <v>760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19360305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760.5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19360306</v>
      </c>
      <c r="C67" s="18">
        <f t="shared" ca="1" si="4"/>
        <v>760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19360307</v>
      </c>
      <c r="C68" s="18">
        <f t="shared" ca="1" si="4"/>
        <v>762.5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19360308</v>
      </c>
      <c r="C69" s="18">
        <f t="shared" ca="1" si="4"/>
        <v>760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19360309</v>
      </c>
      <c r="C70" s="18">
        <f t="shared" ca="1" si="4"/>
        <v>760.5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19360310</v>
      </c>
      <c r="C71" s="18">
        <f t="shared" ca="1" si="4"/>
        <v>761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19360311</v>
      </c>
      <c r="C72" s="18">
        <f t="shared" ca="1" si="4"/>
        <v>760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19360312</v>
      </c>
      <c r="C73" s="18">
        <f t="shared" ca="1" si="4"/>
        <v>763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19360313</v>
      </c>
      <c r="C74" s="18">
        <f t="shared" ca="1" si="4"/>
        <v>762.5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19360314</v>
      </c>
      <c r="C75" s="18">
        <f t="shared" ca="1" si="4"/>
        <v>762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19360315</v>
      </c>
      <c r="C76" s="18">
        <f t="shared" ca="1" si="4"/>
        <v>760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19360316</v>
      </c>
      <c r="C77" s="18">
        <f t="shared" ca="1" si="4"/>
        <v>760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19360317</v>
      </c>
      <c r="C78" s="18">
        <f t="shared" ca="1" si="4"/>
        <v>759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19360318</v>
      </c>
      <c r="C79" s="18">
        <f t="shared" ca="1" si="4"/>
        <v>759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19360319</v>
      </c>
      <c r="C80" s="18">
        <f t="shared" ca="1" si="4"/>
        <v>759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19360320</v>
      </c>
      <c r="C81" s="18">
        <f t="shared" ca="1" si="4"/>
        <v>759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19360321</v>
      </c>
      <c r="C82" s="18">
        <f t="shared" ca="1" si="4"/>
        <v>759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19360322</v>
      </c>
      <c r="C83" s="18">
        <f t="shared" ca="1" si="4"/>
        <v>759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19360323</v>
      </c>
      <c r="C84" s="18">
        <f t="shared" ca="1" si="4"/>
        <v>759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19360324</v>
      </c>
      <c r="C85" s="18">
        <f t="shared" ca="1" si="4"/>
        <v>759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19360325</v>
      </c>
      <c r="C86" s="18">
        <f t="shared" ca="1" si="4"/>
        <v>759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19360326</v>
      </c>
      <c r="C87" s="18">
        <f t="shared" ca="1" si="4"/>
        <v>759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19360327</v>
      </c>
      <c r="C88" s="18">
        <f t="shared" ca="1" si="4"/>
        <v>759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19360328</v>
      </c>
      <c r="C89" s="18" t="str">
        <f t="shared" ca="1" si="4"/>
        <v>—</v>
      </c>
      <c r="D89" s="17">
        <f t="shared" ca="1" si="5"/>
        <v>7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19360329</v>
      </c>
      <c r="C90" s="18" t="str">
        <f t="shared" ca="1" si="4"/>
        <v>—</v>
      </c>
      <c r="D90" s="17">
        <f t="shared" ca="1" si="5"/>
        <v>7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19360330</v>
      </c>
      <c r="C91" s="18" t="str">
        <f t="shared" ca="1" si="4"/>
        <v>—</v>
      </c>
      <c r="D91" s="17">
        <f t="shared" ca="1" si="5"/>
        <v>7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19360331</v>
      </c>
      <c r="C92" s="18" t="str">
        <f t="shared" ca="1" si="4"/>
        <v>—</v>
      </c>
      <c r="D92" s="17">
        <f t="shared" ca="1" si="5"/>
        <v>7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19360401</v>
      </c>
      <c r="C93" s="18" t="str">
        <f t="shared" ca="1" si="4"/>
        <v>—</v>
      </c>
      <c r="D93" s="17">
        <f t="shared" ca="1" si="5"/>
        <v>7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19360402</v>
      </c>
      <c r="C94" s="18" t="str">
        <f t="shared" ca="1" si="4"/>
        <v>—</v>
      </c>
      <c r="D94" s="17">
        <f t="shared" ca="1" si="5"/>
        <v>7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19360403</v>
      </c>
      <c r="C95" s="18" t="str">
        <f t="shared" ca="1" si="4"/>
        <v>—</v>
      </c>
      <c r="D95" s="17">
        <f t="shared" ca="1" si="5"/>
        <v>7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19360404</v>
      </c>
      <c r="C96" s="18" t="str">
        <f t="shared" ca="1" si="4"/>
        <v>—</v>
      </c>
      <c r="D96" s="17">
        <f t="shared" ca="1" si="5"/>
        <v>7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19360405</v>
      </c>
      <c r="C97" s="18" t="str">
        <f t="shared" ca="1" si="4"/>
        <v>—</v>
      </c>
      <c r="D97" s="17">
        <f t="shared" ca="1" si="5"/>
        <v>7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19360406</v>
      </c>
      <c r="C98" s="18" t="str">
        <f t="shared" ca="1" si="4"/>
        <v>—</v>
      </c>
      <c r="D98" s="17">
        <f t="shared" ca="1" si="5"/>
        <v>7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19360407</v>
      </c>
      <c r="C99" s="18" t="str">
        <f t="shared" ca="1" si="4"/>
        <v>—</v>
      </c>
      <c r="D99" s="17">
        <f t="shared" ca="1" si="5"/>
        <v>7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19360408</v>
      </c>
      <c r="C100" s="18" t="str">
        <f t="shared" ca="1" si="4"/>
        <v>—</v>
      </c>
      <c r="D100" s="17">
        <f t="shared" ca="1" si="5"/>
        <v>7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19360409</v>
      </c>
      <c r="C101" s="18" t="str">
        <f t="shared" ca="1" si="4"/>
        <v>—</v>
      </c>
      <c r="D101" s="17">
        <f t="shared" ca="1" si="5"/>
        <v>7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19360410</v>
      </c>
      <c r="C102" s="18" t="str">
        <f t="shared" ca="1" si="4"/>
        <v>—</v>
      </c>
      <c r="D102" s="17">
        <f t="shared" ca="1" si="5"/>
        <v>7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19360411</v>
      </c>
      <c r="C103" s="18" t="str">
        <f t="shared" ca="1" si="4"/>
        <v>—</v>
      </c>
      <c r="D103" s="17">
        <f t="shared" ca="1" si="5"/>
        <v>7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19360412</v>
      </c>
      <c r="C104" s="18" t="str">
        <f t="shared" ca="1" si="4"/>
        <v>—</v>
      </c>
      <c r="D104" s="17">
        <f t="shared" ca="1" si="5"/>
        <v>7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19360413</v>
      </c>
      <c r="C105" s="18" t="str">
        <f t="shared" ca="1" si="4"/>
        <v>—</v>
      </c>
      <c r="D105" s="17">
        <f t="shared" ca="1" si="5"/>
        <v>7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19360414</v>
      </c>
      <c r="C106" s="18" t="str">
        <f t="shared" ca="1" si="4"/>
        <v>—</v>
      </c>
      <c r="D106" s="17">
        <f t="shared" ca="1" si="5"/>
        <v>7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19360415</v>
      </c>
      <c r="C107" s="18" t="str">
        <f t="shared" ca="1" si="4"/>
        <v>—</v>
      </c>
      <c r="D107" s="17">
        <f t="shared" ca="1" si="5"/>
        <v>7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19360416</v>
      </c>
      <c r="C108" s="18" t="str">
        <f t="shared" ca="1" si="4"/>
        <v>—</v>
      </c>
      <c r="D108" s="17">
        <f t="shared" ca="1" si="5"/>
        <v>7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19360417</v>
      </c>
      <c r="C109" s="18" t="str">
        <f t="shared" ca="1" si="4"/>
        <v>—</v>
      </c>
      <c r="D109" s="17">
        <f t="shared" ca="1" si="5"/>
        <v>7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19360418</v>
      </c>
      <c r="C110" s="18" t="str">
        <f t="shared" ca="1" si="4"/>
        <v>—</v>
      </c>
      <c r="D110" s="17">
        <f t="shared" ca="1" si="5"/>
        <v>7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19360419</v>
      </c>
      <c r="C111" s="18" t="str">
        <f t="shared" ca="1" si="4"/>
        <v>—</v>
      </c>
      <c r="D111" s="17">
        <f t="shared" ca="1" si="5"/>
        <v>7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19360420</v>
      </c>
      <c r="C112" s="18" t="str">
        <f t="shared" ca="1" si="4"/>
        <v>—</v>
      </c>
      <c r="D112" s="17">
        <f t="shared" ca="1" si="5"/>
        <v>7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19360421</v>
      </c>
      <c r="C113" s="18" t="str">
        <f t="shared" ca="1" si="4"/>
        <v>—</v>
      </c>
      <c r="D113" s="17">
        <f t="shared" ca="1" si="5"/>
        <v>7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19360422</v>
      </c>
      <c r="C114" s="18" t="str">
        <f t="shared" ca="1" si="4"/>
        <v>—</v>
      </c>
      <c r="D114" s="17">
        <f t="shared" ca="1" si="5"/>
        <v>7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19360423</v>
      </c>
      <c r="C115" s="18" t="str">
        <f t="shared" ca="1" si="4"/>
        <v>—</v>
      </c>
      <c r="D115" s="17">
        <f t="shared" ca="1" si="5"/>
        <v>7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19360424</v>
      </c>
      <c r="C116" s="18" t="str">
        <f t="shared" ca="1" si="4"/>
        <v>—</v>
      </c>
      <c r="D116" s="17">
        <f t="shared" ca="1" si="5"/>
        <v>7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19360425</v>
      </c>
      <c r="C117" s="18" t="str">
        <f t="shared" ca="1" si="4"/>
        <v>—</v>
      </c>
      <c r="D117" s="17">
        <f t="shared" ca="1" si="5"/>
        <v>7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19360426</v>
      </c>
      <c r="C118" s="18" t="str">
        <f t="shared" ca="1" si="4"/>
        <v>—</v>
      </c>
      <c r="D118" s="17">
        <f t="shared" ca="1" si="5"/>
        <v>7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19360427</v>
      </c>
      <c r="C119" s="18" t="str">
        <f t="shared" ca="1" si="4"/>
        <v>—</v>
      </c>
      <c r="D119" s="17">
        <f t="shared" ca="1" si="5"/>
        <v>7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19360428</v>
      </c>
      <c r="C120" s="18" t="str">
        <f t="shared" ca="1" si="4"/>
        <v>—</v>
      </c>
      <c r="D120" s="17">
        <f t="shared" ca="1" si="5"/>
        <v>7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19360429</v>
      </c>
      <c r="C121" s="18" t="str">
        <f t="shared" ca="1" si="4"/>
        <v>—</v>
      </c>
      <c r="D121" s="17">
        <f t="shared" ca="1" si="5"/>
        <v>7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19360430</v>
      </c>
      <c r="C122" s="18" t="str">
        <f t="shared" ca="1" si="4"/>
        <v>—</v>
      </c>
      <c r="D122" s="17">
        <f t="shared" ca="1" si="5"/>
        <v>7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19360501</v>
      </c>
      <c r="C123" s="18" t="str">
        <f t="shared" ca="1" si="4"/>
        <v>—</v>
      </c>
      <c r="D123" s="17">
        <f t="shared" ca="1" si="5"/>
        <v>7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19360502</v>
      </c>
      <c r="C124" s="18" t="str">
        <f t="shared" ca="1" si="4"/>
        <v>—</v>
      </c>
      <c r="D124" s="17">
        <f t="shared" ca="1" si="5"/>
        <v>7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19360503</v>
      </c>
      <c r="C125" s="18" t="str">
        <f t="shared" ca="1" si="4"/>
        <v>—</v>
      </c>
      <c r="D125" s="17">
        <f t="shared" ca="1" si="5"/>
        <v>7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19360504</v>
      </c>
      <c r="C126" s="18" t="str">
        <f t="shared" ca="1" si="4"/>
        <v>—</v>
      </c>
      <c r="D126" s="17">
        <f t="shared" ca="1" si="5"/>
        <v>7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19360505</v>
      </c>
      <c r="C127" s="18" t="str">
        <f t="shared" ca="1" si="4"/>
        <v>—</v>
      </c>
      <c r="D127" s="17">
        <f t="shared" ca="1" si="5"/>
        <v>7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19360506</v>
      </c>
      <c r="C128" s="18">
        <f t="shared" ca="1" si="4"/>
        <v>760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19360507</v>
      </c>
      <c r="C129" s="18">
        <f t="shared" ca="1" si="4"/>
        <v>759.5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19360508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758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19360509</v>
      </c>
      <c r="C131" s="18">
        <f t="shared" ca="1" si="7"/>
        <v>760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19360510</v>
      </c>
      <c r="C132" s="18">
        <f t="shared" ca="1" si="7"/>
        <v>760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19360511</v>
      </c>
      <c r="C133" s="18">
        <f t="shared" ca="1" si="7"/>
        <v>759.5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19360512</v>
      </c>
      <c r="C134" s="18">
        <f t="shared" ca="1" si="7"/>
        <v>758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19360513</v>
      </c>
      <c r="C135" s="18">
        <f t="shared" ca="1" si="7"/>
        <v>758.5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19360514</v>
      </c>
      <c r="C136" s="18">
        <f t="shared" ca="1" si="7"/>
        <v>759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19360515</v>
      </c>
      <c r="C137" s="18">
        <f t="shared" ca="1" si="7"/>
        <v>758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19360516</v>
      </c>
      <c r="C138" s="18">
        <f t="shared" ca="1" si="7"/>
        <v>758.5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19360517</v>
      </c>
      <c r="C139" s="18">
        <f t="shared" ca="1" si="7"/>
        <v>759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19360518</v>
      </c>
      <c r="C140" s="18">
        <f t="shared" ca="1" si="7"/>
        <v>760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19360519</v>
      </c>
      <c r="C141" s="18">
        <f t="shared" ca="1" si="7"/>
        <v>758.5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19360520</v>
      </c>
      <c r="C142" s="18">
        <f t="shared" ca="1" si="7"/>
        <v>757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19360521</v>
      </c>
      <c r="C143" s="18">
        <f t="shared" ca="1" si="7"/>
        <v>758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19360522</v>
      </c>
      <c r="C144" s="18">
        <f t="shared" ca="1" si="7"/>
        <v>759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19360523</v>
      </c>
      <c r="C145" s="18">
        <f t="shared" ca="1" si="7"/>
        <v>758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19360524</v>
      </c>
      <c r="C146" s="18">
        <f t="shared" ca="1" si="7"/>
        <v>757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19360525</v>
      </c>
      <c r="C147" s="18">
        <f t="shared" ca="1" si="7"/>
        <v>757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19360526</v>
      </c>
      <c r="C148" s="18">
        <f t="shared" ca="1" si="7"/>
        <v>759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19360527</v>
      </c>
      <c r="C149" s="18">
        <f t="shared" ca="1" si="7"/>
        <v>757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19360528</v>
      </c>
      <c r="C150" s="18">
        <f t="shared" ca="1" si="7"/>
        <v>759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19360529</v>
      </c>
      <c r="C151" s="18">
        <f t="shared" ca="1" si="7"/>
        <v>760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19360530</v>
      </c>
      <c r="C152" s="18">
        <f t="shared" ca="1" si="7"/>
        <v>760.5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19360531</v>
      </c>
      <c r="C153" s="18">
        <f t="shared" ca="1" si="7"/>
        <v>761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19360601</v>
      </c>
      <c r="C154" s="18">
        <f t="shared" ca="1" si="7"/>
        <v>761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19360602</v>
      </c>
      <c r="C155" s="18">
        <f t="shared" ca="1" si="7"/>
        <v>761.5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19360603</v>
      </c>
      <c r="C156" s="18">
        <f t="shared" ca="1" si="7"/>
        <v>759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19360604</v>
      </c>
      <c r="C157" s="18">
        <f t="shared" ca="1" si="7"/>
        <v>759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19360605</v>
      </c>
      <c r="C158" s="18">
        <f t="shared" ca="1" si="7"/>
        <v>759.5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19360606</v>
      </c>
      <c r="C159" s="18">
        <f t="shared" ca="1" si="7"/>
        <v>759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19360607</v>
      </c>
      <c r="C160" s="18">
        <f t="shared" ca="1" si="7"/>
        <v>759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19360608</v>
      </c>
      <c r="C161" s="18">
        <f t="shared" ca="1" si="7"/>
        <v>758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19360609</v>
      </c>
      <c r="C162" s="18">
        <f t="shared" ca="1" si="7"/>
        <v>758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19360610</v>
      </c>
      <c r="C163" s="18">
        <f t="shared" ca="1" si="7"/>
        <v>758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19360611</v>
      </c>
      <c r="C164" s="18">
        <f t="shared" ca="1" si="7"/>
        <v>759.5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19360612</v>
      </c>
      <c r="C165" s="18">
        <f t="shared" ca="1" si="7"/>
        <v>758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19360613</v>
      </c>
      <c r="C166" s="18">
        <f t="shared" ca="1" si="7"/>
        <v>758.5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19360614</v>
      </c>
      <c r="C167" s="18">
        <f t="shared" ca="1" si="7"/>
        <v>758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19360615</v>
      </c>
      <c r="C168" s="18">
        <f t="shared" ca="1" si="7"/>
        <v>759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19360616</v>
      </c>
      <c r="C169" s="18">
        <f t="shared" ca="1" si="7"/>
        <v>758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19360617</v>
      </c>
      <c r="C170" s="18">
        <f t="shared" ca="1" si="7"/>
        <v>761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19360618</v>
      </c>
      <c r="C171" s="18">
        <f t="shared" ca="1" si="7"/>
        <v>761.5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19360619</v>
      </c>
      <c r="C172" s="18">
        <f t="shared" ca="1" si="7"/>
        <v>760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19360620</v>
      </c>
      <c r="C173" s="18">
        <f t="shared" ca="1" si="7"/>
        <v>760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19360621</v>
      </c>
      <c r="C174" s="18">
        <f t="shared" ca="1" si="7"/>
        <v>761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19360622</v>
      </c>
      <c r="C175" s="18">
        <f t="shared" ca="1" si="7"/>
        <v>761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19360623</v>
      </c>
      <c r="C176" s="18">
        <f t="shared" ca="1" si="7"/>
        <v>761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19360624</v>
      </c>
      <c r="C177" s="18">
        <f t="shared" ca="1" si="7"/>
        <v>760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19360625</v>
      </c>
      <c r="C178" s="18">
        <f t="shared" ca="1" si="7"/>
        <v>759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19360626</v>
      </c>
      <c r="C179" s="18">
        <f t="shared" ca="1" si="7"/>
        <v>759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19360627</v>
      </c>
      <c r="C180" s="18">
        <f t="shared" ca="1" si="7"/>
        <v>759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19360628</v>
      </c>
      <c r="C181" s="18">
        <f t="shared" ca="1" si="7"/>
        <v>761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19360629</v>
      </c>
      <c r="C182" s="18">
        <f t="shared" ca="1" si="7"/>
        <v>760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19360630</v>
      </c>
      <c r="C183" s="18">
        <f t="shared" ca="1" si="7"/>
        <v>761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19360701</v>
      </c>
      <c r="C184" s="18">
        <f t="shared" ca="1" si="7"/>
        <v>760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19360702</v>
      </c>
      <c r="C185" s="18">
        <f t="shared" ca="1" si="7"/>
        <v>761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19360703</v>
      </c>
      <c r="C186" s="18">
        <f t="shared" ca="1" si="7"/>
        <v>760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19360704</v>
      </c>
      <c r="C187" s="18">
        <f t="shared" ca="1" si="7"/>
        <v>759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19360705</v>
      </c>
      <c r="C188" s="18">
        <f t="shared" ca="1" si="7"/>
        <v>760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19360706</v>
      </c>
      <c r="C189" s="18">
        <f t="shared" ca="1" si="7"/>
        <v>760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19360707</v>
      </c>
      <c r="C190" s="18">
        <f t="shared" ca="1" si="7"/>
        <v>761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19360708</v>
      </c>
      <c r="C191" s="18">
        <f t="shared" ca="1" si="7"/>
        <v>760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19360709</v>
      </c>
      <c r="C192" s="18">
        <f t="shared" ca="1" si="7"/>
        <v>762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19360710</v>
      </c>
      <c r="C193" s="18">
        <f t="shared" ca="1" si="7"/>
        <v>761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19360711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761.5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19360712</v>
      </c>
      <c r="C195" s="18">
        <f t="shared" ca="1" si="10"/>
        <v>761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19360713</v>
      </c>
      <c r="C196" s="18">
        <f t="shared" ca="1" si="10"/>
        <v>760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19360714</v>
      </c>
      <c r="C197" s="18">
        <f t="shared" ca="1" si="10"/>
        <v>760.5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19360715</v>
      </c>
      <c r="C198" s="18">
        <f t="shared" ca="1" si="10"/>
        <v>759.5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19360716</v>
      </c>
      <c r="C199" s="18">
        <f t="shared" ca="1" si="10"/>
        <v>760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19360717</v>
      </c>
      <c r="C200" s="18">
        <f t="shared" ca="1" si="10"/>
        <v>760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19360718</v>
      </c>
      <c r="C201" s="18">
        <f t="shared" ca="1" si="10"/>
        <v>761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19360719</v>
      </c>
      <c r="C202" s="18">
        <f t="shared" ca="1" si="10"/>
        <v>761.5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19360720</v>
      </c>
      <c r="C203" s="18">
        <f t="shared" ca="1" si="10"/>
        <v>760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19360721</v>
      </c>
      <c r="C204" s="18">
        <f t="shared" ca="1" si="10"/>
        <v>760.5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19360722</v>
      </c>
      <c r="C205" s="18">
        <f t="shared" ca="1" si="10"/>
        <v>761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19360723</v>
      </c>
      <c r="C206" s="18">
        <f t="shared" ca="1" si="10"/>
        <v>760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19360724</v>
      </c>
      <c r="C207" s="18">
        <f t="shared" ca="1" si="10"/>
        <v>759.5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19360725</v>
      </c>
      <c r="C208" s="18">
        <f t="shared" ca="1" si="10"/>
        <v>760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19360726</v>
      </c>
      <c r="C209" s="18">
        <f t="shared" ca="1" si="10"/>
        <v>761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19360727</v>
      </c>
      <c r="C210" s="18">
        <f t="shared" ca="1" si="10"/>
        <v>761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19360728</v>
      </c>
      <c r="C211" s="18">
        <f t="shared" ca="1" si="10"/>
        <v>761.5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19360729</v>
      </c>
      <c r="C212" s="18">
        <f t="shared" ca="1" si="10"/>
        <v>762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19360730</v>
      </c>
      <c r="C213" s="18">
        <f t="shared" ca="1" si="10"/>
        <v>762.5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19360731</v>
      </c>
      <c r="C214" s="18">
        <f t="shared" ca="1" si="10"/>
        <v>761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19360801</v>
      </c>
      <c r="C215" s="18">
        <f t="shared" ca="1" si="10"/>
        <v>760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19360802</v>
      </c>
      <c r="C216" s="18">
        <f t="shared" ca="1" si="10"/>
        <v>759.5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19360803</v>
      </c>
      <c r="C217" s="18">
        <f t="shared" ca="1" si="10"/>
        <v>760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19360804</v>
      </c>
      <c r="C218" s="18">
        <f t="shared" ca="1" si="10"/>
        <v>761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19360805</v>
      </c>
      <c r="C219" s="18">
        <f t="shared" ca="1" si="10"/>
        <v>761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19360806</v>
      </c>
      <c r="C220" s="18">
        <f t="shared" ca="1" si="10"/>
        <v>761.5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19360807</v>
      </c>
      <c r="C221" s="18">
        <f t="shared" ca="1" si="10"/>
        <v>761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19360808</v>
      </c>
      <c r="C222" s="18">
        <f t="shared" ca="1" si="10"/>
        <v>760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19360809</v>
      </c>
      <c r="C223" s="18">
        <f t="shared" ca="1" si="10"/>
        <v>760.5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19360810</v>
      </c>
      <c r="C224" s="18">
        <f t="shared" ca="1" si="10"/>
        <v>761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19360811</v>
      </c>
      <c r="C225" s="18">
        <f t="shared" ca="1" si="10"/>
        <v>760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19360812</v>
      </c>
      <c r="C226" s="18">
        <f t="shared" ca="1" si="10"/>
        <v>759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19360813</v>
      </c>
      <c r="C227" s="18">
        <f t="shared" ca="1" si="10"/>
        <v>760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19360814</v>
      </c>
      <c r="C228" s="18">
        <f t="shared" ca="1" si="10"/>
        <v>757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19360815</v>
      </c>
      <c r="C229" s="18">
        <f t="shared" ca="1" si="10"/>
        <v>758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19360816</v>
      </c>
      <c r="C230" s="18">
        <f t="shared" ca="1" si="10"/>
        <v>759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19360817</v>
      </c>
      <c r="C231" s="18">
        <f t="shared" ca="1" si="10"/>
        <v>760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19360818</v>
      </c>
      <c r="C232" s="18">
        <f t="shared" ca="1" si="10"/>
        <v>761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19360819</v>
      </c>
      <c r="C233" s="18">
        <f t="shared" ca="1" si="10"/>
        <v>760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19360820</v>
      </c>
      <c r="C234" s="18">
        <f t="shared" ca="1" si="10"/>
        <v>760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19360821</v>
      </c>
      <c r="C235" s="18">
        <f t="shared" ca="1" si="10"/>
        <v>759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19360822</v>
      </c>
      <c r="C236" s="18">
        <f t="shared" ca="1" si="10"/>
        <v>760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19360823</v>
      </c>
      <c r="C237" s="18">
        <f t="shared" ca="1" si="10"/>
        <v>761.5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19360824</v>
      </c>
      <c r="C238" s="18">
        <f t="shared" ca="1" si="10"/>
        <v>760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19360825</v>
      </c>
      <c r="C239" s="18">
        <f t="shared" ca="1" si="10"/>
        <v>759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19360826</v>
      </c>
      <c r="C240" s="18">
        <f t="shared" ca="1" si="10"/>
        <v>760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19360827</v>
      </c>
      <c r="C241" s="18">
        <f t="shared" ca="1" si="10"/>
        <v>760.5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19360828</v>
      </c>
      <c r="C242" s="18">
        <f t="shared" ca="1" si="10"/>
        <v>760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19360829</v>
      </c>
      <c r="C243" s="18">
        <f t="shared" ca="1" si="10"/>
        <v>760.5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19360830</v>
      </c>
      <c r="C244" s="18">
        <f t="shared" ca="1" si="10"/>
        <v>761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19360831</v>
      </c>
      <c r="C245" s="18">
        <f t="shared" ca="1" si="10"/>
        <v>760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19360901</v>
      </c>
      <c r="C246" s="18">
        <f t="shared" ca="1" si="10"/>
        <v>761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19360902</v>
      </c>
      <c r="C247" s="18">
        <f t="shared" ca="1" si="10"/>
        <v>761.5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19360903</v>
      </c>
      <c r="C248" s="18">
        <f t="shared" ca="1" si="10"/>
        <v>761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19360904</v>
      </c>
      <c r="C249" s="18">
        <f t="shared" ca="1" si="10"/>
        <v>761.5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19360905</v>
      </c>
      <c r="C250" s="18">
        <f t="shared" ca="1" si="10"/>
        <v>760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19360906</v>
      </c>
      <c r="C251" s="18">
        <f t="shared" ca="1" si="10"/>
        <v>761.5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19360907</v>
      </c>
      <c r="C252" s="18">
        <f t="shared" ca="1" si="10"/>
        <v>759.5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19360908</v>
      </c>
      <c r="C253" s="18">
        <f t="shared" ca="1" si="10"/>
        <v>760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19360909</v>
      </c>
      <c r="C254" s="18">
        <f t="shared" ca="1" si="10"/>
        <v>760.5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19360910</v>
      </c>
      <c r="C255" s="18">
        <f t="shared" ca="1" si="10"/>
        <v>761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19360911</v>
      </c>
      <c r="C256" s="18">
        <f t="shared" ca="1" si="10"/>
        <v>761.5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19360912</v>
      </c>
      <c r="C257" s="18">
        <f t="shared" ca="1" si="10"/>
        <v>761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19360913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760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19360914</v>
      </c>
      <c r="C259" s="18">
        <f t="shared" ca="1" si="13"/>
        <v>760.5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19360915</v>
      </c>
      <c r="C260" s="18">
        <f t="shared" ca="1" si="13"/>
        <v>760.5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19360916</v>
      </c>
      <c r="C261" s="18">
        <f t="shared" ca="1" si="13"/>
        <v>760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19360917</v>
      </c>
      <c r="C262" s="18">
        <f t="shared" ca="1" si="13"/>
        <v>760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19360918</v>
      </c>
      <c r="C263" s="18">
        <f t="shared" ca="1" si="13"/>
        <v>761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19360919</v>
      </c>
      <c r="C264" s="18">
        <f t="shared" ca="1" si="13"/>
        <v>760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19360920</v>
      </c>
      <c r="C265" s="18">
        <f t="shared" ca="1" si="13"/>
        <v>759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19360921</v>
      </c>
      <c r="C266" s="18">
        <f t="shared" ca="1" si="13"/>
        <v>759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19360922</v>
      </c>
      <c r="C267" s="18">
        <f t="shared" ca="1" si="13"/>
        <v>759.5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19360923</v>
      </c>
      <c r="C268" s="18">
        <f t="shared" ca="1" si="13"/>
        <v>761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19360924</v>
      </c>
      <c r="C269" s="18">
        <f t="shared" ca="1" si="13"/>
        <v>760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19360925</v>
      </c>
      <c r="C270" s="18">
        <f t="shared" ca="1" si="13"/>
        <v>760.5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19360926</v>
      </c>
      <c r="C271" s="18">
        <f t="shared" ca="1" si="13"/>
        <v>760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19360927</v>
      </c>
      <c r="C272" s="18">
        <f t="shared" ca="1" si="13"/>
        <v>760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19360928</v>
      </c>
      <c r="C273" s="18">
        <f t="shared" ca="1" si="13"/>
        <v>757.5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19360929</v>
      </c>
      <c r="C274" s="18">
        <f t="shared" ca="1" si="13"/>
        <v>758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19360930</v>
      </c>
      <c r="C275" s="18">
        <f t="shared" ca="1" si="13"/>
        <v>757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19361001</v>
      </c>
      <c r="C276" s="18">
        <f t="shared" ca="1" si="13"/>
        <v>760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19361002</v>
      </c>
      <c r="C277" s="18">
        <f t="shared" ca="1" si="13"/>
        <v>759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19361003</v>
      </c>
      <c r="C278" s="18">
        <f t="shared" ca="1" si="13"/>
        <v>759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19361004</v>
      </c>
      <c r="C279" s="18">
        <f t="shared" ca="1" si="13"/>
        <v>761.5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19361005</v>
      </c>
      <c r="C280" s="18">
        <f t="shared" ca="1" si="13"/>
        <v>760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19361006</v>
      </c>
      <c r="C281" s="18">
        <f t="shared" ca="1" si="13"/>
        <v>761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19361007</v>
      </c>
      <c r="C282" s="18">
        <f t="shared" ca="1" si="13"/>
        <v>761.5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19361008</v>
      </c>
      <c r="C283" s="18">
        <f t="shared" ca="1" si="13"/>
        <v>760.5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19361009</v>
      </c>
      <c r="C284" s="18">
        <f t="shared" ca="1" si="13"/>
        <v>760.5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19361010</v>
      </c>
      <c r="C285" s="18">
        <f t="shared" ca="1" si="13"/>
        <v>760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19361011</v>
      </c>
      <c r="C286" s="18">
        <f t="shared" ca="1" si="13"/>
        <v>760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19361012</v>
      </c>
      <c r="C287" s="18">
        <f t="shared" ca="1" si="13"/>
        <v>759.5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19361013</v>
      </c>
      <c r="C288" s="18">
        <f t="shared" ca="1" si="13"/>
        <v>759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19361014</v>
      </c>
      <c r="C289" s="18">
        <f t="shared" ca="1" si="13"/>
        <v>759.5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19361015</v>
      </c>
      <c r="C290" s="18">
        <f t="shared" ca="1" si="13"/>
        <v>759.5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19361016</v>
      </c>
      <c r="C291" s="18">
        <f t="shared" ca="1" si="13"/>
        <v>758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19361017</v>
      </c>
      <c r="C292" s="18">
        <f t="shared" ca="1" si="13"/>
        <v>758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19361018</v>
      </c>
      <c r="C293" s="18">
        <f t="shared" ca="1" si="13"/>
        <v>758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19361019</v>
      </c>
      <c r="C294" s="18">
        <f t="shared" ca="1" si="13"/>
        <v>761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19361020</v>
      </c>
      <c r="C295" s="18">
        <f t="shared" ca="1" si="13"/>
        <v>758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19361021</v>
      </c>
      <c r="C296" s="18">
        <f t="shared" ca="1" si="13"/>
        <v>760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19361022</v>
      </c>
      <c r="C297" s="18">
        <f t="shared" ca="1" si="13"/>
        <v>759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19361023</v>
      </c>
      <c r="C298" s="18">
        <f t="shared" ca="1" si="13"/>
        <v>758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19361024</v>
      </c>
      <c r="C299" s="18">
        <f t="shared" ca="1" si="13"/>
        <v>760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19361025</v>
      </c>
      <c r="C300" s="18">
        <f t="shared" ca="1" si="13"/>
        <v>760.5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19361026</v>
      </c>
      <c r="C301" s="18">
        <f t="shared" ca="1" si="13"/>
        <v>759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19361027</v>
      </c>
      <c r="C302" s="18">
        <f t="shared" ca="1" si="13"/>
        <v>758.5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19361028</v>
      </c>
      <c r="C303" s="18">
        <f t="shared" ca="1" si="13"/>
        <v>759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19361029</v>
      </c>
      <c r="C304" s="18">
        <f t="shared" ca="1" si="13"/>
        <v>759.5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19361030</v>
      </c>
      <c r="C305" s="18">
        <f t="shared" ca="1" si="13"/>
        <v>759.5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19361031</v>
      </c>
      <c r="C306" s="18">
        <f t="shared" ca="1" si="13"/>
        <v>759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19361101</v>
      </c>
      <c r="C307" s="18">
        <f t="shared" ca="1" si="13"/>
        <v>759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19361102</v>
      </c>
      <c r="C308" s="18">
        <f t="shared" ca="1" si="13"/>
        <v>756.5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19361103</v>
      </c>
      <c r="C309" s="18">
        <f t="shared" ca="1" si="13"/>
        <v>757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19361104</v>
      </c>
      <c r="C310" s="18">
        <f t="shared" ca="1" si="13"/>
        <v>757.5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19361105</v>
      </c>
      <c r="C311" s="18">
        <f t="shared" ca="1" si="13"/>
        <v>757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19361106</v>
      </c>
      <c r="C312" s="18">
        <f t="shared" ca="1" si="13"/>
        <v>758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19361107</v>
      </c>
      <c r="C313" s="18">
        <f t="shared" ca="1" si="13"/>
        <v>756.5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19361108</v>
      </c>
      <c r="C314" s="18">
        <f t="shared" ca="1" si="13"/>
        <v>757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19361109</v>
      </c>
      <c r="C315" s="18">
        <f t="shared" ca="1" si="13"/>
        <v>757.5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19361110</v>
      </c>
      <c r="C316" s="18">
        <f t="shared" ca="1" si="13"/>
        <v>757.5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19361111</v>
      </c>
      <c r="C317" s="18">
        <f t="shared" ca="1" si="13"/>
        <v>761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19361112</v>
      </c>
      <c r="C318" s="18">
        <f t="shared" ca="1" si="13"/>
        <v>761.5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19361113</v>
      </c>
      <c r="C319" s="18">
        <f t="shared" ca="1" si="13"/>
        <v>760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19361114</v>
      </c>
      <c r="C320" s="18">
        <f t="shared" ca="1" si="13"/>
        <v>760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19361115</v>
      </c>
      <c r="C321" s="18">
        <f t="shared" ca="1" si="13"/>
        <v>760.5</v>
      </c>
      <c r="D321" s="17">
        <f t="shared" ca="1" si="14"/>
        <v>0</v>
      </c>
    </row>
    <row r="322" spans="1:4" x14ac:dyDescent="0.25">
      <c r="A322" s="4">
        <f t="shared" ref="A322:A367" si="15">INDEX(Stations,2,1)</f>
        <v>32</v>
      </c>
      <c r="B322" t="str">
        <f ca="1">TEXT(DATE(YEAR(Invoer!$A$5),1,1)+ROWS(B$2:B322)-1,"jjjjmmdd")</f>
        <v>19361116</v>
      </c>
      <c r="C322" s="18">
        <f t="shared" ref="C322:C367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760</v>
      </c>
      <c r="D322" s="17">
        <f t="shared" ref="D322:D367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19361117</v>
      </c>
      <c r="C323" s="18">
        <f t="shared" ca="1" si="16"/>
        <v>761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19361118</v>
      </c>
      <c r="C324" s="18">
        <f t="shared" ca="1" si="16"/>
        <v>761.5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19361119</v>
      </c>
      <c r="C325" s="18">
        <f t="shared" ca="1" si="16"/>
        <v>759.5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19361120</v>
      </c>
      <c r="C326" s="18">
        <f t="shared" ca="1" si="16"/>
        <v>761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19361121</v>
      </c>
      <c r="C327" s="18">
        <f t="shared" ca="1" si="16"/>
        <v>758.5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19361122</v>
      </c>
      <c r="C328" s="18">
        <f t="shared" ca="1" si="16"/>
        <v>758.5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19361123</v>
      </c>
      <c r="C329" s="18">
        <f t="shared" ca="1" si="16"/>
        <v>759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19361124</v>
      </c>
      <c r="C330" s="18">
        <f t="shared" ca="1" si="16"/>
        <v>761.5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19361125</v>
      </c>
      <c r="C331" s="18">
        <f t="shared" ca="1" si="16"/>
        <v>761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19361126</v>
      </c>
      <c r="C332" s="18">
        <f t="shared" ca="1" si="16"/>
        <v>760.5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19361127</v>
      </c>
      <c r="C333" s="18">
        <f t="shared" ca="1" si="16"/>
        <v>760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19361128</v>
      </c>
      <c r="C334" s="18">
        <f t="shared" ca="1" si="16"/>
        <v>760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19361129</v>
      </c>
      <c r="C335" s="18">
        <f t="shared" ca="1" si="16"/>
        <v>760.5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19361130</v>
      </c>
      <c r="C336" s="18">
        <f t="shared" ca="1" si="16"/>
        <v>759.5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19361201</v>
      </c>
      <c r="C337" s="18">
        <f t="shared" ca="1" si="16"/>
        <v>760.5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19361202</v>
      </c>
      <c r="C338" s="18">
        <f t="shared" ca="1" si="16"/>
        <v>760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19361203</v>
      </c>
      <c r="C339" s="18">
        <f t="shared" ca="1" si="16"/>
        <v>759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19361204</v>
      </c>
      <c r="C340" s="18">
        <f t="shared" ca="1" si="16"/>
        <v>762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19361205</v>
      </c>
      <c r="C341" s="18">
        <f t="shared" ca="1" si="16"/>
        <v>761.5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19361206</v>
      </c>
      <c r="C342" s="18">
        <f t="shared" ca="1" si="16"/>
        <v>761.5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19361207</v>
      </c>
      <c r="C343" s="18">
        <f t="shared" ca="1" si="16"/>
        <v>761.5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19361208</v>
      </c>
      <c r="C344" s="18">
        <f t="shared" ca="1" si="16"/>
        <v>759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19361209</v>
      </c>
      <c r="C345" s="18">
        <f t="shared" ca="1" si="16"/>
        <v>761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19361210</v>
      </c>
      <c r="C346" s="18">
        <f t="shared" ca="1" si="16"/>
        <v>759.5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19361211</v>
      </c>
      <c r="C347" s="18">
        <f t="shared" ca="1" si="16"/>
        <v>763.5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19361212</v>
      </c>
      <c r="C348" s="18">
        <f t="shared" ca="1" si="16"/>
        <v>763.5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19361213</v>
      </c>
      <c r="C349" s="18">
        <f t="shared" ca="1" si="16"/>
        <v>762.5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19361214</v>
      </c>
      <c r="C350" s="18">
        <f t="shared" ca="1" si="16"/>
        <v>762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19361215</v>
      </c>
      <c r="C351" s="18">
        <f t="shared" ca="1" si="16"/>
        <v>763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19361216</v>
      </c>
      <c r="C352" s="18">
        <f t="shared" ca="1" si="16"/>
        <v>763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19361217</v>
      </c>
      <c r="C353" s="18">
        <f t="shared" ca="1" si="16"/>
        <v>762.5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19361218</v>
      </c>
      <c r="C354" s="18">
        <f t="shared" ca="1" si="16"/>
        <v>762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19361219</v>
      </c>
      <c r="C355" s="18">
        <f t="shared" ca="1" si="16"/>
        <v>762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19361220</v>
      </c>
      <c r="C356" s="18">
        <f t="shared" ca="1" si="16"/>
        <v>762.5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19361221</v>
      </c>
      <c r="C357" s="18">
        <f t="shared" ca="1" si="16"/>
        <v>762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19361222</v>
      </c>
      <c r="C358" s="18">
        <f t="shared" ca="1" si="16"/>
        <v>760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19361223</v>
      </c>
      <c r="C359" s="18">
        <f t="shared" ca="1" si="16"/>
        <v>760.5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19361224</v>
      </c>
      <c r="C360" s="18">
        <f t="shared" ca="1" si="16"/>
        <v>760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19361225</v>
      </c>
      <c r="C361" s="18">
        <f t="shared" ca="1" si="16"/>
        <v>760.5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19361226</v>
      </c>
      <c r="C362" s="18">
        <f t="shared" ca="1" si="16"/>
        <v>762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19361227</v>
      </c>
      <c r="C363" s="18">
        <f t="shared" ca="1" si="16"/>
        <v>760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19361228</v>
      </c>
      <c r="C364" s="18">
        <f t="shared" ca="1" si="16"/>
        <v>760.5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19361229</v>
      </c>
      <c r="C365" s="18">
        <f t="shared" ca="1" si="16"/>
        <v>759.5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19361230</v>
      </c>
      <c r="C366" s="18">
        <f t="shared" ca="1" si="16"/>
        <v>759</v>
      </c>
      <c r="D366" s="17">
        <f t="shared" ca="1" si="17"/>
        <v>0</v>
      </c>
    </row>
    <row r="367" spans="1:4" x14ac:dyDescent="0.25">
      <c r="A367" s="4">
        <f t="shared" si="15"/>
        <v>32</v>
      </c>
      <c r="B367" t="str">
        <f ca="1">TEXT(DATE(YEAR(Invoer!$A$5),1,1)+ROWS(B$2:B367)-1,"jjjjmmdd")</f>
        <v>19361231</v>
      </c>
      <c r="C367" s="18">
        <f t="shared" ca="1" si="16"/>
        <v>758.5</v>
      </c>
      <c r="D367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032, 19360101, 1,    0, 00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032, 19360102, 1,   60, 00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032, 19360103, 1,    0, 00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032, 19360104, 1,    0, 00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032, 19360105, 1,    0, 00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032, 19360106, 1,    0, 00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032, 19360107, 1,    0, 00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032, 19360108, 1,   30, 00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032, 19360109, 1,    0, 00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032, 19360110, 1,    0, 00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032, 19360111, 1,   40, 00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032, 19360112, 1,    0, 00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032, 19360113, 1,    0, 00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032, 19360114, 1,    0, 00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032, 19360115, 1,    0, 00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032, 19360116, 1,    0, 00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032, 19360117, 1,    0, 00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032, 19360118, 1,    0, 00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032, 19360119, 1,    0, 00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032, 19360120, 1,    0, 00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032, 19360121, 1,    0, 00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032, 19360122, 1,    0, 00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032, 19360123, 1,    0, 00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032, 19360124, 1,    0, 00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032, 19360125, 1,    0, 00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032, 19360126, 1,    0, 00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032, 19360127, 1,    0, 00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032, 19360128, 1,    0, 00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032, 19360129, 1,    0, 00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032, 19360130, 1,    0, 00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032, 19360131, 1,    0, 00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032, 19360201, 1,    0, 00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032, 19360202, 1,    0, 00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032, 19360203, 1,    0, 00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032, 19360204, 1,    0, 00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032, 19360205, 1,    0, 00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032, 19360206, 1,    0, 00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032, 19360207, 1,    0, 00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032, 19360208, 1,    0, 00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032, 19360209, 1,    0, 00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032, 19360210, 1,    0, 00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032, 19360211, 1,    0, 00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032, 19360212, 1,    0, 00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032, 19360213, 1,    0, 00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032, 19360214, 1,    0, 00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032, 19360215, 1,    0, 00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032, 19360216, 1,    0, 00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032, 19360217, 1,    0, 00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032, 19360218, 1,    0, 00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032, 19360219, 1,    0, 00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032, 19360220, 1,    0, 00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032, 19360221, 1,    0, 00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032, 19360222, 1,    0, 00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032, 19360223, 1,    0, 00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032, 19360224, 1,   30, 00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032, 19360225, 1,  122, 00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032, 19360226, 1,    0, 00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032, 19360227, 1,    0, 00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032, 19360228, 1,    0, 00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032, 19360229, 1,    0, 00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032, 19360301, 1,    0, 00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032, 19360302, 1,    0, 00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032, 19360303, 1,    0, 00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032, 19360304, 1,    0, 00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032, 19360305, 1,    0, 00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032, 19360306, 1,    0, 00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032, 19360307, 1,    0, 00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032, 19360308, 1,    0, 00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032, 19360309, 1,    0, 00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032, 19360310, 1,    0, 00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032, 19360311, 1,    0, 00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032, 19360312, 1,    0, 00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032, 19360313, 1,    0, 00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032, 19360314, 1,    0, 00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032, 19360315, 1,    0, 00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032, 19360316, 1,    0, 00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032, 19360317, 1,    0, 00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032, 19360318, 1,    0, 00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032, 19360319, 1,    0, 00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032, 19360320, 1,    0, 00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032, 19360321, 1,    0, 00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032, 19360322, 1,    0, 00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032, 19360323, 1,    0, 00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032, 19360324, 1,    0, 00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032, 19360325, 1,    0, 00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032, 19360326, 1,    0, 00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032, 19360327, 1,    0, 00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032, 19360328, 1,    0, 00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032, 19360329, 1,    0, 00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032, 19360330, 1,    0, 00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032, 19360331, 1,    0, 00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032, 19360401, 1,    0, 00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032, 19360402, 1,    0, 00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032, 19360403, 1,    0, 00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032, 19360404, 1,    0, 00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032, 19360405, 1,    0, 00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032, 19360406, 1,    0, 00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032, 19360407, 1,    0, 00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032, 19360408, 1,    0, 00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032, 19360409, 1,    0, 00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032, 19360410, 1,    0, 00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032, 19360411, 1,   22, 00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032, 19360412, 1,    0, 00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032, 19360413, 1,    0, 00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032, 19360414, 1,    0, 00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032, 19360415, 1,    0, 00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032, 19360416, 1,    0, 00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032, 19360417, 1,    0, 00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032, 19360418, 1,    0, 00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032, 19360419, 1,    0, 00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032, 19360420, 1,    0, 00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032, 19360421, 1,    0, 00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032, 19360422, 1,    0, 00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032, 19360423, 1,    0, 00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032, 19360424, 1,    0, 00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032, 19360425, 1,    0, 00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032, 19360426, 1,    0, 00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032, 19360427, 1,    0, 00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032, 19360428, 1,    0, 00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032, 19360429, 1,    0, 00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032, 19360430, 1,    0, 00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032, 19360501, 1,    0, 00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032, 19360502, 1,    0, 00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032, 19360503, 1,    0, 00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032, 19360504, 1,    0, 00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032, 19360505, 1,    0, 00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032, 19360506, 1,    0, 00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032, 19360507, 1,    0, 00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032, 19360508, 1,    0, 00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032, 19360509, 1,    0, 00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032, 19360510, 1,    0, 00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032, 19360511, 1,    0, 00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032, 19360512, 1,    0, 00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032, 19360513, 1,    0, 00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032, 19360514, 1,    0, 00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032, 19360515, 1,    0, 00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032, 19360516, 1,    0, 00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032, 19360517, 1,    0, 00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032, 19360518, 1,    0, 00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032, 19360519, 1,    0, 00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032, 19360520, 1,    0, 00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032, 19360521, 1,    0, 00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032, 19360522, 1,    0, 00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032, 19360523, 1,    0, 00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032, 19360524, 1,    0, 00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032, 19360525, 1,   20, 00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032, 19360526, 1,    0, 00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032, 19360527, 1,    0, 00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032, 19360528, 1,    0, 00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032, 19360529, 1,    0, 00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032, 19360530, 1,    0, 00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032, 19360531, 1,    0, 00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032, 19360601, 1,    0, 00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032, 19360602, 1,   30, 00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032, 19360603, 1,    0, 00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032, 19360604, 1,    0, 00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032, 19360605, 1,    0, 00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032, 19360606, 1,    0, 00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032, 19360607, 1,    0, 00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032, 19360608, 1,    0, 00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032, 19360609, 1,   68, 00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032, 19360610, 1,    0, 00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032, 19360611, 1,    0, 00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032, 19360612, 1,    0, 00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032, 19360613, 1,    0, 00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032, 19360614, 1,    0, 00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032, 19360615, 1,    0, 00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032, 19360616, 1,    0, 00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032, 19360617, 1,    6, 00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032, 19360618, 1,    0, 00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032, 19360619, 1,    0, 00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032, 19360620, 1,    0, 00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032, 19360621, 1,    0, 00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032, 19360622, 1,    0, 00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032, 19360623, 1,    0, 00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032, 19360624, 1,    0, 00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032, 19360625, 1,    0, 00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032, 19360626, 1,    5, 00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032, 19360627, 1,    0, 00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032, 19360628, 1,    0, 00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032, 19360629, 1,    0, 00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032, 19360630, 1,    0, 00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032, 19360701, 1,    0, 00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032, 19360702, 1,    0, 00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032, 19360703, 1,    0, 00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032, 19360704, 1,   24, 00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032, 19360705, 1,    0, 00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032, 19360706, 1,    0, 00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032, 19360707, 1,    0, 00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032, 19360708, 1,    0, 00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032, 19360709, 1,   44, 00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032, 19360710, 1,    0, 00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032, 19360711, 1,    0, 00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032, 19360712, 1,    3, 00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032, 19360713, 1,    0, 00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032, 19360714, 1,    6, 00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032, 19360715, 1,    0, 00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032, 19360716, 1,    0, 00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032, 19360717, 1,  150, 00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032, 19360718, 1,    0, 00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032, 19360719, 1,    0, 00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032, 19360720, 1,    0, 00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032, 19360721, 1,    0, 00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032, 19360722, 1,    0, 00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032, 19360723, 1,    0, 00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032, 19360724, 1,    0, 00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032, 19360725, 1,    0, 00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032, 19360726, 1,    0, 00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032, 19360727, 1,    0, 00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032, 19360728, 1,    0, 00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032, 19360729, 1,    0, 00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032, 19360730, 1,    0, 00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032, 19360731, 1,  138, 00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032, 19360801, 1,    0, 00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032, 19360802, 1,    0, 00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032, 19360803, 1,    0, 00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032, 19360804, 1,    0, 00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032, 19360805, 1,    0, 00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032, 19360806, 1,    0, 00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032, 19360807, 1,    0, 00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032, 19360808, 1,    0, 00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032, 19360809, 1,    0, 00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032, 19360810, 1,    0, 00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032, 19360811, 1,    0, 00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032, 19360812, 1,    0, 00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032, 19360813, 1,    0, 00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032, 19360814, 1,    0, 00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032, 19360815, 1,    0, 00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032, 19360816, 1,    0, 00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032, 19360817, 1,    0, 00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032, 19360818, 1,    0, 00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032, 19360819, 1,    0, 00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032, 19360820, 1,    0, 00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032, 19360821, 1,    0, 00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032, 19360822, 1,    0, 00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032, 19360823, 1,    0, 00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032, 19360824, 1,    0, 00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032, 19360825, 1,    0, 00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032, 19360826, 1,    0, 00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032, 19360827, 1,    0, 00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032, 19360828, 1,    0, 00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032, 19360829, 1,    0, 00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032, 19360830, 1,    0, 00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032, 19360831, 1,    0, 00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032, 19360901, 1,    0, 00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032, 19360902, 1,    0, 00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032, 19360903, 1,    0, 00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032, 19360904, 1,    4, 00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032, 19360905, 1,    0, 00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032, 19360906, 1,    0, 00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032, 19360907, 1,  134, 00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032, 19360908, 1,    0, 00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032, 19360909, 1,    0, 00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032, 19360910, 1,    0, 00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032, 19360911, 1,    0, 00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032, 19360912, 1,    0, 00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032, 19360913, 1,    0, 00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032, 19360914, 1,    0, 00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032, 19360915, 1,    0, 00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032, 19360916, 1,    0, 00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032, 19360917, 1,  170, 00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032, 19360918, 1,    0, 00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032, 19360919, 1,    0, 00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032, 19360920, 1,    0, 00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032, 19360921, 1,    0, 00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032, 19360922, 1,   28, 00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032, 19360923, 1,   70, 00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032, 19360924, 1,    0, 00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032, 19360925, 1,    0, 00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032, 19360926, 1,    0, 00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032, 19360927, 1,    6, 00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032, 19360928, 1,    0, 00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032, 19360929, 1,    0, 00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032, 19360930, 1,    0, 00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032, 19361001, 1,    0, 00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032, 19361002, 1,    0, 00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032, 19361003, 1,    0, 00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032, 19361004, 1,    0, 00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032, 19361005, 1,  204, 00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032, 19361006, 1,   82, 00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032, 19361007, 1,  167, 00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032, 19361008, 1,   60, 00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032, 19361009, 1,   68, 00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032, 19361010, 1,    0, 00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032, 19361011, 1,    0, 00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032, 19361012, 1,  105, 00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032, 19361013, 1,    0, 00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032, 19361014, 1,    0, 00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032, 19361015, 1,    0, 00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032, 19361016, 1,    0, 00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032, 19361017, 1,    0, 00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032, 19361018, 1,  396, 00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032, 19361019, 1,   42, 00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032, 19361020, 1,    0, 00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032, 19361021, 1,    0, 00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032, 19361022, 1,    0, 00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032, 19361023, 1,    0, 00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032, 19361024, 1,    0, 00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032, 19361025, 1,    0, 00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032, 19361026, 1,   15, 00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032, 19361027, 1,    0, 00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032, 19361028, 1,    0, 00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032, 19361029, 1,    0, 00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032, 19361030, 1,    0, 00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032, 19361031, 1,   26, 00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032, 19361101, 1,    0, 00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032, 19361102, 1,   48, 00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032, 19361103, 1,  109, 00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032, 19361104, 1,  352, 00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032, 19361105, 1,   18, 00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032, 19361106, 1,    5, 00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032, 19361107, 1,   90, 00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032, 19361108, 1,    0, 00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032, 19361109, 1,    0, 00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032, 19361110, 1,    0, 00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032, 19361111, 1,    0, 00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032, 19361112, 1,    0, 00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032, 19361113, 1,    0, 00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032, 19361114, 1,    0, 00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032, 19361115, 1,    0, 00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032, 19361116, 1,   10, 00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032, 19361117, 1,  114, 00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032, 19361118, 1,  161, 00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032, 19361119, 1,   82, 00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032, 19361120, 1,    2, 00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032, 19361121, 1,    0, 00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032, 19361122, 1,    0, 00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032, 19361123, 1,    0, 00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032, 19361124, 1,   10, 00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032, 19361125, 1,   48, 00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032, 19361126, 1,   28, 00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032, 19361127, 1,   10, 00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032, 19361128, 1,    0, 00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032, 19361129, 1,    0, 00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032, 19361130, 1,   10, 00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032, 19361201, 1,   10, 00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032, 19361202, 1,   53, 00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032, 19361203, 1,    0, 00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032, 19361204, 1,   16, 00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032, 19361205, 1,    0, 00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032, 19361206, 1,    0, 00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032, 19361207, 1,    0, 00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032, 19361208, 1,    6, 00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032, 19361209, 1,    0, 00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032, 19361210, 1,   16, 00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032, 19361211, 1,    0, 00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032, 19361212, 1,   68, 00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032, 19361213, 1,    0, 00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032, 19361214, 1,    0, 00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032, 19361215, 1,    0, 00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032, 19361216, 1,    0, 00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032, 19361217, 1,   20, 00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032, 19361218, 1,    0, 00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032, 19361219, 1,    0, 00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032, 19361220, 1,    0, 00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032, 19361221, 1,   33, 00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032, 19361222, 1,    0, 00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032, 19361223, 1,    0, 00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032, 19361224, 1,    0, 00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032, 19361225, 1,    0, 00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032, 19361226, 1,    0, 00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032, 19361227, 1,    0, 00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032, 19361228, 1,    0, 00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032, 19361229, 1,   25, 00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032, 19361230, 1,    0, 00</v>
      </c>
    </row>
    <row r="367" spans="1:1" x14ac:dyDescent="0.25">
      <c r="A367" s="12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032, 19361231, 1,    0, 00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032, 19360101, 7600, 00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032, 19360102, 7610, 00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032, 19360103, 7605, 00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032, 19360104, 7600, 00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032, 19360105, 7615, 00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032, 19360106, 7600, 00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032, 19360107, 7610, 00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032, 19360108, 7600, 00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032, 19360109, 7605, 00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032, 19360110, 7605, 00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032, 19360111, 7615, 00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032, 19360112, 7615, 00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032, 19360113, 7605, 00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032, 19360114, 7600, 00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032, 19360115, 7605, 00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032, 19360116, 7600, 00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032, 19360117, 7605, 00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032, 19360118, 7595, 00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032, 19360119, 7595, 00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032, 19360120, 7600, 00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032, 19360121, 7610, 00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032, 19360122, 7585, 00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032, 19360123, 7590, 00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032, 19360124, 7590, 00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032, 19360125, 7600, 00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032, 19360126, 7600, 00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032, 19360127, 7595, 00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032, 19360128, 7605, 00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032, 19360129, 7615, 00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032, 19360130, 7605, 00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032, 19360131, 7605, 00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032, 19360201, 7600, 00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032, 19360202, 7600, 00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032, 19360203, 7600, 00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032, 19360204, 7595, 00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032, 19360205, 7605, 00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032, 19360206, 7610, 00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032, 19360207, 7605, 00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032, 19360208, 7625, 00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032, 19360209, 7630, 00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032, 19360210, 7625, 00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032, 19360211, 7630, 00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032, 19360212, 7625, 00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032, 19360213, 7625, 00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032, 19360214, 7620, 00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032, 19360215, 7605, 00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032, 19360216, 7600, 00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032, 19360217, 7615, 00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032, 19360218, 7600, 00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032, 19360219, 7620, 00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032, 19360220, 7625, 00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032, 19360221, 7625, 00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032, 19360222, 7630, 00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032, 19360223, 7630, 00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032, 19360224, 7630, 00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032, 19360225, 7620, 00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032, 19360226, 7620, 00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032, 19360227, 7610, 00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032, 19360228, 7620, 00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032, 19360229, 7620, 00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032, 19360301, 7620, 00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032, 19360302, 7600, 00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032, 19360303, 7605, 00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032, 19360304, 7600, 00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032, 19360305, 7605, 00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032, 19360306, 7600, 00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032, 19360307, 7625, 00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032, 19360308, 7600, 00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032, 19360309, 7605, 00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032, 19360310, 7610, 00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032, 19360311, 7600, 00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032, 19360312, 7630, 00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032, 19360313, 7625, 00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032, 19360314, 7620, 00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032, 19360315, 7600, 00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032, 19360316, 7600, 00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032, 19360317, 7590, 00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032, 19360318, 7590, 00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032, 19360319, 7590, 00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032, 19360320, 7590, 00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032, 19360321, 7590, 00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032, 19360322, 7590, 00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032, 19360323, 7590, 00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032, 19360324, 7590, 00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032, 19360325, 7590, 00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032, 19360326, 7590, 00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032, 19360327, 7590, 00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19360328, ////, 07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19360329, ////, 07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19360330, ////, 07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19360331, ////, 07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19360401, ////, 07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19360402, ////, 07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19360403, ////, 07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19360404, ////, 07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19360405, ////, 07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19360406, ////, 07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19360407, ////, 07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19360408, ////, 07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19360409, ////, 07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19360410, ////, 07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19360411, ////, 07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19360412, ////, 07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19360413, ////, 07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19360414, ////, 07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19360415, ////, 07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19360416, ////, 07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19360417, ////, 07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19360418, ////, 07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19360419, ////, 07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19360420, ////, 07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19360421, ////, 07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19360422, ////, 07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19360423, ////, 07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19360424, ////, 07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19360425, ////, 07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19360426, ////, 07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19360427, ////, 07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19360428, ////, 07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19360429, ////, 07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19360430, ////, 07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19360501, ////, 07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19360502, ////, 07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19360503, ////, 07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19360504, ////, 07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19360505, ////, 07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032, 19360506, 7600, 00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032, 19360507, 7595, 00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032, 19360508, 7580, 00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032, 19360509, 7600, 00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032, 19360510, 7600, 00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032, 19360511, 7595, 00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032, 19360512, 7580, 00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032, 19360513, 7585, 00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032, 19360514, 7590, 00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032, 19360515, 7580, 00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032, 19360516, 7585, 00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032, 19360517, 7590, 00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032, 19360518, 7600, 00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032, 19360519, 7585, 00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032, 19360520, 7570, 00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032, 19360521, 7580, 00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032, 19360522, 7590, 00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032, 19360523, 7580, 00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032, 19360524, 7570, 00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032, 19360525, 7570, 00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032, 19360526, 7590, 00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032, 19360527, 7570, 00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032, 19360528, 7590, 00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032, 19360529, 7600, 00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032, 19360530, 7605, 00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032, 19360531, 7610, 00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032, 19360601, 7610, 00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032, 19360602, 7615, 00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032, 19360603, 7590, 00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032, 19360604, 7590, 00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032, 19360605, 7595, 00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032, 19360606, 7590, 00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032, 19360607, 7590, 00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032, 19360608, 7580, 00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032, 19360609, 7580, 00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032, 19360610, 7580, 00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032, 19360611, 7595, 00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032, 19360612, 7580, 00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032, 19360613, 7585, 00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032, 19360614, 7580, 00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032, 19360615, 7590, 00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032, 19360616, 7580, 00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032, 19360617, 7610, 00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032, 19360618, 7615, 00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032, 19360619, 7600, 00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032, 19360620, 7600, 00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032, 19360621, 7610, 00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032, 19360622, 7610, 00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032, 19360623, 7610, 00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032, 19360624, 7600, 00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032, 19360625, 7590, 00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032, 19360626, 7590, 00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032, 19360627, 7590, 00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032, 19360628, 7610, 00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032, 19360629, 7600, 00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032, 19360630, 7610, 00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032, 19360701, 7600, 00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032, 19360702, 7610, 00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032, 19360703, 7600, 00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032, 19360704, 7590, 00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032, 19360705, 7600, 00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032, 19360706, 7600, 00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032, 19360707, 7610, 00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032, 19360708, 7600, 00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032, 19360709, 7620, 00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032, 19360710, 7610, 00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032, 19360711, 7615, 00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032, 19360712, 7610, 00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032, 19360713, 7600, 00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032, 19360714, 7605, 00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032, 19360715, 7595, 00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032, 19360716, 7600, 00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032, 19360717, 7600, 00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032, 19360718, 7610, 00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032, 19360719, 7615, 00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032, 19360720, 7600, 00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032, 19360721, 7605, 00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032, 19360722, 7610, 00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032, 19360723, 7600, 00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032, 19360724, 7595, 00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032, 19360725, 7600, 00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032, 19360726, 7610, 00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032, 19360727, 7610, 00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032, 19360728, 7615, 00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032, 19360729, 7620, 00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032, 19360730, 7625, 00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032, 19360731, 7610, 00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032, 19360801, 7600, 00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032, 19360802, 7595, 00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032, 19360803, 7600, 00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032, 19360804, 7610, 00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032, 19360805, 7610, 00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032, 19360806, 7615, 00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032, 19360807, 7610, 00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032, 19360808, 7600, 00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032, 19360809, 7605, 00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032, 19360810, 7610, 00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032, 19360811, 7600, 00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032, 19360812, 7590, 00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032, 19360813, 7600, 00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032, 19360814, 7570, 00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032, 19360815, 7580, 00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032, 19360816, 7590, 00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032, 19360817, 7600, 00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032, 19360818, 7610, 00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032, 19360819, 7600, 00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032, 19360820, 7600, 00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032, 19360821, 7590, 00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032, 19360822, 7600, 00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032, 19360823, 7615, 00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032, 19360824, 7600, 00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032, 19360825, 7590, 00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032, 19360826, 7600, 00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032, 19360827, 7605, 00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032, 19360828, 7600, 00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032, 19360829, 7605, 00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032, 19360830, 7610, 00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032, 19360831, 7600, 00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032, 19360901, 7610, 00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032, 19360902, 7615, 00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032, 19360903, 7610, 00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032, 19360904, 7615, 00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032, 19360905, 7600, 00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032, 19360906, 7615, 00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032, 19360907, 7595, 00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032, 19360908, 7600, 00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032, 19360909, 7605, 00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032, 19360910, 7610, 00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032, 19360911, 7615, 00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032, 19360912, 7610, 00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032, 19360913, 7600, 00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032, 19360914, 7605, 00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032, 19360915, 7605, 00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032, 19360916, 7600, 00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032, 19360917, 7600, 00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032, 19360918, 7610, 00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032, 19360919, 7600, 00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032, 19360920, 7590, 00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032, 19360921, 7590, 00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032, 19360922, 7595, 00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032, 19360923, 7610, 00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032, 19360924, 7600, 00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032, 19360925, 7605, 00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032, 19360926, 7600, 00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032, 19360927, 7600, 00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032, 19360928, 7575, 00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032, 19360929, 7580, 00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032, 19360930, 7570, 00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032, 19361001, 7600, 00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032, 19361002, 7590, 00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032, 19361003, 7590, 00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032, 19361004, 7615, 00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032, 19361005, 7600, 00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032, 19361006, 7610, 00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032, 19361007, 7615, 00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032, 19361008, 7605, 00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032, 19361009, 7605, 00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032, 19361010, 7600, 00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032, 19361011, 7600, 00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032, 19361012, 7595, 00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032, 19361013, 7590, 00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032, 19361014, 7595, 00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032, 19361015, 7595, 00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032, 19361016, 7580, 00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032, 19361017, 7580, 00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032, 19361018, 7580, 00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032, 19361019, 7610, 00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032, 19361020, 7580, 00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032, 19361021, 7600, 00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032, 19361022, 7590, 00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032, 19361023, 7580, 00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032, 19361024, 7600, 00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032, 19361025, 7605, 00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032, 19361026, 7590, 00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032, 19361027, 7585, 00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032, 19361028, 7590, 00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032, 19361029, 7595, 00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032, 19361030, 7595, 00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032, 19361031, 7590, 00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032, 19361101, 7590, 00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032, 19361102, 7565, 00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032, 19361103, 7570, 00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032, 19361104, 7575, 00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032, 19361105, 7570, 00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032, 19361106, 7580, 00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032, 19361107, 7565, 00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032, 19361108, 7570, 00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032, 19361109, 7575, 00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032, 19361110, 7575, 00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032, 19361111, 7610, 00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032, 19361112, 7615, 00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032, 19361113, 7600, 00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032, 19361114, 7600, 00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032, 19361115, 7605, 00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032, 19361116, 7600, 00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032, 19361117, 7610, 00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032, 19361118, 7615, 00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032, 19361119, 7595, 00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032, 19361120, 7610, 00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032, 19361121, 7585, 00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032, 19361122, 7585, 00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032, 19361123, 7590, 00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032, 19361124, 7615, 00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032, 19361125, 7610, 00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032, 19361126, 7605, 00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032, 19361127, 7600, 00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032, 19361128, 7600, 00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032, 19361129, 7605, 00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032, 19361130, 7595, 00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032, 19361201, 7605, 00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032, 19361202, 7600, 00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032, 19361203, 7590, 00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032, 19361204, 7620, 00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032, 19361205, 7615, 00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032, 19361206, 7615, 00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032, 19361207, 7615, 00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032, 19361208, 7590, 00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032, 19361209, 7610, 00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032, 19361210, 7595, 00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032, 19361211, 7635, 00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032, 19361212, 7635, 00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032, 19361213, 7625, 00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032, 19361214, 7620, 00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032, 19361215, 7630, 00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032, 19361216, 7630, 00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032, 19361217, 7625, 00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032, 19361218, 7620, 00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032, 19361219, 7620, 00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032, 19361220, 7625, 00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032, 19361221, 7620, 00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032, 19361222, 7600, 00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032, 19361223, 7605, 00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032, 19361224, 7600, 00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032, 19361225, 7605, 00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032, 19361226, 7620, 00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032, 19361227, 7600, 00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032, 19361228, 7605, 00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032, 19361229, 7595, 00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032, 19361230, 7590, 00</v>
      </c>
    </row>
    <row r="367" spans="1:1" x14ac:dyDescent="0.25">
      <c r="A367" s="12" t="str">
        <f ca="1">TEXT(Overig!A367,"000\,")&amp;TEXT(Overig!B367,"?00000000")&amp;SUBSTITUTE(TEXT(IF(ISTEXT(Overig!C367),Overig!C367,10*Overig!C367),""",""????0;"",""???-0;"",""????0;"", ////"""),"'","""")&amp;SUBSTITUTE(TEXT(Overig!D367,""",""?00;"",""?-00;"",""?00;"", //"""),"'","""")</f>
        <v>032, 19361231, 7585, 00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2015-10-22T12:15:49Z</dcterms:modified>
</cp:coreProperties>
</file>