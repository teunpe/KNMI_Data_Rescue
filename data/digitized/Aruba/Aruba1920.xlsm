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Invoer!$A$2:$C$382</definedName>
    <definedName name="Catalogus">Info!$J$3:$L$4</definedName>
    <definedName name="Data">Invoer!$A$3:$C$382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2" i="1" l="1"/>
  <c r="B350" i="1"/>
  <c r="B319" i="1"/>
  <c r="B287" i="1"/>
  <c r="B256" i="1"/>
  <c r="B224" i="1"/>
  <c r="B192" i="1"/>
  <c r="B161" i="1"/>
  <c r="B129" i="1"/>
  <c r="B98" i="1"/>
  <c r="B66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2" i="3" l="1"/>
  <c r="C382" i="1" l="1"/>
  <c r="C350" i="1"/>
  <c r="C319" i="1"/>
  <c r="C287" i="1"/>
  <c r="C256" i="1"/>
  <c r="C224" i="1"/>
  <c r="C192" i="1"/>
  <c r="C161" i="1"/>
  <c r="C129" i="1"/>
  <c r="C98" i="1"/>
  <c r="C66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C367" i="3" l="1"/>
  <c r="D367" i="3"/>
  <c r="C365" i="3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67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367" i="2" l="1"/>
  <c r="D367" i="2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A265" i="5" s="1"/>
  <c r="D297" i="2"/>
  <c r="D329" i="2"/>
  <c r="A329" i="5" s="1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D334" i="2"/>
  <c r="A334" i="5" s="1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22" i="5" l="1"/>
  <c r="A13" i="5"/>
  <c r="A16" i="5"/>
  <c r="A278" i="5"/>
  <c r="A361" i="5"/>
  <c r="A297" i="5"/>
  <c r="A168" i="5"/>
  <c r="A41" i="5"/>
  <c r="A80" i="5"/>
  <c r="A208" i="5"/>
  <c r="A121" i="5"/>
  <c r="A248" i="5"/>
  <c r="A262" i="5"/>
  <c r="A167" i="5"/>
  <c r="A72" i="5"/>
  <c r="A200" i="5"/>
  <c r="A367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<sst xmlns="http://schemas.openxmlformats.org/spreadsheetml/2006/main" count="46" uniqueCount="36">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</sst>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7306</v>
      </c>
      <c r="B5" s="21">
        <v>7640</v>
      </c>
      <c r="C5" s="23">
        <v>0</v>
      </c>
    </row>
    <row r="6" spans="1:3" x14ac:dyDescent="0.25">
      <c r="A6" s="1">
        <f ca="1">IF(ISTEXT(A5),A4+1,IF(MONTH(A5+1)=MONTH(A5),A5+1,"Totaal"))</f>
        <v>7307</v>
      </c>
      <c r="B6" s="21">
        <v>7640</v>
      </c>
      <c r="C6" s="24">
        <v>0</v>
      </c>
    </row>
    <row r="7" spans="1:3" x14ac:dyDescent="0.25">
      <c r="A7" s="1">
        <f t="shared" ref="A7:A70" ca="1" si="0">IF(ISTEXT(A6),A5+1,IF(MONTH(A6+1)=MONTH(A6),A6+1,"Totaal"))</f>
        <v>7308</v>
      </c>
      <c r="B7" s="21">
        <v>7640</v>
      </c>
      <c r="C7" s="25">
        <v>0</v>
      </c>
    </row>
    <row r="8" spans="1:3" x14ac:dyDescent="0.25">
      <c r="A8" s="1">
        <f t="shared" ca="1" si="0"/>
        <v>7309</v>
      </c>
      <c r="B8" s="21">
        <v>7640</v>
      </c>
      <c r="C8" s="23">
        <v>0</v>
      </c>
    </row>
    <row r="9" spans="1:3" x14ac:dyDescent="0.25">
      <c r="A9" s="1">
        <f t="shared" ca="1" si="0"/>
        <v>7310</v>
      </c>
      <c r="B9" s="21">
        <v>7645</v>
      </c>
      <c r="C9" s="23">
        <v>0</v>
      </c>
    </row>
    <row r="10" spans="1:3" x14ac:dyDescent="0.25">
      <c r="A10" s="1">
        <f t="shared" ca="1" si="0"/>
        <v>7311</v>
      </c>
      <c r="B10" s="21">
        <v>7645</v>
      </c>
      <c r="C10" s="23">
        <v>0</v>
      </c>
    </row>
    <row r="11" spans="1:3" x14ac:dyDescent="0.25">
      <c r="A11" s="1">
        <f t="shared" ca="1" si="0"/>
        <v>7312</v>
      </c>
      <c r="B11" s="21">
        <v>7645</v>
      </c>
      <c r="C11" s="23">
        <v>0</v>
      </c>
    </row>
    <row r="12" spans="1:3" x14ac:dyDescent="0.25">
      <c r="A12" s="1">
        <f t="shared" ca="1" si="0"/>
        <v>7313</v>
      </c>
      <c r="B12" s="21">
        <v>7645</v>
      </c>
      <c r="C12" s="23">
        <v>0</v>
      </c>
    </row>
    <row r="13" spans="1:3" x14ac:dyDescent="0.25">
      <c r="A13" s="1">
        <f t="shared" ca="1" si="0"/>
        <v>7314</v>
      </c>
      <c r="B13" s="21">
        <v>7645</v>
      </c>
      <c r="C13" s="23">
        <v>0</v>
      </c>
    </row>
    <row r="14" spans="1:3" x14ac:dyDescent="0.25">
      <c r="A14" s="1">
        <f t="shared" ca="1" si="0"/>
        <v>7315</v>
      </c>
      <c r="B14" s="21">
        <v>7645</v>
      </c>
      <c r="C14" s="23">
        <v>160</v>
      </c>
    </row>
    <row r="15" spans="1:3" x14ac:dyDescent="0.25">
      <c r="A15" s="1">
        <f t="shared" ca="1" si="0"/>
        <v>7316</v>
      </c>
      <c r="B15" s="21">
        <v>7650</v>
      </c>
      <c r="C15" s="23">
        <v>0</v>
      </c>
    </row>
    <row r="16" spans="1:3" x14ac:dyDescent="0.25">
      <c r="A16" s="1">
        <f t="shared" ca="1" si="0"/>
        <v>7317</v>
      </c>
      <c r="B16" s="21">
        <v>7650</v>
      </c>
      <c r="C16" s="23">
        <v>0</v>
      </c>
    </row>
    <row r="17" spans="1:3" x14ac:dyDescent="0.25">
      <c r="A17" s="1">
        <f t="shared" ca="1" si="0"/>
        <v>7318</v>
      </c>
      <c r="B17" s="21">
        <v>7650</v>
      </c>
      <c r="C17" s="23">
        <v>0</v>
      </c>
    </row>
    <row r="18" spans="1:3" x14ac:dyDescent="0.25">
      <c r="A18" s="1">
        <f t="shared" ca="1" si="0"/>
        <v>7319</v>
      </c>
      <c r="B18" s="21">
        <v>7650</v>
      </c>
      <c r="C18" s="23">
        <v>0</v>
      </c>
    </row>
    <row r="19" spans="1:3" x14ac:dyDescent="0.25">
      <c r="A19" s="1">
        <f t="shared" ca="1" si="0"/>
        <v>7320</v>
      </c>
      <c r="B19" s="21">
        <v>7650</v>
      </c>
      <c r="C19" s="23">
        <v>120</v>
      </c>
    </row>
    <row r="20" spans="1:3" x14ac:dyDescent="0.25">
      <c r="A20" s="1">
        <f t="shared" ca="1" si="0"/>
        <v>7321</v>
      </c>
      <c r="B20" s="21">
        <v>7650</v>
      </c>
      <c r="C20" s="23">
        <v>0</v>
      </c>
    </row>
    <row r="21" spans="1:3" x14ac:dyDescent="0.25">
      <c r="A21" s="1">
        <f t="shared" ca="1" si="0"/>
        <v>7322</v>
      </c>
      <c r="B21" s="21">
        <v>7650</v>
      </c>
      <c r="C21" s="23">
        <v>0</v>
      </c>
    </row>
    <row r="22" spans="1:3" x14ac:dyDescent="0.25">
      <c r="A22" s="1">
        <f t="shared" ca="1" si="0"/>
        <v>7323</v>
      </c>
      <c r="B22" s="21">
        <v>7650</v>
      </c>
      <c r="C22" s="23">
        <v>0</v>
      </c>
    </row>
    <row r="23" spans="1:3" x14ac:dyDescent="0.25">
      <c r="A23" s="1">
        <f t="shared" ca="1" si="0"/>
        <v>7324</v>
      </c>
      <c r="B23" s="21">
        <v>7650</v>
      </c>
      <c r="C23" s="23">
        <v>0</v>
      </c>
    </row>
    <row r="24" spans="1:3" x14ac:dyDescent="0.25">
      <c r="A24" s="1">
        <f t="shared" ca="1" si="0"/>
        <v>7325</v>
      </c>
      <c r="B24" s="21">
        <v>7655</v>
      </c>
      <c r="C24" s="23">
        <v>0</v>
      </c>
    </row>
    <row r="25" spans="1:3" x14ac:dyDescent="0.25">
      <c r="A25" s="1">
        <f t="shared" ca="1" si="0"/>
        <v>7326</v>
      </c>
      <c r="B25" s="21">
        <v>7655</v>
      </c>
      <c r="C25" s="23">
        <v>0</v>
      </c>
    </row>
    <row r="26" spans="1:3" x14ac:dyDescent="0.25">
      <c r="A26" s="1">
        <f t="shared" ca="1" si="0"/>
        <v>7327</v>
      </c>
      <c r="B26" s="21">
        <v>7655</v>
      </c>
      <c r="C26" s="23">
        <v>0</v>
      </c>
    </row>
    <row r="27" spans="1:3" x14ac:dyDescent="0.25">
      <c r="A27" s="1">
        <f t="shared" ca="1" si="0"/>
        <v>7328</v>
      </c>
      <c r="B27" s="21">
        <v>7655</v>
      </c>
      <c r="C27" s="23">
        <v>290</v>
      </c>
    </row>
    <row r="28" spans="1:3" x14ac:dyDescent="0.25">
      <c r="A28" s="1">
        <f t="shared" ca="1" si="0"/>
        <v>7329</v>
      </c>
      <c r="B28" s="21">
        <v>7655</v>
      </c>
      <c r="C28" s="23">
        <v>0</v>
      </c>
    </row>
    <row r="29" spans="1:3" x14ac:dyDescent="0.25">
      <c r="A29" s="1">
        <f t="shared" ca="1" si="0"/>
        <v>7330</v>
      </c>
      <c r="B29" s="21">
        <v>7650</v>
      </c>
      <c r="C29" s="23">
        <v>0</v>
      </c>
    </row>
    <row r="30" spans="1:3" x14ac:dyDescent="0.25">
      <c r="A30" s="1">
        <f t="shared" ca="1" si="0"/>
        <v>7331</v>
      </c>
      <c r="B30" s="21">
        <v>7650</v>
      </c>
      <c r="C30" s="23">
        <v>0</v>
      </c>
    </row>
    <row r="31" spans="1:3" x14ac:dyDescent="0.25">
      <c r="A31" s="1">
        <f t="shared" ca="1" si="0"/>
        <v>7332</v>
      </c>
      <c r="B31" s="21">
        <v>7650</v>
      </c>
      <c r="C31" s="23">
        <v>0</v>
      </c>
    </row>
    <row r="32" spans="1:3" x14ac:dyDescent="0.25">
      <c r="A32" s="1">
        <f t="shared" ca="1" si="0"/>
        <v>7333</v>
      </c>
      <c r="B32" s="21">
        <v>7650</v>
      </c>
      <c r="C32" s="23">
        <v>0</v>
      </c>
    </row>
    <row r="33" spans="1:3" x14ac:dyDescent="0.25">
      <c r="A33" s="1">
        <f t="shared" ca="1" si="0"/>
        <v>7334</v>
      </c>
      <c r="B33" s="21">
        <v>7650</v>
      </c>
      <c r="C33" s="23">
        <v>0</v>
      </c>
    </row>
    <row r="34" spans="1:3" x14ac:dyDescent="0.25">
      <c r="A34" s="1">
        <f t="shared" ca="1" si="0"/>
        <v>7335</v>
      </c>
      <c r="B34" s="21">
        <v>7650</v>
      </c>
      <c r="C34" s="23">
        <v>0</v>
      </c>
    </row>
    <row r="35" spans="1:3" x14ac:dyDescent="0.25">
      <c r="A35" s="1">
        <f t="shared" ca="1" si="0"/>
        <v>7336</v>
      </c>
      <c r="B35" s="21">
        <v>7650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764.85483870967744</v>
      </c>
      <c r="C36" s="26">
        <f>SUM(C5:C35)/10</f>
        <v>57</v>
      </c>
    </row>
    <row r="37" spans="1:3" x14ac:dyDescent="0.25">
      <c r="A37" s="1">
        <f t="shared" ca="1" si="0"/>
        <v>7337</v>
      </c>
      <c r="B37" s="21">
        <v>7650</v>
      </c>
      <c r="C37" s="23">
        <v>0</v>
      </c>
    </row>
    <row r="38" spans="1:3" x14ac:dyDescent="0.25">
      <c r="A38" s="1">
        <f t="shared" ca="1" si="0"/>
        <v>7338</v>
      </c>
      <c r="B38" s="21">
        <v>7650</v>
      </c>
      <c r="C38" s="23">
        <v>0</v>
      </c>
    </row>
    <row r="39" spans="1:3" x14ac:dyDescent="0.25">
      <c r="A39" s="1">
        <f t="shared" ca="1" si="0"/>
        <v>7339</v>
      </c>
      <c r="B39" s="21">
        <v>7650</v>
      </c>
      <c r="C39" s="23">
        <v>0</v>
      </c>
    </row>
    <row r="40" spans="1:3" x14ac:dyDescent="0.25">
      <c r="A40" s="1">
        <f t="shared" ca="1" si="0"/>
        <v>7340</v>
      </c>
      <c r="B40" s="21">
        <v>7650</v>
      </c>
      <c r="C40" s="23">
        <v>0</v>
      </c>
    </row>
    <row r="41" spans="1:3" x14ac:dyDescent="0.25">
      <c r="A41" s="1">
        <f t="shared" ca="1" si="0"/>
        <v>7341</v>
      </c>
      <c r="B41" s="21">
        <v>7640</v>
      </c>
      <c r="C41" s="23">
        <v>0</v>
      </c>
    </row>
    <row r="42" spans="1:3" x14ac:dyDescent="0.25">
      <c r="A42" s="1">
        <f t="shared" ca="1" si="0"/>
        <v>7342</v>
      </c>
      <c r="B42" s="21">
        <v>7640</v>
      </c>
      <c r="C42" s="23">
        <v>0</v>
      </c>
    </row>
    <row r="43" spans="1:3" x14ac:dyDescent="0.25">
      <c r="A43" s="1">
        <f t="shared" ca="1" si="0"/>
        <v>7343</v>
      </c>
      <c r="B43" s="21">
        <v>7640</v>
      </c>
      <c r="C43" s="23">
        <v>0</v>
      </c>
    </row>
    <row r="44" spans="1:3" x14ac:dyDescent="0.25">
      <c r="A44" s="1">
        <f t="shared" ca="1" si="0"/>
        <v>7344</v>
      </c>
      <c r="B44" s="21">
        <v>7640</v>
      </c>
      <c r="C44" s="23">
        <v>0</v>
      </c>
    </row>
    <row r="45" spans="1:3" x14ac:dyDescent="0.25">
      <c r="A45" s="1">
        <f t="shared" ca="1" si="0"/>
        <v>7345</v>
      </c>
      <c r="B45" s="21">
        <v>7640</v>
      </c>
      <c r="C45" s="23">
        <v>0</v>
      </c>
    </row>
    <row r="46" spans="1:3" x14ac:dyDescent="0.25">
      <c r="A46" s="1">
        <f t="shared" ca="1" si="0"/>
        <v>7346</v>
      </c>
      <c r="B46" s="21">
        <v>7640</v>
      </c>
      <c r="C46" s="23">
        <v>0</v>
      </c>
    </row>
    <row r="47" spans="1:3" x14ac:dyDescent="0.25">
      <c r="A47" s="1">
        <f t="shared" ca="1" si="0"/>
        <v>7347</v>
      </c>
      <c r="B47" s="21">
        <v>7640</v>
      </c>
      <c r="C47" s="23">
        <v>0</v>
      </c>
    </row>
    <row r="48" spans="1:3" x14ac:dyDescent="0.25">
      <c r="A48" s="1">
        <f t="shared" ca="1" si="0"/>
        <v>7348</v>
      </c>
      <c r="B48" s="21">
        <v>7650</v>
      </c>
      <c r="C48" s="23">
        <v>0</v>
      </c>
    </row>
    <row r="49" spans="1:3" x14ac:dyDescent="0.25">
      <c r="A49" s="1">
        <f t="shared" ca="1" si="0"/>
        <v>7349</v>
      </c>
      <c r="B49" s="21">
        <v>7650</v>
      </c>
      <c r="C49" s="23">
        <v>0</v>
      </c>
    </row>
    <row r="50" spans="1:3" x14ac:dyDescent="0.25">
      <c r="A50" s="1">
        <f t="shared" ca="1" si="0"/>
        <v>7350</v>
      </c>
      <c r="B50" s="21">
        <v>7650</v>
      </c>
      <c r="C50" s="23">
        <v>0</v>
      </c>
    </row>
    <row r="51" spans="1:3" x14ac:dyDescent="0.25">
      <c r="A51" s="1">
        <f t="shared" ca="1" si="0"/>
        <v>7351</v>
      </c>
      <c r="B51" s="21">
        <v>7650</v>
      </c>
      <c r="C51" s="23">
        <v>0</v>
      </c>
    </row>
    <row r="52" spans="1:3" x14ac:dyDescent="0.25">
      <c r="A52" s="1">
        <f t="shared" ca="1" si="0"/>
        <v>7352</v>
      </c>
      <c r="B52" s="21">
        <v>7645</v>
      </c>
      <c r="C52" s="23">
        <v>0</v>
      </c>
    </row>
    <row r="53" spans="1:3" x14ac:dyDescent="0.25">
      <c r="A53" s="1">
        <f t="shared" ca="1" si="0"/>
        <v>7353</v>
      </c>
      <c r="B53" s="21">
        <v>7645</v>
      </c>
      <c r="C53" s="23">
        <v>0</v>
      </c>
    </row>
    <row r="54" spans="1:3" x14ac:dyDescent="0.25">
      <c r="A54" s="1">
        <f t="shared" ca="1" si="0"/>
        <v>7354</v>
      </c>
      <c r="B54" s="21">
        <v>7645</v>
      </c>
      <c r="C54" s="23">
        <v>0</v>
      </c>
    </row>
    <row r="55" spans="1:3" x14ac:dyDescent="0.25">
      <c r="A55" s="1">
        <f t="shared" ca="1" si="0"/>
        <v>7355</v>
      </c>
      <c r="B55" s="21">
        <v>7645</v>
      </c>
      <c r="C55" s="23">
        <v>0</v>
      </c>
    </row>
    <row r="56" spans="1:3" x14ac:dyDescent="0.25">
      <c r="A56" s="1">
        <f t="shared" ca="1" si="0"/>
        <v>7356</v>
      </c>
      <c r="B56" s="21">
        <v>7640</v>
      </c>
      <c r="C56" s="23">
        <v>0</v>
      </c>
    </row>
    <row r="57" spans="1:3" x14ac:dyDescent="0.25">
      <c r="A57" s="1">
        <f t="shared" ca="1" si="0"/>
        <v>7357</v>
      </c>
      <c r="B57" s="21">
        <v>7640</v>
      </c>
      <c r="C57" s="23">
        <v>0</v>
      </c>
    </row>
    <row r="58" spans="1:3" x14ac:dyDescent="0.25">
      <c r="A58" s="1">
        <f t="shared" ca="1" si="0"/>
        <v>7358</v>
      </c>
      <c r="B58" s="21">
        <v>7640</v>
      </c>
      <c r="C58" s="23">
        <v>0</v>
      </c>
    </row>
    <row r="59" spans="1:3" x14ac:dyDescent="0.25">
      <c r="A59" s="1">
        <f t="shared" ca="1" si="0"/>
        <v>7359</v>
      </c>
      <c r="B59" s="21">
        <v>7640</v>
      </c>
      <c r="C59" s="23">
        <v>0</v>
      </c>
    </row>
    <row r="60" spans="1:3" x14ac:dyDescent="0.25">
      <c r="A60" s="1">
        <f t="shared" ca="1" si="0"/>
        <v>7360</v>
      </c>
      <c r="B60" s="21">
        <v>7640</v>
      </c>
      <c r="C60" s="23">
        <v>0</v>
      </c>
    </row>
    <row r="61" spans="1:3" x14ac:dyDescent="0.25">
      <c r="A61" s="1">
        <f t="shared" ca="1" si="0"/>
        <v>7361</v>
      </c>
      <c r="B61" s="21">
        <v>7640</v>
      </c>
      <c r="C61" s="23">
        <v>0</v>
      </c>
    </row>
    <row r="62" spans="1:3" x14ac:dyDescent="0.25">
      <c r="A62" s="1">
        <f t="shared" ca="1" si="0"/>
        <v>7362</v>
      </c>
      <c r="B62" s="21">
        <v>7645</v>
      </c>
      <c r="C62" s="23">
        <v>0</v>
      </c>
    </row>
    <row r="63" spans="1:3" x14ac:dyDescent="0.25">
      <c r="A63" s="1">
        <f t="shared" ca="1" si="0"/>
        <v>7363</v>
      </c>
      <c r="B63" s="21">
        <v>7650</v>
      </c>
      <c r="C63" s="23">
        <v>0</v>
      </c>
    </row>
    <row r="64" spans="1:3" x14ac:dyDescent="0.25">
      <c r="A64" s="1">
        <f t="shared" ca="1" si="0"/>
        <v>7364</v>
      </c>
      <c r="B64" s="21">
        <v>7660</v>
      </c>
      <c r="C64" s="23">
        <v>0</v>
      </c>
    </row>
    <row r="65" spans="1:3" x14ac:dyDescent="0.25">
      <c r="A65" s="1">
        <f t="shared" ca="1" si="0"/>
        <v>7365</v>
      </c>
      <c r="B65" s="21">
        <v>7660</v>
      </c>
      <c r="C65" s="23">
        <v>0</v>
      </c>
    </row>
    <row r="66" spans="1:3" x14ac:dyDescent="0.25">
      <c r="A66" s="1" t="str">
        <f t="shared" ca="1" si="0"/>
        <v>Totaal</v>
      </c>
      <c r="B66" s="22">
        <f>IF(COUNT(B37:B65)&gt;0,AVERAGE(B37:B65)/10,"")</f>
        <v>764.5344827586207</v>
      </c>
      <c r="C66" s="26">
        <f>SUM(C37:C65)/10</f>
        <v>0</v>
      </c>
    </row>
    <row r="67" spans="1:3" x14ac:dyDescent="0.25">
      <c r="A67" s="1">
        <f t="shared" ca="1" si="0"/>
        <v>7366</v>
      </c>
      <c r="B67" s="21">
        <v>7650</v>
      </c>
      <c r="C67" s="23">
        <v>0</v>
      </c>
    </row>
    <row r="68" spans="1:3" x14ac:dyDescent="0.25">
      <c r="A68" s="1">
        <f t="shared" ca="1" si="0"/>
        <v>7367</v>
      </c>
      <c r="B68" s="21">
        <v>7660</v>
      </c>
      <c r="C68" s="23">
        <v>0</v>
      </c>
    </row>
    <row r="69" spans="1:3" x14ac:dyDescent="0.25">
      <c r="A69" s="1">
        <f t="shared" ca="1" si="0"/>
        <v>7368</v>
      </c>
      <c r="B69" s="21">
        <v>7670</v>
      </c>
      <c r="C69" s="23">
        <v>0</v>
      </c>
    </row>
    <row r="70" spans="1:3" x14ac:dyDescent="0.25">
      <c r="A70" s="1">
        <f t="shared" ca="1" si="0"/>
        <v>7369</v>
      </c>
      <c r="B70" s="21">
        <v>7670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7370</v>
      </c>
      <c r="B71" s="21">
        <v>7670</v>
      </c>
      <c r="C71" s="23">
        <v>0</v>
      </c>
    </row>
    <row r="72" spans="1:3" x14ac:dyDescent="0.25">
      <c r="A72" s="1">
        <f t="shared" ca="1" si="1"/>
        <v>7371</v>
      </c>
      <c r="B72" s="21">
        <v>7670</v>
      </c>
      <c r="C72" s="23">
        <v>0</v>
      </c>
    </row>
    <row r="73" spans="1:3" x14ac:dyDescent="0.25">
      <c r="A73" s="1">
        <f t="shared" ca="1" si="1"/>
        <v>7372</v>
      </c>
      <c r="B73" s="21">
        <v>7670</v>
      </c>
      <c r="C73" s="23">
        <v>0</v>
      </c>
    </row>
    <row r="74" spans="1:3" x14ac:dyDescent="0.25">
      <c r="A74" s="1">
        <f t="shared" ca="1" si="1"/>
        <v>7373</v>
      </c>
      <c r="B74" s="21">
        <v>7670</v>
      </c>
      <c r="C74" s="23">
        <v>0</v>
      </c>
    </row>
    <row r="75" spans="1:3" x14ac:dyDescent="0.25">
      <c r="A75" s="1">
        <f t="shared" ca="1" si="1"/>
        <v>7374</v>
      </c>
      <c r="B75" s="21">
        <v>7675</v>
      </c>
      <c r="C75" s="23">
        <v>0</v>
      </c>
    </row>
    <row r="76" spans="1:3" x14ac:dyDescent="0.25">
      <c r="A76" s="1">
        <f t="shared" ca="1" si="1"/>
        <v>7375</v>
      </c>
      <c r="B76" s="21">
        <v>7675</v>
      </c>
      <c r="C76" s="23">
        <v>0</v>
      </c>
    </row>
    <row r="77" spans="1:3" x14ac:dyDescent="0.25">
      <c r="A77" s="1">
        <f t="shared" ca="1" si="1"/>
        <v>7376</v>
      </c>
      <c r="B77" s="21">
        <v>7675</v>
      </c>
      <c r="C77" s="23">
        <v>0</v>
      </c>
    </row>
    <row r="78" spans="1:3" x14ac:dyDescent="0.25">
      <c r="A78" s="1">
        <f t="shared" ca="1" si="1"/>
        <v>7377</v>
      </c>
      <c r="B78" s="21">
        <v>7675</v>
      </c>
      <c r="C78" s="23">
        <v>0</v>
      </c>
    </row>
    <row r="79" spans="1:3" x14ac:dyDescent="0.25">
      <c r="A79" s="1">
        <f t="shared" ca="1" si="1"/>
        <v>7378</v>
      </c>
      <c r="B79" s="21">
        <v>7675</v>
      </c>
      <c r="C79" s="23">
        <v>0</v>
      </c>
    </row>
    <row r="80" spans="1:3" x14ac:dyDescent="0.25">
      <c r="A80" s="1">
        <f t="shared" ca="1" si="1"/>
        <v>7379</v>
      </c>
      <c r="B80" s="21">
        <v>7660</v>
      </c>
      <c r="C80" s="23">
        <v>0</v>
      </c>
    </row>
    <row r="81" spans="1:3" x14ac:dyDescent="0.25">
      <c r="A81" s="1">
        <f t="shared" ca="1" si="1"/>
        <v>7380</v>
      </c>
      <c r="B81" s="21">
        <v>7660</v>
      </c>
      <c r="C81" s="23">
        <v>0</v>
      </c>
    </row>
    <row r="82" spans="1:3" x14ac:dyDescent="0.25">
      <c r="A82" s="1">
        <f t="shared" ca="1" si="1"/>
        <v>7381</v>
      </c>
      <c r="B82" s="21">
        <v>7660</v>
      </c>
      <c r="C82" s="23">
        <v>0</v>
      </c>
    </row>
    <row r="83" spans="1:3" x14ac:dyDescent="0.25">
      <c r="A83" s="1">
        <f t="shared" ca="1" si="1"/>
        <v>7382</v>
      </c>
      <c r="B83" s="21">
        <v>7660</v>
      </c>
      <c r="C83" s="23">
        <v>0</v>
      </c>
    </row>
    <row r="84" spans="1:3" x14ac:dyDescent="0.25">
      <c r="A84" s="1">
        <f t="shared" ca="1" si="1"/>
        <v>7383</v>
      </c>
      <c r="B84" s="21">
        <v>7650</v>
      </c>
      <c r="C84" s="23">
        <v>0</v>
      </c>
    </row>
    <row r="85" spans="1:3" x14ac:dyDescent="0.25">
      <c r="A85" s="1">
        <f t="shared" ca="1" si="1"/>
        <v>7384</v>
      </c>
      <c r="B85" s="21">
        <v>7650</v>
      </c>
      <c r="C85" s="23">
        <v>0</v>
      </c>
    </row>
    <row r="86" spans="1:3" x14ac:dyDescent="0.25">
      <c r="A86" s="1">
        <f t="shared" ca="1" si="1"/>
        <v>7385</v>
      </c>
      <c r="B86" s="21">
        <v>7650</v>
      </c>
      <c r="C86" s="23">
        <v>0</v>
      </c>
    </row>
    <row r="87" spans="1:3" x14ac:dyDescent="0.25">
      <c r="A87" s="1">
        <f t="shared" ca="1" si="1"/>
        <v>7386</v>
      </c>
      <c r="B87" s="21">
        <v>7650</v>
      </c>
      <c r="C87" s="23">
        <v>0</v>
      </c>
    </row>
    <row r="88" spans="1:3" x14ac:dyDescent="0.25">
      <c r="A88" s="1">
        <f t="shared" ca="1" si="1"/>
        <v>7387</v>
      </c>
      <c r="B88" s="21">
        <v>7650</v>
      </c>
      <c r="C88" s="23">
        <v>0</v>
      </c>
    </row>
    <row r="89" spans="1:3" x14ac:dyDescent="0.25">
      <c r="A89" s="1">
        <f t="shared" ca="1" si="1"/>
        <v>7388</v>
      </c>
      <c r="B89" s="21">
        <v>7650</v>
      </c>
      <c r="C89" s="23">
        <v>0</v>
      </c>
    </row>
    <row r="90" spans="1:3" x14ac:dyDescent="0.25">
      <c r="A90" s="1">
        <f t="shared" ca="1" si="1"/>
        <v>7389</v>
      </c>
      <c r="B90" s="21">
        <v>7650</v>
      </c>
      <c r="C90" s="23">
        <v>0</v>
      </c>
    </row>
    <row r="91" spans="1:3" x14ac:dyDescent="0.25">
      <c r="A91" s="1">
        <f t="shared" ca="1" si="1"/>
        <v>7390</v>
      </c>
      <c r="B91" s="21">
        <v>7660</v>
      </c>
      <c r="C91" s="23">
        <v>0</v>
      </c>
    </row>
    <row r="92" spans="1:3" x14ac:dyDescent="0.25">
      <c r="A92" s="1">
        <f t="shared" ca="1" si="1"/>
        <v>7391</v>
      </c>
      <c r="B92" s="21">
        <v>7660</v>
      </c>
      <c r="C92" s="23">
        <v>0</v>
      </c>
    </row>
    <row r="93" spans="1:3" x14ac:dyDescent="0.25">
      <c r="A93" s="1">
        <f t="shared" ca="1" si="1"/>
        <v>7392</v>
      </c>
      <c r="B93" s="21">
        <v>7660</v>
      </c>
      <c r="C93" s="23">
        <v>0</v>
      </c>
    </row>
    <row r="94" spans="1:3" x14ac:dyDescent="0.25">
      <c r="A94" s="1">
        <f t="shared" ca="1" si="1"/>
        <v>7393</v>
      </c>
      <c r="B94" s="21">
        <v>7660</v>
      </c>
      <c r="C94" s="23">
        <v>0</v>
      </c>
    </row>
    <row r="95" spans="1:3" x14ac:dyDescent="0.25">
      <c r="A95" s="1">
        <f t="shared" ca="1" si="1"/>
        <v>7394</v>
      </c>
      <c r="B95" s="21">
        <v>7665</v>
      </c>
      <c r="C95" s="23">
        <v>0</v>
      </c>
    </row>
    <row r="96" spans="1:3" x14ac:dyDescent="0.25">
      <c r="A96" s="1">
        <f t="shared" ca="1" si="1"/>
        <v>7395</v>
      </c>
      <c r="B96" s="21">
        <v>7665</v>
      </c>
      <c r="C96" s="23">
        <v>0</v>
      </c>
    </row>
    <row r="97" spans="1:3" x14ac:dyDescent="0.25">
      <c r="A97" s="1">
        <f t="shared" ca="1" si="1"/>
        <v>7396</v>
      </c>
      <c r="B97" s="21">
        <v>7660</v>
      </c>
      <c r="C97" s="23">
        <v>0</v>
      </c>
    </row>
    <row r="98" spans="1:3" x14ac:dyDescent="0.25">
      <c r="A98" s="1" t="str">
        <f t="shared" ca="1" si="1"/>
        <v>Totaal</v>
      </c>
      <c r="B98" s="22">
        <f>IF(COUNT(B67:B97)&gt;0,AVERAGE(B67:B97)/10,"")</f>
        <v>766.20967741935488</v>
      </c>
      <c r="C98" s="26">
        <f>SUM(C67:C97)/10</f>
        <v>0</v>
      </c>
    </row>
    <row r="99" spans="1:3" x14ac:dyDescent="0.25">
      <c r="A99" s="1">
        <f t="shared" ca="1" si="1"/>
        <v>7397</v>
      </c>
      <c r="B99" s="21">
        <v>7660</v>
      </c>
      <c r="C99" s="23">
        <v>0</v>
      </c>
    </row>
    <row r="100" spans="1:3" x14ac:dyDescent="0.25">
      <c r="A100" s="1">
        <f t="shared" ca="1" si="1"/>
        <v>7398</v>
      </c>
      <c r="B100" s="21">
        <v>7660</v>
      </c>
      <c r="C100" s="23">
        <v>0</v>
      </c>
    </row>
    <row r="101" spans="1:3" x14ac:dyDescent="0.25">
      <c r="A101" s="1">
        <f t="shared" ca="1" si="1"/>
        <v>7399</v>
      </c>
      <c r="B101" s="21">
        <v>7670</v>
      </c>
      <c r="C101" s="23">
        <v>0</v>
      </c>
    </row>
    <row r="102" spans="1:3" x14ac:dyDescent="0.25">
      <c r="A102" s="1">
        <f t="shared" ca="1" si="1"/>
        <v>7400</v>
      </c>
      <c r="B102" s="21">
        <v>7660</v>
      </c>
      <c r="C102" s="23">
        <v>0</v>
      </c>
    </row>
    <row r="103" spans="1:3" x14ac:dyDescent="0.25">
      <c r="A103" s="1">
        <f t="shared" ca="1" si="1"/>
        <v>7401</v>
      </c>
      <c r="B103" s="21">
        <v>7660</v>
      </c>
      <c r="C103" s="23">
        <v>0</v>
      </c>
    </row>
    <row r="104" spans="1:3" x14ac:dyDescent="0.25">
      <c r="A104" s="1">
        <f t="shared" ca="1" si="1"/>
        <v>7402</v>
      </c>
      <c r="B104" s="21">
        <v>7665</v>
      </c>
      <c r="C104" s="23">
        <v>0</v>
      </c>
    </row>
    <row r="105" spans="1:3" x14ac:dyDescent="0.25">
      <c r="A105" s="1">
        <f t="shared" ca="1" si="1"/>
        <v>7403</v>
      </c>
      <c r="B105" s="21">
        <v>7670</v>
      </c>
      <c r="C105" s="23">
        <v>0</v>
      </c>
    </row>
    <row r="106" spans="1:3" x14ac:dyDescent="0.25">
      <c r="A106" s="1">
        <f t="shared" ca="1" si="1"/>
        <v>7404</v>
      </c>
      <c r="B106" s="21">
        <v>7670</v>
      </c>
      <c r="C106" s="23">
        <v>0</v>
      </c>
    </row>
    <row r="107" spans="1:3" x14ac:dyDescent="0.25">
      <c r="A107" s="1">
        <f t="shared" ca="1" si="1"/>
        <v>7405</v>
      </c>
      <c r="B107" s="21">
        <v>7675</v>
      </c>
      <c r="C107" s="23">
        <v>0</v>
      </c>
    </row>
    <row r="108" spans="1:3" x14ac:dyDescent="0.25">
      <c r="A108" s="1">
        <f t="shared" ca="1" si="1"/>
        <v>7406</v>
      </c>
      <c r="B108" s="21">
        <v>7660</v>
      </c>
      <c r="C108" s="23">
        <v>0</v>
      </c>
    </row>
    <row r="109" spans="1:3" x14ac:dyDescent="0.25">
      <c r="A109" s="1">
        <f t="shared" ca="1" si="1"/>
        <v>7407</v>
      </c>
      <c r="B109" s="21">
        <v>7660</v>
      </c>
      <c r="C109" s="23">
        <v>0</v>
      </c>
    </row>
    <row r="110" spans="1:3" x14ac:dyDescent="0.25">
      <c r="A110" s="1">
        <f t="shared" ca="1" si="1"/>
        <v>7408</v>
      </c>
      <c r="B110" s="21">
        <v>7660</v>
      </c>
      <c r="C110" s="23">
        <v>0</v>
      </c>
    </row>
    <row r="111" spans="1:3" x14ac:dyDescent="0.25">
      <c r="A111" s="1">
        <f t="shared" ca="1" si="1"/>
        <v>7409</v>
      </c>
      <c r="B111" s="21">
        <v>7660</v>
      </c>
      <c r="C111" s="23">
        <v>0</v>
      </c>
    </row>
    <row r="112" spans="1:3" x14ac:dyDescent="0.25">
      <c r="A112" s="1">
        <f t="shared" ca="1" si="1"/>
        <v>7410</v>
      </c>
      <c r="B112" s="21">
        <v>7650</v>
      </c>
      <c r="C112" s="23">
        <v>0</v>
      </c>
    </row>
    <row r="113" spans="1:3" x14ac:dyDescent="0.25">
      <c r="A113" s="1">
        <f t="shared" ca="1" si="1"/>
        <v>7411</v>
      </c>
      <c r="B113" s="21">
        <v>7650</v>
      </c>
      <c r="C113" s="23">
        <v>0</v>
      </c>
    </row>
    <row r="114" spans="1:3" x14ac:dyDescent="0.25">
      <c r="A114" s="1">
        <f t="shared" ca="1" si="1"/>
        <v>7412</v>
      </c>
      <c r="B114" s="21">
        <v>7650</v>
      </c>
      <c r="C114" s="23">
        <v>0</v>
      </c>
    </row>
    <row r="115" spans="1:3" x14ac:dyDescent="0.25">
      <c r="A115" s="1">
        <f t="shared" ca="1" si="1"/>
        <v>7413</v>
      </c>
      <c r="B115" s="21">
        <v>7650</v>
      </c>
      <c r="C115" s="23">
        <v>0</v>
      </c>
    </row>
    <row r="116" spans="1:3" x14ac:dyDescent="0.25">
      <c r="A116" s="1">
        <f t="shared" ca="1" si="1"/>
        <v>7414</v>
      </c>
      <c r="B116" s="21">
        <v>7650</v>
      </c>
      <c r="C116" s="23">
        <v>0</v>
      </c>
    </row>
    <row r="117" spans="1:3" x14ac:dyDescent="0.25">
      <c r="A117" s="1">
        <f t="shared" ca="1" si="1"/>
        <v>7415</v>
      </c>
      <c r="B117" s="21">
        <v>7650</v>
      </c>
      <c r="C117" s="23">
        <v>0</v>
      </c>
    </row>
    <row r="118" spans="1:3" x14ac:dyDescent="0.25">
      <c r="A118" s="1">
        <f t="shared" ca="1" si="1"/>
        <v>7416</v>
      </c>
      <c r="B118" s="21">
        <v>7650</v>
      </c>
      <c r="C118" s="23">
        <v>0</v>
      </c>
    </row>
    <row r="119" spans="1:3" x14ac:dyDescent="0.25">
      <c r="A119" s="1">
        <f t="shared" ca="1" si="1"/>
        <v>7417</v>
      </c>
      <c r="B119" s="21">
        <v>7650</v>
      </c>
      <c r="C119" s="23">
        <v>0</v>
      </c>
    </row>
    <row r="120" spans="1:3" x14ac:dyDescent="0.25">
      <c r="A120" s="1">
        <f t="shared" ca="1" si="1"/>
        <v>7418</v>
      </c>
      <c r="B120" s="21">
        <v>7655</v>
      </c>
      <c r="C120" s="23">
        <v>0</v>
      </c>
    </row>
    <row r="121" spans="1:3" x14ac:dyDescent="0.25">
      <c r="A121" s="1">
        <f t="shared" ca="1" si="1"/>
        <v>7419</v>
      </c>
      <c r="B121" s="21">
        <v>7655</v>
      </c>
      <c r="C121" s="23">
        <v>0</v>
      </c>
    </row>
    <row r="122" spans="1:3" x14ac:dyDescent="0.25">
      <c r="A122" s="1">
        <f t="shared" ca="1" si="1"/>
        <v>7420</v>
      </c>
      <c r="B122" s="21">
        <v>7660</v>
      </c>
      <c r="C122" s="23">
        <v>0</v>
      </c>
    </row>
    <row r="123" spans="1:3" x14ac:dyDescent="0.25">
      <c r="A123" s="1">
        <f t="shared" ca="1" si="1"/>
        <v>7421</v>
      </c>
      <c r="B123" s="21">
        <v>7660</v>
      </c>
      <c r="C123" s="23">
        <v>0</v>
      </c>
    </row>
    <row r="124" spans="1:3" x14ac:dyDescent="0.25">
      <c r="A124" s="1">
        <f t="shared" ca="1" si="1"/>
        <v>7422</v>
      </c>
      <c r="B124" s="21">
        <v>7660</v>
      </c>
      <c r="C124" s="23">
        <v>0</v>
      </c>
    </row>
    <row r="125" spans="1:3" x14ac:dyDescent="0.25">
      <c r="A125" s="1">
        <f t="shared" ca="1" si="1"/>
        <v>7423</v>
      </c>
      <c r="B125" s="21">
        <v>7650</v>
      </c>
      <c r="C125" s="23">
        <v>0</v>
      </c>
    </row>
    <row r="126" spans="1:3" x14ac:dyDescent="0.25">
      <c r="A126" s="1">
        <f t="shared" ca="1" si="1"/>
        <v>7424</v>
      </c>
      <c r="B126" s="21">
        <v>7650</v>
      </c>
      <c r="C126" s="23">
        <v>0</v>
      </c>
    </row>
    <row r="127" spans="1:3" x14ac:dyDescent="0.25">
      <c r="A127" s="1">
        <f t="shared" ca="1" si="1"/>
        <v>7425</v>
      </c>
      <c r="B127" s="21">
        <v>7650</v>
      </c>
      <c r="C127" s="23">
        <v>0</v>
      </c>
    </row>
    <row r="128" spans="1:3" x14ac:dyDescent="0.25">
      <c r="A128" s="1">
        <f t="shared" ca="1" si="1"/>
        <v>7426</v>
      </c>
      <c r="B128" s="21">
        <v>7660</v>
      </c>
      <c r="C128" s="23">
        <v>0</v>
      </c>
    </row>
    <row r="129" spans="1:3" x14ac:dyDescent="0.25">
      <c r="A129" s="1" t="str">
        <f t="shared" ca="1" si="1"/>
        <v>Totaal</v>
      </c>
      <c r="B129" s="22">
        <f>IF(COUNT(B99:B128)&gt;0,AVERAGE(B99:B128)/10,"")</f>
        <v>765.76666666666665</v>
      </c>
      <c r="C129" s="26">
        <f>SUM(C99:C128)/10</f>
        <v>0</v>
      </c>
    </row>
    <row r="130" spans="1:3" x14ac:dyDescent="0.25">
      <c r="A130" s="1">
        <f t="shared" ca="1" si="1"/>
        <v>7427</v>
      </c>
      <c r="B130" s="21">
        <v>7650</v>
      </c>
      <c r="C130" s="23">
        <v>0</v>
      </c>
    </row>
    <row r="131" spans="1:3" x14ac:dyDescent="0.25">
      <c r="A131" s="1">
        <f t="shared" ca="1" si="1"/>
        <v>7428</v>
      </c>
      <c r="B131" s="21">
        <v>7650</v>
      </c>
      <c r="C131" s="23">
        <v>0</v>
      </c>
    </row>
    <row r="132" spans="1:3" x14ac:dyDescent="0.25">
      <c r="A132" s="1">
        <f t="shared" ca="1" si="1"/>
        <v>7429</v>
      </c>
      <c r="B132" s="21">
        <v>7650</v>
      </c>
      <c r="C132" s="23">
        <v>0</v>
      </c>
    </row>
    <row r="133" spans="1:3" x14ac:dyDescent="0.25">
      <c r="A133" s="1">
        <f t="shared" ca="1" si="1"/>
        <v>7430</v>
      </c>
      <c r="B133" s="21">
        <v>7650</v>
      </c>
      <c r="C133" s="23">
        <v>0</v>
      </c>
    </row>
    <row r="134" spans="1:3" x14ac:dyDescent="0.25">
      <c r="A134" s="1">
        <f t="shared" ca="1" si="1"/>
        <v>7431</v>
      </c>
      <c r="B134" s="21">
        <v>7650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7432</v>
      </c>
      <c r="B135" s="21">
        <v>7650</v>
      </c>
      <c r="C135" s="23">
        <v>0</v>
      </c>
    </row>
    <row r="136" spans="1:3" x14ac:dyDescent="0.25">
      <c r="A136" s="1">
        <f t="shared" ca="1" si="2"/>
        <v>7433</v>
      </c>
      <c r="B136" s="21">
        <v>7650</v>
      </c>
      <c r="C136" s="23">
        <v>0</v>
      </c>
    </row>
    <row r="137" spans="1:3" x14ac:dyDescent="0.25">
      <c r="A137" s="1">
        <f t="shared" ca="1" si="2"/>
        <v>7434</v>
      </c>
      <c r="B137" s="21">
        <v>7645</v>
      </c>
      <c r="C137" s="23">
        <v>0</v>
      </c>
    </row>
    <row r="138" spans="1:3" x14ac:dyDescent="0.25">
      <c r="A138" s="1">
        <f t="shared" ca="1" si="2"/>
        <v>7435</v>
      </c>
      <c r="B138" s="21">
        <v>7645</v>
      </c>
      <c r="C138" s="23">
        <v>0</v>
      </c>
    </row>
    <row r="139" spans="1:3" x14ac:dyDescent="0.25">
      <c r="A139" s="1">
        <f t="shared" ca="1" si="2"/>
        <v>7436</v>
      </c>
      <c r="B139" s="21">
        <v>7645</v>
      </c>
      <c r="C139" s="23">
        <v>0</v>
      </c>
    </row>
    <row r="140" spans="1:3" x14ac:dyDescent="0.25">
      <c r="A140" s="1">
        <f t="shared" ca="1" si="2"/>
        <v>7437</v>
      </c>
      <c r="B140" s="21">
        <v>7640</v>
      </c>
      <c r="C140" s="23">
        <v>0</v>
      </c>
    </row>
    <row r="141" spans="1:3" x14ac:dyDescent="0.25">
      <c r="A141" s="1">
        <f t="shared" ca="1" si="2"/>
        <v>7438</v>
      </c>
      <c r="B141" s="21">
        <v>7640</v>
      </c>
      <c r="C141" s="23">
        <v>0</v>
      </c>
    </row>
    <row r="142" spans="1:3" x14ac:dyDescent="0.25">
      <c r="A142" s="1">
        <f t="shared" ca="1" si="2"/>
        <v>7439</v>
      </c>
      <c r="B142" s="21">
        <v>7640</v>
      </c>
      <c r="C142" s="23">
        <v>0</v>
      </c>
    </row>
    <row r="143" spans="1:3" x14ac:dyDescent="0.25">
      <c r="A143" s="1">
        <f t="shared" ca="1" si="2"/>
        <v>7440</v>
      </c>
      <c r="B143" s="21">
        <v>7640</v>
      </c>
      <c r="C143" s="23">
        <v>0</v>
      </c>
    </row>
    <row r="144" spans="1:3" x14ac:dyDescent="0.25">
      <c r="A144" s="1">
        <f t="shared" ca="1" si="2"/>
        <v>7441</v>
      </c>
      <c r="B144" s="21">
        <v>7645</v>
      </c>
      <c r="C144" s="23">
        <v>0</v>
      </c>
    </row>
    <row r="145" spans="1:3" x14ac:dyDescent="0.25">
      <c r="A145" s="1">
        <f t="shared" ca="1" si="2"/>
        <v>7442</v>
      </c>
      <c r="B145" s="21">
        <v>7645</v>
      </c>
      <c r="C145" s="23">
        <v>0</v>
      </c>
    </row>
    <row r="146" spans="1:3" x14ac:dyDescent="0.25">
      <c r="A146" s="1">
        <f t="shared" ca="1" si="2"/>
        <v>7443</v>
      </c>
      <c r="B146" s="21">
        <v>7645</v>
      </c>
      <c r="C146" s="23">
        <v>0</v>
      </c>
    </row>
    <row r="147" spans="1:3" x14ac:dyDescent="0.25">
      <c r="A147" s="1">
        <f t="shared" ca="1" si="2"/>
        <v>7444</v>
      </c>
      <c r="B147" s="21">
        <v>7645</v>
      </c>
      <c r="C147" s="23">
        <v>0</v>
      </c>
    </row>
    <row r="148" spans="1:3" x14ac:dyDescent="0.25">
      <c r="A148" s="1">
        <f t="shared" ca="1" si="2"/>
        <v>7445</v>
      </c>
      <c r="B148" s="21">
        <v>7650</v>
      </c>
      <c r="C148" s="23">
        <v>0</v>
      </c>
    </row>
    <row r="149" spans="1:3" x14ac:dyDescent="0.25">
      <c r="A149" s="1">
        <f t="shared" ca="1" si="2"/>
        <v>7446</v>
      </c>
      <c r="B149" s="21">
        <v>7650</v>
      </c>
      <c r="C149" s="23">
        <v>0</v>
      </c>
    </row>
    <row r="150" spans="1:3" x14ac:dyDescent="0.25">
      <c r="A150" s="1">
        <f t="shared" ca="1" si="2"/>
        <v>7447</v>
      </c>
      <c r="B150" s="21">
        <v>7650</v>
      </c>
      <c r="C150" s="23">
        <v>0</v>
      </c>
    </row>
    <row r="151" spans="1:3" x14ac:dyDescent="0.25">
      <c r="A151" s="1">
        <f t="shared" ca="1" si="2"/>
        <v>7448</v>
      </c>
      <c r="B151" s="21">
        <v>7645</v>
      </c>
      <c r="C151" s="23">
        <v>0</v>
      </c>
    </row>
    <row r="152" spans="1:3" x14ac:dyDescent="0.25">
      <c r="A152" s="1">
        <f t="shared" ca="1" si="2"/>
        <v>7449</v>
      </c>
      <c r="B152" s="21">
        <v>7645</v>
      </c>
      <c r="C152" s="23">
        <v>0</v>
      </c>
    </row>
    <row r="153" spans="1:3" x14ac:dyDescent="0.25">
      <c r="A153" s="1">
        <f t="shared" ca="1" si="2"/>
        <v>7450</v>
      </c>
      <c r="B153" s="21">
        <v>7645</v>
      </c>
      <c r="C153" s="23">
        <v>0</v>
      </c>
    </row>
    <row r="154" spans="1:3" x14ac:dyDescent="0.25">
      <c r="A154" s="1">
        <f t="shared" ca="1" si="2"/>
        <v>7451</v>
      </c>
      <c r="B154" s="21">
        <v>7640</v>
      </c>
      <c r="C154" s="23">
        <v>0</v>
      </c>
    </row>
    <row r="155" spans="1:3" x14ac:dyDescent="0.25">
      <c r="A155" s="1">
        <f t="shared" ca="1" si="2"/>
        <v>7452</v>
      </c>
      <c r="B155" s="21">
        <v>7640</v>
      </c>
      <c r="C155" s="23">
        <v>0</v>
      </c>
    </row>
    <row r="156" spans="1:3" x14ac:dyDescent="0.25">
      <c r="A156" s="1">
        <f t="shared" ca="1" si="2"/>
        <v>7453</v>
      </c>
      <c r="B156" s="21">
        <v>7635</v>
      </c>
      <c r="C156" s="23">
        <v>0</v>
      </c>
    </row>
    <row r="157" spans="1:3" x14ac:dyDescent="0.25">
      <c r="A157" s="1">
        <f t="shared" ca="1" si="2"/>
        <v>7454</v>
      </c>
      <c r="B157" s="21">
        <v>7635</v>
      </c>
      <c r="C157" s="23">
        <v>0</v>
      </c>
    </row>
    <row r="158" spans="1:3" x14ac:dyDescent="0.25">
      <c r="A158" s="1">
        <f t="shared" ca="1" si="2"/>
        <v>7455</v>
      </c>
      <c r="B158" s="21">
        <v>7635</v>
      </c>
      <c r="C158" s="23">
        <v>0</v>
      </c>
    </row>
    <row r="159" spans="1:3" x14ac:dyDescent="0.25">
      <c r="A159" s="1">
        <f t="shared" ca="1" si="2"/>
        <v>7456</v>
      </c>
      <c r="B159" s="21">
        <v>7640</v>
      </c>
      <c r="C159" s="23">
        <v>0</v>
      </c>
    </row>
    <row r="160" spans="1:3" x14ac:dyDescent="0.25">
      <c r="A160" s="1">
        <f t="shared" ca="1" si="2"/>
        <v>7457</v>
      </c>
      <c r="B160" s="21">
        <v>7640</v>
      </c>
      <c r="C160" s="23">
        <v>0</v>
      </c>
    </row>
    <row r="161" spans="1:3" x14ac:dyDescent="0.25">
      <c r="A161" s="1" t="str">
        <f t="shared" ca="1" si="2"/>
        <v>Totaal</v>
      </c>
      <c r="B161" s="22">
        <f>IF(COUNT(B130:B160)&gt;0,AVERAGE(B130:B160)/10,"")</f>
        <v>764.43548387096769</v>
      </c>
      <c r="C161" s="26">
        <f>SUM(C130:C160)/10</f>
        <v>0</v>
      </c>
    </row>
    <row r="162" spans="1:3" x14ac:dyDescent="0.25">
      <c r="A162" s="1">
        <f t="shared" ca="1" si="2"/>
        <v>7458</v>
      </c>
      <c r="B162" s="21">
        <v>7640</v>
      </c>
      <c r="C162" s="23">
        <v>0</v>
      </c>
    </row>
    <row r="163" spans="1:3" x14ac:dyDescent="0.25">
      <c r="A163" s="1">
        <f t="shared" ca="1" si="2"/>
        <v>7459</v>
      </c>
      <c r="B163" s="21">
        <v>7640</v>
      </c>
      <c r="C163" s="23">
        <v>0</v>
      </c>
    </row>
    <row r="164" spans="1:3" x14ac:dyDescent="0.25">
      <c r="A164" s="1">
        <f t="shared" ca="1" si="2"/>
        <v>7460</v>
      </c>
      <c r="B164" s="21">
        <v>7640</v>
      </c>
      <c r="C164" s="23">
        <v>0</v>
      </c>
    </row>
    <row r="165" spans="1:3" x14ac:dyDescent="0.25">
      <c r="A165" s="1">
        <f t="shared" ca="1" si="2"/>
        <v>7461</v>
      </c>
      <c r="B165" s="21">
        <v>7640</v>
      </c>
      <c r="C165" s="23">
        <v>0</v>
      </c>
    </row>
    <row r="166" spans="1:3" x14ac:dyDescent="0.25">
      <c r="A166" s="1">
        <f t="shared" ca="1" si="2"/>
        <v>7462</v>
      </c>
      <c r="B166" s="21">
        <v>7640</v>
      </c>
      <c r="C166" s="23">
        <v>0</v>
      </c>
    </row>
    <row r="167" spans="1:3" x14ac:dyDescent="0.25">
      <c r="A167" s="1">
        <f t="shared" ca="1" si="2"/>
        <v>7463</v>
      </c>
      <c r="B167" s="21">
        <v>7640</v>
      </c>
      <c r="C167" s="23">
        <v>0</v>
      </c>
    </row>
    <row r="168" spans="1:3" x14ac:dyDescent="0.25">
      <c r="A168" s="1">
        <f t="shared" ca="1" si="2"/>
        <v>7464</v>
      </c>
      <c r="B168" s="21">
        <v>7640</v>
      </c>
      <c r="C168" s="23">
        <v>0</v>
      </c>
    </row>
    <row r="169" spans="1:3" x14ac:dyDescent="0.25">
      <c r="A169" s="1">
        <f t="shared" ca="1" si="2"/>
        <v>7465</v>
      </c>
      <c r="B169" s="21">
        <v>7645</v>
      </c>
      <c r="C169" s="23">
        <v>0</v>
      </c>
    </row>
    <row r="170" spans="1:3" x14ac:dyDescent="0.25">
      <c r="A170" s="1">
        <f t="shared" ca="1" si="2"/>
        <v>7466</v>
      </c>
      <c r="B170" s="21">
        <v>7645</v>
      </c>
      <c r="C170" s="23">
        <v>0</v>
      </c>
    </row>
    <row r="171" spans="1:3" x14ac:dyDescent="0.25">
      <c r="A171" s="1">
        <f t="shared" ca="1" si="2"/>
        <v>7467</v>
      </c>
      <c r="B171" s="21">
        <v>7645</v>
      </c>
      <c r="C171" s="23">
        <v>0</v>
      </c>
    </row>
    <row r="172" spans="1:3" x14ac:dyDescent="0.25">
      <c r="A172" s="1">
        <f t="shared" ca="1" si="2"/>
        <v>7468</v>
      </c>
      <c r="B172" s="21">
        <v>7645</v>
      </c>
      <c r="C172" s="23">
        <v>0</v>
      </c>
    </row>
    <row r="173" spans="1:3" x14ac:dyDescent="0.25">
      <c r="A173" s="1">
        <f t="shared" ca="1" si="2"/>
        <v>7469</v>
      </c>
      <c r="B173" s="21">
        <v>7645</v>
      </c>
      <c r="C173" s="23">
        <v>0</v>
      </c>
    </row>
    <row r="174" spans="1:3" x14ac:dyDescent="0.25">
      <c r="A174" s="1">
        <f t="shared" ca="1" si="2"/>
        <v>7470</v>
      </c>
      <c r="B174" s="21">
        <v>7645</v>
      </c>
      <c r="C174" s="23">
        <v>0</v>
      </c>
    </row>
    <row r="175" spans="1:3" x14ac:dyDescent="0.25">
      <c r="A175" s="1">
        <f t="shared" ca="1" si="2"/>
        <v>7471</v>
      </c>
      <c r="B175" s="21">
        <v>7650</v>
      </c>
      <c r="C175" s="23">
        <v>0</v>
      </c>
    </row>
    <row r="176" spans="1:3" x14ac:dyDescent="0.25">
      <c r="A176" s="1">
        <f t="shared" ca="1" si="2"/>
        <v>7472</v>
      </c>
      <c r="B176" s="21">
        <v>7650</v>
      </c>
      <c r="C176" s="23">
        <v>0</v>
      </c>
    </row>
    <row r="177" spans="1:3" x14ac:dyDescent="0.25">
      <c r="A177" s="1">
        <f t="shared" ca="1" si="2"/>
        <v>7473</v>
      </c>
      <c r="B177" s="21">
        <v>7650</v>
      </c>
      <c r="C177" s="23">
        <v>0</v>
      </c>
    </row>
    <row r="178" spans="1:3" x14ac:dyDescent="0.25">
      <c r="A178" s="1">
        <f t="shared" ca="1" si="2"/>
        <v>7474</v>
      </c>
      <c r="B178" s="21">
        <v>7650</v>
      </c>
      <c r="C178" s="23">
        <v>0</v>
      </c>
    </row>
    <row r="179" spans="1:3" x14ac:dyDescent="0.25">
      <c r="A179" s="1">
        <f t="shared" ca="1" si="2"/>
        <v>7475</v>
      </c>
      <c r="B179" s="21">
        <v>7650</v>
      </c>
      <c r="C179" s="23">
        <v>0</v>
      </c>
    </row>
    <row r="180" spans="1:3" x14ac:dyDescent="0.25">
      <c r="A180" s="1">
        <f t="shared" ca="1" si="2"/>
        <v>7476</v>
      </c>
      <c r="B180" s="21">
        <v>7640</v>
      </c>
      <c r="C180" s="23">
        <v>0</v>
      </c>
    </row>
    <row r="181" spans="1:3" x14ac:dyDescent="0.25">
      <c r="A181" s="1">
        <f t="shared" ca="1" si="2"/>
        <v>7477</v>
      </c>
      <c r="B181" s="21">
        <v>7640</v>
      </c>
      <c r="C181" s="23">
        <v>0</v>
      </c>
    </row>
    <row r="182" spans="1:3" x14ac:dyDescent="0.25">
      <c r="A182" s="1">
        <f t="shared" ca="1" si="2"/>
        <v>7478</v>
      </c>
      <c r="B182" s="21">
        <v>7640</v>
      </c>
      <c r="C182" s="23">
        <v>0</v>
      </c>
    </row>
    <row r="183" spans="1:3" x14ac:dyDescent="0.25">
      <c r="A183" s="1">
        <f t="shared" ca="1" si="2"/>
        <v>7479</v>
      </c>
      <c r="B183" s="21">
        <v>7640</v>
      </c>
      <c r="C183" s="23">
        <v>0</v>
      </c>
    </row>
    <row r="184" spans="1:3" x14ac:dyDescent="0.25">
      <c r="A184" s="1">
        <f t="shared" ca="1" si="2"/>
        <v>7480</v>
      </c>
      <c r="B184" s="21">
        <v>7640</v>
      </c>
      <c r="C184" s="23">
        <v>0</v>
      </c>
    </row>
    <row r="185" spans="1:3" x14ac:dyDescent="0.25">
      <c r="A185" s="1">
        <f t="shared" ca="1" si="2"/>
        <v>7481</v>
      </c>
      <c r="B185" s="21">
        <v>7650</v>
      </c>
      <c r="C185" s="23">
        <v>0</v>
      </c>
    </row>
    <row r="186" spans="1:3" x14ac:dyDescent="0.25">
      <c r="A186" s="1">
        <f t="shared" ca="1" si="2"/>
        <v>7482</v>
      </c>
      <c r="B186" s="21">
        <v>7650</v>
      </c>
      <c r="C186" s="23">
        <v>20</v>
      </c>
    </row>
    <row r="187" spans="1:3" x14ac:dyDescent="0.25">
      <c r="A187" s="1">
        <f t="shared" ca="1" si="2"/>
        <v>7483</v>
      </c>
      <c r="B187" s="21">
        <v>7650</v>
      </c>
      <c r="C187" s="23">
        <v>0</v>
      </c>
    </row>
    <row r="188" spans="1:3" x14ac:dyDescent="0.25">
      <c r="A188" s="1">
        <f t="shared" ca="1" si="2"/>
        <v>7484</v>
      </c>
      <c r="B188" s="21">
        <v>7650</v>
      </c>
      <c r="C188" s="23">
        <v>0</v>
      </c>
    </row>
    <row r="189" spans="1:3" x14ac:dyDescent="0.25">
      <c r="A189" s="1">
        <f t="shared" ca="1" si="2"/>
        <v>7485</v>
      </c>
      <c r="B189" s="21">
        <v>7650</v>
      </c>
      <c r="C189" s="23">
        <v>0</v>
      </c>
    </row>
    <row r="190" spans="1:3" x14ac:dyDescent="0.25">
      <c r="A190" s="1">
        <f t="shared" ca="1" si="2"/>
        <v>7486</v>
      </c>
      <c r="B190" s="21">
        <v>7650</v>
      </c>
      <c r="C190" s="23">
        <v>0</v>
      </c>
    </row>
    <row r="191" spans="1:3" x14ac:dyDescent="0.25">
      <c r="A191" s="1">
        <f t="shared" ca="1" si="2"/>
        <v>7487</v>
      </c>
      <c r="B191" s="21">
        <v>7650</v>
      </c>
      <c r="C191" s="23">
        <v>0</v>
      </c>
    </row>
    <row r="192" spans="1:3" x14ac:dyDescent="0.25">
      <c r="A192" s="1" t="str">
        <f t="shared" ca="1" si="2"/>
        <v>Totaal</v>
      </c>
      <c r="B192" s="22">
        <f>IF(COUNT(B162:B191)&gt;0,AVERAGE(B162:B191)/10,"")</f>
        <v>764.5</v>
      </c>
      <c r="C192" s="26">
        <f>SUM(C162:C191)/10</f>
        <v>2</v>
      </c>
    </row>
    <row r="193" spans="1:3" x14ac:dyDescent="0.25">
      <c r="A193" s="1">
        <f t="shared" ca="1" si="2"/>
        <v>7488</v>
      </c>
      <c r="B193" s="21">
        <v>7650</v>
      </c>
      <c r="C193" s="23">
        <v>0</v>
      </c>
    </row>
    <row r="194" spans="1:3" x14ac:dyDescent="0.25">
      <c r="A194" s="1">
        <f t="shared" ca="1" si="2"/>
        <v>7489</v>
      </c>
      <c r="B194" s="21">
        <v>7650</v>
      </c>
      <c r="C194" s="23">
        <v>0</v>
      </c>
    </row>
    <row r="195" spans="1:3" x14ac:dyDescent="0.25">
      <c r="A195" s="1">
        <f t="shared" ca="1" si="2"/>
        <v>7490</v>
      </c>
      <c r="B195" s="21">
        <v>7650</v>
      </c>
      <c r="C195" s="23">
        <v>70</v>
      </c>
    </row>
    <row r="196" spans="1:3" x14ac:dyDescent="0.25">
      <c r="A196" s="1">
        <f t="shared" ca="1" si="2"/>
        <v>7491</v>
      </c>
      <c r="B196" s="21">
        <v>7650</v>
      </c>
      <c r="C196" s="23">
        <v>0</v>
      </c>
    </row>
    <row r="197" spans="1:3" x14ac:dyDescent="0.25">
      <c r="A197" s="1">
        <f t="shared" ca="1" si="2"/>
        <v>7492</v>
      </c>
      <c r="B197" s="21">
        <v>7650</v>
      </c>
      <c r="C197" s="23">
        <v>0</v>
      </c>
    </row>
    <row r="198" spans="1:3" x14ac:dyDescent="0.25">
      <c r="A198" s="1">
        <f t="shared" ca="1" si="2"/>
        <v>7493</v>
      </c>
      <c r="B198" s="21">
        <v>7660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7494</v>
      </c>
      <c r="B199" s="21">
        <v>7660</v>
      </c>
      <c r="C199" s="23">
        <v>0</v>
      </c>
    </row>
    <row r="200" spans="1:3" x14ac:dyDescent="0.25">
      <c r="A200" s="1">
        <f t="shared" ca="1" si="3"/>
        <v>7495</v>
      </c>
      <c r="B200" s="21">
        <v>7660</v>
      </c>
      <c r="C200" s="23">
        <v>0</v>
      </c>
    </row>
    <row r="201" spans="1:3" x14ac:dyDescent="0.25">
      <c r="A201" s="1">
        <f t="shared" ca="1" si="3"/>
        <v>7496</v>
      </c>
      <c r="B201" s="21">
        <v>7660</v>
      </c>
      <c r="C201" s="23">
        <v>0</v>
      </c>
    </row>
    <row r="202" spans="1:3" x14ac:dyDescent="0.25">
      <c r="A202" s="1">
        <f t="shared" ca="1" si="3"/>
        <v>7497</v>
      </c>
      <c r="B202" s="21">
        <v>7660</v>
      </c>
      <c r="C202" s="23">
        <v>0</v>
      </c>
    </row>
    <row r="203" spans="1:3" x14ac:dyDescent="0.25">
      <c r="A203" s="1">
        <f t="shared" ca="1" si="3"/>
        <v>7498</v>
      </c>
      <c r="B203" s="21">
        <v>7660</v>
      </c>
      <c r="C203" s="23">
        <v>0</v>
      </c>
    </row>
    <row r="204" spans="1:3" x14ac:dyDescent="0.25">
      <c r="A204" s="1">
        <f t="shared" ca="1" si="3"/>
        <v>7499</v>
      </c>
      <c r="B204" s="21">
        <v>7660</v>
      </c>
      <c r="C204" s="23">
        <v>0</v>
      </c>
    </row>
    <row r="205" spans="1:3" x14ac:dyDescent="0.25">
      <c r="A205" s="1">
        <f t="shared" ca="1" si="3"/>
        <v>7500</v>
      </c>
      <c r="B205" s="21">
        <v>7660</v>
      </c>
      <c r="C205" s="23">
        <v>0</v>
      </c>
    </row>
    <row r="206" spans="1:3" x14ac:dyDescent="0.25">
      <c r="A206" s="1">
        <f t="shared" ca="1" si="3"/>
        <v>7501</v>
      </c>
      <c r="B206" s="21">
        <v>7660</v>
      </c>
      <c r="C206" s="23">
        <v>0</v>
      </c>
    </row>
    <row r="207" spans="1:3" x14ac:dyDescent="0.25">
      <c r="A207" s="1">
        <f t="shared" ca="1" si="3"/>
        <v>7502</v>
      </c>
      <c r="B207" s="21">
        <v>7650</v>
      </c>
      <c r="C207" s="23">
        <v>0</v>
      </c>
    </row>
    <row r="208" spans="1:3" x14ac:dyDescent="0.25">
      <c r="A208" s="1">
        <f t="shared" ca="1" si="3"/>
        <v>7503</v>
      </c>
      <c r="B208" s="21">
        <v>7650</v>
      </c>
      <c r="C208" s="23">
        <v>0</v>
      </c>
    </row>
    <row r="209" spans="1:3" x14ac:dyDescent="0.25">
      <c r="A209" s="1">
        <f t="shared" ca="1" si="3"/>
        <v>7504</v>
      </c>
      <c r="B209" s="21">
        <v>7650</v>
      </c>
      <c r="C209" s="23">
        <v>0</v>
      </c>
    </row>
    <row r="210" spans="1:3" x14ac:dyDescent="0.25">
      <c r="A210" s="1">
        <f t="shared" ca="1" si="3"/>
        <v>7505</v>
      </c>
      <c r="B210" s="21">
        <v>7645</v>
      </c>
      <c r="C210" s="23">
        <v>0</v>
      </c>
    </row>
    <row r="211" spans="1:3" x14ac:dyDescent="0.25">
      <c r="A211" s="1">
        <f t="shared" ca="1" si="3"/>
        <v>7506</v>
      </c>
      <c r="B211" s="21">
        <v>7645</v>
      </c>
      <c r="C211" s="23">
        <v>0</v>
      </c>
    </row>
    <row r="212" spans="1:3" x14ac:dyDescent="0.25">
      <c r="A212" s="1">
        <f t="shared" ca="1" si="3"/>
        <v>7507</v>
      </c>
      <c r="B212" s="21">
        <v>7645</v>
      </c>
      <c r="C212" s="23">
        <v>0</v>
      </c>
    </row>
    <row r="213" spans="1:3" x14ac:dyDescent="0.25">
      <c r="A213" s="1">
        <f t="shared" ca="1" si="3"/>
        <v>7508</v>
      </c>
      <c r="B213" s="21">
        <v>7645</v>
      </c>
      <c r="C213" s="23">
        <v>0</v>
      </c>
    </row>
    <row r="214" spans="1:3" x14ac:dyDescent="0.25">
      <c r="A214" s="1">
        <f t="shared" ca="1" si="3"/>
        <v>7509</v>
      </c>
      <c r="B214" s="21">
        <v>7645</v>
      </c>
      <c r="C214" s="23">
        <v>0</v>
      </c>
    </row>
    <row r="215" spans="1:3" x14ac:dyDescent="0.25">
      <c r="A215" s="1">
        <f t="shared" ca="1" si="3"/>
        <v>7510</v>
      </c>
      <c r="B215" s="21">
        <v>7645</v>
      </c>
      <c r="C215" s="23">
        <v>0</v>
      </c>
    </row>
    <row r="216" spans="1:3" x14ac:dyDescent="0.25">
      <c r="A216" s="1">
        <f t="shared" ca="1" si="3"/>
        <v>7511</v>
      </c>
      <c r="B216" s="21">
        <v>7645</v>
      </c>
      <c r="C216" s="23">
        <v>10</v>
      </c>
    </row>
    <row r="217" spans="1:3" x14ac:dyDescent="0.25">
      <c r="A217" s="1">
        <f t="shared" ca="1" si="3"/>
        <v>7512</v>
      </c>
      <c r="B217" s="21">
        <v>7650</v>
      </c>
      <c r="C217" s="23">
        <v>0</v>
      </c>
    </row>
    <row r="218" spans="1:3" x14ac:dyDescent="0.25">
      <c r="A218" s="1">
        <f t="shared" ca="1" si="3"/>
        <v>7513</v>
      </c>
      <c r="B218" s="21">
        <v>7650</v>
      </c>
      <c r="C218" s="23">
        <v>30</v>
      </c>
    </row>
    <row r="219" spans="1:3" x14ac:dyDescent="0.25">
      <c r="A219" s="1">
        <f t="shared" ca="1" si="3"/>
        <v>7514</v>
      </c>
      <c r="B219" s="21">
        <v>7660</v>
      </c>
      <c r="C219" s="23">
        <v>0</v>
      </c>
    </row>
    <row r="220" spans="1:3" x14ac:dyDescent="0.25">
      <c r="A220" s="1">
        <f t="shared" ca="1" si="3"/>
        <v>7515</v>
      </c>
      <c r="B220" s="21">
        <v>7660</v>
      </c>
      <c r="C220" s="23">
        <v>0</v>
      </c>
    </row>
    <row r="221" spans="1:3" x14ac:dyDescent="0.25">
      <c r="A221" s="1">
        <f t="shared" ca="1" si="3"/>
        <v>7516</v>
      </c>
      <c r="B221" s="21">
        <v>7660</v>
      </c>
      <c r="C221" s="23">
        <v>0</v>
      </c>
    </row>
    <row r="222" spans="1:3" x14ac:dyDescent="0.25">
      <c r="A222" s="1">
        <f t="shared" ca="1" si="3"/>
        <v>7517</v>
      </c>
      <c r="B222" s="21">
        <v>7660</v>
      </c>
      <c r="C222" s="23">
        <v>10</v>
      </c>
    </row>
    <row r="223" spans="1:3" x14ac:dyDescent="0.25">
      <c r="A223" s="1">
        <f t="shared" ca="1" si="3"/>
        <v>7518</v>
      </c>
      <c r="B223" s="21">
        <v>7660</v>
      </c>
      <c r="C223" s="23">
        <v>0</v>
      </c>
    </row>
    <row r="224" spans="1:3" x14ac:dyDescent="0.25">
      <c r="A224" s="1" t="str">
        <f t="shared" ca="1" si="3"/>
        <v>Totaal</v>
      </c>
      <c r="B224" s="22">
        <f>IF(COUNT(B193:B223)&gt;0,AVERAGE(B193:B223)/10,"")</f>
        <v>765.33870967741927</v>
      </c>
      <c r="C224" s="26">
        <f>SUM(C193:C223)/10</f>
        <v>12</v>
      </c>
    </row>
    <row r="225" spans="1:3" x14ac:dyDescent="0.25">
      <c r="A225" s="1">
        <f t="shared" ca="1" si="3"/>
        <v>7519</v>
      </c>
      <c r="B225" s="21">
        <v>7660</v>
      </c>
      <c r="C225" s="23">
        <v>0</v>
      </c>
    </row>
    <row r="226" spans="1:3" x14ac:dyDescent="0.25">
      <c r="A226" s="1">
        <f t="shared" ca="1" si="3"/>
        <v>7520</v>
      </c>
      <c r="B226" s="21">
        <v>7660</v>
      </c>
      <c r="C226" s="23">
        <v>0</v>
      </c>
    </row>
    <row r="227" spans="1:3" x14ac:dyDescent="0.25">
      <c r="A227" s="1">
        <f t="shared" ca="1" si="3"/>
        <v>7521</v>
      </c>
      <c r="B227" s="21">
        <v>7660</v>
      </c>
      <c r="C227" s="23">
        <v>0</v>
      </c>
    </row>
    <row r="228" spans="1:3" x14ac:dyDescent="0.25">
      <c r="A228" s="1">
        <f t="shared" ca="1" si="3"/>
        <v>7522</v>
      </c>
      <c r="B228" s="21">
        <v>7665</v>
      </c>
      <c r="C228" s="23">
        <v>0</v>
      </c>
    </row>
    <row r="229" spans="1:3" x14ac:dyDescent="0.25">
      <c r="A229" s="1">
        <f t="shared" ca="1" si="3"/>
        <v>7523</v>
      </c>
      <c r="B229" s="21">
        <v>7665</v>
      </c>
      <c r="C229" s="23">
        <v>0</v>
      </c>
    </row>
    <row r="230" spans="1:3" x14ac:dyDescent="0.25">
      <c r="A230" s="1">
        <f t="shared" ca="1" si="3"/>
        <v>7524</v>
      </c>
      <c r="B230" s="21">
        <v>7660</v>
      </c>
      <c r="C230" s="23">
        <v>0</v>
      </c>
    </row>
    <row r="231" spans="1:3" x14ac:dyDescent="0.25">
      <c r="A231" s="1">
        <f t="shared" ca="1" si="3"/>
        <v>7525</v>
      </c>
      <c r="B231" s="21">
        <v>7660</v>
      </c>
      <c r="C231" s="23">
        <v>0</v>
      </c>
    </row>
    <row r="232" spans="1:3" x14ac:dyDescent="0.25">
      <c r="A232" s="1">
        <f t="shared" ca="1" si="3"/>
        <v>7526</v>
      </c>
      <c r="B232" s="21">
        <v>7650</v>
      </c>
      <c r="C232" s="23">
        <v>0</v>
      </c>
    </row>
    <row r="233" spans="1:3" x14ac:dyDescent="0.25">
      <c r="A233" s="1">
        <f t="shared" ca="1" si="3"/>
        <v>7527</v>
      </c>
      <c r="B233" s="21">
        <v>7645</v>
      </c>
      <c r="C233" s="23">
        <v>0</v>
      </c>
    </row>
    <row r="234" spans="1:3" x14ac:dyDescent="0.25">
      <c r="A234" s="1">
        <f t="shared" ca="1" si="3"/>
        <v>7528</v>
      </c>
      <c r="B234" s="21">
        <v>7645</v>
      </c>
      <c r="C234" s="23">
        <v>0</v>
      </c>
    </row>
    <row r="235" spans="1:3" x14ac:dyDescent="0.25">
      <c r="A235" s="1">
        <f t="shared" ca="1" si="3"/>
        <v>7529</v>
      </c>
      <c r="B235" s="21">
        <v>7645</v>
      </c>
      <c r="C235" s="23">
        <v>0</v>
      </c>
    </row>
    <row r="236" spans="1:3" x14ac:dyDescent="0.25">
      <c r="A236" s="1">
        <f t="shared" ca="1" si="3"/>
        <v>7530</v>
      </c>
      <c r="B236" s="21">
        <v>7650</v>
      </c>
      <c r="C236" s="23">
        <v>0</v>
      </c>
    </row>
    <row r="237" spans="1:3" x14ac:dyDescent="0.25">
      <c r="A237" s="1">
        <f t="shared" ca="1" si="3"/>
        <v>7531</v>
      </c>
      <c r="B237" s="21">
        <v>7650</v>
      </c>
      <c r="C237" s="23">
        <v>0</v>
      </c>
    </row>
    <row r="238" spans="1:3" x14ac:dyDescent="0.25">
      <c r="A238" s="1">
        <f t="shared" ca="1" si="3"/>
        <v>7532</v>
      </c>
      <c r="B238" s="21">
        <v>7650</v>
      </c>
      <c r="C238" s="23">
        <v>0</v>
      </c>
    </row>
    <row r="239" spans="1:3" x14ac:dyDescent="0.25">
      <c r="A239" s="1">
        <f t="shared" ca="1" si="3"/>
        <v>7533</v>
      </c>
      <c r="B239" s="21">
        <v>7650</v>
      </c>
      <c r="C239" s="23">
        <v>0</v>
      </c>
    </row>
    <row r="240" spans="1:3" x14ac:dyDescent="0.25">
      <c r="A240" s="1">
        <f t="shared" ca="1" si="3"/>
        <v>7534</v>
      </c>
      <c r="B240" s="21">
        <v>7650</v>
      </c>
      <c r="C240" s="23">
        <v>0</v>
      </c>
    </row>
    <row r="241" spans="1:3" x14ac:dyDescent="0.25">
      <c r="A241" s="1">
        <f t="shared" ca="1" si="3"/>
        <v>7535</v>
      </c>
      <c r="B241" s="21">
        <v>7650</v>
      </c>
      <c r="C241" s="23">
        <v>0</v>
      </c>
    </row>
    <row r="242" spans="1:3" x14ac:dyDescent="0.25">
      <c r="A242" s="1">
        <f t="shared" ca="1" si="3"/>
        <v>7536</v>
      </c>
      <c r="B242" s="21">
        <v>7650</v>
      </c>
      <c r="C242" s="23">
        <v>0</v>
      </c>
    </row>
    <row r="243" spans="1:3" x14ac:dyDescent="0.25">
      <c r="A243" s="1">
        <f t="shared" ca="1" si="3"/>
        <v>7537</v>
      </c>
      <c r="B243" s="21">
        <v>7650</v>
      </c>
      <c r="C243" s="23">
        <v>0</v>
      </c>
    </row>
    <row r="244" spans="1:3" x14ac:dyDescent="0.25">
      <c r="A244" s="1">
        <f t="shared" ca="1" si="3"/>
        <v>7538</v>
      </c>
      <c r="B244" s="21">
        <v>7655</v>
      </c>
      <c r="C244" s="23">
        <v>70</v>
      </c>
    </row>
    <row r="245" spans="1:3" x14ac:dyDescent="0.25">
      <c r="A245" s="1">
        <f t="shared" ca="1" si="3"/>
        <v>7539</v>
      </c>
      <c r="B245" s="21">
        <v>7651</v>
      </c>
      <c r="C245" s="23">
        <v>0</v>
      </c>
    </row>
    <row r="246" spans="1:3" x14ac:dyDescent="0.25">
      <c r="A246" s="1">
        <f t="shared" ca="1" si="3"/>
        <v>7540</v>
      </c>
      <c r="B246" s="21">
        <v>7655</v>
      </c>
      <c r="C246" s="23">
        <v>0</v>
      </c>
    </row>
    <row r="247" spans="1:3" x14ac:dyDescent="0.25">
      <c r="A247" s="1">
        <f t="shared" ca="1" si="3"/>
        <v>7541</v>
      </c>
      <c r="B247" s="21">
        <v>7655</v>
      </c>
      <c r="C247" s="23">
        <v>0</v>
      </c>
    </row>
    <row r="248" spans="1:3" x14ac:dyDescent="0.25">
      <c r="A248" s="1">
        <f t="shared" ca="1" si="3"/>
        <v>7542</v>
      </c>
      <c r="B248" s="21">
        <v>7655</v>
      </c>
      <c r="C248" s="23">
        <v>0</v>
      </c>
    </row>
    <row r="249" spans="1:3" x14ac:dyDescent="0.25">
      <c r="A249" s="1">
        <f t="shared" ca="1" si="3"/>
        <v>7543</v>
      </c>
      <c r="B249" s="21">
        <v>7660</v>
      </c>
      <c r="C249" s="23">
        <v>0</v>
      </c>
    </row>
    <row r="250" spans="1:3" x14ac:dyDescent="0.25">
      <c r="A250" s="1">
        <f t="shared" ca="1" si="3"/>
        <v>7544</v>
      </c>
      <c r="B250" s="21">
        <v>7660</v>
      </c>
      <c r="C250" s="23">
        <v>0</v>
      </c>
    </row>
    <row r="251" spans="1:3" x14ac:dyDescent="0.25">
      <c r="A251" s="1">
        <f t="shared" ca="1" si="3"/>
        <v>7545</v>
      </c>
      <c r="B251" s="21">
        <v>7660</v>
      </c>
      <c r="C251" s="23">
        <v>0</v>
      </c>
    </row>
    <row r="252" spans="1:3" x14ac:dyDescent="0.25">
      <c r="A252" s="1">
        <f t="shared" ca="1" si="3"/>
        <v>7546</v>
      </c>
      <c r="B252" s="21">
        <v>7660</v>
      </c>
      <c r="C252" s="23">
        <v>0</v>
      </c>
    </row>
    <row r="253" spans="1:3" x14ac:dyDescent="0.25">
      <c r="A253" s="1">
        <f t="shared" ca="1" si="3"/>
        <v>7547</v>
      </c>
      <c r="B253" s="21">
        <v>7660</v>
      </c>
      <c r="C253" s="23">
        <v>0</v>
      </c>
    </row>
    <row r="254" spans="1:3" x14ac:dyDescent="0.25">
      <c r="A254" s="1">
        <f t="shared" ca="1" si="3"/>
        <v>7548</v>
      </c>
      <c r="B254" s="21">
        <v>7660</v>
      </c>
      <c r="C254" s="23">
        <v>0</v>
      </c>
    </row>
    <row r="255" spans="1:3" x14ac:dyDescent="0.25">
      <c r="A255" s="1">
        <f t="shared" ca="1" si="3"/>
        <v>7549</v>
      </c>
      <c r="B255" s="21">
        <v>7660</v>
      </c>
      <c r="C255" s="23">
        <v>0</v>
      </c>
    </row>
    <row r="256" spans="1:3" x14ac:dyDescent="0.25">
      <c r="A256" s="1" t="str">
        <f t="shared" ca="1" si="3"/>
        <v>Totaal</v>
      </c>
      <c r="B256" s="22">
        <f>IF(COUNT(B225:B255)&gt;0,AVERAGE(B225:B255)/10,"")</f>
        <v>765.50322580645161</v>
      </c>
      <c r="C256" s="26">
        <f>SUM(C225:C255)/10</f>
        <v>7</v>
      </c>
    </row>
    <row r="257" spans="1:3" x14ac:dyDescent="0.25">
      <c r="A257" s="1">
        <f t="shared" ca="1" si="3"/>
        <v>7550</v>
      </c>
      <c r="B257" s="21">
        <v>7660</v>
      </c>
      <c r="C257" s="23">
        <v>0</v>
      </c>
    </row>
    <row r="258" spans="1:3" x14ac:dyDescent="0.25">
      <c r="A258" s="1">
        <f t="shared" ca="1" si="3"/>
        <v>7551</v>
      </c>
      <c r="B258" s="21">
        <v>7660</v>
      </c>
      <c r="C258" s="23">
        <v>0</v>
      </c>
    </row>
    <row r="259" spans="1:3" x14ac:dyDescent="0.25">
      <c r="A259" s="1">
        <f t="shared" ca="1" si="3"/>
        <v>7552</v>
      </c>
      <c r="B259" s="21">
        <v>7660</v>
      </c>
      <c r="C259" s="23">
        <v>0</v>
      </c>
    </row>
    <row r="260" spans="1:3" x14ac:dyDescent="0.25">
      <c r="A260" s="1">
        <f t="shared" ca="1" si="3"/>
        <v>7553</v>
      </c>
      <c r="B260" s="21">
        <v>7660</v>
      </c>
      <c r="C260" s="23">
        <v>0</v>
      </c>
    </row>
    <row r="261" spans="1:3" x14ac:dyDescent="0.25">
      <c r="A261" s="1">
        <f t="shared" ca="1" si="3"/>
        <v>7554</v>
      </c>
      <c r="B261" s="21">
        <v>7660</v>
      </c>
      <c r="C261" s="23">
        <v>0</v>
      </c>
    </row>
    <row r="262" spans="1:3" x14ac:dyDescent="0.25">
      <c r="A262" s="1">
        <f t="shared" ca="1" si="3"/>
        <v>7555</v>
      </c>
      <c r="B262" s="21">
        <v>7660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7556</v>
      </c>
      <c r="B263" s="21">
        <v>7655</v>
      </c>
      <c r="C263" s="23">
        <v>0</v>
      </c>
    </row>
    <row r="264" spans="1:3" x14ac:dyDescent="0.25">
      <c r="A264" s="1">
        <f t="shared" ca="1" si="4"/>
        <v>7557</v>
      </c>
      <c r="B264" s="21">
        <v>7655</v>
      </c>
      <c r="C264" s="23">
        <v>0</v>
      </c>
    </row>
    <row r="265" spans="1:3" x14ac:dyDescent="0.25">
      <c r="A265" s="1">
        <f t="shared" ca="1" si="4"/>
        <v>7558</v>
      </c>
      <c r="B265" s="21">
        <v>7660</v>
      </c>
      <c r="C265" s="23">
        <v>0</v>
      </c>
    </row>
    <row r="266" spans="1:3" x14ac:dyDescent="0.25">
      <c r="A266" s="1">
        <f t="shared" ca="1" si="4"/>
        <v>7559</v>
      </c>
      <c r="B266" s="21">
        <v>7665</v>
      </c>
      <c r="C266" s="23">
        <v>0</v>
      </c>
    </row>
    <row r="267" spans="1:3" x14ac:dyDescent="0.25">
      <c r="A267" s="1">
        <f t="shared" ca="1" si="4"/>
        <v>7560</v>
      </c>
      <c r="B267" s="21">
        <v>7665</v>
      </c>
      <c r="C267" s="23">
        <v>65</v>
      </c>
    </row>
    <row r="268" spans="1:3" x14ac:dyDescent="0.25">
      <c r="A268" s="1">
        <f t="shared" ca="1" si="4"/>
        <v>7561</v>
      </c>
      <c r="B268" s="21">
        <v>7660</v>
      </c>
      <c r="C268" s="23">
        <v>0</v>
      </c>
    </row>
    <row r="269" spans="1:3" x14ac:dyDescent="0.25">
      <c r="A269" s="1">
        <f t="shared" ca="1" si="4"/>
        <v>7562</v>
      </c>
      <c r="B269" s="21">
        <v>7650</v>
      </c>
      <c r="C269" s="23">
        <v>0</v>
      </c>
    </row>
    <row r="270" spans="1:3" x14ac:dyDescent="0.25">
      <c r="A270" s="1">
        <f t="shared" ca="1" si="4"/>
        <v>7563</v>
      </c>
      <c r="B270" s="21">
        <v>7640</v>
      </c>
      <c r="C270" s="23">
        <v>285</v>
      </c>
    </row>
    <row r="271" spans="1:3" x14ac:dyDescent="0.25">
      <c r="A271" s="1">
        <f t="shared" ca="1" si="4"/>
        <v>7564</v>
      </c>
      <c r="B271" s="21">
        <v>7645</v>
      </c>
      <c r="C271" s="23">
        <v>0</v>
      </c>
    </row>
    <row r="272" spans="1:3" x14ac:dyDescent="0.25">
      <c r="A272" s="1">
        <f t="shared" ca="1" si="4"/>
        <v>7565</v>
      </c>
      <c r="B272" s="21">
        <v>7640</v>
      </c>
      <c r="C272" s="23">
        <v>0</v>
      </c>
    </row>
    <row r="273" spans="1:3" x14ac:dyDescent="0.25">
      <c r="A273" s="1">
        <f t="shared" ca="1" si="4"/>
        <v>7566</v>
      </c>
      <c r="B273" s="21">
        <v>7640</v>
      </c>
      <c r="C273" s="23">
        <v>0</v>
      </c>
    </row>
    <row r="274" spans="1:3" x14ac:dyDescent="0.25">
      <c r="A274" s="1">
        <f t="shared" ca="1" si="4"/>
        <v>7567</v>
      </c>
      <c r="B274" s="21">
        <v>7635</v>
      </c>
      <c r="C274" s="23">
        <v>0</v>
      </c>
    </row>
    <row r="275" spans="1:3" x14ac:dyDescent="0.25">
      <c r="A275" s="1">
        <f t="shared" ca="1" si="4"/>
        <v>7568</v>
      </c>
      <c r="B275" s="21">
        <v>7635</v>
      </c>
      <c r="C275" s="23">
        <v>0</v>
      </c>
    </row>
    <row r="276" spans="1:3" x14ac:dyDescent="0.25">
      <c r="A276" s="1">
        <f t="shared" ca="1" si="4"/>
        <v>7569</v>
      </c>
      <c r="B276" s="21">
        <v>7635</v>
      </c>
      <c r="C276" s="23">
        <v>0</v>
      </c>
    </row>
    <row r="277" spans="1:3" x14ac:dyDescent="0.25">
      <c r="A277" s="1">
        <f t="shared" ca="1" si="4"/>
        <v>7570</v>
      </c>
      <c r="B277" s="21">
        <v>7635</v>
      </c>
      <c r="C277" s="23">
        <v>0</v>
      </c>
    </row>
    <row r="278" spans="1:3" x14ac:dyDescent="0.25">
      <c r="A278" s="1">
        <f t="shared" ca="1" si="4"/>
        <v>7571</v>
      </c>
      <c r="B278" s="21">
        <v>7640</v>
      </c>
      <c r="C278" s="23">
        <v>20</v>
      </c>
    </row>
    <row r="279" spans="1:3" x14ac:dyDescent="0.25">
      <c r="A279" s="1">
        <f t="shared" ca="1" si="4"/>
        <v>7572</v>
      </c>
      <c r="B279" s="21">
        <v>7640</v>
      </c>
      <c r="C279" s="23">
        <v>0</v>
      </c>
    </row>
    <row r="280" spans="1:3" x14ac:dyDescent="0.25">
      <c r="A280" s="1">
        <f t="shared" ca="1" si="4"/>
        <v>7573</v>
      </c>
      <c r="B280" s="21">
        <v>7640</v>
      </c>
      <c r="C280" s="23">
        <v>0</v>
      </c>
    </row>
    <row r="281" spans="1:3" x14ac:dyDescent="0.25">
      <c r="A281" s="1">
        <f t="shared" ca="1" si="4"/>
        <v>7574</v>
      </c>
      <c r="B281" s="21">
        <v>7645</v>
      </c>
      <c r="C281" s="23">
        <v>0</v>
      </c>
    </row>
    <row r="282" spans="1:3" x14ac:dyDescent="0.25">
      <c r="A282" s="1">
        <f t="shared" ca="1" si="4"/>
        <v>7575</v>
      </c>
      <c r="B282" s="21">
        <v>7640</v>
      </c>
      <c r="C282" s="23">
        <v>0</v>
      </c>
    </row>
    <row r="283" spans="1:3" x14ac:dyDescent="0.25">
      <c r="A283" s="1">
        <f t="shared" ca="1" si="4"/>
        <v>7576</v>
      </c>
      <c r="B283" s="21">
        <v>7650</v>
      </c>
      <c r="C283" s="23">
        <v>0</v>
      </c>
    </row>
    <row r="284" spans="1:3" x14ac:dyDescent="0.25">
      <c r="A284" s="1">
        <f t="shared" ca="1" si="4"/>
        <v>7577</v>
      </c>
      <c r="B284" s="21">
        <v>7650</v>
      </c>
      <c r="C284" s="23">
        <v>0</v>
      </c>
    </row>
    <row r="285" spans="1:3" x14ac:dyDescent="0.25">
      <c r="A285" s="1">
        <f t="shared" ca="1" si="4"/>
        <v>7578</v>
      </c>
      <c r="B285" s="21">
        <v>7660</v>
      </c>
      <c r="C285" s="23">
        <v>0</v>
      </c>
    </row>
    <row r="286" spans="1:3" x14ac:dyDescent="0.25">
      <c r="A286" s="1">
        <f t="shared" ca="1" si="4"/>
        <v>7579</v>
      </c>
      <c r="B286" s="21">
        <v>7660</v>
      </c>
      <c r="C286" s="23">
        <v>0</v>
      </c>
    </row>
    <row r="287" spans="1:3" x14ac:dyDescent="0.25">
      <c r="A287" s="1" t="str">
        <f t="shared" ca="1" si="4"/>
        <v>Totaal</v>
      </c>
      <c r="B287" s="22">
        <f>IF(COUNT(B257:B286)&gt;0,AVERAGE(B257:B286)/10,"")</f>
        <v>765</v>
      </c>
      <c r="C287" s="26">
        <f>SUM(C257:C286)/10</f>
        <v>37</v>
      </c>
    </row>
    <row r="288" spans="1:3" x14ac:dyDescent="0.25">
      <c r="A288" s="1">
        <f t="shared" ca="1" si="4"/>
        <v>7580</v>
      </c>
      <c r="B288" s="21">
        <v>7670</v>
      </c>
      <c r="C288" s="23">
        <v>0</v>
      </c>
    </row>
    <row r="289" spans="1:3" x14ac:dyDescent="0.25">
      <c r="A289" s="1">
        <f t="shared" ca="1" si="4"/>
        <v>7581</v>
      </c>
      <c r="B289" s="21">
        <v>7670</v>
      </c>
      <c r="C289" s="23">
        <v>0</v>
      </c>
    </row>
    <row r="290" spans="1:3" x14ac:dyDescent="0.25">
      <c r="A290" s="1">
        <f t="shared" ca="1" si="4"/>
        <v>7582</v>
      </c>
      <c r="B290" s="21">
        <v>7660</v>
      </c>
      <c r="C290" s="23">
        <v>0</v>
      </c>
    </row>
    <row r="291" spans="1:3" x14ac:dyDescent="0.25">
      <c r="A291" s="1">
        <f t="shared" ca="1" si="4"/>
        <v>7583</v>
      </c>
      <c r="B291" s="21">
        <v>7660</v>
      </c>
      <c r="C291" s="23">
        <v>40</v>
      </c>
    </row>
    <row r="292" spans="1:3" x14ac:dyDescent="0.25">
      <c r="A292" s="1">
        <f t="shared" ca="1" si="4"/>
        <v>7584</v>
      </c>
      <c r="B292" s="21">
        <v>7660</v>
      </c>
      <c r="C292" s="23">
        <v>0</v>
      </c>
    </row>
    <row r="293" spans="1:3" x14ac:dyDescent="0.25">
      <c r="A293" s="1">
        <f t="shared" ca="1" si="4"/>
        <v>7585</v>
      </c>
      <c r="B293" s="21">
        <v>7650</v>
      </c>
      <c r="C293" s="23">
        <v>0</v>
      </c>
    </row>
    <row r="294" spans="1:3" x14ac:dyDescent="0.25">
      <c r="A294" s="1">
        <f t="shared" ca="1" si="4"/>
        <v>7586</v>
      </c>
      <c r="B294" s="21">
        <v>7650</v>
      </c>
      <c r="C294" s="23">
        <v>0</v>
      </c>
    </row>
    <row r="295" spans="1:3" x14ac:dyDescent="0.25">
      <c r="A295" s="1">
        <f t="shared" ca="1" si="4"/>
        <v>7587</v>
      </c>
      <c r="B295" s="21">
        <v>7650</v>
      </c>
      <c r="C295" s="23">
        <v>0</v>
      </c>
    </row>
    <row r="296" spans="1:3" x14ac:dyDescent="0.25">
      <c r="A296" s="1">
        <f t="shared" ca="1" si="4"/>
        <v>7588</v>
      </c>
      <c r="B296" s="21">
        <v>7640</v>
      </c>
      <c r="C296" s="23">
        <v>0</v>
      </c>
    </row>
    <row r="297" spans="1:3" x14ac:dyDescent="0.25">
      <c r="A297" s="1">
        <f t="shared" ca="1" si="4"/>
        <v>7589</v>
      </c>
      <c r="B297" s="21">
        <v>7635</v>
      </c>
      <c r="C297" s="23">
        <v>0</v>
      </c>
    </row>
    <row r="298" spans="1:3" x14ac:dyDescent="0.25">
      <c r="A298" s="1">
        <f t="shared" ca="1" si="4"/>
        <v>7590</v>
      </c>
      <c r="B298" s="21">
        <v>7635</v>
      </c>
      <c r="C298" s="23">
        <v>0</v>
      </c>
    </row>
    <row r="299" spans="1:3" x14ac:dyDescent="0.25">
      <c r="A299" s="1">
        <f t="shared" ca="1" si="4"/>
        <v>7591</v>
      </c>
      <c r="B299" s="21">
        <v>7635</v>
      </c>
      <c r="C299" s="23">
        <v>0</v>
      </c>
    </row>
    <row r="300" spans="1:3" x14ac:dyDescent="0.25">
      <c r="A300" s="1">
        <f t="shared" ca="1" si="4"/>
        <v>7592</v>
      </c>
      <c r="B300" s="21">
        <v>7640</v>
      </c>
      <c r="C300" s="23">
        <v>0</v>
      </c>
    </row>
    <row r="301" spans="1:3" x14ac:dyDescent="0.25">
      <c r="A301" s="1">
        <f t="shared" ca="1" si="4"/>
        <v>7593</v>
      </c>
      <c r="B301" s="21">
        <v>7640</v>
      </c>
      <c r="C301" s="23">
        <v>0</v>
      </c>
    </row>
    <row r="302" spans="1:3" x14ac:dyDescent="0.25">
      <c r="A302" s="1">
        <f t="shared" ca="1" si="4"/>
        <v>7594</v>
      </c>
      <c r="B302" s="21">
        <v>7635</v>
      </c>
      <c r="C302" s="23">
        <v>0</v>
      </c>
    </row>
    <row r="303" spans="1:3" x14ac:dyDescent="0.25">
      <c r="A303" s="1">
        <f t="shared" ca="1" si="4"/>
        <v>7595</v>
      </c>
      <c r="B303" s="21">
        <v>7635</v>
      </c>
      <c r="C303" s="23">
        <v>0</v>
      </c>
    </row>
    <row r="304" spans="1:3" x14ac:dyDescent="0.25">
      <c r="A304" s="1">
        <f t="shared" ca="1" si="4"/>
        <v>7596</v>
      </c>
      <c r="B304" s="21">
        <v>7635</v>
      </c>
      <c r="C304" s="23">
        <v>0</v>
      </c>
    </row>
    <row r="305" spans="1:3" x14ac:dyDescent="0.25">
      <c r="A305" s="1">
        <f t="shared" ca="1" si="4"/>
        <v>7597</v>
      </c>
      <c r="B305" s="21">
        <v>7635</v>
      </c>
      <c r="C305" s="23">
        <v>0</v>
      </c>
    </row>
    <row r="306" spans="1:3" x14ac:dyDescent="0.25">
      <c r="A306" s="1">
        <f t="shared" ca="1" si="4"/>
        <v>7598</v>
      </c>
      <c r="B306" s="21">
        <v>7640</v>
      </c>
      <c r="C306" s="23">
        <v>0</v>
      </c>
    </row>
    <row r="307" spans="1:3" x14ac:dyDescent="0.25">
      <c r="A307" s="1">
        <f t="shared" ca="1" si="4"/>
        <v>7599</v>
      </c>
      <c r="B307" s="21">
        <v>7640</v>
      </c>
      <c r="C307" s="23">
        <v>0</v>
      </c>
    </row>
    <row r="308" spans="1:3" x14ac:dyDescent="0.25">
      <c r="A308" s="1">
        <f t="shared" ca="1" si="4"/>
        <v>7600</v>
      </c>
      <c r="B308" s="21">
        <v>7640</v>
      </c>
      <c r="C308" s="23">
        <v>0</v>
      </c>
    </row>
    <row r="309" spans="1:3" x14ac:dyDescent="0.25">
      <c r="A309" s="1">
        <f t="shared" ca="1" si="4"/>
        <v>7601</v>
      </c>
      <c r="B309" s="21">
        <v>7635</v>
      </c>
      <c r="C309" s="23">
        <v>0</v>
      </c>
    </row>
    <row r="310" spans="1:3" x14ac:dyDescent="0.25">
      <c r="A310" s="1">
        <f t="shared" ca="1" si="4"/>
        <v>7602</v>
      </c>
      <c r="B310" s="21">
        <v>7635</v>
      </c>
      <c r="C310" s="23">
        <v>0</v>
      </c>
    </row>
    <row r="311" spans="1:3" x14ac:dyDescent="0.25">
      <c r="A311" s="1">
        <f t="shared" ca="1" si="4"/>
        <v>7603</v>
      </c>
      <c r="B311" s="21">
        <v>7635</v>
      </c>
      <c r="C311" s="23">
        <v>0</v>
      </c>
    </row>
    <row r="312" spans="1:3" x14ac:dyDescent="0.25">
      <c r="A312" s="1">
        <f t="shared" ca="1" si="4"/>
        <v>7604</v>
      </c>
      <c r="B312" s="21">
        <v>7635</v>
      </c>
      <c r="C312" s="23">
        <v>0</v>
      </c>
    </row>
    <row r="313" spans="1:3" x14ac:dyDescent="0.25">
      <c r="A313" s="1">
        <f t="shared" ca="1" si="4"/>
        <v>7605</v>
      </c>
      <c r="B313" s="21">
        <v>7630</v>
      </c>
      <c r="C313" s="23">
        <v>0</v>
      </c>
    </row>
    <row r="314" spans="1:3" x14ac:dyDescent="0.25">
      <c r="A314" s="1">
        <f t="shared" ca="1" si="4"/>
        <v>7606</v>
      </c>
      <c r="B314" s="21">
        <v>7630</v>
      </c>
      <c r="C314" s="23">
        <v>0</v>
      </c>
    </row>
    <row r="315" spans="1:3" x14ac:dyDescent="0.25">
      <c r="A315" s="1">
        <f t="shared" ca="1" si="4"/>
        <v>7607</v>
      </c>
      <c r="B315" s="21">
        <v>7630</v>
      </c>
      <c r="C315" s="23">
        <v>0</v>
      </c>
    </row>
    <row r="316" spans="1:3" x14ac:dyDescent="0.25">
      <c r="A316" s="1">
        <f t="shared" ca="1" si="4"/>
        <v>7608</v>
      </c>
      <c r="B316" s="21">
        <v>7630</v>
      </c>
      <c r="C316" s="23">
        <v>0</v>
      </c>
    </row>
    <row r="317" spans="1:3" x14ac:dyDescent="0.25">
      <c r="A317" s="1">
        <f t="shared" ca="1" si="4"/>
        <v>7609</v>
      </c>
      <c r="B317" s="21">
        <v>7635</v>
      </c>
      <c r="C317" s="23">
        <v>0</v>
      </c>
    </row>
    <row r="318" spans="1:3" x14ac:dyDescent="0.25">
      <c r="A318" s="1">
        <f t="shared" ca="1" si="4"/>
        <v>7610</v>
      </c>
      <c r="B318" s="21">
        <v>7640</v>
      </c>
      <c r="C318" s="23">
        <v>0</v>
      </c>
    </row>
    <row r="319" spans="1:3" x14ac:dyDescent="0.25">
      <c r="A319" s="1" t="str">
        <f t="shared" ca="1" si="4"/>
        <v>Totaal</v>
      </c>
      <c r="B319" s="22">
        <f>IF(COUNT(B288:B318)&gt;0,AVERAGE(B288:B318)/10,"")</f>
        <v>764.16129032258073</v>
      </c>
      <c r="C319" s="26">
        <f>SUM(C288:C318)/10</f>
        <v>4</v>
      </c>
    </row>
    <row r="320" spans="1:3" x14ac:dyDescent="0.25">
      <c r="A320" s="1">
        <f t="shared" ca="1" si="4"/>
        <v>7611</v>
      </c>
      <c r="B320" s="21">
        <v>7645</v>
      </c>
      <c r="C320" s="23">
        <v>45</v>
      </c>
    </row>
    <row r="321" spans="1:3" x14ac:dyDescent="0.25">
      <c r="A321" s="1">
        <f t="shared" ca="1" si="4"/>
        <v>7612</v>
      </c>
      <c r="B321" s="21">
        <v>7640</v>
      </c>
      <c r="C321" s="23">
        <v>0</v>
      </c>
    </row>
    <row r="322" spans="1:3" x14ac:dyDescent="0.25">
      <c r="A322" s="1">
        <f t="shared" ca="1" si="4"/>
        <v>7613</v>
      </c>
      <c r="B322" s="21">
        <v>7640</v>
      </c>
      <c r="C322" s="23">
        <v>0</v>
      </c>
    </row>
    <row r="323" spans="1:3" x14ac:dyDescent="0.25">
      <c r="A323" s="1">
        <f t="shared" ca="1" si="4"/>
        <v>7614</v>
      </c>
      <c r="B323" s="21">
        <v>7625</v>
      </c>
      <c r="C323" s="23">
        <v>0</v>
      </c>
    </row>
    <row r="324" spans="1:3" x14ac:dyDescent="0.25">
      <c r="A324" s="1">
        <f t="shared" ca="1" si="4"/>
        <v>7615</v>
      </c>
      <c r="B324" s="21">
        <v>7620</v>
      </c>
      <c r="C324" s="23">
        <v>0</v>
      </c>
    </row>
    <row r="325" spans="1:3" x14ac:dyDescent="0.25">
      <c r="A325" s="1">
        <f t="shared" ca="1" si="4"/>
        <v>7616</v>
      </c>
      <c r="B325" s="21">
        <v>7630</v>
      </c>
      <c r="C325" s="23">
        <v>0</v>
      </c>
    </row>
    <row r="326" spans="1:3" x14ac:dyDescent="0.25">
      <c r="A326" s="1">
        <f t="shared" ca="1" si="4"/>
        <v>7617</v>
      </c>
      <c r="B326" s="21">
        <v>7640</v>
      </c>
      <c r="C326" s="23">
        <v>0</v>
      </c>
    </row>
    <row r="327" spans="1:3" x14ac:dyDescent="0.25">
      <c r="A327" s="1">
        <f t="shared" ref="A327:A382" ca="1" si="5">IF(ISTEXT(A326),A325+1,IF(MONTH(A326+1)=MONTH(A326),A326+1,"Totaal"))</f>
        <v>7618</v>
      </c>
      <c r="B327" s="21">
        <v>7630</v>
      </c>
      <c r="C327" s="23">
        <v>0</v>
      </c>
    </row>
    <row r="328" spans="1:3" x14ac:dyDescent="0.25">
      <c r="A328" s="1">
        <f t="shared" ca="1" si="5"/>
        <v>7619</v>
      </c>
      <c r="B328" s="21">
        <v>7640</v>
      </c>
      <c r="C328" s="23">
        <v>0</v>
      </c>
    </row>
    <row r="329" spans="1:3" x14ac:dyDescent="0.25">
      <c r="A329" s="1">
        <f t="shared" ca="1" si="5"/>
        <v>7620</v>
      </c>
      <c r="B329" s="21">
        <v>7650</v>
      </c>
      <c r="C329" s="23">
        <v>0</v>
      </c>
    </row>
    <row r="330" spans="1:3" x14ac:dyDescent="0.25">
      <c r="A330" s="1">
        <f t="shared" ca="1" si="5"/>
        <v>7621</v>
      </c>
      <c r="B330" s="21">
        <v>7645</v>
      </c>
      <c r="C330" s="23">
        <v>0</v>
      </c>
    </row>
    <row r="331" spans="1:3" x14ac:dyDescent="0.25">
      <c r="A331" s="1">
        <f t="shared" ca="1" si="5"/>
        <v>7622</v>
      </c>
      <c r="B331" s="21">
        <v>7645</v>
      </c>
      <c r="C331" s="23">
        <v>0</v>
      </c>
    </row>
    <row r="332" spans="1:3" x14ac:dyDescent="0.25">
      <c r="A332" s="1">
        <f t="shared" ca="1" si="5"/>
        <v>7623</v>
      </c>
      <c r="B332" s="21">
        <v>7660</v>
      </c>
      <c r="C332" s="23">
        <v>0</v>
      </c>
    </row>
    <row r="333" spans="1:3" x14ac:dyDescent="0.25">
      <c r="A333" s="1">
        <f t="shared" ca="1" si="5"/>
        <v>7624</v>
      </c>
      <c r="B333" s="21">
        <v>7650</v>
      </c>
      <c r="C333" s="23">
        <v>0</v>
      </c>
    </row>
    <row r="334" spans="1:3" x14ac:dyDescent="0.25">
      <c r="A334" s="1">
        <f t="shared" ca="1" si="5"/>
        <v>7625</v>
      </c>
      <c r="B334" s="21">
        <v>7650</v>
      </c>
      <c r="C334" s="23">
        <v>0</v>
      </c>
    </row>
    <row r="335" spans="1:3" x14ac:dyDescent="0.25">
      <c r="A335" s="1">
        <f t="shared" ca="1" si="5"/>
        <v>7626</v>
      </c>
      <c r="B335" s="21">
        <v>7650</v>
      </c>
      <c r="C335" s="23">
        <v>35</v>
      </c>
    </row>
    <row r="336" spans="1:3" x14ac:dyDescent="0.25">
      <c r="A336" s="1">
        <f t="shared" ca="1" si="5"/>
        <v>7627</v>
      </c>
      <c r="B336" s="21">
        <v>7640</v>
      </c>
      <c r="C336" s="23">
        <v>180</v>
      </c>
    </row>
    <row r="337" spans="1:3" x14ac:dyDescent="0.25">
      <c r="A337" s="1">
        <f t="shared" ca="1" si="5"/>
        <v>7628</v>
      </c>
      <c r="B337" s="21">
        <v>7650</v>
      </c>
      <c r="C337" s="23">
        <v>0</v>
      </c>
    </row>
    <row r="338" spans="1:3" x14ac:dyDescent="0.25">
      <c r="A338" s="1">
        <f t="shared" ca="1" si="5"/>
        <v>7629</v>
      </c>
      <c r="B338" s="21">
        <v>7645</v>
      </c>
      <c r="C338" s="23">
        <v>25</v>
      </c>
    </row>
    <row r="339" spans="1:3" x14ac:dyDescent="0.25">
      <c r="A339" s="1">
        <f t="shared" ca="1" si="5"/>
        <v>7630</v>
      </c>
      <c r="B339" s="21">
        <v>7640</v>
      </c>
      <c r="C339" s="23">
        <v>10</v>
      </c>
    </row>
    <row r="340" spans="1:3" x14ac:dyDescent="0.25">
      <c r="A340" s="1">
        <f t="shared" ca="1" si="5"/>
        <v>7631</v>
      </c>
      <c r="B340" s="21">
        <v>7645</v>
      </c>
      <c r="C340" s="23">
        <v>25</v>
      </c>
    </row>
    <row r="341" spans="1:3" x14ac:dyDescent="0.25">
      <c r="A341" s="1">
        <f t="shared" ca="1" si="5"/>
        <v>7632</v>
      </c>
      <c r="B341" s="21">
        <v>7645</v>
      </c>
      <c r="C341" s="23">
        <v>0</v>
      </c>
    </row>
    <row r="342" spans="1:3" x14ac:dyDescent="0.25">
      <c r="A342" s="1">
        <f t="shared" ca="1" si="5"/>
        <v>7633</v>
      </c>
      <c r="B342" s="21">
        <v>7650</v>
      </c>
      <c r="C342" s="23">
        <v>0</v>
      </c>
    </row>
    <row r="343" spans="1:3" x14ac:dyDescent="0.25">
      <c r="A343" s="1">
        <f t="shared" ca="1" si="5"/>
        <v>7634</v>
      </c>
      <c r="B343" s="21">
        <v>7650</v>
      </c>
      <c r="C343" s="23">
        <v>0</v>
      </c>
    </row>
    <row r="344" spans="1:3" x14ac:dyDescent="0.25">
      <c r="A344" s="1">
        <f t="shared" ca="1" si="5"/>
        <v>7635</v>
      </c>
      <c r="B344" s="21">
        <v>7645</v>
      </c>
      <c r="C344" s="23">
        <v>0</v>
      </c>
    </row>
    <row r="345" spans="1:3" x14ac:dyDescent="0.25">
      <c r="A345" s="1">
        <f t="shared" ca="1" si="5"/>
        <v>7636</v>
      </c>
      <c r="B345" s="21">
        <v>7660</v>
      </c>
      <c r="C345" s="23">
        <v>0</v>
      </c>
    </row>
    <row r="346" spans="1:3" x14ac:dyDescent="0.25">
      <c r="A346" s="1">
        <f t="shared" ca="1" si="5"/>
        <v>7637</v>
      </c>
      <c r="B346" s="21">
        <v>7655</v>
      </c>
      <c r="C346" s="23">
        <v>0</v>
      </c>
    </row>
    <row r="347" spans="1:3" x14ac:dyDescent="0.25">
      <c r="A347" s="1">
        <f t="shared" ca="1" si="5"/>
        <v>7638</v>
      </c>
      <c r="B347" s="21">
        <v>7650</v>
      </c>
      <c r="C347" s="23">
        <v>0</v>
      </c>
    </row>
    <row r="348" spans="1:3" x14ac:dyDescent="0.25">
      <c r="A348" s="1">
        <f t="shared" ca="1" si="5"/>
        <v>7639</v>
      </c>
      <c r="B348" s="21">
        <v>7650</v>
      </c>
      <c r="C348" s="23">
        <v>5</v>
      </c>
    </row>
    <row r="349" spans="1:3" x14ac:dyDescent="0.25">
      <c r="A349" s="1">
        <f t="shared" ca="1" si="5"/>
        <v>7640</v>
      </c>
      <c r="B349" s="21">
        <v>7640</v>
      </c>
      <c r="C349" s="23">
        <v>40</v>
      </c>
    </row>
    <row r="350" spans="1:3" x14ac:dyDescent="0.25">
      <c r="A350" s="1" t="str">
        <f t="shared" ca="1" si="5"/>
        <v>Totaal</v>
      </c>
      <c r="B350" s="22">
        <f>IF(COUNT(B320:B349)&gt;0,AVERAGE(B320:B349)/10,"")</f>
        <v>764.41666666666674</v>
      </c>
      <c r="C350" s="26">
        <f>SUM(C320:C349)/10</f>
        <v>36.5</v>
      </c>
    </row>
    <row r="351" spans="1:3" x14ac:dyDescent="0.25">
      <c r="A351" s="1">
        <f t="shared" ca="1" si="5"/>
        <v>7641</v>
      </c>
      <c r="B351" s="21">
        <v>7650</v>
      </c>
      <c r="C351" s="23">
        <v>17</v>
      </c>
    </row>
    <row r="352" spans="1:3" x14ac:dyDescent="0.25">
      <c r="A352" s="1">
        <f t="shared" ca="1" si="5"/>
        <v>7642</v>
      </c>
      <c r="B352" s="21">
        <v>7640</v>
      </c>
      <c r="C352" s="23">
        <v>0</v>
      </c>
    </row>
    <row r="353" spans="1:3" x14ac:dyDescent="0.25">
      <c r="A353" s="1">
        <f t="shared" ca="1" si="5"/>
        <v>7643</v>
      </c>
      <c r="B353" s="21">
        <v>7645</v>
      </c>
      <c r="C353" s="23">
        <v>0</v>
      </c>
    </row>
    <row r="354" spans="1:3" x14ac:dyDescent="0.25">
      <c r="A354" s="1">
        <f t="shared" ca="1" si="5"/>
        <v>7644</v>
      </c>
      <c r="B354" s="21">
        <v>7640</v>
      </c>
      <c r="C354" s="23">
        <v>0</v>
      </c>
    </row>
    <row r="355" spans="1:3" x14ac:dyDescent="0.25">
      <c r="A355" s="1">
        <f t="shared" ca="1" si="5"/>
        <v>7645</v>
      </c>
      <c r="B355" s="21">
        <v>7650</v>
      </c>
      <c r="C355" s="23">
        <v>0</v>
      </c>
    </row>
    <row r="356" spans="1:3" x14ac:dyDescent="0.25">
      <c r="A356" s="1">
        <f t="shared" ca="1" si="5"/>
        <v>7646</v>
      </c>
      <c r="B356" s="21">
        <v>7635</v>
      </c>
      <c r="C356" s="23">
        <v>0</v>
      </c>
    </row>
    <row r="357" spans="1:3" x14ac:dyDescent="0.25">
      <c r="A357" s="1">
        <f t="shared" ca="1" si="5"/>
        <v>7647</v>
      </c>
      <c r="B357" s="21">
        <v>7640</v>
      </c>
      <c r="C357" s="23">
        <v>14</v>
      </c>
    </row>
    <row r="358" spans="1:3" x14ac:dyDescent="0.25">
      <c r="A358" s="1">
        <f t="shared" ca="1" si="5"/>
        <v>7648</v>
      </c>
      <c r="B358" s="21">
        <v>7645</v>
      </c>
      <c r="C358" s="23">
        <v>80</v>
      </c>
    </row>
    <row r="359" spans="1:3" x14ac:dyDescent="0.25">
      <c r="A359" s="1">
        <f t="shared" ca="1" si="5"/>
        <v>7649</v>
      </c>
      <c r="B359" s="21">
        <v>7650</v>
      </c>
      <c r="C359" s="23">
        <v>0</v>
      </c>
    </row>
    <row r="360" spans="1:3" x14ac:dyDescent="0.25">
      <c r="A360" s="1">
        <f t="shared" ca="1" si="5"/>
        <v>7650</v>
      </c>
      <c r="B360" s="21">
        <v>7645</v>
      </c>
      <c r="C360" s="23">
        <v>0</v>
      </c>
    </row>
    <row r="361" spans="1:3" x14ac:dyDescent="0.25">
      <c r="A361" s="1">
        <f t="shared" ca="1" si="5"/>
        <v>7651</v>
      </c>
      <c r="B361" s="21">
        <v>7645</v>
      </c>
      <c r="C361" s="23">
        <v>110</v>
      </c>
    </row>
    <row r="362" spans="1:3" x14ac:dyDescent="0.25">
      <c r="A362" s="1">
        <f t="shared" ca="1" si="5"/>
        <v>7652</v>
      </c>
      <c r="B362" s="21">
        <v>7660</v>
      </c>
      <c r="C362" s="23">
        <v>5</v>
      </c>
    </row>
    <row r="363" spans="1:3" x14ac:dyDescent="0.25">
      <c r="A363" s="1">
        <f t="shared" ca="1" si="5"/>
        <v>7653</v>
      </c>
      <c r="B363" s="21">
        <v>7660</v>
      </c>
      <c r="C363" s="23">
        <v>0</v>
      </c>
    </row>
    <row r="364" spans="1:3" x14ac:dyDescent="0.25">
      <c r="A364" s="1">
        <f t="shared" ca="1" si="5"/>
        <v>7654</v>
      </c>
      <c r="B364" s="21">
        <v>7650</v>
      </c>
      <c r="C364" s="23">
        <v>0</v>
      </c>
    </row>
    <row r="365" spans="1:3" x14ac:dyDescent="0.25">
      <c r="A365" s="1">
        <f t="shared" ca="1" si="5"/>
        <v>7655</v>
      </c>
      <c r="B365" s="21">
        <v>7645</v>
      </c>
      <c r="C365" s="23">
        <v>0</v>
      </c>
    </row>
    <row r="366" spans="1:3" x14ac:dyDescent="0.25">
      <c r="A366" s="1">
        <f t="shared" ca="1" si="5"/>
        <v>7656</v>
      </c>
      <c r="B366" s="21">
        <v>7650</v>
      </c>
      <c r="C366" s="23">
        <v>0</v>
      </c>
    </row>
    <row r="367" spans="1:3" x14ac:dyDescent="0.25">
      <c r="A367" s="1">
        <f t="shared" ca="1" si="5"/>
        <v>7657</v>
      </c>
      <c r="B367" s="21">
        <v>7650</v>
      </c>
      <c r="C367" s="23">
        <v>0</v>
      </c>
    </row>
    <row r="368" spans="1:3" x14ac:dyDescent="0.25">
      <c r="A368" s="1">
        <f t="shared" ca="1" si="5"/>
        <v>7658</v>
      </c>
      <c r="B368" s="21">
        <v>7650</v>
      </c>
      <c r="C368" s="23">
        <v>0</v>
      </c>
    </row>
    <row r="369" spans="1:3" x14ac:dyDescent="0.25">
      <c r="A369" s="1">
        <f t="shared" ca="1" si="5"/>
        <v>7659</v>
      </c>
      <c r="B369" s="21">
        <v>7665</v>
      </c>
      <c r="C369" s="23">
        <v>0</v>
      </c>
    </row>
    <row r="370" spans="1:3" x14ac:dyDescent="0.25">
      <c r="A370" s="1">
        <f t="shared" ca="1" si="5"/>
        <v>7660</v>
      </c>
      <c r="B370" s="21">
        <v>7660</v>
      </c>
      <c r="C370" s="23">
        <v>0</v>
      </c>
    </row>
    <row r="371" spans="1:3" x14ac:dyDescent="0.25">
      <c r="A371" s="1">
        <f t="shared" ca="1" si="5"/>
        <v>7661</v>
      </c>
      <c r="B371" s="21">
        <v>7655</v>
      </c>
      <c r="C371" s="23">
        <v>0</v>
      </c>
    </row>
    <row r="372" spans="1:3" x14ac:dyDescent="0.25">
      <c r="A372" s="1">
        <f t="shared" ca="1" si="5"/>
        <v>7662</v>
      </c>
      <c r="B372" s="21">
        <v>7655</v>
      </c>
      <c r="C372" s="23">
        <v>0</v>
      </c>
    </row>
    <row r="373" spans="1:3" x14ac:dyDescent="0.25">
      <c r="A373" s="1">
        <f t="shared" ca="1" si="5"/>
        <v>7663</v>
      </c>
      <c r="B373" s="21">
        <v>7645</v>
      </c>
      <c r="C373" s="23">
        <v>0</v>
      </c>
    </row>
    <row r="374" spans="1:3" x14ac:dyDescent="0.25">
      <c r="A374" s="1">
        <f t="shared" ca="1" si="5"/>
        <v>7664</v>
      </c>
      <c r="B374" s="21">
        <v>7630</v>
      </c>
      <c r="C374" s="23">
        <v>0</v>
      </c>
    </row>
    <row r="375" spans="1:3" x14ac:dyDescent="0.25">
      <c r="A375" s="1">
        <f t="shared" ca="1" si="5"/>
        <v>7665</v>
      </c>
      <c r="B375" s="21">
        <v>7650</v>
      </c>
      <c r="C375" s="23">
        <v>0</v>
      </c>
    </row>
    <row r="376" spans="1:3" x14ac:dyDescent="0.25">
      <c r="A376" s="1">
        <f t="shared" ca="1" si="5"/>
        <v>7666</v>
      </c>
      <c r="B376" s="21">
        <v>7655</v>
      </c>
      <c r="C376" s="23">
        <v>0</v>
      </c>
    </row>
    <row r="377" spans="1:3" x14ac:dyDescent="0.25">
      <c r="A377" s="1">
        <f t="shared" ca="1" si="5"/>
        <v>7667</v>
      </c>
      <c r="B377" s="21">
        <v>7645</v>
      </c>
      <c r="C377" s="23">
        <v>0</v>
      </c>
    </row>
    <row r="378" spans="1:3" x14ac:dyDescent="0.25">
      <c r="A378" s="1">
        <f t="shared" ca="1" si="5"/>
        <v>7668</v>
      </c>
      <c r="B378" s="21">
        <v>7645</v>
      </c>
      <c r="C378" s="23">
        <v>0</v>
      </c>
    </row>
    <row r="379" spans="1:3" x14ac:dyDescent="0.25">
      <c r="A379" s="1">
        <f t="shared" ca="1" si="5"/>
        <v>7669</v>
      </c>
      <c r="B379" s="21">
        <v>7650</v>
      </c>
      <c r="C379" s="23">
        <v>12</v>
      </c>
    </row>
    <row r="380" spans="1:3" x14ac:dyDescent="0.25">
      <c r="A380" s="1">
        <f t="shared" ca="1" si="5"/>
        <v>7670</v>
      </c>
      <c r="B380" s="21">
        <v>7660</v>
      </c>
      <c r="C380" s="23">
        <v>0</v>
      </c>
    </row>
    <row r="381" spans="1:3" x14ac:dyDescent="0.25">
      <c r="A381" s="1">
        <f t="shared" ca="1" si="5"/>
        <v>7671</v>
      </c>
      <c r="B381" s="21">
        <v>7655</v>
      </c>
      <c r="C381" s="23">
        <v>0</v>
      </c>
    </row>
    <row r="382" spans="1:3" x14ac:dyDescent="0.25">
      <c r="A382" s="1" t="str">
        <f t="shared" ca="1" si="5"/>
        <v>Totaal</v>
      </c>
      <c r="B382" s="22">
        <f>IF(COUNT(B351:B381)&gt;0,AVERAGE(B351:B381)/10,"")</f>
        <v>764.90322580645159</v>
      </c>
      <c r="C382" s="26">
        <f>SUM(C351:C381)/10</f>
        <v>23.8</v>
      </c>
    </row>
  </sheetData>
  <sheetProtection sheet="1" objects="1" scenarios="1" selectLockedCells="1"/>
  <mergeCells count="2">
    <mergeCell ref="A3:A4"/>
    <mergeCell ref="B3:B4"/>
  </mergeCells>
  <conditionalFormatting sqref="A5:C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19200101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19200102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19200103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19200104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19200105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19200106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19200107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19200108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19200109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19200110</v>
      </c>
      <c r="C11" s="5">
        <v>1</v>
      </c>
      <c r="D11" s="10">
        <f t="shared" ca="1" si="0"/>
        <v>160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19200111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19200112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19200113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19200114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19200115</v>
      </c>
      <c r="C16" s="5">
        <v>1</v>
      </c>
      <c r="D16" s="10">
        <f t="shared" ca="1" si="0"/>
        <v>120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19200116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19200117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19200118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19200119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19200120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19200121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19200122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19200123</v>
      </c>
      <c r="C24" s="5">
        <v>1</v>
      </c>
      <c r="D24" s="10">
        <f t="shared" ca="1" si="0"/>
        <v>290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19200124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19200125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19200126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19200127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19200128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19200129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19200130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19200131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19200201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19200202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19200203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19200204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19200205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19200206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19200207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19200208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19200209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19200210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19200211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19200212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19200213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19200214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19200215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19200216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19200217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19200218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19200219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19200220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19200221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19200222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19200223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19200224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19200225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19200226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19200227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19200228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19200229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19200301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19200302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19200303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19200304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19200305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19200306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19200307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19200308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19200309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19200310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19200311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19200312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19200313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19200314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19200315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19200316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19200317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19200318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19200319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19200320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19200321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19200322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19200323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19200324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19200325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19200326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19200327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19200328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19200329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19200330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19200331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19200401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19200402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19200403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19200404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19200405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19200406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19200407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19200408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19200409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19200410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19200411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19200412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19200413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19200414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19200415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19200416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19200417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19200418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19200419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19200420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19200421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19200422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19200423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19200424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19200425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19200426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19200427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19200428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19200429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19200430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19200501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19200502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19200503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19200504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19200505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19200506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19200507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19200508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19200509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19200510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19200511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19200512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19200513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19200514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19200515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19200516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19200517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19200518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19200519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19200520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19200521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19200522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19200523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19200524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19200525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19200526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19200527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19200528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19200529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19200530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19200531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19200601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19200602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19200603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19200604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19200605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19200606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19200607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19200608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19200609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19200610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19200611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19200612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19200613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19200614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19200615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19200616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19200617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19200618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19200619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19200620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19200621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19200622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19200623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19200624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19200625</v>
      </c>
      <c r="C178" s="5">
        <v>1</v>
      </c>
      <c r="D178" s="10">
        <f t="shared" ca="1" si="4"/>
        <v>20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19200626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19200627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19200628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19200629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19200630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19200701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19200702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19200703</v>
      </c>
      <c r="C186" s="5">
        <v>1</v>
      </c>
      <c r="D186" s="10">
        <f t="shared" ca="1" si="4"/>
        <v>70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19200704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19200705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19200706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19200707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19200708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19200709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19200710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19200711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19200712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19200713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19200714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19200715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19200716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19200717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19200718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19200719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19200720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19200721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19200722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19200723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19200724</v>
      </c>
      <c r="C207" s="5">
        <v>1</v>
      </c>
      <c r="D207" s="10">
        <f t="shared" ca="1" si="6"/>
        <v>10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19200725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19200726</v>
      </c>
      <c r="C209" s="5">
        <v>1</v>
      </c>
      <c r="D209" s="10">
        <f t="shared" ca="1" si="6"/>
        <v>30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19200727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19200728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19200729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19200730</v>
      </c>
      <c r="C213" s="5">
        <v>1</v>
      </c>
      <c r="D213" s="10">
        <f t="shared" ca="1" si="6"/>
        <v>10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19200731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19200801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19200802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19200803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19200804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19200805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19200806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19200807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19200808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19200809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19200810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19200811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19200812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19200813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19200814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19200815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19200816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19200817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19200818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19200819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19200820</v>
      </c>
      <c r="C234" s="5">
        <v>1</v>
      </c>
      <c r="D234" s="10">
        <f t="shared" ca="1" si="6"/>
        <v>70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19200821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19200822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19200823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19200824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19200825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19200826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19200827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19200828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19200829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19200830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19200831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19200901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19200902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19200903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19200904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19200905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19200906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19200907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19200908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19200909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19200910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19200911</v>
      </c>
      <c r="C256" s="5">
        <v>1</v>
      </c>
      <c r="D256" s="10">
        <f t="shared" ca="1" si="6"/>
        <v>65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19200912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19200913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19200914</v>
      </c>
      <c r="C259" s="5">
        <v>1</v>
      </c>
      <c r="D259" s="10">
        <f t="shared" ca="1" si="8"/>
        <v>285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19200915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19200916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19200917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19200918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19200919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19200920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19200921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19200922</v>
      </c>
      <c r="C267" s="5">
        <v>1</v>
      </c>
      <c r="D267" s="10">
        <f t="shared" ca="1" si="8"/>
        <v>20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19200923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19200924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19200925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19200926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19200927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19200928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19200929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19200930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19201001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19201002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19201003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19201004</v>
      </c>
      <c r="C279" s="5">
        <v>1</v>
      </c>
      <c r="D279" s="10">
        <f t="shared" ca="1" si="8"/>
        <v>40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19201005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19201006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19201007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19201008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19201009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19201010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19201011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19201012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19201013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19201014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19201015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19201016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19201017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19201018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19201019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19201020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19201021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19201022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19201023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19201024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19201025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19201026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19201027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19201028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19201029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19201030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19201031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19201101</v>
      </c>
      <c r="C307" s="5">
        <v>1</v>
      </c>
      <c r="D307" s="10">
        <f t="shared" ca="1" si="8"/>
        <v>45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19201102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19201103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19201104</v>
      </c>
      <c r="C310" s="5">
        <v>1</v>
      </c>
      <c r="D310" s="10">
        <f t="shared" ca="1" si="8"/>
        <v>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19201105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19201106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19201107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19201108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19201109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19201110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19201111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19201112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19201113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19201114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19201115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19201116</v>
      </c>
      <c r="C322" s="5">
        <v>1</v>
      </c>
      <c r="D322" s="10">
        <f t="shared" ref="D322:D367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35</v>
      </c>
      <c r="E322" s="11">
        <f t="shared" ref="E322:E367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19201117</v>
      </c>
      <c r="C323" s="5">
        <v>1</v>
      </c>
      <c r="D323" s="10">
        <f t="shared" ca="1" si="10"/>
        <v>180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19201118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19201119</v>
      </c>
      <c r="C325" s="5">
        <v>1</v>
      </c>
      <c r="D325" s="10">
        <f t="shared" ca="1" si="10"/>
        <v>25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19201120</v>
      </c>
      <c r="C326" s="5">
        <v>1</v>
      </c>
      <c r="D326" s="10">
        <f t="shared" ca="1" si="10"/>
        <v>10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19201121</v>
      </c>
      <c r="C327" s="5">
        <v>1</v>
      </c>
      <c r="D327" s="10">
        <f t="shared" ca="1" si="10"/>
        <v>25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19201122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19201123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19201124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19201125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19201126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19201127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19201128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19201129</v>
      </c>
      <c r="C335" s="5">
        <v>1</v>
      </c>
      <c r="D335" s="10">
        <f t="shared" ca="1" si="10"/>
        <v>5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19201130</v>
      </c>
      <c r="C336" s="5">
        <v>1</v>
      </c>
      <c r="D336" s="10">
        <f t="shared" ca="1" si="10"/>
        <v>40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19201201</v>
      </c>
      <c r="C337" s="5">
        <v>1</v>
      </c>
      <c r="D337" s="10">
        <f t="shared" ca="1" si="10"/>
        <v>17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19201202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19201203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19201204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19201205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19201206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19201207</v>
      </c>
      <c r="C343" s="5">
        <v>1</v>
      </c>
      <c r="D343" s="10">
        <f t="shared" ca="1" si="10"/>
        <v>14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19201208</v>
      </c>
      <c r="C344" s="5">
        <v>1</v>
      </c>
      <c r="D344" s="10">
        <f t="shared" ca="1" si="10"/>
        <v>80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19201209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19201210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19201211</v>
      </c>
      <c r="C347" s="5">
        <v>1</v>
      </c>
      <c r="D347" s="10">
        <f t="shared" ca="1" si="10"/>
        <v>110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19201212</v>
      </c>
      <c r="C348" s="5">
        <v>1</v>
      </c>
      <c r="D348" s="10">
        <f t="shared" ca="1" si="10"/>
        <v>5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19201213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19201214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19201215</v>
      </c>
      <c r="C351" s="5">
        <v>1</v>
      </c>
      <c r="D351" s="10">
        <f t="shared" ca="1" si="10"/>
        <v>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19201216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19201217</v>
      </c>
      <c r="C353" s="5">
        <v>1</v>
      </c>
      <c r="D353" s="10">
        <f t="shared" ca="1" si="10"/>
        <v>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19201218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19201219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19201220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19201221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19201222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19201223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19201224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19201225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19201226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19201227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19201228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19201229</v>
      </c>
      <c r="C365" s="5">
        <v>1</v>
      </c>
      <c r="D365" s="10">
        <f t="shared" ca="1" si="10"/>
        <v>12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19201230</v>
      </c>
      <c r="C366" s="5">
        <v>1</v>
      </c>
      <c r="D366" s="10">
        <f t="shared" ca="1" si="10"/>
        <v>0</v>
      </c>
      <c r="E366" s="11">
        <f t="shared" ca="1" si="11"/>
        <v>0</v>
      </c>
    </row>
    <row r="367" spans="1:5" x14ac:dyDescent="0.25">
      <c r="A367" s="4">
        <f ca="1">INDEX(Stations,INT((ROWS(A$2:A367)-1)/(DATE(YEAR(Invoer!$A$5),12,31)-DATE(YEAR(Invoer!$A$5),1,1)+1))+2,1)</f>
        <v>32</v>
      </c>
      <c r="B367" t="str">
        <f ca="1">TEXT(DATE(YEAR(Invoer!$A$5),1,1)+MOD(ROWS(B$2:B367)-1,DATE(YEAR(Invoer!$A$5),12,31)-DATE(YEAR(Invoer!$A$5),1,1)+1),"jjjjmmdd")</f>
        <v>19201231</v>
      </c>
      <c r="C367" s="5">
        <v>1</v>
      </c>
      <c r="D367" s="10">
        <f t="shared" ca="1" si="10"/>
        <v>0</v>
      </c>
      <c r="E367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7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19200101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764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19200102</v>
      </c>
      <c r="C3" s="18">
        <f t="shared" ca="1" si="1"/>
        <v>764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19200103</v>
      </c>
      <c r="C4" s="18">
        <f t="shared" ca="1" si="1"/>
        <v>764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19200104</v>
      </c>
      <c r="C5" s="18">
        <f t="shared" ca="1" si="1"/>
        <v>764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19200105</v>
      </c>
      <c r="C6" s="18">
        <f t="shared" ca="1" si="1"/>
        <v>764.5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19200106</v>
      </c>
      <c r="C7" s="18">
        <f t="shared" ca="1" si="1"/>
        <v>764.5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19200107</v>
      </c>
      <c r="C8" s="18">
        <f t="shared" ca="1" si="1"/>
        <v>764.5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19200108</v>
      </c>
      <c r="C9" s="18">
        <f t="shared" ca="1" si="1"/>
        <v>764.5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19200109</v>
      </c>
      <c r="C10" s="18">
        <f t="shared" ca="1" si="1"/>
        <v>764.5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19200110</v>
      </c>
      <c r="C11" s="18">
        <f t="shared" ca="1" si="1"/>
        <v>764.5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19200111</v>
      </c>
      <c r="C12" s="18">
        <f t="shared" ca="1" si="1"/>
        <v>765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19200112</v>
      </c>
      <c r="C13" s="18">
        <f t="shared" ca="1" si="1"/>
        <v>765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19200113</v>
      </c>
      <c r="C14" s="18">
        <f t="shared" ca="1" si="1"/>
        <v>765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19200114</v>
      </c>
      <c r="C15" s="18">
        <f t="shared" ca="1" si="1"/>
        <v>765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19200115</v>
      </c>
      <c r="C16" s="18">
        <f t="shared" ca="1" si="1"/>
        <v>765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19200116</v>
      </c>
      <c r="C17" s="18">
        <f t="shared" ca="1" si="1"/>
        <v>765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19200117</v>
      </c>
      <c r="C18" s="18">
        <f t="shared" ca="1" si="1"/>
        <v>765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19200118</v>
      </c>
      <c r="C19" s="18">
        <f t="shared" ca="1" si="1"/>
        <v>765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19200119</v>
      </c>
      <c r="C20" s="18">
        <f t="shared" ca="1" si="1"/>
        <v>765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19200120</v>
      </c>
      <c r="C21" s="18">
        <f t="shared" ca="1" si="1"/>
        <v>765.5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19200121</v>
      </c>
      <c r="C22" s="18">
        <f t="shared" ca="1" si="1"/>
        <v>765.5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19200122</v>
      </c>
      <c r="C23" s="18">
        <f t="shared" ca="1" si="1"/>
        <v>765.5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19200123</v>
      </c>
      <c r="C24" s="18">
        <f t="shared" ca="1" si="1"/>
        <v>765.5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19200124</v>
      </c>
      <c r="C25" s="18">
        <f t="shared" ca="1" si="1"/>
        <v>765.5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19200125</v>
      </c>
      <c r="C26" s="18">
        <f t="shared" ca="1" si="1"/>
        <v>765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19200126</v>
      </c>
      <c r="C27" s="18">
        <f t="shared" ca="1" si="1"/>
        <v>765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19200127</v>
      </c>
      <c r="C28" s="18">
        <f t="shared" ca="1" si="1"/>
        <v>765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19200128</v>
      </c>
      <c r="C29" s="18">
        <f t="shared" ca="1" si="1"/>
        <v>765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19200129</v>
      </c>
      <c r="C30" s="18">
        <f t="shared" ca="1" si="1"/>
        <v>765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19200130</v>
      </c>
      <c r="C31" s="18">
        <f t="shared" ca="1" si="1"/>
        <v>765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19200131</v>
      </c>
      <c r="C32" s="18">
        <f t="shared" ca="1" si="1"/>
        <v>765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19200201</v>
      </c>
      <c r="C33" s="18">
        <f t="shared" ca="1" si="1"/>
        <v>765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19200202</v>
      </c>
      <c r="C34" s="18">
        <f t="shared" ca="1" si="1"/>
        <v>765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19200203</v>
      </c>
      <c r="C35" s="18">
        <f t="shared" ca="1" si="1"/>
        <v>765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19200204</v>
      </c>
      <c r="C36" s="18">
        <f t="shared" ca="1" si="1"/>
        <v>765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19200205</v>
      </c>
      <c r="C37" s="18">
        <f t="shared" ca="1" si="1"/>
        <v>764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19200206</v>
      </c>
      <c r="C38" s="18">
        <f t="shared" ca="1" si="1"/>
        <v>764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19200207</v>
      </c>
      <c r="C39" s="18">
        <f t="shared" ca="1" si="1"/>
        <v>764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19200208</v>
      </c>
      <c r="C40" s="18">
        <f t="shared" ca="1" si="1"/>
        <v>764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19200209</v>
      </c>
      <c r="C41" s="18">
        <f t="shared" ca="1" si="1"/>
        <v>764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19200210</v>
      </c>
      <c r="C42" s="18">
        <f t="shared" ca="1" si="1"/>
        <v>764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19200211</v>
      </c>
      <c r="C43" s="18">
        <f t="shared" ca="1" si="1"/>
        <v>764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19200212</v>
      </c>
      <c r="C44" s="18">
        <f t="shared" ca="1" si="1"/>
        <v>765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19200213</v>
      </c>
      <c r="C45" s="18">
        <f t="shared" ca="1" si="1"/>
        <v>765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19200214</v>
      </c>
      <c r="C46" s="18">
        <f t="shared" ca="1" si="1"/>
        <v>765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19200215</v>
      </c>
      <c r="C47" s="18">
        <f t="shared" ca="1" si="1"/>
        <v>765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19200216</v>
      </c>
      <c r="C48" s="18">
        <f t="shared" ca="1" si="1"/>
        <v>764.5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19200217</v>
      </c>
      <c r="C49" s="18">
        <f t="shared" ca="1" si="1"/>
        <v>764.5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19200218</v>
      </c>
      <c r="C50" s="18">
        <f t="shared" ca="1" si="1"/>
        <v>764.5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19200219</v>
      </c>
      <c r="C51" s="18">
        <f t="shared" ca="1" si="1"/>
        <v>764.5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19200220</v>
      </c>
      <c r="C52" s="18">
        <f t="shared" ca="1" si="1"/>
        <v>764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19200221</v>
      </c>
      <c r="C53" s="18">
        <f t="shared" ca="1" si="1"/>
        <v>764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19200222</v>
      </c>
      <c r="C54" s="18">
        <f t="shared" ca="1" si="1"/>
        <v>764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19200223</v>
      </c>
      <c r="C55" s="18">
        <f t="shared" ca="1" si="1"/>
        <v>764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19200224</v>
      </c>
      <c r="C56" s="18">
        <f t="shared" ca="1" si="1"/>
        <v>764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19200225</v>
      </c>
      <c r="C57" s="18">
        <f t="shared" ca="1" si="1"/>
        <v>764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19200226</v>
      </c>
      <c r="C58" s="18">
        <f t="shared" ca="1" si="1"/>
        <v>764.5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19200227</v>
      </c>
      <c r="C59" s="18">
        <f t="shared" ca="1" si="1"/>
        <v>765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19200228</v>
      </c>
      <c r="C60" s="18">
        <f t="shared" ca="1" si="1"/>
        <v>766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19200229</v>
      </c>
      <c r="C61" s="18">
        <f t="shared" ca="1" si="1"/>
        <v>766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19200301</v>
      </c>
      <c r="C62" s="18">
        <f t="shared" ca="1" si="1"/>
        <v>765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19200302</v>
      </c>
      <c r="C63" s="18">
        <f t="shared" ca="1" si="1"/>
        <v>766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19200303</v>
      </c>
      <c r="C64" s="18">
        <f t="shared" ca="1" si="1"/>
        <v>767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19200304</v>
      </c>
      <c r="C65" s="18">
        <f t="shared" ca="1" si="1"/>
        <v>767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19200305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767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19200306</v>
      </c>
      <c r="C67" s="18">
        <f t="shared" ca="1" si="4"/>
        <v>767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19200307</v>
      </c>
      <c r="C68" s="18">
        <f t="shared" ca="1" si="4"/>
        <v>767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19200308</v>
      </c>
      <c r="C69" s="18">
        <f t="shared" ca="1" si="4"/>
        <v>767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19200309</v>
      </c>
      <c r="C70" s="18">
        <f t="shared" ca="1" si="4"/>
        <v>767.5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19200310</v>
      </c>
      <c r="C71" s="18">
        <f t="shared" ca="1" si="4"/>
        <v>767.5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19200311</v>
      </c>
      <c r="C72" s="18">
        <f t="shared" ca="1" si="4"/>
        <v>767.5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19200312</v>
      </c>
      <c r="C73" s="18">
        <f t="shared" ca="1" si="4"/>
        <v>767.5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19200313</v>
      </c>
      <c r="C74" s="18">
        <f t="shared" ca="1" si="4"/>
        <v>767.5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19200314</v>
      </c>
      <c r="C75" s="18">
        <f t="shared" ca="1" si="4"/>
        <v>766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19200315</v>
      </c>
      <c r="C76" s="18">
        <f t="shared" ca="1" si="4"/>
        <v>766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19200316</v>
      </c>
      <c r="C77" s="18">
        <f t="shared" ca="1" si="4"/>
        <v>766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19200317</v>
      </c>
      <c r="C78" s="18">
        <f t="shared" ca="1" si="4"/>
        <v>766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19200318</v>
      </c>
      <c r="C79" s="18">
        <f t="shared" ca="1" si="4"/>
        <v>765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19200319</v>
      </c>
      <c r="C80" s="18">
        <f t="shared" ca="1" si="4"/>
        <v>765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19200320</v>
      </c>
      <c r="C81" s="18">
        <f t="shared" ca="1" si="4"/>
        <v>765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19200321</v>
      </c>
      <c r="C82" s="18">
        <f t="shared" ca="1" si="4"/>
        <v>765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19200322</v>
      </c>
      <c r="C83" s="18">
        <f t="shared" ca="1" si="4"/>
        <v>765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19200323</v>
      </c>
      <c r="C84" s="18">
        <f t="shared" ca="1" si="4"/>
        <v>765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19200324</v>
      </c>
      <c r="C85" s="18">
        <f t="shared" ca="1" si="4"/>
        <v>765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19200325</v>
      </c>
      <c r="C86" s="18">
        <f t="shared" ca="1" si="4"/>
        <v>766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19200326</v>
      </c>
      <c r="C87" s="18">
        <f t="shared" ca="1" si="4"/>
        <v>766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19200327</v>
      </c>
      <c r="C88" s="18">
        <f t="shared" ca="1" si="4"/>
        <v>766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19200328</v>
      </c>
      <c r="C89" s="18">
        <f t="shared" ca="1" si="4"/>
        <v>766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19200329</v>
      </c>
      <c r="C90" s="18">
        <f t="shared" ca="1" si="4"/>
        <v>766.5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19200330</v>
      </c>
      <c r="C91" s="18">
        <f t="shared" ca="1" si="4"/>
        <v>766.5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19200331</v>
      </c>
      <c r="C92" s="18">
        <f t="shared" ca="1" si="4"/>
        <v>766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19200401</v>
      </c>
      <c r="C93" s="18">
        <f t="shared" ca="1" si="4"/>
        <v>766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19200402</v>
      </c>
      <c r="C94" s="18">
        <f t="shared" ca="1" si="4"/>
        <v>766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19200403</v>
      </c>
      <c r="C95" s="18">
        <f t="shared" ca="1" si="4"/>
        <v>767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19200404</v>
      </c>
      <c r="C96" s="18">
        <f t="shared" ca="1" si="4"/>
        <v>766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19200405</v>
      </c>
      <c r="C97" s="18">
        <f t="shared" ca="1" si="4"/>
        <v>766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19200406</v>
      </c>
      <c r="C98" s="18">
        <f t="shared" ca="1" si="4"/>
        <v>766.5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19200407</v>
      </c>
      <c r="C99" s="18">
        <f t="shared" ca="1" si="4"/>
        <v>767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19200408</v>
      </c>
      <c r="C100" s="18">
        <f t="shared" ca="1" si="4"/>
        <v>767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19200409</v>
      </c>
      <c r="C101" s="18">
        <f t="shared" ca="1" si="4"/>
        <v>767.5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19200410</v>
      </c>
      <c r="C102" s="18">
        <f t="shared" ca="1" si="4"/>
        <v>766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19200411</v>
      </c>
      <c r="C103" s="18">
        <f t="shared" ca="1" si="4"/>
        <v>766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19200412</v>
      </c>
      <c r="C104" s="18">
        <f t="shared" ca="1" si="4"/>
        <v>766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19200413</v>
      </c>
      <c r="C105" s="18">
        <f t="shared" ca="1" si="4"/>
        <v>766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19200414</v>
      </c>
      <c r="C106" s="18">
        <f t="shared" ca="1" si="4"/>
        <v>765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19200415</v>
      </c>
      <c r="C107" s="18">
        <f t="shared" ca="1" si="4"/>
        <v>765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19200416</v>
      </c>
      <c r="C108" s="18">
        <f t="shared" ca="1" si="4"/>
        <v>765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19200417</v>
      </c>
      <c r="C109" s="18">
        <f t="shared" ca="1" si="4"/>
        <v>765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19200418</v>
      </c>
      <c r="C110" s="18">
        <f t="shared" ca="1" si="4"/>
        <v>765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19200419</v>
      </c>
      <c r="C111" s="18">
        <f t="shared" ca="1" si="4"/>
        <v>765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19200420</v>
      </c>
      <c r="C112" s="18">
        <f t="shared" ca="1" si="4"/>
        <v>765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19200421</v>
      </c>
      <c r="C113" s="18">
        <f t="shared" ca="1" si="4"/>
        <v>765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19200422</v>
      </c>
      <c r="C114" s="18">
        <f t="shared" ca="1" si="4"/>
        <v>765.5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19200423</v>
      </c>
      <c r="C115" s="18">
        <f t="shared" ca="1" si="4"/>
        <v>765.5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19200424</v>
      </c>
      <c r="C116" s="18">
        <f t="shared" ca="1" si="4"/>
        <v>766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19200425</v>
      </c>
      <c r="C117" s="18">
        <f t="shared" ca="1" si="4"/>
        <v>766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19200426</v>
      </c>
      <c r="C118" s="18">
        <f t="shared" ca="1" si="4"/>
        <v>766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19200427</v>
      </c>
      <c r="C119" s="18">
        <f t="shared" ca="1" si="4"/>
        <v>765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19200428</v>
      </c>
      <c r="C120" s="18">
        <f t="shared" ca="1" si="4"/>
        <v>765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19200429</v>
      </c>
      <c r="C121" s="18">
        <f t="shared" ca="1" si="4"/>
        <v>765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19200430</v>
      </c>
      <c r="C122" s="18">
        <f t="shared" ca="1" si="4"/>
        <v>766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19200501</v>
      </c>
      <c r="C123" s="18">
        <f t="shared" ca="1" si="4"/>
        <v>765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19200502</v>
      </c>
      <c r="C124" s="18">
        <f t="shared" ca="1" si="4"/>
        <v>765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19200503</v>
      </c>
      <c r="C125" s="18">
        <f t="shared" ca="1" si="4"/>
        <v>765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19200504</v>
      </c>
      <c r="C126" s="18">
        <f t="shared" ca="1" si="4"/>
        <v>765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19200505</v>
      </c>
      <c r="C127" s="18">
        <f t="shared" ca="1" si="4"/>
        <v>765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19200506</v>
      </c>
      <c r="C128" s="18">
        <f t="shared" ca="1" si="4"/>
        <v>765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19200507</v>
      </c>
      <c r="C129" s="18">
        <f t="shared" ca="1" si="4"/>
        <v>765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19200508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764.5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19200509</v>
      </c>
      <c r="C131" s="18">
        <f t="shared" ca="1" si="7"/>
        <v>764.5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19200510</v>
      </c>
      <c r="C132" s="18">
        <f t="shared" ca="1" si="7"/>
        <v>764.5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19200511</v>
      </c>
      <c r="C133" s="18">
        <f t="shared" ca="1" si="7"/>
        <v>764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19200512</v>
      </c>
      <c r="C134" s="18">
        <f t="shared" ca="1" si="7"/>
        <v>764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19200513</v>
      </c>
      <c r="C135" s="18">
        <f t="shared" ca="1" si="7"/>
        <v>764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19200514</v>
      </c>
      <c r="C136" s="18">
        <f t="shared" ca="1" si="7"/>
        <v>764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19200515</v>
      </c>
      <c r="C137" s="18">
        <f t="shared" ca="1" si="7"/>
        <v>764.5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19200516</v>
      </c>
      <c r="C138" s="18">
        <f t="shared" ca="1" si="7"/>
        <v>764.5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19200517</v>
      </c>
      <c r="C139" s="18">
        <f t="shared" ca="1" si="7"/>
        <v>764.5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19200518</v>
      </c>
      <c r="C140" s="18">
        <f t="shared" ca="1" si="7"/>
        <v>764.5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19200519</v>
      </c>
      <c r="C141" s="18">
        <f t="shared" ca="1" si="7"/>
        <v>765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19200520</v>
      </c>
      <c r="C142" s="18">
        <f t="shared" ca="1" si="7"/>
        <v>765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19200521</v>
      </c>
      <c r="C143" s="18">
        <f t="shared" ca="1" si="7"/>
        <v>765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19200522</v>
      </c>
      <c r="C144" s="18">
        <f t="shared" ca="1" si="7"/>
        <v>764.5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19200523</v>
      </c>
      <c r="C145" s="18">
        <f t="shared" ca="1" si="7"/>
        <v>764.5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19200524</v>
      </c>
      <c r="C146" s="18">
        <f t="shared" ca="1" si="7"/>
        <v>764.5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19200525</v>
      </c>
      <c r="C147" s="18">
        <f t="shared" ca="1" si="7"/>
        <v>764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19200526</v>
      </c>
      <c r="C148" s="18">
        <f t="shared" ca="1" si="7"/>
        <v>764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19200527</v>
      </c>
      <c r="C149" s="18">
        <f t="shared" ca="1" si="7"/>
        <v>763.5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19200528</v>
      </c>
      <c r="C150" s="18">
        <f t="shared" ca="1" si="7"/>
        <v>763.5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19200529</v>
      </c>
      <c r="C151" s="18">
        <f t="shared" ca="1" si="7"/>
        <v>763.5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19200530</v>
      </c>
      <c r="C152" s="18">
        <f t="shared" ca="1" si="7"/>
        <v>764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19200531</v>
      </c>
      <c r="C153" s="18">
        <f t="shared" ca="1" si="7"/>
        <v>764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19200601</v>
      </c>
      <c r="C154" s="18">
        <f t="shared" ca="1" si="7"/>
        <v>764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19200602</v>
      </c>
      <c r="C155" s="18">
        <f t="shared" ca="1" si="7"/>
        <v>764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19200603</v>
      </c>
      <c r="C156" s="18">
        <f t="shared" ca="1" si="7"/>
        <v>764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19200604</v>
      </c>
      <c r="C157" s="18">
        <f t="shared" ca="1" si="7"/>
        <v>764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19200605</v>
      </c>
      <c r="C158" s="18">
        <f t="shared" ca="1" si="7"/>
        <v>764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19200606</v>
      </c>
      <c r="C159" s="18">
        <f t="shared" ca="1" si="7"/>
        <v>764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19200607</v>
      </c>
      <c r="C160" s="18">
        <f t="shared" ca="1" si="7"/>
        <v>764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19200608</v>
      </c>
      <c r="C161" s="18">
        <f t="shared" ca="1" si="7"/>
        <v>764.5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19200609</v>
      </c>
      <c r="C162" s="18">
        <f t="shared" ca="1" si="7"/>
        <v>764.5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19200610</v>
      </c>
      <c r="C163" s="18">
        <f t="shared" ca="1" si="7"/>
        <v>764.5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19200611</v>
      </c>
      <c r="C164" s="18">
        <f t="shared" ca="1" si="7"/>
        <v>764.5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19200612</v>
      </c>
      <c r="C165" s="18">
        <f t="shared" ca="1" si="7"/>
        <v>764.5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19200613</v>
      </c>
      <c r="C166" s="18">
        <f t="shared" ca="1" si="7"/>
        <v>764.5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19200614</v>
      </c>
      <c r="C167" s="18">
        <f t="shared" ca="1" si="7"/>
        <v>765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19200615</v>
      </c>
      <c r="C168" s="18">
        <f t="shared" ca="1" si="7"/>
        <v>765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19200616</v>
      </c>
      <c r="C169" s="18">
        <f t="shared" ca="1" si="7"/>
        <v>765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19200617</v>
      </c>
      <c r="C170" s="18">
        <f t="shared" ca="1" si="7"/>
        <v>765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19200618</v>
      </c>
      <c r="C171" s="18">
        <f t="shared" ca="1" si="7"/>
        <v>765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19200619</v>
      </c>
      <c r="C172" s="18">
        <f t="shared" ca="1" si="7"/>
        <v>764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19200620</v>
      </c>
      <c r="C173" s="18">
        <f t="shared" ca="1" si="7"/>
        <v>764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19200621</v>
      </c>
      <c r="C174" s="18">
        <f t="shared" ca="1" si="7"/>
        <v>764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19200622</v>
      </c>
      <c r="C175" s="18">
        <f t="shared" ca="1" si="7"/>
        <v>764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19200623</v>
      </c>
      <c r="C176" s="18">
        <f t="shared" ca="1" si="7"/>
        <v>764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19200624</v>
      </c>
      <c r="C177" s="18">
        <f t="shared" ca="1" si="7"/>
        <v>765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19200625</v>
      </c>
      <c r="C178" s="18">
        <f t="shared" ca="1" si="7"/>
        <v>765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19200626</v>
      </c>
      <c r="C179" s="18">
        <f t="shared" ca="1" si="7"/>
        <v>765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19200627</v>
      </c>
      <c r="C180" s="18">
        <f t="shared" ca="1" si="7"/>
        <v>765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19200628</v>
      </c>
      <c r="C181" s="18">
        <f t="shared" ca="1" si="7"/>
        <v>765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19200629</v>
      </c>
      <c r="C182" s="18">
        <f t="shared" ca="1" si="7"/>
        <v>765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19200630</v>
      </c>
      <c r="C183" s="18">
        <f t="shared" ca="1" si="7"/>
        <v>765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19200701</v>
      </c>
      <c r="C184" s="18">
        <f t="shared" ca="1" si="7"/>
        <v>765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19200702</v>
      </c>
      <c r="C185" s="18">
        <f t="shared" ca="1" si="7"/>
        <v>765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19200703</v>
      </c>
      <c r="C186" s="18">
        <f t="shared" ca="1" si="7"/>
        <v>765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19200704</v>
      </c>
      <c r="C187" s="18">
        <f t="shared" ca="1" si="7"/>
        <v>765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19200705</v>
      </c>
      <c r="C188" s="18">
        <f t="shared" ca="1" si="7"/>
        <v>765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19200706</v>
      </c>
      <c r="C189" s="18">
        <f t="shared" ca="1" si="7"/>
        <v>766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19200707</v>
      </c>
      <c r="C190" s="18">
        <f t="shared" ca="1" si="7"/>
        <v>766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19200708</v>
      </c>
      <c r="C191" s="18">
        <f t="shared" ca="1" si="7"/>
        <v>766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19200709</v>
      </c>
      <c r="C192" s="18">
        <f t="shared" ca="1" si="7"/>
        <v>766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19200710</v>
      </c>
      <c r="C193" s="18">
        <f t="shared" ca="1" si="7"/>
        <v>766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19200711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766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19200712</v>
      </c>
      <c r="C195" s="18">
        <f t="shared" ca="1" si="10"/>
        <v>766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19200713</v>
      </c>
      <c r="C196" s="18">
        <f t="shared" ca="1" si="10"/>
        <v>766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19200714</v>
      </c>
      <c r="C197" s="18">
        <f t="shared" ca="1" si="10"/>
        <v>766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19200715</v>
      </c>
      <c r="C198" s="18">
        <f t="shared" ca="1" si="10"/>
        <v>765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19200716</v>
      </c>
      <c r="C199" s="18">
        <f t="shared" ca="1" si="10"/>
        <v>765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19200717</v>
      </c>
      <c r="C200" s="18">
        <f t="shared" ca="1" si="10"/>
        <v>765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19200718</v>
      </c>
      <c r="C201" s="18">
        <f t="shared" ca="1" si="10"/>
        <v>764.5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19200719</v>
      </c>
      <c r="C202" s="18">
        <f t="shared" ca="1" si="10"/>
        <v>764.5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19200720</v>
      </c>
      <c r="C203" s="18">
        <f t="shared" ca="1" si="10"/>
        <v>764.5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19200721</v>
      </c>
      <c r="C204" s="18">
        <f t="shared" ca="1" si="10"/>
        <v>764.5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19200722</v>
      </c>
      <c r="C205" s="18">
        <f t="shared" ca="1" si="10"/>
        <v>764.5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19200723</v>
      </c>
      <c r="C206" s="18">
        <f t="shared" ca="1" si="10"/>
        <v>764.5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19200724</v>
      </c>
      <c r="C207" s="18">
        <f t="shared" ca="1" si="10"/>
        <v>764.5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19200725</v>
      </c>
      <c r="C208" s="18">
        <f t="shared" ca="1" si="10"/>
        <v>765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19200726</v>
      </c>
      <c r="C209" s="18">
        <f t="shared" ca="1" si="10"/>
        <v>765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19200727</v>
      </c>
      <c r="C210" s="18">
        <f t="shared" ca="1" si="10"/>
        <v>766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19200728</v>
      </c>
      <c r="C211" s="18">
        <f t="shared" ca="1" si="10"/>
        <v>766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19200729</v>
      </c>
      <c r="C212" s="18">
        <f t="shared" ca="1" si="10"/>
        <v>766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19200730</v>
      </c>
      <c r="C213" s="18">
        <f t="shared" ca="1" si="10"/>
        <v>766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19200731</v>
      </c>
      <c r="C214" s="18">
        <f t="shared" ca="1" si="10"/>
        <v>766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19200801</v>
      </c>
      <c r="C215" s="18">
        <f t="shared" ca="1" si="10"/>
        <v>766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19200802</v>
      </c>
      <c r="C216" s="18">
        <f t="shared" ca="1" si="10"/>
        <v>766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19200803</v>
      </c>
      <c r="C217" s="18">
        <f t="shared" ca="1" si="10"/>
        <v>766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19200804</v>
      </c>
      <c r="C218" s="18">
        <f t="shared" ca="1" si="10"/>
        <v>766.5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19200805</v>
      </c>
      <c r="C219" s="18">
        <f t="shared" ca="1" si="10"/>
        <v>766.5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19200806</v>
      </c>
      <c r="C220" s="18">
        <f t="shared" ca="1" si="10"/>
        <v>766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19200807</v>
      </c>
      <c r="C221" s="18">
        <f t="shared" ca="1" si="10"/>
        <v>766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19200808</v>
      </c>
      <c r="C222" s="18">
        <f t="shared" ca="1" si="10"/>
        <v>765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19200809</v>
      </c>
      <c r="C223" s="18">
        <f t="shared" ca="1" si="10"/>
        <v>764.5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19200810</v>
      </c>
      <c r="C224" s="18">
        <f t="shared" ca="1" si="10"/>
        <v>764.5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19200811</v>
      </c>
      <c r="C225" s="18">
        <f t="shared" ca="1" si="10"/>
        <v>764.5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19200812</v>
      </c>
      <c r="C226" s="18">
        <f t="shared" ca="1" si="10"/>
        <v>765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19200813</v>
      </c>
      <c r="C227" s="18">
        <f t="shared" ca="1" si="10"/>
        <v>765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19200814</v>
      </c>
      <c r="C228" s="18">
        <f t="shared" ca="1" si="10"/>
        <v>765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19200815</v>
      </c>
      <c r="C229" s="18">
        <f t="shared" ca="1" si="10"/>
        <v>765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19200816</v>
      </c>
      <c r="C230" s="18">
        <f t="shared" ca="1" si="10"/>
        <v>765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19200817</v>
      </c>
      <c r="C231" s="18">
        <f t="shared" ca="1" si="10"/>
        <v>765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19200818</v>
      </c>
      <c r="C232" s="18">
        <f t="shared" ca="1" si="10"/>
        <v>765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19200819</v>
      </c>
      <c r="C233" s="18">
        <f t="shared" ca="1" si="10"/>
        <v>765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19200820</v>
      </c>
      <c r="C234" s="18">
        <f t="shared" ca="1" si="10"/>
        <v>765.5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19200821</v>
      </c>
      <c r="C235" s="18">
        <f t="shared" ca="1" si="10"/>
        <v>765.1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19200822</v>
      </c>
      <c r="C236" s="18">
        <f t="shared" ca="1" si="10"/>
        <v>765.5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19200823</v>
      </c>
      <c r="C237" s="18">
        <f t="shared" ca="1" si="10"/>
        <v>765.5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19200824</v>
      </c>
      <c r="C238" s="18">
        <f t="shared" ca="1" si="10"/>
        <v>765.5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19200825</v>
      </c>
      <c r="C239" s="18">
        <f t="shared" ca="1" si="10"/>
        <v>766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19200826</v>
      </c>
      <c r="C240" s="18">
        <f t="shared" ca="1" si="10"/>
        <v>766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19200827</v>
      </c>
      <c r="C241" s="18">
        <f t="shared" ca="1" si="10"/>
        <v>766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19200828</v>
      </c>
      <c r="C242" s="18">
        <f t="shared" ca="1" si="10"/>
        <v>766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19200829</v>
      </c>
      <c r="C243" s="18">
        <f t="shared" ca="1" si="10"/>
        <v>766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19200830</v>
      </c>
      <c r="C244" s="18">
        <f t="shared" ca="1" si="10"/>
        <v>766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19200831</v>
      </c>
      <c r="C245" s="18">
        <f t="shared" ca="1" si="10"/>
        <v>766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19200901</v>
      </c>
      <c r="C246" s="18">
        <f t="shared" ca="1" si="10"/>
        <v>766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19200902</v>
      </c>
      <c r="C247" s="18">
        <f t="shared" ca="1" si="10"/>
        <v>766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19200903</v>
      </c>
      <c r="C248" s="18">
        <f t="shared" ca="1" si="10"/>
        <v>766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19200904</v>
      </c>
      <c r="C249" s="18">
        <f t="shared" ca="1" si="10"/>
        <v>766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19200905</v>
      </c>
      <c r="C250" s="18">
        <f t="shared" ca="1" si="10"/>
        <v>766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19200906</v>
      </c>
      <c r="C251" s="18">
        <f t="shared" ca="1" si="10"/>
        <v>766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19200907</v>
      </c>
      <c r="C252" s="18">
        <f t="shared" ca="1" si="10"/>
        <v>765.5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19200908</v>
      </c>
      <c r="C253" s="18">
        <f t="shared" ca="1" si="10"/>
        <v>765.5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19200909</v>
      </c>
      <c r="C254" s="18">
        <f t="shared" ca="1" si="10"/>
        <v>766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19200910</v>
      </c>
      <c r="C255" s="18">
        <f t="shared" ca="1" si="10"/>
        <v>766.5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19200911</v>
      </c>
      <c r="C256" s="18">
        <f t="shared" ca="1" si="10"/>
        <v>766.5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19200912</v>
      </c>
      <c r="C257" s="18">
        <f t="shared" ca="1" si="10"/>
        <v>766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19200913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19200914</v>
      </c>
      <c r="C259" s="18">
        <f t="shared" ca="1" si="13"/>
        <v>764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19200915</v>
      </c>
      <c r="C260" s="18">
        <f t="shared" ca="1" si="13"/>
        <v>764.5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19200916</v>
      </c>
      <c r="C261" s="18">
        <f t="shared" ca="1" si="13"/>
        <v>764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19200917</v>
      </c>
      <c r="C262" s="18">
        <f t="shared" ca="1" si="13"/>
        <v>764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19200918</v>
      </c>
      <c r="C263" s="18">
        <f t="shared" ca="1" si="13"/>
        <v>763.5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19200919</v>
      </c>
      <c r="C264" s="18">
        <f t="shared" ca="1" si="13"/>
        <v>763.5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19200920</v>
      </c>
      <c r="C265" s="18">
        <f t="shared" ca="1" si="13"/>
        <v>763.5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19200921</v>
      </c>
      <c r="C266" s="18">
        <f t="shared" ca="1" si="13"/>
        <v>763.5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19200922</v>
      </c>
      <c r="C267" s="18">
        <f t="shared" ca="1" si="13"/>
        <v>764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19200923</v>
      </c>
      <c r="C268" s="18">
        <f t="shared" ca="1" si="13"/>
        <v>764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19200924</v>
      </c>
      <c r="C269" s="18">
        <f t="shared" ca="1" si="13"/>
        <v>764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19200925</v>
      </c>
      <c r="C270" s="18">
        <f t="shared" ca="1" si="13"/>
        <v>764.5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19200926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19200927</v>
      </c>
      <c r="C272" s="18">
        <f t="shared" ca="1" si="13"/>
        <v>765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19200928</v>
      </c>
      <c r="C273" s="18">
        <f t="shared" ca="1" si="13"/>
        <v>765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19200929</v>
      </c>
      <c r="C274" s="18">
        <f t="shared" ca="1" si="13"/>
        <v>766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19200930</v>
      </c>
      <c r="C275" s="18">
        <f t="shared" ca="1" si="13"/>
        <v>766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19201001</v>
      </c>
      <c r="C276" s="18">
        <f t="shared" ca="1" si="13"/>
        <v>767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19201002</v>
      </c>
      <c r="C277" s="18">
        <f t="shared" ca="1" si="13"/>
        <v>767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19201003</v>
      </c>
      <c r="C278" s="18">
        <f t="shared" ca="1" si="13"/>
        <v>766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19201004</v>
      </c>
      <c r="C279" s="18">
        <f t="shared" ca="1" si="13"/>
        <v>766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19201005</v>
      </c>
      <c r="C280" s="18">
        <f t="shared" ca="1" si="13"/>
        <v>766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19201006</v>
      </c>
      <c r="C281" s="18">
        <f t="shared" ca="1" si="13"/>
        <v>765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19201007</v>
      </c>
      <c r="C282" s="18">
        <f t="shared" ca="1" si="13"/>
        <v>765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19201008</v>
      </c>
      <c r="C283" s="18">
        <f t="shared" ca="1" si="13"/>
        <v>765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19201009</v>
      </c>
      <c r="C284" s="18">
        <f t="shared" ca="1" si="13"/>
        <v>764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19201010</v>
      </c>
      <c r="C285" s="18">
        <f t="shared" ca="1" si="13"/>
        <v>763.5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19201011</v>
      </c>
      <c r="C286" s="18">
        <f t="shared" ca="1" si="13"/>
        <v>763.5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19201012</v>
      </c>
      <c r="C287" s="18">
        <f t="shared" ca="1" si="13"/>
        <v>763.5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19201013</v>
      </c>
      <c r="C288" s="18">
        <f t="shared" ca="1" si="13"/>
        <v>764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19201014</v>
      </c>
      <c r="C289" s="18">
        <f t="shared" ca="1" si="13"/>
        <v>764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19201015</v>
      </c>
      <c r="C290" s="18">
        <f t="shared" ca="1" si="13"/>
        <v>763.5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19201016</v>
      </c>
      <c r="C291" s="18">
        <f t="shared" ca="1" si="13"/>
        <v>763.5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19201017</v>
      </c>
      <c r="C292" s="18">
        <f t="shared" ca="1" si="13"/>
        <v>763.5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19201018</v>
      </c>
      <c r="C293" s="18">
        <f t="shared" ca="1" si="13"/>
        <v>763.5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19201019</v>
      </c>
      <c r="C294" s="18">
        <f t="shared" ca="1" si="13"/>
        <v>764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19201020</v>
      </c>
      <c r="C295" s="18">
        <f t="shared" ca="1" si="13"/>
        <v>764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19201021</v>
      </c>
      <c r="C296" s="18">
        <f t="shared" ca="1" si="13"/>
        <v>764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19201022</v>
      </c>
      <c r="C297" s="18">
        <f t="shared" ca="1" si="13"/>
        <v>763.5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19201023</v>
      </c>
      <c r="C298" s="18">
        <f t="shared" ca="1" si="13"/>
        <v>763.5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19201024</v>
      </c>
      <c r="C299" s="18">
        <f t="shared" ca="1" si="13"/>
        <v>763.5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19201025</v>
      </c>
      <c r="C300" s="18">
        <f t="shared" ca="1" si="13"/>
        <v>763.5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19201026</v>
      </c>
      <c r="C301" s="18">
        <f t="shared" ca="1" si="13"/>
        <v>763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19201027</v>
      </c>
      <c r="C302" s="18">
        <f t="shared" ca="1" si="13"/>
        <v>763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19201028</v>
      </c>
      <c r="C303" s="18">
        <f t="shared" ca="1" si="13"/>
        <v>763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19201029</v>
      </c>
      <c r="C304" s="18">
        <f t="shared" ca="1" si="13"/>
        <v>763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19201030</v>
      </c>
      <c r="C305" s="18">
        <f t="shared" ca="1" si="13"/>
        <v>763.5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19201031</v>
      </c>
      <c r="C306" s="18">
        <f t="shared" ca="1" si="13"/>
        <v>764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19201101</v>
      </c>
      <c r="C307" s="18">
        <f t="shared" ca="1" si="13"/>
        <v>764.5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19201102</v>
      </c>
      <c r="C308" s="18">
        <f t="shared" ca="1" si="13"/>
        <v>764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19201103</v>
      </c>
      <c r="C309" s="18">
        <f t="shared" ca="1" si="13"/>
        <v>764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19201104</v>
      </c>
      <c r="C310" s="18">
        <f t="shared" ca="1" si="13"/>
        <v>762.5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19201105</v>
      </c>
      <c r="C311" s="18">
        <f t="shared" ca="1" si="13"/>
        <v>762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19201106</v>
      </c>
      <c r="C312" s="18">
        <f t="shared" ca="1" si="13"/>
        <v>763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19201107</v>
      </c>
      <c r="C313" s="18">
        <f t="shared" ca="1" si="13"/>
        <v>764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19201108</v>
      </c>
      <c r="C314" s="18">
        <f t="shared" ca="1" si="13"/>
        <v>763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19201109</v>
      </c>
      <c r="C315" s="18">
        <f t="shared" ca="1" si="13"/>
        <v>764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19201110</v>
      </c>
      <c r="C316" s="18">
        <f t="shared" ca="1" si="13"/>
        <v>765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19201111</v>
      </c>
      <c r="C317" s="18">
        <f t="shared" ca="1" si="13"/>
        <v>764.5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19201112</v>
      </c>
      <c r="C318" s="18">
        <f t="shared" ca="1" si="13"/>
        <v>764.5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19201113</v>
      </c>
      <c r="C319" s="18">
        <f t="shared" ca="1" si="13"/>
        <v>766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19201114</v>
      </c>
      <c r="C320" s="18">
        <f t="shared" ca="1" si="13"/>
        <v>765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19201115</v>
      </c>
      <c r="C321" s="18">
        <f t="shared" ca="1" si="13"/>
        <v>765</v>
      </c>
      <c r="D321" s="17">
        <f t="shared" ca="1" si="14"/>
        <v>0</v>
      </c>
    </row>
    <row r="322" spans="1:4" x14ac:dyDescent="0.25">
      <c r="A322" s="4">
        <f t="shared" ref="A322:A367" si="15">INDEX(Stations,2,1)</f>
        <v>32</v>
      </c>
      <c r="B322" t="str">
        <f ca="1">TEXT(DATE(YEAR(Invoer!$A$5),1,1)+ROWS(B$2:B322)-1,"jjjjmmdd")</f>
        <v>19201116</v>
      </c>
      <c r="C322" s="18">
        <f t="shared" ref="C322:C367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765</v>
      </c>
      <c r="D322" s="17">
        <f t="shared" ref="D322:D367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19201117</v>
      </c>
      <c r="C323" s="18">
        <f t="shared" ca="1" si="16"/>
        <v>764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19201118</v>
      </c>
      <c r="C324" s="18">
        <f t="shared" ca="1" si="16"/>
        <v>765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19201119</v>
      </c>
      <c r="C325" s="18">
        <f t="shared" ca="1" si="16"/>
        <v>764.5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19201120</v>
      </c>
      <c r="C326" s="18">
        <f t="shared" ca="1" si="16"/>
        <v>764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19201121</v>
      </c>
      <c r="C327" s="18">
        <f t="shared" ca="1" si="16"/>
        <v>764.5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19201122</v>
      </c>
      <c r="C328" s="18">
        <f t="shared" ca="1" si="16"/>
        <v>764.5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19201123</v>
      </c>
      <c r="C329" s="18">
        <f t="shared" ca="1" si="16"/>
        <v>765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19201124</v>
      </c>
      <c r="C330" s="18">
        <f t="shared" ca="1" si="16"/>
        <v>765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19201125</v>
      </c>
      <c r="C331" s="18">
        <f t="shared" ca="1" si="16"/>
        <v>764.5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19201126</v>
      </c>
      <c r="C332" s="18">
        <f t="shared" ca="1" si="16"/>
        <v>766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19201127</v>
      </c>
      <c r="C333" s="18">
        <f t="shared" ca="1" si="16"/>
        <v>765.5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19201128</v>
      </c>
      <c r="C334" s="18">
        <f t="shared" ca="1" si="16"/>
        <v>765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19201129</v>
      </c>
      <c r="C335" s="18">
        <f t="shared" ca="1" si="16"/>
        <v>765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19201130</v>
      </c>
      <c r="C336" s="18">
        <f t="shared" ca="1" si="16"/>
        <v>764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19201201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19201202</v>
      </c>
      <c r="C338" s="18">
        <f t="shared" ca="1" si="16"/>
        <v>764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19201203</v>
      </c>
      <c r="C339" s="18">
        <f t="shared" ca="1" si="16"/>
        <v>764.5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19201204</v>
      </c>
      <c r="C340" s="18">
        <f t="shared" ca="1" si="16"/>
        <v>764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19201205</v>
      </c>
      <c r="C341" s="18">
        <f t="shared" ca="1" si="16"/>
        <v>765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19201206</v>
      </c>
      <c r="C342" s="18">
        <f t="shared" ca="1" si="16"/>
        <v>763.5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19201207</v>
      </c>
      <c r="C343" s="18">
        <f t="shared" ca="1" si="16"/>
        <v>764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19201208</v>
      </c>
      <c r="C344" s="18">
        <f t="shared" ca="1" si="16"/>
        <v>764.5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19201209</v>
      </c>
      <c r="C345" s="18">
        <f t="shared" ca="1" si="16"/>
        <v>765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19201210</v>
      </c>
      <c r="C346" s="18">
        <f t="shared" ca="1" si="16"/>
        <v>764.5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19201211</v>
      </c>
      <c r="C347" s="18">
        <f t="shared" ca="1" si="16"/>
        <v>764.5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19201212</v>
      </c>
      <c r="C348" s="18">
        <f t="shared" ca="1" si="16"/>
        <v>766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19201213</v>
      </c>
      <c r="C349" s="18">
        <f t="shared" ca="1" si="16"/>
        <v>766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19201214</v>
      </c>
      <c r="C350" s="18">
        <f t="shared" ca="1" si="16"/>
        <v>765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19201215</v>
      </c>
      <c r="C351" s="18">
        <f t="shared" ca="1" si="16"/>
        <v>764.5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19201216</v>
      </c>
      <c r="C352" s="18">
        <f t="shared" ca="1" si="16"/>
        <v>765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19201217</v>
      </c>
      <c r="C353" s="18">
        <f t="shared" ca="1" si="16"/>
        <v>765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19201218</v>
      </c>
      <c r="C354" s="18">
        <f t="shared" ca="1" si="16"/>
        <v>765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19201219</v>
      </c>
      <c r="C355" s="18">
        <f t="shared" ca="1" si="16"/>
        <v>766.5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19201220</v>
      </c>
      <c r="C356" s="18">
        <f t="shared" ca="1" si="16"/>
        <v>766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19201221</v>
      </c>
      <c r="C357" s="18">
        <f t="shared" ca="1" si="16"/>
        <v>765.5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19201222</v>
      </c>
      <c r="C358" s="18">
        <f t="shared" ca="1" si="16"/>
        <v>765.5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19201223</v>
      </c>
      <c r="C359" s="18">
        <f t="shared" ca="1" si="16"/>
        <v>764.5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19201224</v>
      </c>
      <c r="C360" s="18">
        <f t="shared" ca="1" si="16"/>
        <v>763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19201225</v>
      </c>
      <c r="C361" s="18">
        <f t="shared" ca="1" si="16"/>
        <v>765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19201226</v>
      </c>
      <c r="C362" s="18">
        <f t="shared" ca="1" si="16"/>
        <v>765.5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19201227</v>
      </c>
      <c r="C363" s="18">
        <f t="shared" ca="1" si="16"/>
        <v>764.5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19201228</v>
      </c>
      <c r="C364" s="18">
        <f t="shared" ca="1" si="16"/>
        <v>764.5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19201229</v>
      </c>
      <c r="C365" s="18">
        <f t="shared" ca="1" si="16"/>
        <v>765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19201230</v>
      </c>
      <c r="C366" s="18">
        <f t="shared" ca="1" si="16"/>
        <v>766</v>
      </c>
      <c r="D366" s="17">
        <f t="shared" ca="1" si="17"/>
        <v>0</v>
      </c>
    </row>
    <row r="367" spans="1:4" x14ac:dyDescent="0.25">
      <c r="A367" s="4">
        <f t="shared" si="15"/>
        <v>32</v>
      </c>
      <c r="B367" t="str">
        <f ca="1">TEXT(DATE(YEAR(Invoer!$A$5),1,1)+ROWS(B$2:B367)-1,"jjjjmmdd")</f>
        <v>19201231</v>
      </c>
      <c r="C367" s="18">
        <f t="shared" ca="1" si="16"/>
        <v>765.5</v>
      </c>
      <c r="D367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032, 19200101, 1,    0, 00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032, 19200102, 1,    0, 00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032, 19200103, 1,    0, 00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032, 19200104, 1,    0, 00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032, 19200105, 1,    0, 00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032, 19200106, 1,    0, 00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032, 19200107, 1,    0, 00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032, 19200108, 1,    0, 00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032, 19200109, 1,    0, 00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032, 19200110, 1,  160, 00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032, 19200111, 1,    0, 00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032, 19200112, 1,    0, 00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032, 19200113, 1,    0, 00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032, 19200114, 1,    0, 00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032, 19200115, 1,  120, 00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032, 19200116, 1,    0, 00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032, 19200117, 1,    0, 00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032, 19200118, 1,    0, 00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032, 19200119, 1,    0, 00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032, 19200120, 1,    0, 00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032, 19200121, 1,    0, 00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032, 19200122, 1,    0, 00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032, 19200123, 1,  290, 00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032, 19200124, 1,    0, 00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032, 19200125, 1,    0, 00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032, 19200126, 1,    0, 00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032, 19200127, 1,    0, 00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032, 19200128, 1,    0, 00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032, 19200129, 1,    0, 00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032, 19200130, 1,    0, 00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032, 19200131, 1,    0, 00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032, 19200201, 1,    0, 00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032, 19200202, 1,    0, 00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032, 19200203, 1,    0, 00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032, 19200204, 1,    0, 00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032, 19200205, 1,    0, 00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032, 19200206, 1,    0, 00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032, 19200207, 1,    0, 00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032, 19200208, 1,    0, 00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032, 19200209, 1,    0, 00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032, 19200210, 1,    0, 00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032, 19200211, 1,    0, 00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032, 19200212, 1,    0, 00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032, 19200213, 1,    0, 00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032, 19200214, 1,    0, 00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032, 19200215, 1,    0, 00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032, 19200216, 1,    0, 00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032, 19200217, 1,    0, 00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032, 19200218, 1,    0, 00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032, 19200219, 1,    0, 00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032, 19200220, 1,    0, 00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032, 19200221, 1,    0, 00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032, 19200222, 1,    0, 00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032, 19200223, 1,    0, 00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032, 19200224, 1,    0, 00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032, 19200225, 1,    0, 00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032, 19200226, 1,    0, 00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032, 19200227, 1,    0, 00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032, 19200228, 1,    0, 00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032, 19200229, 1,    0, 00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032, 19200301, 1,    0, 00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032, 19200302, 1,    0, 00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032, 19200303, 1,    0, 00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032, 19200304, 1,    0, 00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032, 19200305, 1,    0, 00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032, 19200306, 1,    0, 00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032, 19200307, 1,    0, 00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032, 19200308, 1,    0, 00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032, 19200309, 1,    0, 00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032, 19200310, 1,    0, 00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032, 19200311, 1,    0, 00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032, 19200312, 1,    0, 00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032, 19200313, 1,    0, 00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032, 19200314, 1,    0, 00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032, 19200315, 1,    0, 00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032, 19200316, 1,    0, 00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032, 19200317, 1,    0, 00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032, 19200318, 1,    0, 00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032, 19200319, 1,    0, 00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032, 19200320, 1,    0, 00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032, 19200321, 1,    0, 00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032, 19200322, 1,    0, 00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032, 19200323, 1,    0, 00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032, 19200324, 1,    0, 00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032, 19200325, 1,    0, 00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032, 19200326, 1,    0, 00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032, 19200327, 1,    0, 00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032, 19200328, 1,    0, 00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032, 19200329, 1,    0, 00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032, 19200330, 1,    0, 00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032, 19200331, 1,    0, 00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032, 19200401, 1,    0, 00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032, 19200402, 1,    0, 00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032, 19200403, 1,    0, 00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032, 19200404, 1,    0, 00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032, 19200405, 1,    0, 00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032, 19200406, 1,    0, 00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032, 19200407, 1,    0, 00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032, 19200408, 1,    0, 00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032, 19200409, 1,    0, 00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032, 19200410, 1,    0, 00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032, 19200411, 1,    0, 00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032, 19200412, 1,    0, 00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032, 19200413, 1,    0, 00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032, 19200414, 1,    0, 00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032, 19200415, 1,    0, 00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032, 19200416, 1,    0, 00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032, 19200417, 1,    0, 00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032, 19200418, 1,    0, 00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032, 19200419, 1,    0, 00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032, 19200420, 1,    0, 00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032, 19200421, 1,    0, 00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032, 19200422, 1,    0, 00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032, 19200423, 1,    0, 00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032, 19200424, 1,    0, 00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032, 19200425, 1,    0, 00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032, 19200426, 1,    0, 00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032, 19200427, 1,    0, 00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032, 19200428, 1,    0, 00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032, 19200429, 1,    0, 00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032, 19200430, 1,    0, 00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032, 19200501, 1,    0, 00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032, 19200502, 1,    0, 00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032, 19200503, 1,    0, 00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032, 19200504, 1,    0, 00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032, 19200505, 1,    0, 00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032, 19200506, 1,    0, 00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032, 19200507, 1,    0, 00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032, 19200508, 1,    0, 00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032, 19200509, 1,    0, 00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032, 19200510, 1,    0, 00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032, 19200511, 1,    0, 00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032, 19200512, 1,    0, 00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032, 19200513, 1,    0, 00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032, 19200514, 1,    0, 00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032, 19200515, 1,    0, 00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032, 19200516, 1,    0, 00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032, 19200517, 1,    0, 00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032, 19200518, 1,    0, 00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032, 19200519, 1,    0, 00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032, 19200520, 1,    0, 00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032, 19200521, 1,    0, 00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032, 19200522, 1,    0, 00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032, 19200523, 1,    0, 00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032, 19200524, 1,    0, 00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032, 19200525, 1,    0, 00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032, 19200526, 1,    0, 00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032, 19200527, 1,    0, 00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032, 19200528, 1,    0, 00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032, 19200529, 1,    0, 00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032, 19200530, 1,    0, 00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032, 19200531, 1,    0, 00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032, 19200601, 1,    0, 00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032, 19200602, 1,    0, 00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032, 19200603, 1,    0, 00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032, 19200604, 1,    0, 00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032, 19200605, 1,    0, 00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032, 19200606, 1,    0, 00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032, 19200607, 1,    0, 00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032, 19200608, 1,    0, 00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032, 19200609, 1,    0, 00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032, 19200610, 1,    0, 00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032, 19200611, 1,    0, 00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032, 19200612, 1,    0, 00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032, 19200613, 1,    0, 00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032, 19200614, 1,    0, 00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032, 19200615, 1,    0, 00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032, 19200616, 1,    0, 00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032, 19200617, 1,    0, 00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032, 19200618, 1,    0, 00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032, 19200619, 1,    0, 00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032, 19200620, 1,    0, 00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032, 19200621, 1,    0, 00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032, 19200622, 1,    0, 00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032, 19200623, 1,    0, 00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032, 19200624, 1,    0, 00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032, 19200625, 1,   20, 00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032, 19200626, 1,    0, 00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032, 19200627, 1,    0, 00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032, 19200628, 1,    0, 00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032, 19200629, 1,    0, 00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032, 19200630, 1,    0, 00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032, 19200701, 1,    0, 00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032, 19200702, 1,    0, 00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032, 19200703, 1,   70, 00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032, 19200704, 1,    0, 00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032, 19200705, 1,    0, 00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032, 19200706, 1,    0, 00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032, 19200707, 1,    0, 00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032, 19200708, 1,    0, 00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032, 19200709, 1,    0, 00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032, 19200710, 1,    0, 00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032, 19200711, 1,    0, 00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032, 19200712, 1,    0, 00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032, 19200713, 1,    0, 00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032, 19200714, 1,    0, 00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032, 19200715, 1,    0, 00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032, 19200716, 1,    0, 00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032, 19200717, 1,    0, 00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032, 19200718, 1,    0, 00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032, 19200719, 1,    0, 00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032, 19200720, 1,    0, 00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032, 19200721, 1,    0, 00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032, 19200722, 1,    0, 00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032, 19200723, 1,    0, 00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032, 19200724, 1,   10, 00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032, 19200725, 1,    0, 00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032, 19200726, 1,   30, 00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032, 19200727, 1,    0, 00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032, 19200728, 1,    0, 00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032, 19200729, 1,    0, 00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032, 19200730, 1,   10, 00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032, 19200731, 1,    0, 00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032, 19200801, 1,    0, 00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032, 19200802, 1,    0, 00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032, 19200803, 1,    0, 00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032, 19200804, 1,    0, 00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032, 19200805, 1,    0, 00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032, 19200806, 1,    0, 00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032, 19200807, 1,    0, 00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032, 19200808, 1,    0, 00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032, 19200809, 1,    0, 00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032, 19200810, 1,    0, 00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032, 19200811, 1,    0, 00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032, 19200812, 1,    0, 00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032, 19200813, 1,    0, 00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032, 19200814, 1,    0, 00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032, 19200815, 1,    0, 00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032, 19200816, 1,    0, 00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032, 19200817, 1,    0, 00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032, 19200818, 1,    0, 00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032, 19200819, 1,    0, 00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032, 19200820, 1,   70, 00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032, 19200821, 1,    0, 00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032, 19200822, 1,    0, 00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032, 19200823, 1,    0, 00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032, 19200824, 1,    0, 00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032, 19200825, 1,    0, 00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032, 19200826, 1,    0, 00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032, 19200827, 1,    0, 00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032, 19200828, 1,    0, 00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032, 19200829, 1,    0, 00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032, 19200830, 1,    0, 00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032, 19200831, 1,    0, 00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032, 19200901, 1,    0, 00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032, 19200902, 1,    0, 00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032, 19200903, 1,    0, 00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032, 19200904, 1,    0, 00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032, 19200905, 1,    0, 00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032, 19200906, 1,    0, 00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032, 19200907, 1,    0, 00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032, 19200908, 1,    0, 00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032, 19200909, 1,    0, 00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032, 19200910, 1,    0, 00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032, 19200911, 1,   65, 00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032, 19200912, 1,    0, 00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032, 19200913, 1,    0, 00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032, 19200914, 1,  285, 00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032, 19200915, 1,    0, 00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032, 19200916, 1,    0, 00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032, 19200917, 1,    0, 00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032, 19200918, 1,    0, 00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032, 19200919, 1,    0, 00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032, 19200920, 1,    0, 00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032, 19200921, 1,    0, 00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032, 19200922, 1,   20, 00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032, 19200923, 1,    0, 00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032, 19200924, 1,    0, 00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032, 19200925, 1,    0, 00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032, 19200926, 1,    0, 00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032, 19200927, 1,    0, 00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032, 19200928, 1,    0, 00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032, 19200929, 1,    0, 00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032, 19200930, 1,    0, 00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032, 19201001, 1,    0, 00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032, 19201002, 1,    0, 00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032, 19201003, 1,    0, 00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032, 19201004, 1,   40, 00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032, 19201005, 1,    0, 00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032, 19201006, 1,    0, 00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032, 19201007, 1,    0, 00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032, 19201008, 1,    0, 00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032, 19201009, 1,    0, 00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032, 19201010, 1,    0, 00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032, 19201011, 1,    0, 00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032, 19201012, 1,    0, 00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032, 19201013, 1,    0, 00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032, 19201014, 1,    0, 00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032, 19201015, 1,    0, 00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032, 19201016, 1,    0, 00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032, 19201017, 1,    0, 00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032, 19201018, 1,    0, 00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032, 19201019, 1,    0, 00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032, 19201020, 1,    0, 00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032, 19201021, 1,    0, 00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032, 19201022, 1,    0, 00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032, 19201023, 1,    0, 00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032, 19201024, 1,    0, 00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032, 19201025, 1,    0, 00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032, 19201026, 1,    0, 00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032, 19201027, 1,    0, 00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032, 19201028, 1,    0, 00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032, 19201029, 1,    0, 00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032, 19201030, 1,    0, 00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032, 19201031, 1,    0, 00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032, 19201101, 1,   45, 00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032, 19201102, 1,    0, 00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032, 19201103, 1,    0, 00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032, 19201104, 1,    0, 00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032, 19201105, 1,    0, 00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032, 19201106, 1,    0, 00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032, 19201107, 1,    0, 00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032, 19201108, 1,    0, 00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032, 19201109, 1,    0, 00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032, 19201110, 1,    0, 00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032, 19201111, 1,    0, 00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032, 19201112, 1,    0, 00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032, 19201113, 1,    0, 00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032, 19201114, 1,    0, 00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032, 19201115, 1,    0, 00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032, 19201116, 1,   35, 00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032, 19201117, 1,  180, 00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032, 19201118, 1,    0, 00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032, 19201119, 1,   25, 00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032, 19201120, 1,   10, 00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032, 19201121, 1,   25, 00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032, 19201122, 1,    0, 00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032, 19201123, 1,    0, 00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032, 19201124, 1,    0, 00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032, 19201125, 1,    0, 00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032, 19201126, 1,    0, 00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032, 19201127, 1,    0, 00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032, 19201128, 1,    0, 00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032, 19201129, 1,    5, 00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032, 19201130, 1,   40, 00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032, 19201201, 1,   17, 00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032, 19201202, 1,    0, 00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032, 19201203, 1,    0, 00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032, 19201204, 1,    0, 00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032, 19201205, 1,    0, 00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032, 19201206, 1,    0, 00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032, 19201207, 1,   14, 00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032, 19201208, 1,   80, 00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032, 19201209, 1,    0, 00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032, 19201210, 1,    0, 00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032, 19201211, 1,  110, 00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032, 19201212, 1,    5, 00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032, 19201213, 1,    0, 00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032, 19201214, 1,    0, 00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032, 19201215, 1,    0, 00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032, 19201216, 1,    0, 00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032, 19201217, 1,    0, 00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032, 19201218, 1,    0, 00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032, 19201219, 1,    0, 00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032, 19201220, 1,    0, 00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032, 19201221, 1,    0, 00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032, 19201222, 1,    0, 00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032, 19201223, 1,    0, 00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032, 19201224, 1,    0, 00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032, 19201225, 1,    0, 00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032, 19201226, 1,    0, 00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032, 19201227, 1,    0, 00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032, 19201228, 1,    0, 00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032, 19201229, 1,   12, 00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032, 19201230, 1,    0, 00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032, 19201231, 1,    0, 00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032, 19200101, 7640, 00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032, 19200102, 7640, 00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032, 19200103, 7640, 00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032, 19200104, 7640, 00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032, 19200105, 7645, 00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032, 19200106, 7645, 00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032, 19200107, 7645, 00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032, 19200108, 7645, 00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032, 19200109, 7645, 00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032, 19200110, 7645, 00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032, 19200111, 7650, 00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032, 19200112, 7650, 00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032, 19200113, 7650, 00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032, 19200114, 7650, 00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032, 19200115, 7650, 00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032, 19200116, 7650, 00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032, 19200117, 7650, 00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032, 19200118, 7650, 00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032, 19200119, 7650, 00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032, 19200120, 7655, 00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032, 19200121, 7655, 00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032, 19200122, 7655, 00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032, 19200123, 7655, 00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032, 19200124, 7655, 00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032, 19200125, 7650, 00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032, 19200126, 7650, 00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032, 19200127, 7650, 00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032, 19200128, 7650, 00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032, 19200129, 7650, 00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032, 19200130, 7650, 00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032, 19200131, 7650, 00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032, 19200201, 7650, 00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032, 19200202, 7650, 00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032, 19200203, 7650, 00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032, 19200204, 7650, 00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032, 19200205, 7640, 00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032, 19200206, 7640, 00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032, 19200207, 7640, 00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032, 19200208, 7640, 00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032, 19200209, 7640, 00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032, 19200210, 7640, 00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032, 19200211, 7640, 00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032, 19200212, 7650, 00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032, 19200213, 7650, 00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032, 19200214, 7650, 00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032, 19200215, 7650, 00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032, 19200216, 7645, 00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032, 19200217, 7645, 00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032, 19200218, 7645, 00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032, 19200219, 7645, 00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032, 19200220, 7640, 00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032, 19200221, 7640, 00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032, 19200222, 7640, 00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032, 19200223, 7640, 00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032, 19200224, 7640, 00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032, 19200225, 7640, 00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032, 19200226, 7645, 00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032, 19200227, 7650, 00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032, 19200228, 7660, 00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032, 19200229, 7660, 00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032, 19200301, 7650, 00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032, 19200302, 7660, 00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032, 19200303, 7670, 00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032, 19200304, 7670, 00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032, 19200305, 7670, 00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032, 19200306, 7670, 00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032, 19200307, 7670, 00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032, 19200308, 7670, 00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032, 19200309, 7675, 00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032, 19200310, 7675, 00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032, 19200311, 7675, 00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032, 19200312, 7675, 00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032, 19200313, 7675, 00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032, 19200314, 7660, 00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032, 19200315, 7660, 00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032, 19200316, 7660, 00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032, 19200317, 7660, 00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032, 19200318, 7650, 00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032, 19200319, 7650, 00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032, 19200320, 7650, 00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032, 19200321, 7650, 00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032, 19200322, 7650, 00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032, 19200323, 7650, 00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032, 19200324, 7650, 00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032, 19200325, 7660, 00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032, 19200326, 7660, 00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032, 19200327, 7660, 00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032, 19200328, 7660, 00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032, 19200329, 7665, 00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032, 19200330, 7665, 00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032, 19200331, 7660, 00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032, 19200401, 7660, 00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032, 19200402, 7660, 00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032, 19200403, 7670, 00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032, 19200404, 7660, 00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032, 19200405, 7660, 00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032, 19200406, 7665, 00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032, 19200407, 7670, 00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032, 19200408, 7670, 00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032, 19200409, 7675, 00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032, 19200410, 7660, 00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032, 19200411, 7660, 00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032, 19200412, 7660, 00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032, 19200413, 7660, 00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032, 19200414, 7650, 00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032, 19200415, 7650, 00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032, 19200416, 7650, 00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032, 19200417, 7650, 00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032, 19200418, 7650, 00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032, 19200419, 7650, 00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032, 19200420, 7650, 00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032, 19200421, 7650, 00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032, 19200422, 7655, 00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032, 19200423, 7655, 00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032, 19200424, 7660, 00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032, 19200425, 7660, 00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032, 19200426, 7660, 00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032, 19200427, 7650, 00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032, 19200428, 7650, 00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032, 19200429, 7650, 00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032, 19200430, 7660, 00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032, 19200501, 7650, 00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032, 19200502, 7650, 00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032, 19200503, 7650, 00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032, 19200504, 7650, 00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032, 19200505, 7650, 00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032, 19200506, 7650, 00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032, 19200507, 7650, 00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032, 19200508, 7645, 00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032, 19200509, 7645, 00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032, 19200510, 7645, 00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032, 19200511, 7640, 00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032, 19200512, 7640, 00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032, 19200513, 7640, 00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032, 19200514, 7640, 00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032, 19200515, 7645, 00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032, 19200516, 7645, 00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032, 19200517, 7645, 00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032, 19200518, 7645, 00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032, 19200519, 7650, 00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032, 19200520, 7650, 00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032, 19200521, 7650, 00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032, 19200522, 7645, 00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032, 19200523, 7645, 00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032, 19200524, 7645, 00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032, 19200525, 7640, 00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032, 19200526, 7640, 00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032, 19200527, 7635, 00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032, 19200528, 7635, 00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032, 19200529, 7635, 00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032, 19200530, 7640, 00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032, 19200531, 7640, 00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032, 19200601, 7640, 00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032, 19200602, 7640, 00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032, 19200603, 7640, 00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032, 19200604, 7640, 00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032, 19200605, 7640, 00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032, 19200606, 7640, 00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032, 19200607, 7640, 00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032, 19200608, 7645, 00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032, 19200609, 7645, 00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032, 19200610, 7645, 00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032, 19200611, 7645, 00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032, 19200612, 7645, 00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032, 19200613, 7645, 00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032, 19200614, 7650, 00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032, 19200615, 7650, 00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032, 19200616, 7650, 00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032, 19200617, 7650, 00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032, 19200618, 7650, 00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032, 19200619, 7640, 00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032, 19200620, 7640, 00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032, 19200621, 7640, 00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032, 19200622, 7640, 00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032, 19200623, 7640, 00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032, 19200624, 7650, 00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032, 19200625, 7650, 00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032, 19200626, 7650, 00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032, 19200627, 7650, 00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032, 19200628, 7650, 00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032, 19200629, 7650, 00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032, 19200630, 7650, 00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032, 19200701, 7650, 00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032, 19200702, 7650, 00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032, 19200703, 7650, 00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032, 19200704, 7650, 00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032, 19200705, 7650, 00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032, 19200706, 7660, 00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032, 19200707, 7660, 00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032, 19200708, 7660, 00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032, 19200709, 7660, 00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032, 19200710, 7660, 00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032, 19200711, 7660, 00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032, 19200712, 7660, 00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032, 19200713, 7660, 00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032, 19200714, 7660, 00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032, 19200715, 7650, 00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032, 19200716, 7650, 00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032, 19200717, 7650, 00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032, 19200718, 7645, 00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032, 19200719, 7645, 00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032, 19200720, 7645, 00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032, 19200721, 7645, 00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032, 19200722, 7645, 00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032, 19200723, 7645, 00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032, 19200724, 7645, 00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032, 19200725, 7650, 00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032, 19200726, 7650, 00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032, 19200727, 7660, 00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032, 19200728, 7660, 00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032, 19200729, 7660, 00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032, 19200730, 7660, 00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032, 19200731, 7660, 00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032, 19200801, 7660, 00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032, 19200802, 7660, 00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032, 19200803, 7660, 00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032, 19200804, 7665, 00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032, 19200805, 7665, 00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032, 19200806, 7660, 00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032, 19200807, 7660, 00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032, 19200808, 7650, 00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032, 19200809, 7645, 00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032, 19200810, 7645, 00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032, 19200811, 7645, 00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032, 19200812, 7650, 00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032, 19200813, 7650, 00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032, 19200814, 7650, 00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032, 19200815, 7650, 00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032, 19200816, 7650, 00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032, 19200817, 7650, 00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032, 19200818, 7650, 00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032, 19200819, 7650, 00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032, 19200820, 7655, 00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032, 19200821, 7651, 00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032, 19200822, 7655, 00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032, 19200823, 7655, 00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032, 19200824, 7655, 00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032, 19200825, 7660, 00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032, 19200826, 7660, 00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032, 19200827, 7660, 00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032, 19200828, 7660, 00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032, 19200829, 7660, 00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032, 19200830, 7660, 00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032, 19200831, 7660, 00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032, 19200901, 7660, 00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032, 19200902, 7660, 00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032, 19200903, 7660, 00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032, 19200904, 7660, 00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032, 19200905, 7660, 00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032, 19200906, 7660, 00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032, 19200907, 7655, 00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032, 19200908, 7655, 00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032, 19200909, 7660, 00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032, 19200910, 7665, 00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032, 19200911, 7665, 00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032, 19200912, 7660, 00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032, 19200913, 7650, 00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032, 19200914, 7640, 00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032, 19200915, 7645, 00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032, 19200916, 7640, 00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032, 19200917, 7640, 00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032, 19200918, 7635, 00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032, 19200919, 7635, 00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032, 19200920, 7635, 00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032, 19200921, 7635, 00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032, 19200922, 7640, 00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032, 19200923, 7640, 00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032, 19200924, 7640, 00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032, 19200925, 7645, 00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032, 19200926, 7640, 00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032, 19200927, 7650, 00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032, 19200928, 7650, 00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032, 19200929, 7660, 00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032, 19200930, 7660, 00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032, 19201001, 7670, 00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032, 19201002, 7670, 00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032, 19201003, 7660, 00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032, 19201004, 7660, 00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032, 19201005, 7660, 00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032, 19201006, 7650, 00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032, 19201007, 7650, 00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032, 19201008, 7650, 00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032, 19201009, 7640, 00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032, 19201010, 7635, 00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032, 19201011, 7635, 00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032, 19201012, 7635, 00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032, 19201013, 7640, 00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032, 19201014, 7640, 00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032, 19201015, 7635, 00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032, 19201016, 7635, 00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032, 19201017, 7635, 00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032, 19201018, 7635, 00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032, 19201019, 7640, 00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032, 19201020, 7640, 00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032, 19201021, 7640, 00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032, 19201022, 7635, 00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032, 19201023, 7635, 00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032, 19201024, 7635, 00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032, 19201025, 7635, 00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032, 19201026, 7630, 00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032, 19201027, 7630, 00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032, 19201028, 7630, 00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032, 19201029, 7630, 00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032, 19201030, 7635, 00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032, 19201031, 7640, 00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032, 19201101, 7645, 00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032, 19201102, 7640, 00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032, 19201103, 7640, 00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032, 19201104, 7625, 00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032, 19201105, 7620, 00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032, 19201106, 7630, 00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032, 19201107, 7640, 00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032, 19201108, 7630, 00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032, 19201109, 7640, 00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032, 19201110, 7650, 00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032, 19201111, 7645, 00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032, 19201112, 7645, 00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032, 19201113, 7660, 00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032, 19201114, 7650, 00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032, 19201115, 7650, 00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032, 19201116, 7650, 00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032, 19201117, 7640, 00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032, 19201118, 7650, 00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032, 19201119, 7645, 00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032, 19201120, 7640, 00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032, 19201121, 7645, 00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032, 19201122, 7645, 00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032, 19201123, 7650, 00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032, 19201124, 7650, 00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032, 19201125, 7645, 00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032, 19201126, 7660, 00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032, 19201127, 7655, 00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032, 19201128, 7650, 00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032, 19201129, 7650, 00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032, 19201130, 7640, 00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032, 19201201, 7650, 00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032, 19201202, 7640, 00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032, 19201203, 7645, 00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032, 19201204, 7640, 00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032, 19201205, 7650, 00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032, 19201206, 7635, 00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032, 19201207, 7640, 00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032, 19201208, 7645, 00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032, 19201209, 7650, 00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032, 19201210, 7645, 00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032, 19201211, 7645, 00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032, 19201212, 7660, 00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032, 19201213, 7660, 00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032, 19201214, 7650, 00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032, 19201215, 7645, 00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032, 19201216, 7650, 00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032, 19201217, 7650, 00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032, 19201218, 7650, 00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032, 19201219, 7665, 00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032, 19201220, 7660, 00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032, 19201221, 7655, 00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032, 19201222, 7655, 00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032, 19201223, 7645, 00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032, 19201224, 7630, 00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032, 19201225, 7650, 00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032, 19201226, 7655, 00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032, 19201227, 7645, 00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032, 19201228, 7645, 00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032, 19201229, 7650, 00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032, 19201230, 7660, 00</v>
      </c>
    </row>
    <row r="367" spans="1:1" x14ac:dyDescent="0.25">
      <c r="A367" s="12" t="str">
        <f ca="1">TEXT(Overig!A367,"000\,")&amp;TEXT(Overig!B367,"?00000000")&amp;SUBSTITUTE(TEXT(IF(ISTEXT(Overig!C367),Overig!C367,10*Overig!C367),""",""????0;"",""???-0;"",""????0;"", ////"""),"'","""")&amp;SUBSTITUTE(TEXT(Overig!D367,""",""?00;"",""?-00;"",""?00;"", //"""),"'","""")</f>
        <v>032, 19201231, 7655, 00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2015-10-21T09:20:32Z</dcterms:modified>
</cp:coreProperties>
</file>