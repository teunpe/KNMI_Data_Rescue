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Invoer!$A$2:$C$382</definedName>
    <definedName name="Catalogus">Info!$J$3:$L$4</definedName>
    <definedName name="Data">Invoer!$A$3:$C$382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2" i="1" l="1"/>
  <c r="B350" i="1"/>
  <c r="B319" i="1"/>
  <c r="B287" i="1"/>
  <c r="B256" i="1"/>
  <c r="B224" i="1"/>
  <c r="B192" i="1"/>
  <c r="B161" i="1"/>
  <c r="B129" i="1"/>
  <c r="B98" i="1"/>
  <c r="B66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2" i="3" l="1"/>
  <c r="C382" i="1" l="1"/>
  <c r="C350" i="1"/>
  <c r="C319" i="1"/>
  <c r="C287" i="1"/>
  <c r="C256" i="1"/>
  <c r="C224" i="1"/>
  <c r="C192" i="1"/>
  <c r="C161" i="1"/>
  <c r="C129" i="1"/>
  <c r="C98" i="1"/>
  <c r="C66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C367" i="3" l="1"/>
  <c r="D367" i="3"/>
  <c r="C365" i="3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67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367" i="2" l="1"/>
  <c r="D367" i="2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A13" i="5" s="1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A334" i="5" s="1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" i="5" l="1"/>
  <c r="A262" i="5"/>
  <c r="A80" i="5"/>
  <c r="A208" i="5"/>
  <c r="A167" i="5"/>
  <c r="A72" i="5"/>
  <c r="A200" i="5"/>
  <c r="A121" i="5"/>
  <c r="A248" i="5"/>
  <c r="A367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<sst xmlns="http://schemas.openxmlformats.org/spreadsheetml/2006/main" count="46" uniqueCount="36">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</sst>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C381" sqref="C381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11689</v>
      </c>
      <c r="B5" s="21">
        <v>7650</v>
      </c>
      <c r="C5" s="23">
        <v>0</v>
      </c>
    </row>
    <row r="6" spans="1:3" x14ac:dyDescent="0.25">
      <c r="A6" s="1">
        <f ca="1">IF(ISTEXT(A5),A4+1,IF(MONTH(A5+1)=MONTH(A5),A5+1,"Totaal"))</f>
        <v>11690</v>
      </c>
      <c r="B6" s="21">
        <v>7650</v>
      </c>
      <c r="C6" s="24">
        <v>0</v>
      </c>
    </row>
    <row r="7" spans="1:3" x14ac:dyDescent="0.25">
      <c r="A7" s="1">
        <f t="shared" ref="A7:A70" ca="1" si="0">IF(ISTEXT(A6),A5+1,IF(MONTH(A6+1)=MONTH(A6),A6+1,"Totaal"))</f>
        <v>11691</v>
      </c>
      <c r="B7" s="21">
        <v>7650</v>
      </c>
      <c r="C7" s="25">
        <v>0</v>
      </c>
    </row>
    <row r="8" spans="1:3" x14ac:dyDescent="0.25">
      <c r="A8" s="1">
        <f t="shared" ca="1" si="0"/>
        <v>11692</v>
      </c>
      <c r="B8" s="21">
        <v>7665</v>
      </c>
      <c r="C8" s="23">
        <v>0</v>
      </c>
    </row>
    <row r="9" spans="1:3" x14ac:dyDescent="0.25">
      <c r="A9" s="1">
        <f t="shared" ca="1" si="0"/>
        <v>11693</v>
      </c>
      <c r="B9" s="21">
        <v>7665</v>
      </c>
      <c r="C9" s="23">
        <v>0</v>
      </c>
    </row>
    <row r="10" spans="1:3" x14ac:dyDescent="0.25">
      <c r="A10" s="1">
        <f t="shared" ca="1" si="0"/>
        <v>11694</v>
      </c>
      <c r="B10" s="21">
        <v>7670</v>
      </c>
      <c r="C10" s="23">
        <v>0</v>
      </c>
    </row>
    <row r="11" spans="1:3" x14ac:dyDescent="0.25">
      <c r="A11" s="1">
        <f t="shared" ca="1" si="0"/>
        <v>11695</v>
      </c>
      <c r="B11" s="21">
        <v>7665</v>
      </c>
      <c r="C11" s="23">
        <v>0</v>
      </c>
    </row>
    <row r="12" spans="1:3" x14ac:dyDescent="0.25">
      <c r="A12" s="1">
        <f t="shared" ca="1" si="0"/>
        <v>11696</v>
      </c>
      <c r="B12" s="21">
        <v>7660</v>
      </c>
      <c r="C12" s="23">
        <v>0</v>
      </c>
    </row>
    <row r="13" spans="1:3" x14ac:dyDescent="0.25">
      <c r="A13" s="1">
        <f t="shared" ca="1" si="0"/>
        <v>11697</v>
      </c>
      <c r="B13" s="21">
        <v>7660</v>
      </c>
      <c r="C13" s="23">
        <v>0</v>
      </c>
    </row>
    <row r="14" spans="1:3" x14ac:dyDescent="0.25">
      <c r="A14" s="1">
        <f t="shared" ca="1" si="0"/>
        <v>11698</v>
      </c>
      <c r="B14" s="21">
        <v>7660</v>
      </c>
      <c r="C14" s="23">
        <v>0</v>
      </c>
    </row>
    <row r="15" spans="1:3" x14ac:dyDescent="0.25">
      <c r="A15" s="1">
        <f t="shared" ca="1" si="0"/>
        <v>11699</v>
      </c>
      <c r="B15" s="21">
        <v>7680</v>
      </c>
      <c r="C15" s="23">
        <v>0</v>
      </c>
    </row>
    <row r="16" spans="1:3" x14ac:dyDescent="0.25">
      <c r="A16" s="1">
        <f t="shared" ca="1" si="0"/>
        <v>11700</v>
      </c>
      <c r="B16" s="21">
        <v>7675</v>
      </c>
      <c r="C16" s="23">
        <v>35</v>
      </c>
    </row>
    <row r="17" spans="1:3" x14ac:dyDescent="0.25">
      <c r="A17" s="1">
        <f t="shared" ca="1" si="0"/>
        <v>11701</v>
      </c>
      <c r="B17" s="21">
        <v>7680</v>
      </c>
      <c r="C17" s="23">
        <v>18</v>
      </c>
    </row>
    <row r="18" spans="1:3" x14ac:dyDescent="0.25">
      <c r="A18" s="1">
        <f t="shared" ca="1" si="0"/>
        <v>11702</v>
      </c>
      <c r="B18" s="21">
        <v>7670</v>
      </c>
      <c r="C18" s="23">
        <v>36</v>
      </c>
    </row>
    <row r="19" spans="1:3" x14ac:dyDescent="0.25">
      <c r="A19" s="1">
        <f t="shared" ca="1" si="0"/>
        <v>11703</v>
      </c>
      <c r="B19" s="21">
        <v>7655</v>
      </c>
      <c r="C19" s="23">
        <v>0</v>
      </c>
    </row>
    <row r="20" spans="1:3" x14ac:dyDescent="0.25">
      <c r="A20" s="1">
        <f t="shared" ca="1" si="0"/>
        <v>11704</v>
      </c>
      <c r="B20" s="21">
        <v>7660</v>
      </c>
      <c r="C20" s="23">
        <v>0</v>
      </c>
    </row>
    <row r="21" spans="1:3" x14ac:dyDescent="0.25">
      <c r="A21" s="1">
        <f t="shared" ca="1" si="0"/>
        <v>11705</v>
      </c>
      <c r="B21" s="21">
        <v>7655</v>
      </c>
      <c r="C21" s="23">
        <v>0</v>
      </c>
    </row>
    <row r="22" spans="1:3" x14ac:dyDescent="0.25">
      <c r="A22" s="1">
        <f t="shared" ca="1" si="0"/>
        <v>11706</v>
      </c>
      <c r="B22" s="21">
        <v>7665</v>
      </c>
      <c r="C22" s="23">
        <v>0</v>
      </c>
    </row>
    <row r="23" spans="1:3" x14ac:dyDescent="0.25">
      <c r="A23" s="1">
        <f t="shared" ca="1" si="0"/>
        <v>11707</v>
      </c>
      <c r="B23" s="21">
        <v>7665</v>
      </c>
      <c r="C23" s="23">
        <v>24</v>
      </c>
    </row>
    <row r="24" spans="1:3" x14ac:dyDescent="0.25">
      <c r="A24" s="1">
        <f t="shared" ca="1" si="0"/>
        <v>11708</v>
      </c>
      <c r="B24" s="21">
        <v>7670</v>
      </c>
      <c r="C24" s="23">
        <v>0</v>
      </c>
    </row>
    <row r="25" spans="1:3" x14ac:dyDescent="0.25">
      <c r="A25" s="1">
        <f t="shared" ca="1" si="0"/>
        <v>11709</v>
      </c>
      <c r="B25" s="21">
        <v>7665</v>
      </c>
      <c r="C25" s="23">
        <v>0</v>
      </c>
    </row>
    <row r="26" spans="1:3" x14ac:dyDescent="0.25">
      <c r="A26" s="1">
        <f t="shared" ca="1" si="0"/>
        <v>11710</v>
      </c>
      <c r="B26" s="21">
        <v>7655</v>
      </c>
      <c r="C26" s="23">
        <v>0</v>
      </c>
    </row>
    <row r="27" spans="1:3" x14ac:dyDescent="0.25">
      <c r="A27" s="1">
        <f t="shared" ca="1" si="0"/>
        <v>11711</v>
      </c>
      <c r="B27" s="21">
        <v>7655</v>
      </c>
      <c r="C27" s="23">
        <v>9</v>
      </c>
    </row>
    <row r="28" spans="1:3" x14ac:dyDescent="0.25">
      <c r="A28" s="1">
        <f t="shared" ca="1" si="0"/>
        <v>11712</v>
      </c>
      <c r="B28" s="21">
        <v>7670</v>
      </c>
      <c r="C28" s="23">
        <v>0</v>
      </c>
    </row>
    <row r="29" spans="1:3" x14ac:dyDescent="0.25">
      <c r="A29" s="1">
        <f t="shared" ca="1" si="0"/>
        <v>11713</v>
      </c>
      <c r="B29" s="21">
        <v>7670</v>
      </c>
      <c r="C29" s="23">
        <v>220</v>
      </c>
    </row>
    <row r="30" spans="1:3" x14ac:dyDescent="0.25">
      <c r="A30" s="1">
        <f t="shared" ca="1" si="0"/>
        <v>11714</v>
      </c>
      <c r="B30" s="21">
        <v>7680</v>
      </c>
      <c r="C30" s="23">
        <v>18</v>
      </c>
    </row>
    <row r="31" spans="1:3" x14ac:dyDescent="0.25">
      <c r="A31" s="1">
        <f t="shared" ca="1" si="0"/>
        <v>11715</v>
      </c>
      <c r="B31" s="21">
        <v>7680</v>
      </c>
      <c r="C31" s="23">
        <v>28</v>
      </c>
    </row>
    <row r="32" spans="1:3" x14ac:dyDescent="0.25">
      <c r="A32" s="1">
        <f t="shared" ca="1" si="0"/>
        <v>11716</v>
      </c>
      <c r="B32" s="21">
        <v>7670</v>
      </c>
      <c r="C32" s="23">
        <v>42</v>
      </c>
    </row>
    <row r="33" spans="1:3" x14ac:dyDescent="0.25">
      <c r="A33" s="1">
        <f t="shared" ca="1" si="0"/>
        <v>11717</v>
      </c>
      <c r="B33" s="21">
        <v>7665</v>
      </c>
      <c r="C33" s="23">
        <v>44</v>
      </c>
    </row>
    <row r="34" spans="1:3" x14ac:dyDescent="0.25">
      <c r="A34" s="1">
        <f t="shared" ca="1" si="0"/>
        <v>11718</v>
      </c>
      <c r="B34" s="21">
        <v>7665</v>
      </c>
      <c r="C34" s="23">
        <v>0</v>
      </c>
    </row>
    <row r="35" spans="1:3" x14ac:dyDescent="0.25">
      <c r="A35" s="1">
        <f t="shared" ca="1" si="0"/>
        <v>11719</v>
      </c>
      <c r="B35" s="21">
        <v>7670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766.5</v>
      </c>
      <c r="C36" s="26">
        <f>SUM(C5:C35)/10</f>
        <v>47.4</v>
      </c>
    </row>
    <row r="37" spans="1:3" x14ac:dyDescent="0.25">
      <c r="A37" s="1">
        <f t="shared" ca="1" si="0"/>
        <v>11720</v>
      </c>
      <c r="B37" s="21">
        <v>7680</v>
      </c>
      <c r="C37" s="23">
        <v>0</v>
      </c>
    </row>
    <row r="38" spans="1:3" x14ac:dyDescent="0.25">
      <c r="A38" s="1">
        <f t="shared" ca="1" si="0"/>
        <v>11721</v>
      </c>
      <c r="B38" s="21">
        <v>7675</v>
      </c>
      <c r="C38" s="23">
        <v>0</v>
      </c>
    </row>
    <row r="39" spans="1:3" x14ac:dyDescent="0.25">
      <c r="A39" s="1">
        <f t="shared" ca="1" si="0"/>
        <v>11722</v>
      </c>
      <c r="B39" s="21">
        <v>7670</v>
      </c>
      <c r="C39" s="23">
        <v>0</v>
      </c>
    </row>
    <row r="40" spans="1:3" x14ac:dyDescent="0.25">
      <c r="A40" s="1">
        <f t="shared" ca="1" si="0"/>
        <v>11723</v>
      </c>
      <c r="B40" s="21">
        <v>7685</v>
      </c>
      <c r="C40" s="23">
        <v>0</v>
      </c>
    </row>
    <row r="41" spans="1:3" x14ac:dyDescent="0.25">
      <c r="A41" s="1">
        <f t="shared" ca="1" si="0"/>
        <v>11724</v>
      </c>
      <c r="B41" s="21">
        <v>7690</v>
      </c>
      <c r="C41" s="23">
        <v>0</v>
      </c>
    </row>
    <row r="42" spans="1:3" x14ac:dyDescent="0.25">
      <c r="A42" s="1">
        <f t="shared" ca="1" si="0"/>
        <v>11725</v>
      </c>
      <c r="B42" s="21">
        <v>7675</v>
      </c>
      <c r="C42" s="23">
        <v>0</v>
      </c>
    </row>
    <row r="43" spans="1:3" x14ac:dyDescent="0.25">
      <c r="A43" s="1">
        <f t="shared" ca="1" si="0"/>
        <v>11726</v>
      </c>
      <c r="B43" s="21">
        <v>7670</v>
      </c>
      <c r="C43" s="23">
        <v>0</v>
      </c>
    </row>
    <row r="44" spans="1:3" x14ac:dyDescent="0.25">
      <c r="A44" s="1">
        <f t="shared" ca="1" si="0"/>
        <v>11727</v>
      </c>
      <c r="B44" s="21">
        <v>7680</v>
      </c>
      <c r="C44" s="23">
        <v>0</v>
      </c>
    </row>
    <row r="45" spans="1:3" x14ac:dyDescent="0.25">
      <c r="A45" s="1">
        <f t="shared" ca="1" si="0"/>
        <v>11728</v>
      </c>
      <c r="B45" s="21">
        <v>7675</v>
      </c>
      <c r="C45" s="23">
        <v>4</v>
      </c>
    </row>
    <row r="46" spans="1:3" x14ac:dyDescent="0.25">
      <c r="A46" s="1">
        <f t="shared" ca="1" si="0"/>
        <v>11729</v>
      </c>
      <c r="B46" s="21">
        <v>7670</v>
      </c>
      <c r="C46" s="23">
        <v>0</v>
      </c>
    </row>
    <row r="47" spans="1:3" x14ac:dyDescent="0.25">
      <c r="A47" s="1">
        <f t="shared" ca="1" si="0"/>
        <v>11730</v>
      </c>
      <c r="B47" s="21">
        <v>7655</v>
      </c>
      <c r="C47" s="23">
        <v>0</v>
      </c>
    </row>
    <row r="48" spans="1:3" x14ac:dyDescent="0.25">
      <c r="A48" s="1">
        <f t="shared" ca="1" si="0"/>
        <v>11731</v>
      </c>
      <c r="B48" s="21">
        <v>7665</v>
      </c>
      <c r="C48" s="23">
        <v>0</v>
      </c>
    </row>
    <row r="49" spans="1:3" x14ac:dyDescent="0.25">
      <c r="A49" s="1">
        <f t="shared" ca="1" si="0"/>
        <v>11732</v>
      </c>
      <c r="B49" s="21">
        <v>7660</v>
      </c>
      <c r="C49" s="23">
        <v>0</v>
      </c>
    </row>
    <row r="50" spans="1:3" x14ac:dyDescent="0.25">
      <c r="A50" s="1">
        <f t="shared" ca="1" si="0"/>
        <v>11733</v>
      </c>
      <c r="B50" s="21">
        <v>7650</v>
      </c>
      <c r="C50" s="23">
        <v>0</v>
      </c>
    </row>
    <row r="51" spans="1:3" x14ac:dyDescent="0.25">
      <c r="A51" s="1">
        <f t="shared" ca="1" si="0"/>
        <v>11734</v>
      </c>
      <c r="B51" s="21">
        <v>7655</v>
      </c>
      <c r="C51" s="23">
        <v>35</v>
      </c>
    </row>
    <row r="52" spans="1:3" x14ac:dyDescent="0.25">
      <c r="A52" s="1">
        <f t="shared" ca="1" si="0"/>
        <v>11735</v>
      </c>
      <c r="B52" s="21">
        <v>7660</v>
      </c>
      <c r="C52" s="23">
        <v>0</v>
      </c>
    </row>
    <row r="53" spans="1:3" x14ac:dyDescent="0.25">
      <c r="A53" s="1">
        <f t="shared" ca="1" si="0"/>
        <v>11736</v>
      </c>
      <c r="B53" s="21">
        <v>7660</v>
      </c>
      <c r="C53" s="23">
        <v>0</v>
      </c>
    </row>
    <row r="54" spans="1:3" x14ac:dyDescent="0.25">
      <c r="A54" s="1">
        <f t="shared" ca="1" si="0"/>
        <v>11737</v>
      </c>
      <c r="B54" s="21">
        <v>7670</v>
      </c>
      <c r="C54" s="23">
        <v>0</v>
      </c>
    </row>
    <row r="55" spans="1:3" x14ac:dyDescent="0.25">
      <c r="A55" s="1">
        <f t="shared" ca="1" si="0"/>
        <v>11738</v>
      </c>
      <c r="B55" s="21">
        <v>7670</v>
      </c>
      <c r="C55" s="23">
        <v>0</v>
      </c>
    </row>
    <row r="56" spans="1:3" x14ac:dyDescent="0.25">
      <c r="A56" s="1">
        <f t="shared" ca="1" si="0"/>
        <v>11739</v>
      </c>
      <c r="B56" s="21">
        <v>7675</v>
      </c>
      <c r="C56" s="23">
        <v>0</v>
      </c>
    </row>
    <row r="57" spans="1:3" x14ac:dyDescent="0.25">
      <c r="A57" s="1">
        <f t="shared" ca="1" si="0"/>
        <v>11740</v>
      </c>
      <c r="B57" s="21">
        <v>7665</v>
      </c>
      <c r="C57" s="23">
        <v>0</v>
      </c>
    </row>
    <row r="58" spans="1:3" x14ac:dyDescent="0.25">
      <c r="A58" s="1">
        <f t="shared" ca="1" si="0"/>
        <v>11741</v>
      </c>
      <c r="B58" s="21">
        <v>7670</v>
      </c>
      <c r="C58" s="23">
        <v>0</v>
      </c>
    </row>
    <row r="59" spans="1:3" x14ac:dyDescent="0.25">
      <c r="A59" s="1">
        <f t="shared" ca="1" si="0"/>
        <v>11742</v>
      </c>
      <c r="B59" s="21">
        <v>7670</v>
      </c>
      <c r="C59" s="23">
        <v>0</v>
      </c>
    </row>
    <row r="60" spans="1:3" x14ac:dyDescent="0.25">
      <c r="A60" s="1">
        <f t="shared" ca="1" si="0"/>
        <v>11743</v>
      </c>
      <c r="B60" s="21">
        <v>7675</v>
      </c>
      <c r="C60" s="23">
        <v>0</v>
      </c>
    </row>
    <row r="61" spans="1:3" x14ac:dyDescent="0.25">
      <c r="A61" s="1">
        <f t="shared" ca="1" si="0"/>
        <v>11744</v>
      </c>
      <c r="B61" s="21">
        <v>7675</v>
      </c>
      <c r="C61" s="23">
        <v>0</v>
      </c>
    </row>
    <row r="62" spans="1:3" x14ac:dyDescent="0.25">
      <c r="A62" s="1">
        <f t="shared" ca="1" si="0"/>
        <v>11745</v>
      </c>
      <c r="B62" s="21">
        <v>7655</v>
      </c>
      <c r="C62" s="23">
        <v>0</v>
      </c>
    </row>
    <row r="63" spans="1:3" x14ac:dyDescent="0.25">
      <c r="A63" s="1">
        <f t="shared" ca="1" si="0"/>
        <v>11746</v>
      </c>
      <c r="B63" s="21">
        <v>7670</v>
      </c>
      <c r="C63" s="23">
        <v>0</v>
      </c>
    </row>
    <row r="64" spans="1:3" x14ac:dyDescent="0.25">
      <c r="A64" s="1">
        <f t="shared" ca="1" si="0"/>
        <v>11747</v>
      </c>
      <c r="B64" s="21">
        <v>7655</v>
      </c>
      <c r="C64" s="23">
        <v>0</v>
      </c>
    </row>
    <row r="65" spans="1:3" x14ac:dyDescent="0.25">
      <c r="A65" s="1">
        <f t="shared" ca="1" si="0"/>
        <v>11748</v>
      </c>
      <c r="B65" s="21">
        <v>7665</v>
      </c>
      <c r="C65" s="23">
        <v>0</v>
      </c>
    </row>
    <row r="66" spans="1:3" x14ac:dyDescent="0.25">
      <c r="A66" s="1" t="str">
        <f t="shared" ca="1" si="0"/>
        <v>Totaal</v>
      </c>
      <c r="B66" s="22">
        <f>IF(COUNT(B37:B65)&gt;0,AVERAGE(B37:B65)/10,"")</f>
        <v>766.86206896551721</v>
      </c>
      <c r="C66" s="26">
        <f>SUM(C37:C65)/10</f>
        <v>3.9</v>
      </c>
    </row>
    <row r="67" spans="1:3" x14ac:dyDescent="0.25">
      <c r="A67" s="1">
        <f t="shared" ca="1" si="0"/>
        <v>11749</v>
      </c>
      <c r="B67" s="21">
        <v>7650</v>
      </c>
      <c r="C67" s="23">
        <v>0</v>
      </c>
    </row>
    <row r="68" spans="1:3" x14ac:dyDescent="0.25">
      <c r="A68" s="1">
        <f t="shared" ca="1" si="0"/>
        <v>11750</v>
      </c>
      <c r="B68" s="21">
        <v>7645</v>
      </c>
      <c r="C68" s="23">
        <v>0</v>
      </c>
    </row>
    <row r="69" spans="1:3" x14ac:dyDescent="0.25">
      <c r="A69" s="1">
        <f t="shared" ca="1" si="0"/>
        <v>11751</v>
      </c>
      <c r="B69" s="21">
        <v>7655</v>
      </c>
      <c r="C69" s="23">
        <v>0</v>
      </c>
    </row>
    <row r="70" spans="1:3" x14ac:dyDescent="0.25">
      <c r="A70" s="1">
        <f t="shared" ca="1" si="0"/>
        <v>11752</v>
      </c>
      <c r="B70" s="21">
        <v>7650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11753</v>
      </c>
      <c r="B71" s="21">
        <v>7645</v>
      </c>
      <c r="C71" s="23">
        <v>0</v>
      </c>
    </row>
    <row r="72" spans="1:3" x14ac:dyDescent="0.25">
      <c r="A72" s="1">
        <f t="shared" ca="1" si="1"/>
        <v>11754</v>
      </c>
      <c r="B72" s="21">
        <v>7655</v>
      </c>
      <c r="C72" s="23">
        <v>0</v>
      </c>
    </row>
    <row r="73" spans="1:3" x14ac:dyDescent="0.25">
      <c r="A73" s="1">
        <f t="shared" ca="1" si="1"/>
        <v>11755</v>
      </c>
      <c r="B73" s="21">
        <v>7655</v>
      </c>
      <c r="C73" s="23">
        <v>0</v>
      </c>
    </row>
    <row r="74" spans="1:3" x14ac:dyDescent="0.25">
      <c r="A74" s="1">
        <f t="shared" ca="1" si="1"/>
        <v>11756</v>
      </c>
      <c r="B74" s="21">
        <v>7665</v>
      </c>
      <c r="C74" s="23">
        <v>100</v>
      </c>
    </row>
    <row r="75" spans="1:3" x14ac:dyDescent="0.25">
      <c r="A75" s="1">
        <f t="shared" ca="1" si="1"/>
        <v>11757</v>
      </c>
      <c r="B75" s="21">
        <v>7660</v>
      </c>
      <c r="C75" s="23">
        <v>0</v>
      </c>
    </row>
    <row r="76" spans="1:3" x14ac:dyDescent="0.25">
      <c r="A76" s="1">
        <f t="shared" ca="1" si="1"/>
        <v>11758</v>
      </c>
      <c r="B76" s="21">
        <v>7660</v>
      </c>
      <c r="C76" s="23">
        <v>4</v>
      </c>
    </row>
    <row r="77" spans="1:3" x14ac:dyDescent="0.25">
      <c r="A77" s="1">
        <f t="shared" ca="1" si="1"/>
        <v>11759</v>
      </c>
      <c r="B77" s="21">
        <v>7670</v>
      </c>
      <c r="C77" s="23">
        <v>0</v>
      </c>
    </row>
    <row r="78" spans="1:3" x14ac:dyDescent="0.25">
      <c r="A78" s="1">
        <f t="shared" ca="1" si="1"/>
        <v>11760</v>
      </c>
      <c r="B78" s="21">
        <v>7660</v>
      </c>
      <c r="C78" s="23">
        <v>0</v>
      </c>
    </row>
    <row r="79" spans="1:3" x14ac:dyDescent="0.25">
      <c r="A79" s="1">
        <f t="shared" ca="1" si="1"/>
        <v>11761</v>
      </c>
      <c r="B79" s="21">
        <v>7660</v>
      </c>
      <c r="C79" s="23">
        <v>0</v>
      </c>
    </row>
    <row r="80" spans="1:3" x14ac:dyDescent="0.25">
      <c r="A80" s="1">
        <f t="shared" ca="1" si="1"/>
        <v>11762</v>
      </c>
      <c r="B80" s="21">
        <v>7655</v>
      </c>
      <c r="C80" s="23">
        <v>0</v>
      </c>
    </row>
    <row r="81" spans="1:3" x14ac:dyDescent="0.25">
      <c r="A81" s="1">
        <f t="shared" ca="1" si="1"/>
        <v>11763</v>
      </c>
      <c r="B81" s="21">
        <v>7670</v>
      </c>
      <c r="C81" s="23">
        <v>0</v>
      </c>
    </row>
    <row r="82" spans="1:3" x14ac:dyDescent="0.25">
      <c r="A82" s="1">
        <f t="shared" ca="1" si="1"/>
        <v>11764</v>
      </c>
      <c r="B82" s="21">
        <v>7670</v>
      </c>
      <c r="C82" s="23">
        <v>0</v>
      </c>
    </row>
    <row r="83" spans="1:3" x14ac:dyDescent="0.25">
      <c r="A83" s="1">
        <f t="shared" ca="1" si="1"/>
        <v>11765</v>
      </c>
      <c r="B83" s="21">
        <v>7665</v>
      </c>
      <c r="C83" s="23">
        <v>0</v>
      </c>
    </row>
    <row r="84" spans="1:3" x14ac:dyDescent="0.25">
      <c r="A84" s="1">
        <f t="shared" ca="1" si="1"/>
        <v>11766</v>
      </c>
      <c r="B84" s="21">
        <v>7660</v>
      </c>
      <c r="C84" s="23">
        <v>0</v>
      </c>
    </row>
    <row r="85" spans="1:3" x14ac:dyDescent="0.25">
      <c r="A85" s="1">
        <f t="shared" ca="1" si="1"/>
        <v>11767</v>
      </c>
      <c r="B85" s="21">
        <v>7660</v>
      </c>
      <c r="C85" s="23">
        <v>0</v>
      </c>
    </row>
    <row r="86" spans="1:3" x14ac:dyDescent="0.25">
      <c r="A86" s="1">
        <f t="shared" ca="1" si="1"/>
        <v>11768</v>
      </c>
      <c r="B86" s="21">
        <v>7670</v>
      </c>
      <c r="C86" s="23">
        <v>0</v>
      </c>
    </row>
    <row r="87" spans="1:3" x14ac:dyDescent="0.25">
      <c r="A87" s="1">
        <f t="shared" ca="1" si="1"/>
        <v>11769</v>
      </c>
      <c r="B87" s="21">
        <v>7670</v>
      </c>
      <c r="C87" s="23">
        <v>0</v>
      </c>
    </row>
    <row r="88" spans="1:3" x14ac:dyDescent="0.25">
      <c r="A88" s="1">
        <f t="shared" ca="1" si="1"/>
        <v>11770</v>
      </c>
      <c r="B88" s="21">
        <v>7665</v>
      </c>
      <c r="C88" s="23">
        <v>0</v>
      </c>
    </row>
    <row r="89" spans="1:3" x14ac:dyDescent="0.25">
      <c r="A89" s="1">
        <f t="shared" ca="1" si="1"/>
        <v>11771</v>
      </c>
      <c r="B89" s="21">
        <v>7670</v>
      </c>
      <c r="C89" s="23">
        <v>0</v>
      </c>
    </row>
    <row r="90" spans="1:3" x14ac:dyDescent="0.25">
      <c r="A90" s="1">
        <f t="shared" ca="1" si="1"/>
        <v>11772</v>
      </c>
      <c r="B90" s="21">
        <v>7685</v>
      </c>
      <c r="C90" s="23">
        <v>0</v>
      </c>
    </row>
    <row r="91" spans="1:3" x14ac:dyDescent="0.25">
      <c r="A91" s="1">
        <f t="shared" ca="1" si="1"/>
        <v>11773</v>
      </c>
      <c r="B91" s="21">
        <v>7670</v>
      </c>
      <c r="C91" s="23">
        <v>0</v>
      </c>
    </row>
    <row r="92" spans="1:3" x14ac:dyDescent="0.25">
      <c r="A92" s="1">
        <f t="shared" ca="1" si="1"/>
        <v>11774</v>
      </c>
      <c r="B92" s="21">
        <v>7670</v>
      </c>
      <c r="C92" s="23">
        <v>0</v>
      </c>
    </row>
    <row r="93" spans="1:3" x14ac:dyDescent="0.25">
      <c r="A93" s="1">
        <f t="shared" ca="1" si="1"/>
        <v>11775</v>
      </c>
      <c r="B93" s="21">
        <v>7675</v>
      </c>
      <c r="C93" s="23">
        <v>0</v>
      </c>
    </row>
    <row r="94" spans="1:3" x14ac:dyDescent="0.25">
      <c r="A94" s="1">
        <f t="shared" ca="1" si="1"/>
        <v>11776</v>
      </c>
      <c r="B94" s="21">
        <v>7660</v>
      </c>
      <c r="C94" s="23">
        <v>0</v>
      </c>
    </row>
    <row r="95" spans="1:3" x14ac:dyDescent="0.25">
      <c r="A95" s="1">
        <f t="shared" ca="1" si="1"/>
        <v>11777</v>
      </c>
      <c r="B95" s="21">
        <v>7675</v>
      </c>
      <c r="C95" s="23">
        <v>0</v>
      </c>
    </row>
    <row r="96" spans="1:3" x14ac:dyDescent="0.25">
      <c r="A96" s="1">
        <f t="shared" ca="1" si="1"/>
        <v>11778</v>
      </c>
      <c r="B96" s="21">
        <v>7670</v>
      </c>
      <c r="C96" s="23">
        <v>0</v>
      </c>
    </row>
    <row r="97" spans="1:3" x14ac:dyDescent="0.25">
      <c r="A97" s="1">
        <f t="shared" ca="1" si="1"/>
        <v>11779</v>
      </c>
      <c r="B97" s="21">
        <v>7660</v>
      </c>
      <c r="C97" s="23">
        <v>0</v>
      </c>
    </row>
    <row r="98" spans="1:3" x14ac:dyDescent="0.25">
      <c r="A98" s="1" t="str">
        <f t="shared" ca="1" si="1"/>
        <v>Totaal</v>
      </c>
      <c r="B98" s="22">
        <f>IF(COUNT(B67:B97)&gt;0,AVERAGE(B67:B97)/10,"")</f>
        <v>766.29032258064512</v>
      </c>
      <c r="C98" s="26">
        <f>SUM(C67:C97)/10</f>
        <v>10.4</v>
      </c>
    </row>
    <row r="99" spans="1:3" x14ac:dyDescent="0.25">
      <c r="A99" s="1">
        <f t="shared" ca="1" si="1"/>
        <v>11780</v>
      </c>
      <c r="B99" s="21">
        <v>7660</v>
      </c>
      <c r="C99" s="23">
        <v>0</v>
      </c>
    </row>
    <row r="100" spans="1:3" x14ac:dyDescent="0.25">
      <c r="A100" s="1">
        <f t="shared" ca="1" si="1"/>
        <v>11781</v>
      </c>
      <c r="B100" s="21">
        <v>7670</v>
      </c>
      <c r="C100" s="23">
        <v>0</v>
      </c>
    </row>
    <row r="101" spans="1:3" x14ac:dyDescent="0.25">
      <c r="A101" s="1">
        <f t="shared" ca="1" si="1"/>
        <v>11782</v>
      </c>
      <c r="B101" s="21">
        <v>7655</v>
      </c>
      <c r="C101" s="23">
        <v>0</v>
      </c>
    </row>
    <row r="102" spans="1:3" x14ac:dyDescent="0.25">
      <c r="A102" s="1">
        <f t="shared" ca="1" si="1"/>
        <v>11783</v>
      </c>
      <c r="B102" s="21">
        <v>7655</v>
      </c>
      <c r="C102" s="23">
        <v>0</v>
      </c>
    </row>
    <row r="103" spans="1:3" x14ac:dyDescent="0.25">
      <c r="A103" s="1">
        <f t="shared" ca="1" si="1"/>
        <v>11784</v>
      </c>
      <c r="B103" s="21">
        <v>7660</v>
      </c>
      <c r="C103" s="23">
        <v>0</v>
      </c>
    </row>
    <row r="104" spans="1:3" x14ac:dyDescent="0.25">
      <c r="A104" s="1">
        <f t="shared" ca="1" si="1"/>
        <v>11785</v>
      </c>
      <c r="B104" s="21">
        <v>7650</v>
      </c>
      <c r="C104" s="23">
        <v>10</v>
      </c>
    </row>
    <row r="105" spans="1:3" x14ac:dyDescent="0.25">
      <c r="A105" s="1">
        <f t="shared" ca="1" si="1"/>
        <v>11786</v>
      </c>
      <c r="B105" s="21">
        <v>7640</v>
      </c>
      <c r="C105" s="23">
        <v>0</v>
      </c>
    </row>
    <row r="106" spans="1:3" x14ac:dyDescent="0.25">
      <c r="A106" s="1">
        <f t="shared" ca="1" si="1"/>
        <v>11787</v>
      </c>
      <c r="B106" s="21">
        <v>7640</v>
      </c>
      <c r="C106" s="23">
        <v>0</v>
      </c>
    </row>
    <row r="107" spans="1:3" x14ac:dyDescent="0.25">
      <c r="A107" s="1">
        <f t="shared" ca="1" si="1"/>
        <v>11788</v>
      </c>
      <c r="B107" s="21">
        <v>7640</v>
      </c>
      <c r="C107" s="23">
        <v>0</v>
      </c>
    </row>
    <row r="108" spans="1:3" x14ac:dyDescent="0.25">
      <c r="A108" s="1">
        <f t="shared" ca="1" si="1"/>
        <v>11789</v>
      </c>
      <c r="B108" s="21">
        <v>7645</v>
      </c>
      <c r="C108" s="23">
        <v>0</v>
      </c>
    </row>
    <row r="109" spans="1:3" x14ac:dyDescent="0.25">
      <c r="A109" s="1">
        <f t="shared" ca="1" si="1"/>
        <v>11790</v>
      </c>
      <c r="B109" s="21">
        <v>7640</v>
      </c>
      <c r="C109" s="23">
        <v>0</v>
      </c>
    </row>
    <row r="110" spans="1:3" x14ac:dyDescent="0.25">
      <c r="A110" s="1">
        <f t="shared" ca="1" si="1"/>
        <v>11791</v>
      </c>
      <c r="B110" s="21">
        <v>7650</v>
      </c>
      <c r="C110" s="23">
        <v>0</v>
      </c>
    </row>
    <row r="111" spans="1:3" x14ac:dyDescent="0.25">
      <c r="A111" s="1">
        <f t="shared" ca="1" si="1"/>
        <v>11792</v>
      </c>
      <c r="B111" s="21">
        <v>7650</v>
      </c>
      <c r="C111" s="23">
        <v>0</v>
      </c>
    </row>
    <row r="112" spans="1:3" x14ac:dyDescent="0.25">
      <c r="A112" s="1">
        <f t="shared" ca="1" si="1"/>
        <v>11793</v>
      </c>
      <c r="B112" s="21">
        <v>7645</v>
      </c>
      <c r="C112" s="23">
        <v>0</v>
      </c>
    </row>
    <row r="113" spans="1:3" x14ac:dyDescent="0.25">
      <c r="A113" s="1">
        <f t="shared" ca="1" si="1"/>
        <v>11794</v>
      </c>
      <c r="B113" s="21">
        <v>7635</v>
      </c>
      <c r="C113" s="23">
        <v>0</v>
      </c>
    </row>
    <row r="114" spans="1:3" x14ac:dyDescent="0.25">
      <c r="A114" s="1">
        <f t="shared" ca="1" si="1"/>
        <v>11795</v>
      </c>
      <c r="B114" s="21">
        <v>7650</v>
      </c>
      <c r="C114" s="23">
        <v>0</v>
      </c>
    </row>
    <row r="115" spans="1:3" x14ac:dyDescent="0.25">
      <c r="A115" s="1">
        <f t="shared" ca="1" si="1"/>
        <v>11796</v>
      </c>
      <c r="B115" s="21">
        <v>7640</v>
      </c>
      <c r="C115" s="23">
        <v>0</v>
      </c>
    </row>
    <row r="116" spans="1:3" x14ac:dyDescent="0.25">
      <c r="A116" s="1">
        <f t="shared" ca="1" si="1"/>
        <v>11797</v>
      </c>
      <c r="B116" s="21">
        <v>7645</v>
      </c>
      <c r="C116" s="23">
        <v>0</v>
      </c>
    </row>
    <row r="117" spans="1:3" x14ac:dyDescent="0.25">
      <c r="A117" s="1">
        <f t="shared" ca="1" si="1"/>
        <v>11798</v>
      </c>
      <c r="B117" s="21">
        <v>7635</v>
      </c>
      <c r="C117" s="23">
        <v>0</v>
      </c>
    </row>
    <row r="118" spans="1:3" x14ac:dyDescent="0.25">
      <c r="A118" s="1">
        <f t="shared" ca="1" si="1"/>
        <v>11799</v>
      </c>
      <c r="B118" s="21">
        <v>7635</v>
      </c>
      <c r="C118" s="23">
        <v>0</v>
      </c>
    </row>
    <row r="119" spans="1:3" x14ac:dyDescent="0.25">
      <c r="A119" s="1">
        <f t="shared" ca="1" si="1"/>
        <v>11800</v>
      </c>
      <c r="B119" s="21">
        <v>7620</v>
      </c>
      <c r="C119" s="23">
        <v>0</v>
      </c>
    </row>
    <row r="120" spans="1:3" x14ac:dyDescent="0.25">
      <c r="A120" s="1">
        <f t="shared" ca="1" si="1"/>
        <v>11801</v>
      </c>
      <c r="B120" s="21">
        <v>7615</v>
      </c>
      <c r="C120" s="23">
        <v>0</v>
      </c>
    </row>
    <row r="121" spans="1:3" x14ac:dyDescent="0.25">
      <c r="A121" s="1">
        <f t="shared" ca="1" si="1"/>
        <v>11802</v>
      </c>
      <c r="B121" s="21">
        <v>7620</v>
      </c>
      <c r="C121" s="23">
        <v>0</v>
      </c>
    </row>
    <row r="122" spans="1:3" x14ac:dyDescent="0.25">
      <c r="A122" s="1">
        <f t="shared" ca="1" si="1"/>
        <v>11803</v>
      </c>
      <c r="B122" s="21">
        <v>7630</v>
      </c>
      <c r="C122" s="23">
        <v>0</v>
      </c>
    </row>
    <row r="123" spans="1:3" x14ac:dyDescent="0.25">
      <c r="A123" s="1">
        <f t="shared" ca="1" si="1"/>
        <v>11804</v>
      </c>
      <c r="B123" s="21">
        <v>7640</v>
      </c>
      <c r="C123" s="23">
        <v>0</v>
      </c>
    </row>
    <row r="124" spans="1:3" x14ac:dyDescent="0.25">
      <c r="A124" s="1">
        <f t="shared" ca="1" si="1"/>
        <v>11805</v>
      </c>
      <c r="B124" s="21">
        <v>7650</v>
      </c>
      <c r="C124" s="23">
        <v>0</v>
      </c>
    </row>
    <row r="125" spans="1:3" x14ac:dyDescent="0.25">
      <c r="A125" s="1">
        <f t="shared" ca="1" si="1"/>
        <v>11806</v>
      </c>
      <c r="B125" s="21">
        <v>7645</v>
      </c>
      <c r="C125" s="23">
        <v>0</v>
      </c>
    </row>
    <row r="126" spans="1:3" x14ac:dyDescent="0.25">
      <c r="A126" s="1">
        <f t="shared" ca="1" si="1"/>
        <v>11807</v>
      </c>
      <c r="B126" s="21">
        <v>7645</v>
      </c>
      <c r="C126" s="23">
        <v>0</v>
      </c>
    </row>
    <row r="127" spans="1:3" x14ac:dyDescent="0.25">
      <c r="A127" s="1">
        <f t="shared" ca="1" si="1"/>
        <v>11808</v>
      </c>
      <c r="B127" s="21">
        <v>7640</v>
      </c>
      <c r="C127" s="23">
        <v>0</v>
      </c>
    </row>
    <row r="128" spans="1:3" x14ac:dyDescent="0.25">
      <c r="A128" s="1">
        <f t="shared" ca="1" si="1"/>
        <v>11809</v>
      </c>
      <c r="B128" s="21">
        <v>7640</v>
      </c>
      <c r="C128" s="23">
        <v>0</v>
      </c>
    </row>
    <row r="129" spans="1:3" x14ac:dyDescent="0.25">
      <c r="A129" s="1" t="str">
        <f t="shared" ca="1" si="1"/>
        <v>Totaal</v>
      </c>
      <c r="B129" s="22">
        <f>IF(COUNT(B99:B128)&gt;0,AVERAGE(B99:B128)/10,"")</f>
        <v>764.2833333333333</v>
      </c>
      <c r="C129" s="26">
        <f>SUM(C99:C128)/10</f>
        <v>1</v>
      </c>
    </row>
    <row r="130" spans="1:3" x14ac:dyDescent="0.25">
      <c r="A130" s="1">
        <f t="shared" ca="1" si="1"/>
        <v>11810</v>
      </c>
      <c r="B130" s="21">
        <v>7630</v>
      </c>
      <c r="C130" s="23">
        <v>0</v>
      </c>
    </row>
    <row r="131" spans="1:3" x14ac:dyDescent="0.25">
      <c r="A131" s="1">
        <f t="shared" ca="1" si="1"/>
        <v>11811</v>
      </c>
      <c r="B131" s="21">
        <v>7630</v>
      </c>
      <c r="C131" s="23">
        <v>0</v>
      </c>
    </row>
    <row r="132" spans="1:3" x14ac:dyDescent="0.25">
      <c r="A132" s="1">
        <f t="shared" ca="1" si="1"/>
        <v>11812</v>
      </c>
      <c r="B132" s="21">
        <v>7635</v>
      </c>
      <c r="C132" s="23">
        <v>0</v>
      </c>
    </row>
    <row r="133" spans="1:3" x14ac:dyDescent="0.25">
      <c r="A133" s="1">
        <f t="shared" ca="1" si="1"/>
        <v>11813</v>
      </c>
      <c r="B133" s="21">
        <v>7640</v>
      </c>
      <c r="C133" s="23">
        <v>0</v>
      </c>
    </row>
    <row r="134" spans="1:3" x14ac:dyDescent="0.25">
      <c r="A134" s="1">
        <f t="shared" ca="1" si="1"/>
        <v>11814</v>
      </c>
      <c r="B134" s="21">
        <v>7640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11815</v>
      </c>
      <c r="B135" s="21">
        <v>7600</v>
      </c>
      <c r="C135" s="23">
        <v>0</v>
      </c>
    </row>
    <row r="136" spans="1:3" x14ac:dyDescent="0.25">
      <c r="A136" s="1">
        <f t="shared" ca="1" si="2"/>
        <v>11816</v>
      </c>
      <c r="B136" s="21">
        <v>7630</v>
      </c>
      <c r="C136" s="23">
        <v>0</v>
      </c>
    </row>
    <row r="137" spans="1:3" x14ac:dyDescent="0.25">
      <c r="A137" s="1">
        <f t="shared" ca="1" si="2"/>
        <v>11817</v>
      </c>
      <c r="B137" s="21">
        <v>7630</v>
      </c>
      <c r="C137" s="23">
        <v>0</v>
      </c>
    </row>
    <row r="138" spans="1:3" x14ac:dyDescent="0.25">
      <c r="A138" s="1">
        <f t="shared" ca="1" si="2"/>
        <v>11818</v>
      </c>
      <c r="B138" s="21">
        <v>7635</v>
      </c>
      <c r="C138" s="23">
        <v>0</v>
      </c>
    </row>
    <row r="139" spans="1:3" x14ac:dyDescent="0.25">
      <c r="A139" s="1">
        <f t="shared" ca="1" si="2"/>
        <v>11819</v>
      </c>
      <c r="B139" s="21">
        <v>7635</v>
      </c>
      <c r="C139" s="23">
        <v>37</v>
      </c>
    </row>
    <row r="140" spans="1:3" x14ac:dyDescent="0.25">
      <c r="A140" s="1">
        <f t="shared" ca="1" si="2"/>
        <v>11820</v>
      </c>
      <c r="B140" s="21">
        <v>7650</v>
      </c>
      <c r="C140" s="23">
        <v>1086</v>
      </c>
    </row>
    <row r="141" spans="1:3" x14ac:dyDescent="0.25">
      <c r="A141" s="1">
        <f t="shared" ca="1" si="2"/>
        <v>11821</v>
      </c>
      <c r="B141" s="21">
        <v>7665</v>
      </c>
      <c r="C141" s="23">
        <v>7</v>
      </c>
    </row>
    <row r="142" spans="1:3" x14ac:dyDescent="0.25">
      <c r="A142" s="1">
        <f t="shared" ca="1" si="2"/>
        <v>11822</v>
      </c>
      <c r="B142" s="21">
        <v>7660</v>
      </c>
      <c r="C142" s="23">
        <v>0</v>
      </c>
    </row>
    <row r="143" spans="1:3" x14ac:dyDescent="0.25">
      <c r="A143" s="1">
        <f t="shared" ca="1" si="2"/>
        <v>11823</v>
      </c>
      <c r="B143" s="21">
        <v>7650</v>
      </c>
      <c r="C143" s="23">
        <v>0</v>
      </c>
    </row>
    <row r="144" spans="1:3" x14ac:dyDescent="0.25">
      <c r="A144" s="1">
        <f t="shared" ca="1" si="2"/>
        <v>11824</v>
      </c>
      <c r="B144" s="21">
        <v>7650</v>
      </c>
      <c r="C144" s="23">
        <v>0</v>
      </c>
    </row>
    <row r="145" spans="1:3" x14ac:dyDescent="0.25">
      <c r="A145" s="1">
        <f t="shared" ca="1" si="2"/>
        <v>11825</v>
      </c>
      <c r="B145" s="21">
        <v>7640</v>
      </c>
      <c r="C145" s="23">
        <v>0</v>
      </c>
    </row>
    <row r="146" spans="1:3" x14ac:dyDescent="0.25">
      <c r="A146" s="1">
        <f t="shared" ca="1" si="2"/>
        <v>11826</v>
      </c>
      <c r="B146" s="21">
        <v>7660</v>
      </c>
      <c r="C146" s="23">
        <v>0</v>
      </c>
    </row>
    <row r="147" spans="1:3" x14ac:dyDescent="0.25">
      <c r="A147" s="1">
        <f t="shared" ca="1" si="2"/>
        <v>11827</v>
      </c>
      <c r="B147" s="21">
        <v>7665</v>
      </c>
      <c r="C147" s="23">
        <v>0</v>
      </c>
    </row>
    <row r="148" spans="1:3" x14ac:dyDescent="0.25">
      <c r="A148" s="1">
        <f t="shared" ca="1" si="2"/>
        <v>11828</v>
      </c>
      <c r="B148" s="21">
        <v>7665</v>
      </c>
      <c r="C148" s="23">
        <v>0</v>
      </c>
    </row>
    <row r="149" spans="1:3" x14ac:dyDescent="0.25">
      <c r="A149" s="1">
        <f t="shared" ca="1" si="2"/>
        <v>11829</v>
      </c>
      <c r="B149" s="21">
        <v>7655</v>
      </c>
      <c r="C149" s="23">
        <v>0</v>
      </c>
    </row>
    <row r="150" spans="1:3" x14ac:dyDescent="0.25">
      <c r="A150" s="1">
        <f t="shared" ca="1" si="2"/>
        <v>11830</v>
      </c>
      <c r="B150" s="21">
        <v>7650</v>
      </c>
      <c r="C150" s="23">
        <v>0</v>
      </c>
    </row>
    <row r="151" spans="1:3" x14ac:dyDescent="0.25">
      <c r="A151" s="1">
        <f t="shared" ca="1" si="2"/>
        <v>11831</v>
      </c>
      <c r="B151" s="21">
        <v>7650</v>
      </c>
      <c r="C151" s="23">
        <v>0</v>
      </c>
    </row>
    <row r="152" spans="1:3" x14ac:dyDescent="0.25">
      <c r="A152" s="1">
        <f t="shared" ca="1" si="2"/>
        <v>11832</v>
      </c>
      <c r="B152" s="21">
        <v>7655</v>
      </c>
      <c r="C152" s="23">
        <v>0</v>
      </c>
    </row>
    <row r="153" spans="1:3" x14ac:dyDescent="0.25">
      <c r="A153" s="1">
        <f t="shared" ca="1" si="2"/>
        <v>11833</v>
      </c>
      <c r="B153" s="21">
        <v>7655</v>
      </c>
      <c r="C153" s="23">
        <v>0</v>
      </c>
    </row>
    <row r="154" spans="1:3" x14ac:dyDescent="0.25">
      <c r="A154" s="1">
        <f t="shared" ca="1" si="2"/>
        <v>11834</v>
      </c>
      <c r="B154" s="21">
        <v>7660</v>
      </c>
      <c r="C154" s="23">
        <v>25</v>
      </c>
    </row>
    <row r="155" spans="1:3" x14ac:dyDescent="0.25">
      <c r="A155" s="1">
        <f t="shared" ca="1" si="2"/>
        <v>11835</v>
      </c>
      <c r="B155" s="21">
        <v>7650</v>
      </c>
      <c r="C155" s="23">
        <v>2</v>
      </c>
    </row>
    <row r="156" spans="1:3" x14ac:dyDescent="0.25">
      <c r="A156" s="1">
        <f t="shared" ca="1" si="2"/>
        <v>11836</v>
      </c>
      <c r="B156" s="21">
        <v>7660</v>
      </c>
      <c r="C156" s="23">
        <v>0</v>
      </c>
    </row>
    <row r="157" spans="1:3" x14ac:dyDescent="0.25">
      <c r="A157" s="1">
        <f t="shared" ca="1" si="2"/>
        <v>11837</v>
      </c>
      <c r="B157" s="21">
        <v>7660</v>
      </c>
      <c r="C157" s="23">
        <v>0</v>
      </c>
    </row>
    <row r="158" spans="1:3" x14ac:dyDescent="0.25">
      <c r="A158" s="1">
        <f t="shared" ca="1" si="2"/>
        <v>11838</v>
      </c>
      <c r="B158" s="21">
        <v>7655</v>
      </c>
      <c r="C158" s="23">
        <v>0</v>
      </c>
    </row>
    <row r="159" spans="1:3" x14ac:dyDescent="0.25">
      <c r="A159" s="1">
        <f t="shared" ca="1" si="2"/>
        <v>11839</v>
      </c>
      <c r="B159" s="21">
        <v>7650</v>
      </c>
      <c r="C159" s="23">
        <v>0</v>
      </c>
    </row>
    <row r="160" spans="1:3" x14ac:dyDescent="0.25">
      <c r="A160" s="1">
        <f t="shared" ca="1" si="2"/>
        <v>11840</v>
      </c>
      <c r="B160" s="21">
        <v>7650</v>
      </c>
      <c r="C160" s="23">
        <v>0</v>
      </c>
    </row>
    <row r="161" spans="1:3" x14ac:dyDescent="0.25">
      <c r="A161" s="1" t="str">
        <f t="shared" ca="1" si="2"/>
        <v>Totaal</v>
      </c>
      <c r="B161" s="22">
        <f>IF(COUNT(B130:B160)&gt;0,AVERAGE(B130:B160)/10,"")</f>
        <v>764.70967741935488</v>
      </c>
      <c r="C161" s="26">
        <f>SUM(C130:C160)/10</f>
        <v>115.7</v>
      </c>
    </row>
    <row r="162" spans="1:3" x14ac:dyDescent="0.25">
      <c r="A162" s="1">
        <f t="shared" ca="1" si="2"/>
        <v>11841</v>
      </c>
      <c r="B162" s="21">
        <v>7635</v>
      </c>
      <c r="C162" s="23">
        <v>0</v>
      </c>
    </row>
    <row r="163" spans="1:3" x14ac:dyDescent="0.25">
      <c r="A163" s="1">
        <f t="shared" ca="1" si="2"/>
        <v>11842</v>
      </c>
      <c r="B163" s="21">
        <v>7645</v>
      </c>
      <c r="C163" s="23">
        <v>0</v>
      </c>
    </row>
    <row r="164" spans="1:3" x14ac:dyDescent="0.25">
      <c r="A164" s="1">
        <f t="shared" ca="1" si="2"/>
        <v>11843</v>
      </c>
      <c r="B164" s="21">
        <v>7650</v>
      </c>
      <c r="C164" s="23">
        <v>0</v>
      </c>
    </row>
    <row r="165" spans="1:3" x14ac:dyDescent="0.25">
      <c r="A165" s="1">
        <f t="shared" ca="1" si="2"/>
        <v>11844</v>
      </c>
      <c r="B165" s="21">
        <v>7650</v>
      </c>
      <c r="C165" s="23">
        <v>0</v>
      </c>
    </row>
    <row r="166" spans="1:3" x14ac:dyDescent="0.25">
      <c r="A166" s="1">
        <f t="shared" ca="1" si="2"/>
        <v>11845</v>
      </c>
      <c r="B166" s="21">
        <v>7645</v>
      </c>
      <c r="C166" s="23">
        <v>0</v>
      </c>
    </row>
    <row r="167" spans="1:3" x14ac:dyDescent="0.25">
      <c r="A167" s="1">
        <f t="shared" ca="1" si="2"/>
        <v>11846</v>
      </c>
      <c r="B167" s="21">
        <v>7645</v>
      </c>
      <c r="C167" s="23">
        <v>0</v>
      </c>
    </row>
    <row r="168" spans="1:3" x14ac:dyDescent="0.25">
      <c r="A168" s="1">
        <f t="shared" ca="1" si="2"/>
        <v>11847</v>
      </c>
      <c r="B168" s="21">
        <v>7650</v>
      </c>
      <c r="C168" s="23">
        <v>0</v>
      </c>
    </row>
    <row r="169" spans="1:3" x14ac:dyDescent="0.25">
      <c r="A169" s="1">
        <f t="shared" ca="1" si="2"/>
        <v>11848</v>
      </c>
      <c r="B169" s="21">
        <v>7650</v>
      </c>
      <c r="C169" s="23">
        <v>0</v>
      </c>
    </row>
    <row r="170" spans="1:3" x14ac:dyDescent="0.25">
      <c r="A170" s="1">
        <f t="shared" ca="1" si="2"/>
        <v>11849</v>
      </c>
      <c r="B170" s="21">
        <v>7650</v>
      </c>
      <c r="C170" s="23">
        <v>0</v>
      </c>
    </row>
    <row r="171" spans="1:3" x14ac:dyDescent="0.25">
      <c r="A171" s="1">
        <f t="shared" ca="1" si="2"/>
        <v>11850</v>
      </c>
      <c r="B171" s="21">
        <v>7655</v>
      </c>
      <c r="C171" s="23">
        <v>0</v>
      </c>
    </row>
    <row r="172" spans="1:3" x14ac:dyDescent="0.25">
      <c r="A172" s="1">
        <f t="shared" ca="1" si="2"/>
        <v>11851</v>
      </c>
      <c r="B172" s="21">
        <v>7655</v>
      </c>
      <c r="C172" s="23">
        <v>0</v>
      </c>
    </row>
    <row r="173" spans="1:3" x14ac:dyDescent="0.25">
      <c r="A173" s="1">
        <f t="shared" ca="1" si="2"/>
        <v>11852</v>
      </c>
      <c r="B173" s="21">
        <v>7655</v>
      </c>
      <c r="C173" s="23">
        <v>0</v>
      </c>
    </row>
    <row r="174" spans="1:3" x14ac:dyDescent="0.25">
      <c r="A174" s="1">
        <f t="shared" ca="1" si="2"/>
        <v>11853</v>
      </c>
      <c r="B174" s="21">
        <v>7660</v>
      </c>
      <c r="C174" s="23">
        <v>0</v>
      </c>
    </row>
    <row r="175" spans="1:3" x14ac:dyDescent="0.25">
      <c r="A175" s="1">
        <f t="shared" ca="1" si="2"/>
        <v>11854</v>
      </c>
      <c r="B175" s="21">
        <v>7660</v>
      </c>
      <c r="C175" s="23">
        <v>0</v>
      </c>
    </row>
    <row r="176" spans="1:3" x14ac:dyDescent="0.25">
      <c r="A176" s="1">
        <f t="shared" ca="1" si="2"/>
        <v>11855</v>
      </c>
      <c r="B176" s="21">
        <v>7670</v>
      </c>
      <c r="C176" s="23">
        <v>0</v>
      </c>
    </row>
    <row r="177" spans="1:3" x14ac:dyDescent="0.25">
      <c r="A177" s="1">
        <f t="shared" ca="1" si="2"/>
        <v>11856</v>
      </c>
      <c r="B177" s="21">
        <v>7660</v>
      </c>
      <c r="C177" s="23">
        <v>0</v>
      </c>
    </row>
    <row r="178" spans="1:3" x14ac:dyDescent="0.25">
      <c r="A178" s="1">
        <f t="shared" ca="1" si="2"/>
        <v>11857</v>
      </c>
      <c r="B178" s="21">
        <v>7650</v>
      </c>
      <c r="C178" s="23">
        <v>0</v>
      </c>
    </row>
    <row r="179" spans="1:3" x14ac:dyDescent="0.25">
      <c r="A179" s="1">
        <f t="shared" ca="1" si="2"/>
        <v>11858</v>
      </c>
      <c r="B179" s="21">
        <v>7650</v>
      </c>
      <c r="C179" s="23">
        <v>0</v>
      </c>
    </row>
    <row r="180" spans="1:3" x14ac:dyDescent="0.25">
      <c r="A180" s="1">
        <f t="shared" ca="1" si="2"/>
        <v>11859</v>
      </c>
      <c r="B180" s="21">
        <v>7640</v>
      </c>
      <c r="C180" s="23">
        <v>0</v>
      </c>
    </row>
    <row r="181" spans="1:3" x14ac:dyDescent="0.25">
      <c r="A181" s="1">
        <f t="shared" ca="1" si="2"/>
        <v>11860</v>
      </c>
      <c r="B181" s="21">
        <v>7630</v>
      </c>
      <c r="C181" s="23">
        <v>0</v>
      </c>
    </row>
    <row r="182" spans="1:3" x14ac:dyDescent="0.25">
      <c r="A182" s="1">
        <f t="shared" ca="1" si="2"/>
        <v>11861</v>
      </c>
      <c r="B182" s="21">
        <v>7640</v>
      </c>
      <c r="C182" s="23">
        <v>0</v>
      </c>
    </row>
    <row r="183" spans="1:3" x14ac:dyDescent="0.25">
      <c r="A183" s="1">
        <f t="shared" ca="1" si="2"/>
        <v>11862</v>
      </c>
      <c r="B183" s="21">
        <v>7650</v>
      </c>
      <c r="C183" s="23">
        <v>0</v>
      </c>
    </row>
    <row r="184" spans="1:3" x14ac:dyDescent="0.25">
      <c r="A184" s="1">
        <f t="shared" ca="1" si="2"/>
        <v>11863</v>
      </c>
      <c r="B184" s="21">
        <v>7650</v>
      </c>
      <c r="C184" s="23">
        <v>0</v>
      </c>
    </row>
    <row r="185" spans="1:3" x14ac:dyDescent="0.25">
      <c r="A185" s="1">
        <f t="shared" ca="1" si="2"/>
        <v>11864</v>
      </c>
      <c r="B185" s="21">
        <v>7650</v>
      </c>
      <c r="C185" s="23">
        <v>25</v>
      </c>
    </row>
    <row r="186" spans="1:3" x14ac:dyDescent="0.25">
      <c r="A186" s="1">
        <f t="shared" ca="1" si="2"/>
        <v>11865</v>
      </c>
      <c r="B186" s="21">
        <v>7640</v>
      </c>
      <c r="C186" s="23">
        <v>0</v>
      </c>
    </row>
    <row r="187" spans="1:3" x14ac:dyDescent="0.25">
      <c r="A187" s="1">
        <f t="shared" ca="1" si="2"/>
        <v>11866</v>
      </c>
      <c r="B187" s="21">
        <v>7640</v>
      </c>
      <c r="C187" s="23">
        <v>78</v>
      </c>
    </row>
    <row r="188" spans="1:3" x14ac:dyDescent="0.25">
      <c r="A188" s="1">
        <f t="shared" ca="1" si="2"/>
        <v>11867</v>
      </c>
      <c r="B188" s="21">
        <v>7640</v>
      </c>
      <c r="C188" s="23">
        <v>0</v>
      </c>
    </row>
    <row r="189" spans="1:3" x14ac:dyDescent="0.25">
      <c r="A189" s="1">
        <f t="shared" ca="1" si="2"/>
        <v>11868</v>
      </c>
      <c r="B189" s="21">
        <v>7650</v>
      </c>
      <c r="C189" s="23">
        <v>30</v>
      </c>
    </row>
    <row r="190" spans="1:3" x14ac:dyDescent="0.25">
      <c r="A190" s="1">
        <f t="shared" ca="1" si="2"/>
        <v>11869</v>
      </c>
      <c r="B190" s="21">
        <v>7660</v>
      </c>
      <c r="C190" s="23">
        <v>32</v>
      </c>
    </row>
    <row r="191" spans="1:3" x14ac:dyDescent="0.25">
      <c r="A191" s="1">
        <f t="shared" ca="1" si="2"/>
        <v>11870</v>
      </c>
      <c r="B191" s="21">
        <v>7650</v>
      </c>
      <c r="C191" s="23">
        <v>0</v>
      </c>
    </row>
    <row r="192" spans="1:3" x14ac:dyDescent="0.25">
      <c r="A192" s="1" t="str">
        <f t="shared" ca="1" si="2"/>
        <v>Totaal</v>
      </c>
      <c r="B192" s="22">
        <f>IF(COUNT(B162:B191)&gt;0,AVERAGE(B162:B191)/10,"")</f>
        <v>764.91666666666674</v>
      </c>
      <c r="C192" s="26">
        <f>SUM(C162:C191)/10</f>
        <v>16.5</v>
      </c>
    </row>
    <row r="193" spans="1:3" x14ac:dyDescent="0.25">
      <c r="A193" s="1">
        <f t="shared" ca="1" si="2"/>
        <v>11871</v>
      </c>
      <c r="B193" s="21">
        <v>7670</v>
      </c>
      <c r="C193" s="23">
        <v>0</v>
      </c>
    </row>
    <row r="194" spans="1:3" x14ac:dyDescent="0.25">
      <c r="A194" s="1">
        <f t="shared" ca="1" si="2"/>
        <v>11872</v>
      </c>
      <c r="B194" s="21">
        <v>7660</v>
      </c>
      <c r="C194" s="23">
        <v>32</v>
      </c>
    </row>
    <row r="195" spans="1:3" x14ac:dyDescent="0.25">
      <c r="A195" s="1">
        <f t="shared" ca="1" si="2"/>
        <v>11873</v>
      </c>
      <c r="B195" s="21">
        <v>7670</v>
      </c>
      <c r="C195" s="23">
        <v>0</v>
      </c>
    </row>
    <row r="196" spans="1:3" x14ac:dyDescent="0.25">
      <c r="A196" s="1">
        <f t="shared" ca="1" si="2"/>
        <v>11874</v>
      </c>
      <c r="B196" s="21">
        <v>7670</v>
      </c>
      <c r="C196" s="23">
        <v>0</v>
      </c>
    </row>
    <row r="197" spans="1:3" x14ac:dyDescent="0.25">
      <c r="A197" s="1">
        <f t="shared" ca="1" si="2"/>
        <v>11875</v>
      </c>
      <c r="B197" s="21">
        <v>7660</v>
      </c>
      <c r="C197" s="23">
        <v>0</v>
      </c>
    </row>
    <row r="198" spans="1:3" x14ac:dyDescent="0.25">
      <c r="A198" s="1">
        <f t="shared" ca="1" si="2"/>
        <v>11876</v>
      </c>
      <c r="B198" s="21">
        <v>7660</v>
      </c>
      <c r="C198" s="23">
        <v>52</v>
      </c>
    </row>
    <row r="199" spans="1:3" x14ac:dyDescent="0.25">
      <c r="A199" s="1">
        <f t="shared" ref="A199:A262" ca="1" si="3">IF(ISTEXT(A198),A197+1,IF(MONTH(A198+1)=MONTH(A198),A198+1,"Totaal"))</f>
        <v>11877</v>
      </c>
      <c r="B199" s="21">
        <v>7650</v>
      </c>
      <c r="C199" s="23">
        <v>33</v>
      </c>
    </row>
    <row r="200" spans="1:3" x14ac:dyDescent="0.25">
      <c r="A200" s="1">
        <f t="shared" ca="1" si="3"/>
        <v>11878</v>
      </c>
      <c r="B200" s="21">
        <v>7655</v>
      </c>
      <c r="C200" s="23">
        <v>0</v>
      </c>
    </row>
    <row r="201" spans="1:3" x14ac:dyDescent="0.25">
      <c r="A201" s="1">
        <f t="shared" ca="1" si="3"/>
        <v>11879</v>
      </c>
      <c r="B201" s="21">
        <v>7660</v>
      </c>
      <c r="C201" s="23">
        <v>4</v>
      </c>
    </row>
    <row r="202" spans="1:3" x14ac:dyDescent="0.25">
      <c r="A202" s="1">
        <f t="shared" ca="1" si="3"/>
        <v>11880</v>
      </c>
      <c r="B202" s="21">
        <v>7650</v>
      </c>
      <c r="C202" s="23">
        <v>0</v>
      </c>
    </row>
    <row r="203" spans="1:3" x14ac:dyDescent="0.25">
      <c r="A203" s="1">
        <f t="shared" ca="1" si="3"/>
        <v>11881</v>
      </c>
      <c r="B203" s="21">
        <v>7655</v>
      </c>
      <c r="C203" s="23">
        <v>0</v>
      </c>
    </row>
    <row r="204" spans="1:3" x14ac:dyDescent="0.25">
      <c r="A204" s="1">
        <f t="shared" ca="1" si="3"/>
        <v>11882</v>
      </c>
      <c r="B204" s="21">
        <v>7660</v>
      </c>
      <c r="C204" s="23">
        <v>0</v>
      </c>
    </row>
    <row r="205" spans="1:3" x14ac:dyDescent="0.25">
      <c r="A205" s="1">
        <f t="shared" ca="1" si="3"/>
        <v>11883</v>
      </c>
      <c r="B205" s="21">
        <v>7660</v>
      </c>
      <c r="C205" s="23">
        <v>0</v>
      </c>
    </row>
    <row r="206" spans="1:3" x14ac:dyDescent="0.25">
      <c r="A206" s="1">
        <f t="shared" ca="1" si="3"/>
        <v>11884</v>
      </c>
      <c r="B206" s="21">
        <v>7665</v>
      </c>
      <c r="C206" s="23">
        <v>0</v>
      </c>
    </row>
    <row r="207" spans="1:3" x14ac:dyDescent="0.25">
      <c r="A207" s="1">
        <f t="shared" ca="1" si="3"/>
        <v>11885</v>
      </c>
      <c r="B207" s="21">
        <v>7650</v>
      </c>
      <c r="C207" s="23">
        <v>0</v>
      </c>
    </row>
    <row r="208" spans="1:3" x14ac:dyDescent="0.25">
      <c r="A208" s="1">
        <f t="shared" ca="1" si="3"/>
        <v>11886</v>
      </c>
      <c r="B208" s="21">
        <v>7645</v>
      </c>
      <c r="C208" s="23">
        <v>0</v>
      </c>
    </row>
    <row r="209" spans="1:3" x14ac:dyDescent="0.25">
      <c r="A209" s="1">
        <f t="shared" ca="1" si="3"/>
        <v>11887</v>
      </c>
      <c r="B209" s="21">
        <v>7650</v>
      </c>
      <c r="C209" s="23">
        <v>0</v>
      </c>
    </row>
    <row r="210" spans="1:3" x14ac:dyDescent="0.25">
      <c r="A210" s="1">
        <f t="shared" ca="1" si="3"/>
        <v>11888</v>
      </c>
      <c r="B210" s="21">
        <v>7650</v>
      </c>
      <c r="C210" s="23">
        <v>0</v>
      </c>
    </row>
    <row r="211" spans="1:3" x14ac:dyDescent="0.25">
      <c r="A211" s="1">
        <f t="shared" ca="1" si="3"/>
        <v>11889</v>
      </c>
      <c r="B211" s="21">
        <v>7665</v>
      </c>
      <c r="C211" s="23">
        <v>0</v>
      </c>
    </row>
    <row r="212" spans="1:3" x14ac:dyDescent="0.25">
      <c r="A212" s="1">
        <f t="shared" ca="1" si="3"/>
        <v>11890</v>
      </c>
      <c r="B212" s="21">
        <v>7670</v>
      </c>
      <c r="C212" s="23">
        <v>0</v>
      </c>
    </row>
    <row r="213" spans="1:3" x14ac:dyDescent="0.25">
      <c r="A213" s="1">
        <f t="shared" ca="1" si="3"/>
        <v>11891</v>
      </c>
      <c r="B213" s="21">
        <v>7665</v>
      </c>
      <c r="C213" s="23">
        <v>0</v>
      </c>
    </row>
    <row r="214" spans="1:3" x14ac:dyDescent="0.25">
      <c r="A214" s="1">
        <f t="shared" ca="1" si="3"/>
        <v>11892</v>
      </c>
      <c r="B214" s="21">
        <v>7655</v>
      </c>
      <c r="C214" s="23">
        <v>0</v>
      </c>
    </row>
    <row r="215" spans="1:3" x14ac:dyDescent="0.25">
      <c r="A215" s="1">
        <f t="shared" ca="1" si="3"/>
        <v>11893</v>
      </c>
      <c r="B215" s="21">
        <v>7650</v>
      </c>
      <c r="C215" s="23">
        <v>0</v>
      </c>
    </row>
    <row r="216" spans="1:3" x14ac:dyDescent="0.25">
      <c r="A216" s="1">
        <f t="shared" ca="1" si="3"/>
        <v>11894</v>
      </c>
      <c r="B216" s="21">
        <v>7650</v>
      </c>
      <c r="C216" s="23">
        <v>0</v>
      </c>
    </row>
    <row r="217" spans="1:3" x14ac:dyDescent="0.25">
      <c r="A217" s="1">
        <f t="shared" ca="1" si="3"/>
        <v>11895</v>
      </c>
      <c r="B217" s="21">
        <v>7660</v>
      </c>
      <c r="C217" s="23">
        <v>0</v>
      </c>
    </row>
    <row r="218" spans="1:3" x14ac:dyDescent="0.25">
      <c r="A218" s="1">
        <f t="shared" ca="1" si="3"/>
        <v>11896</v>
      </c>
      <c r="B218" s="21">
        <v>7650</v>
      </c>
      <c r="C218" s="23">
        <v>0</v>
      </c>
    </row>
    <row r="219" spans="1:3" x14ac:dyDescent="0.25">
      <c r="A219" s="1">
        <f t="shared" ca="1" si="3"/>
        <v>11897</v>
      </c>
      <c r="B219" s="21">
        <v>7645</v>
      </c>
      <c r="C219" s="23">
        <v>0</v>
      </c>
    </row>
    <row r="220" spans="1:3" x14ac:dyDescent="0.25">
      <c r="A220" s="1">
        <f t="shared" ca="1" si="3"/>
        <v>11898</v>
      </c>
      <c r="B220" s="21">
        <v>7645</v>
      </c>
      <c r="C220" s="23">
        <v>0</v>
      </c>
    </row>
    <row r="221" spans="1:3" x14ac:dyDescent="0.25">
      <c r="A221" s="1">
        <f t="shared" ca="1" si="3"/>
        <v>11899</v>
      </c>
      <c r="B221" s="21">
        <v>7650</v>
      </c>
      <c r="C221" s="23">
        <v>0</v>
      </c>
    </row>
    <row r="222" spans="1:3" x14ac:dyDescent="0.25">
      <c r="A222" s="1">
        <f t="shared" ca="1" si="3"/>
        <v>11900</v>
      </c>
      <c r="B222" s="21">
        <v>7655</v>
      </c>
      <c r="C222" s="23">
        <v>0</v>
      </c>
    </row>
    <row r="223" spans="1:3" x14ac:dyDescent="0.25">
      <c r="A223" s="1">
        <f t="shared" ca="1" si="3"/>
        <v>11901</v>
      </c>
      <c r="B223" s="21">
        <v>7650</v>
      </c>
      <c r="C223" s="23">
        <v>0</v>
      </c>
    </row>
    <row r="224" spans="1:3" x14ac:dyDescent="0.25">
      <c r="A224" s="1" t="str">
        <f t="shared" ca="1" si="3"/>
        <v>Totaal</v>
      </c>
      <c r="B224" s="22">
        <f>IF(COUNT(B193:B223)&gt;0,AVERAGE(B193:B223)/10,"")</f>
        <v>765.64516129032256</v>
      </c>
      <c r="C224" s="26">
        <f>SUM(C193:C223)/10</f>
        <v>12.1</v>
      </c>
    </row>
    <row r="225" spans="1:3" x14ac:dyDescent="0.25">
      <c r="A225" s="1">
        <f t="shared" ca="1" si="3"/>
        <v>11902</v>
      </c>
      <c r="B225" s="21">
        <v>7650</v>
      </c>
      <c r="C225" s="23">
        <v>0</v>
      </c>
    </row>
    <row r="226" spans="1:3" x14ac:dyDescent="0.25">
      <c r="A226" s="1">
        <f t="shared" ca="1" si="3"/>
        <v>11903</v>
      </c>
      <c r="B226" s="21">
        <v>7650</v>
      </c>
      <c r="C226" s="23">
        <v>0</v>
      </c>
    </row>
    <row r="227" spans="1:3" x14ac:dyDescent="0.25">
      <c r="A227" s="1">
        <f t="shared" ca="1" si="3"/>
        <v>11904</v>
      </c>
      <c r="B227" s="21">
        <v>7645</v>
      </c>
      <c r="C227" s="23">
        <v>0</v>
      </c>
    </row>
    <row r="228" spans="1:3" x14ac:dyDescent="0.25">
      <c r="A228" s="1">
        <f t="shared" ca="1" si="3"/>
        <v>11905</v>
      </c>
      <c r="B228" s="21">
        <v>7640</v>
      </c>
      <c r="C228" s="23">
        <v>0</v>
      </c>
    </row>
    <row r="229" spans="1:3" x14ac:dyDescent="0.25">
      <c r="A229" s="1">
        <f t="shared" ca="1" si="3"/>
        <v>11906</v>
      </c>
      <c r="B229" s="21">
        <v>7640</v>
      </c>
      <c r="C229" s="23">
        <v>0</v>
      </c>
    </row>
    <row r="230" spans="1:3" x14ac:dyDescent="0.25">
      <c r="A230" s="1">
        <f t="shared" ca="1" si="3"/>
        <v>11907</v>
      </c>
      <c r="B230" s="21">
        <v>7645</v>
      </c>
      <c r="C230" s="23">
        <v>0</v>
      </c>
    </row>
    <row r="231" spans="1:3" x14ac:dyDescent="0.25">
      <c r="A231" s="1">
        <f t="shared" ca="1" si="3"/>
        <v>11908</v>
      </c>
      <c r="B231" s="21">
        <v>7650</v>
      </c>
      <c r="C231" s="23">
        <v>0</v>
      </c>
    </row>
    <row r="232" spans="1:3" x14ac:dyDescent="0.25">
      <c r="A232" s="1">
        <f t="shared" ca="1" si="3"/>
        <v>11909</v>
      </c>
      <c r="B232" s="21">
        <v>7650</v>
      </c>
      <c r="C232" s="23">
        <v>0</v>
      </c>
    </row>
    <row r="233" spans="1:3" x14ac:dyDescent="0.25">
      <c r="A233" s="1">
        <f t="shared" ca="1" si="3"/>
        <v>11910</v>
      </c>
      <c r="B233" s="21">
        <v>7650</v>
      </c>
      <c r="C233" s="23">
        <v>0</v>
      </c>
    </row>
    <row r="234" spans="1:3" x14ac:dyDescent="0.25">
      <c r="A234" s="1">
        <f t="shared" ca="1" si="3"/>
        <v>11911</v>
      </c>
      <c r="B234" s="21">
        <v>7650</v>
      </c>
      <c r="C234" s="23">
        <v>0</v>
      </c>
    </row>
    <row r="235" spans="1:3" x14ac:dyDescent="0.25">
      <c r="A235" s="1">
        <f t="shared" ca="1" si="3"/>
        <v>11912</v>
      </c>
      <c r="B235" s="21">
        <v>7650</v>
      </c>
      <c r="C235" s="23">
        <v>46</v>
      </c>
    </row>
    <row r="236" spans="1:3" x14ac:dyDescent="0.25">
      <c r="A236" s="1">
        <f t="shared" ca="1" si="3"/>
        <v>11913</v>
      </c>
      <c r="B236" s="21">
        <v>7650</v>
      </c>
      <c r="C236" s="23">
        <v>23</v>
      </c>
    </row>
    <row r="237" spans="1:3" x14ac:dyDescent="0.25">
      <c r="A237" s="1">
        <f t="shared" ca="1" si="3"/>
        <v>11914</v>
      </c>
      <c r="B237" s="21">
        <v>7640</v>
      </c>
      <c r="C237" s="23">
        <v>0</v>
      </c>
    </row>
    <row r="238" spans="1:3" x14ac:dyDescent="0.25">
      <c r="A238" s="1">
        <f t="shared" ca="1" si="3"/>
        <v>11915</v>
      </c>
      <c r="B238" s="21">
        <v>7640</v>
      </c>
      <c r="C238" s="23">
        <v>0</v>
      </c>
    </row>
    <row r="239" spans="1:3" x14ac:dyDescent="0.25">
      <c r="A239" s="1">
        <f t="shared" ca="1" si="3"/>
        <v>11916</v>
      </c>
      <c r="B239" s="21">
        <v>7645</v>
      </c>
      <c r="C239" s="23">
        <v>0</v>
      </c>
    </row>
    <row r="240" spans="1:3" x14ac:dyDescent="0.25">
      <c r="A240" s="1">
        <f t="shared" ca="1" si="3"/>
        <v>11917</v>
      </c>
      <c r="B240" s="21">
        <v>7650</v>
      </c>
      <c r="C240" s="23">
        <v>0</v>
      </c>
    </row>
    <row r="241" spans="1:3" x14ac:dyDescent="0.25">
      <c r="A241" s="1">
        <f t="shared" ca="1" si="3"/>
        <v>11918</v>
      </c>
      <c r="B241" s="21">
        <v>7645</v>
      </c>
      <c r="C241" s="23">
        <v>0</v>
      </c>
    </row>
    <row r="242" spans="1:3" x14ac:dyDescent="0.25">
      <c r="A242" s="1">
        <f t="shared" ca="1" si="3"/>
        <v>11919</v>
      </c>
      <c r="B242" s="21">
        <v>7640</v>
      </c>
      <c r="C242" s="23">
        <v>49</v>
      </c>
    </row>
    <row r="243" spans="1:3" x14ac:dyDescent="0.25">
      <c r="A243" s="1">
        <f t="shared" ca="1" si="3"/>
        <v>11920</v>
      </c>
      <c r="B243" s="21">
        <v>7640</v>
      </c>
      <c r="C243" s="23">
        <v>0</v>
      </c>
    </row>
    <row r="244" spans="1:3" x14ac:dyDescent="0.25">
      <c r="A244" s="1">
        <f t="shared" ca="1" si="3"/>
        <v>11921</v>
      </c>
      <c r="B244" s="21">
        <v>7640</v>
      </c>
      <c r="C244" s="23">
        <v>0</v>
      </c>
    </row>
    <row r="245" spans="1:3" x14ac:dyDescent="0.25">
      <c r="A245" s="1">
        <f t="shared" ca="1" si="3"/>
        <v>11922</v>
      </c>
      <c r="B245" s="21">
        <v>7645</v>
      </c>
      <c r="C245" s="23">
        <v>0</v>
      </c>
    </row>
    <row r="246" spans="1:3" x14ac:dyDescent="0.25">
      <c r="A246" s="1">
        <f t="shared" ca="1" si="3"/>
        <v>11923</v>
      </c>
      <c r="B246" s="21">
        <v>7645</v>
      </c>
      <c r="C246" s="23">
        <v>0</v>
      </c>
    </row>
    <row r="247" spans="1:3" x14ac:dyDescent="0.25">
      <c r="A247" s="1">
        <f t="shared" ca="1" si="3"/>
        <v>11924</v>
      </c>
      <c r="B247" s="21">
        <v>7650</v>
      </c>
      <c r="C247" s="23">
        <v>0</v>
      </c>
    </row>
    <row r="248" spans="1:3" x14ac:dyDescent="0.25">
      <c r="A248" s="1">
        <f t="shared" ca="1" si="3"/>
        <v>11925</v>
      </c>
      <c r="B248" s="21">
        <v>7640</v>
      </c>
      <c r="C248" s="23">
        <v>0</v>
      </c>
    </row>
    <row r="249" spans="1:3" x14ac:dyDescent="0.25">
      <c r="A249" s="1">
        <f t="shared" ca="1" si="3"/>
        <v>11926</v>
      </c>
      <c r="B249" s="21">
        <v>7640</v>
      </c>
      <c r="C249" s="23">
        <v>0</v>
      </c>
    </row>
    <row r="250" spans="1:3" x14ac:dyDescent="0.25">
      <c r="A250" s="1">
        <f t="shared" ca="1" si="3"/>
        <v>11927</v>
      </c>
      <c r="B250" s="21">
        <v>7650</v>
      </c>
      <c r="C250" s="23">
        <v>0</v>
      </c>
    </row>
    <row r="251" spans="1:3" x14ac:dyDescent="0.25">
      <c r="A251" s="1">
        <f t="shared" ca="1" si="3"/>
        <v>11928</v>
      </c>
      <c r="B251" s="21">
        <v>7655</v>
      </c>
      <c r="C251" s="23">
        <v>0</v>
      </c>
    </row>
    <row r="252" spans="1:3" x14ac:dyDescent="0.25">
      <c r="A252" s="1">
        <f t="shared" ca="1" si="3"/>
        <v>11929</v>
      </c>
      <c r="B252" s="21">
        <v>7640</v>
      </c>
      <c r="C252" s="23">
        <v>0</v>
      </c>
    </row>
    <row r="253" spans="1:3" x14ac:dyDescent="0.25">
      <c r="A253" s="1">
        <f t="shared" ca="1" si="3"/>
        <v>11930</v>
      </c>
      <c r="B253" s="21">
        <v>7640</v>
      </c>
      <c r="C253" s="23">
        <v>0</v>
      </c>
    </row>
    <row r="254" spans="1:3" x14ac:dyDescent="0.25">
      <c r="A254" s="1">
        <f t="shared" ca="1" si="3"/>
        <v>11931</v>
      </c>
      <c r="B254" s="21">
        <v>7650</v>
      </c>
      <c r="C254" s="23">
        <v>0</v>
      </c>
    </row>
    <row r="255" spans="1:3" x14ac:dyDescent="0.25">
      <c r="A255" s="1">
        <f t="shared" ca="1" si="3"/>
        <v>11932</v>
      </c>
      <c r="B255" s="21">
        <v>7650</v>
      </c>
      <c r="C255" s="23">
        <v>0</v>
      </c>
    </row>
    <row r="256" spans="1:3" x14ac:dyDescent="0.25">
      <c r="A256" s="1" t="str">
        <f t="shared" ca="1" si="3"/>
        <v>Totaal</v>
      </c>
      <c r="B256" s="22">
        <f>IF(COUNT(B225:B255)&gt;0,AVERAGE(B225:B255)/10,"")</f>
        <v>764.56451612903231</v>
      </c>
      <c r="C256" s="26">
        <f>SUM(C225:C255)/10</f>
        <v>11.8</v>
      </c>
    </row>
    <row r="257" spans="1:3" x14ac:dyDescent="0.25">
      <c r="A257" s="1">
        <f t="shared" ca="1" si="3"/>
        <v>11933</v>
      </c>
      <c r="B257" s="21">
        <v>7645</v>
      </c>
      <c r="C257" s="23">
        <v>0</v>
      </c>
    </row>
    <row r="258" spans="1:3" x14ac:dyDescent="0.25">
      <c r="A258" s="1">
        <f t="shared" ca="1" si="3"/>
        <v>11934</v>
      </c>
      <c r="B258" s="21">
        <v>7635</v>
      </c>
      <c r="C258" s="23">
        <v>0</v>
      </c>
    </row>
    <row r="259" spans="1:3" x14ac:dyDescent="0.25">
      <c r="A259" s="1">
        <f t="shared" ca="1" si="3"/>
        <v>11935</v>
      </c>
      <c r="B259" s="21">
        <v>7640</v>
      </c>
      <c r="C259" s="23">
        <v>0</v>
      </c>
    </row>
    <row r="260" spans="1:3" x14ac:dyDescent="0.25">
      <c r="A260" s="1">
        <f t="shared" ca="1" si="3"/>
        <v>11936</v>
      </c>
      <c r="B260" s="21">
        <v>7640</v>
      </c>
      <c r="C260" s="23">
        <v>0</v>
      </c>
    </row>
    <row r="261" spans="1:3" x14ac:dyDescent="0.25">
      <c r="A261" s="1">
        <f t="shared" ca="1" si="3"/>
        <v>11937</v>
      </c>
      <c r="B261" s="21">
        <v>7635</v>
      </c>
      <c r="C261" s="23">
        <v>0</v>
      </c>
    </row>
    <row r="262" spans="1:3" x14ac:dyDescent="0.25">
      <c r="A262" s="1">
        <f t="shared" ca="1" si="3"/>
        <v>11938</v>
      </c>
      <c r="B262" s="21">
        <v>7650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11939</v>
      </c>
      <c r="B263" s="21">
        <v>7650</v>
      </c>
      <c r="C263" s="23">
        <v>0</v>
      </c>
    </row>
    <row r="264" spans="1:3" x14ac:dyDescent="0.25">
      <c r="A264" s="1">
        <f t="shared" ca="1" si="4"/>
        <v>11940</v>
      </c>
      <c r="B264" s="21">
        <v>7645</v>
      </c>
      <c r="C264" s="23">
        <v>0</v>
      </c>
    </row>
    <row r="265" spans="1:3" x14ac:dyDescent="0.25">
      <c r="A265" s="1">
        <f t="shared" ca="1" si="4"/>
        <v>11941</v>
      </c>
      <c r="B265" s="21">
        <v>7645</v>
      </c>
      <c r="C265" s="23">
        <v>0</v>
      </c>
    </row>
    <row r="266" spans="1:3" x14ac:dyDescent="0.25">
      <c r="A266" s="1">
        <f t="shared" ca="1" si="4"/>
        <v>11942</v>
      </c>
      <c r="B266" s="21">
        <v>7645</v>
      </c>
      <c r="C266" s="23">
        <v>0</v>
      </c>
    </row>
    <row r="267" spans="1:3" x14ac:dyDescent="0.25">
      <c r="A267" s="1">
        <f t="shared" ca="1" si="4"/>
        <v>11943</v>
      </c>
      <c r="B267" s="21">
        <v>7650</v>
      </c>
      <c r="C267" s="23">
        <v>0</v>
      </c>
    </row>
    <row r="268" spans="1:3" x14ac:dyDescent="0.25">
      <c r="A268" s="1">
        <f t="shared" ca="1" si="4"/>
        <v>11944</v>
      </c>
      <c r="B268" s="21">
        <v>7650</v>
      </c>
      <c r="C268" s="23">
        <v>0</v>
      </c>
    </row>
    <row r="269" spans="1:3" x14ac:dyDescent="0.25">
      <c r="A269" s="1">
        <f t="shared" ca="1" si="4"/>
        <v>11945</v>
      </c>
      <c r="B269" s="21">
        <v>7650</v>
      </c>
      <c r="C269" s="23">
        <v>0</v>
      </c>
    </row>
    <row r="270" spans="1:3" x14ac:dyDescent="0.25">
      <c r="A270" s="1">
        <f t="shared" ca="1" si="4"/>
        <v>11946</v>
      </c>
      <c r="B270" s="21">
        <v>7645</v>
      </c>
      <c r="C270" s="23">
        <v>0</v>
      </c>
    </row>
    <row r="271" spans="1:3" x14ac:dyDescent="0.25">
      <c r="A271" s="1">
        <f t="shared" ca="1" si="4"/>
        <v>11947</v>
      </c>
      <c r="B271" s="21">
        <v>7655</v>
      </c>
      <c r="C271" s="23">
        <v>0</v>
      </c>
    </row>
    <row r="272" spans="1:3" x14ac:dyDescent="0.25">
      <c r="A272" s="1">
        <f t="shared" ca="1" si="4"/>
        <v>11948</v>
      </c>
      <c r="B272" s="21">
        <v>7650</v>
      </c>
      <c r="C272" s="23">
        <v>0</v>
      </c>
    </row>
    <row r="273" spans="1:3" x14ac:dyDescent="0.25">
      <c r="A273" s="1">
        <f t="shared" ca="1" si="4"/>
        <v>11949</v>
      </c>
      <c r="B273" s="21">
        <v>7650</v>
      </c>
      <c r="C273" s="23">
        <v>0</v>
      </c>
    </row>
    <row r="274" spans="1:3" x14ac:dyDescent="0.25">
      <c r="A274" s="1">
        <f t="shared" ca="1" si="4"/>
        <v>11950</v>
      </c>
      <c r="B274" s="21">
        <v>7640</v>
      </c>
      <c r="C274" s="23">
        <v>0</v>
      </c>
    </row>
    <row r="275" spans="1:3" x14ac:dyDescent="0.25">
      <c r="A275" s="1">
        <f t="shared" ca="1" si="4"/>
        <v>11951</v>
      </c>
      <c r="B275" s="21">
        <v>7640</v>
      </c>
      <c r="C275" s="23">
        <v>0</v>
      </c>
    </row>
    <row r="276" spans="1:3" x14ac:dyDescent="0.25">
      <c r="A276" s="1">
        <f t="shared" ca="1" si="4"/>
        <v>11952</v>
      </c>
      <c r="B276" s="21">
        <v>7625</v>
      </c>
      <c r="C276" s="23">
        <v>0</v>
      </c>
    </row>
    <row r="277" spans="1:3" x14ac:dyDescent="0.25">
      <c r="A277" s="1">
        <f t="shared" ca="1" si="4"/>
        <v>11953</v>
      </c>
      <c r="B277" s="21">
        <v>7640</v>
      </c>
      <c r="C277" s="23">
        <v>0</v>
      </c>
    </row>
    <row r="278" spans="1:3" x14ac:dyDescent="0.25">
      <c r="A278" s="1">
        <f t="shared" ca="1" si="4"/>
        <v>11954</v>
      </c>
      <c r="B278" s="21">
        <v>7640</v>
      </c>
      <c r="C278" s="23">
        <v>94</v>
      </c>
    </row>
    <row r="279" spans="1:3" x14ac:dyDescent="0.25">
      <c r="A279" s="1">
        <f t="shared" ca="1" si="4"/>
        <v>11955</v>
      </c>
      <c r="B279" s="21">
        <v>7640</v>
      </c>
      <c r="C279" s="23">
        <v>0</v>
      </c>
    </row>
    <row r="280" spans="1:3" x14ac:dyDescent="0.25">
      <c r="A280" s="1">
        <f t="shared" ca="1" si="4"/>
        <v>11956</v>
      </c>
      <c r="B280" s="21">
        <v>7630</v>
      </c>
      <c r="C280" s="23">
        <v>0</v>
      </c>
    </row>
    <row r="281" spans="1:3" x14ac:dyDescent="0.25">
      <c r="A281" s="1">
        <f t="shared" ca="1" si="4"/>
        <v>11957</v>
      </c>
      <c r="B281" s="21">
        <v>7630</v>
      </c>
      <c r="C281" s="23">
        <v>0</v>
      </c>
    </row>
    <row r="282" spans="1:3" x14ac:dyDescent="0.25">
      <c r="A282" s="1">
        <f t="shared" ca="1" si="4"/>
        <v>11958</v>
      </c>
      <c r="B282" s="21">
        <v>7640</v>
      </c>
      <c r="C282" s="23">
        <v>0</v>
      </c>
    </row>
    <row r="283" spans="1:3" x14ac:dyDescent="0.25">
      <c r="A283" s="1">
        <f t="shared" ca="1" si="4"/>
        <v>11959</v>
      </c>
      <c r="B283" s="21">
        <v>7640</v>
      </c>
      <c r="C283" s="23">
        <v>0</v>
      </c>
    </row>
    <row r="284" spans="1:3" x14ac:dyDescent="0.25">
      <c r="A284" s="1">
        <f t="shared" ca="1" si="4"/>
        <v>11960</v>
      </c>
      <c r="B284" s="21">
        <v>7640</v>
      </c>
      <c r="C284" s="23">
        <v>0</v>
      </c>
    </row>
    <row r="285" spans="1:3" x14ac:dyDescent="0.25">
      <c r="A285" s="1">
        <f t="shared" ca="1" si="4"/>
        <v>11961</v>
      </c>
      <c r="B285" s="21">
        <v>7635</v>
      </c>
      <c r="C285" s="23">
        <v>0</v>
      </c>
    </row>
    <row r="286" spans="1:3" x14ac:dyDescent="0.25">
      <c r="A286" s="1">
        <f t="shared" ca="1" si="4"/>
        <v>11962</v>
      </c>
      <c r="B286" s="21">
        <v>7645</v>
      </c>
      <c r="C286" s="23">
        <v>9</v>
      </c>
    </row>
    <row r="287" spans="1:3" x14ac:dyDescent="0.25">
      <c r="A287" s="1" t="str">
        <f t="shared" ca="1" si="4"/>
        <v>Totaal</v>
      </c>
      <c r="B287" s="22">
        <f>IF(COUNT(B257:B286)&gt;0,AVERAGE(B257:B286)/10,"")</f>
        <v>764.2166666666667</v>
      </c>
      <c r="C287" s="26">
        <f>SUM(C257:C286)/10</f>
        <v>10.3</v>
      </c>
    </row>
    <row r="288" spans="1:3" x14ac:dyDescent="0.25">
      <c r="A288" s="1">
        <f t="shared" ca="1" si="4"/>
        <v>11963</v>
      </c>
      <c r="B288" s="21">
        <v>7635</v>
      </c>
      <c r="C288" s="23">
        <v>0</v>
      </c>
    </row>
    <row r="289" spans="1:3" x14ac:dyDescent="0.25">
      <c r="A289" s="1">
        <f t="shared" ca="1" si="4"/>
        <v>11964</v>
      </c>
      <c r="B289" s="21">
        <v>7630</v>
      </c>
      <c r="C289" s="23">
        <v>0</v>
      </c>
    </row>
    <row r="290" spans="1:3" x14ac:dyDescent="0.25">
      <c r="A290" s="1">
        <f t="shared" ca="1" si="4"/>
        <v>11965</v>
      </c>
      <c r="B290" s="21">
        <v>7650</v>
      </c>
      <c r="C290" s="23">
        <v>0</v>
      </c>
    </row>
    <row r="291" spans="1:3" x14ac:dyDescent="0.25">
      <c r="A291" s="1">
        <f t="shared" ca="1" si="4"/>
        <v>11966</v>
      </c>
      <c r="B291" s="21">
        <v>7650</v>
      </c>
      <c r="C291" s="23">
        <v>0</v>
      </c>
    </row>
    <row r="292" spans="1:3" x14ac:dyDescent="0.25">
      <c r="A292" s="1">
        <f t="shared" ca="1" si="4"/>
        <v>11967</v>
      </c>
      <c r="B292" s="21">
        <v>7640</v>
      </c>
      <c r="C292" s="23">
        <v>27</v>
      </c>
    </row>
    <row r="293" spans="1:3" x14ac:dyDescent="0.25">
      <c r="A293" s="1">
        <f t="shared" ca="1" si="4"/>
        <v>11968</v>
      </c>
      <c r="B293" s="21">
        <v>7625</v>
      </c>
      <c r="C293" s="23">
        <v>30</v>
      </c>
    </row>
    <row r="294" spans="1:3" x14ac:dyDescent="0.25">
      <c r="A294" s="1">
        <f t="shared" ca="1" si="4"/>
        <v>11969</v>
      </c>
      <c r="B294" s="21">
        <v>7640</v>
      </c>
      <c r="C294" s="23">
        <v>0</v>
      </c>
    </row>
    <row r="295" spans="1:3" x14ac:dyDescent="0.25">
      <c r="A295" s="1">
        <f t="shared" ca="1" si="4"/>
        <v>11970</v>
      </c>
      <c r="B295" s="21">
        <v>7645</v>
      </c>
      <c r="C295" s="23">
        <v>0</v>
      </c>
    </row>
    <row r="296" spans="1:3" x14ac:dyDescent="0.25">
      <c r="A296" s="1">
        <f t="shared" ca="1" si="4"/>
        <v>11971</v>
      </c>
      <c r="B296" s="21">
        <v>7640</v>
      </c>
      <c r="C296" s="23">
        <v>0</v>
      </c>
    </row>
    <row r="297" spans="1:3" x14ac:dyDescent="0.25">
      <c r="A297" s="1">
        <f t="shared" ca="1" si="4"/>
        <v>11972</v>
      </c>
      <c r="B297" s="21">
        <v>7640</v>
      </c>
      <c r="C297" s="23">
        <v>15</v>
      </c>
    </row>
    <row r="298" spans="1:3" x14ac:dyDescent="0.25">
      <c r="A298" s="1">
        <f t="shared" ca="1" si="4"/>
        <v>11973</v>
      </c>
      <c r="B298" s="21">
        <v>7625</v>
      </c>
      <c r="C298" s="23">
        <v>782</v>
      </c>
    </row>
    <row r="299" spans="1:3" x14ac:dyDescent="0.25">
      <c r="A299" s="1">
        <f t="shared" ca="1" si="4"/>
        <v>11974</v>
      </c>
      <c r="B299" s="21">
        <v>7630</v>
      </c>
      <c r="C299" s="23">
        <v>0</v>
      </c>
    </row>
    <row r="300" spans="1:3" x14ac:dyDescent="0.25">
      <c r="A300" s="1">
        <f t="shared" ca="1" si="4"/>
        <v>11975</v>
      </c>
      <c r="B300" s="21">
        <v>7660</v>
      </c>
      <c r="C300" s="23">
        <v>0</v>
      </c>
    </row>
    <row r="301" spans="1:3" x14ac:dyDescent="0.25">
      <c r="A301" s="1">
        <f t="shared" ca="1" si="4"/>
        <v>11976</v>
      </c>
      <c r="B301" s="21">
        <v>7650</v>
      </c>
      <c r="C301" s="23">
        <v>12</v>
      </c>
    </row>
    <row r="302" spans="1:3" x14ac:dyDescent="0.25">
      <c r="A302" s="1">
        <f t="shared" ca="1" si="4"/>
        <v>11977</v>
      </c>
      <c r="B302" s="21">
        <v>7625</v>
      </c>
      <c r="C302" s="23">
        <v>266</v>
      </c>
    </row>
    <row r="303" spans="1:3" x14ac:dyDescent="0.25">
      <c r="A303" s="1">
        <f t="shared" ca="1" si="4"/>
        <v>11978</v>
      </c>
      <c r="B303" s="21">
        <v>7630</v>
      </c>
      <c r="C303" s="23">
        <v>962</v>
      </c>
    </row>
    <row r="304" spans="1:3" x14ac:dyDescent="0.25">
      <c r="A304" s="1">
        <f t="shared" ca="1" si="4"/>
        <v>11979</v>
      </c>
      <c r="B304" s="21">
        <v>7640</v>
      </c>
      <c r="C304" s="23">
        <v>0</v>
      </c>
    </row>
    <row r="305" spans="1:3" x14ac:dyDescent="0.25">
      <c r="A305" s="1">
        <f t="shared" ca="1" si="4"/>
        <v>11980</v>
      </c>
      <c r="B305" s="21">
        <v>7640</v>
      </c>
      <c r="C305" s="23">
        <v>0</v>
      </c>
    </row>
    <row r="306" spans="1:3" x14ac:dyDescent="0.25">
      <c r="A306" s="1">
        <f t="shared" ca="1" si="4"/>
        <v>11981</v>
      </c>
      <c r="B306" s="21">
        <v>7635</v>
      </c>
      <c r="C306" s="23">
        <v>0</v>
      </c>
    </row>
    <row r="307" spans="1:3" x14ac:dyDescent="0.25">
      <c r="A307" s="1">
        <f t="shared" ca="1" si="4"/>
        <v>11982</v>
      </c>
      <c r="B307" s="21">
        <v>7625</v>
      </c>
      <c r="C307" s="23">
        <v>0</v>
      </c>
    </row>
    <row r="308" spans="1:3" x14ac:dyDescent="0.25">
      <c r="A308" s="1">
        <f t="shared" ca="1" si="4"/>
        <v>11983</v>
      </c>
      <c r="B308" s="21">
        <v>7620</v>
      </c>
      <c r="C308" s="23">
        <v>0</v>
      </c>
    </row>
    <row r="309" spans="1:3" x14ac:dyDescent="0.25">
      <c r="A309" s="1">
        <f t="shared" ca="1" si="4"/>
        <v>11984</v>
      </c>
      <c r="B309" s="21">
        <v>7630</v>
      </c>
      <c r="C309" s="23">
        <v>0</v>
      </c>
    </row>
    <row r="310" spans="1:3" x14ac:dyDescent="0.25">
      <c r="A310" s="1">
        <f t="shared" ca="1" si="4"/>
        <v>11985</v>
      </c>
      <c r="B310" s="21">
        <v>7630</v>
      </c>
      <c r="C310" s="23">
        <v>0</v>
      </c>
    </row>
    <row r="311" spans="1:3" x14ac:dyDescent="0.25">
      <c r="A311" s="1">
        <f t="shared" ca="1" si="4"/>
        <v>11986</v>
      </c>
      <c r="B311" s="21">
        <v>7645</v>
      </c>
      <c r="C311" s="23">
        <v>69</v>
      </c>
    </row>
    <row r="312" spans="1:3" x14ac:dyDescent="0.25">
      <c r="A312" s="1">
        <f t="shared" ca="1" si="4"/>
        <v>11987</v>
      </c>
      <c r="B312" s="21">
        <v>7640</v>
      </c>
      <c r="C312" s="23">
        <v>0</v>
      </c>
    </row>
    <row r="313" spans="1:3" x14ac:dyDescent="0.25">
      <c r="A313" s="1">
        <f t="shared" ca="1" si="4"/>
        <v>11988</v>
      </c>
      <c r="B313" s="21">
        <v>7635</v>
      </c>
      <c r="C313" s="23">
        <v>0</v>
      </c>
    </row>
    <row r="314" spans="1:3" x14ac:dyDescent="0.25">
      <c r="A314" s="1">
        <f t="shared" ca="1" si="4"/>
        <v>11989</v>
      </c>
      <c r="B314" s="21">
        <v>7645</v>
      </c>
      <c r="C314" s="23">
        <v>0</v>
      </c>
    </row>
    <row r="315" spans="1:3" x14ac:dyDescent="0.25">
      <c r="A315" s="1">
        <f t="shared" ca="1" si="4"/>
        <v>11990</v>
      </c>
      <c r="B315" s="21">
        <v>7645</v>
      </c>
      <c r="C315" s="23">
        <v>0</v>
      </c>
    </row>
    <row r="316" spans="1:3" x14ac:dyDescent="0.25">
      <c r="A316" s="1">
        <f t="shared" ca="1" si="4"/>
        <v>11991</v>
      </c>
      <c r="B316" s="21">
        <v>7660</v>
      </c>
      <c r="C316" s="23">
        <v>0</v>
      </c>
    </row>
    <row r="317" spans="1:3" x14ac:dyDescent="0.25">
      <c r="A317" s="1">
        <f t="shared" ca="1" si="4"/>
        <v>11992</v>
      </c>
      <c r="B317" s="21">
        <v>7650</v>
      </c>
      <c r="C317" s="23">
        <v>0</v>
      </c>
    </row>
    <row r="318" spans="1:3" x14ac:dyDescent="0.25">
      <c r="A318" s="1">
        <f t="shared" ca="1" si="4"/>
        <v>11993</v>
      </c>
      <c r="B318" s="21">
        <v>7650</v>
      </c>
      <c r="C318" s="23">
        <v>153</v>
      </c>
    </row>
    <row r="319" spans="1:3" x14ac:dyDescent="0.25">
      <c r="A319" s="1" t="str">
        <f t="shared" ca="1" si="4"/>
        <v>Totaal</v>
      </c>
      <c r="B319" s="22">
        <f>IF(COUNT(B288:B318)&gt;0,AVERAGE(B288:B318)/10,"")</f>
        <v>763.88709677419354</v>
      </c>
      <c r="C319" s="26">
        <f>SUM(C288:C318)/10</f>
        <v>231.6</v>
      </c>
    </row>
    <row r="320" spans="1:3" x14ac:dyDescent="0.25">
      <c r="A320" s="1">
        <f t="shared" ca="1" si="4"/>
        <v>11994</v>
      </c>
      <c r="B320" s="21">
        <v>7630</v>
      </c>
      <c r="C320" s="23">
        <v>1446</v>
      </c>
    </row>
    <row r="321" spans="1:3" x14ac:dyDescent="0.25">
      <c r="A321" s="1">
        <f t="shared" ca="1" si="4"/>
        <v>11995</v>
      </c>
      <c r="B321" s="21">
        <v>7590</v>
      </c>
      <c r="C321" s="23">
        <v>925</v>
      </c>
    </row>
    <row r="322" spans="1:3" x14ac:dyDescent="0.25">
      <c r="A322" s="1">
        <f t="shared" ca="1" si="4"/>
        <v>11996</v>
      </c>
      <c r="B322" s="21">
        <v>7600</v>
      </c>
      <c r="C322" s="23">
        <v>295</v>
      </c>
    </row>
    <row r="323" spans="1:3" x14ac:dyDescent="0.25">
      <c r="A323" s="1">
        <f t="shared" ca="1" si="4"/>
        <v>11997</v>
      </c>
      <c r="B323" s="21">
        <v>7610</v>
      </c>
      <c r="C323" s="23">
        <v>0</v>
      </c>
    </row>
    <row r="324" spans="1:3" x14ac:dyDescent="0.25">
      <c r="A324" s="1">
        <f t="shared" ca="1" si="4"/>
        <v>11998</v>
      </c>
      <c r="B324" s="21">
        <v>7620</v>
      </c>
      <c r="C324" s="23">
        <v>0</v>
      </c>
    </row>
    <row r="325" spans="1:3" x14ac:dyDescent="0.25">
      <c r="A325" s="1">
        <f t="shared" ca="1" si="4"/>
        <v>11999</v>
      </c>
      <c r="B325" s="21">
        <v>7620</v>
      </c>
      <c r="C325" s="23">
        <v>0</v>
      </c>
    </row>
    <row r="326" spans="1:3" x14ac:dyDescent="0.25">
      <c r="A326" s="1">
        <f t="shared" ca="1" si="4"/>
        <v>12000</v>
      </c>
      <c r="B326" s="21">
        <v>7625</v>
      </c>
      <c r="C326" s="23">
        <v>0</v>
      </c>
    </row>
    <row r="327" spans="1:3" x14ac:dyDescent="0.25">
      <c r="A327" s="1">
        <f t="shared" ref="A327:A382" ca="1" si="5">IF(ISTEXT(A326),A325+1,IF(MONTH(A326+1)=MONTH(A326),A326+1,"Totaal"))</f>
        <v>12001</v>
      </c>
      <c r="B327" s="21">
        <v>7625</v>
      </c>
      <c r="C327" s="23">
        <v>0</v>
      </c>
    </row>
    <row r="328" spans="1:3" x14ac:dyDescent="0.25">
      <c r="A328" s="1">
        <f t="shared" ca="1" si="5"/>
        <v>12002</v>
      </c>
      <c r="B328" s="21">
        <v>7625</v>
      </c>
      <c r="C328" s="23">
        <v>0</v>
      </c>
    </row>
    <row r="329" spans="1:3" x14ac:dyDescent="0.25">
      <c r="A329" s="1">
        <f t="shared" ca="1" si="5"/>
        <v>12003</v>
      </c>
      <c r="B329" s="21">
        <v>7640</v>
      </c>
      <c r="C329" s="23">
        <v>0</v>
      </c>
    </row>
    <row r="330" spans="1:3" x14ac:dyDescent="0.25">
      <c r="A330" s="1">
        <f t="shared" ca="1" si="5"/>
        <v>12004</v>
      </c>
      <c r="B330" s="21">
        <v>7650</v>
      </c>
      <c r="C330" s="23">
        <v>0</v>
      </c>
    </row>
    <row r="331" spans="1:3" x14ac:dyDescent="0.25">
      <c r="A331" s="1">
        <f t="shared" ca="1" si="5"/>
        <v>12005</v>
      </c>
      <c r="B331" s="21">
        <v>7650</v>
      </c>
      <c r="C331" s="23">
        <v>0</v>
      </c>
    </row>
    <row r="332" spans="1:3" x14ac:dyDescent="0.25">
      <c r="A332" s="1">
        <f t="shared" ca="1" si="5"/>
        <v>12006</v>
      </c>
      <c r="B332" s="21">
        <v>7640</v>
      </c>
      <c r="C332" s="23">
        <v>166</v>
      </c>
    </row>
    <row r="333" spans="1:3" x14ac:dyDescent="0.25">
      <c r="A333" s="1">
        <f t="shared" ca="1" si="5"/>
        <v>12007</v>
      </c>
      <c r="B333" s="21">
        <v>7640</v>
      </c>
      <c r="C333" s="23">
        <v>0</v>
      </c>
    </row>
    <row r="334" spans="1:3" x14ac:dyDescent="0.25">
      <c r="A334" s="1">
        <f t="shared" ca="1" si="5"/>
        <v>12008</v>
      </c>
      <c r="B334" s="21">
        <v>7640</v>
      </c>
      <c r="C334" s="23">
        <v>0</v>
      </c>
    </row>
    <row r="335" spans="1:3" x14ac:dyDescent="0.25">
      <c r="A335" s="1">
        <f t="shared" ca="1" si="5"/>
        <v>12009</v>
      </c>
      <c r="B335" s="21">
        <v>7635</v>
      </c>
      <c r="C335" s="23">
        <v>0</v>
      </c>
    </row>
    <row r="336" spans="1:3" x14ac:dyDescent="0.25">
      <c r="A336" s="1">
        <f t="shared" ca="1" si="5"/>
        <v>12010</v>
      </c>
      <c r="B336" s="21">
        <v>7635</v>
      </c>
      <c r="C336" s="23">
        <v>0</v>
      </c>
    </row>
    <row r="337" spans="1:3" x14ac:dyDescent="0.25">
      <c r="A337" s="1">
        <f t="shared" ca="1" si="5"/>
        <v>12011</v>
      </c>
      <c r="B337" s="21">
        <v>7635</v>
      </c>
      <c r="C337" s="23">
        <v>16</v>
      </c>
    </row>
    <row r="338" spans="1:3" x14ac:dyDescent="0.25">
      <c r="A338" s="1">
        <f t="shared" ca="1" si="5"/>
        <v>12012</v>
      </c>
      <c r="B338" s="21">
        <v>7640</v>
      </c>
      <c r="C338" s="23">
        <v>0</v>
      </c>
    </row>
    <row r="339" spans="1:3" x14ac:dyDescent="0.25">
      <c r="A339" s="1">
        <f t="shared" ca="1" si="5"/>
        <v>12013</v>
      </c>
      <c r="B339" s="21">
        <v>7650</v>
      </c>
      <c r="C339" s="23">
        <v>375</v>
      </c>
    </row>
    <row r="340" spans="1:3" x14ac:dyDescent="0.25">
      <c r="A340" s="1">
        <f t="shared" ca="1" si="5"/>
        <v>12014</v>
      </c>
      <c r="B340" s="21">
        <v>7655</v>
      </c>
      <c r="C340" s="23">
        <v>562</v>
      </c>
    </row>
    <row r="341" spans="1:3" x14ac:dyDescent="0.25">
      <c r="A341" s="1">
        <f t="shared" ca="1" si="5"/>
        <v>12015</v>
      </c>
      <c r="B341" s="21">
        <v>7640</v>
      </c>
      <c r="C341" s="23">
        <v>131</v>
      </c>
    </row>
    <row r="342" spans="1:3" x14ac:dyDescent="0.25">
      <c r="A342" s="1">
        <f t="shared" ca="1" si="5"/>
        <v>12016</v>
      </c>
      <c r="B342" s="21">
        <v>7635</v>
      </c>
      <c r="C342" s="23">
        <v>0</v>
      </c>
    </row>
    <row r="343" spans="1:3" x14ac:dyDescent="0.25">
      <c r="A343" s="1">
        <f t="shared" ca="1" si="5"/>
        <v>12017</v>
      </c>
      <c r="B343" s="21">
        <v>7640</v>
      </c>
      <c r="C343" s="23">
        <v>0</v>
      </c>
    </row>
    <row r="344" spans="1:3" x14ac:dyDescent="0.25">
      <c r="A344" s="1">
        <f t="shared" ca="1" si="5"/>
        <v>12018</v>
      </c>
      <c r="B344" s="21">
        <v>7640</v>
      </c>
      <c r="C344" s="23">
        <v>0</v>
      </c>
    </row>
    <row r="345" spans="1:3" x14ac:dyDescent="0.25">
      <c r="A345" s="1">
        <f t="shared" ca="1" si="5"/>
        <v>12019</v>
      </c>
      <c r="B345" s="21">
        <v>7645</v>
      </c>
      <c r="C345" s="23">
        <v>0</v>
      </c>
    </row>
    <row r="346" spans="1:3" x14ac:dyDescent="0.25">
      <c r="A346" s="1">
        <f t="shared" ca="1" si="5"/>
        <v>12020</v>
      </c>
      <c r="B346" s="21">
        <v>7640</v>
      </c>
      <c r="C346" s="23">
        <v>0</v>
      </c>
    </row>
    <row r="347" spans="1:3" x14ac:dyDescent="0.25">
      <c r="A347" s="1">
        <f t="shared" ca="1" si="5"/>
        <v>12021</v>
      </c>
      <c r="B347" s="21">
        <v>7640</v>
      </c>
      <c r="C347" s="23">
        <v>0</v>
      </c>
    </row>
    <row r="348" spans="1:3" x14ac:dyDescent="0.25">
      <c r="A348" s="1">
        <f t="shared" ca="1" si="5"/>
        <v>12022</v>
      </c>
      <c r="B348" s="21">
        <v>7635</v>
      </c>
      <c r="C348" s="23">
        <v>88</v>
      </c>
    </row>
    <row r="349" spans="1:3" x14ac:dyDescent="0.25">
      <c r="A349" s="1">
        <f t="shared" ca="1" si="5"/>
        <v>12023</v>
      </c>
      <c r="B349" s="21">
        <v>7635</v>
      </c>
      <c r="C349" s="23">
        <v>42</v>
      </c>
    </row>
    <row r="350" spans="1:3" x14ac:dyDescent="0.25">
      <c r="A350" s="1" t="str">
        <f t="shared" ca="1" si="5"/>
        <v>Totaal</v>
      </c>
      <c r="B350" s="22">
        <f>IF(COUNT(B320:B349)&gt;0,AVERAGE(B320:B349)/10,"")</f>
        <v>763.35</v>
      </c>
      <c r="C350" s="26">
        <f>SUM(C320:C349)/10</f>
        <v>404.6</v>
      </c>
    </row>
    <row r="351" spans="1:3" x14ac:dyDescent="0.25">
      <c r="A351" s="1">
        <f t="shared" ca="1" si="5"/>
        <v>12024</v>
      </c>
      <c r="B351" s="21">
        <v>7640</v>
      </c>
      <c r="C351" s="23">
        <v>40</v>
      </c>
    </row>
    <row r="352" spans="1:3" x14ac:dyDescent="0.25">
      <c r="A352" s="1">
        <f t="shared" ca="1" si="5"/>
        <v>12025</v>
      </c>
      <c r="B352" s="21">
        <v>7645</v>
      </c>
      <c r="C352" s="23">
        <v>0</v>
      </c>
    </row>
    <row r="353" spans="1:3" x14ac:dyDescent="0.25">
      <c r="A353" s="1">
        <f t="shared" ca="1" si="5"/>
        <v>12026</v>
      </c>
      <c r="B353" s="21">
        <v>7645</v>
      </c>
      <c r="C353" s="23">
        <v>0</v>
      </c>
    </row>
    <row r="354" spans="1:3" x14ac:dyDescent="0.25">
      <c r="A354" s="1">
        <f t="shared" ca="1" si="5"/>
        <v>12027</v>
      </c>
      <c r="B354" s="21">
        <v>7640</v>
      </c>
      <c r="C354" s="23">
        <v>0</v>
      </c>
    </row>
    <row r="355" spans="1:3" x14ac:dyDescent="0.25">
      <c r="A355" s="1">
        <f t="shared" ca="1" si="5"/>
        <v>12028</v>
      </c>
      <c r="B355" s="21">
        <v>7645</v>
      </c>
      <c r="C355" s="23">
        <v>0</v>
      </c>
    </row>
    <row r="356" spans="1:3" x14ac:dyDescent="0.25">
      <c r="A356" s="1">
        <f t="shared" ca="1" si="5"/>
        <v>12029</v>
      </c>
      <c r="B356" s="21">
        <v>7640</v>
      </c>
      <c r="C356" s="23">
        <v>33</v>
      </c>
    </row>
    <row r="357" spans="1:3" x14ac:dyDescent="0.25">
      <c r="A357" s="1">
        <f t="shared" ca="1" si="5"/>
        <v>12030</v>
      </c>
      <c r="B357" s="21">
        <v>7645</v>
      </c>
      <c r="C357" s="23">
        <v>34</v>
      </c>
    </row>
    <row r="358" spans="1:3" x14ac:dyDescent="0.25">
      <c r="A358" s="1">
        <f t="shared" ca="1" si="5"/>
        <v>12031</v>
      </c>
      <c r="B358" s="21">
        <v>7640</v>
      </c>
      <c r="C358" s="23">
        <v>4</v>
      </c>
    </row>
    <row r="359" spans="1:3" x14ac:dyDescent="0.25">
      <c r="A359" s="1">
        <f t="shared" ca="1" si="5"/>
        <v>12032</v>
      </c>
      <c r="B359" s="21">
        <v>7645</v>
      </c>
      <c r="C359" s="23">
        <v>32</v>
      </c>
    </row>
    <row r="360" spans="1:3" x14ac:dyDescent="0.25">
      <c r="A360" s="1">
        <f t="shared" ca="1" si="5"/>
        <v>12033</v>
      </c>
      <c r="B360" s="21">
        <v>7645</v>
      </c>
      <c r="C360" s="23">
        <v>0</v>
      </c>
    </row>
    <row r="361" spans="1:3" x14ac:dyDescent="0.25">
      <c r="A361" s="1">
        <f t="shared" ca="1" si="5"/>
        <v>12034</v>
      </c>
      <c r="B361" s="21">
        <v>7645</v>
      </c>
      <c r="C361" s="23">
        <v>26</v>
      </c>
    </row>
    <row r="362" spans="1:3" x14ac:dyDescent="0.25">
      <c r="A362" s="1">
        <f t="shared" ca="1" si="5"/>
        <v>12035</v>
      </c>
      <c r="B362" s="21">
        <v>7640</v>
      </c>
      <c r="C362" s="23">
        <v>0</v>
      </c>
    </row>
    <row r="363" spans="1:3" x14ac:dyDescent="0.25">
      <c r="A363" s="1">
        <f t="shared" ca="1" si="5"/>
        <v>12036</v>
      </c>
      <c r="B363" s="21">
        <v>7655</v>
      </c>
      <c r="C363" s="23">
        <v>0</v>
      </c>
    </row>
    <row r="364" spans="1:3" x14ac:dyDescent="0.25">
      <c r="A364" s="1">
        <f t="shared" ca="1" si="5"/>
        <v>12037</v>
      </c>
      <c r="B364" s="21">
        <v>7665</v>
      </c>
      <c r="C364" s="23">
        <v>2</v>
      </c>
    </row>
    <row r="365" spans="1:3" x14ac:dyDescent="0.25">
      <c r="A365" s="1">
        <f t="shared" ca="1" si="5"/>
        <v>12038</v>
      </c>
      <c r="B365" s="21">
        <v>7675</v>
      </c>
      <c r="C365" s="23">
        <v>17</v>
      </c>
    </row>
    <row r="366" spans="1:3" x14ac:dyDescent="0.25">
      <c r="A366" s="1">
        <f t="shared" ca="1" si="5"/>
        <v>12039</v>
      </c>
      <c r="B366" s="21">
        <v>7670</v>
      </c>
      <c r="C366" s="23">
        <v>15</v>
      </c>
    </row>
    <row r="367" spans="1:3" x14ac:dyDescent="0.25">
      <c r="A367" s="1">
        <f t="shared" ca="1" si="5"/>
        <v>12040</v>
      </c>
      <c r="B367" s="21">
        <v>7660</v>
      </c>
      <c r="C367" s="23">
        <v>81</v>
      </c>
    </row>
    <row r="368" spans="1:3" x14ac:dyDescent="0.25">
      <c r="A368" s="1">
        <f t="shared" ca="1" si="5"/>
        <v>12041</v>
      </c>
      <c r="B368" s="21">
        <v>7645</v>
      </c>
      <c r="C368" s="23">
        <v>0</v>
      </c>
    </row>
    <row r="369" spans="1:3" x14ac:dyDescent="0.25">
      <c r="A369" s="1">
        <f t="shared" ca="1" si="5"/>
        <v>12042</v>
      </c>
      <c r="B369" s="21">
        <v>7650</v>
      </c>
      <c r="C369" s="23">
        <v>90</v>
      </c>
    </row>
    <row r="370" spans="1:3" x14ac:dyDescent="0.25">
      <c r="A370" s="1">
        <f t="shared" ca="1" si="5"/>
        <v>12043</v>
      </c>
      <c r="B370" s="21">
        <v>7650</v>
      </c>
      <c r="C370" s="23">
        <v>55</v>
      </c>
    </row>
    <row r="371" spans="1:3" x14ac:dyDescent="0.25">
      <c r="A371" s="1">
        <f t="shared" ca="1" si="5"/>
        <v>12044</v>
      </c>
      <c r="B371" s="21">
        <v>7660</v>
      </c>
      <c r="C371" s="23">
        <v>148</v>
      </c>
    </row>
    <row r="372" spans="1:3" x14ac:dyDescent="0.25">
      <c r="A372" s="1">
        <f t="shared" ca="1" si="5"/>
        <v>12045</v>
      </c>
      <c r="B372" s="21">
        <v>7650</v>
      </c>
      <c r="C372" s="23">
        <v>8</v>
      </c>
    </row>
    <row r="373" spans="1:3" x14ac:dyDescent="0.25">
      <c r="A373" s="1">
        <f t="shared" ca="1" si="5"/>
        <v>12046</v>
      </c>
      <c r="B373" s="21">
        <v>7650</v>
      </c>
      <c r="C373" s="23">
        <v>23</v>
      </c>
    </row>
    <row r="374" spans="1:3" x14ac:dyDescent="0.25">
      <c r="A374" s="1">
        <f t="shared" ca="1" si="5"/>
        <v>12047</v>
      </c>
      <c r="B374" s="21">
        <v>7650</v>
      </c>
      <c r="C374" s="23">
        <v>0</v>
      </c>
    </row>
    <row r="375" spans="1:3" x14ac:dyDescent="0.25">
      <c r="A375" s="1">
        <f t="shared" ca="1" si="5"/>
        <v>12048</v>
      </c>
      <c r="B375" s="21">
        <v>7650</v>
      </c>
      <c r="C375" s="23">
        <v>0</v>
      </c>
    </row>
    <row r="376" spans="1:3" x14ac:dyDescent="0.25">
      <c r="A376" s="1">
        <f t="shared" ca="1" si="5"/>
        <v>12049</v>
      </c>
      <c r="B376" s="21">
        <v>7660</v>
      </c>
      <c r="C376" s="23">
        <v>0</v>
      </c>
    </row>
    <row r="377" spans="1:3" x14ac:dyDescent="0.25">
      <c r="A377" s="1">
        <f t="shared" ca="1" si="5"/>
        <v>12050</v>
      </c>
      <c r="B377" s="21">
        <v>7660</v>
      </c>
      <c r="C377" s="23">
        <v>95</v>
      </c>
    </row>
    <row r="378" spans="1:3" x14ac:dyDescent="0.25">
      <c r="A378" s="1">
        <f t="shared" ca="1" si="5"/>
        <v>12051</v>
      </c>
      <c r="B378" s="21">
        <v>7655</v>
      </c>
      <c r="C378" s="23">
        <v>34</v>
      </c>
    </row>
    <row r="379" spans="1:3" x14ac:dyDescent="0.25">
      <c r="A379" s="1">
        <f t="shared" ca="1" si="5"/>
        <v>12052</v>
      </c>
      <c r="B379" s="21">
        <v>7650</v>
      </c>
      <c r="C379" s="23">
        <v>0</v>
      </c>
    </row>
    <row r="380" spans="1:3" x14ac:dyDescent="0.25">
      <c r="A380" s="1">
        <f t="shared" ca="1" si="5"/>
        <v>12053</v>
      </c>
      <c r="B380" s="21">
        <v>7650</v>
      </c>
      <c r="C380" s="23">
        <v>0</v>
      </c>
    </row>
    <row r="381" spans="1:3" x14ac:dyDescent="0.25">
      <c r="A381" s="1">
        <f t="shared" ca="1" si="5"/>
        <v>12054</v>
      </c>
      <c r="B381" s="21">
        <v>7650</v>
      </c>
      <c r="C381" s="23">
        <v>10</v>
      </c>
    </row>
    <row r="382" spans="1:3" x14ac:dyDescent="0.25">
      <c r="A382" s="1" t="str">
        <f t="shared" ca="1" si="5"/>
        <v>Totaal</v>
      </c>
      <c r="B382" s="22">
        <f>IF(COUNT(B351:B381)&gt;0,AVERAGE(B351:B381)/10,"")</f>
        <v>765.06451612903231</v>
      </c>
      <c r="C382" s="26">
        <f>SUM(C351:C381)/10</f>
        <v>74.7</v>
      </c>
    </row>
  </sheetData>
  <sheetProtection sheet="1" objects="1" scenarios="1" selectLockedCells="1"/>
  <mergeCells count="2">
    <mergeCell ref="A3:A4"/>
    <mergeCell ref="B3:B4"/>
  </mergeCells>
  <conditionalFormatting sqref="A5:C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19320101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19320102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19320103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19320104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19320105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19320106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19320107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19320108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19320109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19320110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19320111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19320112</v>
      </c>
      <c r="C13" s="5">
        <v>1</v>
      </c>
      <c r="D13" s="10">
        <f t="shared" ca="1" si="0"/>
        <v>35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19320113</v>
      </c>
      <c r="C14" s="5">
        <v>1</v>
      </c>
      <c r="D14" s="10">
        <f t="shared" ca="1" si="0"/>
        <v>18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19320114</v>
      </c>
      <c r="C15" s="5">
        <v>1</v>
      </c>
      <c r="D15" s="10">
        <f t="shared" ca="1" si="0"/>
        <v>36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19320115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19320116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19320117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19320118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19320119</v>
      </c>
      <c r="C20" s="5">
        <v>1</v>
      </c>
      <c r="D20" s="10">
        <f t="shared" ca="1" si="0"/>
        <v>24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19320120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19320121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19320122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19320123</v>
      </c>
      <c r="C24" s="5">
        <v>1</v>
      </c>
      <c r="D24" s="10">
        <f t="shared" ca="1" si="0"/>
        <v>9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19320124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19320125</v>
      </c>
      <c r="C26" s="5">
        <v>1</v>
      </c>
      <c r="D26" s="10">
        <f t="shared" ca="1" si="0"/>
        <v>220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19320126</v>
      </c>
      <c r="C27" s="5">
        <v>1</v>
      </c>
      <c r="D27" s="10">
        <f t="shared" ca="1" si="0"/>
        <v>18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19320127</v>
      </c>
      <c r="C28" s="5">
        <v>1</v>
      </c>
      <c r="D28" s="10">
        <f t="shared" ca="1" si="0"/>
        <v>28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19320128</v>
      </c>
      <c r="C29" s="5">
        <v>1</v>
      </c>
      <c r="D29" s="10">
        <f t="shared" ca="1" si="0"/>
        <v>42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19320129</v>
      </c>
      <c r="C30" s="5">
        <v>1</v>
      </c>
      <c r="D30" s="10">
        <f t="shared" ca="1" si="0"/>
        <v>44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19320130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19320131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19320201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19320202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19320203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19320204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19320205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19320206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19320207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19320208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19320209</v>
      </c>
      <c r="C41" s="5">
        <v>1</v>
      </c>
      <c r="D41" s="10">
        <f t="shared" ca="1" si="0"/>
        <v>4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19320210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19320211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19320212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19320213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19320214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19320215</v>
      </c>
      <c r="C47" s="5">
        <v>1</v>
      </c>
      <c r="D47" s="10">
        <f t="shared" ca="1" si="0"/>
        <v>35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19320216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19320217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19320218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19320219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19320220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19320221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19320222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19320223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19320224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19320225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19320226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19320227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19320228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19320229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19320301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19320302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19320303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19320304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19320305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19320306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19320307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19320308</v>
      </c>
      <c r="C69" s="5">
        <v>1</v>
      </c>
      <c r="D69" s="10">
        <f t="shared" ca="1" si="2"/>
        <v>100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19320309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19320310</v>
      </c>
      <c r="C71" s="5">
        <v>1</v>
      </c>
      <c r="D71" s="10">
        <f t="shared" ca="1" si="2"/>
        <v>4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19320311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19320312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19320313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19320314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19320315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19320316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19320317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19320318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19320319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19320320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19320321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19320322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19320323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19320324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19320325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19320326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19320327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19320328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19320329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19320330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19320331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19320401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19320402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19320403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19320404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19320405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19320406</v>
      </c>
      <c r="C98" s="5">
        <v>1</v>
      </c>
      <c r="D98" s="10">
        <f t="shared" ca="1" si="2"/>
        <v>10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19320407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19320408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19320409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19320410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19320411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19320412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19320413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19320414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19320415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19320416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19320417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19320418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19320419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19320420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19320421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19320422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19320423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19320424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19320425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19320426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19320427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19320428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19320429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19320430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19320501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19320502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19320503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19320504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19320505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19320506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19320507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19320508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19320509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19320510</v>
      </c>
      <c r="C132" s="5">
        <v>1</v>
      </c>
      <c r="D132" s="10">
        <f t="shared" ca="1" si="4"/>
        <v>37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19320511</v>
      </c>
      <c r="C133" s="5">
        <v>1</v>
      </c>
      <c r="D133" s="10">
        <f t="shared" ca="1" si="4"/>
        <v>1086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19320512</v>
      </c>
      <c r="C134" s="5">
        <v>1</v>
      </c>
      <c r="D134" s="10">
        <f t="shared" ca="1" si="4"/>
        <v>7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19320513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19320514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19320515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19320516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19320517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19320518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19320519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19320520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19320521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19320522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19320523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19320524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19320525</v>
      </c>
      <c r="C147" s="5">
        <v>1</v>
      </c>
      <c r="D147" s="10">
        <f t="shared" ca="1" si="4"/>
        <v>25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19320526</v>
      </c>
      <c r="C148" s="5">
        <v>1</v>
      </c>
      <c r="D148" s="10">
        <f t="shared" ca="1" si="4"/>
        <v>2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19320527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19320528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19320529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19320530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19320531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19320601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19320602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19320603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19320604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19320605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19320606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19320607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19320608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19320609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19320610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19320611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19320612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19320613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19320614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19320615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19320616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19320617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19320618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19320619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19320620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19320621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19320622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19320623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19320624</v>
      </c>
      <c r="C177" s="5">
        <v>1</v>
      </c>
      <c r="D177" s="10">
        <f t="shared" ca="1" si="4"/>
        <v>25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19320625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19320626</v>
      </c>
      <c r="C179" s="5">
        <v>1</v>
      </c>
      <c r="D179" s="10">
        <f t="shared" ca="1" si="4"/>
        <v>78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19320627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19320628</v>
      </c>
      <c r="C181" s="5">
        <v>1</v>
      </c>
      <c r="D181" s="10">
        <f t="shared" ca="1" si="4"/>
        <v>30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19320629</v>
      </c>
      <c r="C182" s="5">
        <v>1</v>
      </c>
      <c r="D182" s="10">
        <f t="shared" ca="1" si="4"/>
        <v>32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19320630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19320701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19320702</v>
      </c>
      <c r="C185" s="5">
        <v>1</v>
      </c>
      <c r="D185" s="10">
        <f t="shared" ca="1" si="4"/>
        <v>32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19320703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19320704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19320705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19320706</v>
      </c>
      <c r="C189" s="5">
        <v>1</v>
      </c>
      <c r="D189" s="10">
        <f t="shared" ca="1" si="4"/>
        <v>52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19320707</v>
      </c>
      <c r="C190" s="5">
        <v>1</v>
      </c>
      <c r="D190" s="10">
        <f t="shared" ca="1" si="4"/>
        <v>33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19320708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19320709</v>
      </c>
      <c r="C192" s="5">
        <v>1</v>
      </c>
      <c r="D192" s="10">
        <f t="shared" ca="1" si="4"/>
        <v>4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19320710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19320711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19320712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19320713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19320714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19320715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19320716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19320717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19320718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19320719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19320720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19320721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19320722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19320723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19320724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19320725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19320726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19320727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19320728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19320729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19320730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19320731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19320801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19320802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19320803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19320804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19320805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19320806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19320807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19320808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19320809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19320810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19320811</v>
      </c>
      <c r="C225" s="5">
        <v>1</v>
      </c>
      <c r="D225" s="10">
        <f t="shared" ca="1" si="6"/>
        <v>46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19320812</v>
      </c>
      <c r="C226" s="5">
        <v>1</v>
      </c>
      <c r="D226" s="10">
        <f t="shared" ca="1" si="6"/>
        <v>23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19320813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19320814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19320815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19320816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19320817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19320818</v>
      </c>
      <c r="C232" s="5">
        <v>1</v>
      </c>
      <c r="D232" s="10">
        <f t="shared" ca="1" si="6"/>
        <v>49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19320819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19320820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19320821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19320822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19320823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19320824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19320825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19320826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19320827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19320828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19320829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19320830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19320831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19320901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19320902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19320903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19320904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19320905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19320906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19320907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19320908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19320909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19320910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19320911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19320912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19320913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19320914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19320915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19320916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19320917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19320918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19320919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19320920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19320921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19320922</v>
      </c>
      <c r="C267" s="5">
        <v>1</v>
      </c>
      <c r="D267" s="10">
        <f t="shared" ca="1" si="8"/>
        <v>94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19320923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19320924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19320925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19320926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19320927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19320928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19320929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19320930</v>
      </c>
      <c r="C275" s="5">
        <v>1</v>
      </c>
      <c r="D275" s="10">
        <f t="shared" ca="1" si="8"/>
        <v>9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19321001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19321002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19321003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19321004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19321005</v>
      </c>
      <c r="C280" s="5">
        <v>1</v>
      </c>
      <c r="D280" s="10">
        <f t="shared" ca="1" si="8"/>
        <v>27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19321006</v>
      </c>
      <c r="C281" s="5">
        <v>1</v>
      </c>
      <c r="D281" s="10">
        <f t="shared" ca="1" si="8"/>
        <v>30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19321007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19321008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19321009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19321010</v>
      </c>
      <c r="C285" s="5">
        <v>1</v>
      </c>
      <c r="D285" s="10">
        <f t="shared" ca="1" si="8"/>
        <v>15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19321011</v>
      </c>
      <c r="C286" s="5">
        <v>1</v>
      </c>
      <c r="D286" s="10">
        <f t="shared" ca="1" si="8"/>
        <v>782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19321012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19321013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19321014</v>
      </c>
      <c r="C289" s="5">
        <v>1</v>
      </c>
      <c r="D289" s="10">
        <f t="shared" ca="1" si="8"/>
        <v>12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19321015</v>
      </c>
      <c r="C290" s="5">
        <v>1</v>
      </c>
      <c r="D290" s="10">
        <f t="shared" ca="1" si="8"/>
        <v>266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19321016</v>
      </c>
      <c r="C291" s="5">
        <v>1</v>
      </c>
      <c r="D291" s="10">
        <f t="shared" ca="1" si="8"/>
        <v>962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19321017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19321018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19321019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19321020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19321021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19321022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19321023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19321024</v>
      </c>
      <c r="C299" s="5">
        <v>1</v>
      </c>
      <c r="D299" s="10">
        <f t="shared" ca="1" si="8"/>
        <v>69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19321025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19321026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19321027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19321028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19321029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19321030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19321031</v>
      </c>
      <c r="C306" s="5">
        <v>1</v>
      </c>
      <c r="D306" s="10">
        <f t="shared" ca="1" si="8"/>
        <v>153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19321101</v>
      </c>
      <c r="C307" s="5">
        <v>1</v>
      </c>
      <c r="D307" s="10">
        <f t="shared" ca="1" si="8"/>
        <v>1446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19321102</v>
      </c>
      <c r="C308" s="5">
        <v>1</v>
      </c>
      <c r="D308" s="10">
        <f t="shared" ca="1" si="8"/>
        <v>925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19321103</v>
      </c>
      <c r="C309" s="5">
        <v>1</v>
      </c>
      <c r="D309" s="10">
        <f t="shared" ca="1" si="8"/>
        <v>295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19321104</v>
      </c>
      <c r="C310" s="5">
        <v>1</v>
      </c>
      <c r="D310" s="10">
        <f t="shared" ca="1" si="8"/>
        <v>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19321105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19321106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19321107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19321108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19321109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19321110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19321111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19321112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19321113</v>
      </c>
      <c r="C319" s="5">
        <v>1</v>
      </c>
      <c r="D319" s="10">
        <f t="shared" ca="1" si="8"/>
        <v>166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19321114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19321115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19321116</v>
      </c>
      <c r="C322" s="5">
        <v>1</v>
      </c>
      <c r="D322" s="10">
        <f t="shared" ref="D322:D367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7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19321117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19321118</v>
      </c>
      <c r="C324" s="5">
        <v>1</v>
      </c>
      <c r="D324" s="10">
        <f t="shared" ca="1" si="10"/>
        <v>16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19321119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19321120</v>
      </c>
      <c r="C326" s="5">
        <v>1</v>
      </c>
      <c r="D326" s="10">
        <f t="shared" ca="1" si="10"/>
        <v>375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19321121</v>
      </c>
      <c r="C327" s="5">
        <v>1</v>
      </c>
      <c r="D327" s="10">
        <f t="shared" ca="1" si="10"/>
        <v>562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19321122</v>
      </c>
      <c r="C328" s="5">
        <v>1</v>
      </c>
      <c r="D328" s="10">
        <f t="shared" ca="1" si="10"/>
        <v>131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19321123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19321124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19321125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19321126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19321127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19321128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19321129</v>
      </c>
      <c r="C335" s="5">
        <v>1</v>
      </c>
      <c r="D335" s="10">
        <f t="shared" ca="1" si="10"/>
        <v>88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19321130</v>
      </c>
      <c r="C336" s="5">
        <v>1</v>
      </c>
      <c r="D336" s="10">
        <f t="shared" ca="1" si="10"/>
        <v>42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19321201</v>
      </c>
      <c r="C337" s="5">
        <v>1</v>
      </c>
      <c r="D337" s="10">
        <f t="shared" ca="1" si="10"/>
        <v>40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19321202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19321203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19321204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19321205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19321206</v>
      </c>
      <c r="C342" s="5">
        <v>1</v>
      </c>
      <c r="D342" s="10">
        <f t="shared" ca="1" si="10"/>
        <v>33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19321207</v>
      </c>
      <c r="C343" s="5">
        <v>1</v>
      </c>
      <c r="D343" s="10">
        <f t="shared" ca="1" si="10"/>
        <v>34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19321208</v>
      </c>
      <c r="C344" s="5">
        <v>1</v>
      </c>
      <c r="D344" s="10">
        <f t="shared" ca="1" si="10"/>
        <v>4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19321209</v>
      </c>
      <c r="C345" s="5">
        <v>1</v>
      </c>
      <c r="D345" s="10">
        <f t="shared" ca="1" si="10"/>
        <v>32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19321210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19321211</v>
      </c>
      <c r="C347" s="5">
        <v>1</v>
      </c>
      <c r="D347" s="10">
        <f t="shared" ca="1" si="10"/>
        <v>26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19321212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19321213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19321214</v>
      </c>
      <c r="C350" s="5">
        <v>1</v>
      </c>
      <c r="D350" s="10">
        <f t="shared" ca="1" si="10"/>
        <v>2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19321215</v>
      </c>
      <c r="C351" s="5">
        <v>1</v>
      </c>
      <c r="D351" s="10">
        <f t="shared" ca="1" si="10"/>
        <v>17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19321216</v>
      </c>
      <c r="C352" s="5">
        <v>1</v>
      </c>
      <c r="D352" s="10">
        <f t="shared" ca="1" si="10"/>
        <v>15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19321217</v>
      </c>
      <c r="C353" s="5">
        <v>1</v>
      </c>
      <c r="D353" s="10">
        <f t="shared" ca="1" si="10"/>
        <v>81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19321218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19321219</v>
      </c>
      <c r="C355" s="5">
        <v>1</v>
      </c>
      <c r="D355" s="10">
        <f t="shared" ca="1" si="10"/>
        <v>90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19321220</v>
      </c>
      <c r="C356" s="5">
        <v>1</v>
      </c>
      <c r="D356" s="10">
        <f t="shared" ca="1" si="10"/>
        <v>55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19321221</v>
      </c>
      <c r="C357" s="5">
        <v>1</v>
      </c>
      <c r="D357" s="10">
        <f t="shared" ca="1" si="10"/>
        <v>148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19321222</v>
      </c>
      <c r="C358" s="5">
        <v>1</v>
      </c>
      <c r="D358" s="10">
        <f t="shared" ca="1" si="10"/>
        <v>8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19321223</v>
      </c>
      <c r="C359" s="5">
        <v>1</v>
      </c>
      <c r="D359" s="10">
        <f t="shared" ca="1" si="10"/>
        <v>23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19321224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19321225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19321226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19321227</v>
      </c>
      <c r="C363" s="5">
        <v>1</v>
      </c>
      <c r="D363" s="10">
        <f t="shared" ca="1" si="10"/>
        <v>95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19321228</v>
      </c>
      <c r="C364" s="5">
        <v>1</v>
      </c>
      <c r="D364" s="10">
        <f t="shared" ca="1" si="10"/>
        <v>34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19321229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19321230</v>
      </c>
      <c r="C366" s="5">
        <v>1</v>
      </c>
      <c r="D366" s="10">
        <f t="shared" ca="1" si="10"/>
        <v>0</v>
      </c>
      <c r="E366" s="11">
        <f t="shared" ca="1" si="11"/>
        <v>0</v>
      </c>
    </row>
    <row r="367" spans="1:5" x14ac:dyDescent="0.25">
      <c r="A367" s="4">
        <f ca="1">INDEX(Stations,INT((ROWS(A$2:A367)-1)/(DATE(YEAR(Invoer!$A$5),12,31)-DATE(YEAR(Invoer!$A$5),1,1)+1))+2,1)</f>
        <v>32</v>
      </c>
      <c r="B367" t="str">
        <f ca="1">TEXT(DATE(YEAR(Invoer!$A$5),1,1)+MOD(ROWS(B$2:B367)-1,DATE(YEAR(Invoer!$A$5),12,31)-DATE(YEAR(Invoer!$A$5),1,1)+1),"jjjjmmdd")</f>
        <v>19321231</v>
      </c>
      <c r="C367" s="5">
        <v>1</v>
      </c>
      <c r="D367" s="10">
        <f t="shared" ca="1" si="10"/>
        <v>10</v>
      </c>
      <c r="E367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7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19320101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19320102</v>
      </c>
      <c r="C3" s="18">
        <f t="shared" ca="1" si="1"/>
        <v>765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19320103</v>
      </c>
      <c r="C4" s="18">
        <f t="shared" ca="1" si="1"/>
        <v>765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19320104</v>
      </c>
      <c r="C5" s="18">
        <f t="shared" ca="1" si="1"/>
        <v>766.5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19320105</v>
      </c>
      <c r="C6" s="18">
        <f t="shared" ca="1" si="1"/>
        <v>766.5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19320106</v>
      </c>
      <c r="C7" s="18">
        <f t="shared" ca="1" si="1"/>
        <v>767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19320107</v>
      </c>
      <c r="C8" s="18">
        <f t="shared" ca="1" si="1"/>
        <v>766.5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19320108</v>
      </c>
      <c r="C9" s="18">
        <f t="shared" ca="1" si="1"/>
        <v>766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19320109</v>
      </c>
      <c r="C10" s="18">
        <f t="shared" ca="1" si="1"/>
        <v>766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19320110</v>
      </c>
      <c r="C11" s="18">
        <f t="shared" ca="1" si="1"/>
        <v>766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19320111</v>
      </c>
      <c r="C12" s="18">
        <f t="shared" ca="1" si="1"/>
        <v>768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19320112</v>
      </c>
      <c r="C13" s="18">
        <f t="shared" ca="1" si="1"/>
        <v>767.5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19320113</v>
      </c>
      <c r="C14" s="18">
        <f t="shared" ca="1" si="1"/>
        <v>768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19320114</v>
      </c>
      <c r="C15" s="18">
        <f t="shared" ca="1" si="1"/>
        <v>767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19320115</v>
      </c>
      <c r="C16" s="18">
        <f t="shared" ca="1" si="1"/>
        <v>765.5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19320116</v>
      </c>
      <c r="C17" s="18">
        <f t="shared" ca="1" si="1"/>
        <v>766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19320117</v>
      </c>
      <c r="C18" s="18">
        <f t="shared" ca="1" si="1"/>
        <v>765.5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19320118</v>
      </c>
      <c r="C19" s="18">
        <f t="shared" ca="1" si="1"/>
        <v>766.5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19320119</v>
      </c>
      <c r="C20" s="18">
        <f t="shared" ca="1" si="1"/>
        <v>766.5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19320120</v>
      </c>
      <c r="C21" s="18">
        <f t="shared" ca="1" si="1"/>
        <v>767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19320121</v>
      </c>
      <c r="C22" s="18">
        <f t="shared" ca="1" si="1"/>
        <v>766.5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19320122</v>
      </c>
      <c r="C23" s="18">
        <f t="shared" ca="1" si="1"/>
        <v>765.5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19320123</v>
      </c>
      <c r="C24" s="18">
        <f t="shared" ca="1" si="1"/>
        <v>765.5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19320124</v>
      </c>
      <c r="C25" s="18">
        <f t="shared" ca="1" si="1"/>
        <v>767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19320125</v>
      </c>
      <c r="C26" s="18">
        <f t="shared" ca="1" si="1"/>
        <v>767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19320126</v>
      </c>
      <c r="C27" s="18">
        <f t="shared" ca="1" si="1"/>
        <v>768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19320127</v>
      </c>
      <c r="C28" s="18">
        <f t="shared" ca="1" si="1"/>
        <v>768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19320128</v>
      </c>
      <c r="C29" s="18">
        <f t="shared" ca="1" si="1"/>
        <v>767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19320129</v>
      </c>
      <c r="C30" s="18">
        <f t="shared" ca="1" si="1"/>
        <v>766.5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19320130</v>
      </c>
      <c r="C31" s="18">
        <f t="shared" ca="1" si="1"/>
        <v>766.5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19320131</v>
      </c>
      <c r="C32" s="18">
        <f t="shared" ca="1" si="1"/>
        <v>767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19320201</v>
      </c>
      <c r="C33" s="18">
        <f t="shared" ca="1" si="1"/>
        <v>768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19320202</v>
      </c>
      <c r="C34" s="18">
        <f t="shared" ca="1" si="1"/>
        <v>767.5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19320203</v>
      </c>
      <c r="C35" s="18">
        <f t="shared" ca="1" si="1"/>
        <v>767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19320204</v>
      </c>
      <c r="C36" s="18">
        <f t="shared" ca="1" si="1"/>
        <v>768.5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19320205</v>
      </c>
      <c r="C37" s="18">
        <f t="shared" ca="1" si="1"/>
        <v>769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19320206</v>
      </c>
      <c r="C38" s="18">
        <f t="shared" ca="1" si="1"/>
        <v>767.5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19320207</v>
      </c>
      <c r="C39" s="18">
        <f t="shared" ca="1" si="1"/>
        <v>767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19320208</v>
      </c>
      <c r="C40" s="18">
        <f t="shared" ca="1" si="1"/>
        <v>768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19320209</v>
      </c>
      <c r="C41" s="18">
        <f t="shared" ca="1" si="1"/>
        <v>767.5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19320210</v>
      </c>
      <c r="C42" s="18">
        <f t="shared" ca="1" si="1"/>
        <v>767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19320211</v>
      </c>
      <c r="C43" s="18">
        <f t="shared" ca="1" si="1"/>
        <v>765.5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19320212</v>
      </c>
      <c r="C44" s="18">
        <f t="shared" ca="1" si="1"/>
        <v>766.5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19320213</v>
      </c>
      <c r="C45" s="18">
        <f t="shared" ca="1" si="1"/>
        <v>766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19320214</v>
      </c>
      <c r="C46" s="18">
        <f t="shared" ca="1" si="1"/>
        <v>765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19320215</v>
      </c>
      <c r="C47" s="18">
        <f t="shared" ca="1" si="1"/>
        <v>765.5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19320216</v>
      </c>
      <c r="C48" s="18">
        <f t="shared" ca="1" si="1"/>
        <v>766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19320217</v>
      </c>
      <c r="C49" s="18">
        <f t="shared" ca="1" si="1"/>
        <v>766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19320218</v>
      </c>
      <c r="C50" s="18">
        <f t="shared" ca="1" si="1"/>
        <v>767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19320219</v>
      </c>
      <c r="C51" s="18">
        <f t="shared" ca="1" si="1"/>
        <v>767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19320220</v>
      </c>
      <c r="C52" s="18">
        <f t="shared" ca="1" si="1"/>
        <v>767.5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19320221</v>
      </c>
      <c r="C53" s="18">
        <f t="shared" ca="1" si="1"/>
        <v>766.5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19320222</v>
      </c>
      <c r="C54" s="18">
        <f t="shared" ca="1" si="1"/>
        <v>767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19320223</v>
      </c>
      <c r="C55" s="18">
        <f t="shared" ca="1" si="1"/>
        <v>767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19320224</v>
      </c>
      <c r="C56" s="18">
        <f t="shared" ca="1" si="1"/>
        <v>767.5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19320225</v>
      </c>
      <c r="C57" s="18">
        <f t="shared" ca="1" si="1"/>
        <v>767.5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19320226</v>
      </c>
      <c r="C58" s="18">
        <f t="shared" ca="1" si="1"/>
        <v>765.5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19320227</v>
      </c>
      <c r="C59" s="18">
        <f t="shared" ca="1" si="1"/>
        <v>767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19320228</v>
      </c>
      <c r="C60" s="18">
        <f t="shared" ca="1" si="1"/>
        <v>765.5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19320229</v>
      </c>
      <c r="C61" s="18">
        <f t="shared" ca="1" si="1"/>
        <v>766.5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19320301</v>
      </c>
      <c r="C62" s="18">
        <f t="shared" ca="1" si="1"/>
        <v>765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19320302</v>
      </c>
      <c r="C63" s="18">
        <f t="shared" ca="1" si="1"/>
        <v>764.5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19320303</v>
      </c>
      <c r="C64" s="18">
        <f t="shared" ca="1" si="1"/>
        <v>765.5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19320304</v>
      </c>
      <c r="C65" s="18">
        <f t="shared" ca="1" si="1"/>
        <v>765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19320305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764.5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19320306</v>
      </c>
      <c r="C67" s="18">
        <f t="shared" ca="1" si="4"/>
        <v>765.5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19320307</v>
      </c>
      <c r="C68" s="18">
        <f t="shared" ca="1" si="4"/>
        <v>765.5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19320308</v>
      </c>
      <c r="C69" s="18">
        <f t="shared" ca="1" si="4"/>
        <v>766.5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19320309</v>
      </c>
      <c r="C70" s="18">
        <f t="shared" ca="1" si="4"/>
        <v>766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19320310</v>
      </c>
      <c r="C71" s="18">
        <f t="shared" ca="1" si="4"/>
        <v>766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19320311</v>
      </c>
      <c r="C72" s="18">
        <f t="shared" ca="1" si="4"/>
        <v>767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19320312</v>
      </c>
      <c r="C73" s="18">
        <f t="shared" ca="1" si="4"/>
        <v>766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19320313</v>
      </c>
      <c r="C74" s="18">
        <f t="shared" ca="1" si="4"/>
        <v>766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19320314</v>
      </c>
      <c r="C75" s="18">
        <f t="shared" ca="1" si="4"/>
        <v>765.5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19320315</v>
      </c>
      <c r="C76" s="18">
        <f t="shared" ca="1" si="4"/>
        <v>767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19320316</v>
      </c>
      <c r="C77" s="18">
        <f t="shared" ca="1" si="4"/>
        <v>767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19320317</v>
      </c>
      <c r="C78" s="18">
        <f t="shared" ca="1" si="4"/>
        <v>766.5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19320318</v>
      </c>
      <c r="C79" s="18">
        <f t="shared" ca="1" si="4"/>
        <v>766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19320319</v>
      </c>
      <c r="C80" s="18">
        <f t="shared" ca="1" si="4"/>
        <v>766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19320320</v>
      </c>
      <c r="C81" s="18">
        <f t="shared" ca="1" si="4"/>
        <v>767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19320321</v>
      </c>
      <c r="C82" s="18">
        <f t="shared" ca="1" si="4"/>
        <v>767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19320322</v>
      </c>
      <c r="C83" s="18">
        <f t="shared" ca="1" si="4"/>
        <v>766.5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19320323</v>
      </c>
      <c r="C84" s="18">
        <f t="shared" ca="1" si="4"/>
        <v>767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19320324</v>
      </c>
      <c r="C85" s="18">
        <f t="shared" ca="1" si="4"/>
        <v>768.5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19320325</v>
      </c>
      <c r="C86" s="18">
        <f t="shared" ca="1" si="4"/>
        <v>767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19320326</v>
      </c>
      <c r="C87" s="18">
        <f t="shared" ca="1" si="4"/>
        <v>767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19320327</v>
      </c>
      <c r="C88" s="18">
        <f t="shared" ca="1" si="4"/>
        <v>767.5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19320328</v>
      </c>
      <c r="C89" s="18">
        <f t="shared" ca="1" si="4"/>
        <v>766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19320329</v>
      </c>
      <c r="C90" s="18">
        <f t="shared" ca="1" si="4"/>
        <v>767.5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19320330</v>
      </c>
      <c r="C91" s="18">
        <f t="shared" ca="1" si="4"/>
        <v>767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19320331</v>
      </c>
      <c r="C92" s="18">
        <f t="shared" ca="1" si="4"/>
        <v>766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19320401</v>
      </c>
      <c r="C93" s="18">
        <f t="shared" ca="1" si="4"/>
        <v>766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19320402</v>
      </c>
      <c r="C94" s="18">
        <f t="shared" ca="1" si="4"/>
        <v>767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19320403</v>
      </c>
      <c r="C95" s="18">
        <f t="shared" ca="1" si="4"/>
        <v>765.5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19320404</v>
      </c>
      <c r="C96" s="18">
        <f t="shared" ca="1" si="4"/>
        <v>765.5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19320405</v>
      </c>
      <c r="C97" s="18">
        <f t="shared" ca="1" si="4"/>
        <v>766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19320406</v>
      </c>
      <c r="C98" s="18">
        <f t="shared" ca="1" si="4"/>
        <v>765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19320407</v>
      </c>
      <c r="C99" s="18">
        <f t="shared" ca="1" si="4"/>
        <v>764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19320408</v>
      </c>
      <c r="C100" s="18">
        <f t="shared" ca="1" si="4"/>
        <v>764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19320409</v>
      </c>
      <c r="C101" s="18">
        <f t="shared" ca="1" si="4"/>
        <v>764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19320410</v>
      </c>
      <c r="C102" s="18">
        <f t="shared" ca="1" si="4"/>
        <v>764.5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19320411</v>
      </c>
      <c r="C103" s="18">
        <f t="shared" ca="1" si="4"/>
        <v>764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19320412</v>
      </c>
      <c r="C104" s="18">
        <f t="shared" ca="1" si="4"/>
        <v>765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19320413</v>
      </c>
      <c r="C105" s="18">
        <f t="shared" ca="1" si="4"/>
        <v>765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19320414</v>
      </c>
      <c r="C106" s="18">
        <f t="shared" ca="1" si="4"/>
        <v>764.5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19320415</v>
      </c>
      <c r="C107" s="18">
        <f t="shared" ca="1" si="4"/>
        <v>763.5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19320416</v>
      </c>
      <c r="C108" s="18">
        <f t="shared" ca="1" si="4"/>
        <v>765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19320417</v>
      </c>
      <c r="C109" s="18">
        <f t="shared" ca="1" si="4"/>
        <v>764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19320418</v>
      </c>
      <c r="C110" s="18">
        <f t="shared" ca="1" si="4"/>
        <v>764.5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19320419</v>
      </c>
      <c r="C111" s="18">
        <f t="shared" ca="1" si="4"/>
        <v>763.5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19320420</v>
      </c>
      <c r="C112" s="18">
        <f t="shared" ca="1" si="4"/>
        <v>763.5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19320421</v>
      </c>
      <c r="C113" s="18">
        <f t="shared" ca="1" si="4"/>
        <v>762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19320422</v>
      </c>
      <c r="C114" s="18">
        <f t="shared" ca="1" si="4"/>
        <v>761.5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19320423</v>
      </c>
      <c r="C115" s="18">
        <f t="shared" ca="1" si="4"/>
        <v>762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19320424</v>
      </c>
      <c r="C116" s="18">
        <f t="shared" ca="1" si="4"/>
        <v>763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19320425</v>
      </c>
      <c r="C117" s="18">
        <f t="shared" ca="1" si="4"/>
        <v>764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19320426</v>
      </c>
      <c r="C118" s="18">
        <f t="shared" ca="1" si="4"/>
        <v>765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19320427</v>
      </c>
      <c r="C119" s="18">
        <f t="shared" ca="1" si="4"/>
        <v>764.5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19320428</v>
      </c>
      <c r="C120" s="18">
        <f t="shared" ca="1" si="4"/>
        <v>764.5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19320429</v>
      </c>
      <c r="C121" s="18">
        <f t="shared" ca="1" si="4"/>
        <v>764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19320430</v>
      </c>
      <c r="C122" s="18">
        <f t="shared" ca="1" si="4"/>
        <v>764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19320501</v>
      </c>
      <c r="C123" s="18">
        <f t="shared" ca="1" si="4"/>
        <v>763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19320502</v>
      </c>
      <c r="C124" s="18">
        <f t="shared" ca="1" si="4"/>
        <v>763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19320503</v>
      </c>
      <c r="C125" s="18">
        <f t="shared" ca="1" si="4"/>
        <v>763.5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19320504</v>
      </c>
      <c r="C126" s="18">
        <f t="shared" ca="1" si="4"/>
        <v>764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19320505</v>
      </c>
      <c r="C127" s="18">
        <f t="shared" ca="1" si="4"/>
        <v>764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19320506</v>
      </c>
      <c r="C128" s="18">
        <f t="shared" ca="1" si="4"/>
        <v>760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19320507</v>
      </c>
      <c r="C129" s="18">
        <f t="shared" ca="1" si="4"/>
        <v>763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19320508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763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19320509</v>
      </c>
      <c r="C131" s="18">
        <f t="shared" ca="1" si="7"/>
        <v>763.5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19320510</v>
      </c>
      <c r="C132" s="18">
        <f t="shared" ca="1" si="7"/>
        <v>763.5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19320511</v>
      </c>
      <c r="C133" s="18">
        <f t="shared" ca="1" si="7"/>
        <v>765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19320512</v>
      </c>
      <c r="C134" s="18">
        <f t="shared" ca="1" si="7"/>
        <v>766.5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19320513</v>
      </c>
      <c r="C135" s="18">
        <f t="shared" ca="1" si="7"/>
        <v>766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19320514</v>
      </c>
      <c r="C136" s="18">
        <f t="shared" ca="1" si="7"/>
        <v>765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19320515</v>
      </c>
      <c r="C137" s="18">
        <f t="shared" ca="1" si="7"/>
        <v>765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19320516</v>
      </c>
      <c r="C138" s="18">
        <f t="shared" ca="1" si="7"/>
        <v>764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19320517</v>
      </c>
      <c r="C139" s="18">
        <f t="shared" ca="1" si="7"/>
        <v>766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19320518</v>
      </c>
      <c r="C140" s="18">
        <f t="shared" ca="1" si="7"/>
        <v>766.5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19320519</v>
      </c>
      <c r="C141" s="18">
        <f t="shared" ca="1" si="7"/>
        <v>766.5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19320520</v>
      </c>
      <c r="C142" s="18">
        <f t="shared" ca="1" si="7"/>
        <v>765.5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19320521</v>
      </c>
      <c r="C143" s="18">
        <f t="shared" ca="1" si="7"/>
        <v>765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19320522</v>
      </c>
      <c r="C144" s="18">
        <f t="shared" ca="1" si="7"/>
        <v>765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19320523</v>
      </c>
      <c r="C145" s="18">
        <f t="shared" ca="1" si="7"/>
        <v>765.5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19320524</v>
      </c>
      <c r="C146" s="18">
        <f t="shared" ca="1" si="7"/>
        <v>765.5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19320525</v>
      </c>
      <c r="C147" s="18">
        <f t="shared" ca="1" si="7"/>
        <v>766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19320526</v>
      </c>
      <c r="C148" s="18">
        <f t="shared" ca="1" si="7"/>
        <v>765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19320527</v>
      </c>
      <c r="C149" s="18">
        <f t="shared" ca="1" si="7"/>
        <v>766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19320528</v>
      </c>
      <c r="C150" s="18">
        <f t="shared" ca="1" si="7"/>
        <v>766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19320529</v>
      </c>
      <c r="C151" s="18">
        <f t="shared" ca="1" si="7"/>
        <v>765.5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19320530</v>
      </c>
      <c r="C152" s="18">
        <f t="shared" ca="1" si="7"/>
        <v>765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19320531</v>
      </c>
      <c r="C153" s="18">
        <f t="shared" ca="1" si="7"/>
        <v>765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19320601</v>
      </c>
      <c r="C154" s="18">
        <f t="shared" ca="1" si="7"/>
        <v>763.5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19320602</v>
      </c>
      <c r="C155" s="18">
        <f t="shared" ca="1" si="7"/>
        <v>764.5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19320603</v>
      </c>
      <c r="C156" s="18">
        <f t="shared" ca="1" si="7"/>
        <v>765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19320604</v>
      </c>
      <c r="C157" s="18">
        <f t="shared" ca="1" si="7"/>
        <v>765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19320605</v>
      </c>
      <c r="C158" s="18">
        <f t="shared" ca="1" si="7"/>
        <v>764.5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19320606</v>
      </c>
      <c r="C159" s="18">
        <f t="shared" ca="1" si="7"/>
        <v>764.5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19320607</v>
      </c>
      <c r="C160" s="18">
        <f t="shared" ca="1" si="7"/>
        <v>765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19320608</v>
      </c>
      <c r="C161" s="18">
        <f t="shared" ca="1" si="7"/>
        <v>765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19320609</v>
      </c>
      <c r="C162" s="18">
        <f t="shared" ca="1" si="7"/>
        <v>765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19320610</v>
      </c>
      <c r="C163" s="18">
        <f t="shared" ca="1" si="7"/>
        <v>765.5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19320611</v>
      </c>
      <c r="C164" s="18">
        <f t="shared" ca="1" si="7"/>
        <v>765.5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19320612</v>
      </c>
      <c r="C165" s="18">
        <f t="shared" ca="1" si="7"/>
        <v>765.5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19320613</v>
      </c>
      <c r="C166" s="18">
        <f t="shared" ca="1" si="7"/>
        <v>766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19320614</v>
      </c>
      <c r="C167" s="18">
        <f t="shared" ca="1" si="7"/>
        <v>766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19320615</v>
      </c>
      <c r="C168" s="18">
        <f t="shared" ca="1" si="7"/>
        <v>767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19320616</v>
      </c>
      <c r="C169" s="18">
        <f t="shared" ca="1" si="7"/>
        <v>766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19320617</v>
      </c>
      <c r="C170" s="18">
        <f t="shared" ca="1" si="7"/>
        <v>765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19320618</v>
      </c>
      <c r="C171" s="18">
        <f t="shared" ca="1" si="7"/>
        <v>765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19320619</v>
      </c>
      <c r="C172" s="18">
        <f t="shared" ca="1" si="7"/>
        <v>764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19320620</v>
      </c>
      <c r="C173" s="18">
        <f t="shared" ca="1" si="7"/>
        <v>763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19320621</v>
      </c>
      <c r="C174" s="18">
        <f t="shared" ca="1" si="7"/>
        <v>764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19320622</v>
      </c>
      <c r="C175" s="18">
        <f t="shared" ca="1" si="7"/>
        <v>765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19320623</v>
      </c>
      <c r="C176" s="18">
        <f t="shared" ca="1" si="7"/>
        <v>765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19320624</v>
      </c>
      <c r="C177" s="18">
        <f t="shared" ca="1" si="7"/>
        <v>765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19320625</v>
      </c>
      <c r="C178" s="18">
        <f t="shared" ca="1" si="7"/>
        <v>764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19320626</v>
      </c>
      <c r="C179" s="18">
        <f t="shared" ca="1" si="7"/>
        <v>764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19320627</v>
      </c>
      <c r="C180" s="18">
        <f t="shared" ca="1" si="7"/>
        <v>764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19320628</v>
      </c>
      <c r="C181" s="18">
        <f t="shared" ca="1" si="7"/>
        <v>765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19320629</v>
      </c>
      <c r="C182" s="18">
        <f t="shared" ca="1" si="7"/>
        <v>766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19320630</v>
      </c>
      <c r="C183" s="18">
        <f t="shared" ca="1" si="7"/>
        <v>765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19320701</v>
      </c>
      <c r="C184" s="18">
        <f t="shared" ca="1" si="7"/>
        <v>767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19320702</v>
      </c>
      <c r="C185" s="18">
        <f t="shared" ca="1" si="7"/>
        <v>766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19320703</v>
      </c>
      <c r="C186" s="18">
        <f t="shared" ca="1" si="7"/>
        <v>767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19320704</v>
      </c>
      <c r="C187" s="18">
        <f t="shared" ca="1" si="7"/>
        <v>767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19320705</v>
      </c>
      <c r="C188" s="18">
        <f t="shared" ca="1" si="7"/>
        <v>766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19320706</v>
      </c>
      <c r="C189" s="18">
        <f t="shared" ca="1" si="7"/>
        <v>766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19320707</v>
      </c>
      <c r="C190" s="18">
        <f t="shared" ca="1" si="7"/>
        <v>765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19320708</v>
      </c>
      <c r="C191" s="18">
        <f t="shared" ca="1" si="7"/>
        <v>765.5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19320709</v>
      </c>
      <c r="C192" s="18">
        <f t="shared" ca="1" si="7"/>
        <v>766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19320710</v>
      </c>
      <c r="C193" s="18">
        <f t="shared" ca="1" si="7"/>
        <v>765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19320711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765.5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19320712</v>
      </c>
      <c r="C195" s="18">
        <f t="shared" ca="1" si="10"/>
        <v>766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19320713</v>
      </c>
      <c r="C196" s="18">
        <f t="shared" ca="1" si="10"/>
        <v>766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19320714</v>
      </c>
      <c r="C197" s="18">
        <f t="shared" ca="1" si="10"/>
        <v>766.5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19320715</v>
      </c>
      <c r="C198" s="18">
        <f t="shared" ca="1" si="10"/>
        <v>765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19320716</v>
      </c>
      <c r="C199" s="18">
        <f t="shared" ca="1" si="10"/>
        <v>764.5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19320717</v>
      </c>
      <c r="C200" s="18">
        <f t="shared" ca="1" si="10"/>
        <v>765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19320718</v>
      </c>
      <c r="C201" s="18">
        <f t="shared" ca="1" si="10"/>
        <v>765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19320719</v>
      </c>
      <c r="C202" s="18">
        <f t="shared" ca="1" si="10"/>
        <v>766.5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19320720</v>
      </c>
      <c r="C203" s="18">
        <f t="shared" ca="1" si="10"/>
        <v>767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19320721</v>
      </c>
      <c r="C204" s="18">
        <f t="shared" ca="1" si="10"/>
        <v>766.5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19320722</v>
      </c>
      <c r="C205" s="18">
        <f t="shared" ca="1" si="10"/>
        <v>765.5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19320723</v>
      </c>
      <c r="C206" s="18">
        <f t="shared" ca="1" si="10"/>
        <v>765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19320724</v>
      </c>
      <c r="C207" s="18">
        <f t="shared" ca="1" si="10"/>
        <v>765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19320725</v>
      </c>
      <c r="C208" s="18">
        <f t="shared" ca="1" si="10"/>
        <v>766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19320726</v>
      </c>
      <c r="C209" s="18">
        <f t="shared" ca="1" si="10"/>
        <v>765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19320727</v>
      </c>
      <c r="C210" s="18">
        <f t="shared" ca="1" si="10"/>
        <v>764.5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19320728</v>
      </c>
      <c r="C211" s="18">
        <f t="shared" ca="1" si="10"/>
        <v>764.5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19320729</v>
      </c>
      <c r="C212" s="18">
        <f t="shared" ca="1" si="10"/>
        <v>765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19320730</v>
      </c>
      <c r="C213" s="18">
        <f t="shared" ca="1" si="10"/>
        <v>765.5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19320731</v>
      </c>
      <c r="C214" s="18">
        <f t="shared" ca="1" si="10"/>
        <v>765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19320801</v>
      </c>
      <c r="C215" s="18">
        <f t="shared" ca="1" si="10"/>
        <v>765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19320802</v>
      </c>
      <c r="C216" s="18">
        <f t="shared" ca="1" si="10"/>
        <v>765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19320803</v>
      </c>
      <c r="C217" s="18">
        <f t="shared" ca="1" si="10"/>
        <v>764.5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19320804</v>
      </c>
      <c r="C218" s="18">
        <f t="shared" ca="1" si="10"/>
        <v>764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19320805</v>
      </c>
      <c r="C219" s="18">
        <f t="shared" ca="1" si="10"/>
        <v>764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19320806</v>
      </c>
      <c r="C220" s="18">
        <f t="shared" ca="1" si="10"/>
        <v>764.5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19320807</v>
      </c>
      <c r="C221" s="18">
        <f t="shared" ca="1" si="10"/>
        <v>765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19320808</v>
      </c>
      <c r="C222" s="18">
        <f t="shared" ca="1" si="10"/>
        <v>765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19320809</v>
      </c>
      <c r="C223" s="18">
        <f t="shared" ca="1" si="10"/>
        <v>765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19320810</v>
      </c>
      <c r="C224" s="18">
        <f t="shared" ca="1" si="10"/>
        <v>765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19320811</v>
      </c>
      <c r="C225" s="18">
        <f t="shared" ca="1" si="10"/>
        <v>765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19320812</v>
      </c>
      <c r="C226" s="18">
        <f t="shared" ca="1" si="10"/>
        <v>765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19320813</v>
      </c>
      <c r="C227" s="18">
        <f t="shared" ca="1" si="10"/>
        <v>764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19320814</v>
      </c>
      <c r="C228" s="18">
        <f t="shared" ca="1" si="10"/>
        <v>764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19320815</v>
      </c>
      <c r="C229" s="18">
        <f t="shared" ca="1" si="10"/>
        <v>764.5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19320816</v>
      </c>
      <c r="C230" s="18">
        <f t="shared" ca="1" si="10"/>
        <v>765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19320817</v>
      </c>
      <c r="C231" s="18">
        <f t="shared" ca="1" si="10"/>
        <v>764.5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19320818</v>
      </c>
      <c r="C232" s="18">
        <f t="shared" ca="1" si="10"/>
        <v>764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19320819</v>
      </c>
      <c r="C233" s="18">
        <f t="shared" ca="1" si="10"/>
        <v>764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19320820</v>
      </c>
      <c r="C234" s="18">
        <f t="shared" ca="1" si="10"/>
        <v>764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19320821</v>
      </c>
      <c r="C235" s="18">
        <f t="shared" ca="1" si="10"/>
        <v>764.5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19320822</v>
      </c>
      <c r="C236" s="18">
        <f t="shared" ca="1" si="10"/>
        <v>764.5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19320823</v>
      </c>
      <c r="C237" s="18">
        <f t="shared" ca="1" si="10"/>
        <v>765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19320824</v>
      </c>
      <c r="C238" s="18">
        <f t="shared" ca="1" si="10"/>
        <v>764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19320825</v>
      </c>
      <c r="C239" s="18">
        <f t="shared" ca="1" si="10"/>
        <v>764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19320826</v>
      </c>
      <c r="C240" s="18">
        <f t="shared" ca="1" si="10"/>
        <v>765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19320827</v>
      </c>
      <c r="C241" s="18">
        <f t="shared" ca="1" si="10"/>
        <v>765.5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19320828</v>
      </c>
      <c r="C242" s="18">
        <f t="shared" ca="1" si="10"/>
        <v>764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19320829</v>
      </c>
      <c r="C243" s="18">
        <f t="shared" ca="1" si="10"/>
        <v>764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19320830</v>
      </c>
      <c r="C244" s="18">
        <f t="shared" ca="1" si="10"/>
        <v>765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19320831</v>
      </c>
      <c r="C245" s="18">
        <f t="shared" ca="1" si="10"/>
        <v>765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19320901</v>
      </c>
      <c r="C246" s="18">
        <f t="shared" ca="1" si="10"/>
        <v>764.5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19320902</v>
      </c>
      <c r="C247" s="18">
        <f t="shared" ca="1" si="10"/>
        <v>763.5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19320903</v>
      </c>
      <c r="C248" s="18">
        <f t="shared" ca="1" si="10"/>
        <v>764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19320904</v>
      </c>
      <c r="C249" s="18">
        <f t="shared" ca="1" si="10"/>
        <v>764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19320905</v>
      </c>
      <c r="C250" s="18">
        <f t="shared" ca="1" si="10"/>
        <v>763.5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19320906</v>
      </c>
      <c r="C251" s="18">
        <f t="shared" ca="1" si="10"/>
        <v>765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19320907</v>
      </c>
      <c r="C252" s="18">
        <f t="shared" ca="1" si="10"/>
        <v>765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19320908</v>
      </c>
      <c r="C253" s="18">
        <f t="shared" ca="1" si="10"/>
        <v>764.5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19320909</v>
      </c>
      <c r="C254" s="18">
        <f t="shared" ca="1" si="10"/>
        <v>764.5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19320910</v>
      </c>
      <c r="C255" s="18">
        <f t="shared" ca="1" si="10"/>
        <v>764.5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19320911</v>
      </c>
      <c r="C256" s="18">
        <f t="shared" ca="1" si="10"/>
        <v>765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19320912</v>
      </c>
      <c r="C257" s="18">
        <f t="shared" ca="1" si="10"/>
        <v>765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19320913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19320914</v>
      </c>
      <c r="C259" s="18">
        <f t="shared" ca="1" si="13"/>
        <v>764.5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19320915</v>
      </c>
      <c r="C260" s="18">
        <f t="shared" ca="1" si="13"/>
        <v>765.5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19320916</v>
      </c>
      <c r="C261" s="18">
        <f t="shared" ca="1" si="13"/>
        <v>765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19320917</v>
      </c>
      <c r="C262" s="18">
        <f t="shared" ca="1" si="13"/>
        <v>765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19320918</v>
      </c>
      <c r="C263" s="18">
        <f t="shared" ca="1" si="13"/>
        <v>764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19320919</v>
      </c>
      <c r="C264" s="18">
        <f t="shared" ca="1" si="13"/>
        <v>764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19320920</v>
      </c>
      <c r="C265" s="18">
        <f t="shared" ca="1" si="13"/>
        <v>762.5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19320921</v>
      </c>
      <c r="C266" s="18">
        <f t="shared" ca="1" si="13"/>
        <v>764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19320922</v>
      </c>
      <c r="C267" s="18">
        <f t="shared" ca="1" si="13"/>
        <v>764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19320923</v>
      </c>
      <c r="C268" s="18">
        <f t="shared" ca="1" si="13"/>
        <v>764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19320924</v>
      </c>
      <c r="C269" s="18">
        <f t="shared" ca="1" si="13"/>
        <v>763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19320925</v>
      </c>
      <c r="C270" s="18">
        <f t="shared" ca="1" si="13"/>
        <v>763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19320926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19320927</v>
      </c>
      <c r="C272" s="18">
        <f t="shared" ca="1" si="13"/>
        <v>764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19320928</v>
      </c>
      <c r="C273" s="18">
        <f t="shared" ca="1" si="13"/>
        <v>764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19320929</v>
      </c>
      <c r="C274" s="18">
        <f t="shared" ca="1" si="13"/>
        <v>763.5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19320930</v>
      </c>
      <c r="C275" s="18">
        <f t="shared" ca="1" si="13"/>
        <v>764.5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19321001</v>
      </c>
      <c r="C276" s="18">
        <f t="shared" ca="1" si="13"/>
        <v>763.5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19321002</v>
      </c>
      <c r="C277" s="18">
        <f t="shared" ca="1" si="13"/>
        <v>763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19321003</v>
      </c>
      <c r="C278" s="18">
        <f t="shared" ca="1" si="13"/>
        <v>765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19321004</v>
      </c>
      <c r="C279" s="18">
        <f t="shared" ca="1" si="13"/>
        <v>765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19321005</v>
      </c>
      <c r="C280" s="18">
        <f t="shared" ca="1" si="13"/>
        <v>764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19321006</v>
      </c>
      <c r="C281" s="18">
        <f t="shared" ca="1" si="13"/>
        <v>762.5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19321007</v>
      </c>
      <c r="C282" s="18">
        <f t="shared" ca="1" si="13"/>
        <v>764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19321008</v>
      </c>
      <c r="C283" s="18">
        <f t="shared" ca="1" si="13"/>
        <v>764.5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19321009</v>
      </c>
      <c r="C284" s="18">
        <f t="shared" ca="1" si="13"/>
        <v>764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19321010</v>
      </c>
      <c r="C285" s="18">
        <f t="shared" ca="1" si="13"/>
        <v>764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19321011</v>
      </c>
      <c r="C286" s="18">
        <f t="shared" ca="1" si="13"/>
        <v>762.5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19321012</v>
      </c>
      <c r="C287" s="18">
        <f t="shared" ca="1" si="13"/>
        <v>763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19321013</v>
      </c>
      <c r="C288" s="18">
        <f t="shared" ca="1" si="13"/>
        <v>766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19321014</v>
      </c>
      <c r="C289" s="18">
        <f t="shared" ca="1" si="13"/>
        <v>765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19321015</v>
      </c>
      <c r="C290" s="18">
        <f t="shared" ca="1" si="13"/>
        <v>762.5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19321016</v>
      </c>
      <c r="C291" s="18">
        <f t="shared" ca="1" si="13"/>
        <v>763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19321017</v>
      </c>
      <c r="C292" s="18">
        <f t="shared" ca="1" si="13"/>
        <v>764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19321018</v>
      </c>
      <c r="C293" s="18">
        <f t="shared" ca="1" si="13"/>
        <v>764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19321019</v>
      </c>
      <c r="C294" s="18">
        <f t="shared" ca="1" si="13"/>
        <v>763.5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19321020</v>
      </c>
      <c r="C295" s="18">
        <f t="shared" ca="1" si="13"/>
        <v>762.5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19321021</v>
      </c>
      <c r="C296" s="18">
        <f t="shared" ca="1" si="13"/>
        <v>762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19321022</v>
      </c>
      <c r="C297" s="18">
        <f t="shared" ca="1" si="13"/>
        <v>763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19321023</v>
      </c>
      <c r="C298" s="18">
        <f t="shared" ca="1" si="13"/>
        <v>763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19321024</v>
      </c>
      <c r="C299" s="18">
        <f t="shared" ca="1" si="13"/>
        <v>764.5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19321025</v>
      </c>
      <c r="C300" s="18">
        <f t="shared" ca="1" si="13"/>
        <v>764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19321026</v>
      </c>
      <c r="C301" s="18">
        <f t="shared" ca="1" si="13"/>
        <v>763.5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19321027</v>
      </c>
      <c r="C302" s="18">
        <f t="shared" ca="1" si="13"/>
        <v>764.5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19321028</v>
      </c>
      <c r="C303" s="18">
        <f t="shared" ca="1" si="13"/>
        <v>764.5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19321029</v>
      </c>
      <c r="C304" s="18">
        <f t="shared" ca="1" si="13"/>
        <v>766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19321030</v>
      </c>
      <c r="C305" s="18">
        <f t="shared" ca="1" si="13"/>
        <v>765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19321031</v>
      </c>
      <c r="C306" s="18">
        <f t="shared" ca="1" si="13"/>
        <v>765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19321101</v>
      </c>
      <c r="C307" s="18">
        <f t="shared" ca="1" si="13"/>
        <v>763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19321102</v>
      </c>
      <c r="C308" s="18">
        <f t="shared" ca="1" si="13"/>
        <v>759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19321103</v>
      </c>
      <c r="C309" s="18">
        <f t="shared" ca="1" si="13"/>
        <v>760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19321104</v>
      </c>
      <c r="C310" s="18">
        <f t="shared" ca="1" si="13"/>
        <v>761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19321105</v>
      </c>
      <c r="C311" s="18">
        <f t="shared" ca="1" si="13"/>
        <v>762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19321106</v>
      </c>
      <c r="C312" s="18">
        <f t="shared" ca="1" si="13"/>
        <v>762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19321107</v>
      </c>
      <c r="C313" s="18">
        <f t="shared" ca="1" si="13"/>
        <v>762.5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19321108</v>
      </c>
      <c r="C314" s="18">
        <f t="shared" ca="1" si="13"/>
        <v>762.5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19321109</v>
      </c>
      <c r="C315" s="18">
        <f t="shared" ca="1" si="13"/>
        <v>762.5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19321110</v>
      </c>
      <c r="C316" s="18">
        <f t="shared" ca="1" si="13"/>
        <v>764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19321111</v>
      </c>
      <c r="C317" s="18">
        <f t="shared" ca="1" si="13"/>
        <v>765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19321112</v>
      </c>
      <c r="C318" s="18">
        <f t="shared" ca="1" si="13"/>
        <v>765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19321113</v>
      </c>
      <c r="C319" s="18">
        <f t="shared" ca="1" si="13"/>
        <v>764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19321114</v>
      </c>
      <c r="C320" s="18">
        <f t="shared" ca="1" si="13"/>
        <v>764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19321115</v>
      </c>
      <c r="C321" s="18">
        <f t="shared" ca="1" si="13"/>
        <v>764</v>
      </c>
      <c r="D321" s="17">
        <f t="shared" ca="1" si="14"/>
        <v>0</v>
      </c>
    </row>
    <row r="322" spans="1:4" x14ac:dyDescent="0.25">
      <c r="A322" s="4">
        <f t="shared" ref="A322:A367" si="15">INDEX(Stations,2,1)</f>
        <v>32</v>
      </c>
      <c r="B322" t="str">
        <f ca="1">TEXT(DATE(YEAR(Invoer!$A$5),1,1)+ROWS(B$2:B322)-1,"jjjjmmdd")</f>
        <v>19321116</v>
      </c>
      <c r="C322" s="18">
        <f t="shared" ref="C322:C367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763.5</v>
      </c>
      <c r="D322" s="17">
        <f t="shared" ref="D322:D367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19321117</v>
      </c>
      <c r="C323" s="18">
        <f t="shared" ca="1" si="16"/>
        <v>763.5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19321118</v>
      </c>
      <c r="C324" s="18">
        <f t="shared" ca="1" si="16"/>
        <v>763.5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19321119</v>
      </c>
      <c r="C325" s="18">
        <f t="shared" ca="1" si="16"/>
        <v>764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19321120</v>
      </c>
      <c r="C326" s="18">
        <f t="shared" ca="1" si="16"/>
        <v>765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19321121</v>
      </c>
      <c r="C327" s="18">
        <f t="shared" ca="1" si="16"/>
        <v>765.5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19321122</v>
      </c>
      <c r="C328" s="18">
        <f t="shared" ca="1" si="16"/>
        <v>764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19321123</v>
      </c>
      <c r="C329" s="18">
        <f t="shared" ca="1" si="16"/>
        <v>763.5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19321124</v>
      </c>
      <c r="C330" s="18">
        <f t="shared" ca="1" si="16"/>
        <v>764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19321125</v>
      </c>
      <c r="C331" s="18">
        <f t="shared" ca="1" si="16"/>
        <v>764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19321126</v>
      </c>
      <c r="C332" s="18">
        <f t="shared" ca="1" si="16"/>
        <v>764.5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19321127</v>
      </c>
      <c r="C333" s="18">
        <f t="shared" ca="1" si="16"/>
        <v>764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19321128</v>
      </c>
      <c r="C334" s="18">
        <f t="shared" ca="1" si="16"/>
        <v>764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19321129</v>
      </c>
      <c r="C335" s="18">
        <f t="shared" ca="1" si="16"/>
        <v>763.5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19321130</v>
      </c>
      <c r="C336" s="18">
        <f t="shared" ca="1" si="16"/>
        <v>763.5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19321201</v>
      </c>
      <c r="C337" s="18">
        <f t="shared" ca="1" si="16"/>
        <v>764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19321202</v>
      </c>
      <c r="C338" s="18">
        <f t="shared" ca="1" si="16"/>
        <v>764.5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19321203</v>
      </c>
      <c r="C339" s="18">
        <f t="shared" ca="1" si="16"/>
        <v>764.5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19321204</v>
      </c>
      <c r="C340" s="18">
        <f t="shared" ca="1" si="16"/>
        <v>764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19321205</v>
      </c>
      <c r="C341" s="18">
        <f t="shared" ca="1" si="16"/>
        <v>764.5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19321206</v>
      </c>
      <c r="C342" s="18">
        <f t="shared" ca="1" si="16"/>
        <v>764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19321207</v>
      </c>
      <c r="C343" s="18">
        <f t="shared" ca="1" si="16"/>
        <v>764.5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19321208</v>
      </c>
      <c r="C344" s="18">
        <f t="shared" ca="1" si="16"/>
        <v>764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19321209</v>
      </c>
      <c r="C345" s="18">
        <f t="shared" ca="1" si="16"/>
        <v>764.5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19321210</v>
      </c>
      <c r="C346" s="18">
        <f t="shared" ca="1" si="16"/>
        <v>764.5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19321211</v>
      </c>
      <c r="C347" s="18">
        <f t="shared" ca="1" si="16"/>
        <v>764.5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19321212</v>
      </c>
      <c r="C348" s="18">
        <f t="shared" ca="1" si="16"/>
        <v>764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19321213</v>
      </c>
      <c r="C349" s="18">
        <f t="shared" ca="1" si="16"/>
        <v>765.5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19321214</v>
      </c>
      <c r="C350" s="18">
        <f t="shared" ca="1" si="16"/>
        <v>766.5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19321215</v>
      </c>
      <c r="C351" s="18">
        <f t="shared" ca="1" si="16"/>
        <v>767.5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19321216</v>
      </c>
      <c r="C352" s="18">
        <f t="shared" ca="1" si="16"/>
        <v>767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19321217</v>
      </c>
      <c r="C353" s="18">
        <f t="shared" ca="1" si="16"/>
        <v>766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19321218</v>
      </c>
      <c r="C354" s="18">
        <f t="shared" ca="1" si="16"/>
        <v>764.5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19321219</v>
      </c>
      <c r="C355" s="18">
        <f t="shared" ca="1" si="16"/>
        <v>765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19321220</v>
      </c>
      <c r="C356" s="18">
        <f t="shared" ca="1" si="16"/>
        <v>765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19321221</v>
      </c>
      <c r="C357" s="18">
        <f t="shared" ca="1" si="16"/>
        <v>766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19321222</v>
      </c>
      <c r="C358" s="18">
        <f t="shared" ca="1" si="16"/>
        <v>765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19321223</v>
      </c>
      <c r="C359" s="18">
        <f t="shared" ca="1" si="16"/>
        <v>765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19321224</v>
      </c>
      <c r="C360" s="18">
        <f t="shared" ca="1" si="16"/>
        <v>765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19321225</v>
      </c>
      <c r="C361" s="18">
        <f t="shared" ca="1" si="16"/>
        <v>765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19321226</v>
      </c>
      <c r="C362" s="18">
        <f t="shared" ca="1" si="16"/>
        <v>766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19321227</v>
      </c>
      <c r="C363" s="18">
        <f t="shared" ca="1" si="16"/>
        <v>766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19321228</v>
      </c>
      <c r="C364" s="18">
        <f t="shared" ca="1" si="16"/>
        <v>765.5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19321229</v>
      </c>
      <c r="C365" s="18">
        <f t="shared" ca="1" si="16"/>
        <v>765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19321230</v>
      </c>
      <c r="C366" s="18">
        <f t="shared" ca="1" si="16"/>
        <v>765</v>
      </c>
      <c r="D366" s="17">
        <f t="shared" ca="1" si="17"/>
        <v>0</v>
      </c>
    </row>
    <row r="367" spans="1:4" x14ac:dyDescent="0.25">
      <c r="A367" s="4">
        <f t="shared" si="15"/>
        <v>32</v>
      </c>
      <c r="B367" t="str">
        <f ca="1">TEXT(DATE(YEAR(Invoer!$A$5),1,1)+ROWS(B$2:B367)-1,"jjjjmmdd")</f>
        <v>19321231</v>
      </c>
      <c r="C367" s="18">
        <f t="shared" ca="1" si="16"/>
        <v>765</v>
      </c>
      <c r="D367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032, 19320101, 1,    0, 00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032, 19320102, 1,    0, 00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032, 19320103, 1,    0, 00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032, 19320104, 1,    0, 00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032, 19320105, 1,    0, 00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032, 19320106, 1,    0, 00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032, 19320107, 1,    0, 00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032, 19320108, 1,    0, 00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032, 19320109, 1,    0, 00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032, 19320110, 1,    0, 00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032, 19320111, 1,    0, 00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032, 19320112, 1,   35, 00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032, 19320113, 1,   18, 00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032, 19320114, 1,   36, 00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032, 19320115, 1,    0, 00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032, 19320116, 1,    0, 00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032, 19320117, 1,    0, 00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032, 19320118, 1,    0, 00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032, 19320119, 1,   24, 00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032, 19320120, 1,    0, 00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032, 19320121, 1,    0, 00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032, 19320122, 1,    0, 00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032, 19320123, 1,    9, 00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032, 19320124, 1,    0, 00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032, 19320125, 1,  220, 00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032, 19320126, 1,   18, 00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032, 19320127, 1,   28, 00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032, 19320128, 1,   42, 00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032, 19320129, 1,   44, 00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032, 19320130, 1,    0, 00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032, 19320131, 1,    0, 00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032, 19320201, 1,    0, 00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032, 19320202, 1,    0, 00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032, 19320203, 1,    0, 00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032, 19320204, 1,    0, 00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032, 19320205, 1,    0, 00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032, 19320206, 1,    0, 00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032, 19320207, 1,    0, 00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032, 19320208, 1,    0, 00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032, 19320209, 1,    4, 00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032, 19320210, 1,    0, 00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032, 19320211, 1,    0, 00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032, 19320212, 1,    0, 00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032, 19320213, 1,    0, 00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032, 19320214, 1,    0, 00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032, 19320215, 1,   35, 00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032, 19320216, 1,    0, 00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032, 19320217, 1,    0, 00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032, 19320218, 1,    0, 00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032, 19320219, 1,    0, 00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032, 19320220, 1,    0, 00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032, 19320221, 1,    0, 00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032, 19320222, 1,    0, 00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032, 19320223, 1,    0, 00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032, 19320224, 1,    0, 00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032, 19320225, 1,    0, 00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032, 19320226, 1,    0, 00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032, 19320227, 1,    0, 00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032, 19320228, 1,    0, 00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032, 19320229, 1,    0, 00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032, 19320301, 1,    0, 00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032, 19320302, 1,    0, 00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032, 19320303, 1,    0, 00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032, 19320304, 1,    0, 00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032, 19320305, 1,    0, 00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032, 19320306, 1,    0, 00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032, 19320307, 1,    0, 00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032, 19320308, 1,  100, 00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032, 19320309, 1,    0, 00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032, 19320310, 1,    4, 00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032, 19320311, 1,    0, 00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032, 19320312, 1,    0, 00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032, 19320313, 1,    0, 00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032, 19320314, 1,    0, 00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032, 19320315, 1,    0, 00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032, 19320316, 1,    0, 00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032, 19320317, 1,    0, 00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032, 19320318, 1,    0, 00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032, 19320319, 1,    0, 00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032, 19320320, 1,    0, 00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032, 19320321, 1,    0, 00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032, 19320322, 1,    0, 00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032, 19320323, 1,    0, 00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032, 19320324, 1,    0, 00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032, 19320325, 1,    0, 00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032, 19320326, 1,    0, 00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032, 19320327, 1,    0, 00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032, 19320328, 1,    0, 00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032, 19320329, 1,    0, 00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032, 19320330, 1,    0, 00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032, 19320331, 1,    0, 00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032, 19320401, 1,    0, 00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032, 19320402, 1,    0, 00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032, 19320403, 1,    0, 00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032, 19320404, 1,    0, 00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032, 19320405, 1,    0, 00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032, 19320406, 1,   10, 00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032, 19320407, 1,    0, 00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032, 19320408, 1,    0, 00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032, 19320409, 1,    0, 00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032, 19320410, 1,    0, 00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032, 19320411, 1,    0, 00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032, 19320412, 1,    0, 00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032, 19320413, 1,    0, 00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032, 19320414, 1,    0, 00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032, 19320415, 1,    0, 00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032, 19320416, 1,    0, 00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032, 19320417, 1,    0, 00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032, 19320418, 1,    0, 00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032, 19320419, 1,    0, 00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032, 19320420, 1,    0, 00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032, 19320421, 1,    0, 00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032, 19320422, 1,    0, 00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032, 19320423, 1,    0, 00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032, 19320424, 1,    0, 00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032, 19320425, 1,    0, 00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032, 19320426, 1,    0, 00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032, 19320427, 1,    0, 00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032, 19320428, 1,    0, 00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032, 19320429, 1,    0, 00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032, 19320430, 1,    0, 00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032, 19320501, 1,    0, 00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032, 19320502, 1,    0, 00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032, 19320503, 1,    0, 00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032, 19320504, 1,    0, 00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032, 19320505, 1,    0, 00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032, 19320506, 1,    0, 00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032, 19320507, 1,    0, 00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032, 19320508, 1,    0, 00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032, 19320509, 1,    0, 00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032, 19320510, 1,   37, 00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032, 19320511, 1, 1086, 00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032, 19320512, 1,    7, 00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032, 19320513, 1,    0, 00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032, 19320514, 1,    0, 00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032, 19320515, 1,    0, 00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032, 19320516, 1,    0, 00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032, 19320517, 1,    0, 00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032, 19320518, 1,    0, 00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032, 19320519, 1,    0, 00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032, 19320520, 1,    0, 00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032, 19320521, 1,    0, 00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032, 19320522, 1,    0, 00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032, 19320523, 1,    0, 00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032, 19320524, 1,    0, 00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032, 19320525, 1,   25, 00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032, 19320526, 1,    2, 00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032, 19320527, 1,    0, 00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032, 19320528, 1,    0, 00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032, 19320529, 1,    0, 00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032, 19320530, 1,    0, 00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032, 19320531, 1,    0, 00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032, 19320601, 1,    0, 00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032, 19320602, 1,    0, 00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032, 19320603, 1,    0, 00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032, 19320604, 1,    0, 00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032, 19320605, 1,    0, 00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032, 19320606, 1,    0, 00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032, 19320607, 1,    0, 00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032, 19320608, 1,    0, 00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032, 19320609, 1,    0, 00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032, 19320610, 1,    0, 00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032, 19320611, 1,    0, 00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032, 19320612, 1,    0, 00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032, 19320613, 1,    0, 00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032, 19320614, 1,    0, 00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032, 19320615, 1,    0, 00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032, 19320616, 1,    0, 00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032, 19320617, 1,    0, 00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032, 19320618, 1,    0, 00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032, 19320619, 1,    0, 00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032, 19320620, 1,    0, 00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032, 19320621, 1,    0, 00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032, 19320622, 1,    0, 00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032, 19320623, 1,    0, 00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032, 19320624, 1,   25, 00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032, 19320625, 1,    0, 00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032, 19320626, 1,   78, 00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032, 19320627, 1,    0, 00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032, 19320628, 1,   30, 00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032, 19320629, 1,   32, 00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032, 19320630, 1,    0, 00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032, 19320701, 1,    0, 00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032, 19320702, 1,   32, 00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032, 19320703, 1,    0, 00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032, 19320704, 1,    0, 00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032, 19320705, 1,    0, 00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032, 19320706, 1,   52, 00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032, 19320707, 1,   33, 00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032, 19320708, 1,    0, 00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032, 19320709, 1,    4, 00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032, 19320710, 1,    0, 00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032, 19320711, 1,    0, 00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032, 19320712, 1,    0, 00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032, 19320713, 1,    0, 00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032, 19320714, 1,    0, 00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032, 19320715, 1,    0, 00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032, 19320716, 1,    0, 00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032, 19320717, 1,    0, 00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032, 19320718, 1,    0, 00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032, 19320719, 1,    0, 00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032, 19320720, 1,    0, 00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032, 19320721, 1,    0, 00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032, 19320722, 1,    0, 00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032, 19320723, 1,    0, 00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032, 19320724, 1,    0, 00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032, 19320725, 1,    0, 00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032, 19320726, 1,    0, 00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032, 19320727, 1,    0, 00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032, 19320728, 1,    0, 00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032, 19320729, 1,    0, 00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032, 19320730, 1,    0, 00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032, 19320731, 1,    0, 00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032, 19320801, 1,    0, 00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032, 19320802, 1,    0, 00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032, 19320803, 1,    0, 00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032, 19320804, 1,    0, 00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032, 19320805, 1,    0, 00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032, 19320806, 1,    0, 00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032, 19320807, 1,    0, 00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032, 19320808, 1,    0, 00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032, 19320809, 1,    0, 00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032, 19320810, 1,    0, 00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032, 19320811, 1,   46, 00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032, 19320812, 1,   23, 00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032, 19320813, 1,    0, 00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032, 19320814, 1,    0, 00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032, 19320815, 1,    0, 00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032, 19320816, 1,    0, 00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032, 19320817, 1,    0, 00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032, 19320818, 1,   49, 00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032, 19320819, 1,    0, 00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032, 19320820, 1,    0, 00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032, 19320821, 1,    0, 00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032, 19320822, 1,    0, 00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032, 19320823, 1,    0, 00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032, 19320824, 1,    0, 00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032, 19320825, 1,    0, 00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032, 19320826, 1,    0, 00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032, 19320827, 1,    0, 00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032, 19320828, 1,    0, 00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032, 19320829, 1,    0, 00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032, 19320830, 1,    0, 00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032, 19320831, 1,    0, 00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032, 19320901, 1,    0, 00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032, 19320902, 1,    0, 00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032, 19320903, 1,    0, 00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032, 19320904, 1,    0, 00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032, 19320905, 1,    0, 00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032, 19320906, 1,    0, 00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032, 19320907, 1,    0, 00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032, 19320908, 1,    0, 00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032, 19320909, 1,    0, 00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032, 19320910, 1,    0, 00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032, 19320911, 1,    0, 00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032, 19320912, 1,    0, 00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032, 19320913, 1,    0, 00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032, 19320914, 1,    0, 00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032, 19320915, 1,    0, 00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032, 19320916, 1,    0, 00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032, 19320917, 1,    0, 00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032, 19320918, 1,    0, 00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032, 19320919, 1,    0, 00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032, 19320920, 1,    0, 00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032, 19320921, 1,    0, 00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032, 19320922, 1,   94, 00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032, 19320923, 1,    0, 00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032, 19320924, 1,    0, 00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032, 19320925, 1,    0, 00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032, 19320926, 1,    0, 00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032, 19320927, 1,    0, 00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032, 19320928, 1,    0, 00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032, 19320929, 1,    0, 00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032, 19320930, 1,    9, 00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032, 19321001, 1,    0, 00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032, 19321002, 1,    0, 00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032, 19321003, 1,    0, 00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032, 19321004, 1,    0, 00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032, 19321005, 1,   27, 00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032, 19321006, 1,   30, 00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032, 19321007, 1,    0, 00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032, 19321008, 1,    0, 00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032, 19321009, 1,    0, 00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032, 19321010, 1,   15, 00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032, 19321011, 1,  782, 00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032, 19321012, 1,    0, 00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032, 19321013, 1,    0, 00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032, 19321014, 1,   12, 00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032, 19321015, 1,  266, 00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032, 19321016, 1,  962, 00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032, 19321017, 1,    0, 00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032, 19321018, 1,    0, 00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032, 19321019, 1,    0, 00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032, 19321020, 1,    0, 00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032, 19321021, 1,    0, 00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032, 19321022, 1,    0, 00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032, 19321023, 1,    0, 00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032, 19321024, 1,   69, 00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032, 19321025, 1,    0, 00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032, 19321026, 1,    0, 00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032, 19321027, 1,    0, 00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032, 19321028, 1,    0, 00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032, 19321029, 1,    0, 00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032, 19321030, 1,    0, 00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032, 19321031, 1,  153, 00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032, 19321101, 1, 1446, 00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032, 19321102, 1,  925, 00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032, 19321103, 1,  295, 00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032, 19321104, 1,    0, 00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032, 19321105, 1,    0, 00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032, 19321106, 1,    0, 00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032, 19321107, 1,    0, 00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032, 19321108, 1,    0, 00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032, 19321109, 1,    0, 00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032, 19321110, 1,    0, 00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032, 19321111, 1,    0, 00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032, 19321112, 1,    0, 00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032, 19321113, 1,  166, 00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032, 19321114, 1,    0, 00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032, 19321115, 1,    0, 00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032, 19321116, 1,    0, 00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032, 19321117, 1,    0, 00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032, 19321118, 1,   16, 00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032, 19321119, 1,    0, 00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032, 19321120, 1,  375, 00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032, 19321121, 1,  562, 00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032, 19321122, 1,  131, 00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032, 19321123, 1,    0, 00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032, 19321124, 1,    0, 00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032, 19321125, 1,    0, 00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032, 19321126, 1,    0, 00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032, 19321127, 1,    0, 00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032, 19321128, 1,    0, 00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032, 19321129, 1,   88, 00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032, 19321130, 1,   42, 00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032, 19321201, 1,   40, 00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032, 19321202, 1,    0, 00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032, 19321203, 1,    0, 00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032, 19321204, 1,    0, 00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032, 19321205, 1,    0, 00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032, 19321206, 1,   33, 00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032, 19321207, 1,   34, 00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032, 19321208, 1,    4, 00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032, 19321209, 1,   32, 00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032, 19321210, 1,    0, 00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032, 19321211, 1,   26, 00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032, 19321212, 1,    0, 00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032, 19321213, 1,    0, 00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032, 19321214, 1,    2, 00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032, 19321215, 1,   17, 00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032, 19321216, 1,   15, 00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032, 19321217, 1,   81, 00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032, 19321218, 1,    0, 00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032, 19321219, 1,   90, 00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032, 19321220, 1,   55, 00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032, 19321221, 1,  148, 00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032, 19321222, 1,    8, 00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032, 19321223, 1,   23, 00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032, 19321224, 1,    0, 00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032, 19321225, 1,    0, 00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032, 19321226, 1,    0, 00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032, 19321227, 1,   95, 00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032, 19321228, 1,   34, 00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032, 19321229, 1,    0, 00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032, 19321230, 1,    0, 00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032, 19321231, 1,   10, 00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032, 19320101, 7650, 00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032, 19320102, 7650, 00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032, 19320103, 7650, 00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032, 19320104, 7665, 00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032, 19320105, 7665, 00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032, 19320106, 7670, 00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032, 19320107, 7665, 00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032, 19320108, 7660, 00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032, 19320109, 7660, 00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032, 19320110, 7660, 00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032, 19320111, 7680, 00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032, 19320112, 7675, 00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032, 19320113, 7680, 00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032, 19320114, 7670, 00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032, 19320115, 7655, 00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032, 19320116, 7660, 00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032, 19320117, 7655, 00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032, 19320118, 7665, 00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032, 19320119, 7665, 00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032, 19320120, 7670, 00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032, 19320121, 7665, 00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032, 19320122, 7655, 00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032, 19320123, 7655, 00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032, 19320124, 7670, 00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032, 19320125, 7670, 00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032, 19320126, 7680, 00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032, 19320127, 7680, 00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032, 19320128, 7670, 00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032, 19320129, 7665, 00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032, 19320130, 7665, 00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032, 19320131, 7670, 00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032, 19320201, 7680, 00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032, 19320202, 7675, 00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032, 19320203, 7670, 00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032, 19320204, 7685, 00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032, 19320205, 7690, 00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032, 19320206, 7675, 00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032, 19320207, 7670, 00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032, 19320208, 7680, 00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032, 19320209, 7675, 00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032, 19320210, 7670, 00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032, 19320211, 7655, 00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032, 19320212, 7665, 00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032, 19320213, 7660, 00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032, 19320214, 7650, 00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032, 19320215, 7655, 00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032, 19320216, 7660, 00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032, 19320217, 7660, 00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032, 19320218, 7670, 00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032, 19320219, 7670, 00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032, 19320220, 7675, 00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032, 19320221, 7665, 00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032, 19320222, 7670, 00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032, 19320223, 7670, 00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032, 19320224, 7675, 00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032, 19320225, 7675, 00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032, 19320226, 7655, 00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032, 19320227, 7670, 00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032, 19320228, 7655, 00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032, 19320229, 7665, 00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032, 19320301, 7650, 00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032, 19320302, 7645, 00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032, 19320303, 7655, 00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032, 19320304, 7650, 00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032, 19320305, 7645, 00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032, 19320306, 7655, 00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032, 19320307, 7655, 00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032, 19320308, 7665, 00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032, 19320309, 7660, 00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032, 19320310, 7660, 00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032, 19320311, 7670, 00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032, 19320312, 7660, 00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032, 19320313, 7660, 00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032, 19320314, 7655, 00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032, 19320315, 7670, 00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032, 19320316, 7670, 00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032, 19320317, 7665, 00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032, 19320318, 7660, 00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032, 19320319, 7660, 00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032, 19320320, 7670, 00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032, 19320321, 7670, 00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032, 19320322, 7665, 00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032, 19320323, 7670, 00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032, 19320324, 7685, 00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032, 19320325, 7670, 00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032, 19320326, 7670, 00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032, 19320327, 7675, 00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032, 19320328, 7660, 00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032, 19320329, 7675, 00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032, 19320330, 7670, 00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032, 19320331, 7660, 00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032, 19320401, 7660, 00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032, 19320402, 7670, 00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032, 19320403, 7655, 00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032, 19320404, 7655, 00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032, 19320405, 7660, 00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032, 19320406, 7650, 00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032, 19320407, 7640, 00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032, 19320408, 7640, 00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032, 19320409, 7640, 00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032, 19320410, 7645, 00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032, 19320411, 7640, 00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032, 19320412, 7650, 00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032, 19320413, 7650, 00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032, 19320414, 7645, 00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032, 19320415, 7635, 00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032, 19320416, 7650, 00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032, 19320417, 7640, 00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032, 19320418, 7645, 00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032, 19320419, 7635, 00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032, 19320420, 7635, 00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032, 19320421, 7620, 00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032, 19320422, 7615, 00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032, 19320423, 7620, 00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032, 19320424, 7630, 00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032, 19320425, 7640, 00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032, 19320426, 7650, 00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032, 19320427, 7645, 00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032, 19320428, 7645, 00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032, 19320429, 7640, 00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032, 19320430, 7640, 00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032, 19320501, 7630, 00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032, 19320502, 7630, 00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032, 19320503, 7635, 00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032, 19320504, 7640, 00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032, 19320505, 7640, 00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032, 19320506, 7600, 00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032, 19320507, 7630, 00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032, 19320508, 7630, 00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032, 19320509, 7635, 00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032, 19320510, 7635, 00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032, 19320511, 7650, 00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032, 19320512, 7665, 00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032, 19320513, 7660, 00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032, 19320514, 7650, 00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032, 19320515, 7650, 00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032, 19320516, 7640, 00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032, 19320517, 7660, 00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032, 19320518, 7665, 00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032, 19320519, 7665, 00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032, 19320520, 7655, 00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032, 19320521, 7650, 00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032, 19320522, 7650, 00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032, 19320523, 7655, 00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032, 19320524, 7655, 00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032, 19320525, 7660, 00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032, 19320526, 7650, 00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032, 19320527, 7660, 00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032, 19320528, 7660, 00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032, 19320529, 7655, 00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032, 19320530, 7650, 00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032, 19320531, 7650, 00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032, 19320601, 7635, 00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032, 19320602, 7645, 00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032, 19320603, 7650, 00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032, 19320604, 7650, 00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032, 19320605, 7645, 00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032, 19320606, 7645, 00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032, 19320607, 7650, 00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032, 19320608, 7650, 00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032, 19320609, 7650, 00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032, 19320610, 7655, 00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032, 19320611, 7655, 00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032, 19320612, 7655, 00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032, 19320613, 7660, 00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032, 19320614, 7660, 00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032, 19320615, 7670, 00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032, 19320616, 7660, 00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032, 19320617, 7650, 00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032, 19320618, 7650, 00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032, 19320619, 7640, 00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032, 19320620, 7630, 00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032, 19320621, 7640, 00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032, 19320622, 7650, 00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032, 19320623, 7650, 00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032, 19320624, 7650, 00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032, 19320625, 7640, 00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032, 19320626, 7640, 00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032, 19320627, 7640, 00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032, 19320628, 7650, 00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032, 19320629, 7660, 00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032, 19320630, 7650, 00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032, 19320701, 7670, 00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032, 19320702, 7660, 00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032, 19320703, 7670, 00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032, 19320704, 7670, 00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032, 19320705, 7660, 00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032, 19320706, 7660, 00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032, 19320707, 7650, 00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032, 19320708, 7655, 00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032, 19320709, 7660, 00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032, 19320710, 7650, 00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032, 19320711, 7655, 00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032, 19320712, 7660, 00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032, 19320713, 7660, 00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032, 19320714, 7665, 00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032, 19320715, 7650, 00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032, 19320716, 7645, 00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032, 19320717, 7650, 00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032, 19320718, 7650, 00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032, 19320719, 7665, 00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032, 19320720, 7670, 00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032, 19320721, 7665, 00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032, 19320722, 7655, 00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032, 19320723, 7650, 00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032, 19320724, 7650, 00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032, 19320725, 7660, 00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032, 19320726, 7650, 00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032, 19320727, 7645, 00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032, 19320728, 7645, 00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032, 19320729, 7650, 00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032, 19320730, 7655, 00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032, 19320731, 7650, 00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032, 19320801, 7650, 00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032, 19320802, 7650, 00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032, 19320803, 7645, 00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032, 19320804, 7640, 00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032, 19320805, 7640, 00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032, 19320806, 7645, 00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032, 19320807, 7650, 00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032, 19320808, 7650, 00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032, 19320809, 7650, 00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032, 19320810, 7650, 00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032, 19320811, 7650, 00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032, 19320812, 7650, 00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032, 19320813, 7640, 00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032, 19320814, 7640, 00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032, 19320815, 7645, 00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032, 19320816, 7650, 00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032, 19320817, 7645, 00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032, 19320818, 7640, 00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032, 19320819, 7640, 00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032, 19320820, 7640, 00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032, 19320821, 7645, 00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032, 19320822, 7645, 00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032, 19320823, 7650, 00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032, 19320824, 7640, 00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032, 19320825, 7640, 00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032, 19320826, 7650, 00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032, 19320827, 7655, 00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032, 19320828, 7640, 00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032, 19320829, 7640, 00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032, 19320830, 7650, 00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032, 19320831, 7650, 00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032, 19320901, 7645, 00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032, 19320902, 7635, 00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032, 19320903, 7640, 00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032, 19320904, 7640, 00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032, 19320905, 7635, 00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032, 19320906, 7650, 00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032, 19320907, 7650, 00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032, 19320908, 7645, 00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032, 19320909, 7645, 00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032, 19320910, 7645, 00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032, 19320911, 7650, 00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032, 19320912, 7650, 00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032, 19320913, 7650, 00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032, 19320914, 7645, 00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032, 19320915, 7655, 00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032, 19320916, 7650, 00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032, 19320917, 7650, 00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032, 19320918, 7640, 00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032, 19320919, 7640, 00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032, 19320920, 7625, 00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032, 19320921, 7640, 00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032, 19320922, 7640, 00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032, 19320923, 7640, 00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032, 19320924, 7630, 00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032, 19320925, 7630, 00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032, 19320926, 7640, 00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032, 19320927, 7640, 00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032, 19320928, 7640, 00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032, 19320929, 7635, 00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032, 19320930, 7645, 00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032, 19321001, 7635, 00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032, 19321002, 7630, 00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032, 19321003, 7650, 00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032, 19321004, 7650, 00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032, 19321005, 7640, 00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032, 19321006, 7625, 00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032, 19321007, 7640, 00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032, 19321008, 7645, 00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032, 19321009, 7640, 00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032, 19321010, 7640, 00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032, 19321011, 7625, 00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032, 19321012, 7630, 00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032, 19321013, 7660, 00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032, 19321014, 7650, 00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032, 19321015, 7625, 00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032, 19321016, 7630, 00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032, 19321017, 7640, 00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032, 19321018, 7640, 00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032, 19321019, 7635, 00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032, 19321020, 7625, 00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032, 19321021, 7620, 00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032, 19321022, 7630, 00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032, 19321023, 7630, 00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032, 19321024, 7645, 00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032, 19321025, 7640, 00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032, 19321026, 7635, 00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032, 19321027, 7645, 00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032, 19321028, 7645, 00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032, 19321029, 7660, 00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032, 19321030, 7650, 00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032, 19321031, 7650, 00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032, 19321101, 7630, 00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032, 19321102, 7590, 00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032, 19321103, 7600, 00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032, 19321104, 7610, 00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032, 19321105, 7620, 00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032, 19321106, 7620, 00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032, 19321107, 7625, 00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032, 19321108, 7625, 00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032, 19321109, 7625, 00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032, 19321110, 7640, 00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032, 19321111, 7650, 00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032, 19321112, 7650, 00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032, 19321113, 7640, 00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032, 19321114, 7640, 00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032, 19321115, 7640, 00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032, 19321116, 7635, 00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032, 19321117, 7635, 00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032, 19321118, 7635, 00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032, 19321119, 7640, 00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032, 19321120, 7650, 00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032, 19321121, 7655, 00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032, 19321122, 7640, 00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032, 19321123, 7635, 00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032, 19321124, 7640, 00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032, 19321125, 7640, 00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032, 19321126, 7645, 00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032, 19321127, 7640, 00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032, 19321128, 7640, 00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032, 19321129, 7635, 00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032, 19321130, 7635, 00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032, 19321201, 7640, 00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032, 19321202, 7645, 00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032, 19321203, 7645, 00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032, 19321204, 7640, 00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032, 19321205, 7645, 00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032, 19321206, 7640, 00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032, 19321207, 7645, 00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032, 19321208, 7640, 00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032, 19321209, 7645, 00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032, 19321210, 7645, 00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032, 19321211, 7645, 00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032, 19321212, 7640, 00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032, 19321213, 7655, 00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032, 19321214, 7665, 00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032, 19321215, 7675, 00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032, 19321216, 7670, 00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032, 19321217, 7660, 00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032, 19321218, 7645, 00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032, 19321219, 7650, 00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032, 19321220, 7650, 00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032, 19321221, 7660, 00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032, 19321222, 7650, 00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032, 19321223, 7650, 00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032, 19321224, 7650, 00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032, 19321225, 7650, 00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032, 19321226, 7660, 00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032, 19321227, 7660, 00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032, 19321228, 7655, 00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032, 19321229, 7650, 00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032, 19321230, 7650, 00</v>
      </c>
    </row>
    <row r="367" spans="1:1" x14ac:dyDescent="0.25">
      <c r="A367" s="12" t="str">
        <f ca="1">TEXT(Overig!A367,"000\,")&amp;TEXT(Overig!B367,"?00000000")&amp;SUBSTITUTE(TEXT(IF(ISTEXT(Overig!C367),Overig!C367,10*Overig!C367),""",""????0;"",""???-0;"",""????0;"", ////"""),"'","""")&amp;SUBSTITUTE(TEXT(Overig!D367,""",""?00;"",""?-00;"",""?00;"", //"""),"'","""")</f>
        <v>032, 19321231, 7650, 00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2015-10-21T13:11:47Z</dcterms:modified>
</cp:coreProperties>
</file>