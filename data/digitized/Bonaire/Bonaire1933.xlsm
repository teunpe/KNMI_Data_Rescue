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Invoer!$A$2:$H$381</definedName>
    <definedName name="Catalogus">Info!$J$3:$P$4</definedName>
    <definedName name="Data">Invoer!$A$3:$H$381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G381" i="1" l="1"/>
  <c r="G349" i="1"/>
  <c r="G318" i="1"/>
  <c r="G286" i="1"/>
  <c r="G255" i="1"/>
  <c r="G223" i="1"/>
  <c r="G191" i="1"/>
  <c r="G160" i="1"/>
  <c r="G128" i="1"/>
  <c r="G97" i="1"/>
  <c r="G65" i="1"/>
  <c r="G36" i="1"/>
  <c r="C381" i="1" l="1"/>
  <c r="B381" i="1"/>
  <c r="C349" i="1"/>
  <c r="B349" i="1"/>
  <c r="C318" i="1"/>
  <c r="B318" i="1"/>
  <c r="C286" i="1"/>
  <c r="B286" i="1"/>
  <c r="C255" i="1"/>
  <c r="B255" i="1"/>
  <c r="A427" i="3" l="1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C2" i="3"/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C223" i="1"/>
  <c r="B223" i="1"/>
  <c r="E191" i="1"/>
  <c r="D191" i="1"/>
  <c r="C191" i="1"/>
  <c r="B191" i="1"/>
  <c r="E160" i="1"/>
  <c r="D160" i="1"/>
  <c r="C160" i="1"/>
  <c r="B160" i="1"/>
  <c r="E128" i="1"/>
  <c r="D128" i="1"/>
  <c r="C128" i="1"/>
  <c r="B128" i="1"/>
  <c r="E97" i="1"/>
  <c r="D97" i="1"/>
  <c r="C97" i="1"/>
  <c r="B97" i="1"/>
  <c r="E65" i="1"/>
  <c r="D65" i="1"/>
  <c r="C65" i="1"/>
  <c r="B65" i="1"/>
  <c r="E36" i="1"/>
  <c r="D36" i="1"/>
  <c r="C36" i="1"/>
  <c r="B36" i="1"/>
  <c r="A1" i="6" l="1"/>
  <c r="A2" i="3" l="1"/>
  <c r="H381" i="1" l="1"/>
  <c r="F381" i="1"/>
  <c r="H349" i="1"/>
  <c r="F349" i="1"/>
  <c r="H318" i="1"/>
  <c r="F318" i="1"/>
  <c r="H286" i="1"/>
  <c r="F286" i="1"/>
  <c r="H255" i="1"/>
  <c r="F255" i="1"/>
  <c r="H223" i="1"/>
  <c r="F223" i="1"/>
  <c r="H191" i="1"/>
  <c r="F191" i="1"/>
  <c r="H160" i="1"/>
  <c r="F160" i="1"/>
  <c r="H128" i="1"/>
  <c r="F128" i="1"/>
  <c r="H97" i="1"/>
  <c r="F97" i="1"/>
  <c r="H65" i="1"/>
  <c r="F65" i="1"/>
  <c r="H36" i="1"/>
  <c r="F36" i="1"/>
  <c r="A1" i="5" l="1"/>
  <c r="A5" i="1" l="1"/>
  <c r="A740" i="2" l="1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A774" i="2"/>
  <c r="A775" i="2"/>
  <c r="A776" i="2"/>
  <c r="A777" i="2"/>
  <c r="A778" i="2"/>
  <c r="A779" i="2"/>
  <c r="A780" i="2"/>
  <c r="A781" i="2"/>
  <c r="A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821" i="2"/>
  <c r="B822" i="2"/>
  <c r="B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732" i="2"/>
  <c r="A734" i="2"/>
  <c r="A738" i="2"/>
  <c r="A739" i="2"/>
  <c r="B732" i="2"/>
  <c r="B733" i="2"/>
  <c r="B734" i="2"/>
  <c r="B735" i="2"/>
  <c r="B736" i="2"/>
  <c r="B737" i="2"/>
  <c r="B738" i="2"/>
  <c r="B739" i="2"/>
  <c r="A733" i="2"/>
  <c r="A735" i="2"/>
  <c r="A736" i="2"/>
  <c r="A737" i="2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58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494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52" i="3"/>
  <c r="B556" i="3"/>
  <c r="B560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550" i="3"/>
  <c r="B554" i="3"/>
  <c r="B558" i="3"/>
  <c r="B562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670" i="3"/>
  <c r="B672" i="3"/>
  <c r="B674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729" i="3"/>
  <c r="B731" i="3"/>
  <c r="B2" i="3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01" i="3"/>
  <c r="B405" i="3"/>
  <c r="B409" i="3"/>
  <c r="B411" i="3"/>
  <c r="B413" i="3"/>
  <c r="B415" i="3"/>
  <c r="B417" i="3"/>
  <c r="B419" i="3"/>
  <c r="B421" i="3"/>
  <c r="B423" i="3"/>
  <c r="B425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D733" i="2" l="1"/>
  <c r="E733" i="2"/>
  <c r="D732" i="2"/>
  <c r="E732" i="2"/>
  <c r="E5" i="3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E367" i="2"/>
  <c r="D367" i="2"/>
  <c r="D3" i="2"/>
  <c r="E3" i="2"/>
  <c r="E2" i="2"/>
  <c r="E368" i="2"/>
  <c r="D368" i="2"/>
  <c r="D2" i="2"/>
  <c r="A7" i="1"/>
  <c r="A732" i="5" l="1"/>
  <c r="A733" i="5"/>
  <c r="D734" i="2"/>
  <c r="E734" i="2"/>
  <c r="E6" i="3"/>
  <c r="D7" i="3"/>
  <c r="G6" i="3"/>
  <c r="F6" i="3"/>
  <c r="F7" i="3"/>
  <c r="G7" i="3"/>
  <c r="D6" i="3"/>
  <c r="E7" i="3"/>
  <c r="A5" i="6"/>
  <c r="A3" i="6"/>
  <c r="A4" i="6"/>
  <c r="A2" i="6"/>
  <c r="A368" i="5"/>
  <c r="A3" i="5"/>
  <c r="A367" i="5"/>
  <c r="E369" i="2"/>
  <c r="D369" i="2"/>
  <c r="E4" i="2"/>
  <c r="D4" i="2"/>
  <c r="A2" i="5"/>
  <c r="A8" i="1"/>
  <c r="A734" i="5" l="1"/>
  <c r="D735" i="2"/>
  <c r="E735" i="2"/>
  <c r="A7" i="6"/>
  <c r="A6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1"/>
  <c r="A735" i="5" l="1"/>
  <c r="E736" i="2"/>
  <c r="D736" i="2"/>
  <c r="A8" i="6"/>
  <c r="A9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0" i="1"/>
  <c r="A736" i="5" l="1"/>
  <c r="D737" i="2"/>
  <c r="E737" i="2"/>
  <c r="A11" i="6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1" i="1"/>
  <c r="E738" i="2" s="1"/>
  <c r="A737" i="5" l="1"/>
  <c r="D738" i="2"/>
  <c r="A738" i="5" s="1"/>
  <c r="A13" i="6"/>
  <c r="A12" i="6"/>
  <c r="A372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D843" i="2" l="1"/>
  <c r="D837" i="2"/>
  <c r="E750" i="2"/>
  <c r="D770" i="2"/>
  <c r="D847" i="2"/>
  <c r="D879" i="2"/>
  <c r="D908" i="2"/>
  <c r="D940" i="2"/>
  <c r="D972" i="2"/>
  <c r="D1004" i="2"/>
  <c r="D1036" i="2"/>
  <c r="D1068" i="2"/>
  <c r="E743" i="2"/>
  <c r="D775" i="2"/>
  <c r="D808" i="2"/>
  <c r="D842" i="2"/>
  <c r="D874" i="2"/>
  <c r="E821" i="2"/>
  <c r="D935" i="2"/>
  <c r="D967" i="2"/>
  <c r="D999" i="2"/>
  <c r="D1031" i="2"/>
  <c r="D1063" i="2"/>
  <c r="D1095" i="2"/>
  <c r="E801" i="2"/>
  <c r="E837" i="2"/>
  <c r="E869" i="2"/>
  <c r="E901" i="2"/>
  <c r="E930" i="2"/>
  <c r="E962" i="2"/>
  <c r="E994" i="2"/>
  <c r="E1026" i="2"/>
  <c r="E1058" i="2"/>
  <c r="E1090" i="2"/>
  <c r="D765" i="2"/>
  <c r="E798" i="2"/>
  <c r="E832" i="2"/>
  <c r="E864" i="2"/>
  <c r="E896" i="2"/>
  <c r="E925" i="2"/>
  <c r="E957" i="2"/>
  <c r="E989" i="2"/>
  <c r="E1021" i="2"/>
  <c r="E1053" i="2"/>
  <c r="E1085" i="2"/>
  <c r="D795" i="2"/>
  <c r="E752" i="2"/>
  <c r="D805" i="2"/>
  <c r="D756" i="2"/>
  <c r="D861" i="2"/>
  <c r="D893" i="2"/>
  <c r="D922" i="2"/>
  <c r="D954" i="2"/>
  <c r="D986" i="2"/>
  <c r="D1018" i="2"/>
  <c r="D1050" i="2"/>
  <c r="D1082" i="2"/>
  <c r="E757" i="2"/>
  <c r="D790" i="2"/>
  <c r="D824" i="2"/>
  <c r="D856" i="2"/>
  <c r="D888" i="2"/>
  <c r="D917" i="2"/>
  <c r="D949" i="2"/>
  <c r="D981" i="2"/>
  <c r="D1013" i="2"/>
  <c r="D1045" i="2"/>
  <c r="D1077" i="2"/>
  <c r="E783" i="2"/>
  <c r="E815" i="2"/>
  <c r="E851" i="2"/>
  <c r="E883" i="2"/>
  <c r="E912" i="2"/>
  <c r="E944" i="2"/>
  <c r="E976" i="2"/>
  <c r="E1008" i="2"/>
  <c r="E1040" i="2"/>
  <c r="E1072" i="2"/>
  <c r="D747" i="2"/>
  <c r="E779" i="2"/>
  <c r="E812" i="2"/>
  <c r="E846" i="2"/>
  <c r="E878" i="2"/>
  <c r="E907" i="2"/>
  <c r="E939" i="2"/>
  <c r="E971" i="2"/>
  <c r="E1003" i="2"/>
  <c r="E1035" i="2"/>
  <c r="E1067" i="2"/>
  <c r="D835" i="2"/>
  <c r="E770" i="2"/>
  <c r="D845" i="2"/>
  <c r="D778" i="2"/>
  <c r="D742" i="2"/>
  <c r="D875" i="2"/>
  <c r="E822" i="2"/>
  <c r="D936" i="2"/>
  <c r="D968" i="2"/>
  <c r="D1000" i="2"/>
  <c r="D1032" i="2"/>
  <c r="D1064" i="2"/>
  <c r="D1096" i="2"/>
  <c r="E771" i="2"/>
  <c r="D804" i="2"/>
  <c r="D838" i="2"/>
  <c r="D870" i="2"/>
  <c r="D902" i="2"/>
  <c r="D931" i="2"/>
  <c r="D963" i="2"/>
  <c r="D995" i="2"/>
  <c r="D1027" i="2"/>
  <c r="D1059" i="2"/>
  <c r="D1091" i="2"/>
  <c r="E797" i="2"/>
  <c r="E833" i="2"/>
  <c r="E865" i="2"/>
  <c r="E897" i="2"/>
  <c r="E926" i="2"/>
  <c r="E958" i="2"/>
  <c r="E990" i="2"/>
  <c r="E1022" i="2"/>
  <c r="E1054" i="2"/>
  <c r="E1086" i="2"/>
  <c r="D761" i="2"/>
  <c r="E794" i="2"/>
  <c r="E828" i="2"/>
  <c r="E860" i="2"/>
  <c r="E892" i="2"/>
  <c r="E921" i="2"/>
  <c r="E953" i="2"/>
  <c r="E985" i="2"/>
  <c r="E1017" i="2"/>
  <c r="E1049" i="2"/>
  <c r="E1081" i="2"/>
  <c r="D803" i="2"/>
  <c r="E756" i="2"/>
  <c r="D813" i="2"/>
  <c r="D760" i="2"/>
  <c r="D857" i="2"/>
  <c r="D889" i="2"/>
  <c r="D918" i="2"/>
  <c r="D950" i="2"/>
  <c r="D982" i="2"/>
  <c r="D1014" i="2"/>
  <c r="D1046" i="2"/>
  <c r="D1078" i="2"/>
  <c r="E753" i="2"/>
  <c r="D786" i="2"/>
  <c r="D818" i="2"/>
  <c r="D852" i="2"/>
  <c r="D884" i="2"/>
  <c r="D913" i="2"/>
  <c r="D945" i="2"/>
  <c r="D977" i="2"/>
  <c r="D1009" i="2"/>
  <c r="D1041" i="2"/>
  <c r="D1073" i="2"/>
  <c r="E780" i="2"/>
  <c r="E811" i="2"/>
  <c r="E847" i="2"/>
  <c r="E879" i="2"/>
  <c r="E908" i="2"/>
  <c r="E940" i="2"/>
  <c r="E972" i="2"/>
  <c r="E1004" i="2"/>
  <c r="E1036" i="2"/>
  <c r="E1068" i="2"/>
  <c r="D743" i="2"/>
  <c r="E775" i="2"/>
  <c r="E808" i="2"/>
  <c r="E842" i="2"/>
  <c r="E874" i="2"/>
  <c r="D821" i="2"/>
  <c r="E935" i="2"/>
  <c r="E967" i="2"/>
  <c r="E999" i="2"/>
  <c r="E1031" i="2"/>
  <c r="E1063" i="2"/>
  <c r="E1095" i="2"/>
  <c r="D776" i="2"/>
  <c r="E742" i="2"/>
  <c r="D785" i="2"/>
  <c r="D746" i="2"/>
  <c r="D871" i="2"/>
  <c r="D903" i="2"/>
  <c r="D932" i="2"/>
  <c r="D964" i="2"/>
  <c r="D996" i="2"/>
  <c r="D1028" i="2"/>
  <c r="D1060" i="2"/>
  <c r="D1092" i="2"/>
  <c r="E767" i="2"/>
  <c r="D800" i="2"/>
  <c r="D834" i="2"/>
  <c r="D866" i="2"/>
  <c r="D898" i="2"/>
  <c r="D927" i="2"/>
  <c r="D959" i="2"/>
  <c r="D991" i="2"/>
  <c r="D1023" i="2"/>
  <c r="D1055" i="2"/>
  <c r="D1087" i="2"/>
  <c r="E793" i="2"/>
  <c r="E829" i="2"/>
  <c r="E861" i="2"/>
  <c r="E893" i="2"/>
  <c r="E922" i="2"/>
  <c r="E954" i="2"/>
  <c r="E986" i="2"/>
  <c r="E1018" i="2"/>
  <c r="E1050" i="2"/>
  <c r="E1082" i="2"/>
  <c r="D757" i="2"/>
  <c r="E790" i="2"/>
  <c r="E824" i="2"/>
  <c r="E856" i="2"/>
  <c r="E888" i="2"/>
  <c r="E917" i="2"/>
  <c r="E949" i="2"/>
  <c r="E981" i="2"/>
  <c r="E1013" i="2"/>
  <c r="E1045" i="2"/>
  <c r="E1077" i="2"/>
  <c r="D811" i="2"/>
  <c r="E760" i="2"/>
  <c r="D825" i="2"/>
  <c r="D764" i="2"/>
  <c r="D853" i="2"/>
  <c r="D885" i="2"/>
  <c r="D914" i="2"/>
  <c r="D946" i="2"/>
  <c r="D978" i="2"/>
  <c r="D1010" i="2"/>
  <c r="D1042" i="2"/>
  <c r="D1074" i="2"/>
  <c r="E749" i="2"/>
  <c r="D781" i="2"/>
  <c r="D814" i="2"/>
  <c r="D848" i="2"/>
  <c r="D880" i="2"/>
  <c r="D909" i="2"/>
  <c r="D941" i="2"/>
  <c r="D973" i="2"/>
  <c r="D1005" i="2"/>
  <c r="D1037" i="2"/>
  <c r="D1069" i="2"/>
  <c r="E776" i="2"/>
  <c r="E807" i="2"/>
  <c r="E843" i="2"/>
  <c r="E875" i="2"/>
  <c r="D822" i="2"/>
  <c r="E936" i="2"/>
  <c r="E968" i="2"/>
  <c r="E1000" i="2"/>
  <c r="E1032" i="2"/>
  <c r="E1064" i="2"/>
  <c r="E1096" i="2"/>
  <c r="D771" i="2"/>
  <c r="E804" i="2"/>
  <c r="E838" i="2"/>
  <c r="E870" i="2"/>
  <c r="E902" i="2"/>
  <c r="E931" i="2"/>
  <c r="E963" i="2"/>
  <c r="E995" i="2"/>
  <c r="E1027" i="2"/>
  <c r="E1059" i="2"/>
  <c r="E1091" i="2"/>
  <c r="D783" i="2"/>
  <c r="A783" i="5" s="1"/>
  <c r="E746" i="2"/>
  <c r="D793" i="2"/>
  <c r="A793" i="5" s="1"/>
  <c r="D750" i="2"/>
  <c r="D867" i="2"/>
  <c r="D899" i="2"/>
  <c r="D928" i="2"/>
  <c r="D960" i="2"/>
  <c r="D992" i="2"/>
  <c r="D1024" i="2"/>
  <c r="D1056" i="2"/>
  <c r="D1088" i="2"/>
  <c r="E763" i="2"/>
  <c r="D796" i="2"/>
  <c r="D830" i="2"/>
  <c r="D862" i="2"/>
  <c r="D894" i="2"/>
  <c r="D923" i="2"/>
  <c r="D955" i="2"/>
  <c r="D987" i="2"/>
  <c r="D1019" i="2"/>
  <c r="D1051" i="2"/>
  <c r="D1083" i="2"/>
  <c r="E789" i="2"/>
  <c r="E825" i="2"/>
  <c r="E857" i="2"/>
  <c r="E889" i="2"/>
  <c r="E918" i="2"/>
  <c r="E950" i="2"/>
  <c r="E982" i="2"/>
  <c r="E1014" i="2"/>
  <c r="E1046" i="2"/>
  <c r="E1078" i="2"/>
  <c r="D753" i="2"/>
  <c r="E786" i="2"/>
  <c r="E818" i="2"/>
  <c r="E852" i="2"/>
  <c r="E884" i="2"/>
  <c r="E913" i="2"/>
  <c r="E945" i="2"/>
  <c r="E977" i="2"/>
  <c r="E1009" i="2"/>
  <c r="E1041" i="2"/>
  <c r="E1073" i="2"/>
  <c r="D819" i="2"/>
  <c r="E764" i="2"/>
  <c r="D833" i="2"/>
  <c r="A833" i="5" s="1"/>
  <c r="D768" i="2"/>
  <c r="D849" i="2"/>
  <c r="D881" i="2"/>
  <c r="D910" i="2"/>
  <c r="D942" i="2"/>
  <c r="D974" i="2"/>
  <c r="D1006" i="2"/>
  <c r="D1038" i="2"/>
  <c r="D1070" i="2"/>
  <c r="E745" i="2"/>
  <c r="D777" i="2"/>
  <c r="D810" i="2"/>
  <c r="D844" i="2"/>
  <c r="D876" i="2"/>
  <c r="E823" i="2"/>
  <c r="D937" i="2"/>
  <c r="D969" i="2"/>
  <c r="D1001" i="2"/>
  <c r="D1033" i="2"/>
  <c r="D1065" i="2"/>
  <c r="D772" i="2"/>
  <c r="E803" i="2"/>
  <c r="E839" i="2"/>
  <c r="E871" i="2"/>
  <c r="E903" i="2"/>
  <c r="E932" i="2"/>
  <c r="E964" i="2"/>
  <c r="E996" i="2"/>
  <c r="E1028" i="2"/>
  <c r="E1060" i="2"/>
  <c r="E1092" i="2"/>
  <c r="D767" i="2"/>
  <c r="E800" i="2"/>
  <c r="E834" i="2"/>
  <c r="E866" i="2"/>
  <c r="E898" i="2"/>
  <c r="E927" i="2"/>
  <c r="E959" i="2"/>
  <c r="E991" i="2"/>
  <c r="E1023" i="2"/>
  <c r="E1055" i="2"/>
  <c r="E1087" i="2"/>
  <c r="D791" i="2"/>
  <c r="D801" i="2"/>
  <c r="A801" i="5" s="1"/>
  <c r="D754" i="2"/>
  <c r="D863" i="2"/>
  <c r="D895" i="2"/>
  <c r="D924" i="2"/>
  <c r="D956" i="2"/>
  <c r="D988" i="2"/>
  <c r="D1020" i="2"/>
  <c r="D1052" i="2"/>
  <c r="D1084" i="2"/>
  <c r="E759" i="2"/>
  <c r="D792" i="2"/>
  <c r="D826" i="2"/>
  <c r="D858" i="2"/>
  <c r="D890" i="2"/>
  <c r="D919" i="2"/>
  <c r="D951" i="2"/>
  <c r="D983" i="2"/>
  <c r="D1015" i="2"/>
  <c r="D1047" i="2"/>
  <c r="D1079" i="2"/>
  <c r="E785" i="2"/>
  <c r="E817" i="2"/>
  <c r="E853" i="2"/>
  <c r="E885" i="2"/>
  <c r="E914" i="2"/>
  <c r="E946" i="2"/>
  <c r="E978" i="2"/>
  <c r="E1010" i="2"/>
  <c r="E1042" i="2"/>
  <c r="E1074" i="2"/>
  <c r="D749" i="2"/>
  <c r="A749" i="5" s="1"/>
  <c r="E781" i="2"/>
  <c r="E814" i="2"/>
  <c r="E848" i="2"/>
  <c r="E880" i="2"/>
  <c r="E909" i="2"/>
  <c r="E941" i="2"/>
  <c r="E973" i="2"/>
  <c r="E1005" i="2"/>
  <c r="E1037" i="2"/>
  <c r="E1069" i="2"/>
  <c r="D831" i="2"/>
  <c r="E768" i="2"/>
  <c r="D841" i="2"/>
  <c r="D774" i="2"/>
  <c r="D740" i="2"/>
  <c r="D877" i="2"/>
  <c r="E906" i="2"/>
  <c r="D938" i="2"/>
  <c r="D970" i="2"/>
  <c r="D1002" i="2"/>
  <c r="D1034" i="2"/>
  <c r="D1066" i="2"/>
  <c r="E741" i="2"/>
  <c r="E773" i="2"/>
  <c r="D806" i="2"/>
  <c r="D840" i="2"/>
  <c r="D872" i="2"/>
  <c r="D904" i="2"/>
  <c r="D933" i="2"/>
  <c r="D965" i="2"/>
  <c r="D997" i="2"/>
  <c r="D1029" i="2"/>
  <c r="D1061" i="2"/>
  <c r="D1093" i="2"/>
  <c r="E799" i="2"/>
  <c r="E835" i="2"/>
  <c r="E867" i="2"/>
  <c r="E899" i="2"/>
  <c r="E928" i="2"/>
  <c r="E960" i="2"/>
  <c r="E992" i="2"/>
  <c r="E1024" i="2"/>
  <c r="E1056" i="2"/>
  <c r="E1088" i="2"/>
  <c r="D763" i="2"/>
  <c r="A763" i="5" s="1"/>
  <c r="E796" i="2"/>
  <c r="E830" i="2"/>
  <c r="E862" i="2"/>
  <c r="E894" i="2"/>
  <c r="E923" i="2"/>
  <c r="E955" i="2"/>
  <c r="E987" i="2"/>
  <c r="E1019" i="2"/>
  <c r="E1051" i="2"/>
  <c r="E1083" i="2"/>
  <c r="D799" i="2"/>
  <c r="E754" i="2"/>
  <c r="D809" i="2"/>
  <c r="D758" i="2"/>
  <c r="D859" i="2"/>
  <c r="D891" i="2"/>
  <c r="D920" i="2"/>
  <c r="D952" i="2"/>
  <c r="D984" i="2"/>
  <c r="D1016" i="2"/>
  <c r="D1048" i="2"/>
  <c r="D1080" i="2"/>
  <c r="E755" i="2"/>
  <c r="D788" i="2"/>
  <c r="E820" i="2"/>
  <c r="D854" i="2"/>
  <c r="D886" i="2"/>
  <c r="D915" i="2"/>
  <c r="D947" i="2"/>
  <c r="D979" i="2"/>
  <c r="D1011" i="2"/>
  <c r="D1043" i="2"/>
  <c r="D1075" i="2"/>
  <c r="E782" i="2"/>
  <c r="E813" i="2"/>
  <c r="E849" i="2"/>
  <c r="E881" i="2"/>
  <c r="E910" i="2"/>
  <c r="E942" i="2"/>
  <c r="E974" i="2"/>
  <c r="E1006" i="2"/>
  <c r="E1038" i="2"/>
  <c r="E1070" i="2"/>
  <c r="D745" i="2"/>
  <c r="A745" i="5" s="1"/>
  <c r="E777" i="2"/>
  <c r="E810" i="2"/>
  <c r="E844" i="2"/>
  <c r="E876" i="2"/>
  <c r="D823" i="2"/>
  <c r="A823" i="5" s="1"/>
  <c r="E937" i="2"/>
  <c r="E969" i="2"/>
  <c r="E1001" i="2"/>
  <c r="E1033" i="2"/>
  <c r="E1065" i="2"/>
  <c r="D839" i="2"/>
  <c r="A839" i="5" s="1"/>
  <c r="E772" i="2"/>
  <c r="E740" i="2"/>
  <c r="D782" i="2"/>
  <c r="A782" i="5" s="1"/>
  <c r="D744" i="2"/>
  <c r="D873" i="2"/>
  <c r="D905" i="2"/>
  <c r="D934" i="2"/>
  <c r="D966" i="2"/>
  <c r="D998" i="2"/>
  <c r="D1030" i="2"/>
  <c r="D1062" i="2"/>
  <c r="D1094" i="2"/>
  <c r="E769" i="2"/>
  <c r="D802" i="2"/>
  <c r="D836" i="2"/>
  <c r="D868" i="2"/>
  <c r="D900" i="2"/>
  <c r="D929" i="2"/>
  <c r="D961" i="2"/>
  <c r="D993" i="2"/>
  <c r="D1025" i="2"/>
  <c r="D1057" i="2"/>
  <c r="D1089" i="2"/>
  <c r="E795" i="2"/>
  <c r="E831" i="2"/>
  <c r="E863" i="2"/>
  <c r="E895" i="2"/>
  <c r="E924" i="2"/>
  <c r="E956" i="2"/>
  <c r="E988" i="2"/>
  <c r="E1020" i="2"/>
  <c r="E1052" i="2"/>
  <c r="E1084" i="2"/>
  <c r="D759" i="2"/>
  <c r="E792" i="2"/>
  <c r="E826" i="2"/>
  <c r="E858" i="2"/>
  <c r="E890" i="2"/>
  <c r="E919" i="2"/>
  <c r="E951" i="2"/>
  <c r="E983" i="2"/>
  <c r="E1015" i="2"/>
  <c r="E1047" i="2"/>
  <c r="E1079" i="2"/>
  <c r="D807" i="2"/>
  <c r="E758" i="2"/>
  <c r="D817" i="2"/>
  <c r="A817" i="5" s="1"/>
  <c r="D762" i="2"/>
  <c r="D855" i="2"/>
  <c r="D887" i="2"/>
  <c r="D916" i="2"/>
  <c r="D948" i="2"/>
  <c r="D980" i="2"/>
  <c r="D1012" i="2"/>
  <c r="D1044" i="2"/>
  <c r="D1076" i="2"/>
  <c r="E751" i="2"/>
  <c r="D784" i="2"/>
  <c r="D816" i="2"/>
  <c r="D850" i="2"/>
  <c r="D882" i="2"/>
  <c r="D911" i="2"/>
  <c r="D943" i="2"/>
  <c r="D975" i="2"/>
  <c r="D1007" i="2"/>
  <c r="D1039" i="2"/>
  <c r="D1071" i="2"/>
  <c r="E778" i="2"/>
  <c r="E809" i="2"/>
  <c r="E845" i="2"/>
  <c r="E877" i="2"/>
  <c r="D906" i="2"/>
  <c r="E938" i="2"/>
  <c r="E970" i="2"/>
  <c r="E1002" i="2"/>
  <c r="E1034" i="2"/>
  <c r="E1066" i="2"/>
  <c r="D741" i="2"/>
  <c r="D773" i="2"/>
  <c r="E806" i="2"/>
  <c r="E840" i="2"/>
  <c r="E872" i="2"/>
  <c r="E904" i="2"/>
  <c r="E933" i="2"/>
  <c r="E965" i="2"/>
  <c r="E997" i="2"/>
  <c r="E1029" i="2"/>
  <c r="E1061" i="2"/>
  <c r="E1093" i="2"/>
  <c r="D780" i="2"/>
  <c r="A780" i="5" s="1"/>
  <c r="E744" i="2"/>
  <c r="D789" i="2"/>
  <c r="A789" i="5" s="1"/>
  <c r="D748" i="2"/>
  <c r="D869" i="2"/>
  <c r="D901" i="2"/>
  <c r="D930" i="2"/>
  <c r="D962" i="2"/>
  <c r="D994" i="2"/>
  <c r="D1026" i="2"/>
  <c r="D1058" i="2"/>
  <c r="D1090" i="2"/>
  <c r="E765" i="2"/>
  <c r="D798" i="2"/>
  <c r="D832" i="2"/>
  <c r="D864" i="2"/>
  <c r="D896" i="2"/>
  <c r="D925" i="2"/>
  <c r="D957" i="2"/>
  <c r="D989" i="2"/>
  <c r="D1021" i="2"/>
  <c r="D1053" i="2"/>
  <c r="D1085" i="2"/>
  <c r="E791" i="2"/>
  <c r="E827" i="2"/>
  <c r="E859" i="2"/>
  <c r="E891" i="2"/>
  <c r="E920" i="2"/>
  <c r="E952" i="2"/>
  <c r="E984" i="2"/>
  <c r="E1016" i="2"/>
  <c r="E1048" i="2"/>
  <c r="E1080" i="2"/>
  <c r="D755" i="2"/>
  <c r="E788" i="2"/>
  <c r="D820" i="2"/>
  <c r="E854" i="2"/>
  <c r="E886" i="2"/>
  <c r="E915" i="2"/>
  <c r="E947" i="2"/>
  <c r="E979" i="2"/>
  <c r="E1011" i="2"/>
  <c r="E1043" i="2"/>
  <c r="E1075" i="2"/>
  <c r="D815" i="2"/>
  <c r="A815" i="5" s="1"/>
  <c r="E762" i="2"/>
  <c r="D829" i="2"/>
  <c r="A829" i="5" s="1"/>
  <c r="D766" i="2"/>
  <c r="D851" i="2"/>
  <c r="D883" i="2"/>
  <c r="D912" i="2"/>
  <c r="D944" i="2"/>
  <c r="D976" i="2"/>
  <c r="D1008" i="2"/>
  <c r="D1040" i="2"/>
  <c r="D1072" i="2"/>
  <c r="E747" i="2"/>
  <c r="D779" i="2"/>
  <c r="D812" i="2"/>
  <c r="D846" i="2"/>
  <c r="D878" i="2"/>
  <c r="D907" i="2"/>
  <c r="D939" i="2"/>
  <c r="D971" i="2"/>
  <c r="D1003" i="2"/>
  <c r="D1035" i="2"/>
  <c r="D1067" i="2"/>
  <c r="E774" i="2"/>
  <c r="E805" i="2"/>
  <c r="E841" i="2"/>
  <c r="E873" i="2"/>
  <c r="E905" i="2"/>
  <c r="E934" i="2"/>
  <c r="E966" i="2"/>
  <c r="E998" i="2"/>
  <c r="E1030" i="2"/>
  <c r="E1062" i="2"/>
  <c r="E1094" i="2"/>
  <c r="D769" i="2"/>
  <c r="E802" i="2"/>
  <c r="E836" i="2"/>
  <c r="E868" i="2"/>
  <c r="E900" i="2"/>
  <c r="E929" i="2"/>
  <c r="E961" i="2"/>
  <c r="E993" i="2"/>
  <c r="E1025" i="2"/>
  <c r="E1057" i="2"/>
  <c r="E1089" i="2"/>
  <c r="D787" i="2"/>
  <c r="E748" i="2"/>
  <c r="D797" i="2"/>
  <c r="D752" i="2"/>
  <c r="D865" i="2"/>
  <c r="D897" i="2"/>
  <c r="D926" i="2"/>
  <c r="D958" i="2"/>
  <c r="D990" i="2"/>
  <c r="D1022" i="2"/>
  <c r="D1054" i="2"/>
  <c r="D1086" i="2"/>
  <c r="E761" i="2"/>
  <c r="D794" i="2"/>
  <c r="D828" i="2"/>
  <c r="D860" i="2"/>
  <c r="D892" i="2"/>
  <c r="D921" i="2"/>
  <c r="D953" i="2"/>
  <c r="D985" i="2"/>
  <c r="D1017" i="2"/>
  <c r="D1049" i="2"/>
  <c r="D1081" i="2"/>
  <c r="E787" i="2"/>
  <c r="E819" i="2"/>
  <c r="E855" i="2"/>
  <c r="E887" i="2"/>
  <c r="E916" i="2"/>
  <c r="E948" i="2"/>
  <c r="E980" i="2"/>
  <c r="E1012" i="2"/>
  <c r="E1044" i="2"/>
  <c r="E1076" i="2"/>
  <c r="D751" i="2"/>
  <c r="E784" i="2"/>
  <c r="E816" i="2"/>
  <c r="E850" i="2"/>
  <c r="E882" i="2"/>
  <c r="E911" i="2"/>
  <c r="E943" i="2"/>
  <c r="E975" i="2"/>
  <c r="E1007" i="2"/>
  <c r="E1039" i="2"/>
  <c r="E1071" i="2"/>
  <c r="D827" i="2"/>
  <c r="E766" i="2"/>
  <c r="E739" i="2"/>
  <c r="D739" i="2"/>
  <c r="G682" i="3"/>
  <c r="G703" i="3"/>
  <c r="F448" i="3"/>
  <c r="G449" i="3"/>
  <c r="F480" i="3"/>
  <c r="G477" i="3"/>
  <c r="F508" i="3"/>
  <c r="F540" i="3"/>
  <c r="G517" i="3"/>
  <c r="F549" i="3"/>
  <c r="F576" i="3"/>
  <c r="F608" i="3"/>
  <c r="G569" i="3"/>
  <c r="G601" i="3"/>
  <c r="F633" i="3"/>
  <c r="F665" i="3"/>
  <c r="F697" i="3"/>
  <c r="G626" i="3"/>
  <c r="G658" i="3"/>
  <c r="D716" i="3"/>
  <c r="D684" i="3"/>
  <c r="D652" i="3"/>
  <c r="E723" i="3"/>
  <c r="E691" i="3"/>
  <c r="E659" i="3"/>
  <c r="E627" i="3"/>
  <c r="D595" i="3"/>
  <c r="D563" i="3"/>
  <c r="E602" i="3"/>
  <c r="E570" i="3"/>
  <c r="D543" i="3"/>
  <c r="D511" i="3"/>
  <c r="E534" i="3"/>
  <c r="E502" i="3"/>
  <c r="D471" i="3"/>
  <c r="E474" i="3"/>
  <c r="D443" i="3"/>
  <c r="E442" i="3"/>
  <c r="D718" i="3"/>
  <c r="D686" i="3"/>
  <c r="G724" i="3"/>
  <c r="G692" i="3"/>
  <c r="G660" i="3"/>
  <c r="G628" i="3"/>
  <c r="G444" i="3"/>
  <c r="F445" i="3"/>
  <c r="G476" i="3"/>
  <c r="F473" i="3"/>
  <c r="G504" i="3"/>
  <c r="G536" i="3"/>
  <c r="F513" i="3"/>
  <c r="F545" i="3"/>
  <c r="G572" i="3"/>
  <c r="G604" i="3"/>
  <c r="F565" i="3"/>
  <c r="F597" i="3"/>
  <c r="G629" i="3"/>
  <c r="G661" i="3"/>
  <c r="G693" i="3"/>
  <c r="G725" i="3"/>
  <c r="F654" i="3"/>
  <c r="E720" i="3"/>
  <c r="E688" i="3"/>
  <c r="E656" i="3"/>
  <c r="D727" i="3"/>
  <c r="D695" i="3"/>
  <c r="D663" i="3"/>
  <c r="D631" i="3"/>
  <c r="E599" i="3"/>
  <c r="E567" i="3"/>
  <c r="D606" i="3"/>
  <c r="D574" i="3"/>
  <c r="E547" i="3"/>
  <c r="E515" i="3"/>
  <c r="D538" i="3"/>
  <c r="D506" i="3"/>
  <c r="E475" i="3"/>
  <c r="D478" i="3"/>
  <c r="E447" i="3"/>
  <c r="D446" i="3"/>
  <c r="E722" i="3"/>
  <c r="E690" i="3"/>
  <c r="F729" i="3"/>
  <c r="F700" i="3"/>
  <c r="F668" i="3"/>
  <c r="F636" i="3"/>
  <c r="G707" i="3"/>
  <c r="E642" i="3"/>
  <c r="D713" i="3"/>
  <c r="D681" i="3"/>
  <c r="D649" i="3"/>
  <c r="E617" i="3"/>
  <c r="E585" i="3"/>
  <c r="E624" i="3"/>
  <c r="D592" i="3"/>
  <c r="E556" i="3"/>
  <c r="E533" i="3"/>
  <c r="E501" i="3"/>
  <c r="D524" i="3"/>
  <c r="D493" i="3"/>
  <c r="E461" i="3"/>
  <c r="D464" i="3"/>
  <c r="E433" i="3"/>
  <c r="D432" i="3"/>
  <c r="G710" i="3"/>
  <c r="F434" i="3"/>
  <c r="G435" i="3"/>
  <c r="F466" i="3"/>
  <c r="G463" i="3"/>
  <c r="F495" i="3"/>
  <c r="F526" i="3"/>
  <c r="G503" i="3"/>
  <c r="G535" i="3"/>
  <c r="G560" i="3"/>
  <c r="F594" i="3"/>
  <c r="G550" i="3"/>
  <c r="G587" i="3"/>
  <c r="G619" i="3"/>
  <c r="F651" i="3"/>
  <c r="F683" i="3"/>
  <c r="F678" i="3"/>
  <c r="D638" i="3"/>
  <c r="E709" i="3"/>
  <c r="E677" i="3"/>
  <c r="E645" i="3"/>
  <c r="D613" i="3"/>
  <c r="D581" i="3"/>
  <c r="E620" i="3"/>
  <c r="E588" i="3"/>
  <c r="E561" i="3"/>
  <c r="D529" i="3"/>
  <c r="D497" i="3"/>
  <c r="E520" i="3"/>
  <c r="D489" i="3"/>
  <c r="E492" i="3"/>
  <c r="D460" i="3"/>
  <c r="D429" i="3"/>
  <c r="E428" i="3"/>
  <c r="F718" i="3"/>
  <c r="G442" i="3"/>
  <c r="F443" i="3"/>
  <c r="G474" i="3"/>
  <c r="F471" i="3"/>
  <c r="G502" i="3"/>
  <c r="G534" i="3"/>
  <c r="F511" i="3"/>
  <c r="F543" i="3"/>
  <c r="G570" i="3"/>
  <c r="G602" i="3"/>
  <c r="F563" i="3"/>
  <c r="F595" i="3"/>
  <c r="G627" i="3"/>
  <c r="G659" i="3"/>
  <c r="G691" i="3"/>
  <c r="F436" i="3"/>
  <c r="G437" i="3"/>
  <c r="F468" i="3"/>
  <c r="G465" i="3"/>
  <c r="F496" i="3"/>
  <c r="F528" i="3"/>
  <c r="G505" i="3"/>
  <c r="G537" i="3"/>
  <c r="F564" i="3"/>
  <c r="F596" i="3"/>
  <c r="G554" i="3"/>
  <c r="G589" i="3"/>
  <c r="G621" i="3"/>
  <c r="F653" i="3"/>
  <c r="F685" i="3"/>
  <c r="F717" i="3"/>
  <c r="G646" i="3"/>
  <c r="E728" i="3"/>
  <c r="D696" i="3"/>
  <c r="D664" i="3"/>
  <c r="D632" i="3"/>
  <c r="E703" i="3"/>
  <c r="E671" i="3"/>
  <c r="E639" i="3"/>
  <c r="D607" i="3"/>
  <c r="D575" i="3"/>
  <c r="E614" i="3"/>
  <c r="E582" i="3"/>
  <c r="G555" i="3"/>
  <c r="D523" i="3"/>
  <c r="E546" i="3"/>
  <c r="E514" i="3"/>
  <c r="D483" i="3"/>
  <c r="E486" i="3"/>
  <c r="D455" i="3"/>
  <c r="E454" i="3"/>
  <c r="E730" i="3"/>
  <c r="D698" i="3"/>
  <c r="D666" i="3"/>
  <c r="G704" i="3"/>
  <c r="G672" i="3"/>
  <c r="G640" i="3"/>
  <c r="G432" i="3"/>
  <c r="F433" i="3"/>
  <c r="G464" i="3"/>
  <c r="F461" i="3"/>
  <c r="G493" i="3"/>
  <c r="G524" i="3"/>
  <c r="F501" i="3"/>
  <c r="F533" i="3"/>
  <c r="F556" i="3"/>
  <c r="G592" i="3"/>
  <c r="F624" i="3"/>
  <c r="F585" i="3"/>
  <c r="F617" i="3"/>
  <c r="G649" i="3"/>
  <c r="G681" i="3"/>
  <c r="G713" i="3"/>
  <c r="F642" i="3"/>
  <c r="E729" i="3"/>
  <c r="E700" i="3"/>
  <c r="E668" i="3"/>
  <c r="E636" i="3"/>
  <c r="D707" i="3"/>
  <c r="D675" i="3"/>
  <c r="D643" i="3"/>
  <c r="E611" i="3"/>
  <c r="E579" i="3"/>
  <c r="D618" i="3"/>
  <c r="D586" i="3"/>
  <c r="D559" i="3"/>
  <c r="E527" i="3"/>
  <c r="E494" i="3"/>
  <c r="D518" i="3"/>
  <c r="E487" i="3"/>
  <c r="D490" i="3"/>
  <c r="D459" i="3"/>
  <c r="E427" i="3"/>
  <c r="E731" i="3"/>
  <c r="E702" i="3"/>
  <c r="E670" i="3"/>
  <c r="F712" i="3"/>
  <c r="F680" i="3"/>
  <c r="F648" i="3"/>
  <c r="G719" i="3"/>
  <c r="E654" i="3"/>
  <c r="D725" i="3"/>
  <c r="D693" i="3"/>
  <c r="D661" i="3"/>
  <c r="D629" i="3"/>
  <c r="E597" i="3"/>
  <c r="E565" i="3"/>
  <c r="D604" i="3"/>
  <c r="D572" i="3"/>
  <c r="E545" i="3"/>
  <c r="E513" i="3"/>
  <c r="D536" i="3"/>
  <c r="D504" i="3"/>
  <c r="E473" i="3"/>
  <c r="D476" i="3"/>
  <c r="E445" i="3"/>
  <c r="D444" i="3"/>
  <c r="G698" i="3"/>
  <c r="F730" i="3"/>
  <c r="F454" i="3"/>
  <c r="G455" i="3"/>
  <c r="F486" i="3"/>
  <c r="G483" i="3"/>
  <c r="F514" i="3"/>
  <c r="F546" i="3"/>
  <c r="G523" i="3"/>
  <c r="F555" i="3"/>
  <c r="F582" i="3"/>
  <c r="F614" i="3"/>
  <c r="G575" i="3"/>
  <c r="G607" i="3"/>
  <c r="F639" i="3"/>
  <c r="F671" i="3"/>
  <c r="F703" i="3"/>
  <c r="D650" i="3"/>
  <c r="E721" i="3"/>
  <c r="E689" i="3"/>
  <c r="E657" i="3"/>
  <c r="E625" i="3"/>
  <c r="D593" i="3"/>
  <c r="D562" i="3"/>
  <c r="E600" i="3"/>
  <c r="E568" i="3"/>
  <c r="D541" i="3"/>
  <c r="D509" i="3"/>
  <c r="E532" i="3"/>
  <c r="E500" i="3"/>
  <c r="D469" i="3"/>
  <c r="E472" i="3"/>
  <c r="D441" i="3"/>
  <c r="E440" i="3"/>
  <c r="F706" i="3"/>
  <c r="G430" i="3"/>
  <c r="F431" i="3"/>
  <c r="G462" i="3"/>
  <c r="D458" i="3"/>
  <c r="F491" i="3"/>
  <c r="G522" i="3"/>
  <c r="F499" i="3"/>
  <c r="F531" i="3"/>
  <c r="F552" i="3"/>
  <c r="G590" i="3"/>
  <c r="G622" i="3"/>
  <c r="F583" i="3"/>
  <c r="F615" i="3"/>
  <c r="G647" i="3"/>
  <c r="G679" i="3"/>
  <c r="F715" i="3"/>
  <c r="F456" i="3"/>
  <c r="F457" i="3"/>
  <c r="F488" i="3"/>
  <c r="G485" i="3"/>
  <c r="F516" i="3"/>
  <c r="F548" i="3"/>
  <c r="G525" i="3"/>
  <c r="F557" i="3"/>
  <c r="F584" i="3"/>
  <c r="F616" i="3"/>
  <c r="G577" i="3"/>
  <c r="G609" i="3"/>
  <c r="F641" i="3"/>
  <c r="F673" i="3"/>
  <c r="F705" i="3"/>
  <c r="G634" i="3"/>
  <c r="G670" i="3"/>
  <c r="D708" i="3"/>
  <c r="D676" i="3"/>
  <c r="D644" i="3"/>
  <c r="E715" i="3"/>
  <c r="E683" i="3"/>
  <c r="E651" i="3"/>
  <c r="D619" i="3"/>
  <c r="D587" i="3"/>
  <c r="F550" i="3"/>
  <c r="E594" i="3"/>
  <c r="D560" i="3"/>
  <c r="D535" i="3"/>
  <c r="D503" i="3"/>
  <c r="E526" i="3"/>
  <c r="G495" i="3"/>
  <c r="D463" i="3"/>
  <c r="E466" i="3"/>
  <c r="D435" i="3"/>
  <c r="E434" i="3"/>
  <c r="D710" i="3"/>
  <c r="D678" i="3"/>
  <c r="G716" i="3"/>
  <c r="G684" i="3"/>
  <c r="G652" i="3"/>
  <c r="F723" i="3"/>
  <c r="G452" i="3"/>
  <c r="F453" i="3"/>
  <c r="G484" i="3"/>
  <c r="F481" i="3"/>
  <c r="G512" i="3"/>
  <c r="G544" i="3"/>
  <c r="F521" i="3"/>
  <c r="G553" i="3"/>
  <c r="G580" i="3"/>
  <c r="G612" i="3"/>
  <c r="F573" i="3"/>
  <c r="F605" i="3"/>
  <c r="G637" i="3"/>
  <c r="G669" i="3"/>
  <c r="G701" i="3"/>
  <c r="F630" i="3"/>
  <c r="F662" i="3"/>
  <c r="E712" i="3"/>
  <c r="E680" i="3"/>
  <c r="E648" i="3"/>
  <c r="D719" i="3"/>
  <c r="D687" i="3"/>
  <c r="D655" i="3"/>
  <c r="E623" i="3"/>
  <c r="E591" i="3"/>
  <c r="E558" i="3"/>
  <c r="D598" i="3"/>
  <c r="D566" i="3"/>
  <c r="E539" i="3"/>
  <c r="E507" i="3"/>
  <c r="D530" i="3"/>
  <c r="D498" i="3"/>
  <c r="E467" i="3"/>
  <c r="D470" i="3"/>
  <c r="E439" i="3"/>
  <c r="D438" i="3"/>
  <c r="E714" i="3"/>
  <c r="E682" i="3"/>
  <c r="F724" i="3"/>
  <c r="F692" i="3"/>
  <c r="F660" i="3"/>
  <c r="F628" i="3"/>
  <c r="F674" i="3"/>
  <c r="E634" i="3"/>
  <c r="D705" i="3"/>
  <c r="D673" i="3"/>
  <c r="D641" i="3"/>
  <c r="E609" i="3"/>
  <c r="E577" i="3"/>
  <c r="D616" i="3"/>
  <c r="D584" i="3"/>
  <c r="D557" i="3"/>
  <c r="E525" i="3"/>
  <c r="D548" i="3"/>
  <c r="D516" i="3"/>
  <c r="E485" i="3"/>
  <c r="D488" i="3"/>
  <c r="D457" i="3"/>
  <c r="D456" i="3"/>
  <c r="G686" i="3"/>
  <c r="G718" i="3"/>
  <c r="F442" i="3"/>
  <c r="G443" i="3"/>
  <c r="F474" i="3"/>
  <c r="G471" i="3"/>
  <c r="F502" i="3"/>
  <c r="F534" i="3"/>
  <c r="G511" i="3"/>
  <c r="G543" i="3"/>
  <c r="F570" i="3"/>
  <c r="F602" i="3"/>
  <c r="G563" i="3"/>
  <c r="G595" i="3"/>
  <c r="F627" i="3"/>
  <c r="F659" i="3"/>
  <c r="F691" i="3"/>
  <c r="D662" i="3"/>
  <c r="D630" i="3"/>
  <c r="E701" i="3"/>
  <c r="E669" i="3"/>
  <c r="E637" i="3"/>
  <c r="D605" i="3"/>
  <c r="D573" i="3"/>
  <c r="E612" i="3"/>
  <c r="E580" i="3"/>
  <c r="E553" i="3"/>
  <c r="D521" i="3"/>
  <c r="E544" i="3"/>
  <c r="E512" i="3"/>
  <c r="D481" i="3"/>
  <c r="E484" i="3"/>
  <c r="D453" i="3"/>
  <c r="E452" i="3"/>
  <c r="F694" i="3"/>
  <c r="F726" i="3"/>
  <c r="G450" i="3"/>
  <c r="F451" i="3"/>
  <c r="G482" i="3"/>
  <c r="F479" i="3"/>
  <c r="G510" i="3"/>
  <c r="G542" i="3"/>
  <c r="F519" i="3"/>
  <c r="E551" i="3"/>
  <c r="G578" i="3"/>
  <c r="G610" i="3"/>
  <c r="F571" i="3"/>
  <c r="F603" i="3"/>
  <c r="G635" i="3"/>
  <c r="G667" i="3"/>
  <c r="G699" i="3"/>
  <c r="F444" i="3"/>
  <c r="G445" i="3"/>
  <c r="F476" i="3"/>
  <c r="G473" i="3"/>
  <c r="F504" i="3"/>
  <c r="F536" i="3"/>
  <c r="G513" i="3"/>
  <c r="G545" i="3"/>
  <c r="F572" i="3"/>
  <c r="F604" i="3"/>
  <c r="G565" i="3"/>
  <c r="G597" i="3"/>
  <c r="F629" i="3"/>
  <c r="F661" i="3"/>
  <c r="F693" i="3"/>
  <c r="F725" i="3"/>
  <c r="G654" i="3"/>
  <c r="D720" i="3"/>
  <c r="D688" i="3"/>
  <c r="D656" i="3"/>
  <c r="E727" i="3"/>
  <c r="E695" i="3"/>
  <c r="E663" i="3"/>
  <c r="E631" i="3"/>
  <c r="D599" i="3"/>
  <c r="D567" i="3"/>
  <c r="E606" i="3"/>
  <c r="E574" i="3"/>
  <c r="D547" i="3"/>
  <c r="D515" i="3"/>
  <c r="E538" i="3"/>
  <c r="E506" i="3"/>
  <c r="D475" i="3"/>
  <c r="E478" i="3"/>
  <c r="D447" i="3"/>
  <c r="E446" i="3"/>
  <c r="D722" i="3"/>
  <c r="D690" i="3"/>
  <c r="F728" i="3"/>
  <c r="G696" i="3"/>
  <c r="G664" i="3"/>
  <c r="G632" i="3"/>
  <c r="G440" i="3"/>
  <c r="F441" i="3"/>
  <c r="G472" i="3"/>
  <c r="F469" i="3"/>
  <c r="G500" i="3"/>
  <c r="G532" i="3"/>
  <c r="F509" i="3"/>
  <c r="F541" i="3"/>
  <c r="G568" i="3"/>
  <c r="G600" i="3"/>
  <c r="G562" i="3"/>
  <c r="F593" i="3"/>
  <c r="G625" i="3"/>
  <c r="G657" i="3"/>
  <c r="G689" i="3"/>
  <c r="G721" i="3"/>
  <c r="F650" i="3"/>
  <c r="E724" i="3"/>
  <c r="E692" i="3"/>
  <c r="E660" i="3"/>
  <c r="E628" i="3"/>
  <c r="D699" i="3"/>
  <c r="D667" i="3"/>
  <c r="D635" i="3"/>
  <c r="E603" i="3"/>
  <c r="E571" i="3"/>
  <c r="D610" i="3"/>
  <c r="D578" i="3"/>
  <c r="D551" i="3"/>
  <c r="E519" i="3"/>
  <c r="D542" i="3"/>
  <c r="D510" i="3"/>
  <c r="E479" i="3"/>
  <c r="D482" i="3"/>
  <c r="E451" i="3"/>
  <c r="D450" i="3"/>
  <c r="E726" i="3"/>
  <c r="E694" i="3"/>
  <c r="E662" i="3"/>
  <c r="F704" i="3"/>
  <c r="F672" i="3"/>
  <c r="F640" i="3"/>
  <c r="G711" i="3"/>
  <c r="E646" i="3"/>
  <c r="D717" i="3"/>
  <c r="D685" i="3"/>
  <c r="D653" i="3"/>
  <c r="E621" i="3"/>
  <c r="E589" i="3"/>
  <c r="E554" i="3"/>
  <c r="D596" i="3"/>
  <c r="D564" i="3"/>
  <c r="E537" i="3"/>
  <c r="E505" i="3"/>
  <c r="D528" i="3"/>
  <c r="D496" i="3"/>
  <c r="E465" i="3"/>
  <c r="D468" i="3"/>
  <c r="E437" i="3"/>
  <c r="D436" i="3"/>
  <c r="G706" i="3"/>
  <c r="F430" i="3"/>
  <c r="G431" i="3"/>
  <c r="F462" i="3"/>
  <c r="G458" i="3"/>
  <c r="G491" i="3"/>
  <c r="F522" i="3"/>
  <c r="G499" i="3"/>
  <c r="G531" i="3"/>
  <c r="G552" i="3"/>
  <c r="F590" i="3"/>
  <c r="F622" i="3"/>
  <c r="G583" i="3"/>
  <c r="G615" i="3"/>
  <c r="F647" i="3"/>
  <c r="F679" i="3"/>
  <c r="F686" i="3"/>
  <c r="D642" i="3"/>
  <c r="E713" i="3"/>
  <c r="E681" i="3"/>
  <c r="E649" i="3"/>
  <c r="D617" i="3"/>
  <c r="D585" i="3"/>
  <c r="D624" i="3"/>
  <c r="E592" i="3"/>
  <c r="D556" i="3"/>
  <c r="D533" i="3"/>
  <c r="D501" i="3"/>
  <c r="E524" i="3"/>
  <c r="E493" i="3"/>
  <c r="D461" i="3"/>
  <c r="E464" i="3"/>
  <c r="D433" i="3"/>
  <c r="E432" i="3"/>
  <c r="F714" i="3"/>
  <c r="G438" i="3"/>
  <c r="F439" i="3"/>
  <c r="G470" i="3"/>
  <c r="F467" i="3"/>
  <c r="G498" i="3"/>
  <c r="G530" i="3"/>
  <c r="F507" i="3"/>
  <c r="F539" i="3"/>
  <c r="G566" i="3"/>
  <c r="G598" i="3"/>
  <c r="D558" i="3"/>
  <c r="F591" i="3"/>
  <c r="F623" i="3"/>
  <c r="G655" i="3"/>
  <c r="G687" i="3"/>
  <c r="F432" i="3"/>
  <c r="G433" i="3"/>
  <c r="F464" i="3"/>
  <c r="G461" i="3"/>
  <c r="F493" i="3"/>
  <c r="F524" i="3"/>
  <c r="G501" i="3"/>
  <c r="G533" i="3"/>
  <c r="G556" i="3"/>
  <c r="F592" i="3"/>
  <c r="G624" i="3"/>
  <c r="G585" i="3"/>
  <c r="G617" i="3"/>
  <c r="F649" i="3"/>
  <c r="F681" i="3"/>
  <c r="F713" i="3"/>
  <c r="G642" i="3"/>
  <c r="D729" i="3"/>
  <c r="D700" i="3"/>
  <c r="D668" i="3"/>
  <c r="D636" i="3"/>
  <c r="E707" i="3"/>
  <c r="E675" i="3"/>
  <c r="E643" i="3"/>
  <c r="D611" i="3"/>
  <c r="D579" i="3"/>
  <c r="E618" i="3"/>
  <c r="E586" i="3"/>
  <c r="G559" i="3"/>
  <c r="D527" i="3"/>
  <c r="F494" i="3"/>
  <c r="E518" i="3"/>
  <c r="D487" i="3"/>
  <c r="E490" i="3"/>
  <c r="G459" i="3"/>
  <c r="D427" i="3"/>
  <c r="D731" i="3"/>
  <c r="D702" i="3"/>
  <c r="D670" i="3"/>
  <c r="G708" i="3"/>
  <c r="G676" i="3"/>
  <c r="G644" i="3"/>
  <c r="G428" i="3"/>
  <c r="F429" i="3"/>
  <c r="F460" i="3"/>
  <c r="G492" i="3"/>
  <c r="F489" i="3"/>
  <c r="G520" i="3"/>
  <c r="F497" i="3"/>
  <c r="F529" i="3"/>
  <c r="G561" i="3"/>
  <c r="G588" i="3"/>
  <c r="G620" i="3"/>
  <c r="F581" i="3"/>
  <c r="F613" i="3"/>
  <c r="G645" i="3"/>
  <c r="G677" i="3"/>
  <c r="G709" i="3"/>
  <c r="F638" i="3"/>
  <c r="G674" i="3"/>
  <c r="E704" i="3"/>
  <c r="E672" i="3"/>
  <c r="E640" i="3"/>
  <c r="D711" i="3"/>
  <c r="D679" i="3"/>
  <c r="D647" i="3"/>
  <c r="E615" i="3"/>
  <c r="E583" i="3"/>
  <c r="D622" i="3"/>
  <c r="D590" i="3"/>
  <c r="E552" i="3"/>
  <c r="E531" i="3"/>
  <c r="E499" i="3"/>
  <c r="D522" i="3"/>
  <c r="E491" i="3"/>
  <c r="E458" i="3"/>
  <c r="D462" i="3"/>
  <c r="E431" i="3"/>
  <c r="D430" i="3"/>
  <c r="E706" i="3"/>
  <c r="E674" i="3"/>
  <c r="F716" i="3"/>
  <c r="F684" i="3"/>
  <c r="F652" i="3"/>
  <c r="G723" i="3"/>
  <c r="E658" i="3"/>
  <c r="E626" i="3"/>
  <c r="D697" i="3"/>
  <c r="D665" i="3"/>
  <c r="D633" i="3"/>
  <c r="E601" i="3"/>
  <c r="E569" i="3"/>
  <c r="D608" i="3"/>
  <c r="D576" i="3"/>
  <c r="D549" i="3"/>
  <c r="E517" i="3"/>
  <c r="D540" i="3"/>
  <c r="D508" i="3"/>
  <c r="E477" i="3"/>
  <c r="D480" i="3"/>
  <c r="E449" i="3"/>
  <c r="D448" i="3"/>
  <c r="G694" i="3"/>
  <c r="G726" i="3"/>
  <c r="F450" i="3"/>
  <c r="G451" i="3"/>
  <c r="F482" i="3"/>
  <c r="G479" i="3"/>
  <c r="F510" i="3"/>
  <c r="F542" i="3"/>
  <c r="G519" i="3"/>
  <c r="F551" i="3"/>
  <c r="F578" i="3"/>
  <c r="F610" i="3"/>
  <c r="G571" i="3"/>
  <c r="G603" i="3"/>
  <c r="F635" i="3"/>
  <c r="F667" i="3"/>
  <c r="F699" i="3"/>
  <c r="D654" i="3"/>
  <c r="E725" i="3"/>
  <c r="E693" i="3"/>
  <c r="E661" i="3"/>
  <c r="E629" i="3"/>
  <c r="D597" i="3"/>
  <c r="D565" i="3"/>
  <c r="E604" i="3"/>
  <c r="E572" i="3"/>
  <c r="D545" i="3"/>
  <c r="D513" i="3"/>
  <c r="E536" i="3"/>
  <c r="E504" i="3"/>
  <c r="D473" i="3"/>
  <c r="E476" i="3"/>
  <c r="D445" i="3"/>
  <c r="E444" i="3"/>
  <c r="F702" i="3"/>
  <c r="F731" i="3"/>
  <c r="F427" i="3"/>
  <c r="E459" i="3"/>
  <c r="G490" i="3"/>
  <c r="F487" i="3"/>
  <c r="G518" i="3"/>
  <c r="D494" i="3"/>
  <c r="F527" i="3"/>
  <c r="E559" i="3"/>
  <c r="G586" i="3"/>
  <c r="G618" i="3"/>
  <c r="F579" i="3"/>
  <c r="F611" i="3"/>
  <c r="G643" i="3"/>
  <c r="G675" i="3"/>
  <c r="F707" i="3"/>
  <c r="F452" i="3"/>
  <c r="G453" i="3"/>
  <c r="F484" i="3"/>
  <c r="G481" i="3"/>
  <c r="F512" i="3"/>
  <c r="F544" i="3"/>
  <c r="G521" i="3"/>
  <c r="F553" i="3"/>
  <c r="F580" i="3"/>
  <c r="F612" i="3"/>
  <c r="G573" i="3"/>
  <c r="G605" i="3"/>
  <c r="F637" i="3"/>
  <c r="F669" i="3"/>
  <c r="F701" i="3"/>
  <c r="G630" i="3"/>
  <c r="G662" i="3"/>
  <c r="D712" i="3"/>
  <c r="D680" i="3"/>
  <c r="D648" i="3"/>
  <c r="E719" i="3"/>
  <c r="E687" i="3"/>
  <c r="E655" i="3"/>
  <c r="D623" i="3"/>
  <c r="D591" i="3"/>
  <c r="F558" i="3"/>
  <c r="E598" i="3"/>
  <c r="E566" i="3"/>
  <c r="D539" i="3"/>
  <c r="D507" i="3"/>
  <c r="E530" i="3"/>
  <c r="E498" i="3"/>
  <c r="D467" i="3"/>
  <c r="E470" i="3"/>
  <c r="D439" i="3"/>
  <c r="E438" i="3"/>
  <c r="D714" i="3"/>
  <c r="D682" i="3"/>
  <c r="G720" i="3"/>
  <c r="G688" i="3"/>
  <c r="G656" i="3"/>
  <c r="F727" i="3"/>
  <c r="G448" i="3"/>
  <c r="F449" i="3"/>
  <c r="G480" i="3"/>
  <c r="F477" i="3"/>
  <c r="G508" i="3"/>
  <c r="G540" i="3"/>
  <c r="F517" i="3"/>
  <c r="G549" i="3"/>
  <c r="G576" i="3"/>
  <c r="G608" i="3"/>
  <c r="F569" i="3"/>
  <c r="F601" i="3"/>
  <c r="G633" i="3"/>
  <c r="G665" i="3"/>
  <c r="G697" i="3"/>
  <c r="F626" i="3"/>
  <c r="F658" i="3"/>
  <c r="E716" i="3"/>
  <c r="E684" i="3"/>
  <c r="E652" i="3"/>
  <c r="D723" i="3"/>
  <c r="D691" i="3"/>
  <c r="D659" i="3"/>
  <c r="D627" i="3"/>
  <c r="E595" i="3"/>
  <c r="E563" i="3"/>
  <c r="D602" i="3"/>
  <c r="D570" i="3"/>
  <c r="E543" i="3"/>
  <c r="E511" i="3"/>
  <c r="D534" i="3"/>
  <c r="D502" i="3"/>
  <c r="E471" i="3"/>
  <c r="D474" i="3"/>
  <c r="E443" i="3"/>
  <c r="D442" i="3"/>
  <c r="E718" i="3"/>
  <c r="E686" i="3"/>
  <c r="G728" i="3"/>
  <c r="F696" i="3"/>
  <c r="F664" i="3"/>
  <c r="F632" i="3"/>
  <c r="F682" i="3"/>
  <c r="E638" i="3"/>
  <c r="D709" i="3"/>
  <c r="D677" i="3"/>
  <c r="D645" i="3"/>
  <c r="E613" i="3"/>
  <c r="E581" i="3"/>
  <c r="D620" i="3"/>
  <c r="D588" i="3"/>
  <c r="D561" i="3"/>
  <c r="E529" i="3"/>
  <c r="E497" i="3"/>
  <c r="D520" i="3"/>
  <c r="E489" i="3"/>
  <c r="D492" i="3"/>
  <c r="E460" i="3"/>
  <c r="E429" i="3"/>
  <c r="D428" i="3"/>
  <c r="G714" i="3"/>
  <c r="F438" i="3"/>
  <c r="G439" i="3"/>
  <c r="F470" i="3"/>
  <c r="G467" i="3"/>
  <c r="F498" i="3"/>
  <c r="F530" i="3"/>
  <c r="G507" i="3"/>
  <c r="G539" i="3"/>
  <c r="F566" i="3"/>
  <c r="F598" i="3"/>
  <c r="G558" i="3"/>
  <c r="G591" i="3"/>
  <c r="G623" i="3"/>
  <c r="F655" i="3"/>
  <c r="F687" i="3"/>
  <c r="F670" i="3"/>
  <c r="D634" i="3"/>
  <c r="E705" i="3"/>
  <c r="E673" i="3"/>
  <c r="E641" i="3"/>
  <c r="D609" i="3"/>
  <c r="D577" i="3"/>
  <c r="E616" i="3"/>
  <c r="E584" i="3"/>
  <c r="E557" i="3"/>
  <c r="D525" i="3"/>
  <c r="E548" i="3"/>
  <c r="E516" i="3"/>
  <c r="D485" i="3"/>
  <c r="E488" i="3"/>
  <c r="E457" i="3"/>
  <c r="E456" i="3"/>
  <c r="F690" i="3"/>
  <c r="F722" i="3"/>
  <c r="G446" i="3"/>
  <c r="F447" i="3"/>
  <c r="G478" i="3"/>
  <c r="F475" i="3"/>
  <c r="G506" i="3"/>
  <c r="G538" i="3"/>
  <c r="F515" i="3"/>
  <c r="F547" i="3"/>
  <c r="G574" i="3"/>
  <c r="G606" i="3"/>
  <c r="F567" i="3"/>
  <c r="F599" i="3"/>
  <c r="G631" i="3"/>
  <c r="G663" i="3"/>
  <c r="G695" i="3"/>
  <c r="F440" i="3"/>
  <c r="G441" i="3"/>
  <c r="F472" i="3"/>
  <c r="G469" i="3"/>
  <c r="F500" i="3"/>
  <c r="F532" i="3"/>
  <c r="G509" i="3"/>
  <c r="G541" i="3"/>
  <c r="F568" i="3"/>
  <c r="F600" i="3"/>
  <c r="F562" i="3"/>
  <c r="G593" i="3"/>
  <c r="F625" i="3"/>
  <c r="F657" i="3"/>
  <c r="F689" i="3"/>
  <c r="F721" i="3"/>
  <c r="G650" i="3"/>
  <c r="D724" i="3"/>
  <c r="D692" i="3"/>
  <c r="D660" i="3"/>
  <c r="D628" i="3"/>
  <c r="E699" i="3"/>
  <c r="E667" i="3"/>
  <c r="E635" i="3"/>
  <c r="D603" i="3"/>
  <c r="D571" i="3"/>
  <c r="E610" i="3"/>
  <c r="E578" i="3"/>
  <c r="G551" i="3"/>
  <c r="D519" i="3"/>
  <c r="E542" i="3"/>
  <c r="E510" i="3"/>
  <c r="D479" i="3"/>
  <c r="E482" i="3"/>
  <c r="D451" i="3"/>
  <c r="E450" i="3"/>
  <c r="D726" i="3"/>
  <c r="D694" i="3"/>
  <c r="G729" i="3"/>
  <c r="G700" i="3"/>
  <c r="G668" i="3"/>
  <c r="G636" i="3"/>
  <c r="G436" i="3"/>
  <c r="F437" i="3"/>
  <c r="G468" i="3"/>
  <c r="F465" i="3"/>
  <c r="G496" i="3"/>
  <c r="G528" i="3"/>
  <c r="F505" i="3"/>
  <c r="F537" i="3"/>
  <c r="G564" i="3"/>
  <c r="G596" i="3"/>
  <c r="D554" i="3"/>
  <c r="F589" i="3"/>
  <c r="F621" i="3"/>
  <c r="G653" i="3"/>
  <c r="G685" i="3"/>
  <c r="G717" i="3"/>
  <c r="F646" i="3"/>
  <c r="D728" i="3"/>
  <c r="E696" i="3"/>
  <c r="E664" i="3"/>
  <c r="E632" i="3"/>
  <c r="D703" i="3"/>
  <c r="D671" i="3"/>
  <c r="D639" i="3"/>
  <c r="E607" i="3"/>
  <c r="E575" i="3"/>
  <c r="D614" i="3"/>
  <c r="D582" i="3"/>
  <c r="D555" i="3"/>
  <c r="E523" i="3"/>
  <c r="D546" i="3"/>
  <c r="D514" i="3"/>
  <c r="E483" i="3"/>
  <c r="D486" i="3"/>
  <c r="E455" i="3"/>
  <c r="D454" i="3"/>
  <c r="D730" i="3"/>
  <c r="E698" i="3"/>
  <c r="E666" i="3"/>
  <c r="F708" i="3"/>
  <c r="F676" i="3"/>
  <c r="F644" i="3"/>
  <c r="G715" i="3"/>
  <c r="E650" i="3"/>
  <c r="D721" i="3"/>
  <c r="D689" i="3"/>
  <c r="D657" i="3"/>
  <c r="D625" i="3"/>
  <c r="E593" i="3"/>
  <c r="E562" i="3"/>
  <c r="D600" i="3"/>
  <c r="D568" i="3"/>
  <c r="E541" i="3"/>
  <c r="E509" i="3"/>
  <c r="D532" i="3"/>
  <c r="D500" i="3"/>
  <c r="E469" i="3"/>
  <c r="D472" i="3"/>
  <c r="E441" i="3"/>
  <c r="D440" i="3"/>
  <c r="G702" i="3"/>
  <c r="G731" i="3"/>
  <c r="G427" i="3"/>
  <c r="F459" i="3"/>
  <c r="F490" i="3"/>
  <c r="G487" i="3"/>
  <c r="F518" i="3"/>
  <c r="G494" i="3"/>
  <c r="G527" i="3"/>
  <c r="F559" i="3"/>
  <c r="F586" i="3"/>
  <c r="F618" i="3"/>
  <c r="G579" i="3"/>
  <c r="G611" i="3"/>
  <c r="F643" i="3"/>
  <c r="F675" i="3"/>
  <c r="F711" i="3"/>
  <c r="D646" i="3"/>
  <c r="E717" i="3"/>
  <c r="E685" i="3"/>
  <c r="E653" i="3"/>
  <c r="D621" i="3"/>
  <c r="D589" i="3"/>
  <c r="F554" i="3"/>
  <c r="E596" i="3"/>
  <c r="E564" i="3"/>
  <c r="D537" i="3"/>
  <c r="D505" i="3"/>
  <c r="E528" i="3"/>
  <c r="E496" i="3"/>
  <c r="D465" i="3"/>
  <c r="E468" i="3"/>
  <c r="D437" i="3"/>
  <c r="E436" i="3"/>
  <c r="F710" i="3"/>
  <c r="G434" i="3"/>
  <c r="F435" i="3"/>
  <c r="G466" i="3"/>
  <c r="F463" i="3"/>
  <c r="E495" i="3"/>
  <c r="G526" i="3"/>
  <c r="F503" i="3"/>
  <c r="F535" i="3"/>
  <c r="F560" i="3"/>
  <c r="G594" i="3"/>
  <c r="D550" i="3"/>
  <c r="F587" i="3"/>
  <c r="F619" i="3"/>
  <c r="G651" i="3"/>
  <c r="G683" i="3"/>
  <c r="F428" i="3"/>
  <c r="G429" i="3"/>
  <c r="G460" i="3"/>
  <c r="F492" i="3"/>
  <c r="G489" i="3"/>
  <c r="F520" i="3"/>
  <c r="G497" i="3"/>
  <c r="G529" i="3"/>
  <c r="F561" i="3"/>
  <c r="F588" i="3"/>
  <c r="F620" i="3"/>
  <c r="G581" i="3"/>
  <c r="G613" i="3"/>
  <c r="F645" i="3"/>
  <c r="F677" i="3"/>
  <c r="F709" i="3"/>
  <c r="G638" i="3"/>
  <c r="G678" i="3"/>
  <c r="D704" i="3"/>
  <c r="D672" i="3"/>
  <c r="D640" i="3"/>
  <c r="E711" i="3"/>
  <c r="E679" i="3"/>
  <c r="E647" i="3"/>
  <c r="D615" i="3"/>
  <c r="D583" i="3"/>
  <c r="E622" i="3"/>
  <c r="E590" i="3"/>
  <c r="D552" i="3"/>
  <c r="D531" i="3"/>
  <c r="D499" i="3"/>
  <c r="E522" i="3"/>
  <c r="D491" i="3"/>
  <c r="F458" i="3"/>
  <c r="E462" i="3"/>
  <c r="D431" i="3"/>
  <c r="E430" i="3"/>
  <c r="D706" i="3"/>
  <c r="D674" i="3"/>
  <c r="G712" i="3"/>
  <c r="G680" i="3"/>
  <c r="G648" i="3"/>
  <c r="F719" i="3"/>
  <c r="G456" i="3"/>
  <c r="G457" i="3"/>
  <c r="G488" i="3"/>
  <c r="F485" i="3"/>
  <c r="G516" i="3"/>
  <c r="G548" i="3"/>
  <c r="F525" i="3"/>
  <c r="G557" i="3"/>
  <c r="G584" i="3"/>
  <c r="G616" i="3"/>
  <c r="F577" i="3"/>
  <c r="F609" i="3"/>
  <c r="G641" i="3"/>
  <c r="G673" i="3"/>
  <c r="G705" i="3"/>
  <c r="F634" i="3"/>
  <c r="G666" i="3"/>
  <c r="E708" i="3"/>
  <c r="E676" i="3"/>
  <c r="E644" i="3"/>
  <c r="D715" i="3"/>
  <c r="D683" i="3"/>
  <c r="D651" i="3"/>
  <c r="E619" i="3"/>
  <c r="E587" i="3"/>
  <c r="E550" i="3"/>
  <c r="D594" i="3"/>
  <c r="E560" i="3"/>
  <c r="E535" i="3"/>
  <c r="E503" i="3"/>
  <c r="D526" i="3"/>
  <c r="D495" i="3"/>
  <c r="E463" i="3"/>
  <c r="D466" i="3"/>
  <c r="E435" i="3"/>
  <c r="D434" i="3"/>
  <c r="E710" i="3"/>
  <c r="E678" i="3"/>
  <c r="F720" i="3"/>
  <c r="F688" i="3"/>
  <c r="F656" i="3"/>
  <c r="G727" i="3"/>
  <c r="F666" i="3"/>
  <c r="E630" i="3"/>
  <c r="D701" i="3"/>
  <c r="D669" i="3"/>
  <c r="D637" i="3"/>
  <c r="E605" i="3"/>
  <c r="E573" i="3"/>
  <c r="D612" i="3"/>
  <c r="D580" i="3"/>
  <c r="D553" i="3"/>
  <c r="E521" i="3"/>
  <c r="D544" i="3"/>
  <c r="D512" i="3"/>
  <c r="E481" i="3"/>
  <c r="D484" i="3"/>
  <c r="E453" i="3"/>
  <c r="D452" i="3"/>
  <c r="G690" i="3"/>
  <c r="G722" i="3"/>
  <c r="F446" i="3"/>
  <c r="G447" i="3"/>
  <c r="F478" i="3"/>
  <c r="G475" i="3"/>
  <c r="F506" i="3"/>
  <c r="F538" i="3"/>
  <c r="G515" i="3"/>
  <c r="G547" i="3"/>
  <c r="F574" i="3"/>
  <c r="F606" i="3"/>
  <c r="G567" i="3"/>
  <c r="G599" i="3"/>
  <c r="F631" i="3"/>
  <c r="F663" i="3"/>
  <c r="F695" i="3"/>
  <c r="D658" i="3"/>
  <c r="D626" i="3"/>
  <c r="E697" i="3"/>
  <c r="E665" i="3"/>
  <c r="E633" i="3"/>
  <c r="D601" i="3"/>
  <c r="D569" i="3"/>
  <c r="E608" i="3"/>
  <c r="E576" i="3"/>
  <c r="E549" i="3"/>
  <c r="D517" i="3"/>
  <c r="E540" i="3"/>
  <c r="E508" i="3"/>
  <c r="D477" i="3"/>
  <c r="E480" i="3"/>
  <c r="D449" i="3"/>
  <c r="E448" i="3"/>
  <c r="F698" i="3"/>
  <c r="G730" i="3"/>
  <c r="G454" i="3"/>
  <c r="F455" i="3"/>
  <c r="G486" i="3"/>
  <c r="F483" i="3"/>
  <c r="G514" i="3"/>
  <c r="G546" i="3"/>
  <c r="F523" i="3"/>
  <c r="E555" i="3"/>
  <c r="G582" i="3"/>
  <c r="G614" i="3"/>
  <c r="F575" i="3"/>
  <c r="F607" i="3"/>
  <c r="G639" i="3"/>
  <c r="G671" i="3"/>
  <c r="E426" i="3"/>
  <c r="G426" i="3"/>
  <c r="D426" i="3"/>
  <c r="F426" i="3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D413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E421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D415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F409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G417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G423" i="3"/>
  <c r="D425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E417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F413" i="3"/>
  <c r="E423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G401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G411" i="3"/>
  <c r="F401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F419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D423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G40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D417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F423" i="3"/>
  <c r="E425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D401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G413" i="3"/>
  <c r="E402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G419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15" i="3"/>
  <c r="D37" i="3"/>
  <c r="D90" i="3"/>
  <c r="E99" i="3"/>
  <c r="G14" i="3"/>
  <c r="E35" i="3"/>
  <c r="G60" i="3"/>
  <c r="F57" i="3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F411" i="3"/>
  <c r="E401" i="3"/>
  <c r="D414" i="3"/>
  <c r="E386" i="3"/>
  <c r="E354" i="3"/>
  <c r="E322" i="3"/>
  <c r="E265" i="3"/>
  <c r="D387" i="3"/>
  <c r="D355" i="3"/>
  <c r="D323" i="3"/>
  <c r="E271" i="3"/>
  <c r="E217" i="3"/>
  <c r="E169" i="3"/>
  <c r="D290" i="3"/>
  <c r="D258" i="3"/>
  <c r="D226" i="3"/>
  <c r="E187" i="3"/>
  <c r="E138" i="3"/>
  <c r="D176" i="3"/>
  <c r="D144" i="3"/>
  <c r="E117" i="3"/>
  <c r="E85" i="3"/>
  <c r="D108" i="3"/>
  <c r="E74" i="3"/>
  <c r="E51" i="3"/>
  <c r="D54" i="3"/>
  <c r="D29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F425" i="3"/>
  <c r="E411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G405" i="3"/>
  <c r="D409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F415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D411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E405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G421" i="3"/>
  <c r="E44" i="3"/>
  <c r="D69" i="3"/>
  <c r="E64" i="3"/>
  <c r="D135" i="3"/>
  <c r="G19" i="3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F313" i="3"/>
  <c r="F345" i="3"/>
  <c r="F377" i="3"/>
  <c r="G245" i="3"/>
  <c r="G309" i="3"/>
  <c r="G344" i="3"/>
  <c r="G376" i="3"/>
  <c r="G403" i="3"/>
  <c r="D421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F183" i="3"/>
  <c r="G224" i="3"/>
  <c r="G256" i="3"/>
  <c r="G288" i="3"/>
  <c r="D165" i="3"/>
  <c r="F215" i="3"/>
  <c r="F267" i="3"/>
  <c r="G321" i="3"/>
  <c r="G353" i="3"/>
  <c r="G385" i="3"/>
  <c r="D261" i="3"/>
  <c r="F320" i="3"/>
  <c r="F352" i="3"/>
  <c r="F384" i="3"/>
  <c r="G412" i="3"/>
  <c r="E413" i="3"/>
  <c r="D422" i="3"/>
  <c r="E394" i="3"/>
  <c r="E362" i="3"/>
  <c r="E330" i="3"/>
  <c r="E281" i="3"/>
  <c r="D395" i="3"/>
  <c r="D363" i="3"/>
  <c r="D331" i="3"/>
  <c r="E287" i="3"/>
  <c r="E225" i="3"/>
  <c r="E185" i="3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D20" i="3"/>
  <c r="F405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G16" i="3"/>
  <c r="F32" i="3"/>
  <c r="D26" i="3"/>
  <c r="G63" i="3"/>
  <c r="G88" i="3"/>
  <c r="G120" i="3"/>
  <c r="F97" i="3"/>
  <c r="G129" i="3"/>
  <c r="G156" i="3"/>
  <c r="G188" i="3"/>
  <c r="F149" i="3"/>
  <c r="G206" i="3"/>
  <c r="E238" i="3"/>
  <c r="E270" i="3"/>
  <c r="E302" i="3"/>
  <c r="D193" i="3"/>
  <c r="F231" i="3"/>
  <c r="F295" i="3"/>
  <c r="G335" i="3"/>
  <c r="G367" i="3"/>
  <c r="G399" i="3"/>
  <c r="D289" i="3"/>
  <c r="F334" i="3"/>
  <c r="F366" i="3"/>
  <c r="F398" i="3"/>
  <c r="F417" i="3"/>
  <c r="E419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G425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G415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28" i="3"/>
  <c r="D61" i="3"/>
  <c r="D114" i="3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D405" i="3"/>
  <c r="E409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D419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F421" i="3"/>
  <c r="E415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A461" i="6"/>
  <c r="A712" i="6"/>
  <c r="A696" i="6"/>
  <c r="A502" i="6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D485" i="2"/>
  <c r="A485" i="5" s="1"/>
  <c r="D453" i="2"/>
  <c r="A453" i="5" s="1"/>
  <c r="D420" i="2"/>
  <c r="A420" i="5" s="1"/>
  <c r="D388" i="2"/>
  <c r="D354" i="2"/>
  <c r="A354" i="5" s="1"/>
  <c r="D322" i="2"/>
  <c r="A322" i="5" s="1"/>
  <c r="D290" i="2"/>
  <c r="A290" i="5" s="1"/>
  <c r="D258" i="2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D395" i="2"/>
  <c r="A395" i="5" s="1"/>
  <c r="D427" i="2"/>
  <c r="A427" i="5" s="1"/>
  <c r="D458" i="2"/>
  <c r="A458" i="5" s="1"/>
  <c r="D490" i="2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E172" i="2"/>
  <c r="D237" i="2"/>
  <c r="A237" i="5" s="1"/>
  <c r="E301" i="2"/>
  <c r="E365" i="2"/>
  <c r="E430" i="2"/>
  <c r="E494" i="2"/>
  <c r="E558" i="2"/>
  <c r="D621" i="2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D400" i="2"/>
  <c r="A400" i="5" s="1"/>
  <c r="E26" i="2"/>
  <c r="E103" i="2"/>
  <c r="D167" i="2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495" i="6" l="1"/>
  <c r="A639" i="6"/>
  <c r="A677" i="6"/>
  <c r="A675" i="6"/>
  <c r="A592" i="6"/>
  <c r="A680" i="6"/>
  <c r="A629" i="6"/>
  <c r="A1049" i="5"/>
  <c r="A985" i="5"/>
  <c r="A921" i="5"/>
  <c r="A860" i="5"/>
  <c r="A794" i="5"/>
  <c r="A1086" i="5"/>
  <c r="A1022" i="5"/>
  <c r="A958" i="5"/>
  <c r="A897" i="5"/>
  <c r="A752" i="5"/>
  <c r="A1067" i="5"/>
  <c r="A1003" i="5"/>
  <c r="A939" i="5"/>
  <c r="A878" i="5"/>
  <c r="A812" i="5"/>
  <c r="A1040" i="5"/>
  <c r="A976" i="5"/>
  <c r="A912" i="5"/>
  <c r="A851" i="5"/>
  <c r="A1085" i="5"/>
  <c r="A1021" i="5"/>
  <c r="A957" i="5"/>
  <c r="A896" i="5"/>
  <c r="A832" i="5"/>
  <c r="A1058" i="5"/>
  <c r="A994" i="5"/>
  <c r="A930" i="5"/>
  <c r="A869" i="5"/>
  <c r="A750" i="5"/>
  <c r="A743" i="5"/>
  <c r="A753" i="5"/>
  <c r="A771" i="5"/>
  <c r="A693" i="6"/>
  <c r="A333" i="6"/>
  <c r="A247" i="6"/>
  <c r="A185" i="6"/>
  <c r="A465" i="6"/>
  <c r="A657" i="6"/>
  <c r="A811" i="5"/>
  <c r="A53" i="6"/>
  <c r="A261" i="6"/>
  <c r="A176" i="6"/>
  <c r="A258" i="6"/>
  <c r="A605" i="6"/>
  <c r="A669" i="6"/>
  <c r="A673" i="6"/>
  <c r="A494" i="6"/>
  <c r="A470" i="6"/>
  <c r="A661" i="6"/>
  <c r="A827" i="5"/>
  <c r="A1081" i="5"/>
  <c r="A1017" i="5"/>
  <c r="A953" i="5"/>
  <c r="A892" i="5"/>
  <c r="A828" i="5"/>
  <c r="A1054" i="5"/>
  <c r="A990" i="5"/>
  <c r="A926" i="5"/>
  <c r="A865" i="5"/>
  <c r="A797" i="5"/>
  <c r="A1035" i="5"/>
  <c r="A971" i="5"/>
  <c r="A907" i="5"/>
  <c r="A846" i="5"/>
  <c r="A779" i="5"/>
  <c r="A1072" i="5"/>
  <c r="A1008" i="5"/>
  <c r="A944" i="5"/>
  <c r="A883" i="5"/>
  <c r="A820" i="5"/>
  <c r="A755" i="5"/>
  <c r="A1053" i="5"/>
  <c r="A989" i="5"/>
  <c r="A925" i="5"/>
  <c r="A864" i="5"/>
  <c r="A798" i="5"/>
  <c r="A1090" i="5"/>
  <c r="A1026" i="5"/>
  <c r="A962" i="5"/>
  <c r="A901" i="5"/>
  <c r="A773" i="5"/>
  <c r="A807" i="5"/>
  <c r="A767" i="5"/>
  <c r="A822" i="5"/>
  <c r="A757" i="5"/>
  <c r="A821" i="5"/>
  <c r="A751" i="5"/>
  <c r="A769" i="5"/>
  <c r="A741" i="5"/>
  <c r="A906" i="5"/>
  <c r="A759" i="5"/>
  <c r="A799" i="5"/>
  <c r="A787" i="5"/>
  <c r="A739" i="5"/>
  <c r="A1039" i="5"/>
  <c r="A975" i="5"/>
  <c r="A911" i="5"/>
  <c r="A850" i="5"/>
  <c r="A784" i="5"/>
  <c r="A1076" i="5"/>
  <c r="A1012" i="5"/>
  <c r="A948" i="5"/>
  <c r="A887" i="5"/>
  <c r="A762" i="5"/>
  <c r="A1057" i="5"/>
  <c r="A993" i="5"/>
  <c r="A929" i="5"/>
  <c r="A868" i="5"/>
  <c r="A802" i="5"/>
  <c r="A1094" i="5"/>
  <c r="A1030" i="5"/>
  <c r="A966" i="5"/>
  <c r="A905" i="5"/>
  <c r="A744" i="5"/>
  <c r="A1075" i="5"/>
  <c r="A1011" i="5"/>
  <c r="A947" i="5"/>
  <c r="A886" i="5"/>
  <c r="A1048" i="5"/>
  <c r="A984" i="5"/>
  <c r="A920" i="5"/>
  <c r="A859" i="5"/>
  <c r="A809" i="5"/>
  <c r="A1093" i="5"/>
  <c r="A1029" i="5"/>
  <c r="A965" i="5"/>
  <c r="A904" i="5"/>
  <c r="A840" i="5"/>
  <c r="A1066" i="5"/>
  <c r="A1002" i="5"/>
  <c r="A938" i="5"/>
  <c r="A877" i="5"/>
  <c r="A774" i="5"/>
  <c r="A1047" i="5"/>
  <c r="A983" i="5"/>
  <c r="A919" i="5"/>
  <c r="A858" i="5"/>
  <c r="A792" i="5"/>
  <c r="A1084" i="5"/>
  <c r="A1020" i="5"/>
  <c r="A956" i="5"/>
  <c r="A895" i="5"/>
  <c r="A754" i="5"/>
  <c r="A791" i="5"/>
  <c r="A772" i="5"/>
  <c r="A1033" i="5"/>
  <c r="A969" i="5"/>
  <c r="A844" i="5"/>
  <c r="A777" i="5"/>
  <c r="A1070" i="5"/>
  <c r="A1006" i="5"/>
  <c r="A942" i="5"/>
  <c r="A881" i="5"/>
  <c r="A768" i="5"/>
  <c r="A1051" i="5"/>
  <c r="A987" i="5"/>
  <c r="A923" i="5"/>
  <c r="A862" i="5"/>
  <c r="A796" i="5"/>
  <c r="A1088" i="5"/>
  <c r="A1024" i="5"/>
  <c r="A960" i="5"/>
  <c r="A899" i="5"/>
  <c r="A1069" i="5"/>
  <c r="A1005" i="5"/>
  <c r="A941" i="5"/>
  <c r="A880" i="5"/>
  <c r="A814" i="5"/>
  <c r="A1042" i="5"/>
  <c r="A978" i="5"/>
  <c r="A914" i="5"/>
  <c r="A853" i="5"/>
  <c r="A825" i="5"/>
  <c r="A1087" i="5"/>
  <c r="A1023" i="5"/>
  <c r="A959" i="5"/>
  <c r="A898" i="5"/>
  <c r="A834" i="5"/>
  <c r="A1060" i="5"/>
  <c r="A996" i="5"/>
  <c r="A932" i="5"/>
  <c r="A871" i="5"/>
  <c r="A785" i="5"/>
  <c r="A776" i="5"/>
  <c r="A1041" i="5"/>
  <c r="A977" i="5"/>
  <c r="A913" i="5"/>
  <c r="A852" i="5"/>
  <c r="A786" i="5"/>
  <c r="A1078" i="5"/>
  <c r="A1014" i="5"/>
  <c r="A950" i="5"/>
  <c r="A889" i="5"/>
  <c r="A760" i="5"/>
  <c r="A761" i="5"/>
  <c r="A1059" i="5"/>
  <c r="A995" i="5"/>
  <c r="A931" i="5"/>
  <c r="A870" i="5"/>
  <c r="A804" i="5"/>
  <c r="A1096" i="5"/>
  <c r="A1032" i="5"/>
  <c r="A968" i="5"/>
  <c r="A742" i="5"/>
  <c r="A845" i="5"/>
  <c r="A835" i="5"/>
  <c r="A1077" i="5"/>
  <c r="A1013" i="5"/>
  <c r="A949" i="5"/>
  <c r="A888" i="5"/>
  <c r="A824" i="5"/>
  <c r="A1050" i="5"/>
  <c r="A986" i="5"/>
  <c r="A922" i="5"/>
  <c r="A861" i="5"/>
  <c r="A805" i="5"/>
  <c r="A795" i="5"/>
  <c r="A1095" i="5"/>
  <c r="A1031" i="5"/>
  <c r="A967" i="5"/>
  <c r="A842" i="5"/>
  <c r="A775" i="5"/>
  <c r="A1068" i="5"/>
  <c r="A1004" i="5"/>
  <c r="A940" i="5"/>
  <c r="A879" i="5"/>
  <c r="A770" i="5"/>
  <c r="A837" i="5"/>
  <c r="A193" i="6"/>
  <c r="A435" i="6"/>
  <c r="A538" i="6"/>
  <c r="A719" i="6"/>
  <c r="A766" i="5"/>
  <c r="A748" i="5"/>
  <c r="A1071" i="5"/>
  <c r="A1007" i="5"/>
  <c r="A943" i="5"/>
  <c r="A882" i="5"/>
  <c r="A816" i="5"/>
  <c r="A1044" i="5"/>
  <c r="A980" i="5"/>
  <c r="A916" i="5"/>
  <c r="A855" i="5"/>
  <c r="A1089" i="5"/>
  <c r="A1025" i="5"/>
  <c r="A961" i="5"/>
  <c r="A900" i="5"/>
  <c r="A836" i="5"/>
  <c r="A1062" i="5"/>
  <c r="A998" i="5"/>
  <c r="A934" i="5"/>
  <c r="A873" i="5"/>
  <c r="A1043" i="5"/>
  <c r="A979" i="5"/>
  <c r="A915" i="5"/>
  <c r="A854" i="5"/>
  <c r="A788" i="5"/>
  <c r="A1080" i="5"/>
  <c r="A1016" i="5"/>
  <c r="A952" i="5"/>
  <c r="A891" i="5"/>
  <c r="A758" i="5"/>
  <c r="A1061" i="5"/>
  <c r="A997" i="5"/>
  <c r="A933" i="5"/>
  <c r="A872" i="5"/>
  <c r="A806" i="5"/>
  <c r="A1034" i="5"/>
  <c r="A970" i="5"/>
  <c r="A740" i="5"/>
  <c r="A841" i="5"/>
  <c r="A831" i="5"/>
  <c r="A1079" i="5"/>
  <c r="A1015" i="5"/>
  <c r="A951" i="5"/>
  <c r="A890" i="5"/>
  <c r="A826" i="5"/>
  <c r="A1052" i="5"/>
  <c r="A988" i="5"/>
  <c r="A924" i="5"/>
  <c r="A863" i="5"/>
  <c r="A1065" i="5"/>
  <c r="A1001" i="5"/>
  <c r="A937" i="5"/>
  <c r="A876" i="5"/>
  <c r="A810" i="5"/>
  <c r="A1038" i="5"/>
  <c r="A974" i="5"/>
  <c r="A910" i="5"/>
  <c r="A849" i="5"/>
  <c r="A819" i="5"/>
  <c r="A1083" i="5"/>
  <c r="A1019" i="5"/>
  <c r="A955" i="5"/>
  <c r="A894" i="5"/>
  <c r="A830" i="5"/>
  <c r="A1056" i="5"/>
  <c r="A992" i="5"/>
  <c r="A928" i="5"/>
  <c r="A867" i="5"/>
  <c r="A1037" i="5"/>
  <c r="A973" i="5"/>
  <c r="A909" i="5"/>
  <c r="A848" i="5"/>
  <c r="A781" i="5"/>
  <c r="A1074" i="5"/>
  <c r="A1010" i="5"/>
  <c r="A946" i="5"/>
  <c r="A885" i="5"/>
  <c r="A764" i="5"/>
  <c r="A1055" i="5"/>
  <c r="A991" i="5"/>
  <c r="A927" i="5"/>
  <c r="A866" i="5"/>
  <c r="A800" i="5"/>
  <c r="A1092" i="5"/>
  <c r="A1028" i="5"/>
  <c r="A964" i="5"/>
  <c r="A903" i="5"/>
  <c r="A746" i="5"/>
  <c r="A1073" i="5"/>
  <c r="A1009" i="5"/>
  <c r="A945" i="5"/>
  <c r="A884" i="5"/>
  <c r="A818" i="5"/>
  <c r="A1046" i="5"/>
  <c r="A982" i="5"/>
  <c r="A918" i="5"/>
  <c r="A857" i="5"/>
  <c r="A813" i="5"/>
  <c r="A803" i="5"/>
  <c r="A1091" i="5"/>
  <c r="A1027" i="5"/>
  <c r="A963" i="5"/>
  <c r="A902" i="5"/>
  <c r="A838" i="5"/>
  <c r="A1064" i="5"/>
  <c r="A1000" i="5"/>
  <c r="A936" i="5"/>
  <c r="A875" i="5"/>
  <c r="A778" i="5"/>
  <c r="A747" i="5"/>
  <c r="A1045" i="5"/>
  <c r="A981" i="5"/>
  <c r="A917" i="5"/>
  <c r="A856" i="5"/>
  <c r="A790" i="5"/>
  <c r="A1082" i="5"/>
  <c r="A1018" i="5"/>
  <c r="A954" i="5"/>
  <c r="A893" i="5"/>
  <c r="A756" i="5"/>
  <c r="A765" i="5"/>
  <c r="A1063" i="5"/>
  <c r="A999" i="5"/>
  <c r="A935" i="5"/>
  <c r="A874" i="5"/>
  <c r="A808" i="5"/>
  <c r="A1036" i="5"/>
  <c r="A972" i="5"/>
  <c r="A908" i="5"/>
  <c r="A847" i="5"/>
  <c r="A843" i="5"/>
  <c r="A517" i="6"/>
  <c r="A576" i="6"/>
  <c r="A547" i="6"/>
  <c r="A475" i="6"/>
  <c r="A672" i="6"/>
  <c r="A472" i="6"/>
  <c r="A450" i="6"/>
  <c r="A578" i="6"/>
  <c r="A511" i="6"/>
  <c r="A563" i="6"/>
  <c r="A725" i="6"/>
  <c r="A126" i="6"/>
  <c r="A317" i="6"/>
  <c r="A316" i="6"/>
  <c r="A469" i="6"/>
  <c r="A16" i="5"/>
  <c r="A318" i="5"/>
  <c r="A523" i="6"/>
  <c r="A462" i="6"/>
  <c r="A499" i="6"/>
  <c r="A636" i="6"/>
  <c r="A467" i="6"/>
  <c r="A610" i="6"/>
  <c r="A667" i="6"/>
  <c r="A627" i="6"/>
  <c r="A442" i="6"/>
  <c r="A642" i="6"/>
  <c r="A686" i="6"/>
  <c r="A194" i="6"/>
  <c r="A120" i="6"/>
  <c r="A94" i="5"/>
  <c r="A621" i="5"/>
  <c r="A108" i="5"/>
  <c r="A490" i="5"/>
  <c r="A361" i="5"/>
  <c r="A10" i="5"/>
  <c r="A497" i="6"/>
  <c r="A623" i="6"/>
  <c r="A294" i="5"/>
  <c r="A167" i="5"/>
  <c r="A488" i="5"/>
  <c r="A258" i="5"/>
  <c r="A388" i="5"/>
  <c r="A517" i="5"/>
  <c r="A24" i="6"/>
  <c r="A287" i="6"/>
  <c r="A150" i="6"/>
  <c r="A85" i="6"/>
  <c r="A367" i="6"/>
  <c r="A254" i="6"/>
  <c r="A263" i="6"/>
  <c r="A350" i="6"/>
  <c r="A239" i="6"/>
  <c r="A260" i="6"/>
  <c r="A175" i="6"/>
  <c r="A252" i="6"/>
  <c r="A128" i="6"/>
  <c r="A315" i="6"/>
  <c r="A74" i="6"/>
  <c r="A217" i="6"/>
  <c r="A110" i="6"/>
  <c r="A244" i="6"/>
  <c r="A234" i="6"/>
  <c r="A313" i="6"/>
  <c r="A48" i="6"/>
  <c r="A205" i="6"/>
  <c r="A188" i="6"/>
  <c r="A129" i="6"/>
  <c r="A345" i="6"/>
  <c r="A133" i="6"/>
  <c r="A389" i="6"/>
  <c r="A17" i="6"/>
  <c r="A134" i="6"/>
  <c r="A45" i="6"/>
  <c r="A253" i="6"/>
  <c r="A251" i="6"/>
  <c r="A227" i="6"/>
  <c r="A157" i="6"/>
  <c r="A57" i="6"/>
  <c r="A507" i="6"/>
  <c r="A692" i="6"/>
  <c r="A682" i="5"/>
  <c r="A254" i="5"/>
  <c r="A433" i="5"/>
  <c r="A731" i="5"/>
  <c r="A678" i="5"/>
  <c r="A577" i="5"/>
  <c r="A456" i="5"/>
  <c r="A60" i="5"/>
  <c r="A188" i="5"/>
  <c r="A705" i="5"/>
  <c r="A306" i="5"/>
  <c r="A469" i="5"/>
  <c r="A597" i="5"/>
  <c r="A677" i="5"/>
  <c r="A189" i="6"/>
  <c r="A365" i="6"/>
  <c r="A121" i="6"/>
  <c r="A279" i="6"/>
  <c r="A359" i="6"/>
  <c r="A418" i="6"/>
  <c r="A409" i="6"/>
  <c r="A19" i="6"/>
  <c r="A18" i="6"/>
  <c r="A296" i="6"/>
  <c r="A106" i="6"/>
  <c r="A270" i="5"/>
  <c r="A638" i="5"/>
  <c r="A408" i="5"/>
  <c r="A278" i="5"/>
  <c r="A45" i="5"/>
  <c r="A35" i="5"/>
  <c r="A220" i="5"/>
  <c r="A608" i="5"/>
  <c r="A611" i="5"/>
  <c r="A223" i="5"/>
  <c r="A708" i="5"/>
  <c r="A197" i="5"/>
  <c r="A69" i="5"/>
  <c r="A114" i="6"/>
  <c r="A374" i="6"/>
  <c r="A674" i="5"/>
  <c r="A654" i="5"/>
  <c r="A153" i="6"/>
  <c r="A43" i="6"/>
  <c r="A58" i="6"/>
  <c r="A326" i="6"/>
  <c r="A382" i="6"/>
  <c r="A655" i="5"/>
  <c r="A138" i="5"/>
  <c r="A11" i="5"/>
  <c r="A52" i="5"/>
  <c r="A117" i="5"/>
  <c r="A180" i="5"/>
  <c r="A244" i="5"/>
  <c r="A632" i="5"/>
  <c r="A697" i="5"/>
  <c r="A610" i="5"/>
  <c r="A13" i="5"/>
  <c r="A293" i="6"/>
  <c r="A483" i="6"/>
  <c r="A535" i="6"/>
  <c r="A336" i="6"/>
  <c r="A715" i="5"/>
  <c r="A508" i="5"/>
  <c r="A381" i="5"/>
  <c r="A596" i="5"/>
  <c r="A468" i="5"/>
  <c r="A335" i="5"/>
  <c r="A425" i="5"/>
  <c r="A162" i="5"/>
  <c r="A529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<sst xmlns="http://schemas.openxmlformats.org/spreadsheetml/2006/main" count="68" uniqueCount="47">
  <si>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</si>
  <si>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</si>
  <si>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</si>
  <si>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</si>
  <si>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</si>
  <si>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</si>
  <si>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</si>
  <si>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</si>
  <si>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</si>
  <si>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</si>
  <si>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</si>
  <si>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</si>
  <si>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</si>
  <si>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</si>
  <si>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</si>
  <si>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</si>
  <si>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</si>
  <si>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</si>
  <si>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</si>
  <si>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</si>
  <si>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</si>
  <si>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</si>
  <si>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</si>
  <si>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</si>
  <si>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</si>
  <si>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</si>
  <si>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</si>
  <si>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</si>
  <si>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</si>
  <si>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</si>
  <si>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</si>
  <si>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</si>
  <si>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</si>
  <si>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</si>
  <si>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</si>
  <si>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</si>
  <si>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</si>
  <si>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</si>
  <si>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</si>
  <si>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</si>
  <si>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</si>
  <si>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</si>
  <si>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</si>
  <si>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</si>
  <si>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</si>
  <si>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</si>
  <si>
    <t>Bolivar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</si>
</sst>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General_0_0_0"/>
    <numFmt numFmtId="174" formatCode="0.000_,_0"/>
    <numFmt numFmtId="175" formatCode="0.0_,_0_0"/>
    <numFmt numFmtId="176" formatCode="0.0_0_0;\-0.0_0_0;0.0_0_0;@_0_0_0"/>
    <numFmt numFmtId="177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3" borderId="5" xfId="0" applyNumberFormat="1" applyFill="1" applyBorder="1" applyProtection="1">
      <protection locked="0"/>
    </xf>
    <xf numFmtId="173" fontId="0" fillId="3" borderId="0" xfId="0" applyNumberFormat="1" applyFill="1" applyBorder="1" applyProtection="1">
      <protection locked="0"/>
    </xf>
    <xf numFmtId="173" fontId="0" fillId="3" borderId="5" xfId="0" applyNumberFormat="1" applyFill="1" applyBorder="1" applyAlignment="1" applyProtection="1">
      <alignment horizontal="right"/>
      <protection locked="0"/>
    </xf>
    <xf numFmtId="174" fontId="0" fillId="4" borderId="5" xfId="0" applyNumberFormat="1" applyFill="1" applyBorder="1"/>
    <xf numFmtId="174" fontId="0" fillId="4" borderId="0" xfId="0" applyNumberFormat="1" applyFill="1" applyBorder="1"/>
    <xf numFmtId="175" fontId="0" fillId="3" borderId="5" xfId="0" applyNumberFormat="1" applyFill="1" applyBorder="1"/>
    <xf numFmtId="175" fontId="0" fillId="3" borderId="0" xfId="0" applyNumberFormat="1" applyFill="1" applyBorder="1"/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165" fontId="0" fillId="5" borderId="0" xfId="0" applyNumberFormat="1" applyFill="1" applyBorder="1" applyProtection="1">
      <protection locked="0"/>
    </xf>
    <xf numFmtId="165" fontId="0" fillId="5" borderId="0" xfId="0" applyNumberFormat="1" applyFill="1" applyBorder="1" applyAlignment="1" applyProtection="1">
      <protection locked="0"/>
    </xf>
    <xf numFmtId="165" fontId="0" fillId="5" borderId="0" xfId="0" applyNumberFormat="1" applyFill="1" applyBorder="1" applyAlignment="1" applyProtection="1">
      <alignment horizontal="right"/>
      <protection locked="0"/>
    </xf>
    <xf numFmtId="171" fontId="0" fillId="5" borderId="0" xfId="0" applyNumberFormat="1" applyFill="1" applyBorder="1"/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G353" sqref="G353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2" t="s">
        <v>29</v>
      </c>
      <c r="B1" s="52"/>
      <c r="C1" s="52"/>
      <c r="D1" s="52"/>
      <c r="E1" s="52"/>
      <c r="F1" s="52"/>
      <c r="G1" s="52"/>
      <c r="H1" s="52"/>
    </row>
    <row r="3" spans="1:8" x14ac:dyDescent="0.25">
      <c r="A3" s="50" t="s">
        <v>0</v>
      </c>
      <c r="B3" s="47" t="s">
        <v>30</v>
      </c>
      <c r="C3" s="48"/>
      <c r="D3" s="47" t="s">
        <v>31</v>
      </c>
      <c r="E3" s="48"/>
      <c r="F3" s="47" t="s">
        <v>1</v>
      </c>
      <c r="G3" s="48"/>
      <c r="H3" s="49"/>
    </row>
    <row r="4" spans="1:8" x14ac:dyDescent="0.25">
      <c r="A4" s="51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3" t="s">
        <v>35</v>
      </c>
      <c r="H4" s="4" t="s">
        <v>46</v>
      </c>
    </row>
    <row r="5" spans="1:8" x14ac:dyDescent="0.25">
      <c r="A5" s="1">
        <f ca="1">DATE(VALUE(MID(CELL("bestandsnaam"),FIND(".",CELL("bestandsnaam"))-4,4)),1,1)</f>
        <v>12055</v>
      </c>
      <c r="B5" s="30">
        <v>7590</v>
      </c>
      <c r="C5" s="31">
        <v>7590</v>
      </c>
      <c r="D5" s="34">
        <v>280</v>
      </c>
      <c r="E5" s="35">
        <v>285</v>
      </c>
      <c r="F5" s="5">
        <v>50</v>
      </c>
      <c r="G5" s="43">
        <v>170</v>
      </c>
      <c r="H5" s="6"/>
    </row>
    <row r="6" spans="1:8" x14ac:dyDescent="0.25">
      <c r="A6" s="1">
        <f ca="1">IF(ISTEXT(A5),A4+1,IF(MONTH(A5+1)=MONTH(A5),A5+1,"Totaal"))</f>
        <v>12056</v>
      </c>
      <c r="B6" s="30">
        <v>7590</v>
      </c>
      <c r="C6" s="31">
        <v>7590</v>
      </c>
      <c r="D6" s="34">
        <v>285</v>
      </c>
      <c r="E6" s="35">
        <v>285</v>
      </c>
      <c r="F6" s="7">
        <v>0</v>
      </c>
      <c r="G6" s="44">
        <v>0</v>
      </c>
      <c r="H6" s="6"/>
    </row>
    <row r="7" spans="1:8" x14ac:dyDescent="0.25">
      <c r="A7" s="1">
        <f t="shared" ref="A7:A70" ca="1" si="0">IF(ISTEXT(A6),A5+1,IF(MONTH(A6+1)=MONTH(A6),A6+1,"Totaal"))</f>
        <v>12057</v>
      </c>
      <c r="B7" s="30">
        <v>7590</v>
      </c>
      <c r="C7" s="31">
        <v>7590</v>
      </c>
      <c r="D7" s="36">
        <v>280</v>
      </c>
      <c r="E7" s="35">
        <v>285</v>
      </c>
      <c r="F7" s="8">
        <v>30</v>
      </c>
      <c r="G7" s="45">
        <v>0</v>
      </c>
      <c r="H7" s="6"/>
    </row>
    <row r="8" spans="1:8" x14ac:dyDescent="0.25">
      <c r="A8" s="1">
        <f t="shared" ca="1" si="0"/>
        <v>12058</v>
      </c>
      <c r="B8" s="30">
        <v>7590</v>
      </c>
      <c r="C8" s="31">
        <v>7590</v>
      </c>
      <c r="D8" s="34">
        <v>280</v>
      </c>
      <c r="E8" s="35">
        <v>285</v>
      </c>
      <c r="F8" s="5">
        <v>0</v>
      </c>
      <c r="G8" s="43">
        <v>0</v>
      </c>
      <c r="H8" s="6"/>
    </row>
    <row r="9" spans="1:8" x14ac:dyDescent="0.25">
      <c r="A9" s="1">
        <f t="shared" ca="1" si="0"/>
        <v>12059</v>
      </c>
      <c r="B9" s="30">
        <v>7590</v>
      </c>
      <c r="C9" s="31">
        <v>7590</v>
      </c>
      <c r="D9" s="34">
        <v>280</v>
      </c>
      <c r="E9" s="35">
        <v>285</v>
      </c>
      <c r="F9" s="5">
        <v>0</v>
      </c>
      <c r="G9" s="43">
        <v>0</v>
      </c>
      <c r="H9" s="6"/>
    </row>
    <row r="10" spans="1:8" x14ac:dyDescent="0.25">
      <c r="A10" s="1">
        <f t="shared" ca="1" si="0"/>
        <v>12060</v>
      </c>
      <c r="B10" s="30">
        <v>7590</v>
      </c>
      <c r="C10" s="31">
        <v>7590</v>
      </c>
      <c r="D10" s="34">
        <v>280</v>
      </c>
      <c r="E10" s="35">
        <v>285</v>
      </c>
      <c r="F10" s="5">
        <v>40</v>
      </c>
      <c r="G10" s="43">
        <v>40</v>
      </c>
      <c r="H10" s="6"/>
    </row>
    <row r="11" spans="1:8" x14ac:dyDescent="0.25">
      <c r="A11" s="1">
        <f t="shared" ca="1" si="0"/>
        <v>12061</v>
      </c>
      <c r="B11" s="30">
        <v>7590</v>
      </c>
      <c r="C11" s="31">
        <v>7580</v>
      </c>
      <c r="D11" s="34">
        <v>275</v>
      </c>
      <c r="E11" s="35">
        <v>285</v>
      </c>
      <c r="F11" s="5">
        <v>110</v>
      </c>
      <c r="G11" s="43">
        <v>33</v>
      </c>
      <c r="H11" s="6"/>
    </row>
    <row r="12" spans="1:8" x14ac:dyDescent="0.25">
      <c r="A12" s="1">
        <f t="shared" ca="1" si="0"/>
        <v>12062</v>
      </c>
      <c r="B12" s="30">
        <v>7590</v>
      </c>
      <c r="C12" s="31">
        <v>7590</v>
      </c>
      <c r="D12" s="34">
        <v>280</v>
      </c>
      <c r="E12" s="35">
        <v>280</v>
      </c>
      <c r="F12" s="5">
        <v>0</v>
      </c>
      <c r="G12" s="43">
        <v>45</v>
      </c>
      <c r="H12" s="6"/>
    </row>
    <row r="13" spans="1:8" x14ac:dyDescent="0.25">
      <c r="A13" s="1">
        <f t="shared" ca="1" si="0"/>
        <v>12063</v>
      </c>
      <c r="B13" s="30">
        <v>7590</v>
      </c>
      <c r="C13" s="31">
        <v>7590</v>
      </c>
      <c r="D13" s="34">
        <v>280</v>
      </c>
      <c r="E13" s="35">
        <v>290</v>
      </c>
      <c r="F13" s="5">
        <v>0</v>
      </c>
      <c r="G13" s="43">
        <v>12</v>
      </c>
      <c r="H13" s="6"/>
    </row>
    <row r="14" spans="1:8" x14ac:dyDescent="0.25">
      <c r="A14" s="1">
        <f t="shared" ca="1" si="0"/>
        <v>12064</v>
      </c>
      <c r="B14" s="30">
        <v>7590</v>
      </c>
      <c r="C14" s="31">
        <v>7590</v>
      </c>
      <c r="D14" s="34">
        <v>270</v>
      </c>
      <c r="E14" s="35">
        <v>285</v>
      </c>
      <c r="F14" s="5">
        <v>41</v>
      </c>
      <c r="G14" s="43">
        <v>24</v>
      </c>
      <c r="H14" s="6"/>
    </row>
    <row r="15" spans="1:8" x14ac:dyDescent="0.25">
      <c r="A15" s="1">
        <f t="shared" ca="1" si="0"/>
        <v>12065</v>
      </c>
      <c r="B15" s="30">
        <v>7590</v>
      </c>
      <c r="C15" s="31">
        <v>7590</v>
      </c>
      <c r="D15" s="34">
        <v>270</v>
      </c>
      <c r="E15" s="35">
        <v>280</v>
      </c>
      <c r="F15" s="5">
        <v>40</v>
      </c>
      <c r="G15" s="43">
        <v>134</v>
      </c>
      <c r="H15" s="6"/>
    </row>
    <row r="16" spans="1:8" x14ac:dyDescent="0.25">
      <c r="A16" s="1">
        <f t="shared" ca="1" si="0"/>
        <v>12066</v>
      </c>
      <c r="B16" s="30">
        <v>7590</v>
      </c>
      <c r="C16" s="31">
        <v>7590</v>
      </c>
      <c r="D16" s="34">
        <v>270</v>
      </c>
      <c r="E16" s="35">
        <v>280</v>
      </c>
      <c r="F16" s="5">
        <v>70</v>
      </c>
      <c r="G16" s="43">
        <v>32</v>
      </c>
      <c r="H16" s="6"/>
    </row>
    <row r="17" spans="1:8" x14ac:dyDescent="0.25">
      <c r="A17" s="1">
        <f t="shared" ca="1" si="0"/>
        <v>12067</v>
      </c>
      <c r="B17" s="30">
        <v>7590</v>
      </c>
      <c r="C17" s="31">
        <v>7590</v>
      </c>
      <c r="D17" s="34">
        <v>280</v>
      </c>
      <c r="E17" s="35">
        <v>280</v>
      </c>
      <c r="F17" s="5">
        <v>0</v>
      </c>
      <c r="G17" s="43">
        <v>0</v>
      </c>
      <c r="H17" s="6"/>
    </row>
    <row r="18" spans="1:8" x14ac:dyDescent="0.25">
      <c r="A18" s="1">
        <f t="shared" ca="1" si="0"/>
        <v>12068</v>
      </c>
      <c r="B18" s="30">
        <v>7590</v>
      </c>
      <c r="C18" s="31">
        <v>7590</v>
      </c>
      <c r="D18" s="34">
        <v>260</v>
      </c>
      <c r="E18" s="35">
        <v>265</v>
      </c>
      <c r="F18" s="5">
        <v>220</v>
      </c>
      <c r="G18" s="43">
        <v>208</v>
      </c>
      <c r="H18" s="6"/>
    </row>
    <row r="19" spans="1:8" x14ac:dyDescent="0.25">
      <c r="A19" s="1">
        <f t="shared" ca="1" si="0"/>
        <v>12069</v>
      </c>
      <c r="B19" s="30">
        <v>7590</v>
      </c>
      <c r="C19" s="31">
        <v>7590</v>
      </c>
      <c r="D19" s="34">
        <v>265</v>
      </c>
      <c r="E19" s="35">
        <v>270</v>
      </c>
      <c r="F19" s="5">
        <v>80</v>
      </c>
      <c r="G19" s="43">
        <v>54</v>
      </c>
      <c r="H19" s="6"/>
    </row>
    <row r="20" spans="1:8" x14ac:dyDescent="0.25">
      <c r="A20" s="1">
        <f t="shared" ca="1" si="0"/>
        <v>12070</v>
      </c>
      <c r="B20" s="30">
        <v>7590</v>
      </c>
      <c r="C20" s="31">
        <v>7590</v>
      </c>
      <c r="D20" s="34">
        <v>265</v>
      </c>
      <c r="E20" s="35">
        <v>270</v>
      </c>
      <c r="F20" s="5">
        <v>40</v>
      </c>
      <c r="G20" s="43">
        <v>445</v>
      </c>
      <c r="H20" s="6"/>
    </row>
    <row r="21" spans="1:8" x14ac:dyDescent="0.25">
      <c r="A21" s="1">
        <f t="shared" ca="1" si="0"/>
        <v>12071</v>
      </c>
      <c r="B21" s="30">
        <v>7590</v>
      </c>
      <c r="C21" s="31">
        <v>7590</v>
      </c>
      <c r="D21" s="34">
        <v>250</v>
      </c>
      <c r="E21" s="35">
        <v>270</v>
      </c>
      <c r="F21" s="5">
        <v>0</v>
      </c>
      <c r="G21" s="43">
        <v>174</v>
      </c>
      <c r="H21" s="6"/>
    </row>
    <row r="22" spans="1:8" x14ac:dyDescent="0.25">
      <c r="A22" s="1">
        <f t="shared" ca="1" si="0"/>
        <v>12072</v>
      </c>
      <c r="B22" s="30">
        <v>7590</v>
      </c>
      <c r="C22" s="31">
        <v>7590</v>
      </c>
      <c r="D22" s="34">
        <v>270</v>
      </c>
      <c r="E22" s="35">
        <v>265</v>
      </c>
      <c r="F22" s="5">
        <v>145</v>
      </c>
      <c r="G22" s="43">
        <v>62</v>
      </c>
      <c r="H22" s="6"/>
    </row>
    <row r="23" spans="1:8" x14ac:dyDescent="0.25">
      <c r="A23" s="1">
        <f t="shared" ca="1" si="0"/>
        <v>12073</v>
      </c>
      <c r="B23" s="30">
        <v>7590</v>
      </c>
      <c r="C23" s="31">
        <v>7590</v>
      </c>
      <c r="D23" s="34">
        <v>265</v>
      </c>
      <c r="E23" s="35">
        <v>270</v>
      </c>
      <c r="F23" s="5">
        <v>0</v>
      </c>
      <c r="G23" s="43">
        <v>0</v>
      </c>
      <c r="H23" s="6"/>
    </row>
    <row r="24" spans="1:8" x14ac:dyDescent="0.25">
      <c r="A24" s="1">
        <f t="shared" ca="1" si="0"/>
        <v>12074</v>
      </c>
      <c r="B24" s="30">
        <v>7590</v>
      </c>
      <c r="C24" s="31">
        <v>7590</v>
      </c>
      <c r="D24" s="34">
        <v>270</v>
      </c>
      <c r="E24" s="35">
        <v>270</v>
      </c>
      <c r="F24" s="5">
        <v>0</v>
      </c>
      <c r="G24" s="43">
        <v>0</v>
      </c>
      <c r="H24" s="6"/>
    </row>
    <row r="25" spans="1:8" x14ac:dyDescent="0.25">
      <c r="A25" s="1">
        <f t="shared" ca="1" si="0"/>
        <v>12075</v>
      </c>
      <c r="B25" s="30">
        <v>7590</v>
      </c>
      <c r="C25" s="31">
        <v>7590</v>
      </c>
      <c r="D25" s="34">
        <v>270</v>
      </c>
      <c r="E25" s="35">
        <v>270</v>
      </c>
      <c r="F25" s="5">
        <v>22</v>
      </c>
      <c r="G25" s="43">
        <v>0</v>
      </c>
      <c r="H25" s="6"/>
    </row>
    <row r="26" spans="1:8" x14ac:dyDescent="0.25">
      <c r="A26" s="1">
        <f t="shared" ca="1" si="0"/>
        <v>12076</v>
      </c>
      <c r="B26" s="30">
        <v>7590</v>
      </c>
      <c r="C26" s="31">
        <v>7590</v>
      </c>
      <c r="D26" s="34">
        <v>270</v>
      </c>
      <c r="E26" s="35">
        <v>270</v>
      </c>
      <c r="F26" s="5">
        <v>0</v>
      </c>
      <c r="G26" s="43">
        <v>0</v>
      </c>
      <c r="H26" s="6"/>
    </row>
    <row r="27" spans="1:8" x14ac:dyDescent="0.25">
      <c r="A27" s="1">
        <f t="shared" ca="1" si="0"/>
        <v>12077</v>
      </c>
      <c r="B27" s="30">
        <v>7590</v>
      </c>
      <c r="C27" s="31">
        <v>7590</v>
      </c>
      <c r="D27" s="34">
        <v>270</v>
      </c>
      <c r="E27" s="35">
        <v>280</v>
      </c>
      <c r="F27" s="5">
        <v>0</v>
      </c>
      <c r="G27" s="43">
        <v>0</v>
      </c>
      <c r="H27" s="6"/>
    </row>
    <row r="28" spans="1:8" x14ac:dyDescent="0.25">
      <c r="A28" s="1">
        <f t="shared" ca="1" si="0"/>
        <v>12078</v>
      </c>
      <c r="B28" s="30">
        <v>7590</v>
      </c>
      <c r="C28" s="31">
        <v>7590</v>
      </c>
      <c r="D28" s="34">
        <v>270</v>
      </c>
      <c r="E28" s="35">
        <v>280</v>
      </c>
      <c r="F28" s="5">
        <v>0</v>
      </c>
      <c r="G28" s="43">
        <v>30</v>
      </c>
      <c r="H28" s="6"/>
    </row>
    <row r="29" spans="1:8" x14ac:dyDescent="0.25">
      <c r="A29" s="1">
        <f t="shared" ca="1" si="0"/>
        <v>12079</v>
      </c>
      <c r="B29" s="30">
        <v>7590</v>
      </c>
      <c r="C29" s="31">
        <v>7590</v>
      </c>
      <c r="D29" s="34">
        <v>265</v>
      </c>
      <c r="E29" s="35">
        <v>280</v>
      </c>
      <c r="F29" s="5">
        <v>0</v>
      </c>
      <c r="G29" s="43">
        <v>15</v>
      </c>
      <c r="H29" s="6"/>
    </row>
    <row r="30" spans="1:8" x14ac:dyDescent="0.25">
      <c r="A30" s="1">
        <f t="shared" ca="1" si="0"/>
        <v>12080</v>
      </c>
      <c r="B30" s="30">
        <v>7590</v>
      </c>
      <c r="C30" s="31">
        <v>7590</v>
      </c>
      <c r="D30" s="34">
        <v>265</v>
      </c>
      <c r="E30" s="35">
        <v>280</v>
      </c>
      <c r="F30" s="5">
        <v>0</v>
      </c>
      <c r="G30" s="43">
        <v>0</v>
      </c>
      <c r="H30" s="6"/>
    </row>
    <row r="31" spans="1:8" x14ac:dyDescent="0.25">
      <c r="A31" s="1">
        <f t="shared" ca="1" si="0"/>
        <v>12081</v>
      </c>
      <c r="B31" s="30">
        <v>7590</v>
      </c>
      <c r="C31" s="31">
        <v>7590</v>
      </c>
      <c r="D31" s="34">
        <v>270</v>
      </c>
      <c r="E31" s="35">
        <v>280</v>
      </c>
      <c r="F31" s="5">
        <v>11</v>
      </c>
      <c r="G31" s="43">
        <v>0</v>
      </c>
      <c r="H31" s="6"/>
    </row>
    <row r="32" spans="1:8" x14ac:dyDescent="0.25">
      <c r="A32" s="1">
        <f t="shared" ca="1" si="0"/>
        <v>12082</v>
      </c>
      <c r="B32" s="30">
        <v>7590</v>
      </c>
      <c r="C32" s="31">
        <v>7590</v>
      </c>
      <c r="D32" s="34">
        <v>265</v>
      </c>
      <c r="E32" s="35">
        <v>280</v>
      </c>
      <c r="F32" s="5">
        <v>0</v>
      </c>
      <c r="G32" s="43">
        <v>0</v>
      </c>
      <c r="H32" s="6"/>
    </row>
    <row r="33" spans="1:8" x14ac:dyDescent="0.25">
      <c r="A33" s="1">
        <f t="shared" ca="1" si="0"/>
        <v>12083</v>
      </c>
      <c r="B33" s="30">
        <v>7590</v>
      </c>
      <c r="C33" s="31">
        <v>7590</v>
      </c>
      <c r="D33" s="34">
        <v>270</v>
      </c>
      <c r="E33" s="35">
        <v>280</v>
      </c>
      <c r="F33" s="5">
        <v>0</v>
      </c>
      <c r="G33" s="43">
        <v>0</v>
      </c>
      <c r="H33" s="6"/>
    </row>
    <row r="34" spans="1:8" x14ac:dyDescent="0.25">
      <c r="A34" s="1">
        <f t="shared" ca="1" si="0"/>
        <v>12084</v>
      </c>
      <c r="B34" s="30">
        <v>7590</v>
      </c>
      <c r="C34" s="31">
        <v>7590</v>
      </c>
      <c r="D34" s="34">
        <v>280</v>
      </c>
      <c r="E34" s="35">
        <v>280</v>
      </c>
      <c r="F34" s="5">
        <v>0</v>
      </c>
      <c r="G34" s="43">
        <v>0</v>
      </c>
      <c r="H34" s="6"/>
    </row>
    <row r="35" spans="1:8" x14ac:dyDescent="0.25">
      <c r="A35" s="1">
        <f t="shared" ca="1" si="0"/>
        <v>12085</v>
      </c>
      <c r="B35" s="30">
        <v>7590</v>
      </c>
      <c r="C35" s="31">
        <v>7590</v>
      </c>
      <c r="D35" s="34">
        <v>280</v>
      </c>
      <c r="E35" s="35">
        <v>290</v>
      </c>
      <c r="F35" s="5">
        <v>11</v>
      </c>
      <c r="G35" s="43">
        <v>0</v>
      </c>
      <c r="H35" s="6"/>
    </row>
    <row r="36" spans="1:8" x14ac:dyDescent="0.25">
      <c r="A36" s="1" t="str">
        <f t="shared" ca="1" si="0"/>
        <v>Totaal</v>
      </c>
      <c r="B36" s="20">
        <f>IF(COUNT(B5:B35)&gt;0,AVERAGE(B5:B35)/10,"")</f>
        <v>759</v>
      </c>
      <c r="C36" s="21">
        <f>IF(COUNT(C5:C35)&gt;0,AVERAGE(C5:C35)/10,"")</f>
        <v>758.9677419354839</v>
      </c>
      <c r="D36" s="39">
        <f>IF(COUNT(D5:D35)&gt;0,AVERAGE(D5:D35)/10,"")</f>
        <v>27.193548387096776</v>
      </c>
      <c r="E36" s="40">
        <f>IF(COUNT(E5:E35)&gt;0,AVERAGE(E5:E35)/10,"")</f>
        <v>27.87096774193548</v>
      </c>
      <c r="F36" s="22">
        <f>SUM(F5:F35)/10</f>
        <v>91</v>
      </c>
      <c r="G36" s="46">
        <f>SUM(G5:G35)/10</f>
        <v>147.80000000000001</v>
      </c>
      <c r="H36" s="23">
        <f>SUM(H5:H35)/10</f>
        <v>0</v>
      </c>
    </row>
    <row r="37" spans="1:8" x14ac:dyDescent="0.25">
      <c r="A37" s="1">
        <f t="shared" ca="1" si="0"/>
        <v>12086</v>
      </c>
      <c r="B37" s="30">
        <v>7590</v>
      </c>
      <c r="C37" s="31">
        <v>7590</v>
      </c>
      <c r="D37" s="34">
        <v>280</v>
      </c>
      <c r="E37" s="35">
        <v>290</v>
      </c>
      <c r="F37" s="5">
        <v>0</v>
      </c>
      <c r="G37" s="43">
        <v>0</v>
      </c>
      <c r="H37" s="6"/>
    </row>
    <row r="38" spans="1:8" x14ac:dyDescent="0.25">
      <c r="A38" s="1">
        <f t="shared" ca="1" si="0"/>
        <v>12087</v>
      </c>
      <c r="B38" s="30">
        <v>7590</v>
      </c>
      <c r="C38" s="31">
        <v>7590</v>
      </c>
      <c r="D38" s="34">
        <v>275</v>
      </c>
      <c r="E38" s="35">
        <v>285</v>
      </c>
      <c r="F38" s="5">
        <v>0</v>
      </c>
      <c r="G38" s="43">
        <v>0</v>
      </c>
      <c r="H38" s="6"/>
    </row>
    <row r="39" spans="1:8" x14ac:dyDescent="0.25">
      <c r="A39" s="1">
        <f t="shared" ca="1" si="0"/>
        <v>12088</v>
      </c>
      <c r="B39" s="30">
        <v>7590</v>
      </c>
      <c r="C39" s="31">
        <v>7590</v>
      </c>
      <c r="D39" s="34">
        <v>275</v>
      </c>
      <c r="E39" s="35">
        <v>280</v>
      </c>
      <c r="F39" s="5">
        <v>0</v>
      </c>
      <c r="G39" s="43">
        <v>0</v>
      </c>
      <c r="H39" s="6"/>
    </row>
    <row r="40" spans="1:8" x14ac:dyDescent="0.25">
      <c r="A40" s="1">
        <f t="shared" ca="1" si="0"/>
        <v>12089</v>
      </c>
      <c r="B40" s="30">
        <v>7590</v>
      </c>
      <c r="C40" s="31">
        <v>7590</v>
      </c>
      <c r="D40" s="34">
        <v>285</v>
      </c>
      <c r="E40" s="35">
        <v>290</v>
      </c>
      <c r="F40" s="5">
        <v>0</v>
      </c>
      <c r="G40" s="43">
        <v>0</v>
      </c>
      <c r="H40" s="6"/>
    </row>
    <row r="41" spans="1:8" x14ac:dyDescent="0.25">
      <c r="A41" s="1">
        <f t="shared" ca="1" si="0"/>
        <v>12090</v>
      </c>
      <c r="B41" s="30">
        <v>7590</v>
      </c>
      <c r="C41" s="31">
        <v>7590</v>
      </c>
      <c r="D41" s="34">
        <v>285</v>
      </c>
      <c r="E41" s="35">
        <v>295</v>
      </c>
      <c r="F41" s="5">
        <v>0</v>
      </c>
      <c r="G41" s="43">
        <v>0</v>
      </c>
      <c r="H41" s="6"/>
    </row>
    <row r="42" spans="1:8" x14ac:dyDescent="0.25">
      <c r="A42" s="1">
        <f t="shared" ca="1" si="0"/>
        <v>12091</v>
      </c>
      <c r="B42" s="30">
        <v>7590</v>
      </c>
      <c r="C42" s="31">
        <v>7590</v>
      </c>
      <c r="D42" s="34">
        <v>285</v>
      </c>
      <c r="E42" s="35">
        <v>295</v>
      </c>
      <c r="F42" s="5">
        <v>0</v>
      </c>
      <c r="G42" s="43">
        <v>0</v>
      </c>
      <c r="H42" s="6"/>
    </row>
    <row r="43" spans="1:8" x14ac:dyDescent="0.25">
      <c r="A43" s="1">
        <f t="shared" ca="1" si="0"/>
        <v>12092</v>
      </c>
      <c r="B43" s="30">
        <v>7590</v>
      </c>
      <c r="C43" s="31">
        <v>7590</v>
      </c>
      <c r="D43" s="34">
        <v>280</v>
      </c>
      <c r="E43" s="35">
        <v>280</v>
      </c>
      <c r="F43" s="5">
        <v>0</v>
      </c>
      <c r="G43" s="43">
        <v>0</v>
      </c>
      <c r="H43" s="6"/>
    </row>
    <row r="44" spans="1:8" x14ac:dyDescent="0.25">
      <c r="A44" s="1">
        <f t="shared" ca="1" si="0"/>
        <v>12093</v>
      </c>
      <c r="B44" s="30">
        <v>7590</v>
      </c>
      <c r="C44" s="31">
        <v>7590</v>
      </c>
      <c r="D44" s="34">
        <v>280</v>
      </c>
      <c r="E44" s="35">
        <v>280</v>
      </c>
      <c r="F44" s="5">
        <v>0</v>
      </c>
      <c r="G44" s="43">
        <v>0</v>
      </c>
      <c r="H44" s="6"/>
    </row>
    <row r="45" spans="1:8" x14ac:dyDescent="0.25">
      <c r="A45" s="1">
        <f t="shared" ca="1" si="0"/>
        <v>12094</v>
      </c>
      <c r="B45" s="30">
        <v>7590</v>
      </c>
      <c r="C45" s="31">
        <v>7590</v>
      </c>
      <c r="D45" s="34">
        <v>270</v>
      </c>
      <c r="E45" s="35">
        <v>270</v>
      </c>
      <c r="F45" s="5">
        <v>96</v>
      </c>
      <c r="G45" s="43">
        <v>51</v>
      </c>
      <c r="H45" s="6"/>
    </row>
    <row r="46" spans="1:8" x14ac:dyDescent="0.25">
      <c r="A46" s="1">
        <f t="shared" ca="1" si="0"/>
        <v>12095</v>
      </c>
      <c r="B46" s="30">
        <v>7590</v>
      </c>
      <c r="C46" s="31">
        <v>7590</v>
      </c>
      <c r="D46" s="34">
        <v>270</v>
      </c>
      <c r="E46" s="35">
        <v>280</v>
      </c>
      <c r="F46" s="5">
        <v>53</v>
      </c>
      <c r="G46" s="43">
        <v>95</v>
      </c>
      <c r="H46" s="6"/>
    </row>
    <row r="47" spans="1:8" x14ac:dyDescent="0.25">
      <c r="A47" s="1">
        <f t="shared" ca="1" si="0"/>
        <v>12096</v>
      </c>
      <c r="B47" s="30">
        <v>7590</v>
      </c>
      <c r="C47" s="31">
        <v>7590</v>
      </c>
      <c r="D47" s="34">
        <v>270</v>
      </c>
      <c r="E47" s="35">
        <v>270</v>
      </c>
      <c r="F47" s="5">
        <v>88</v>
      </c>
      <c r="G47" s="43">
        <v>133</v>
      </c>
      <c r="H47" s="6"/>
    </row>
    <row r="48" spans="1:8" x14ac:dyDescent="0.25">
      <c r="A48" s="1">
        <f t="shared" ca="1" si="0"/>
        <v>12097</v>
      </c>
      <c r="B48" s="30">
        <v>7590</v>
      </c>
      <c r="C48" s="31">
        <v>7590</v>
      </c>
      <c r="D48" s="34">
        <v>270</v>
      </c>
      <c r="E48" s="35">
        <v>270</v>
      </c>
      <c r="F48" s="5">
        <v>0</v>
      </c>
      <c r="G48" s="43">
        <v>0</v>
      </c>
      <c r="H48" s="6"/>
    </row>
    <row r="49" spans="1:8" x14ac:dyDescent="0.25">
      <c r="A49" s="1">
        <f t="shared" ca="1" si="0"/>
        <v>12098</v>
      </c>
      <c r="B49" s="30">
        <v>7590</v>
      </c>
      <c r="C49" s="31">
        <v>7590</v>
      </c>
      <c r="D49" s="34">
        <v>270</v>
      </c>
      <c r="E49" s="35">
        <v>280</v>
      </c>
      <c r="F49" s="5">
        <v>60</v>
      </c>
      <c r="G49" s="43">
        <v>0</v>
      </c>
      <c r="H49" s="6"/>
    </row>
    <row r="50" spans="1:8" x14ac:dyDescent="0.25">
      <c r="A50" s="1">
        <f t="shared" ca="1" si="0"/>
        <v>12099</v>
      </c>
      <c r="B50" s="30">
        <v>7590</v>
      </c>
      <c r="C50" s="31">
        <v>7590</v>
      </c>
      <c r="D50" s="34">
        <v>280</v>
      </c>
      <c r="E50" s="35">
        <v>280</v>
      </c>
      <c r="F50" s="5">
        <v>14</v>
      </c>
      <c r="G50" s="43">
        <v>20</v>
      </c>
      <c r="H50" s="6"/>
    </row>
    <row r="51" spans="1:8" x14ac:dyDescent="0.25">
      <c r="A51" s="1">
        <f t="shared" ca="1" si="0"/>
        <v>12100</v>
      </c>
      <c r="B51" s="30">
        <v>7595</v>
      </c>
      <c r="C51" s="31">
        <v>7590</v>
      </c>
      <c r="D51" s="34">
        <v>260</v>
      </c>
      <c r="E51" s="35">
        <v>270</v>
      </c>
      <c r="F51" s="5">
        <v>0</v>
      </c>
      <c r="G51" s="43">
        <v>12</v>
      </c>
      <c r="H51" s="6"/>
    </row>
    <row r="52" spans="1:8" x14ac:dyDescent="0.25">
      <c r="A52" s="1">
        <f t="shared" ca="1" si="0"/>
        <v>12101</v>
      </c>
      <c r="B52" s="30">
        <v>7595</v>
      </c>
      <c r="C52" s="31">
        <v>7590</v>
      </c>
      <c r="D52" s="34">
        <v>265</v>
      </c>
      <c r="E52" s="35">
        <v>280</v>
      </c>
      <c r="F52" s="5">
        <v>47</v>
      </c>
      <c r="G52" s="43">
        <v>0</v>
      </c>
      <c r="H52" s="6"/>
    </row>
    <row r="53" spans="1:8" x14ac:dyDescent="0.25">
      <c r="A53" s="1">
        <f t="shared" ca="1" si="0"/>
        <v>12102</v>
      </c>
      <c r="B53" s="30">
        <v>7590</v>
      </c>
      <c r="C53" s="31">
        <v>7590</v>
      </c>
      <c r="D53" s="34">
        <v>270</v>
      </c>
      <c r="E53" s="35">
        <v>270</v>
      </c>
      <c r="F53" s="5">
        <v>0</v>
      </c>
      <c r="G53" s="43">
        <v>45</v>
      </c>
      <c r="H53" s="6"/>
    </row>
    <row r="54" spans="1:8" x14ac:dyDescent="0.25">
      <c r="A54" s="1">
        <f t="shared" ca="1" si="0"/>
        <v>12103</v>
      </c>
      <c r="B54" s="30">
        <v>7590</v>
      </c>
      <c r="C54" s="31">
        <v>7590</v>
      </c>
      <c r="D54" s="34">
        <v>270</v>
      </c>
      <c r="E54" s="35">
        <v>280</v>
      </c>
      <c r="F54" s="5">
        <v>20</v>
      </c>
      <c r="G54" s="43">
        <v>0</v>
      </c>
      <c r="H54" s="6"/>
    </row>
    <row r="55" spans="1:8" x14ac:dyDescent="0.25">
      <c r="A55" s="1">
        <f t="shared" ca="1" si="0"/>
        <v>12104</v>
      </c>
      <c r="B55" s="30">
        <v>7590</v>
      </c>
      <c r="C55" s="31">
        <v>7590</v>
      </c>
      <c r="D55" s="34">
        <v>270</v>
      </c>
      <c r="E55" s="35">
        <v>280</v>
      </c>
      <c r="F55" s="5">
        <v>60</v>
      </c>
      <c r="G55" s="43">
        <v>32</v>
      </c>
      <c r="H55" s="6"/>
    </row>
    <row r="56" spans="1:8" x14ac:dyDescent="0.25">
      <c r="A56" s="1">
        <f t="shared" ca="1" si="0"/>
        <v>12105</v>
      </c>
      <c r="B56" s="30">
        <v>7590</v>
      </c>
      <c r="C56" s="31">
        <v>7590</v>
      </c>
      <c r="D56" s="34">
        <v>260</v>
      </c>
      <c r="E56" s="35">
        <v>275</v>
      </c>
      <c r="F56" s="5">
        <v>0</v>
      </c>
      <c r="G56" s="43">
        <v>13</v>
      </c>
      <c r="H56" s="6"/>
    </row>
    <row r="57" spans="1:8" x14ac:dyDescent="0.25">
      <c r="A57" s="1">
        <f t="shared" ca="1" si="0"/>
        <v>12106</v>
      </c>
      <c r="B57" s="30">
        <v>7590</v>
      </c>
      <c r="C57" s="31">
        <v>7595</v>
      </c>
      <c r="D57" s="34">
        <v>265</v>
      </c>
      <c r="E57" s="35">
        <v>270</v>
      </c>
      <c r="F57" s="5">
        <v>15</v>
      </c>
      <c r="G57" s="43">
        <v>0</v>
      </c>
      <c r="H57" s="6"/>
    </row>
    <row r="58" spans="1:8" x14ac:dyDescent="0.25">
      <c r="A58" s="1">
        <f t="shared" ca="1" si="0"/>
        <v>12107</v>
      </c>
      <c r="B58" s="30">
        <v>7595</v>
      </c>
      <c r="C58" s="31">
        <v>7595</v>
      </c>
      <c r="D58" s="34">
        <v>270</v>
      </c>
      <c r="E58" s="35">
        <v>280</v>
      </c>
      <c r="F58" s="5">
        <v>0</v>
      </c>
      <c r="G58" s="43">
        <v>0</v>
      </c>
      <c r="H58" s="6"/>
    </row>
    <row r="59" spans="1:8" x14ac:dyDescent="0.25">
      <c r="A59" s="1">
        <f t="shared" ca="1" si="0"/>
        <v>12108</v>
      </c>
      <c r="B59" s="30">
        <v>7595</v>
      </c>
      <c r="C59" s="31">
        <v>7595</v>
      </c>
      <c r="D59" s="34">
        <v>270</v>
      </c>
      <c r="E59" s="35">
        <v>280</v>
      </c>
      <c r="F59" s="5">
        <v>0</v>
      </c>
      <c r="G59" s="43">
        <v>0</v>
      </c>
      <c r="H59" s="6"/>
    </row>
    <row r="60" spans="1:8" x14ac:dyDescent="0.25">
      <c r="A60" s="1">
        <f t="shared" ca="1" si="0"/>
        <v>12109</v>
      </c>
      <c r="B60" s="30">
        <v>7595</v>
      </c>
      <c r="C60" s="31">
        <v>7595</v>
      </c>
      <c r="D60" s="34">
        <v>270</v>
      </c>
      <c r="E60" s="35">
        <v>280</v>
      </c>
      <c r="F60" s="5">
        <v>0</v>
      </c>
      <c r="G60" s="43">
        <v>0</v>
      </c>
      <c r="H60" s="6"/>
    </row>
    <row r="61" spans="1:8" x14ac:dyDescent="0.25">
      <c r="A61" s="1">
        <f t="shared" ca="1" si="0"/>
        <v>12110</v>
      </c>
      <c r="B61" s="30">
        <v>7595</v>
      </c>
      <c r="C61" s="31">
        <v>7595</v>
      </c>
      <c r="D61" s="34">
        <v>270</v>
      </c>
      <c r="E61" s="35">
        <v>280</v>
      </c>
      <c r="F61" s="5">
        <v>20</v>
      </c>
      <c r="G61" s="43">
        <v>0</v>
      </c>
      <c r="H61" s="6"/>
    </row>
    <row r="62" spans="1:8" x14ac:dyDescent="0.25">
      <c r="A62" s="1">
        <f t="shared" ca="1" si="0"/>
        <v>12111</v>
      </c>
      <c r="B62" s="30">
        <v>7590</v>
      </c>
      <c r="C62" s="31">
        <v>7590</v>
      </c>
      <c r="D62" s="34">
        <v>270</v>
      </c>
      <c r="E62" s="35">
        <v>280</v>
      </c>
      <c r="F62" s="5">
        <v>0</v>
      </c>
      <c r="G62" s="43">
        <v>0</v>
      </c>
      <c r="H62" s="6"/>
    </row>
    <row r="63" spans="1:8" x14ac:dyDescent="0.25">
      <c r="A63" s="1">
        <f t="shared" ca="1" si="0"/>
        <v>12112</v>
      </c>
      <c r="B63" s="30">
        <v>7590</v>
      </c>
      <c r="C63" s="31">
        <v>7590</v>
      </c>
      <c r="D63" s="34">
        <v>270</v>
      </c>
      <c r="E63" s="35">
        <v>280</v>
      </c>
      <c r="F63" s="5">
        <v>0</v>
      </c>
      <c r="G63" s="43">
        <v>0</v>
      </c>
      <c r="H63" s="6"/>
    </row>
    <row r="64" spans="1:8" x14ac:dyDescent="0.25">
      <c r="A64" s="1">
        <f t="shared" ca="1" si="0"/>
        <v>12113</v>
      </c>
      <c r="B64" s="30">
        <v>7590</v>
      </c>
      <c r="C64" s="31">
        <v>7590</v>
      </c>
      <c r="D64" s="34">
        <v>280</v>
      </c>
      <c r="E64" s="35">
        <v>280</v>
      </c>
      <c r="F64" s="5">
        <v>0</v>
      </c>
      <c r="G64" s="43">
        <v>0</v>
      </c>
      <c r="H64" s="6"/>
    </row>
    <row r="65" spans="1:8" x14ac:dyDescent="0.25">
      <c r="A65" s="1" t="str">
        <f t="shared" ca="1" si="0"/>
        <v>Totaal</v>
      </c>
      <c r="B65" s="20">
        <f>IF(COUNT(B37:B64)&gt;0,AVERAGE(B37:B64)/10,"")</f>
        <v>759.10714285714289</v>
      </c>
      <c r="C65" s="21">
        <f>IF(COUNT(C37:C64)&gt;0,AVERAGE(C37:C64)/10,"")</f>
        <v>759.08928571428567</v>
      </c>
      <c r="D65" s="39">
        <f>IF(COUNT(D37:D64)&gt;0,AVERAGE(D37:D64)/10,"")</f>
        <v>27.267857142857146</v>
      </c>
      <c r="E65" s="40">
        <f>IF(COUNT(E37:E64)&gt;0,AVERAGE(E37:E64)/10,"")</f>
        <v>27.964285714285715</v>
      </c>
      <c r="F65" s="22">
        <f>SUM(F37:F64)/10</f>
        <v>47.3</v>
      </c>
      <c r="G65" s="46">
        <f>SUM(G37:G64)/10</f>
        <v>40.1</v>
      </c>
      <c r="H65" s="23">
        <f>SUM(H37:H64)/10</f>
        <v>0</v>
      </c>
    </row>
    <row r="66" spans="1:8" x14ac:dyDescent="0.25">
      <c r="A66" s="1">
        <f t="shared" ca="1" si="0"/>
        <v>12114</v>
      </c>
      <c r="B66" s="30">
        <v>7590</v>
      </c>
      <c r="C66" s="31">
        <v>7590</v>
      </c>
      <c r="D66" s="34">
        <v>275</v>
      </c>
      <c r="E66" s="35">
        <v>280</v>
      </c>
      <c r="F66" s="5">
        <v>0</v>
      </c>
      <c r="G66" s="43">
        <v>0</v>
      </c>
      <c r="H66" s="6"/>
    </row>
    <row r="67" spans="1:8" x14ac:dyDescent="0.25">
      <c r="A67" s="1">
        <f t="shared" ca="1" si="0"/>
        <v>12115</v>
      </c>
      <c r="B67" s="30">
        <v>7590</v>
      </c>
      <c r="C67" s="31">
        <v>7575</v>
      </c>
      <c r="D67" s="34">
        <v>270</v>
      </c>
      <c r="E67" s="35">
        <v>295</v>
      </c>
      <c r="F67" s="5">
        <v>0</v>
      </c>
      <c r="G67" s="43">
        <v>0</v>
      </c>
      <c r="H67" s="6"/>
    </row>
    <row r="68" spans="1:8" x14ac:dyDescent="0.25">
      <c r="A68" s="1">
        <f t="shared" ca="1" si="0"/>
        <v>12116</v>
      </c>
      <c r="B68" s="30">
        <v>7590</v>
      </c>
      <c r="C68" s="31">
        <v>7580</v>
      </c>
      <c r="D68" s="34">
        <v>280</v>
      </c>
      <c r="E68" s="35">
        <v>290</v>
      </c>
      <c r="F68" s="5">
        <v>0</v>
      </c>
      <c r="G68" s="43">
        <v>0</v>
      </c>
      <c r="H68" s="6"/>
    </row>
    <row r="69" spans="1:8" x14ac:dyDescent="0.25">
      <c r="A69" s="1">
        <f t="shared" ca="1" si="0"/>
        <v>12117</v>
      </c>
      <c r="B69" s="30">
        <v>7590</v>
      </c>
      <c r="C69" s="31">
        <v>7580</v>
      </c>
      <c r="D69" s="34">
        <v>290</v>
      </c>
      <c r="E69" s="35">
        <v>290</v>
      </c>
      <c r="F69" s="5">
        <v>30</v>
      </c>
      <c r="G69" s="43">
        <v>0</v>
      </c>
      <c r="H69" s="6"/>
    </row>
    <row r="70" spans="1:8" x14ac:dyDescent="0.25">
      <c r="A70" s="1">
        <f t="shared" ca="1" si="0"/>
        <v>12118</v>
      </c>
      <c r="B70" s="30">
        <v>7590</v>
      </c>
      <c r="C70" s="31">
        <v>7580</v>
      </c>
      <c r="D70" s="34">
        <v>290</v>
      </c>
      <c r="E70" s="35">
        <v>290</v>
      </c>
      <c r="F70" s="5">
        <v>0</v>
      </c>
      <c r="G70" s="43">
        <v>0</v>
      </c>
      <c r="H70" s="6"/>
    </row>
    <row r="71" spans="1:8" x14ac:dyDescent="0.25">
      <c r="A71" s="1">
        <f t="shared" ref="A71:A134" ca="1" si="1">IF(ISTEXT(A70),A69+1,IF(MONTH(A70+1)=MONTH(A70),A70+1,"Totaal"))</f>
        <v>12119</v>
      </c>
      <c r="B71" s="30">
        <v>7590</v>
      </c>
      <c r="C71" s="31">
        <v>7590</v>
      </c>
      <c r="D71" s="34">
        <v>270</v>
      </c>
      <c r="E71" s="35">
        <v>270</v>
      </c>
      <c r="F71" s="5">
        <v>0</v>
      </c>
      <c r="G71" s="43">
        <v>23</v>
      </c>
      <c r="H71" s="6"/>
    </row>
    <row r="72" spans="1:8" x14ac:dyDescent="0.25">
      <c r="A72" s="1">
        <f t="shared" ca="1" si="1"/>
        <v>12120</v>
      </c>
      <c r="B72" s="30">
        <v>7590</v>
      </c>
      <c r="C72" s="31">
        <v>7590</v>
      </c>
      <c r="D72" s="34">
        <v>270</v>
      </c>
      <c r="E72" s="35">
        <v>280</v>
      </c>
      <c r="F72" s="5">
        <v>0</v>
      </c>
      <c r="G72" s="43">
        <v>45</v>
      </c>
      <c r="H72" s="6"/>
    </row>
    <row r="73" spans="1:8" x14ac:dyDescent="0.25">
      <c r="A73" s="1">
        <f t="shared" ca="1" si="1"/>
        <v>12121</v>
      </c>
      <c r="B73" s="30">
        <v>7590</v>
      </c>
      <c r="C73" s="31">
        <v>7590</v>
      </c>
      <c r="D73" s="34">
        <v>290</v>
      </c>
      <c r="E73" s="35">
        <v>290</v>
      </c>
      <c r="F73" s="5">
        <v>0</v>
      </c>
      <c r="G73" s="43">
        <v>0</v>
      </c>
      <c r="H73" s="6"/>
    </row>
    <row r="74" spans="1:8" x14ac:dyDescent="0.25">
      <c r="A74" s="1">
        <f t="shared" ca="1" si="1"/>
        <v>12122</v>
      </c>
      <c r="B74" s="30">
        <v>7590</v>
      </c>
      <c r="C74" s="31">
        <v>7590</v>
      </c>
      <c r="D74" s="34">
        <v>280</v>
      </c>
      <c r="E74" s="35">
        <v>290</v>
      </c>
      <c r="F74" s="5">
        <v>0</v>
      </c>
      <c r="G74" s="43">
        <v>0</v>
      </c>
      <c r="H74" s="6"/>
    </row>
    <row r="75" spans="1:8" x14ac:dyDescent="0.25">
      <c r="A75" s="1">
        <f t="shared" ca="1" si="1"/>
        <v>12123</v>
      </c>
      <c r="B75" s="30">
        <v>7590</v>
      </c>
      <c r="C75" s="31">
        <v>7590</v>
      </c>
      <c r="D75" s="34">
        <v>280</v>
      </c>
      <c r="E75" s="35">
        <v>290</v>
      </c>
      <c r="F75" s="5">
        <v>0</v>
      </c>
      <c r="G75" s="43">
        <v>0</v>
      </c>
      <c r="H75" s="6"/>
    </row>
    <row r="76" spans="1:8" x14ac:dyDescent="0.25">
      <c r="A76" s="1">
        <f t="shared" ca="1" si="1"/>
        <v>12124</v>
      </c>
      <c r="B76" s="30">
        <v>7590</v>
      </c>
      <c r="C76" s="31">
        <v>7590</v>
      </c>
      <c r="D76" s="34">
        <v>280</v>
      </c>
      <c r="E76" s="35">
        <v>290</v>
      </c>
      <c r="F76" s="5">
        <v>0</v>
      </c>
      <c r="G76" s="43">
        <v>0</v>
      </c>
      <c r="H76" s="6"/>
    </row>
    <row r="77" spans="1:8" x14ac:dyDescent="0.25">
      <c r="A77" s="1">
        <f t="shared" ca="1" si="1"/>
        <v>12125</v>
      </c>
      <c r="B77" s="30">
        <v>7590</v>
      </c>
      <c r="C77" s="31">
        <v>7590</v>
      </c>
      <c r="D77" s="34">
        <v>280</v>
      </c>
      <c r="E77" s="35">
        <v>290</v>
      </c>
      <c r="F77" s="5">
        <v>10</v>
      </c>
      <c r="G77" s="43">
        <v>0</v>
      </c>
      <c r="H77" s="6"/>
    </row>
    <row r="78" spans="1:8" x14ac:dyDescent="0.25">
      <c r="A78" s="1">
        <f t="shared" ca="1" si="1"/>
        <v>12126</v>
      </c>
      <c r="B78" s="30">
        <v>7590</v>
      </c>
      <c r="C78" s="31">
        <v>7590</v>
      </c>
      <c r="D78" s="34">
        <v>275</v>
      </c>
      <c r="E78" s="35">
        <v>290</v>
      </c>
      <c r="F78" s="5">
        <v>0</v>
      </c>
      <c r="G78" s="43">
        <v>0</v>
      </c>
      <c r="H78" s="6"/>
    </row>
    <row r="79" spans="1:8" x14ac:dyDescent="0.25">
      <c r="A79" s="1">
        <f t="shared" ca="1" si="1"/>
        <v>12127</v>
      </c>
      <c r="B79" s="30">
        <v>7590</v>
      </c>
      <c r="C79" s="31">
        <v>7590</v>
      </c>
      <c r="D79" s="34">
        <v>280</v>
      </c>
      <c r="E79" s="35">
        <v>290</v>
      </c>
      <c r="F79" s="5">
        <v>0</v>
      </c>
      <c r="G79" s="43">
        <v>0</v>
      </c>
      <c r="H79" s="6"/>
    </row>
    <row r="80" spans="1:8" x14ac:dyDescent="0.25">
      <c r="A80" s="1">
        <f t="shared" ca="1" si="1"/>
        <v>12128</v>
      </c>
      <c r="B80" s="30">
        <v>7590</v>
      </c>
      <c r="C80" s="31">
        <v>7590</v>
      </c>
      <c r="D80" s="34">
        <v>280</v>
      </c>
      <c r="E80" s="35">
        <v>290</v>
      </c>
      <c r="F80" s="5">
        <v>0</v>
      </c>
      <c r="G80" s="43">
        <v>0</v>
      </c>
      <c r="H80" s="6"/>
    </row>
    <row r="81" spans="1:8" x14ac:dyDescent="0.25">
      <c r="A81" s="1">
        <f t="shared" ca="1" si="1"/>
        <v>12129</v>
      </c>
      <c r="B81" s="30">
        <v>7590</v>
      </c>
      <c r="C81" s="31">
        <v>7585</v>
      </c>
      <c r="D81" s="34">
        <v>285</v>
      </c>
      <c r="E81" s="35">
        <v>290</v>
      </c>
      <c r="F81" s="5">
        <v>0</v>
      </c>
      <c r="G81" s="43">
        <v>0</v>
      </c>
      <c r="H81" s="6"/>
    </row>
    <row r="82" spans="1:8" x14ac:dyDescent="0.25">
      <c r="A82" s="1">
        <f t="shared" ca="1" si="1"/>
        <v>12130</v>
      </c>
      <c r="B82" s="30">
        <v>7590</v>
      </c>
      <c r="C82" s="31">
        <v>7590</v>
      </c>
      <c r="D82" s="34">
        <v>285</v>
      </c>
      <c r="E82" s="35">
        <v>290</v>
      </c>
      <c r="F82" s="5">
        <v>0</v>
      </c>
      <c r="G82" s="43">
        <v>0</v>
      </c>
      <c r="H82" s="6"/>
    </row>
    <row r="83" spans="1:8" x14ac:dyDescent="0.25">
      <c r="A83" s="1">
        <f t="shared" ca="1" si="1"/>
        <v>12131</v>
      </c>
      <c r="B83" s="30">
        <v>7580</v>
      </c>
      <c r="C83" s="31">
        <v>7590</v>
      </c>
      <c r="D83" s="34">
        <v>280</v>
      </c>
      <c r="E83" s="35">
        <v>290</v>
      </c>
      <c r="F83" s="5">
        <v>0</v>
      </c>
      <c r="G83" s="43">
        <v>0</v>
      </c>
      <c r="H83" s="6"/>
    </row>
    <row r="84" spans="1:8" x14ac:dyDescent="0.25">
      <c r="A84" s="1">
        <f t="shared" ca="1" si="1"/>
        <v>12132</v>
      </c>
      <c r="B84" s="30">
        <v>7590</v>
      </c>
      <c r="C84" s="31">
        <v>7595</v>
      </c>
      <c r="D84" s="34">
        <v>280</v>
      </c>
      <c r="E84" s="35">
        <v>290</v>
      </c>
      <c r="F84" s="5">
        <v>0</v>
      </c>
      <c r="G84" s="43">
        <v>0</v>
      </c>
      <c r="H84" s="6"/>
    </row>
    <row r="85" spans="1:8" x14ac:dyDescent="0.25">
      <c r="A85" s="1">
        <f t="shared" ca="1" si="1"/>
        <v>12133</v>
      </c>
      <c r="B85" s="30">
        <v>7590</v>
      </c>
      <c r="C85" s="31">
        <v>7595</v>
      </c>
      <c r="D85" s="34">
        <v>280</v>
      </c>
      <c r="E85" s="35">
        <v>290</v>
      </c>
      <c r="F85" s="5">
        <v>0</v>
      </c>
      <c r="G85" s="43">
        <v>0</v>
      </c>
      <c r="H85" s="6"/>
    </row>
    <row r="86" spans="1:8" x14ac:dyDescent="0.25">
      <c r="A86" s="1">
        <f t="shared" ca="1" si="1"/>
        <v>12134</v>
      </c>
      <c r="B86" s="30">
        <v>7590</v>
      </c>
      <c r="C86" s="31">
        <v>7595</v>
      </c>
      <c r="D86" s="34">
        <v>285</v>
      </c>
      <c r="E86" s="35">
        <v>290</v>
      </c>
      <c r="F86" s="5">
        <v>0</v>
      </c>
      <c r="G86" s="43">
        <v>0</v>
      </c>
      <c r="H86" s="6"/>
    </row>
    <row r="87" spans="1:8" x14ac:dyDescent="0.25">
      <c r="A87" s="1">
        <f t="shared" ca="1" si="1"/>
        <v>12135</v>
      </c>
      <c r="B87" s="30">
        <v>7590</v>
      </c>
      <c r="C87" s="31">
        <v>7590</v>
      </c>
      <c r="D87" s="34">
        <v>280</v>
      </c>
      <c r="E87" s="35">
        <v>290</v>
      </c>
      <c r="F87" s="5">
        <v>0</v>
      </c>
      <c r="G87" s="43">
        <v>0</v>
      </c>
      <c r="H87" s="6"/>
    </row>
    <row r="88" spans="1:8" x14ac:dyDescent="0.25">
      <c r="A88" s="1">
        <f t="shared" ca="1" si="1"/>
        <v>12136</v>
      </c>
      <c r="B88" s="30">
        <v>7590</v>
      </c>
      <c r="C88" s="31">
        <v>7590</v>
      </c>
      <c r="D88" s="34">
        <v>280</v>
      </c>
      <c r="E88" s="35">
        <v>290</v>
      </c>
      <c r="F88" s="5">
        <v>0</v>
      </c>
      <c r="G88" s="43">
        <v>0</v>
      </c>
      <c r="H88" s="6"/>
    </row>
    <row r="89" spans="1:8" x14ac:dyDescent="0.25">
      <c r="A89" s="1">
        <f t="shared" ca="1" si="1"/>
        <v>12137</v>
      </c>
      <c r="B89" s="30">
        <v>7590</v>
      </c>
      <c r="C89" s="31">
        <v>7590</v>
      </c>
      <c r="D89" s="34">
        <v>280</v>
      </c>
      <c r="E89" s="35">
        <v>290</v>
      </c>
      <c r="F89" s="5">
        <v>0</v>
      </c>
      <c r="G89" s="43">
        <v>0</v>
      </c>
      <c r="H89" s="6"/>
    </row>
    <row r="90" spans="1:8" x14ac:dyDescent="0.25">
      <c r="A90" s="1">
        <f t="shared" ca="1" si="1"/>
        <v>12138</v>
      </c>
      <c r="B90" s="30">
        <v>7590</v>
      </c>
      <c r="C90" s="31">
        <v>7590</v>
      </c>
      <c r="D90" s="34">
        <v>280</v>
      </c>
      <c r="E90" s="35">
        <v>290</v>
      </c>
      <c r="F90" s="5">
        <v>0</v>
      </c>
      <c r="G90" s="43">
        <v>0</v>
      </c>
      <c r="H90" s="6"/>
    </row>
    <row r="91" spans="1:8" x14ac:dyDescent="0.25">
      <c r="A91" s="1">
        <f t="shared" ca="1" si="1"/>
        <v>12139</v>
      </c>
      <c r="B91" s="30">
        <v>7590</v>
      </c>
      <c r="C91" s="31">
        <v>7590</v>
      </c>
      <c r="D91" s="34">
        <v>280</v>
      </c>
      <c r="E91" s="35">
        <v>290</v>
      </c>
      <c r="F91" s="5">
        <v>0</v>
      </c>
      <c r="G91" s="43">
        <v>0</v>
      </c>
      <c r="H91" s="6"/>
    </row>
    <row r="92" spans="1:8" x14ac:dyDescent="0.25">
      <c r="A92" s="1">
        <f t="shared" ca="1" si="1"/>
        <v>12140</v>
      </c>
      <c r="B92" s="30">
        <v>7590</v>
      </c>
      <c r="C92" s="31">
        <v>7590</v>
      </c>
      <c r="D92" s="34">
        <v>280</v>
      </c>
      <c r="E92" s="35">
        <v>290</v>
      </c>
      <c r="F92" s="5">
        <v>20</v>
      </c>
      <c r="G92" s="43">
        <v>0</v>
      </c>
      <c r="H92" s="6"/>
    </row>
    <row r="93" spans="1:8" x14ac:dyDescent="0.25">
      <c r="A93" s="1">
        <f t="shared" ca="1" si="1"/>
        <v>12141</v>
      </c>
      <c r="B93" s="30">
        <v>7590</v>
      </c>
      <c r="C93" s="31">
        <v>7590</v>
      </c>
      <c r="D93" s="34">
        <v>280</v>
      </c>
      <c r="E93" s="35">
        <v>290</v>
      </c>
      <c r="F93" s="5">
        <v>0</v>
      </c>
      <c r="G93" s="43">
        <v>0</v>
      </c>
      <c r="H93" s="6"/>
    </row>
    <row r="94" spans="1:8" x14ac:dyDescent="0.25">
      <c r="A94" s="1">
        <f t="shared" ca="1" si="1"/>
        <v>12142</v>
      </c>
      <c r="B94" s="30">
        <v>7590</v>
      </c>
      <c r="C94" s="31">
        <v>7590</v>
      </c>
      <c r="D94" s="34">
        <v>280</v>
      </c>
      <c r="E94" s="35">
        <v>290</v>
      </c>
      <c r="F94" s="5">
        <v>0</v>
      </c>
      <c r="G94" s="43">
        <v>0</v>
      </c>
      <c r="H94" s="6"/>
    </row>
    <row r="95" spans="1:8" x14ac:dyDescent="0.25">
      <c r="A95" s="1">
        <f t="shared" ca="1" si="1"/>
        <v>12143</v>
      </c>
      <c r="B95" s="30">
        <v>7590</v>
      </c>
      <c r="C95" s="31">
        <v>7590</v>
      </c>
      <c r="D95" s="34">
        <v>280</v>
      </c>
      <c r="E95" s="35">
        <v>290</v>
      </c>
      <c r="F95" s="5">
        <v>60</v>
      </c>
      <c r="G95" s="43">
        <v>0</v>
      </c>
      <c r="H95" s="6"/>
    </row>
    <row r="96" spans="1:8" x14ac:dyDescent="0.25">
      <c r="A96" s="1">
        <f t="shared" ca="1" si="1"/>
        <v>12144</v>
      </c>
      <c r="B96" s="30">
        <v>7590</v>
      </c>
      <c r="C96" s="31">
        <v>7590</v>
      </c>
      <c r="D96" s="34">
        <v>280</v>
      </c>
      <c r="E96" s="35">
        <v>290</v>
      </c>
      <c r="F96" s="5">
        <v>10</v>
      </c>
      <c r="G96" s="43">
        <v>0</v>
      </c>
      <c r="H96" s="6"/>
    </row>
    <row r="97" spans="1:8" x14ac:dyDescent="0.25">
      <c r="A97" s="1" t="str">
        <f t="shared" ca="1" si="1"/>
        <v>Totaal</v>
      </c>
      <c r="B97" s="20">
        <f>IF(COUNT(B66:B96)&gt;0,AVERAGE(B66:B96)/10,"")</f>
        <v>758.9677419354839</v>
      </c>
      <c r="C97" s="21">
        <f>IF(COUNT(C66:C96)&gt;0,AVERAGE(C66:C96)/10,"")</f>
        <v>758.88709677419354</v>
      </c>
      <c r="D97" s="39">
        <f>IF(COUNT(D66:D96)&gt;0,AVERAGE(D66:D96)/10,"")</f>
        <v>28.016129032258068</v>
      </c>
      <c r="E97" s="40">
        <f>IF(COUNT(E66:E96)&gt;0,AVERAGE(E66:E96)/10,"")</f>
        <v>28.887096774193548</v>
      </c>
      <c r="F97" s="22">
        <f>SUM(F66:F96)/10</f>
        <v>13</v>
      </c>
      <c r="G97" s="46">
        <f>SUM(G66:G96)/10</f>
        <v>6.8</v>
      </c>
      <c r="H97" s="23">
        <f>SUM(H66:H96)/10</f>
        <v>0</v>
      </c>
    </row>
    <row r="98" spans="1:8" x14ac:dyDescent="0.25">
      <c r="A98" s="1">
        <f t="shared" ca="1" si="1"/>
        <v>12145</v>
      </c>
      <c r="B98" s="30">
        <v>7590</v>
      </c>
      <c r="C98" s="31">
        <v>7590</v>
      </c>
      <c r="D98" s="34">
        <v>280</v>
      </c>
      <c r="E98" s="35">
        <v>290</v>
      </c>
      <c r="F98" s="5">
        <v>0</v>
      </c>
      <c r="G98" s="43">
        <v>0</v>
      </c>
      <c r="H98" s="6"/>
    </row>
    <row r="99" spans="1:8" x14ac:dyDescent="0.25">
      <c r="A99" s="1">
        <f t="shared" ca="1" si="1"/>
        <v>12146</v>
      </c>
      <c r="B99" s="30">
        <v>7590</v>
      </c>
      <c r="C99" s="31">
        <v>7595</v>
      </c>
      <c r="D99" s="34">
        <v>280</v>
      </c>
      <c r="E99" s="35">
        <v>290</v>
      </c>
      <c r="F99" s="5">
        <v>0</v>
      </c>
      <c r="G99" s="43">
        <v>0</v>
      </c>
      <c r="H99" s="6"/>
    </row>
    <row r="100" spans="1:8" x14ac:dyDescent="0.25">
      <c r="A100" s="1">
        <f t="shared" ca="1" si="1"/>
        <v>12147</v>
      </c>
      <c r="B100" s="30">
        <v>7590</v>
      </c>
      <c r="C100" s="31">
        <v>7590</v>
      </c>
      <c r="D100" s="34">
        <v>280</v>
      </c>
      <c r="E100" s="35">
        <v>290</v>
      </c>
      <c r="F100" s="5">
        <v>0</v>
      </c>
      <c r="G100" s="43">
        <v>0</v>
      </c>
      <c r="H100" s="6"/>
    </row>
    <row r="101" spans="1:8" x14ac:dyDescent="0.25">
      <c r="A101" s="1">
        <f t="shared" ca="1" si="1"/>
        <v>12148</v>
      </c>
      <c r="B101" s="30">
        <v>7590</v>
      </c>
      <c r="C101" s="31">
        <v>7590</v>
      </c>
      <c r="D101" s="34">
        <v>280</v>
      </c>
      <c r="E101" s="35">
        <v>290</v>
      </c>
      <c r="F101" s="5">
        <v>0</v>
      </c>
      <c r="G101" s="43">
        <v>27</v>
      </c>
      <c r="H101" s="6"/>
    </row>
    <row r="102" spans="1:8" x14ac:dyDescent="0.25">
      <c r="A102" s="1">
        <f t="shared" ca="1" si="1"/>
        <v>12149</v>
      </c>
      <c r="B102" s="30">
        <v>7585</v>
      </c>
      <c r="C102" s="31">
        <v>7590</v>
      </c>
      <c r="D102" s="34">
        <v>285</v>
      </c>
      <c r="E102" s="35">
        <v>290</v>
      </c>
      <c r="F102" s="5">
        <v>0</v>
      </c>
      <c r="G102" s="43">
        <v>20</v>
      </c>
      <c r="H102" s="6"/>
    </row>
    <row r="103" spans="1:8" x14ac:dyDescent="0.25">
      <c r="A103" s="1">
        <f t="shared" ca="1" si="1"/>
        <v>12150</v>
      </c>
      <c r="B103" s="30">
        <v>7590</v>
      </c>
      <c r="C103" s="31">
        <v>7590</v>
      </c>
      <c r="D103" s="34">
        <v>280</v>
      </c>
      <c r="E103" s="35">
        <v>290</v>
      </c>
      <c r="F103" s="5">
        <v>51</v>
      </c>
      <c r="G103" s="43">
        <v>0</v>
      </c>
      <c r="H103" s="6"/>
    </row>
    <row r="104" spans="1:8" x14ac:dyDescent="0.25">
      <c r="A104" s="1">
        <f t="shared" ca="1" si="1"/>
        <v>12151</v>
      </c>
      <c r="B104" s="30">
        <v>7590</v>
      </c>
      <c r="C104" s="31">
        <v>7590</v>
      </c>
      <c r="D104" s="34">
        <v>280</v>
      </c>
      <c r="E104" s="35">
        <v>290</v>
      </c>
      <c r="F104" s="5">
        <v>0</v>
      </c>
      <c r="G104" s="43">
        <v>23</v>
      </c>
      <c r="H104" s="6"/>
    </row>
    <row r="105" spans="1:8" x14ac:dyDescent="0.25">
      <c r="A105" s="1">
        <f t="shared" ca="1" si="1"/>
        <v>12152</v>
      </c>
      <c r="B105" s="30">
        <v>7590</v>
      </c>
      <c r="C105" s="31">
        <v>7590</v>
      </c>
      <c r="D105" s="34">
        <v>280</v>
      </c>
      <c r="E105" s="35">
        <v>290</v>
      </c>
      <c r="F105" s="5">
        <v>0</v>
      </c>
      <c r="G105" s="43">
        <v>0</v>
      </c>
      <c r="H105" s="6"/>
    </row>
    <row r="106" spans="1:8" x14ac:dyDescent="0.25">
      <c r="A106" s="1">
        <f t="shared" ca="1" si="1"/>
        <v>12153</v>
      </c>
      <c r="B106" s="30">
        <v>7585</v>
      </c>
      <c r="C106" s="31">
        <v>7590</v>
      </c>
      <c r="D106" s="34">
        <v>280</v>
      </c>
      <c r="E106" s="35">
        <v>290</v>
      </c>
      <c r="F106" s="5">
        <v>0</v>
      </c>
      <c r="G106" s="43">
        <v>0</v>
      </c>
      <c r="H106" s="6"/>
    </row>
    <row r="107" spans="1:8" x14ac:dyDescent="0.25">
      <c r="A107" s="1">
        <f t="shared" ca="1" si="1"/>
        <v>12154</v>
      </c>
      <c r="B107" s="30">
        <v>7585</v>
      </c>
      <c r="C107" s="31">
        <v>7590</v>
      </c>
      <c r="D107" s="34">
        <v>280</v>
      </c>
      <c r="E107" s="35">
        <v>290</v>
      </c>
      <c r="F107" s="5">
        <v>0</v>
      </c>
      <c r="G107" s="43">
        <v>0</v>
      </c>
      <c r="H107" s="6"/>
    </row>
    <row r="108" spans="1:8" x14ac:dyDescent="0.25">
      <c r="A108" s="1">
        <f t="shared" ca="1" si="1"/>
        <v>12155</v>
      </c>
      <c r="B108" s="30">
        <v>7590</v>
      </c>
      <c r="C108" s="31">
        <v>7590</v>
      </c>
      <c r="D108" s="34">
        <v>285</v>
      </c>
      <c r="E108" s="35">
        <v>290</v>
      </c>
      <c r="F108" s="5">
        <v>0</v>
      </c>
      <c r="G108" s="43">
        <v>0</v>
      </c>
      <c r="H108" s="6"/>
    </row>
    <row r="109" spans="1:8" x14ac:dyDescent="0.25">
      <c r="A109" s="1">
        <f t="shared" ca="1" si="1"/>
        <v>12156</v>
      </c>
      <c r="B109" s="30">
        <v>7590</v>
      </c>
      <c r="C109" s="31">
        <v>7590</v>
      </c>
      <c r="D109" s="34">
        <v>285</v>
      </c>
      <c r="E109" s="35">
        <v>290</v>
      </c>
      <c r="F109" s="5">
        <v>0</v>
      </c>
      <c r="G109" s="43">
        <v>0</v>
      </c>
      <c r="H109" s="6"/>
    </row>
    <row r="110" spans="1:8" x14ac:dyDescent="0.25">
      <c r="A110" s="1">
        <f t="shared" ca="1" si="1"/>
        <v>12157</v>
      </c>
      <c r="B110" s="30">
        <v>7590</v>
      </c>
      <c r="C110" s="31">
        <v>7590</v>
      </c>
      <c r="D110" s="34">
        <v>280</v>
      </c>
      <c r="E110" s="35">
        <v>290</v>
      </c>
      <c r="F110" s="5">
        <v>0</v>
      </c>
      <c r="G110" s="43">
        <v>0</v>
      </c>
      <c r="H110" s="6"/>
    </row>
    <row r="111" spans="1:8" x14ac:dyDescent="0.25">
      <c r="A111" s="1">
        <f t="shared" ca="1" si="1"/>
        <v>12158</v>
      </c>
      <c r="B111" s="30">
        <v>7590</v>
      </c>
      <c r="C111" s="31">
        <v>7590</v>
      </c>
      <c r="D111" s="34">
        <v>280</v>
      </c>
      <c r="E111" s="35">
        <v>290</v>
      </c>
      <c r="F111" s="5">
        <v>0</v>
      </c>
      <c r="G111" s="43">
        <v>0</v>
      </c>
      <c r="H111" s="6"/>
    </row>
    <row r="112" spans="1:8" x14ac:dyDescent="0.25">
      <c r="A112" s="1">
        <f t="shared" ca="1" si="1"/>
        <v>12159</v>
      </c>
      <c r="B112" s="30">
        <v>7590</v>
      </c>
      <c r="C112" s="31">
        <v>7590</v>
      </c>
      <c r="D112" s="34">
        <v>280</v>
      </c>
      <c r="E112" s="35">
        <v>290</v>
      </c>
      <c r="F112" s="5">
        <v>0</v>
      </c>
      <c r="G112" s="43">
        <v>0</v>
      </c>
      <c r="H112" s="6"/>
    </row>
    <row r="113" spans="1:8" x14ac:dyDescent="0.25">
      <c r="A113" s="1">
        <f t="shared" ca="1" si="1"/>
        <v>12160</v>
      </c>
      <c r="B113" s="30">
        <v>7590</v>
      </c>
      <c r="C113" s="31">
        <v>7590</v>
      </c>
      <c r="D113" s="34">
        <v>280</v>
      </c>
      <c r="E113" s="35">
        <v>290</v>
      </c>
      <c r="F113" s="5">
        <v>0</v>
      </c>
      <c r="G113" s="43">
        <v>0</v>
      </c>
      <c r="H113" s="6"/>
    </row>
    <row r="114" spans="1:8" x14ac:dyDescent="0.25">
      <c r="A114" s="1">
        <f t="shared" ca="1" si="1"/>
        <v>12161</v>
      </c>
      <c r="B114" s="30">
        <v>7590</v>
      </c>
      <c r="C114" s="31">
        <v>7590</v>
      </c>
      <c r="D114" s="34">
        <v>285</v>
      </c>
      <c r="E114" s="35">
        <v>290</v>
      </c>
      <c r="F114" s="5">
        <v>0</v>
      </c>
      <c r="G114" s="43">
        <v>0</v>
      </c>
      <c r="H114" s="6"/>
    </row>
    <row r="115" spans="1:8" x14ac:dyDescent="0.25">
      <c r="A115" s="1">
        <f t="shared" ca="1" si="1"/>
        <v>12162</v>
      </c>
      <c r="B115" s="30">
        <v>7590</v>
      </c>
      <c r="C115" s="31">
        <v>7590</v>
      </c>
      <c r="D115" s="34">
        <v>280</v>
      </c>
      <c r="E115" s="35">
        <v>290</v>
      </c>
      <c r="F115" s="5">
        <v>0</v>
      </c>
      <c r="G115" s="43">
        <v>0</v>
      </c>
      <c r="H115" s="6"/>
    </row>
    <row r="116" spans="1:8" x14ac:dyDescent="0.25">
      <c r="A116" s="1">
        <f t="shared" ca="1" si="1"/>
        <v>12163</v>
      </c>
      <c r="B116" s="30">
        <v>7585</v>
      </c>
      <c r="C116" s="31">
        <v>7590</v>
      </c>
      <c r="D116" s="34">
        <v>280</v>
      </c>
      <c r="E116" s="35">
        <v>290</v>
      </c>
      <c r="F116" s="5">
        <v>0</v>
      </c>
      <c r="G116" s="43">
        <v>0</v>
      </c>
      <c r="H116" s="6"/>
    </row>
    <row r="117" spans="1:8" x14ac:dyDescent="0.25">
      <c r="A117" s="1">
        <f t="shared" ca="1" si="1"/>
        <v>12164</v>
      </c>
      <c r="B117" s="30">
        <v>7590</v>
      </c>
      <c r="C117" s="31">
        <v>7590</v>
      </c>
      <c r="D117" s="34">
        <v>280</v>
      </c>
      <c r="E117" s="35">
        <v>290</v>
      </c>
      <c r="F117" s="5">
        <v>0</v>
      </c>
      <c r="G117" s="43">
        <v>0</v>
      </c>
      <c r="H117" s="6"/>
    </row>
    <row r="118" spans="1:8" x14ac:dyDescent="0.25">
      <c r="A118" s="1">
        <f t="shared" ca="1" si="1"/>
        <v>12165</v>
      </c>
      <c r="B118" s="30">
        <v>7590</v>
      </c>
      <c r="C118" s="31">
        <v>7590</v>
      </c>
      <c r="D118" s="34">
        <v>285</v>
      </c>
      <c r="E118" s="35">
        <v>290</v>
      </c>
      <c r="F118" s="5">
        <v>0</v>
      </c>
      <c r="G118" s="43">
        <v>0</v>
      </c>
      <c r="H118" s="6"/>
    </row>
    <row r="119" spans="1:8" x14ac:dyDescent="0.25">
      <c r="A119" s="1">
        <f t="shared" ca="1" si="1"/>
        <v>12166</v>
      </c>
      <c r="B119" s="30">
        <v>7590</v>
      </c>
      <c r="C119" s="31">
        <v>7590</v>
      </c>
      <c r="D119" s="34">
        <v>280</v>
      </c>
      <c r="E119" s="35">
        <v>290</v>
      </c>
      <c r="F119" s="5">
        <v>0</v>
      </c>
      <c r="G119" s="43">
        <v>0</v>
      </c>
      <c r="H119" s="6"/>
    </row>
    <row r="120" spans="1:8" x14ac:dyDescent="0.25">
      <c r="A120" s="1">
        <f t="shared" ca="1" si="1"/>
        <v>12167</v>
      </c>
      <c r="B120" s="30">
        <v>7590</v>
      </c>
      <c r="C120" s="31">
        <v>7590</v>
      </c>
      <c r="D120" s="34">
        <v>280</v>
      </c>
      <c r="E120" s="35">
        <v>290</v>
      </c>
      <c r="F120" s="5">
        <v>0</v>
      </c>
      <c r="G120" s="43">
        <v>0</v>
      </c>
      <c r="H120" s="6"/>
    </row>
    <row r="121" spans="1:8" x14ac:dyDescent="0.25">
      <c r="A121" s="1">
        <f t="shared" ca="1" si="1"/>
        <v>12168</v>
      </c>
      <c r="B121" s="30">
        <v>7590</v>
      </c>
      <c r="C121" s="31">
        <v>7590</v>
      </c>
      <c r="D121" s="34">
        <v>280</v>
      </c>
      <c r="E121" s="35">
        <v>290</v>
      </c>
      <c r="F121" s="5">
        <v>0</v>
      </c>
      <c r="G121" s="43">
        <v>0</v>
      </c>
      <c r="H121" s="6"/>
    </row>
    <row r="122" spans="1:8" x14ac:dyDescent="0.25">
      <c r="A122" s="1">
        <f t="shared" ca="1" si="1"/>
        <v>12169</v>
      </c>
      <c r="B122" s="30">
        <v>7590</v>
      </c>
      <c r="C122" s="31">
        <v>7590</v>
      </c>
      <c r="D122" s="34">
        <v>280</v>
      </c>
      <c r="E122" s="35">
        <v>290</v>
      </c>
      <c r="F122" s="5">
        <v>0</v>
      </c>
      <c r="G122" s="43">
        <v>0</v>
      </c>
      <c r="H122" s="6"/>
    </row>
    <row r="123" spans="1:8" x14ac:dyDescent="0.25">
      <c r="A123" s="1">
        <f t="shared" ca="1" si="1"/>
        <v>12170</v>
      </c>
      <c r="B123" s="30">
        <v>7590</v>
      </c>
      <c r="C123" s="31">
        <v>7590</v>
      </c>
      <c r="D123" s="34">
        <v>275</v>
      </c>
      <c r="E123" s="35">
        <v>285</v>
      </c>
      <c r="F123" s="5">
        <v>0</v>
      </c>
      <c r="G123" s="43">
        <v>0</v>
      </c>
      <c r="H123" s="6"/>
    </row>
    <row r="124" spans="1:8" x14ac:dyDescent="0.25">
      <c r="A124" s="1">
        <f t="shared" ca="1" si="1"/>
        <v>12171</v>
      </c>
      <c r="B124" s="30">
        <v>7580</v>
      </c>
      <c r="C124" s="31">
        <v>7585</v>
      </c>
      <c r="D124" s="34">
        <v>280</v>
      </c>
      <c r="E124" s="35">
        <v>290</v>
      </c>
      <c r="F124" s="5">
        <v>0</v>
      </c>
      <c r="G124" s="43">
        <v>0</v>
      </c>
      <c r="H124" s="6"/>
    </row>
    <row r="125" spans="1:8" x14ac:dyDescent="0.25">
      <c r="A125" s="1">
        <f t="shared" ca="1" si="1"/>
        <v>12172</v>
      </c>
      <c r="B125" s="30">
        <v>7580</v>
      </c>
      <c r="C125" s="31">
        <v>7580</v>
      </c>
      <c r="D125" s="34">
        <v>290</v>
      </c>
      <c r="E125" s="35">
        <v>300</v>
      </c>
      <c r="F125" s="5">
        <v>0</v>
      </c>
      <c r="G125" s="43">
        <v>0</v>
      </c>
      <c r="H125" s="6"/>
    </row>
    <row r="126" spans="1:8" x14ac:dyDescent="0.25">
      <c r="A126" s="1">
        <f t="shared" ca="1" si="1"/>
        <v>12173</v>
      </c>
      <c r="B126" s="30">
        <v>7580</v>
      </c>
      <c r="C126" s="31">
        <v>7580</v>
      </c>
      <c r="D126" s="34">
        <v>290</v>
      </c>
      <c r="E126" s="35">
        <v>300</v>
      </c>
      <c r="F126" s="5">
        <v>0</v>
      </c>
      <c r="G126" s="43">
        <v>0</v>
      </c>
      <c r="H126" s="6"/>
    </row>
    <row r="127" spans="1:8" x14ac:dyDescent="0.25">
      <c r="A127" s="1">
        <f t="shared" ca="1" si="1"/>
        <v>12174</v>
      </c>
      <c r="B127" s="30">
        <v>7585</v>
      </c>
      <c r="C127" s="31">
        <v>7570</v>
      </c>
      <c r="D127" s="34">
        <v>290</v>
      </c>
      <c r="E127" s="35">
        <v>310</v>
      </c>
      <c r="F127" s="5">
        <v>0</v>
      </c>
      <c r="G127" s="43">
        <v>0</v>
      </c>
      <c r="H127" s="6"/>
    </row>
    <row r="128" spans="1:8" x14ac:dyDescent="0.25">
      <c r="A128" s="1" t="str">
        <f t="shared" ca="1" si="1"/>
        <v>Totaal</v>
      </c>
      <c r="B128" s="20">
        <f>IF(COUNT(B98:B127)&gt;0,AVERAGE(B98:B127)/10,"")</f>
        <v>758.81666666666672</v>
      </c>
      <c r="C128" s="21">
        <f>IF(COUNT(C98:C127)&gt;0,AVERAGE(C98:C127)/10,"")</f>
        <v>758.86666666666667</v>
      </c>
      <c r="D128" s="39">
        <f>IF(COUNT(D98:D127)&gt;0,AVERAGE(D98:D127)/10,"")</f>
        <v>28.166666666666668</v>
      </c>
      <c r="E128" s="40">
        <f>IF(COUNT(E98:E127)&gt;0,AVERAGE(E98:E127)/10,"")</f>
        <v>29.116666666666667</v>
      </c>
      <c r="F128" s="22">
        <f>SUM(F98:F127)/10</f>
        <v>5.0999999999999996</v>
      </c>
      <c r="G128" s="46">
        <f>SUM(G98:G127)/10</f>
        <v>7</v>
      </c>
      <c r="H128" s="23">
        <f>SUM(H98:H127)/10</f>
        <v>0</v>
      </c>
    </row>
    <row r="129" spans="1:8" x14ac:dyDescent="0.25">
      <c r="A129" s="1">
        <f t="shared" ca="1" si="1"/>
        <v>12175</v>
      </c>
      <c r="B129" s="30">
        <v>7585</v>
      </c>
      <c r="C129" s="31">
        <v>7570</v>
      </c>
      <c r="D129" s="34">
        <v>290</v>
      </c>
      <c r="E129" s="35">
        <v>315</v>
      </c>
      <c r="F129" s="5">
        <v>0</v>
      </c>
      <c r="G129" s="43">
        <v>0</v>
      </c>
      <c r="H129" s="6"/>
    </row>
    <row r="130" spans="1:8" x14ac:dyDescent="0.25">
      <c r="A130" s="1">
        <f t="shared" ca="1" si="1"/>
        <v>12176</v>
      </c>
      <c r="B130" s="30">
        <v>7585</v>
      </c>
      <c r="C130" s="31">
        <v>7570</v>
      </c>
      <c r="D130" s="34">
        <v>295</v>
      </c>
      <c r="E130" s="35">
        <v>315</v>
      </c>
      <c r="F130" s="5">
        <v>0</v>
      </c>
      <c r="G130" s="43">
        <v>0</v>
      </c>
      <c r="H130" s="6"/>
    </row>
    <row r="131" spans="1:8" x14ac:dyDescent="0.25">
      <c r="A131" s="1">
        <f t="shared" ca="1" si="1"/>
        <v>12177</v>
      </c>
      <c r="B131" s="30">
        <v>7585</v>
      </c>
      <c r="C131" s="31">
        <v>7575</v>
      </c>
      <c r="D131" s="34">
        <v>305</v>
      </c>
      <c r="E131" s="35">
        <v>315</v>
      </c>
      <c r="F131" s="5">
        <v>0</v>
      </c>
      <c r="G131" s="43">
        <v>0</v>
      </c>
      <c r="H131" s="6"/>
    </row>
    <row r="132" spans="1:8" x14ac:dyDescent="0.25">
      <c r="A132" s="1">
        <f t="shared" ca="1" si="1"/>
        <v>12178</v>
      </c>
      <c r="B132" s="30">
        <v>7585</v>
      </c>
      <c r="C132" s="31">
        <v>7575</v>
      </c>
      <c r="D132" s="34">
        <v>295</v>
      </c>
      <c r="E132" s="35">
        <v>310</v>
      </c>
      <c r="F132" s="5">
        <v>0</v>
      </c>
      <c r="G132" s="43">
        <v>0</v>
      </c>
      <c r="H132" s="6"/>
    </row>
    <row r="133" spans="1:8" x14ac:dyDescent="0.25">
      <c r="A133" s="1">
        <f t="shared" ca="1" si="1"/>
        <v>12179</v>
      </c>
      <c r="B133" s="30">
        <v>7590</v>
      </c>
      <c r="C133" s="31">
        <v>7585</v>
      </c>
      <c r="D133" s="34">
        <v>295</v>
      </c>
      <c r="E133" s="35">
        <v>310</v>
      </c>
      <c r="F133" s="5">
        <v>0</v>
      </c>
      <c r="G133" s="43">
        <v>0</v>
      </c>
      <c r="H133" s="6"/>
    </row>
    <row r="134" spans="1:8" x14ac:dyDescent="0.25">
      <c r="A134" s="1">
        <f t="shared" ca="1" si="1"/>
        <v>12180</v>
      </c>
      <c r="B134" s="30">
        <v>7590</v>
      </c>
      <c r="C134" s="31">
        <v>7585</v>
      </c>
      <c r="D134" s="34">
        <v>300</v>
      </c>
      <c r="E134" s="35">
        <v>310</v>
      </c>
      <c r="F134" s="5">
        <v>0</v>
      </c>
      <c r="G134" s="43">
        <v>0</v>
      </c>
      <c r="H134" s="6"/>
    </row>
    <row r="135" spans="1:8" x14ac:dyDescent="0.25">
      <c r="A135" s="1">
        <f t="shared" ref="A135:A198" ca="1" si="2">IF(ISTEXT(A134),A133+1,IF(MONTH(A134+1)=MONTH(A134),A134+1,"Totaal"))</f>
        <v>12181</v>
      </c>
      <c r="B135" s="30">
        <v>7590</v>
      </c>
      <c r="C135" s="31">
        <v>7590</v>
      </c>
      <c r="D135" s="34">
        <v>300</v>
      </c>
      <c r="E135" s="35">
        <v>310</v>
      </c>
      <c r="F135" s="5">
        <v>0</v>
      </c>
      <c r="G135" s="43">
        <v>0</v>
      </c>
      <c r="H135" s="6"/>
    </row>
    <row r="136" spans="1:8" x14ac:dyDescent="0.25">
      <c r="A136" s="1">
        <f t="shared" ca="1" si="2"/>
        <v>12182</v>
      </c>
      <c r="B136" s="30">
        <v>7590</v>
      </c>
      <c r="C136" s="31">
        <v>7590</v>
      </c>
      <c r="D136" s="34">
        <v>300</v>
      </c>
      <c r="E136" s="35">
        <v>310</v>
      </c>
      <c r="F136" s="5">
        <v>0</v>
      </c>
      <c r="G136" s="43">
        <v>0</v>
      </c>
      <c r="H136" s="6"/>
    </row>
    <row r="137" spans="1:8" x14ac:dyDescent="0.25">
      <c r="A137" s="1">
        <f t="shared" ca="1" si="2"/>
        <v>12183</v>
      </c>
      <c r="B137" s="30">
        <v>7580</v>
      </c>
      <c r="C137" s="31">
        <v>7590</v>
      </c>
      <c r="D137" s="34">
        <v>290</v>
      </c>
      <c r="E137" s="35">
        <v>300</v>
      </c>
      <c r="F137" s="5">
        <v>0</v>
      </c>
      <c r="G137" s="43">
        <v>0</v>
      </c>
      <c r="H137" s="6"/>
    </row>
    <row r="138" spans="1:8" x14ac:dyDescent="0.25">
      <c r="A138" s="1">
        <f t="shared" ca="1" si="2"/>
        <v>12184</v>
      </c>
      <c r="B138" s="30">
        <v>7580</v>
      </c>
      <c r="C138" s="31">
        <v>7590</v>
      </c>
      <c r="D138" s="34">
        <v>290</v>
      </c>
      <c r="E138" s="35">
        <v>300</v>
      </c>
      <c r="F138" s="5">
        <v>0</v>
      </c>
      <c r="G138" s="43">
        <v>0</v>
      </c>
      <c r="H138" s="6"/>
    </row>
    <row r="139" spans="1:8" x14ac:dyDescent="0.25">
      <c r="A139" s="1">
        <f t="shared" ca="1" si="2"/>
        <v>12185</v>
      </c>
      <c r="B139" s="30">
        <v>7580</v>
      </c>
      <c r="C139" s="31">
        <v>7590</v>
      </c>
      <c r="D139" s="34">
        <v>300</v>
      </c>
      <c r="E139" s="35">
        <v>310</v>
      </c>
      <c r="F139" s="5">
        <v>0</v>
      </c>
      <c r="G139" s="43">
        <v>0</v>
      </c>
      <c r="H139" s="6"/>
    </row>
    <row r="140" spans="1:8" x14ac:dyDescent="0.25">
      <c r="A140" s="1">
        <f t="shared" ca="1" si="2"/>
        <v>12186</v>
      </c>
      <c r="B140" s="30">
        <v>7585</v>
      </c>
      <c r="C140" s="31">
        <v>7590</v>
      </c>
      <c r="D140" s="34">
        <v>300</v>
      </c>
      <c r="E140" s="35">
        <v>310</v>
      </c>
      <c r="F140" s="5">
        <v>0</v>
      </c>
      <c r="G140" s="43">
        <v>0</v>
      </c>
      <c r="H140" s="6"/>
    </row>
    <row r="141" spans="1:8" x14ac:dyDescent="0.25">
      <c r="A141" s="1">
        <f t="shared" ca="1" si="2"/>
        <v>12187</v>
      </c>
      <c r="B141" s="30">
        <v>7585</v>
      </c>
      <c r="C141" s="31">
        <v>7590</v>
      </c>
      <c r="D141" s="34">
        <v>290</v>
      </c>
      <c r="E141" s="35">
        <v>300</v>
      </c>
      <c r="F141" s="5">
        <v>21</v>
      </c>
      <c r="G141" s="43">
        <v>0</v>
      </c>
      <c r="H141" s="6"/>
    </row>
    <row r="142" spans="1:8" x14ac:dyDescent="0.25">
      <c r="A142" s="1">
        <f t="shared" ca="1" si="2"/>
        <v>12188</v>
      </c>
      <c r="B142" s="30">
        <v>7590</v>
      </c>
      <c r="C142" s="31">
        <v>7590</v>
      </c>
      <c r="D142" s="34">
        <v>290</v>
      </c>
      <c r="E142" s="35">
        <v>300</v>
      </c>
      <c r="F142" s="5">
        <v>0</v>
      </c>
      <c r="G142" s="43">
        <v>0</v>
      </c>
      <c r="H142" s="6"/>
    </row>
    <row r="143" spans="1:8" x14ac:dyDescent="0.25">
      <c r="A143" s="1">
        <f t="shared" ca="1" si="2"/>
        <v>12189</v>
      </c>
      <c r="B143" s="30">
        <v>7590</v>
      </c>
      <c r="C143" s="31">
        <v>7590</v>
      </c>
      <c r="D143" s="34">
        <v>290</v>
      </c>
      <c r="E143" s="35">
        <v>300</v>
      </c>
      <c r="F143" s="5">
        <v>0</v>
      </c>
      <c r="G143" s="43">
        <v>0</v>
      </c>
      <c r="H143" s="6"/>
    </row>
    <row r="144" spans="1:8" x14ac:dyDescent="0.25">
      <c r="A144" s="1">
        <f t="shared" ca="1" si="2"/>
        <v>12190</v>
      </c>
      <c r="B144" s="30">
        <v>7590</v>
      </c>
      <c r="C144" s="31">
        <v>7590</v>
      </c>
      <c r="D144" s="34">
        <v>295</v>
      </c>
      <c r="E144" s="35">
        <v>300</v>
      </c>
      <c r="F144" s="5">
        <v>0</v>
      </c>
      <c r="G144" s="43">
        <v>0</v>
      </c>
      <c r="H144" s="6"/>
    </row>
    <row r="145" spans="1:8" x14ac:dyDescent="0.25">
      <c r="A145" s="1">
        <f t="shared" ca="1" si="2"/>
        <v>12191</v>
      </c>
      <c r="B145" s="30">
        <v>7590</v>
      </c>
      <c r="C145" s="31">
        <v>7590</v>
      </c>
      <c r="D145" s="34">
        <v>295</v>
      </c>
      <c r="E145" s="35">
        <v>300</v>
      </c>
      <c r="F145" s="5">
        <v>0</v>
      </c>
      <c r="G145" s="43">
        <v>0</v>
      </c>
      <c r="H145" s="6"/>
    </row>
    <row r="146" spans="1:8" x14ac:dyDescent="0.25">
      <c r="A146" s="1">
        <f t="shared" ca="1" si="2"/>
        <v>12192</v>
      </c>
      <c r="B146" s="30">
        <v>7585</v>
      </c>
      <c r="C146" s="31">
        <v>7590</v>
      </c>
      <c r="D146" s="34">
        <v>295</v>
      </c>
      <c r="E146" s="35">
        <v>300</v>
      </c>
      <c r="F146" s="5">
        <v>0</v>
      </c>
      <c r="G146" s="43">
        <v>0</v>
      </c>
      <c r="H146" s="6"/>
    </row>
    <row r="147" spans="1:8" x14ac:dyDescent="0.25">
      <c r="A147" s="1">
        <f t="shared" ca="1" si="2"/>
        <v>12193</v>
      </c>
      <c r="B147" s="30">
        <v>7585</v>
      </c>
      <c r="C147" s="31">
        <v>7590</v>
      </c>
      <c r="D147" s="34">
        <v>295</v>
      </c>
      <c r="E147" s="35">
        <v>310</v>
      </c>
      <c r="F147" s="5">
        <v>0</v>
      </c>
      <c r="G147" s="43">
        <v>0</v>
      </c>
      <c r="H147" s="6"/>
    </row>
    <row r="148" spans="1:8" x14ac:dyDescent="0.25">
      <c r="A148" s="1">
        <f t="shared" ca="1" si="2"/>
        <v>12194</v>
      </c>
      <c r="B148" s="30">
        <v>7590</v>
      </c>
      <c r="C148" s="31">
        <v>7590</v>
      </c>
      <c r="D148" s="34">
        <v>295</v>
      </c>
      <c r="E148" s="35">
        <v>310</v>
      </c>
      <c r="F148" s="5">
        <v>0</v>
      </c>
      <c r="G148" s="43">
        <v>0</v>
      </c>
      <c r="H148" s="6"/>
    </row>
    <row r="149" spans="1:8" x14ac:dyDescent="0.25">
      <c r="A149" s="1">
        <f t="shared" ca="1" si="2"/>
        <v>12195</v>
      </c>
      <c r="B149" s="30">
        <v>7590</v>
      </c>
      <c r="C149" s="31">
        <v>7590</v>
      </c>
      <c r="D149" s="34">
        <v>295</v>
      </c>
      <c r="E149" s="35">
        <v>310</v>
      </c>
      <c r="F149" s="5">
        <v>0</v>
      </c>
      <c r="G149" s="43">
        <v>0</v>
      </c>
      <c r="H149" s="6"/>
    </row>
    <row r="150" spans="1:8" x14ac:dyDescent="0.25">
      <c r="A150" s="1">
        <f t="shared" ca="1" si="2"/>
        <v>12196</v>
      </c>
      <c r="B150" s="30">
        <v>7590</v>
      </c>
      <c r="C150" s="31">
        <v>7590</v>
      </c>
      <c r="D150" s="34">
        <v>300</v>
      </c>
      <c r="E150" s="35">
        <v>310</v>
      </c>
      <c r="F150" s="5">
        <v>0</v>
      </c>
      <c r="G150" s="43">
        <v>0</v>
      </c>
      <c r="H150" s="6"/>
    </row>
    <row r="151" spans="1:8" x14ac:dyDescent="0.25">
      <c r="A151" s="1">
        <f t="shared" ca="1" si="2"/>
        <v>12197</v>
      </c>
      <c r="B151" s="30">
        <v>7590</v>
      </c>
      <c r="C151" s="31">
        <v>7590</v>
      </c>
      <c r="D151" s="34">
        <v>300</v>
      </c>
      <c r="E151" s="35">
        <v>310</v>
      </c>
      <c r="F151" s="5">
        <v>0</v>
      </c>
      <c r="G151" s="43">
        <v>0</v>
      </c>
      <c r="H151" s="6"/>
    </row>
    <row r="152" spans="1:8" x14ac:dyDescent="0.25">
      <c r="A152" s="1">
        <f t="shared" ca="1" si="2"/>
        <v>12198</v>
      </c>
      <c r="B152" s="30">
        <v>7590</v>
      </c>
      <c r="C152" s="31">
        <v>7590</v>
      </c>
      <c r="D152" s="34">
        <v>300</v>
      </c>
      <c r="E152" s="35">
        <v>310</v>
      </c>
      <c r="F152" s="5">
        <v>0</v>
      </c>
      <c r="G152" s="43">
        <v>0</v>
      </c>
      <c r="H152" s="6"/>
    </row>
    <row r="153" spans="1:8" x14ac:dyDescent="0.25">
      <c r="A153" s="1">
        <f t="shared" ca="1" si="2"/>
        <v>12199</v>
      </c>
      <c r="B153" s="30">
        <v>7590</v>
      </c>
      <c r="C153" s="31">
        <v>7590</v>
      </c>
      <c r="D153" s="34">
        <v>300</v>
      </c>
      <c r="E153" s="35">
        <v>310</v>
      </c>
      <c r="F153" s="5">
        <v>0</v>
      </c>
      <c r="G153" s="43">
        <v>0</v>
      </c>
      <c r="H153" s="6"/>
    </row>
    <row r="154" spans="1:8" x14ac:dyDescent="0.25">
      <c r="A154" s="1">
        <f t="shared" ca="1" si="2"/>
        <v>12200</v>
      </c>
      <c r="B154" s="30">
        <v>7585</v>
      </c>
      <c r="C154" s="31">
        <v>7590</v>
      </c>
      <c r="D154" s="34">
        <v>300</v>
      </c>
      <c r="E154" s="35">
        <v>310</v>
      </c>
      <c r="F154" s="5">
        <v>0</v>
      </c>
      <c r="G154" s="43">
        <v>0</v>
      </c>
      <c r="H154" s="6"/>
    </row>
    <row r="155" spans="1:8" x14ac:dyDescent="0.25">
      <c r="A155" s="1">
        <f t="shared" ca="1" si="2"/>
        <v>12201</v>
      </c>
      <c r="B155" s="30">
        <v>7585</v>
      </c>
      <c r="C155" s="31">
        <v>7590</v>
      </c>
      <c r="D155" s="34">
        <v>300</v>
      </c>
      <c r="E155" s="35">
        <v>310</v>
      </c>
      <c r="F155" s="5">
        <v>0</v>
      </c>
      <c r="G155" s="43">
        <v>0</v>
      </c>
      <c r="H155" s="6"/>
    </row>
    <row r="156" spans="1:8" x14ac:dyDescent="0.25">
      <c r="A156" s="1">
        <f t="shared" ca="1" si="2"/>
        <v>12202</v>
      </c>
      <c r="B156" s="30">
        <v>7585</v>
      </c>
      <c r="C156" s="31">
        <v>7590</v>
      </c>
      <c r="D156" s="34">
        <v>300</v>
      </c>
      <c r="E156" s="35">
        <v>315</v>
      </c>
      <c r="F156" s="5">
        <v>0</v>
      </c>
      <c r="G156" s="43">
        <v>0</v>
      </c>
      <c r="H156" s="6"/>
    </row>
    <row r="157" spans="1:8" x14ac:dyDescent="0.25">
      <c r="A157" s="1">
        <f t="shared" ca="1" si="2"/>
        <v>12203</v>
      </c>
      <c r="B157" s="30">
        <v>7585</v>
      </c>
      <c r="C157" s="31">
        <v>7590</v>
      </c>
      <c r="D157" s="34">
        <v>305</v>
      </c>
      <c r="E157" s="35">
        <v>315</v>
      </c>
      <c r="F157" s="5">
        <v>0</v>
      </c>
      <c r="G157" s="43">
        <v>0</v>
      </c>
      <c r="H157" s="6"/>
    </row>
    <row r="158" spans="1:8" x14ac:dyDescent="0.25">
      <c r="A158" s="1">
        <f t="shared" ca="1" si="2"/>
        <v>12204</v>
      </c>
      <c r="B158" s="30">
        <v>7580</v>
      </c>
      <c r="C158" s="31">
        <v>7580</v>
      </c>
      <c r="D158" s="34">
        <v>315</v>
      </c>
      <c r="E158" s="35">
        <v>320</v>
      </c>
      <c r="F158" s="5">
        <v>0</v>
      </c>
      <c r="G158" s="43">
        <v>0</v>
      </c>
      <c r="H158" s="6"/>
    </row>
    <row r="159" spans="1:8" x14ac:dyDescent="0.25">
      <c r="A159" s="1">
        <f t="shared" ca="1" si="2"/>
        <v>12205</v>
      </c>
      <c r="B159" s="30">
        <v>7580</v>
      </c>
      <c r="C159" s="31">
        <v>7575</v>
      </c>
      <c r="D159" s="34">
        <v>310</v>
      </c>
      <c r="E159" s="35">
        <v>320</v>
      </c>
      <c r="F159" s="5">
        <v>0</v>
      </c>
      <c r="G159" s="43">
        <v>0</v>
      </c>
      <c r="H159" s="6"/>
    </row>
    <row r="160" spans="1:8" x14ac:dyDescent="0.25">
      <c r="A160" s="1" t="str">
        <f t="shared" ca="1" si="2"/>
        <v>Totaal</v>
      </c>
      <c r="B160" s="20">
        <f>IF(COUNT(B129:B159)&gt;0,AVERAGE(B129:B159)/10,"")</f>
        <v>758.64516129032256</v>
      </c>
      <c r="C160" s="21">
        <f>IF(COUNT(C129:C159)&gt;0,AVERAGE(C129:C159)/10,"")</f>
        <v>758.66129032258073</v>
      </c>
      <c r="D160" s="39">
        <f>IF(COUNT(D129:D159)&gt;0,AVERAGE(D129:D159)/10,"")</f>
        <v>29.774193548387096</v>
      </c>
      <c r="E160" s="40">
        <f>IF(COUNT(E129:E159)&gt;0,AVERAGE(E129:E159)/10,"")</f>
        <v>30.887096774193548</v>
      </c>
      <c r="F160" s="22">
        <f>SUM(F129:F159)/10</f>
        <v>2.1</v>
      </c>
      <c r="G160" s="46">
        <f>SUM(G129:G159)/10</f>
        <v>0</v>
      </c>
      <c r="H160" s="23">
        <f>SUM(H129:H159)/10</f>
        <v>0</v>
      </c>
    </row>
    <row r="161" spans="1:8" x14ac:dyDescent="0.25">
      <c r="A161" s="1">
        <f t="shared" ca="1" si="2"/>
        <v>12206</v>
      </c>
      <c r="B161" s="30">
        <v>7580</v>
      </c>
      <c r="C161" s="31">
        <v>7575</v>
      </c>
      <c r="D161" s="34">
        <v>315</v>
      </c>
      <c r="E161" s="35">
        <v>320</v>
      </c>
      <c r="F161" s="5">
        <v>0</v>
      </c>
      <c r="G161" s="43">
        <v>0</v>
      </c>
      <c r="H161" s="6"/>
    </row>
    <row r="162" spans="1:8" x14ac:dyDescent="0.25">
      <c r="A162" s="1">
        <f t="shared" ca="1" si="2"/>
        <v>12207</v>
      </c>
      <c r="B162" s="30">
        <v>7585</v>
      </c>
      <c r="C162" s="31">
        <v>7585</v>
      </c>
      <c r="D162" s="34">
        <v>305</v>
      </c>
      <c r="E162" s="35">
        <v>320</v>
      </c>
      <c r="F162" s="5">
        <v>3</v>
      </c>
      <c r="G162" s="43">
        <v>0</v>
      </c>
      <c r="H162" s="6"/>
    </row>
    <row r="163" spans="1:8" x14ac:dyDescent="0.25">
      <c r="A163" s="1">
        <f t="shared" ca="1" si="2"/>
        <v>12208</v>
      </c>
      <c r="B163" s="30">
        <v>7585</v>
      </c>
      <c r="C163" s="31">
        <v>7585</v>
      </c>
      <c r="D163" s="34">
        <v>305</v>
      </c>
      <c r="E163" s="35">
        <v>320</v>
      </c>
      <c r="F163" s="5">
        <v>0</v>
      </c>
      <c r="G163" s="43">
        <v>0</v>
      </c>
      <c r="H163" s="6"/>
    </row>
    <row r="164" spans="1:8" x14ac:dyDescent="0.25">
      <c r="A164" s="1">
        <f t="shared" ca="1" si="2"/>
        <v>12209</v>
      </c>
      <c r="B164" s="30">
        <v>7590</v>
      </c>
      <c r="C164" s="31">
        <v>7590</v>
      </c>
      <c r="D164" s="34">
        <v>300</v>
      </c>
      <c r="E164" s="35">
        <v>310</v>
      </c>
      <c r="F164" s="5">
        <v>0</v>
      </c>
      <c r="G164" s="43">
        <v>10</v>
      </c>
      <c r="H164" s="6"/>
    </row>
    <row r="165" spans="1:8" x14ac:dyDescent="0.25">
      <c r="A165" s="1">
        <f t="shared" ca="1" si="2"/>
        <v>12210</v>
      </c>
      <c r="B165" s="30">
        <v>7590</v>
      </c>
      <c r="C165" s="31">
        <v>7590</v>
      </c>
      <c r="D165" s="34">
        <v>300</v>
      </c>
      <c r="E165" s="35">
        <v>310</v>
      </c>
      <c r="F165" s="5">
        <v>0</v>
      </c>
      <c r="G165" s="43">
        <v>0</v>
      </c>
      <c r="H165" s="6"/>
    </row>
    <row r="166" spans="1:8" x14ac:dyDescent="0.25">
      <c r="A166" s="1">
        <f t="shared" ca="1" si="2"/>
        <v>12211</v>
      </c>
      <c r="B166" s="30">
        <v>7590</v>
      </c>
      <c r="C166" s="31">
        <v>7590</v>
      </c>
      <c r="D166" s="34">
        <v>300</v>
      </c>
      <c r="E166" s="35">
        <v>310</v>
      </c>
      <c r="F166" s="5">
        <v>0</v>
      </c>
      <c r="G166" s="43">
        <v>0</v>
      </c>
      <c r="H166" s="6"/>
    </row>
    <row r="167" spans="1:8" x14ac:dyDescent="0.25">
      <c r="A167" s="1">
        <f t="shared" ca="1" si="2"/>
        <v>12212</v>
      </c>
      <c r="B167" s="30">
        <v>7590</v>
      </c>
      <c r="C167" s="31">
        <v>7590</v>
      </c>
      <c r="D167" s="34">
        <v>300</v>
      </c>
      <c r="E167" s="35">
        <v>310</v>
      </c>
      <c r="F167" s="5">
        <v>0</v>
      </c>
      <c r="G167" s="43">
        <v>0</v>
      </c>
      <c r="H167" s="6"/>
    </row>
    <row r="168" spans="1:8" x14ac:dyDescent="0.25">
      <c r="A168" s="1">
        <f t="shared" ca="1" si="2"/>
        <v>12213</v>
      </c>
      <c r="B168" s="30">
        <v>7585</v>
      </c>
      <c r="C168" s="31">
        <v>7585</v>
      </c>
      <c r="D168" s="34">
        <v>305</v>
      </c>
      <c r="E168" s="35">
        <v>310</v>
      </c>
      <c r="F168" s="5">
        <v>0</v>
      </c>
      <c r="G168" s="43">
        <v>0</v>
      </c>
      <c r="H168" s="6"/>
    </row>
    <row r="169" spans="1:8" x14ac:dyDescent="0.25">
      <c r="A169" s="1">
        <f t="shared" ca="1" si="2"/>
        <v>12214</v>
      </c>
      <c r="B169" s="30">
        <v>7585</v>
      </c>
      <c r="C169" s="31">
        <v>7585</v>
      </c>
      <c r="D169" s="34">
        <v>305</v>
      </c>
      <c r="E169" s="35">
        <v>310</v>
      </c>
      <c r="F169" s="5">
        <v>58</v>
      </c>
      <c r="G169" s="43">
        <v>131</v>
      </c>
      <c r="H169" s="6"/>
    </row>
    <row r="170" spans="1:8" x14ac:dyDescent="0.25">
      <c r="A170" s="1">
        <f t="shared" ca="1" si="2"/>
        <v>12215</v>
      </c>
      <c r="B170" s="30">
        <v>7590</v>
      </c>
      <c r="C170" s="31">
        <v>7590</v>
      </c>
      <c r="D170" s="34">
        <v>300</v>
      </c>
      <c r="E170" s="35">
        <v>310</v>
      </c>
      <c r="F170" s="5">
        <v>0</v>
      </c>
      <c r="G170" s="43">
        <v>0</v>
      </c>
      <c r="H170" s="6"/>
    </row>
    <row r="171" spans="1:8" x14ac:dyDescent="0.25">
      <c r="A171" s="1">
        <f t="shared" ca="1" si="2"/>
        <v>12216</v>
      </c>
      <c r="B171" s="30">
        <v>7590</v>
      </c>
      <c r="C171" s="31">
        <v>7590</v>
      </c>
      <c r="D171" s="34">
        <v>290</v>
      </c>
      <c r="E171" s="35">
        <v>300</v>
      </c>
      <c r="F171" s="5">
        <v>0</v>
      </c>
      <c r="G171" s="43">
        <v>0</v>
      </c>
      <c r="H171" s="6"/>
    </row>
    <row r="172" spans="1:8" x14ac:dyDescent="0.25">
      <c r="A172" s="1">
        <f t="shared" ca="1" si="2"/>
        <v>12217</v>
      </c>
      <c r="B172" s="30">
        <v>7590</v>
      </c>
      <c r="C172" s="31">
        <v>7590</v>
      </c>
      <c r="D172" s="34">
        <v>290</v>
      </c>
      <c r="E172" s="35">
        <v>300</v>
      </c>
      <c r="F172" s="5">
        <v>0</v>
      </c>
      <c r="G172" s="43">
        <v>0</v>
      </c>
      <c r="H172" s="6"/>
    </row>
    <row r="173" spans="1:8" x14ac:dyDescent="0.25">
      <c r="A173" s="1">
        <f t="shared" ca="1" si="2"/>
        <v>12218</v>
      </c>
      <c r="B173" s="30">
        <v>7590</v>
      </c>
      <c r="C173" s="31">
        <v>7590</v>
      </c>
      <c r="D173" s="34">
        <v>290</v>
      </c>
      <c r="E173" s="35">
        <v>310</v>
      </c>
      <c r="F173" s="5">
        <v>23</v>
      </c>
      <c r="G173" s="43">
        <v>0</v>
      </c>
      <c r="H173" s="6"/>
    </row>
    <row r="174" spans="1:8" x14ac:dyDescent="0.25">
      <c r="A174" s="1">
        <f t="shared" ca="1" si="2"/>
        <v>12219</v>
      </c>
      <c r="B174" s="30">
        <v>7590</v>
      </c>
      <c r="C174" s="31">
        <v>7590</v>
      </c>
      <c r="D174" s="34">
        <v>290</v>
      </c>
      <c r="E174" s="35">
        <v>310</v>
      </c>
      <c r="F174" s="5">
        <v>23</v>
      </c>
      <c r="G174" s="43">
        <v>0</v>
      </c>
      <c r="H174" s="6"/>
    </row>
    <row r="175" spans="1:8" x14ac:dyDescent="0.25">
      <c r="A175" s="1">
        <f t="shared" ca="1" si="2"/>
        <v>12220</v>
      </c>
      <c r="B175" s="30">
        <v>7590</v>
      </c>
      <c r="C175" s="31">
        <v>7585</v>
      </c>
      <c r="D175" s="34">
        <v>300</v>
      </c>
      <c r="E175" s="35">
        <v>310</v>
      </c>
      <c r="F175" s="5">
        <v>0</v>
      </c>
      <c r="G175" s="43">
        <v>0</v>
      </c>
      <c r="H175" s="6"/>
    </row>
    <row r="176" spans="1:8" x14ac:dyDescent="0.25">
      <c r="A176" s="1">
        <f t="shared" ca="1" si="2"/>
        <v>12221</v>
      </c>
      <c r="B176" s="30">
        <v>7590</v>
      </c>
      <c r="C176" s="31">
        <v>7580</v>
      </c>
      <c r="D176" s="34">
        <v>290</v>
      </c>
      <c r="E176" s="35">
        <v>315</v>
      </c>
      <c r="F176" s="5">
        <v>17</v>
      </c>
      <c r="G176" s="43">
        <v>0</v>
      </c>
      <c r="H176" s="6"/>
    </row>
    <row r="177" spans="1:8" x14ac:dyDescent="0.25">
      <c r="A177" s="1">
        <f t="shared" ca="1" si="2"/>
        <v>12222</v>
      </c>
      <c r="B177" s="30">
        <v>7590</v>
      </c>
      <c r="C177" s="31">
        <v>7580</v>
      </c>
      <c r="D177" s="34">
        <v>300</v>
      </c>
      <c r="E177" s="35">
        <v>315</v>
      </c>
      <c r="F177" s="5">
        <v>0</v>
      </c>
      <c r="G177" s="43">
        <v>0</v>
      </c>
      <c r="H177" s="6"/>
    </row>
    <row r="178" spans="1:8" x14ac:dyDescent="0.25">
      <c r="A178" s="1">
        <f t="shared" ca="1" si="2"/>
        <v>12223</v>
      </c>
      <c r="B178" s="30">
        <v>7590</v>
      </c>
      <c r="C178" s="31">
        <v>7590</v>
      </c>
      <c r="D178" s="34">
        <v>310</v>
      </c>
      <c r="E178" s="35">
        <v>315</v>
      </c>
      <c r="F178" s="5">
        <v>0</v>
      </c>
      <c r="G178" s="43">
        <v>0</v>
      </c>
      <c r="H178" s="6"/>
    </row>
    <row r="179" spans="1:8" x14ac:dyDescent="0.25">
      <c r="A179" s="1">
        <f t="shared" ca="1" si="2"/>
        <v>12224</v>
      </c>
      <c r="B179" s="30">
        <v>7590</v>
      </c>
      <c r="C179" s="31">
        <v>7590</v>
      </c>
      <c r="D179" s="34">
        <v>310</v>
      </c>
      <c r="E179" s="35">
        <v>315</v>
      </c>
      <c r="F179" s="5">
        <v>0</v>
      </c>
      <c r="G179" s="43">
        <v>0</v>
      </c>
      <c r="H179" s="6"/>
    </row>
    <row r="180" spans="1:8" x14ac:dyDescent="0.25">
      <c r="A180" s="1">
        <f t="shared" ca="1" si="2"/>
        <v>12225</v>
      </c>
      <c r="B180" s="30">
        <v>7590</v>
      </c>
      <c r="C180" s="31">
        <v>7585</v>
      </c>
      <c r="D180" s="34">
        <v>305</v>
      </c>
      <c r="E180" s="35">
        <v>320</v>
      </c>
      <c r="F180" s="5">
        <v>0</v>
      </c>
      <c r="G180" s="43">
        <v>0</v>
      </c>
      <c r="H180" s="6"/>
    </row>
    <row r="181" spans="1:8" x14ac:dyDescent="0.25">
      <c r="A181" s="1">
        <f t="shared" ca="1" si="2"/>
        <v>12226</v>
      </c>
      <c r="B181" s="30">
        <v>7590</v>
      </c>
      <c r="C181" s="31">
        <v>7580</v>
      </c>
      <c r="D181" s="34">
        <v>305</v>
      </c>
      <c r="E181" s="35">
        <v>325</v>
      </c>
      <c r="F181" s="5">
        <v>0</v>
      </c>
      <c r="G181" s="43">
        <v>0</v>
      </c>
      <c r="H181" s="6"/>
    </row>
    <row r="182" spans="1:8" x14ac:dyDescent="0.25">
      <c r="A182" s="1">
        <f t="shared" ca="1" si="2"/>
        <v>12227</v>
      </c>
      <c r="B182" s="30">
        <v>7590</v>
      </c>
      <c r="C182" s="31">
        <v>7580</v>
      </c>
      <c r="D182" s="34">
        <v>305</v>
      </c>
      <c r="E182" s="35">
        <v>320</v>
      </c>
      <c r="F182" s="5">
        <v>0</v>
      </c>
      <c r="G182" s="43">
        <v>0</v>
      </c>
      <c r="H182" s="6"/>
    </row>
    <row r="183" spans="1:8" x14ac:dyDescent="0.25">
      <c r="A183" s="1">
        <f t="shared" ca="1" si="2"/>
        <v>12228</v>
      </c>
      <c r="B183" s="30">
        <v>7590</v>
      </c>
      <c r="C183" s="31">
        <v>7580</v>
      </c>
      <c r="D183" s="34">
        <v>305</v>
      </c>
      <c r="E183" s="35">
        <v>320</v>
      </c>
      <c r="F183" s="5">
        <v>0</v>
      </c>
      <c r="G183" s="43">
        <v>0</v>
      </c>
      <c r="H183" s="6"/>
    </row>
    <row r="184" spans="1:8" x14ac:dyDescent="0.25">
      <c r="A184" s="1">
        <f t="shared" ca="1" si="2"/>
        <v>12229</v>
      </c>
      <c r="B184" s="30">
        <v>7590</v>
      </c>
      <c r="C184" s="31">
        <v>7585</v>
      </c>
      <c r="D184" s="34">
        <v>300</v>
      </c>
      <c r="E184" s="35">
        <v>320</v>
      </c>
      <c r="F184" s="5">
        <v>0</v>
      </c>
      <c r="G184" s="43">
        <v>0</v>
      </c>
      <c r="H184" s="6"/>
    </row>
    <row r="185" spans="1:8" x14ac:dyDescent="0.25">
      <c r="A185" s="1">
        <f t="shared" ca="1" si="2"/>
        <v>12230</v>
      </c>
      <c r="B185" s="30">
        <v>7590</v>
      </c>
      <c r="C185" s="31">
        <v>7585</v>
      </c>
      <c r="D185" s="34">
        <v>300</v>
      </c>
      <c r="E185" s="35">
        <v>320</v>
      </c>
      <c r="F185" s="5">
        <v>0</v>
      </c>
      <c r="G185" s="43">
        <v>0</v>
      </c>
      <c r="H185" s="6"/>
    </row>
    <row r="186" spans="1:8" x14ac:dyDescent="0.25">
      <c r="A186" s="1">
        <f t="shared" ca="1" si="2"/>
        <v>12231</v>
      </c>
      <c r="B186" s="30">
        <v>7585</v>
      </c>
      <c r="C186" s="31">
        <v>7580</v>
      </c>
      <c r="D186" s="34">
        <v>305</v>
      </c>
      <c r="E186" s="35">
        <v>315</v>
      </c>
      <c r="F186" s="5">
        <v>0</v>
      </c>
      <c r="G186" s="43">
        <v>0</v>
      </c>
      <c r="H186" s="6"/>
    </row>
    <row r="187" spans="1:8" x14ac:dyDescent="0.25">
      <c r="A187" s="1">
        <f t="shared" ca="1" si="2"/>
        <v>12232</v>
      </c>
      <c r="B187" s="30">
        <v>7580</v>
      </c>
      <c r="C187" s="31">
        <v>7580</v>
      </c>
      <c r="D187" s="34">
        <v>305</v>
      </c>
      <c r="E187" s="35">
        <v>315</v>
      </c>
      <c r="F187" s="5">
        <v>23</v>
      </c>
      <c r="G187" s="43">
        <v>0</v>
      </c>
      <c r="H187" s="6"/>
    </row>
    <row r="188" spans="1:8" x14ac:dyDescent="0.25">
      <c r="A188" s="1">
        <f t="shared" ca="1" si="2"/>
        <v>12233</v>
      </c>
      <c r="B188" s="30">
        <v>7580</v>
      </c>
      <c r="C188" s="31">
        <v>7580</v>
      </c>
      <c r="D188" s="34">
        <v>295</v>
      </c>
      <c r="E188" s="35">
        <v>310</v>
      </c>
      <c r="F188" s="5">
        <v>42</v>
      </c>
      <c r="G188" s="43">
        <v>165</v>
      </c>
      <c r="H188" s="6"/>
    </row>
    <row r="189" spans="1:8" x14ac:dyDescent="0.25">
      <c r="A189" s="1">
        <f t="shared" ca="1" si="2"/>
        <v>12234</v>
      </c>
      <c r="B189" s="30">
        <v>7590</v>
      </c>
      <c r="C189" s="31">
        <v>7580</v>
      </c>
      <c r="D189" s="34">
        <v>280</v>
      </c>
      <c r="E189" s="35">
        <v>310</v>
      </c>
      <c r="F189" s="5">
        <v>352</v>
      </c>
      <c r="G189" s="43">
        <v>220</v>
      </c>
      <c r="H189" s="6"/>
    </row>
    <row r="190" spans="1:8" x14ac:dyDescent="0.25">
      <c r="A190" s="1">
        <f t="shared" ca="1" si="2"/>
        <v>12235</v>
      </c>
      <c r="B190" s="30">
        <v>7590</v>
      </c>
      <c r="C190" s="31">
        <v>7590</v>
      </c>
      <c r="D190" s="34">
        <v>295</v>
      </c>
      <c r="E190" s="35">
        <v>305</v>
      </c>
      <c r="F190" s="5">
        <v>0</v>
      </c>
      <c r="G190" s="43">
        <v>0</v>
      </c>
      <c r="H190" s="6"/>
    </row>
    <row r="191" spans="1:8" x14ac:dyDescent="0.25">
      <c r="A191" s="1" t="str">
        <f t="shared" ca="1" si="2"/>
        <v>Totaal</v>
      </c>
      <c r="B191" s="20">
        <f>IF(COUNT(B161:B190)&gt;0,AVERAGE(B161:B190)/10,"")</f>
        <v>758.81666666666672</v>
      </c>
      <c r="C191" s="21">
        <f>IF(COUNT(C161:C190)&gt;0,AVERAGE(C161:C190)/10,"")</f>
        <v>758.51666666666665</v>
      </c>
      <c r="D191" s="39">
        <f>IF(COUNT(D161:D190)&gt;0,AVERAGE(D161:D190)/10,"")</f>
        <v>30.016666666666669</v>
      </c>
      <c r="E191" s="40">
        <f>IF(COUNT(E161:E190)&gt;0,AVERAGE(E161:E190)/10,"")</f>
        <v>31.333333333333332</v>
      </c>
      <c r="F191" s="22">
        <f>SUM(F161:F190)/10</f>
        <v>54.1</v>
      </c>
      <c r="G191" s="46">
        <f>SUM(G161:G190)/10</f>
        <v>52.6</v>
      </c>
      <c r="H191" s="23">
        <f>SUM(H161:H190)/10</f>
        <v>0</v>
      </c>
    </row>
    <row r="192" spans="1:8" x14ac:dyDescent="0.25">
      <c r="A192" s="1">
        <f t="shared" ca="1" si="2"/>
        <v>12236</v>
      </c>
      <c r="B192" s="30">
        <v>7590</v>
      </c>
      <c r="C192" s="31">
        <v>7590</v>
      </c>
      <c r="D192" s="34">
        <v>295</v>
      </c>
      <c r="E192" s="35">
        <v>300</v>
      </c>
      <c r="F192" s="5">
        <v>0</v>
      </c>
      <c r="G192" s="43">
        <v>0</v>
      </c>
      <c r="H192" s="6"/>
    </row>
    <row r="193" spans="1:8" x14ac:dyDescent="0.25">
      <c r="A193" s="1">
        <f t="shared" ca="1" si="2"/>
        <v>12237</v>
      </c>
      <c r="B193" s="30">
        <v>7590</v>
      </c>
      <c r="C193" s="31">
        <v>7590</v>
      </c>
      <c r="D193" s="34">
        <v>295</v>
      </c>
      <c r="E193" s="35">
        <v>300</v>
      </c>
      <c r="F193" s="5">
        <v>0</v>
      </c>
      <c r="G193" s="43">
        <v>0</v>
      </c>
      <c r="H193" s="6"/>
    </row>
    <row r="194" spans="1:8" x14ac:dyDescent="0.25">
      <c r="A194" s="1">
        <f t="shared" ca="1" si="2"/>
        <v>12238</v>
      </c>
      <c r="B194" s="30">
        <v>7590</v>
      </c>
      <c r="C194" s="31">
        <v>7590</v>
      </c>
      <c r="D194" s="34">
        <v>295</v>
      </c>
      <c r="E194" s="35">
        <v>305</v>
      </c>
      <c r="F194" s="5">
        <v>0</v>
      </c>
      <c r="G194" s="43">
        <v>0</v>
      </c>
      <c r="H194" s="6"/>
    </row>
    <row r="195" spans="1:8" x14ac:dyDescent="0.25">
      <c r="A195" s="1">
        <f t="shared" ca="1" si="2"/>
        <v>12239</v>
      </c>
      <c r="B195" s="30">
        <v>7590</v>
      </c>
      <c r="C195" s="31">
        <v>7590</v>
      </c>
      <c r="D195" s="34">
        <v>295</v>
      </c>
      <c r="E195" s="35">
        <v>305</v>
      </c>
      <c r="F195" s="5">
        <v>0</v>
      </c>
      <c r="G195" s="43">
        <v>0</v>
      </c>
      <c r="H195" s="6"/>
    </row>
    <row r="196" spans="1:8" x14ac:dyDescent="0.25">
      <c r="A196" s="1">
        <f t="shared" ca="1" si="2"/>
        <v>12240</v>
      </c>
      <c r="B196" s="30">
        <v>7590</v>
      </c>
      <c r="C196" s="31">
        <v>7590</v>
      </c>
      <c r="D196" s="34">
        <v>295</v>
      </c>
      <c r="E196" s="35">
        <v>305</v>
      </c>
      <c r="F196" s="5">
        <v>0</v>
      </c>
      <c r="G196" s="43">
        <v>16</v>
      </c>
      <c r="H196" s="6"/>
    </row>
    <row r="197" spans="1:8" x14ac:dyDescent="0.25">
      <c r="A197" s="1">
        <f t="shared" ca="1" si="2"/>
        <v>12241</v>
      </c>
      <c r="B197" s="30">
        <v>7590</v>
      </c>
      <c r="C197" s="31">
        <v>7590</v>
      </c>
      <c r="D197" s="34">
        <v>300</v>
      </c>
      <c r="E197" s="35">
        <v>310</v>
      </c>
      <c r="F197" s="5">
        <v>0</v>
      </c>
      <c r="G197" s="43">
        <v>0</v>
      </c>
      <c r="H197" s="6"/>
    </row>
    <row r="198" spans="1:8" x14ac:dyDescent="0.25">
      <c r="A198" s="1">
        <f t="shared" ca="1" si="2"/>
        <v>12242</v>
      </c>
      <c r="B198" s="30">
        <v>7585</v>
      </c>
      <c r="C198" s="31">
        <v>7575</v>
      </c>
      <c r="D198" s="34">
        <v>295</v>
      </c>
      <c r="E198" s="35">
        <v>310</v>
      </c>
      <c r="F198" s="5">
        <v>0</v>
      </c>
      <c r="G198" s="43">
        <v>0</v>
      </c>
      <c r="H198" s="6"/>
    </row>
    <row r="199" spans="1:8" x14ac:dyDescent="0.25">
      <c r="A199" s="1">
        <f t="shared" ref="A199:A262" ca="1" si="3">IF(ISTEXT(A198),A197+1,IF(MONTH(A198+1)=MONTH(A198),A198+1,"Totaal"))</f>
        <v>12243</v>
      </c>
      <c r="B199" s="30">
        <v>7590</v>
      </c>
      <c r="C199" s="31">
        <v>7585</v>
      </c>
      <c r="D199" s="34">
        <v>300</v>
      </c>
      <c r="E199" s="35">
        <v>315</v>
      </c>
      <c r="F199" s="5">
        <v>0</v>
      </c>
      <c r="G199" s="43">
        <v>0</v>
      </c>
      <c r="H199" s="6"/>
    </row>
    <row r="200" spans="1:8" x14ac:dyDescent="0.25">
      <c r="A200" s="1">
        <f t="shared" ca="1" si="3"/>
        <v>12244</v>
      </c>
      <c r="B200" s="30">
        <v>7590</v>
      </c>
      <c r="C200" s="31">
        <v>7590</v>
      </c>
      <c r="D200" s="34">
        <v>300</v>
      </c>
      <c r="E200" s="35">
        <v>310</v>
      </c>
      <c r="F200" s="5">
        <v>0</v>
      </c>
      <c r="G200" s="43">
        <v>0</v>
      </c>
      <c r="H200" s="6"/>
    </row>
    <row r="201" spans="1:8" x14ac:dyDescent="0.25">
      <c r="A201" s="1">
        <f t="shared" ca="1" si="3"/>
        <v>12245</v>
      </c>
      <c r="B201" s="30">
        <v>7590</v>
      </c>
      <c r="C201" s="31">
        <v>7585</v>
      </c>
      <c r="D201" s="34">
        <v>305</v>
      </c>
      <c r="E201" s="35">
        <v>305</v>
      </c>
      <c r="F201" s="5">
        <v>18</v>
      </c>
      <c r="G201" s="43">
        <v>93</v>
      </c>
      <c r="H201" s="6"/>
    </row>
    <row r="202" spans="1:8" x14ac:dyDescent="0.25">
      <c r="A202" s="1">
        <f t="shared" ca="1" si="3"/>
        <v>12246</v>
      </c>
      <c r="B202" s="30">
        <v>7585</v>
      </c>
      <c r="C202" s="31">
        <v>7585</v>
      </c>
      <c r="D202" s="34">
        <v>300</v>
      </c>
      <c r="E202" s="35">
        <v>305</v>
      </c>
      <c r="F202" s="5">
        <v>10</v>
      </c>
      <c r="G202" s="43">
        <v>33</v>
      </c>
      <c r="H202" s="6"/>
    </row>
    <row r="203" spans="1:8" x14ac:dyDescent="0.25">
      <c r="A203" s="1">
        <f t="shared" ca="1" si="3"/>
        <v>12247</v>
      </c>
      <c r="B203" s="30">
        <v>7590</v>
      </c>
      <c r="C203" s="31">
        <v>7590</v>
      </c>
      <c r="D203" s="34">
        <v>300</v>
      </c>
      <c r="E203" s="35">
        <v>310</v>
      </c>
      <c r="F203" s="5">
        <v>11</v>
      </c>
      <c r="G203" s="43">
        <v>0</v>
      </c>
      <c r="H203" s="6"/>
    </row>
    <row r="204" spans="1:8" x14ac:dyDescent="0.25">
      <c r="A204" s="1">
        <f t="shared" ca="1" si="3"/>
        <v>12248</v>
      </c>
      <c r="B204" s="30">
        <v>7590</v>
      </c>
      <c r="C204" s="31">
        <v>7590</v>
      </c>
      <c r="D204" s="34">
        <v>300</v>
      </c>
      <c r="E204" s="35">
        <v>310</v>
      </c>
      <c r="F204" s="5">
        <v>8</v>
      </c>
      <c r="G204" s="43">
        <v>0</v>
      </c>
      <c r="H204" s="6"/>
    </row>
    <row r="205" spans="1:8" x14ac:dyDescent="0.25">
      <c r="A205" s="1">
        <f t="shared" ca="1" si="3"/>
        <v>12249</v>
      </c>
      <c r="B205" s="30">
        <v>7590</v>
      </c>
      <c r="C205" s="31">
        <v>7585</v>
      </c>
      <c r="D205" s="34">
        <v>295</v>
      </c>
      <c r="E205" s="35">
        <v>305</v>
      </c>
      <c r="F205" s="5">
        <v>0</v>
      </c>
      <c r="G205" s="43">
        <v>0</v>
      </c>
      <c r="H205" s="6"/>
    </row>
    <row r="206" spans="1:8" x14ac:dyDescent="0.25">
      <c r="A206" s="1">
        <f t="shared" ca="1" si="3"/>
        <v>12250</v>
      </c>
      <c r="B206" s="30">
        <v>7585</v>
      </c>
      <c r="C206" s="31">
        <v>7580</v>
      </c>
      <c r="D206" s="34">
        <v>300</v>
      </c>
      <c r="E206" s="35">
        <v>315</v>
      </c>
      <c r="F206" s="5">
        <v>0</v>
      </c>
      <c r="G206" s="43">
        <v>0</v>
      </c>
      <c r="H206" s="6"/>
    </row>
    <row r="207" spans="1:8" x14ac:dyDescent="0.25">
      <c r="A207" s="1">
        <f t="shared" ca="1" si="3"/>
        <v>12251</v>
      </c>
      <c r="B207" s="30">
        <v>7605</v>
      </c>
      <c r="C207" s="31">
        <v>7590</v>
      </c>
      <c r="D207" s="34">
        <v>310</v>
      </c>
      <c r="E207" s="35">
        <v>310</v>
      </c>
      <c r="F207" s="5">
        <v>0</v>
      </c>
      <c r="G207" s="43">
        <v>0</v>
      </c>
      <c r="H207" s="6"/>
    </row>
    <row r="208" spans="1:8" x14ac:dyDescent="0.25">
      <c r="A208" s="1">
        <f t="shared" ca="1" si="3"/>
        <v>12252</v>
      </c>
      <c r="B208" s="30">
        <v>7590</v>
      </c>
      <c r="C208" s="31">
        <v>7585</v>
      </c>
      <c r="D208" s="34">
        <v>300</v>
      </c>
      <c r="E208" s="35">
        <v>295</v>
      </c>
      <c r="F208" s="5">
        <v>0</v>
      </c>
      <c r="G208" s="43">
        <v>28</v>
      </c>
      <c r="H208" s="6"/>
    </row>
    <row r="209" spans="1:8" x14ac:dyDescent="0.25">
      <c r="A209" s="1">
        <f t="shared" ca="1" si="3"/>
        <v>12253</v>
      </c>
      <c r="B209" s="30">
        <v>7585</v>
      </c>
      <c r="C209" s="31">
        <v>7585</v>
      </c>
      <c r="D209" s="34">
        <v>300</v>
      </c>
      <c r="E209" s="35">
        <v>310</v>
      </c>
      <c r="F209" s="5">
        <v>0</v>
      </c>
      <c r="G209" s="43">
        <v>0</v>
      </c>
      <c r="H209" s="6"/>
    </row>
    <row r="210" spans="1:8" x14ac:dyDescent="0.25">
      <c r="A210" s="1">
        <f t="shared" ca="1" si="3"/>
        <v>12254</v>
      </c>
      <c r="B210" s="30">
        <v>7590</v>
      </c>
      <c r="C210" s="31">
        <v>7590</v>
      </c>
      <c r="D210" s="34">
        <v>300</v>
      </c>
      <c r="E210" s="35">
        <v>310</v>
      </c>
      <c r="F210" s="5">
        <v>0</v>
      </c>
      <c r="G210" s="43">
        <v>0</v>
      </c>
      <c r="H210" s="6"/>
    </row>
    <row r="211" spans="1:8" x14ac:dyDescent="0.25">
      <c r="A211" s="1">
        <f t="shared" ca="1" si="3"/>
        <v>12255</v>
      </c>
      <c r="B211" s="30">
        <v>7590</v>
      </c>
      <c r="C211" s="31">
        <v>7585</v>
      </c>
      <c r="D211" s="34">
        <v>300</v>
      </c>
      <c r="E211" s="35">
        <v>310</v>
      </c>
      <c r="F211" s="5">
        <v>12</v>
      </c>
      <c r="G211" s="43">
        <v>0</v>
      </c>
      <c r="H211" s="6"/>
    </row>
    <row r="212" spans="1:8" x14ac:dyDescent="0.25">
      <c r="A212" s="1">
        <f t="shared" ca="1" si="3"/>
        <v>12256</v>
      </c>
      <c r="B212" s="30">
        <v>7585</v>
      </c>
      <c r="C212" s="31">
        <v>7585</v>
      </c>
      <c r="D212" s="34">
        <v>305</v>
      </c>
      <c r="E212" s="35">
        <v>310</v>
      </c>
      <c r="F212" s="5">
        <v>0</v>
      </c>
      <c r="G212" s="43">
        <v>0</v>
      </c>
      <c r="H212" s="6"/>
    </row>
    <row r="213" spans="1:8" x14ac:dyDescent="0.25">
      <c r="A213" s="1">
        <f t="shared" ca="1" si="3"/>
        <v>12257</v>
      </c>
      <c r="B213" s="30">
        <v>7585</v>
      </c>
      <c r="C213" s="31">
        <v>7585</v>
      </c>
      <c r="D213" s="34">
        <v>290</v>
      </c>
      <c r="E213" s="35">
        <v>305</v>
      </c>
      <c r="F213" s="5">
        <v>29</v>
      </c>
      <c r="G213" s="43">
        <v>19</v>
      </c>
      <c r="H213" s="6"/>
    </row>
    <row r="214" spans="1:8" x14ac:dyDescent="0.25">
      <c r="A214" s="1">
        <f t="shared" ca="1" si="3"/>
        <v>12258</v>
      </c>
      <c r="B214" s="30">
        <v>7590</v>
      </c>
      <c r="C214" s="31">
        <v>7590</v>
      </c>
      <c r="D214" s="34">
        <v>300</v>
      </c>
      <c r="E214" s="35">
        <v>310</v>
      </c>
      <c r="F214" s="5">
        <v>0</v>
      </c>
      <c r="G214" s="43">
        <v>0</v>
      </c>
      <c r="H214" s="6"/>
    </row>
    <row r="215" spans="1:8" x14ac:dyDescent="0.25">
      <c r="A215" s="1">
        <f t="shared" ca="1" si="3"/>
        <v>12259</v>
      </c>
      <c r="B215" s="30">
        <v>7615</v>
      </c>
      <c r="C215" s="31">
        <v>7605</v>
      </c>
      <c r="D215" s="34">
        <v>300</v>
      </c>
      <c r="E215" s="35">
        <v>305</v>
      </c>
      <c r="F215" s="5">
        <v>145</v>
      </c>
      <c r="G215" s="43">
        <v>122</v>
      </c>
      <c r="H215" s="6"/>
    </row>
    <row r="216" spans="1:8" x14ac:dyDescent="0.25">
      <c r="A216" s="1">
        <f t="shared" ca="1" si="3"/>
        <v>12260</v>
      </c>
      <c r="B216" s="30">
        <v>7585</v>
      </c>
      <c r="C216" s="31">
        <v>7575</v>
      </c>
      <c r="D216" s="34">
        <v>310</v>
      </c>
      <c r="E216" s="35">
        <v>300</v>
      </c>
      <c r="F216" s="5">
        <v>0</v>
      </c>
      <c r="G216" s="43">
        <v>0</v>
      </c>
      <c r="H216" s="6"/>
    </row>
    <row r="217" spans="1:8" x14ac:dyDescent="0.25">
      <c r="A217" s="1">
        <f t="shared" ca="1" si="3"/>
        <v>12261</v>
      </c>
      <c r="B217" s="30">
        <v>7595</v>
      </c>
      <c r="C217" s="31">
        <v>7575</v>
      </c>
      <c r="D217" s="34">
        <v>300</v>
      </c>
      <c r="E217" s="35">
        <v>320</v>
      </c>
      <c r="F217" s="5">
        <v>0</v>
      </c>
      <c r="G217" s="43">
        <v>0</v>
      </c>
      <c r="H217" s="6"/>
    </row>
    <row r="218" spans="1:8" x14ac:dyDescent="0.25">
      <c r="A218" s="1">
        <f t="shared" ca="1" si="3"/>
        <v>12262</v>
      </c>
      <c r="B218" s="30">
        <v>7590</v>
      </c>
      <c r="C218" s="31">
        <v>7585</v>
      </c>
      <c r="D218" s="34">
        <v>310</v>
      </c>
      <c r="E218" s="35">
        <v>315</v>
      </c>
      <c r="F218" s="5">
        <v>0</v>
      </c>
      <c r="G218" s="43">
        <v>0</v>
      </c>
      <c r="H218" s="6"/>
    </row>
    <row r="219" spans="1:8" x14ac:dyDescent="0.25">
      <c r="A219" s="1">
        <f t="shared" ca="1" si="3"/>
        <v>12263</v>
      </c>
      <c r="B219" s="30">
        <v>7590</v>
      </c>
      <c r="C219" s="31">
        <v>7590</v>
      </c>
      <c r="D219" s="34">
        <v>300</v>
      </c>
      <c r="E219" s="35">
        <v>310</v>
      </c>
      <c r="F219" s="5">
        <v>0</v>
      </c>
      <c r="G219" s="43">
        <v>0</v>
      </c>
      <c r="H219" s="6"/>
    </row>
    <row r="220" spans="1:8" x14ac:dyDescent="0.25">
      <c r="A220" s="1">
        <f t="shared" ca="1" si="3"/>
        <v>12264</v>
      </c>
      <c r="B220" s="30">
        <v>7590</v>
      </c>
      <c r="C220" s="31">
        <v>7590</v>
      </c>
      <c r="D220" s="34">
        <v>305</v>
      </c>
      <c r="E220" s="35">
        <v>305</v>
      </c>
      <c r="F220" s="5">
        <v>0</v>
      </c>
      <c r="G220" s="43">
        <v>0</v>
      </c>
      <c r="H220" s="6"/>
    </row>
    <row r="221" spans="1:8" x14ac:dyDescent="0.25">
      <c r="A221" s="1">
        <f t="shared" ca="1" si="3"/>
        <v>12265</v>
      </c>
      <c r="B221" s="30">
        <v>7590</v>
      </c>
      <c r="C221" s="31">
        <v>7585</v>
      </c>
      <c r="D221" s="34">
        <v>300</v>
      </c>
      <c r="E221" s="35">
        <v>310</v>
      </c>
      <c r="F221" s="5">
        <v>40</v>
      </c>
      <c r="G221" s="43">
        <v>0</v>
      </c>
      <c r="H221" s="6"/>
    </row>
    <row r="222" spans="1:8" x14ac:dyDescent="0.25">
      <c r="A222" s="1">
        <f t="shared" ca="1" si="3"/>
        <v>12266</v>
      </c>
      <c r="B222" s="30">
        <v>7595</v>
      </c>
      <c r="C222" s="31">
        <v>7590</v>
      </c>
      <c r="D222" s="34">
        <v>300</v>
      </c>
      <c r="E222" s="35">
        <v>315</v>
      </c>
      <c r="F222" s="5">
        <v>0</v>
      </c>
      <c r="G222" s="43">
        <v>0</v>
      </c>
      <c r="H222" s="6"/>
    </row>
    <row r="223" spans="1:8" x14ac:dyDescent="0.25">
      <c r="A223" s="1" t="str">
        <f t="shared" ca="1" si="3"/>
        <v>Totaal</v>
      </c>
      <c r="B223" s="20">
        <f>IF(COUNT(B192:B222)&gt;0,AVERAGE(B192:B222)/10,"")</f>
        <v>759.04838709677415</v>
      </c>
      <c r="C223" s="21">
        <f>IF(COUNT(C192:C222)&gt;0,AVERAGE(C192:C222)/10,"")</f>
        <v>758.69354838709683</v>
      </c>
      <c r="D223" s="39">
        <f>IF(COUNT(D192:D222)&gt;0,AVERAGE(D192:D222)/10,"")</f>
        <v>30</v>
      </c>
      <c r="E223" s="40">
        <f>IF(COUNT(E192:E222)&gt;0,AVERAGE(E192:E222)/10,"")</f>
        <v>30.806451612903224</v>
      </c>
      <c r="F223" s="22">
        <f>SUM(F192:F222)/10</f>
        <v>27.3</v>
      </c>
      <c r="G223" s="46">
        <f>SUM(G192:G222)/10</f>
        <v>31.1</v>
      </c>
      <c r="H223" s="23">
        <f>SUM(H192:H222)/10</f>
        <v>0</v>
      </c>
    </row>
    <row r="224" spans="1:8" x14ac:dyDescent="0.25">
      <c r="A224" s="1">
        <f t="shared" ca="1" si="3"/>
        <v>12267</v>
      </c>
      <c r="B224" s="30">
        <v>30000</v>
      </c>
      <c r="C224" s="31">
        <v>29900</v>
      </c>
      <c r="D224" s="34">
        <v>840</v>
      </c>
      <c r="E224" s="35">
        <v>870</v>
      </c>
      <c r="F224" s="5">
        <v>13</v>
      </c>
      <c r="G224" s="43">
        <v>0</v>
      </c>
      <c r="H224" s="6"/>
    </row>
    <row r="225" spans="1:8" x14ac:dyDescent="0.25">
      <c r="A225" s="1">
        <f t="shared" ca="1" si="3"/>
        <v>12268</v>
      </c>
      <c r="B225" s="30">
        <v>30010</v>
      </c>
      <c r="C225" s="31">
        <v>29910</v>
      </c>
      <c r="D225" s="34">
        <v>835</v>
      </c>
      <c r="E225" s="35">
        <v>830</v>
      </c>
      <c r="F225" s="5">
        <v>63</v>
      </c>
      <c r="G225" s="43">
        <v>60</v>
      </c>
      <c r="H225" s="6"/>
    </row>
    <row r="226" spans="1:8" x14ac:dyDescent="0.25">
      <c r="A226" s="1">
        <f t="shared" ca="1" si="3"/>
        <v>12269</v>
      </c>
      <c r="B226" s="30">
        <v>29990</v>
      </c>
      <c r="C226" s="31">
        <v>29900</v>
      </c>
      <c r="D226" s="34">
        <v>815</v>
      </c>
      <c r="E226" s="35">
        <v>850</v>
      </c>
      <c r="F226" s="5">
        <v>0</v>
      </c>
      <c r="G226" s="43">
        <v>0</v>
      </c>
      <c r="H226" s="6"/>
    </row>
    <row r="227" spans="1:8" x14ac:dyDescent="0.25">
      <c r="A227" s="1">
        <f t="shared" ca="1" si="3"/>
        <v>12270</v>
      </c>
      <c r="B227" s="30">
        <v>29950</v>
      </c>
      <c r="C227" s="31">
        <v>29910</v>
      </c>
      <c r="D227" s="34">
        <v>840</v>
      </c>
      <c r="E227" s="35">
        <v>875</v>
      </c>
      <c r="F227" s="5">
        <v>0</v>
      </c>
      <c r="G227" s="43">
        <v>0</v>
      </c>
      <c r="H227" s="6"/>
    </row>
    <row r="228" spans="1:8" x14ac:dyDescent="0.25">
      <c r="A228" s="1">
        <f t="shared" ca="1" si="3"/>
        <v>12271</v>
      </c>
      <c r="B228" s="30">
        <v>29970</v>
      </c>
      <c r="C228" s="31">
        <v>29900</v>
      </c>
      <c r="D228" s="34">
        <v>850</v>
      </c>
      <c r="E228" s="35">
        <v>870</v>
      </c>
      <c r="F228" s="5">
        <v>0</v>
      </c>
      <c r="G228" s="43">
        <v>0</v>
      </c>
      <c r="H228" s="6"/>
    </row>
    <row r="229" spans="1:8" x14ac:dyDescent="0.25">
      <c r="A229" s="1">
        <f t="shared" ca="1" si="3"/>
        <v>12272</v>
      </c>
      <c r="B229" s="30">
        <v>29980</v>
      </c>
      <c r="C229" s="31">
        <v>29900</v>
      </c>
      <c r="D229" s="34">
        <v>840</v>
      </c>
      <c r="E229" s="35">
        <v>870</v>
      </c>
      <c r="F229" s="5">
        <v>0</v>
      </c>
      <c r="G229" s="43">
        <v>0</v>
      </c>
      <c r="H229" s="6"/>
    </row>
    <row r="230" spans="1:8" x14ac:dyDescent="0.25">
      <c r="A230" s="1">
        <f t="shared" ca="1" si="3"/>
        <v>12273</v>
      </c>
      <c r="B230" s="30">
        <v>30020</v>
      </c>
      <c r="C230" s="31">
        <v>29940</v>
      </c>
      <c r="D230" s="34">
        <v>850</v>
      </c>
      <c r="E230" s="35">
        <v>875</v>
      </c>
      <c r="F230" s="5">
        <v>0</v>
      </c>
      <c r="G230" s="43">
        <v>0</v>
      </c>
      <c r="H230" s="6"/>
    </row>
    <row r="231" spans="1:8" x14ac:dyDescent="0.25">
      <c r="A231" s="1">
        <f t="shared" ca="1" si="3"/>
        <v>12274</v>
      </c>
      <c r="B231" s="30">
        <v>29970</v>
      </c>
      <c r="C231" s="31">
        <v>29910</v>
      </c>
      <c r="D231" s="34">
        <v>845</v>
      </c>
      <c r="E231" s="35">
        <v>870</v>
      </c>
      <c r="F231" s="5">
        <v>0</v>
      </c>
      <c r="G231" s="43">
        <v>0</v>
      </c>
      <c r="H231" s="6"/>
    </row>
    <row r="232" spans="1:8" x14ac:dyDescent="0.25">
      <c r="A232" s="1">
        <f t="shared" ca="1" si="3"/>
        <v>12275</v>
      </c>
      <c r="B232" s="30">
        <v>29940</v>
      </c>
      <c r="C232" s="31">
        <v>29910</v>
      </c>
      <c r="D232" s="34">
        <v>850</v>
      </c>
      <c r="E232" s="35">
        <v>870</v>
      </c>
      <c r="F232" s="5">
        <v>0</v>
      </c>
      <c r="G232" s="43">
        <v>0</v>
      </c>
      <c r="H232" s="6"/>
    </row>
    <row r="233" spans="1:8" x14ac:dyDescent="0.25">
      <c r="A233" s="1">
        <f t="shared" ca="1" si="3"/>
        <v>12276</v>
      </c>
      <c r="B233" s="30">
        <v>30030</v>
      </c>
      <c r="C233" s="31">
        <v>29950</v>
      </c>
      <c r="D233" s="34">
        <v>845</v>
      </c>
      <c r="E233" s="35">
        <v>870</v>
      </c>
      <c r="F233" s="5">
        <v>0</v>
      </c>
      <c r="G233" s="43">
        <v>0</v>
      </c>
      <c r="H233" s="6"/>
    </row>
    <row r="234" spans="1:8" x14ac:dyDescent="0.25">
      <c r="A234" s="1">
        <f t="shared" ca="1" si="3"/>
        <v>12277</v>
      </c>
      <c r="B234" s="30">
        <v>30030</v>
      </c>
      <c r="C234" s="31">
        <v>29950</v>
      </c>
      <c r="D234" s="34">
        <v>835</v>
      </c>
      <c r="E234" s="35">
        <v>840</v>
      </c>
      <c r="F234" s="5">
        <v>0</v>
      </c>
      <c r="G234" s="43">
        <v>0</v>
      </c>
      <c r="H234" s="6"/>
    </row>
    <row r="235" spans="1:8" x14ac:dyDescent="0.25">
      <c r="A235" s="1">
        <f t="shared" ca="1" si="3"/>
        <v>12278</v>
      </c>
      <c r="B235" s="30">
        <v>30000</v>
      </c>
      <c r="C235" s="31">
        <v>29920</v>
      </c>
      <c r="D235" s="34">
        <v>840</v>
      </c>
      <c r="E235" s="35">
        <v>860</v>
      </c>
      <c r="F235" s="5">
        <v>0</v>
      </c>
      <c r="G235" s="43">
        <v>0</v>
      </c>
      <c r="H235" s="6"/>
    </row>
    <row r="236" spans="1:8" x14ac:dyDescent="0.25">
      <c r="A236" s="1">
        <f t="shared" ca="1" si="3"/>
        <v>12279</v>
      </c>
      <c r="B236" s="30">
        <v>29950</v>
      </c>
      <c r="C236" s="31">
        <v>29900</v>
      </c>
      <c r="D236" s="34">
        <v>840</v>
      </c>
      <c r="E236" s="35">
        <v>865</v>
      </c>
      <c r="F236" s="5">
        <v>0</v>
      </c>
      <c r="G236" s="43">
        <v>0</v>
      </c>
      <c r="H236" s="6"/>
    </row>
    <row r="237" spans="1:8" x14ac:dyDescent="0.25">
      <c r="A237" s="1">
        <f t="shared" ca="1" si="3"/>
        <v>12280</v>
      </c>
      <c r="B237" s="30">
        <v>29940</v>
      </c>
      <c r="C237" s="31">
        <v>29870</v>
      </c>
      <c r="D237" s="34">
        <v>840</v>
      </c>
      <c r="E237" s="35">
        <v>875</v>
      </c>
      <c r="F237" s="5">
        <v>0</v>
      </c>
      <c r="G237" s="43">
        <v>80</v>
      </c>
      <c r="H237" s="6"/>
    </row>
    <row r="238" spans="1:8" x14ac:dyDescent="0.25">
      <c r="A238" s="1">
        <f t="shared" ca="1" si="3"/>
        <v>12281</v>
      </c>
      <c r="B238" s="30">
        <v>29970</v>
      </c>
      <c r="C238" s="31">
        <v>29930</v>
      </c>
      <c r="D238" s="34">
        <v>850</v>
      </c>
      <c r="E238" s="35">
        <v>870</v>
      </c>
      <c r="F238" s="5">
        <v>0</v>
      </c>
      <c r="G238" s="43">
        <v>0</v>
      </c>
      <c r="H238" s="6"/>
    </row>
    <row r="239" spans="1:8" x14ac:dyDescent="0.25">
      <c r="A239" s="1">
        <f t="shared" ca="1" si="3"/>
        <v>12282</v>
      </c>
      <c r="B239" s="30">
        <v>29970</v>
      </c>
      <c r="C239" s="31">
        <v>29890</v>
      </c>
      <c r="D239" s="34">
        <v>840</v>
      </c>
      <c r="E239" s="35">
        <v>870</v>
      </c>
      <c r="F239" s="5">
        <v>0</v>
      </c>
      <c r="G239" s="43">
        <v>0</v>
      </c>
      <c r="H239" s="6"/>
    </row>
    <row r="240" spans="1:8" x14ac:dyDescent="0.25">
      <c r="A240" s="1">
        <f t="shared" ca="1" si="3"/>
        <v>12283</v>
      </c>
      <c r="B240" s="30">
        <v>29910</v>
      </c>
      <c r="C240" s="31">
        <v>29830</v>
      </c>
      <c r="D240" s="34">
        <v>835</v>
      </c>
      <c r="E240" s="35">
        <v>840</v>
      </c>
      <c r="F240" s="5">
        <v>105</v>
      </c>
      <c r="G240" s="43">
        <v>87</v>
      </c>
      <c r="H240" s="6"/>
    </row>
    <row r="241" spans="1:8" x14ac:dyDescent="0.25">
      <c r="A241" s="1">
        <f t="shared" ca="1" si="3"/>
        <v>12284</v>
      </c>
      <c r="B241" s="30">
        <v>29900</v>
      </c>
      <c r="C241" s="31">
        <v>29840</v>
      </c>
      <c r="D241" s="34">
        <v>825</v>
      </c>
      <c r="E241" s="35">
        <v>870</v>
      </c>
      <c r="F241" s="5">
        <v>0</v>
      </c>
      <c r="G241" s="43">
        <v>0</v>
      </c>
      <c r="H241" s="6"/>
    </row>
    <row r="242" spans="1:8" x14ac:dyDescent="0.25">
      <c r="A242" s="1">
        <f t="shared" ca="1" si="3"/>
        <v>12285</v>
      </c>
      <c r="B242" s="30">
        <v>29950</v>
      </c>
      <c r="C242" s="31">
        <v>29890</v>
      </c>
      <c r="D242" s="34">
        <v>840</v>
      </c>
      <c r="E242" s="35">
        <v>850</v>
      </c>
      <c r="F242" s="5">
        <v>0</v>
      </c>
      <c r="G242" s="43">
        <v>0</v>
      </c>
      <c r="H242" s="6"/>
    </row>
    <row r="243" spans="1:8" x14ac:dyDescent="0.25">
      <c r="A243" s="1">
        <f t="shared" ca="1" si="3"/>
        <v>12286</v>
      </c>
      <c r="B243" s="30">
        <v>29950</v>
      </c>
      <c r="C243" s="31">
        <v>29890</v>
      </c>
      <c r="D243" s="34">
        <v>840</v>
      </c>
      <c r="E243" s="35">
        <v>855</v>
      </c>
      <c r="F243" s="5">
        <v>0</v>
      </c>
      <c r="G243" s="43">
        <v>0</v>
      </c>
      <c r="H243" s="6"/>
    </row>
    <row r="244" spans="1:8" x14ac:dyDescent="0.25">
      <c r="A244" s="1">
        <f t="shared" ca="1" si="3"/>
        <v>12287</v>
      </c>
      <c r="B244" s="30">
        <v>29950</v>
      </c>
      <c r="C244" s="31">
        <v>29870</v>
      </c>
      <c r="D244" s="34">
        <v>845</v>
      </c>
      <c r="E244" s="35">
        <v>875</v>
      </c>
      <c r="F244" s="5">
        <v>0</v>
      </c>
      <c r="G244" s="43">
        <v>0</v>
      </c>
      <c r="H244" s="6"/>
    </row>
    <row r="245" spans="1:8" x14ac:dyDescent="0.25">
      <c r="A245" s="1">
        <f t="shared" ca="1" si="3"/>
        <v>12288</v>
      </c>
      <c r="B245" s="30">
        <v>29920</v>
      </c>
      <c r="C245" s="31">
        <v>29850</v>
      </c>
      <c r="D245" s="34">
        <v>840</v>
      </c>
      <c r="E245" s="35">
        <v>875</v>
      </c>
      <c r="F245" s="5">
        <v>0</v>
      </c>
      <c r="G245" s="43">
        <v>0</v>
      </c>
      <c r="H245" s="6"/>
    </row>
    <row r="246" spans="1:8" x14ac:dyDescent="0.25">
      <c r="A246" s="1">
        <f t="shared" ca="1" si="3"/>
        <v>12289</v>
      </c>
      <c r="B246" s="30">
        <v>29930</v>
      </c>
      <c r="C246" s="31">
        <v>29830</v>
      </c>
      <c r="D246" s="34">
        <v>840</v>
      </c>
      <c r="E246" s="35">
        <v>860</v>
      </c>
      <c r="F246" s="5">
        <v>0</v>
      </c>
      <c r="G246" s="43">
        <v>0</v>
      </c>
      <c r="H246" s="6"/>
    </row>
    <row r="247" spans="1:8" x14ac:dyDescent="0.25">
      <c r="A247" s="1">
        <f t="shared" ca="1" si="3"/>
        <v>12290</v>
      </c>
      <c r="B247" s="30">
        <v>29900</v>
      </c>
      <c r="C247" s="31">
        <v>29800</v>
      </c>
      <c r="D247" s="34">
        <v>840</v>
      </c>
      <c r="E247" s="35">
        <v>870</v>
      </c>
      <c r="F247" s="5">
        <v>0</v>
      </c>
      <c r="G247" s="43">
        <v>0</v>
      </c>
      <c r="H247" s="6"/>
    </row>
    <row r="248" spans="1:8" x14ac:dyDescent="0.25">
      <c r="A248" s="1">
        <f t="shared" ca="1" si="3"/>
        <v>12291</v>
      </c>
      <c r="B248" s="30">
        <v>29880</v>
      </c>
      <c r="C248" s="31">
        <v>29900</v>
      </c>
      <c r="D248" s="34">
        <v>850</v>
      </c>
      <c r="E248" s="35">
        <v>850</v>
      </c>
      <c r="F248" s="5">
        <v>61</v>
      </c>
      <c r="G248" s="43">
        <v>50</v>
      </c>
      <c r="H248" s="6"/>
    </row>
    <row r="249" spans="1:8" x14ac:dyDescent="0.25">
      <c r="A249" s="1">
        <f t="shared" ca="1" si="3"/>
        <v>12292</v>
      </c>
      <c r="B249" s="30">
        <v>29960</v>
      </c>
      <c r="C249" s="31">
        <v>29900</v>
      </c>
      <c r="D249" s="34">
        <v>835</v>
      </c>
      <c r="E249" s="35">
        <v>870</v>
      </c>
      <c r="F249" s="5">
        <v>0</v>
      </c>
      <c r="G249" s="43">
        <v>0</v>
      </c>
      <c r="H249" s="6"/>
    </row>
    <row r="250" spans="1:8" x14ac:dyDescent="0.25">
      <c r="A250" s="1">
        <f t="shared" ca="1" si="3"/>
        <v>12293</v>
      </c>
      <c r="B250" s="30">
        <v>29950</v>
      </c>
      <c r="C250" s="31">
        <v>29890</v>
      </c>
      <c r="D250" s="34">
        <v>840</v>
      </c>
      <c r="E250" s="35">
        <v>855</v>
      </c>
      <c r="F250" s="5">
        <v>0</v>
      </c>
      <c r="G250" s="43">
        <v>0</v>
      </c>
      <c r="H250" s="6"/>
    </row>
    <row r="251" spans="1:8" x14ac:dyDescent="0.25">
      <c r="A251" s="1">
        <f t="shared" ca="1" si="3"/>
        <v>12294</v>
      </c>
      <c r="B251" s="30">
        <v>29940</v>
      </c>
      <c r="C251" s="31">
        <v>29850</v>
      </c>
      <c r="D251" s="34">
        <v>845</v>
      </c>
      <c r="E251" s="35">
        <v>850</v>
      </c>
      <c r="F251" s="5">
        <v>0</v>
      </c>
      <c r="G251" s="43">
        <v>53</v>
      </c>
      <c r="H251" s="6"/>
    </row>
    <row r="252" spans="1:8" x14ac:dyDescent="0.25">
      <c r="A252" s="1">
        <f t="shared" ca="1" si="3"/>
        <v>12295</v>
      </c>
      <c r="B252" s="30">
        <v>29910</v>
      </c>
      <c r="C252" s="31">
        <v>29880</v>
      </c>
      <c r="D252" s="34">
        <v>845</v>
      </c>
      <c r="E252" s="35">
        <v>845</v>
      </c>
      <c r="F252" s="5">
        <v>0</v>
      </c>
      <c r="G252" s="43">
        <v>205</v>
      </c>
      <c r="H252" s="6"/>
    </row>
    <row r="253" spans="1:8" x14ac:dyDescent="0.25">
      <c r="A253" s="1">
        <f t="shared" ca="1" si="3"/>
        <v>12296</v>
      </c>
      <c r="B253" s="30">
        <v>29970</v>
      </c>
      <c r="C253" s="31">
        <v>29870</v>
      </c>
      <c r="D253" s="34">
        <v>830</v>
      </c>
      <c r="E253" s="35">
        <v>870</v>
      </c>
      <c r="F253" s="5">
        <v>40</v>
      </c>
      <c r="G253" s="43">
        <v>0</v>
      </c>
      <c r="H253" s="6"/>
    </row>
    <row r="254" spans="1:8" x14ac:dyDescent="0.25">
      <c r="A254" s="1">
        <f t="shared" ca="1" si="3"/>
        <v>12297</v>
      </c>
      <c r="B254" s="30">
        <v>29980</v>
      </c>
      <c r="C254" s="31">
        <v>29900</v>
      </c>
      <c r="D254" s="34">
        <v>840</v>
      </c>
      <c r="E254" s="35">
        <v>870</v>
      </c>
      <c r="F254" s="5">
        <v>0</v>
      </c>
      <c r="G254" s="43">
        <v>0</v>
      </c>
      <c r="H254" s="6"/>
    </row>
    <row r="255" spans="1:8" x14ac:dyDescent="0.25">
      <c r="A255" s="1" t="str">
        <f t="shared" ca="1" si="3"/>
        <v>Totaal</v>
      </c>
      <c r="B255" s="37">
        <f>IF(COUNT(B224:B254)&gt;0,AVERAGE(B224:B254)/1000,"")</f>
        <v>29.958709677419357</v>
      </c>
      <c r="C255" s="38">
        <f>IF(COUNT(C224:C254)&gt;0,AVERAGE(C224:C254)/1000,"")</f>
        <v>29.889677419354836</v>
      </c>
      <c r="D255" s="39">
        <f>IF(COUNT(D224:D254)&gt;0,AVERAGE(D224:D254)/10,"")</f>
        <v>84.016129032258064</v>
      </c>
      <c r="E255" s="40">
        <f>IF(COUNT(E224:E254)&gt;0,AVERAGE(E224:E254)/10,"")</f>
        <v>86.241935483870961</v>
      </c>
      <c r="F255" s="22">
        <f>SUM(F224:F254)/10</f>
        <v>28.2</v>
      </c>
      <c r="G255" s="46">
        <f>SUM(G224:G254)/10</f>
        <v>53.5</v>
      </c>
      <c r="H255" s="23">
        <f>SUM(H224:H254)/10</f>
        <v>0</v>
      </c>
    </row>
    <row r="256" spans="1:8" x14ac:dyDescent="0.25">
      <c r="A256" s="1">
        <f t="shared" ca="1" si="3"/>
        <v>12298</v>
      </c>
      <c r="B256" s="30">
        <v>29949</v>
      </c>
      <c r="C256" s="31">
        <v>29869</v>
      </c>
      <c r="D256" s="34">
        <v>845</v>
      </c>
      <c r="E256" s="35">
        <v>880</v>
      </c>
      <c r="F256" s="5">
        <v>0</v>
      </c>
      <c r="G256" s="43">
        <v>0</v>
      </c>
      <c r="H256" s="6"/>
    </row>
    <row r="257" spans="1:8" x14ac:dyDescent="0.25">
      <c r="A257" s="1">
        <f t="shared" ca="1" si="3"/>
        <v>12299</v>
      </c>
      <c r="B257" s="30">
        <v>29939</v>
      </c>
      <c r="C257" s="31">
        <v>29851</v>
      </c>
      <c r="D257" s="34">
        <v>845</v>
      </c>
      <c r="E257" s="35">
        <v>875</v>
      </c>
      <c r="F257" s="5">
        <v>0</v>
      </c>
      <c r="G257" s="43">
        <v>0</v>
      </c>
      <c r="H257" s="6"/>
    </row>
    <row r="258" spans="1:8" x14ac:dyDescent="0.25">
      <c r="A258" s="1">
        <f t="shared" ca="1" si="3"/>
        <v>12300</v>
      </c>
      <c r="B258" s="30">
        <v>29959</v>
      </c>
      <c r="C258" s="31">
        <v>29897</v>
      </c>
      <c r="D258" s="34">
        <v>840</v>
      </c>
      <c r="E258" s="35">
        <v>850</v>
      </c>
      <c r="F258" s="5">
        <v>0</v>
      </c>
      <c r="G258" s="43">
        <v>0</v>
      </c>
      <c r="H258" s="6"/>
    </row>
    <row r="259" spans="1:8" x14ac:dyDescent="0.25">
      <c r="A259" s="1">
        <f t="shared" ca="1" si="3"/>
        <v>12301</v>
      </c>
      <c r="B259" s="30">
        <v>29947</v>
      </c>
      <c r="C259" s="31">
        <v>29861</v>
      </c>
      <c r="D259" s="34">
        <v>850</v>
      </c>
      <c r="E259" s="35">
        <v>875</v>
      </c>
      <c r="F259" s="5">
        <v>0</v>
      </c>
      <c r="G259" s="43">
        <v>0</v>
      </c>
      <c r="H259" s="6"/>
    </row>
    <row r="260" spans="1:8" x14ac:dyDescent="0.25">
      <c r="A260" s="1">
        <f t="shared" ca="1" si="3"/>
        <v>12302</v>
      </c>
      <c r="B260" s="30">
        <v>29926</v>
      </c>
      <c r="C260" s="31">
        <v>29829</v>
      </c>
      <c r="D260" s="34">
        <v>855</v>
      </c>
      <c r="E260" s="35">
        <v>880</v>
      </c>
      <c r="F260" s="5">
        <v>0</v>
      </c>
      <c r="G260" s="43">
        <v>47</v>
      </c>
      <c r="H260" s="6"/>
    </row>
    <row r="261" spans="1:8" x14ac:dyDescent="0.25">
      <c r="A261" s="1">
        <f t="shared" ca="1" si="3"/>
        <v>12303</v>
      </c>
      <c r="B261" s="30">
        <v>29906</v>
      </c>
      <c r="C261" s="31">
        <v>29829</v>
      </c>
      <c r="D261" s="34">
        <v>855</v>
      </c>
      <c r="E261" s="35">
        <v>880</v>
      </c>
      <c r="F261" s="5">
        <v>0</v>
      </c>
      <c r="G261" s="43">
        <v>0</v>
      </c>
      <c r="H261" s="6"/>
    </row>
    <row r="262" spans="1:8" x14ac:dyDescent="0.25">
      <c r="A262" s="1">
        <f t="shared" ca="1" si="3"/>
        <v>12304</v>
      </c>
      <c r="B262" s="30">
        <v>29930</v>
      </c>
      <c r="C262" s="31">
        <v>29845</v>
      </c>
      <c r="D262" s="34">
        <v>840</v>
      </c>
      <c r="E262" s="35">
        <v>860</v>
      </c>
      <c r="F262" s="5">
        <v>107</v>
      </c>
      <c r="G262" s="43">
        <v>0</v>
      </c>
      <c r="H262" s="6"/>
    </row>
    <row r="263" spans="1:8" x14ac:dyDescent="0.25">
      <c r="A263" s="1">
        <f t="shared" ref="A263:A326" ca="1" si="4">IF(ISTEXT(A262),A261+1,IF(MONTH(A262+1)=MONTH(A262),A262+1,"Totaal"))</f>
        <v>12305</v>
      </c>
      <c r="B263" s="30">
        <v>29976</v>
      </c>
      <c r="C263" s="31">
        <v>29882</v>
      </c>
      <c r="D263" s="34">
        <v>850</v>
      </c>
      <c r="E263" s="35">
        <v>870</v>
      </c>
      <c r="F263" s="5">
        <v>0</v>
      </c>
      <c r="G263" s="43">
        <v>0</v>
      </c>
      <c r="H263" s="6"/>
    </row>
    <row r="264" spans="1:8" x14ac:dyDescent="0.25">
      <c r="A264" s="1">
        <f t="shared" ca="1" si="4"/>
        <v>12306</v>
      </c>
      <c r="B264" s="30">
        <v>29976</v>
      </c>
      <c r="C264" s="31">
        <v>29861</v>
      </c>
      <c r="D264" s="34">
        <v>850</v>
      </c>
      <c r="E264" s="35">
        <v>875</v>
      </c>
      <c r="F264" s="5">
        <v>0</v>
      </c>
      <c r="G264" s="43">
        <v>0</v>
      </c>
      <c r="H264" s="6"/>
    </row>
    <row r="265" spans="1:8" x14ac:dyDescent="0.25">
      <c r="A265" s="1">
        <f t="shared" ca="1" si="4"/>
        <v>12307</v>
      </c>
      <c r="B265" s="30">
        <v>29976</v>
      </c>
      <c r="C265" s="31">
        <v>29927</v>
      </c>
      <c r="D265" s="34">
        <v>850</v>
      </c>
      <c r="E265" s="35">
        <v>850</v>
      </c>
      <c r="F265" s="5">
        <v>134</v>
      </c>
      <c r="G265" s="43">
        <v>0</v>
      </c>
      <c r="H265" s="6"/>
    </row>
    <row r="266" spans="1:8" x14ac:dyDescent="0.25">
      <c r="A266" s="1">
        <f t="shared" ca="1" si="4"/>
        <v>12308</v>
      </c>
      <c r="B266" s="30">
        <v>29909</v>
      </c>
      <c r="C266" s="31">
        <v>29812</v>
      </c>
      <c r="D266" s="34">
        <v>845</v>
      </c>
      <c r="E266" s="35">
        <v>870</v>
      </c>
      <c r="F266" s="5">
        <v>0</v>
      </c>
      <c r="G266" s="43">
        <v>0</v>
      </c>
      <c r="H266" s="6"/>
    </row>
    <row r="267" spans="1:8" x14ac:dyDescent="0.25">
      <c r="A267" s="1">
        <f t="shared" ca="1" si="4"/>
        <v>12309</v>
      </c>
      <c r="B267" s="30">
        <v>29936</v>
      </c>
      <c r="C267" s="31">
        <v>29829</v>
      </c>
      <c r="D267" s="34">
        <v>855</v>
      </c>
      <c r="E267" s="35">
        <v>880</v>
      </c>
      <c r="F267" s="5">
        <v>0</v>
      </c>
      <c r="G267" s="43">
        <v>0</v>
      </c>
      <c r="H267" s="6"/>
    </row>
    <row r="268" spans="1:8" x14ac:dyDescent="0.25">
      <c r="A268" s="1">
        <f t="shared" ca="1" si="4"/>
        <v>12310</v>
      </c>
      <c r="B268" s="30">
        <v>29954</v>
      </c>
      <c r="C268" s="31">
        <v>29879</v>
      </c>
      <c r="D268" s="34">
        <v>860</v>
      </c>
      <c r="E268" s="35">
        <v>880</v>
      </c>
      <c r="F268" s="5">
        <v>0</v>
      </c>
      <c r="G268" s="43">
        <v>0</v>
      </c>
      <c r="H268" s="6"/>
    </row>
    <row r="269" spans="1:8" x14ac:dyDescent="0.25">
      <c r="A269" s="1">
        <f t="shared" ca="1" si="4"/>
        <v>12311</v>
      </c>
      <c r="B269" s="30">
        <v>29937</v>
      </c>
      <c r="C269" s="31">
        <v>29861</v>
      </c>
      <c r="D269" s="34">
        <v>850</v>
      </c>
      <c r="E269" s="35">
        <v>875</v>
      </c>
      <c r="F269" s="5">
        <v>0</v>
      </c>
      <c r="G269" s="43">
        <v>0</v>
      </c>
      <c r="H269" s="6"/>
    </row>
    <row r="270" spans="1:8" x14ac:dyDescent="0.25">
      <c r="A270" s="1">
        <f t="shared" ca="1" si="4"/>
        <v>12312</v>
      </c>
      <c r="B270" s="30">
        <v>29929</v>
      </c>
      <c r="C270" s="31">
        <v>29862</v>
      </c>
      <c r="D270" s="34">
        <v>845</v>
      </c>
      <c r="E270" s="35">
        <v>870</v>
      </c>
      <c r="F270" s="5">
        <v>45</v>
      </c>
      <c r="G270" s="43">
        <v>0</v>
      </c>
      <c r="H270" s="6"/>
    </row>
    <row r="271" spans="1:8" x14ac:dyDescent="0.25">
      <c r="A271" s="1">
        <f t="shared" ca="1" si="4"/>
        <v>12313</v>
      </c>
      <c r="B271" s="30">
        <v>29956</v>
      </c>
      <c r="C271" s="31">
        <v>29882</v>
      </c>
      <c r="D271" s="34">
        <v>850</v>
      </c>
      <c r="E271" s="35">
        <v>870</v>
      </c>
      <c r="F271" s="5">
        <v>0</v>
      </c>
      <c r="G271" s="43">
        <v>0</v>
      </c>
      <c r="H271" s="6"/>
    </row>
    <row r="272" spans="1:8" x14ac:dyDescent="0.25">
      <c r="A272" s="1">
        <f t="shared" ca="1" si="4"/>
        <v>12314</v>
      </c>
      <c r="B272" s="30">
        <v>29959</v>
      </c>
      <c r="C272" s="31">
        <v>29842</v>
      </c>
      <c r="D272" s="34">
        <v>840</v>
      </c>
      <c r="E272" s="35">
        <v>870</v>
      </c>
      <c r="F272" s="5">
        <v>17</v>
      </c>
      <c r="G272" s="43">
        <v>0</v>
      </c>
      <c r="H272" s="6"/>
    </row>
    <row r="273" spans="1:8" x14ac:dyDescent="0.25">
      <c r="A273" s="1">
        <f t="shared" ca="1" si="4"/>
        <v>12315</v>
      </c>
      <c r="B273" s="30">
        <v>29973</v>
      </c>
      <c r="C273" s="31">
        <v>29907</v>
      </c>
      <c r="D273" s="34">
        <v>825</v>
      </c>
      <c r="E273" s="35">
        <v>850</v>
      </c>
      <c r="F273" s="5">
        <v>966</v>
      </c>
      <c r="G273" s="43">
        <v>1235</v>
      </c>
      <c r="H273" s="6"/>
    </row>
    <row r="274" spans="1:8" x14ac:dyDescent="0.25">
      <c r="A274" s="1">
        <f t="shared" ca="1" si="4"/>
        <v>12316</v>
      </c>
      <c r="B274" s="30">
        <v>29941</v>
      </c>
      <c r="C274" s="31">
        <v>29867</v>
      </c>
      <c r="D274" s="34">
        <v>835</v>
      </c>
      <c r="E274" s="35">
        <v>850</v>
      </c>
      <c r="F274" s="5">
        <v>0</v>
      </c>
      <c r="G274" s="43">
        <v>0</v>
      </c>
      <c r="H274" s="6"/>
    </row>
    <row r="275" spans="1:8" x14ac:dyDescent="0.25">
      <c r="A275" s="1">
        <f t="shared" ca="1" si="4"/>
        <v>12317</v>
      </c>
      <c r="B275" s="30">
        <v>29941</v>
      </c>
      <c r="C275" s="31">
        <v>29875</v>
      </c>
      <c r="D275" s="34">
        <v>835</v>
      </c>
      <c r="E275" s="35">
        <v>860</v>
      </c>
      <c r="F275" s="5">
        <v>0</v>
      </c>
      <c r="G275" s="43">
        <v>0</v>
      </c>
      <c r="H275" s="6"/>
    </row>
    <row r="276" spans="1:8" x14ac:dyDescent="0.25">
      <c r="A276" s="1">
        <f t="shared" ca="1" si="4"/>
        <v>12318</v>
      </c>
      <c r="B276" s="30">
        <v>29951</v>
      </c>
      <c r="C276" s="31">
        <v>29873</v>
      </c>
      <c r="D276" s="34">
        <v>835</v>
      </c>
      <c r="E276" s="35">
        <v>865</v>
      </c>
      <c r="F276" s="5">
        <v>0</v>
      </c>
      <c r="G276" s="43">
        <v>0</v>
      </c>
      <c r="H276" s="6"/>
    </row>
    <row r="277" spans="1:8" x14ac:dyDescent="0.25">
      <c r="A277" s="1">
        <f t="shared" ca="1" si="4"/>
        <v>12319</v>
      </c>
      <c r="B277" s="30">
        <v>29950</v>
      </c>
      <c r="C277" s="31">
        <v>29877</v>
      </c>
      <c r="D277" s="34">
        <v>840</v>
      </c>
      <c r="E277" s="35">
        <v>850</v>
      </c>
      <c r="F277" s="5">
        <v>0</v>
      </c>
      <c r="G277" s="43">
        <v>0</v>
      </c>
      <c r="H277" s="6"/>
    </row>
    <row r="278" spans="1:8" x14ac:dyDescent="0.25">
      <c r="A278" s="1">
        <f t="shared" ca="1" si="4"/>
        <v>12320</v>
      </c>
      <c r="B278" s="30">
        <v>29959</v>
      </c>
      <c r="C278" s="31">
        <v>29875</v>
      </c>
      <c r="D278" s="34">
        <v>840</v>
      </c>
      <c r="E278" s="35">
        <v>860</v>
      </c>
      <c r="F278" s="5">
        <v>0</v>
      </c>
      <c r="G278" s="43">
        <v>0</v>
      </c>
      <c r="H278" s="6"/>
    </row>
    <row r="279" spans="1:8" x14ac:dyDescent="0.25">
      <c r="A279" s="1">
        <f t="shared" ca="1" si="4"/>
        <v>12321</v>
      </c>
      <c r="B279" s="30">
        <v>29980</v>
      </c>
      <c r="C279" s="31">
        <v>29867</v>
      </c>
      <c r="D279" s="34">
        <v>835</v>
      </c>
      <c r="E279" s="35">
        <v>850</v>
      </c>
      <c r="F279" s="5">
        <v>0</v>
      </c>
      <c r="G279" s="43">
        <v>0</v>
      </c>
      <c r="H279" s="6"/>
    </row>
    <row r="280" spans="1:8" x14ac:dyDescent="0.25">
      <c r="A280" s="1">
        <f t="shared" ca="1" si="4"/>
        <v>12322</v>
      </c>
      <c r="B280" s="30">
        <v>29930</v>
      </c>
      <c r="C280" s="31">
        <v>29833</v>
      </c>
      <c r="D280" s="34">
        <v>840</v>
      </c>
      <c r="E280" s="35">
        <v>865</v>
      </c>
      <c r="F280" s="5">
        <v>0</v>
      </c>
      <c r="G280" s="43">
        <v>0</v>
      </c>
      <c r="H280" s="6"/>
    </row>
    <row r="281" spans="1:8" x14ac:dyDescent="0.25">
      <c r="A281" s="1">
        <f t="shared" ca="1" si="4"/>
        <v>12323</v>
      </c>
      <c r="B281" s="30">
        <v>29919</v>
      </c>
      <c r="C281" s="31">
        <v>29838</v>
      </c>
      <c r="D281" s="34">
        <v>845</v>
      </c>
      <c r="E281" s="35">
        <v>885</v>
      </c>
      <c r="F281" s="5">
        <v>0</v>
      </c>
      <c r="G281" s="43">
        <v>0</v>
      </c>
      <c r="H281" s="6"/>
    </row>
    <row r="282" spans="1:8" x14ac:dyDescent="0.25">
      <c r="A282" s="1">
        <f t="shared" ca="1" si="4"/>
        <v>12324</v>
      </c>
      <c r="B282" s="30">
        <v>29941</v>
      </c>
      <c r="C282" s="31">
        <v>29843</v>
      </c>
      <c r="D282" s="34">
        <v>835</v>
      </c>
      <c r="E282" s="35">
        <v>865</v>
      </c>
      <c r="F282" s="5">
        <v>0</v>
      </c>
      <c r="G282" s="43">
        <v>0</v>
      </c>
      <c r="H282" s="6"/>
    </row>
    <row r="283" spans="1:8" x14ac:dyDescent="0.25">
      <c r="A283" s="1">
        <f t="shared" ca="1" si="4"/>
        <v>12325</v>
      </c>
      <c r="B283" s="30">
        <v>29925</v>
      </c>
      <c r="C283" s="31">
        <v>29849</v>
      </c>
      <c r="D283" s="34">
        <v>820</v>
      </c>
      <c r="E283" s="35">
        <v>845</v>
      </c>
      <c r="F283" s="5">
        <v>38</v>
      </c>
      <c r="G283" s="43">
        <v>0</v>
      </c>
      <c r="H283" s="6"/>
    </row>
    <row r="284" spans="1:8" x14ac:dyDescent="0.25">
      <c r="A284" s="1">
        <f t="shared" ca="1" si="4"/>
        <v>12326</v>
      </c>
      <c r="B284" s="30">
        <v>29904</v>
      </c>
      <c r="C284" s="31">
        <v>29776</v>
      </c>
      <c r="D284" s="34">
        <v>825</v>
      </c>
      <c r="E284" s="35">
        <v>855</v>
      </c>
      <c r="F284" s="5">
        <v>0</v>
      </c>
      <c r="G284" s="43">
        <v>28</v>
      </c>
      <c r="H284" s="6"/>
    </row>
    <row r="285" spans="1:8" x14ac:dyDescent="0.25">
      <c r="A285" s="1">
        <f t="shared" ca="1" si="4"/>
        <v>12327</v>
      </c>
      <c r="B285" s="30">
        <v>29907</v>
      </c>
      <c r="C285" s="31">
        <v>29760</v>
      </c>
      <c r="D285" s="34">
        <v>815</v>
      </c>
      <c r="E285" s="35">
        <v>840</v>
      </c>
      <c r="F285" s="5">
        <v>440</v>
      </c>
      <c r="G285" s="43">
        <v>90</v>
      </c>
      <c r="H285" s="6"/>
    </row>
    <row r="286" spans="1:8" x14ac:dyDescent="0.25">
      <c r="A286" s="1" t="str">
        <f t="shared" ca="1" si="4"/>
        <v>Totaal</v>
      </c>
      <c r="B286" s="37">
        <f>IF(COUNT(B256:B285)&gt;0,AVERAGE(B256:B285)/1000,"")</f>
        <v>29.942833333333333</v>
      </c>
      <c r="C286" s="38">
        <f>IF(COUNT(C256:C285)&gt;0,AVERAGE(C256:C285)/1000,"")</f>
        <v>29.855266666666665</v>
      </c>
      <c r="D286" s="39">
        <f>IF(COUNT(D256:D285)&gt;0,AVERAGE(D256:D285)/10,"")</f>
        <v>84.166666666666657</v>
      </c>
      <c r="E286" s="40">
        <f>IF(COUNT(E256:E285)&gt;0,AVERAGE(E256:E285)/10,"")</f>
        <v>86.5</v>
      </c>
      <c r="F286" s="22">
        <f>SUM(F256:F285)/10</f>
        <v>174.7</v>
      </c>
      <c r="G286" s="46">
        <f>SUM(G256:G285)/10</f>
        <v>140</v>
      </c>
      <c r="H286" s="23">
        <f>SUM(H256:H285)/10</f>
        <v>0</v>
      </c>
    </row>
    <row r="287" spans="1:8" x14ac:dyDescent="0.25">
      <c r="A287" s="1">
        <f t="shared" ca="1" si="4"/>
        <v>12328</v>
      </c>
      <c r="B287" s="30">
        <v>29873</v>
      </c>
      <c r="C287" s="31">
        <v>29775</v>
      </c>
      <c r="D287" s="34">
        <v>830</v>
      </c>
      <c r="E287" s="35">
        <v>860</v>
      </c>
      <c r="F287" s="5">
        <v>0</v>
      </c>
      <c r="G287" s="43">
        <v>0</v>
      </c>
      <c r="H287" s="6"/>
    </row>
    <row r="288" spans="1:8" x14ac:dyDescent="0.25">
      <c r="A288" s="1">
        <f t="shared" ca="1" si="4"/>
        <v>12329</v>
      </c>
      <c r="B288" s="30">
        <v>29861</v>
      </c>
      <c r="C288" s="31">
        <v>29776</v>
      </c>
      <c r="D288" s="34">
        <v>835</v>
      </c>
      <c r="E288" s="35">
        <v>855</v>
      </c>
      <c r="F288" s="5">
        <v>0</v>
      </c>
      <c r="G288" s="43">
        <v>0</v>
      </c>
      <c r="H288" s="6"/>
    </row>
    <row r="289" spans="1:8" x14ac:dyDescent="0.25">
      <c r="A289" s="1">
        <f t="shared" ca="1" si="4"/>
        <v>12330</v>
      </c>
      <c r="B289" s="30">
        <v>29851</v>
      </c>
      <c r="C289" s="31">
        <v>29763</v>
      </c>
      <c r="D289" s="34">
        <v>835</v>
      </c>
      <c r="E289" s="35">
        <v>865</v>
      </c>
      <c r="F289" s="5">
        <v>0</v>
      </c>
      <c r="G289" s="43">
        <v>0</v>
      </c>
      <c r="H289" s="6"/>
    </row>
    <row r="290" spans="1:8" x14ac:dyDescent="0.25">
      <c r="A290" s="1">
        <f t="shared" ca="1" si="4"/>
        <v>12331</v>
      </c>
      <c r="B290" s="30">
        <v>29870</v>
      </c>
      <c r="C290" s="31">
        <v>29803</v>
      </c>
      <c r="D290" s="34">
        <v>840</v>
      </c>
      <c r="E290" s="35">
        <v>865</v>
      </c>
      <c r="F290" s="5">
        <v>0</v>
      </c>
      <c r="G290" s="43">
        <v>0</v>
      </c>
      <c r="H290" s="6"/>
    </row>
    <row r="291" spans="1:8" x14ac:dyDescent="0.25">
      <c r="A291" s="1">
        <f t="shared" ca="1" si="4"/>
        <v>12332</v>
      </c>
      <c r="B291" s="30">
        <v>29900</v>
      </c>
      <c r="C291" s="31">
        <v>29823</v>
      </c>
      <c r="D291" s="34">
        <v>835</v>
      </c>
      <c r="E291" s="35">
        <v>865</v>
      </c>
      <c r="F291" s="5">
        <v>0</v>
      </c>
      <c r="G291" s="43">
        <v>40</v>
      </c>
      <c r="H291" s="6"/>
    </row>
    <row r="292" spans="1:8" x14ac:dyDescent="0.25">
      <c r="A292" s="1">
        <f t="shared" ca="1" si="4"/>
        <v>12333</v>
      </c>
      <c r="B292" s="30">
        <v>29850</v>
      </c>
      <c r="C292" s="31">
        <v>29887</v>
      </c>
      <c r="D292" s="34">
        <v>840</v>
      </c>
      <c r="E292" s="35">
        <v>850</v>
      </c>
      <c r="F292" s="5">
        <v>46</v>
      </c>
      <c r="G292" s="43">
        <v>0</v>
      </c>
      <c r="H292" s="6"/>
    </row>
    <row r="293" spans="1:8" x14ac:dyDescent="0.25">
      <c r="A293" s="1">
        <f t="shared" ca="1" si="4"/>
        <v>12334</v>
      </c>
      <c r="B293" s="30">
        <v>29972</v>
      </c>
      <c r="C293" s="31">
        <v>29876</v>
      </c>
      <c r="D293" s="34">
        <v>830</v>
      </c>
      <c r="E293" s="35">
        <v>855</v>
      </c>
      <c r="F293" s="5">
        <v>0</v>
      </c>
      <c r="G293" s="43">
        <v>100</v>
      </c>
      <c r="H293" s="6"/>
    </row>
    <row r="294" spans="1:8" x14ac:dyDescent="0.25">
      <c r="A294" s="1">
        <f t="shared" ca="1" si="4"/>
        <v>12335</v>
      </c>
      <c r="B294" s="30">
        <v>29955</v>
      </c>
      <c r="C294" s="31">
        <v>29857</v>
      </c>
      <c r="D294" s="34">
        <v>820</v>
      </c>
      <c r="E294" s="35">
        <v>850</v>
      </c>
      <c r="F294" s="5">
        <v>0</v>
      </c>
      <c r="G294" s="43">
        <v>0</v>
      </c>
      <c r="H294" s="6"/>
    </row>
    <row r="295" spans="1:8" x14ac:dyDescent="0.25">
      <c r="A295" s="1">
        <f t="shared" ca="1" si="4"/>
        <v>12336</v>
      </c>
      <c r="B295" s="30">
        <v>29920</v>
      </c>
      <c r="C295" s="31">
        <v>29865</v>
      </c>
      <c r="D295" s="34">
        <v>840</v>
      </c>
      <c r="E295" s="35">
        <v>860</v>
      </c>
      <c r="F295" s="5">
        <v>0</v>
      </c>
      <c r="G295" s="43">
        <v>0</v>
      </c>
      <c r="H295" s="6"/>
    </row>
    <row r="296" spans="1:8" x14ac:dyDescent="0.25">
      <c r="A296" s="1">
        <f t="shared" ca="1" si="4"/>
        <v>12337</v>
      </c>
      <c r="B296" s="30">
        <v>29940</v>
      </c>
      <c r="C296" s="31">
        <v>29853</v>
      </c>
      <c r="D296" s="34">
        <v>840</v>
      </c>
      <c r="E296" s="35">
        <v>830</v>
      </c>
      <c r="F296" s="5">
        <v>0</v>
      </c>
      <c r="G296" s="43">
        <v>0</v>
      </c>
      <c r="H296" s="6"/>
    </row>
    <row r="297" spans="1:8" x14ac:dyDescent="0.25">
      <c r="A297" s="1">
        <f t="shared" ca="1" si="4"/>
        <v>12338</v>
      </c>
      <c r="B297" s="30">
        <v>29947</v>
      </c>
      <c r="C297" s="31">
        <v>29875</v>
      </c>
      <c r="D297" s="34">
        <v>850</v>
      </c>
      <c r="E297" s="35">
        <v>860</v>
      </c>
      <c r="F297" s="5">
        <v>64</v>
      </c>
      <c r="G297" s="43">
        <v>0</v>
      </c>
      <c r="H297" s="6"/>
    </row>
    <row r="298" spans="1:8" x14ac:dyDescent="0.25">
      <c r="A298" s="1">
        <f t="shared" ca="1" si="4"/>
        <v>12339</v>
      </c>
      <c r="B298" s="30">
        <v>29939</v>
      </c>
      <c r="C298" s="31">
        <v>29843</v>
      </c>
      <c r="D298" s="34">
        <v>845</v>
      </c>
      <c r="E298" s="35">
        <v>865</v>
      </c>
      <c r="F298" s="5">
        <v>0</v>
      </c>
      <c r="G298" s="43">
        <v>0</v>
      </c>
      <c r="H298" s="6"/>
    </row>
    <row r="299" spans="1:8" x14ac:dyDescent="0.25">
      <c r="A299" s="1">
        <f t="shared" ca="1" si="4"/>
        <v>12340</v>
      </c>
      <c r="B299" s="30">
        <v>29920</v>
      </c>
      <c r="C299" s="31">
        <v>29802</v>
      </c>
      <c r="D299" s="34">
        <v>840</v>
      </c>
      <c r="E299" s="35">
        <v>870</v>
      </c>
      <c r="F299" s="5">
        <v>0</v>
      </c>
      <c r="G299" s="43">
        <v>0</v>
      </c>
      <c r="H299" s="6"/>
    </row>
    <row r="300" spans="1:8" x14ac:dyDescent="0.25">
      <c r="A300" s="1">
        <f t="shared" ca="1" si="4"/>
        <v>12341</v>
      </c>
      <c r="B300" s="30">
        <v>29920</v>
      </c>
      <c r="C300" s="31">
        <v>29825</v>
      </c>
      <c r="D300" s="34">
        <v>840</v>
      </c>
      <c r="E300" s="35">
        <v>860</v>
      </c>
      <c r="F300" s="5">
        <v>200</v>
      </c>
      <c r="G300" s="43">
        <v>0</v>
      </c>
      <c r="H300" s="6"/>
    </row>
    <row r="301" spans="1:8" x14ac:dyDescent="0.25">
      <c r="A301" s="1">
        <f t="shared" ca="1" si="4"/>
        <v>12342</v>
      </c>
      <c r="B301" s="30">
        <v>29949</v>
      </c>
      <c r="C301" s="31">
        <v>29857</v>
      </c>
      <c r="D301" s="34">
        <v>845</v>
      </c>
      <c r="E301" s="35">
        <v>850</v>
      </c>
      <c r="F301" s="5">
        <v>0</v>
      </c>
      <c r="G301" s="43">
        <v>0</v>
      </c>
      <c r="H301" s="6"/>
    </row>
    <row r="302" spans="1:8" x14ac:dyDescent="0.25">
      <c r="A302" s="1">
        <f t="shared" ca="1" si="4"/>
        <v>12343</v>
      </c>
      <c r="B302" s="30">
        <v>29954</v>
      </c>
      <c r="C302" s="31">
        <v>29845</v>
      </c>
      <c r="D302" s="34">
        <v>860</v>
      </c>
      <c r="E302" s="35">
        <v>860</v>
      </c>
      <c r="F302" s="5">
        <v>0</v>
      </c>
      <c r="G302" s="43">
        <v>0</v>
      </c>
      <c r="H302" s="6"/>
    </row>
    <row r="303" spans="1:8" x14ac:dyDescent="0.25">
      <c r="A303" s="1">
        <f t="shared" ca="1" si="4"/>
        <v>12344</v>
      </c>
      <c r="B303" s="30">
        <v>29890</v>
      </c>
      <c r="C303" s="31">
        <v>29792</v>
      </c>
      <c r="D303" s="34">
        <v>840</v>
      </c>
      <c r="E303" s="35">
        <v>870</v>
      </c>
      <c r="F303" s="5">
        <v>0</v>
      </c>
      <c r="G303" s="43">
        <v>27</v>
      </c>
      <c r="H303" s="6"/>
    </row>
    <row r="304" spans="1:8" x14ac:dyDescent="0.25">
      <c r="A304" s="1">
        <f t="shared" ca="1" si="4"/>
        <v>12345</v>
      </c>
      <c r="B304" s="30">
        <v>29891</v>
      </c>
      <c r="C304" s="31">
        <v>29771</v>
      </c>
      <c r="D304" s="34">
        <v>835</v>
      </c>
      <c r="E304" s="35">
        <v>875</v>
      </c>
      <c r="F304" s="5">
        <v>0</v>
      </c>
      <c r="G304" s="43">
        <v>0</v>
      </c>
      <c r="H304" s="6"/>
    </row>
    <row r="305" spans="1:8" x14ac:dyDescent="0.25">
      <c r="A305" s="1">
        <f t="shared" ca="1" si="4"/>
        <v>12346</v>
      </c>
      <c r="B305" s="30">
        <v>29890</v>
      </c>
      <c r="C305" s="31">
        <v>29779</v>
      </c>
      <c r="D305" s="34">
        <v>840</v>
      </c>
      <c r="E305" s="35">
        <v>845</v>
      </c>
      <c r="F305" s="5">
        <v>215</v>
      </c>
      <c r="G305" s="43">
        <v>105</v>
      </c>
      <c r="H305" s="6"/>
    </row>
    <row r="306" spans="1:8" x14ac:dyDescent="0.25">
      <c r="A306" s="1">
        <f t="shared" ca="1" si="4"/>
        <v>12347</v>
      </c>
      <c r="B306" s="30">
        <v>29904</v>
      </c>
      <c r="C306" s="31">
        <v>29849</v>
      </c>
      <c r="D306" s="34">
        <v>825</v>
      </c>
      <c r="E306" s="35">
        <v>845</v>
      </c>
      <c r="F306" s="5">
        <v>0</v>
      </c>
      <c r="G306" s="43">
        <v>82</v>
      </c>
      <c r="H306" s="6"/>
    </row>
    <row r="307" spans="1:8" x14ac:dyDescent="0.25">
      <c r="A307" s="1">
        <f t="shared" ca="1" si="4"/>
        <v>12348</v>
      </c>
      <c r="B307" s="30">
        <v>29913</v>
      </c>
      <c r="C307" s="31">
        <v>29796</v>
      </c>
      <c r="D307" s="34">
        <v>830</v>
      </c>
      <c r="E307" s="35">
        <v>855</v>
      </c>
      <c r="F307" s="5">
        <v>0</v>
      </c>
      <c r="G307" s="43">
        <v>0</v>
      </c>
      <c r="H307" s="6"/>
    </row>
    <row r="308" spans="1:8" x14ac:dyDescent="0.25">
      <c r="A308" s="1">
        <f t="shared" ca="1" si="4"/>
        <v>12349</v>
      </c>
      <c r="B308" s="30">
        <v>29873</v>
      </c>
      <c r="C308" s="31">
        <v>29780</v>
      </c>
      <c r="D308" s="34">
        <v>830</v>
      </c>
      <c r="E308" s="35">
        <v>840</v>
      </c>
      <c r="F308" s="5">
        <v>0</v>
      </c>
      <c r="G308" s="43">
        <v>0</v>
      </c>
      <c r="H308" s="6"/>
    </row>
    <row r="309" spans="1:8" x14ac:dyDescent="0.25">
      <c r="A309" s="1">
        <f t="shared" ca="1" si="4"/>
        <v>12350</v>
      </c>
      <c r="B309" s="30">
        <v>29873</v>
      </c>
      <c r="C309" s="31">
        <v>29770</v>
      </c>
      <c r="D309" s="34">
        <v>830</v>
      </c>
      <c r="E309" s="35">
        <v>850</v>
      </c>
      <c r="F309" s="5">
        <v>0</v>
      </c>
      <c r="G309" s="43">
        <v>159</v>
      </c>
      <c r="H309" s="6"/>
    </row>
    <row r="310" spans="1:8" x14ac:dyDescent="0.25">
      <c r="A310" s="1">
        <f t="shared" ca="1" si="4"/>
        <v>12351</v>
      </c>
      <c r="B310" s="30">
        <v>29925</v>
      </c>
      <c r="C310" s="31">
        <v>29816</v>
      </c>
      <c r="D310" s="34">
        <v>820</v>
      </c>
      <c r="E310" s="35">
        <v>855</v>
      </c>
      <c r="F310" s="5">
        <v>103</v>
      </c>
      <c r="G310" s="43">
        <v>192</v>
      </c>
      <c r="H310" s="6"/>
    </row>
    <row r="311" spans="1:8" x14ac:dyDescent="0.25">
      <c r="A311" s="1">
        <f t="shared" ca="1" si="4"/>
        <v>12352</v>
      </c>
      <c r="B311" s="30">
        <v>29943</v>
      </c>
      <c r="C311" s="31">
        <v>29815</v>
      </c>
      <c r="D311" s="34">
        <v>830</v>
      </c>
      <c r="E311" s="35">
        <v>860</v>
      </c>
      <c r="F311" s="5">
        <v>0</v>
      </c>
      <c r="G311" s="43">
        <v>35</v>
      </c>
      <c r="H311" s="6"/>
    </row>
    <row r="312" spans="1:8" x14ac:dyDescent="0.25">
      <c r="A312" s="1">
        <f t="shared" ca="1" si="4"/>
        <v>12353</v>
      </c>
      <c r="B312" s="30">
        <v>29913</v>
      </c>
      <c r="C312" s="31">
        <v>29773</v>
      </c>
      <c r="D312" s="34">
        <v>830</v>
      </c>
      <c r="E312" s="35">
        <v>865</v>
      </c>
      <c r="F312" s="5">
        <v>0</v>
      </c>
      <c r="G312" s="43">
        <v>0</v>
      </c>
      <c r="H312" s="6"/>
    </row>
    <row r="313" spans="1:8" x14ac:dyDescent="0.25">
      <c r="A313" s="1">
        <f t="shared" ca="1" si="4"/>
        <v>12354</v>
      </c>
      <c r="B313" s="30">
        <v>29887</v>
      </c>
      <c r="C313" s="31">
        <v>29786</v>
      </c>
      <c r="D313" s="34">
        <v>815</v>
      </c>
      <c r="E313" s="35">
        <v>855</v>
      </c>
      <c r="F313" s="5">
        <v>0</v>
      </c>
      <c r="G313" s="43">
        <v>25</v>
      </c>
      <c r="H313" s="6"/>
    </row>
    <row r="314" spans="1:8" x14ac:dyDescent="0.25">
      <c r="A314" s="1">
        <f t="shared" ca="1" si="4"/>
        <v>12355</v>
      </c>
      <c r="B314" s="30">
        <v>29904</v>
      </c>
      <c r="C314" s="31">
        <v>29805</v>
      </c>
      <c r="D314" s="34">
        <v>825</v>
      </c>
      <c r="E314" s="35">
        <v>860</v>
      </c>
      <c r="F314" s="5">
        <v>0</v>
      </c>
      <c r="G314" s="43">
        <v>0</v>
      </c>
      <c r="H314" s="6"/>
    </row>
    <row r="315" spans="1:8" x14ac:dyDescent="0.25">
      <c r="A315" s="1">
        <f t="shared" ca="1" si="4"/>
        <v>12356</v>
      </c>
      <c r="B315" s="30">
        <v>29907</v>
      </c>
      <c r="C315" s="31">
        <v>29823</v>
      </c>
      <c r="D315" s="34">
        <v>815</v>
      </c>
      <c r="E315" s="35">
        <v>830</v>
      </c>
      <c r="F315" s="5">
        <v>161</v>
      </c>
      <c r="G315" s="43">
        <v>105</v>
      </c>
      <c r="H315" s="6"/>
    </row>
    <row r="316" spans="1:8" x14ac:dyDescent="0.25">
      <c r="A316" s="1">
        <f t="shared" ca="1" si="4"/>
        <v>12357</v>
      </c>
      <c r="B316" s="30">
        <v>29905</v>
      </c>
      <c r="C316" s="31">
        <v>29781</v>
      </c>
      <c r="D316" s="34">
        <v>820</v>
      </c>
      <c r="E316" s="35">
        <v>835</v>
      </c>
      <c r="F316" s="5">
        <v>38</v>
      </c>
      <c r="G316" s="43">
        <v>0</v>
      </c>
      <c r="H316" s="6"/>
    </row>
    <row r="317" spans="1:8" x14ac:dyDescent="0.25">
      <c r="A317" s="1">
        <f t="shared" ca="1" si="4"/>
        <v>12358</v>
      </c>
      <c r="B317" s="30">
        <v>29859</v>
      </c>
      <c r="C317" s="31">
        <v>29771</v>
      </c>
      <c r="D317" s="34">
        <v>805</v>
      </c>
      <c r="E317" s="35">
        <v>835</v>
      </c>
      <c r="F317" s="5">
        <v>0</v>
      </c>
      <c r="G317" s="43">
        <v>0</v>
      </c>
      <c r="H317" s="6"/>
    </row>
    <row r="318" spans="1:8" x14ac:dyDescent="0.25">
      <c r="A318" s="1" t="str">
        <f t="shared" ca="1" si="4"/>
        <v>Totaal</v>
      </c>
      <c r="B318" s="37">
        <f>IF(COUNT(B287:B317)&gt;0,AVERAGE(B287:B317)/1000,"")</f>
        <v>29.906387096774193</v>
      </c>
      <c r="C318" s="38">
        <f>IF(COUNT(C287:C317)&gt;0,AVERAGE(C287:C317)/1000,"")</f>
        <v>29.813935483870967</v>
      </c>
      <c r="D318" s="39">
        <f>IF(COUNT(D287:D317)&gt;0,AVERAGE(D287:D317)/10,"")</f>
        <v>83.274193548387103</v>
      </c>
      <c r="E318" s="40">
        <f>IF(COUNT(E287:E317)&gt;0,AVERAGE(E287:E317)/10,"")</f>
        <v>85.467741935483872</v>
      </c>
      <c r="F318" s="22">
        <f>SUM(F287:F317)/10</f>
        <v>82.7</v>
      </c>
      <c r="G318" s="46">
        <f>SUM(G287:G317)/10</f>
        <v>87</v>
      </c>
      <c r="H318" s="23">
        <f>SUM(H287:H317)/10</f>
        <v>0</v>
      </c>
    </row>
    <row r="319" spans="1:8" x14ac:dyDescent="0.25">
      <c r="A319" s="1">
        <f t="shared" ca="1" si="4"/>
        <v>12359</v>
      </c>
      <c r="B319" s="30">
        <v>29838</v>
      </c>
      <c r="C319" s="31">
        <v>29777</v>
      </c>
      <c r="D319" s="34">
        <v>810</v>
      </c>
      <c r="E319" s="35">
        <v>850</v>
      </c>
      <c r="F319" s="5">
        <v>0</v>
      </c>
      <c r="G319" s="43">
        <v>0</v>
      </c>
      <c r="H319" s="6">
        <v>0</v>
      </c>
    </row>
    <row r="320" spans="1:8" x14ac:dyDescent="0.25">
      <c r="A320" s="1">
        <f t="shared" ca="1" si="4"/>
        <v>12360</v>
      </c>
      <c r="B320" s="30">
        <v>29877</v>
      </c>
      <c r="C320" s="31">
        <v>29811</v>
      </c>
      <c r="D320" s="34">
        <v>815</v>
      </c>
      <c r="E320" s="35">
        <v>835</v>
      </c>
      <c r="F320" s="5">
        <v>0</v>
      </c>
      <c r="G320" s="43">
        <v>0</v>
      </c>
      <c r="H320" s="6">
        <v>0</v>
      </c>
    </row>
    <row r="321" spans="1:8" x14ac:dyDescent="0.25">
      <c r="A321" s="1">
        <f t="shared" ca="1" si="4"/>
        <v>12361</v>
      </c>
      <c r="B321" s="30">
        <v>29917</v>
      </c>
      <c r="C321" s="31">
        <v>29810</v>
      </c>
      <c r="D321" s="34">
        <v>815</v>
      </c>
      <c r="E321" s="35">
        <v>840</v>
      </c>
      <c r="F321" s="5">
        <v>0</v>
      </c>
      <c r="G321" s="43">
        <v>0</v>
      </c>
      <c r="H321" s="6">
        <v>0</v>
      </c>
    </row>
    <row r="322" spans="1:8" x14ac:dyDescent="0.25">
      <c r="A322" s="1">
        <f t="shared" ca="1" si="4"/>
        <v>12362</v>
      </c>
      <c r="B322" s="30">
        <v>29888</v>
      </c>
      <c r="C322" s="31">
        <v>29783</v>
      </c>
      <c r="D322" s="34">
        <v>810</v>
      </c>
      <c r="E322" s="35">
        <v>830</v>
      </c>
      <c r="F322" s="5">
        <v>0</v>
      </c>
      <c r="G322" s="43">
        <v>180</v>
      </c>
      <c r="H322" s="6">
        <v>0</v>
      </c>
    </row>
    <row r="323" spans="1:8" x14ac:dyDescent="0.25">
      <c r="A323" s="1">
        <f t="shared" ca="1" si="4"/>
        <v>12363</v>
      </c>
      <c r="B323" s="30">
        <v>29858</v>
      </c>
      <c r="C323" s="31">
        <v>29786</v>
      </c>
      <c r="D323" s="34">
        <v>810</v>
      </c>
      <c r="E323" s="35">
        <v>855</v>
      </c>
      <c r="F323" s="5">
        <v>64</v>
      </c>
      <c r="G323" s="43">
        <v>60</v>
      </c>
      <c r="H323" s="6">
        <v>0</v>
      </c>
    </row>
    <row r="324" spans="1:8" x14ac:dyDescent="0.25">
      <c r="A324" s="1">
        <f t="shared" ca="1" si="4"/>
        <v>12364</v>
      </c>
      <c r="B324" s="30">
        <v>29887</v>
      </c>
      <c r="C324" s="31">
        <v>29815</v>
      </c>
      <c r="D324" s="34">
        <v>815</v>
      </c>
      <c r="E324" s="35">
        <v>820</v>
      </c>
      <c r="F324" s="5">
        <v>43</v>
      </c>
      <c r="G324" s="43">
        <v>0</v>
      </c>
      <c r="H324" s="6">
        <v>0</v>
      </c>
    </row>
    <row r="325" spans="1:8" x14ac:dyDescent="0.25">
      <c r="A325" s="1">
        <f t="shared" ca="1" si="4"/>
        <v>12365</v>
      </c>
      <c r="B325" s="30">
        <v>29898</v>
      </c>
      <c r="C325" s="31">
        <v>29797</v>
      </c>
      <c r="D325" s="34">
        <v>810</v>
      </c>
      <c r="E325" s="35">
        <v>815</v>
      </c>
      <c r="F325" s="5">
        <v>0</v>
      </c>
      <c r="G325" s="43">
        <v>78</v>
      </c>
      <c r="H325" s="6">
        <v>340</v>
      </c>
    </row>
    <row r="326" spans="1:8" x14ac:dyDescent="0.25">
      <c r="A326" s="1">
        <f t="shared" ca="1" si="4"/>
        <v>12366</v>
      </c>
      <c r="B326" s="30">
        <v>29889</v>
      </c>
      <c r="C326" s="31">
        <v>29800</v>
      </c>
      <c r="D326" s="34">
        <v>805</v>
      </c>
      <c r="E326" s="35">
        <v>840</v>
      </c>
      <c r="F326" s="5">
        <v>57</v>
      </c>
      <c r="G326" s="43">
        <v>55</v>
      </c>
      <c r="H326" s="6">
        <v>0</v>
      </c>
    </row>
    <row r="327" spans="1:8" x14ac:dyDescent="0.25">
      <c r="A327" s="1">
        <f t="shared" ref="A327:A381" ca="1" si="5">IF(ISTEXT(A326),A325+1,IF(MONTH(A326+1)=MONTH(A326),A326+1,"Totaal"))</f>
        <v>12367</v>
      </c>
      <c r="B327" s="30">
        <v>29878</v>
      </c>
      <c r="C327" s="31">
        <v>29803</v>
      </c>
      <c r="D327" s="34">
        <v>810</v>
      </c>
      <c r="E327" s="35">
        <v>830</v>
      </c>
      <c r="F327" s="5">
        <v>53</v>
      </c>
      <c r="G327" s="43">
        <v>0</v>
      </c>
      <c r="H327" s="6">
        <v>100</v>
      </c>
    </row>
    <row r="328" spans="1:8" x14ac:dyDescent="0.25">
      <c r="A328" s="1">
        <f t="shared" ca="1" si="5"/>
        <v>12368</v>
      </c>
      <c r="B328" s="30">
        <v>29912</v>
      </c>
      <c r="C328" s="31">
        <v>29815</v>
      </c>
      <c r="D328" s="34">
        <v>795</v>
      </c>
      <c r="E328" s="35">
        <v>820</v>
      </c>
      <c r="F328" s="5">
        <v>220</v>
      </c>
      <c r="G328" s="43">
        <v>332</v>
      </c>
      <c r="H328" s="6">
        <v>220</v>
      </c>
    </row>
    <row r="329" spans="1:8" x14ac:dyDescent="0.25">
      <c r="A329" s="1">
        <f t="shared" ca="1" si="5"/>
        <v>12369</v>
      </c>
      <c r="B329" s="30">
        <v>29809</v>
      </c>
      <c r="C329" s="31">
        <v>29852</v>
      </c>
      <c r="D329" s="34">
        <v>810</v>
      </c>
      <c r="E329" s="35">
        <v>795</v>
      </c>
      <c r="F329" s="5">
        <v>450</v>
      </c>
      <c r="G329" s="43">
        <v>152</v>
      </c>
      <c r="H329" s="6">
        <v>100</v>
      </c>
    </row>
    <row r="330" spans="1:8" x14ac:dyDescent="0.25">
      <c r="A330" s="1">
        <f t="shared" ca="1" si="5"/>
        <v>12370</v>
      </c>
      <c r="B330" s="30">
        <v>29908</v>
      </c>
      <c r="C330" s="31">
        <v>29811</v>
      </c>
      <c r="D330" s="34">
        <v>810</v>
      </c>
      <c r="E330" s="35">
        <v>835</v>
      </c>
      <c r="F330" s="5">
        <v>0</v>
      </c>
      <c r="G330" s="43">
        <v>0</v>
      </c>
      <c r="H330" s="6">
        <v>0</v>
      </c>
    </row>
    <row r="331" spans="1:8" x14ac:dyDescent="0.25">
      <c r="A331" s="1">
        <f t="shared" ca="1" si="5"/>
        <v>12371</v>
      </c>
      <c r="B331" s="30">
        <v>29917</v>
      </c>
      <c r="C331" s="31">
        <v>29811</v>
      </c>
      <c r="D331" s="34">
        <v>815</v>
      </c>
      <c r="E331" s="35">
        <v>835</v>
      </c>
      <c r="F331" s="5">
        <v>54</v>
      </c>
      <c r="G331" s="43">
        <v>67</v>
      </c>
      <c r="H331" s="6">
        <v>0</v>
      </c>
    </row>
    <row r="332" spans="1:8" x14ac:dyDescent="0.25">
      <c r="A332" s="1">
        <f t="shared" ca="1" si="5"/>
        <v>12372</v>
      </c>
      <c r="B332" s="30">
        <v>29915</v>
      </c>
      <c r="C332" s="31">
        <v>29790</v>
      </c>
      <c r="D332" s="34">
        <v>820</v>
      </c>
      <c r="E332" s="35">
        <v>840</v>
      </c>
      <c r="F332" s="5">
        <v>0</v>
      </c>
      <c r="G332" s="43">
        <v>0</v>
      </c>
      <c r="H332" s="6">
        <v>0</v>
      </c>
    </row>
    <row r="333" spans="1:8" x14ac:dyDescent="0.25">
      <c r="A333" s="1">
        <f t="shared" ca="1" si="5"/>
        <v>12373</v>
      </c>
      <c r="B333" s="30">
        <v>29938</v>
      </c>
      <c r="C333" s="31">
        <v>29840</v>
      </c>
      <c r="D333" s="34">
        <v>810</v>
      </c>
      <c r="E333" s="35">
        <v>840</v>
      </c>
      <c r="F333" s="5">
        <v>0</v>
      </c>
      <c r="G333" s="43">
        <v>102</v>
      </c>
      <c r="H333" s="6">
        <v>80</v>
      </c>
    </row>
    <row r="334" spans="1:8" x14ac:dyDescent="0.25">
      <c r="A334" s="1">
        <f t="shared" ca="1" si="5"/>
        <v>12374</v>
      </c>
      <c r="B334" s="30">
        <v>29987</v>
      </c>
      <c r="C334" s="31">
        <v>29890</v>
      </c>
      <c r="D334" s="34">
        <v>815</v>
      </c>
      <c r="E334" s="35">
        <v>840</v>
      </c>
      <c r="F334" s="5">
        <v>52</v>
      </c>
      <c r="G334" s="43">
        <v>72</v>
      </c>
      <c r="H334" s="6">
        <v>60</v>
      </c>
    </row>
    <row r="335" spans="1:8" x14ac:dyDescent="0.25">
      <c r="A335" s="1">
        <f t="shared" ca="1" si="5"/>
        <v>12375</v>
      </c>
      <c r="B335" s="30">
        <v>29967</v>
      </c>
      <c r="C335" s="31">
        <v>29891</v>
      </c>
      <c r="D335" s="34">
        <v>815</v>
      </c>
      <c r="E335" s="35">
        <v>835</v>
      </c>
      <c r="F335" s="5">
        <v>0</v>
      </c>
      <c r="G335" s="43">
        <v>34</v>
      </c>
      <c r="H335" s="6">
        <v>0</v>
      </c>
    </row>
    <row r="336" spans="1:8" x14ac:dyDescent="0.25">
      <c r="A336" s="1">
        <f t="shared" ca="1" si="5"/>
        <v>12376</v>
      </c>
      <c r="B336" s="30">
        <v>29908</v>
      </c>
      <c r="C336" s="31">
        <v>29905</v>
      </c>
      <c r="D336" s="34">
        <v>810</v>
      </c>
      <c r="E336" s="35">
        <v>820</v>
      </c>
      <c r="F336" s="5">
        <v>102</v>
      </c>
      <c r="G336" s="43">
        <v>23</v>
      </c>
      <c r="H336" s="6">
        <v>0</v>
      </c>
    </row>
    <row r="337" spans="1:8" x14ac:dyDescent="0.25">
      <c r="A337" s="1">
        <f t="shared" ca="1" si="5"/>
        <v>12377</v>
      </c>
      <c r="B337" s="30">
        <v>29888</v>
      </c>
      <c r="C337" s="31">
        <v>29803</v>
      </c>
      <c r="D337" s="34">
        <v>810</v>
      </c>
      <c r="E337" s="35">
        <v>830</v>
      </c>
      <c r="F337" s="5">
        <v>0</v>
      </c>
      <c r="G337" s="43">
        <v>127</v>
      </c>
      <c r="H337" s="6">
        <v>0</v>
      </c>
    </row>
    <row r="338" spans="1:8" x14ac:dyDescent="0.25">
      <c r="A338" s="1">
        <f t="shared" ca="1" si="5"/>
        <v>12378</v>
      </c>
      <c r="B338" s="30">
        <v>29958</v>
      </c>
      <c r="C338" s="31">
        <v>29855</v>
      </c>
      <c r="D338" s="34">
        <v>810</v>
      </c>
      <c r="E338" s="35">
        <v>820</v>
      </c>
      <c r="F338" s="5">
        <v>0</v>
      </c>
      <c r="G338" s="43">
        <v>0</v>
      </c>
      <c r="H338" s="6">
        <v>0</v>
      </c>
    </row>
    <row r="339" spans="1:8" x14ac:dyDescent="0.25">
      <c r="A339" s="1">
        <f t="shared" ca="1" si="5"/>
        <v>12379</v>
      </c>
      <c r="B339" s="30">
        <v>29928</v>
      </c>
      <c r="C339" s="31">
        <v>29853</v>
      </c>
      <c r="D339" s="34">
        <v>810</v>
      </c>
      <c r="E339" s="35">
        <v>830</v>
      </c>
      <c r="F339" s="5">
        <v>0</v>
      </c>
      <c r="G339" s="43">
        <v>0</v>
      </c>
      <c r="H339" s="6">
        <v>0</v>
      </c>
    </row>
    <row r="340" spans="1:8" x14ac:dyDescent="0.25">
      <c r="A340" s="1">
        <f t="shared" ca="1" si="5"/>
        <v>12380</v>
      </c>
      <c r="B340" s="30">
        <v>29925</v>
      </c>
      <c r="C340" s="31">
        <v>29841</v>
      </c>
      <c r="D340" s="34">
        <v>820</v>
      </c>
      <c r="E340" s="35">
        <v>835</v>
      </c>
      <c r="F340" s="5">
        <v>0</v>
      </c>
      <c r="G340" s="43">
        <v>93</v>
      </c>
      <c r="H340" s="6">
        <v>0</v>
      </c>
    </row>
    <row r="341" spans="1:8" x14ac:dyDescent="0.25">
      <c r="A341" s="1">
        <f t="shared" ca="1" si="5"/>
        <v>12381</v>
      </c>
      <c r="B341" s="30">
        <v>29877</v>
      </c>
      <c r="C341" s="31">
        <v>29783</v>
      </c>
      <c r="D341" s="34">
        <v>810</v>
      </c>
      <c r="E341" s="35">
        <v>830</v>
      </c>
      <c r="F341" s="5">
        <v>100</v>
      </c>
      <c r="G341" s="43">
        <v>0</v>
      </c>
      <c r="H341" s="6">
        <v>0</v>
      </c>
    </row>
    <row r="342" spans="1:8" x14ac:dyDescent="0.25">
      <c r="A342" s="1">
        <f t="shared" ca="1" si="5"/>
        <v>12382</v>
      </c>
      <c r="B342" s="30">
        <v>29907</v>
      </c>
      <c r="C342" s="31">
        <v>29810</v>
      </c>
      <c r="D342" s="34">
        <v>815</v>
      </c>
      <c r="E342" s="35">
        <v>840</v>
      </c>
      <c r="F342" s="5">
        <v>110</v>
      </c>
      <c r="G342" s="43">
        <v>34</v>
      </c>
      <c r="H342" s="6">
        <v>30</v>
      </c>
    </row>
    <row r="343" spans="1:8" x14ac:dyDescent="0.25">
      <c r="A343" s="1">
        <f t="shared" ca="1" si="5"/>
        <v>12383</v>
      </c>
      <c r="B343" s="30">
        <v>29937</v>
      </c>
      <c r="C343" s="31">
        <v>29850</v>
      </c>
      <c r="D343" s="34">
        <v>815</v>
      </c>
      <c r="E343" s="35">
        <v>840</v>
      </c>
      <c r="F343" s="5">
        <v>0</v>
      </c>
      <c r="G343" s="43">
        <v>0</v>
      </c>
      <c r="H343" s="6">
        <v>0</v>
      </c>
    </row>
    <row r="344" spans="1:8" x14ac:dyDescent="0.25">
      <c r="A344" s="1">
        <f t="shared" ca="1" si="5"/>
        <v>12384</v>
      </c>
      <c r="B344" s="30">
        <v>29908</v>
      </c>
      <c r="C344" s="31">
        <v>29815</v>
      </c>
      <c r="D344" s="34">
        <v>810</v>
      </c>
      <c r="E344" s="35">
        <v>820</v>
      </c>
      <c r="F344" s="5">
        <v>95</v>
      </c>
      <c r="G344" s="43">
        <v>180</v>
      </c>
      <c r="H344" s="6">
        <v>90</v>
      </c>
    </row>
    <row r="345" spans="1:8" x14ac:dyDescent="0.25">
      <c r="A345" s="1">
        <f t="shared" ca="1" si="5"/>
        <v>12385</v>
      </c>
      <c r="B345" s="30">
        <v>29911</v>
      </c>
      <c r="C345" s="31">
        <v>29841</v>
      </c>
      <c r="D345" s="34">
        <v>800</v>
      </c>
      <c r="E345" s="35">
        <v>800</v>
      </c>
      <c r="F345" s="5">
        <v>0</v>
      </c>
      <c r="G345" s="43">
        <v>0</v>
      </c>
      <c r="H345" s="6">
        <v>60</v>
      </c>
    </row>
    <row r="346" spans="1:8" x14ac:dyDescent="0.25">
      <c r="A346" s="1">
        <f t="shared" ca="1" si="5"/>
        <v>12386</v>
      </c>
      <c r="B346" s="30">
        <v>29933</v>
      </c>
      <c r="C346" s="31">
        <v>29875</v>
      </c>
      <c r="D346" s="34">
        <v>790</v>
      </c>
      <c r="E346" s="35">
        <v>820</v>
      </c>
      <c r="F346" s="5">
        <v>0</v>
      </c>
      <c r="G346" s="43">
        <v>0</v>
      </c>
      <c r="H346" s="6">
        <v>0</v>
      </c>
    </row>
    <row r="347" spans="1:8" x14ac:dyDescent="0.25">
      <c r="A347" s="1">
        <f t="shared" ca="1" si="5"/>
        <v>12387</v>
      </c>
      <c r="B347" s="30">
        <v>29958</v>
      </c>
      <c r="C347" s="31">
        <v>29893</v>
      </c>
      <c r="D347" s="34">
        <v>810</v>
      </c>
      <c r="E347" s="35">
        <v>830</v>
      </c>
      <c r="F347" s="5">
        <v>70</v>
      </c>
      <c r="G347" s="43">
        <v>90</v>
      </c>
      <c r="H347" s="6">
        <v>0</v>
      </c>
    </row>
    <row r="348" spans="1:8" x14ac:dyDescent="0.25">
      <c r="A348" s="1">
        <f t="shared" ca="1" si="5"/>
        <v>12388</v>
      </c>
      <c r="B348" s="30">
        <v>29958</v>
      </c>
      <c r="C348" s="31">
        <v>29873</v>
      </c>
      <c r="D348" s="34">
        <v>810</v>
      </c>
      <c r="E348" s="35">
        <v>830</v>
      </c>
      <c r="F348" s="5"/>
      <c r="G348" s="43">
        <v>50</v>
      </c>
      <c r="H348" s="6">
        <v>0</v>
      </c>
    </row>
    <row r="349" spans="1:8" x14ac:dyDescent="0.25">
      <c r="A349" s="1" t="str">
        <f t="shared" ca="1" si="5"/>
        <v>Totaal</v>
      </c>
      <c r="B349" s="37">
        <f>IF(COUNT(B319:B348)&gt;0,AVERAGE(B319:B348)/1000,"")</f>
        <v>29.909299999999998</v>
      </c>
      <c r="C349" s="38">
        <f>IF(COUNT(C319:C348)&gt;0,AVERAGE(C319:C348)/1000,"")</f>
        <v>29.8293</v>
      </c>
      <c r="D349" s="39">
        <f>IF(COUNT(D319:D348)&gt;0,AVERAGE(D319:D348)/10,"")</f>
        <v>81.033333333333331</v>
      </c>
      <c r="E349" s="40">
        <f>IF(COUNT(E319:E348)&gt;0,AVERAGE(E319:E348)/10,"")</f>
        <v>83</v>
      </c>
      <c r="F349" s="22">
        <f>SUM(F319:F348)/10</f>
        <v>147</v>
      </c>
      <c r="G349" s="46">
        <f>SUM(G319:G348)/10</f>
        <v>172.9</v>
      </c>
      <c r="H349" s="23">
        <f>SUM(H319:H348)/10</f>
        <v>108</v>
      </c>
    </row>
    <row r="350" spans="1:8" x14ac:dyDescent="0.25">
      <c r="A350" s="1">
        <f t="shared" ca="1" si="5"/>
        <v>12389</v>
      </c>
      <c r="B350" s="30">
        <v>29938</v>
      </c>
      <c r="C350" s="31">
        <v>29893</v>
      </c>
      <c r="D350" s="34">
        <v>810</v>
      </c>
      <c r="E350" s="35">
        <v>830</v>
      </c>
      <c r="F350" s="5">
        <v>0</v>
      </c>
      <c r="G350" s="43">
        <v>0</v>
      </c>
      <c r="H350" s="6"/>
    </row>
    <row r="351" spans="1:8" x14ac:dyDescent="0.25">
      <c r="A351" s="1">
        <f t="shared" ca="1" si="5"/>
        <v>12390</v>
      </c>
      <c r="B351" s="30">
        <v>29958</v>
      </c>
      <c r="C351" s="31">
        <v>29905</v>
      </c>
      <c r="D351" s="34">
        <v>810</v>
      </c>
      <c r="E351" s="35">
        <v>820</v>
      </c>
      <c r="F351" s="5">
        <v>131</v>
      </c>
      <c r="G351" s="43">
        <v>180</v>
      </c>
      <c r="H351" s="6"/>
    </row>
    <row r="352" spans="1:8" x14ac:dyDescent="0.25">
      <c r="A352" s="1">
        <f t="shared" ca="1" si="5"/>
        <v>12391</v>
      </c>
      <c r="B352" s="30">
        <v>29961</v>
      </c>
      <c r="C352" s="31">
        <v>29898</v>
      </c>
      <c r="D352" s="34">
        <v>800</v>
      </c>
      <c r="E352" s="35">
        <v>810</v>
      </c>
      <c r="F352" s="5">
        <v>95</v>
      </c>
      <c r="G352" s="43">
        <v>250</v>
      </c>
      <c r="H352" s="6"/>
    </row>
    <row r="353" spans="1:8" x14ac:dyDescent="0.25">
      <c r="A353" s="1">
        <f t="shared" ca="1" si="5"/>
        <v>12392</v>
      </c>
      <c r="B353" s="30">
        <v>29961</v>
      </c>
      <c r="C353" s="31">
        <v>29903</v>
      </c>
      <c r="D353" s="34">
        <v>800</v>
      </c>
      <c r="E353" s="35">
        <v>830</v>
      </c>
      <c r="F353" s="5">
        <v>90</v>
      </c>
      <c r="G353" s="43">
        <v>70</v>
      </c>
      <c r="H353" s="6"/>
    </row>
    <row r="354" spans="1:8" x14ac:dyDescent="0.25">
      <c r="A354" s="1">
        <f t="shared" ca="1" si="5"/>
        <v>12393</v>
      </c>
      <c r="B354" s="30">
        <v>29938</v>
      </c>
      <c r="C354" s="31">
        <v>29873</v>
      </c>
      <c r="D354" s="34">
        <v>810</v>
      </c>
      <c r="E354" s="35">
        <v>830</v>
      </c>
      <c r="F354" s="5">
        <v>0</v>
      </c>
      <c r="G354" s="43">
        <v>45</v>
      </c>
      <c r="H354" s="6"/>
    </row>
    <row r="355" spans="1:8" x14ac:dyDescent="0.25">
      <c r="A355" s="1">
        <f t="shared" ca="1" si="5"/>
        <v>12394</v>
      </c>
      <c r="B355" s="30">
        <v>29931</v>
      </c>
      <c r="C355" s="31">
        <v>29853</v>
      </c>
      <c r="D355" s="34">
        <v>800</v>
      </c>
      <c r="E355" s="35">
        <v>830</v>
      </c>
      <c r="F355" s="5">
        <v>0</v>
      </c>
      <c r="G355" s="43">
        <v>0</v>
      </c>
      <c r="H355" s="6"/>
    </row>
    <row r="356" spans="1:8" x14ac:dyDescent="0.25">
      <c r="A356" s="1">
        <f t="shared" ca="1" si="5"/>
        <v>12395</v>
      </c>
      <c r="B356" s="30">
        <v>29938</v>
      </c>
      <c r="C356" s="31">
        <v>29873</v>
      </c>
      <c r="D356" s="34">
        <v>810</v>
      </c>
      <c r="E356" s="35">
        <v>830</v>
      </c>
      <c r="F356" s="5">
        <v>0</v>
      </c>
      <c r="G356" s="43">
        <v>0</v>
      </c>
      <c r="H356" s="6"/>
    </row>
    <row r="357" spans="1:8" x14ac:dyDescent="0.25">
      <c r="A357" s="1">
        <f t="shared" ca="1" si="5"/>
        <v>12396</v>
      </c>
      <c r="B357" s="30">
        <v>29941</v>
      </c>
      <c r="C357" s="31">
        <v>29873</v>
      </c>
      <c r="D357" s="34">
        <v>800</v>
      </c>
      <c r="E357" s="35">
        <v>830</v>
      </c>
      <c r="F357" s="5">
        <v>60</v>
      </c>
      <c r="G357" s="43">
        <v>0</v>
      </c>
      <c r="H357" s="6"/>
    </row>
    <row r="358" spans="1:8" x14ac:dyDescent="0.25">
      <c r="A358" s="1">
        <f t="shared" ca="1" si="5"/>
        <v>12397</v>
      </c>
      <c r="B358" s="30">
        <v>29939</v>
      </c>
      <c r="C358" s="31">
        <v>29853</v>
      </c>
      <c r="D358" s="34">
        <v>805</v>
      </c>
      <c r="E358" s="35">
        <v>830</v>
      </c>
      <c r="F358" s="5">
        <v>0</v>
      </c>
      <c r="G358" s="43">
        <v>0</v>
      </c>
      <c r="H358" s="6"/>
    </row>
    <row r="359" spans="1:8" x14ac:dyDescent="0.25">
      <c r="A359" s="1">
        <f t="shared" ca="1" si="5"/>
        <v>12398</v>
      </c>
      <c r="B359" s="30">
        <v>29943</v>
      </c>
      <c r="C359" s="31">
        <v>29885</v>
      </c>
      <c r="D359" s="34">
        <v>790</v>
      </c>
      <c r="E359" s="35">
        <v>820</v>
      </c>
      <c r="F359" s="5">
        <v>0</v>
      </c>
      <c r="G359" s="43">
        <v>0</v>
      </c>
      <c r="H359" s="6"/>
    </row>
    <row r="360" spans="1:8" x14ac:dyDescent="0.25">
      <c r="A360" s="1">
        <f t="shared" ca="1" si="5"/>
        <v>12399</v>
      </c>
      <c r="B360" s="30">
        <v>29913</v>
      </c>
      <c r="C360" s="31">
        <v>29923</v>
      </c>
      <c r="D360" s="34">
        <v>790</v>
      </c>
      <c r="E360" s="35">
        <v>830</v>
      </c>
      <c r="F360" s="5">
        <v>60</v>
      </c>
      <c r="G360" s="43">
        <v>0</v>
      </c>
      <c r="H360" s="6"/>
    </row>
    <row r="361" spans="1:8" x14ac:dyDescent="0.25">
      <c r="A361" s="1">
        <f t="shared" ca="1" si="5"/>
        <v>12400</v>
      </c>
      <c r="B361" s="30">
        <v>30008</v>
      </c>
      <c r="C361" s="31">
        <v>29978</v>
      </c>
      <c r="D361" s="34">
        <v>805</v>
      </c>
      <c r="E361" s="35">
        <v>805</v>
      </c>
      <c r="F361" s="5">
        <v>47</v>
      </c>
      <c r="G361" s="43">
        <v>99</v>
      </c>
      <c r="H361" s="6"/>
    </row>
    <row r="362" spans="1:8" x14ac:dyDescent="0.25">
      <c r="A362" s="1">
        <f t="shared" ca="1" si="5"/>
        <v>12401</v>
      </c>
      <c r="B362" s="30">
        <v>30013</v>
      </c>
      <c r="C362" s="31">
        <v>29911</v>
      </c>
      <c r="D362" s="34">
        <v>790</v>
      </c>
      <c r="E362" s="35">
        <v>800</v>
      </c>
      <c r="F362" s="5">
        <v>115</v>
      </c>
      <c r="G362" s="43">
        <v>53</v>
      </c>
      <c r="H362" s="6"/>
    </row>
    <row r="363" spans="1:8" x14ac:dyDescent="0.25">
      <c r="A363" s="1">
        <f t="shared" ca="1" si="5"/>
        <v>12402</v>
      </c>
      <c r="B363" s="30">
        <v>29980</v>
      </c>
      <c r="C363" s="31">
        <v>29893</v>
      </c>
      <c r="D363" s="34">
        <v>800</v>
      </c>
      <c r="E363" s="35">
        <v>830</v>
      </c>
      <c r="F363" s="5">
        <v>77</v>
      </c>
      <c r="G363" s="43">
        <v>106</v>
      </c>
      <c r="H363" s="6"/>
    </row>
    <row r="364" spans="1:8" x14ac:dyDescent="0.25">
      <c r="A364" s="1">
        <f t="shared" ca="1" si="5"/>
        <v>12403</v>
      </c>
      <c r="B364" s="30">
        <v>29983</v>
      </c>
      <c r="C364" s="31">
        <v>29915</v>
      </c>
      <c r="D364" s="34">
        <v>790</v>
      </c>
      <c r="E364" s="35">
        <v>820</v>
      </c>
      <c r="F364" s="5">
        <v>46</v>
      </c>
      <c r="G364" s="43">
        <v>60</v>
      </c>
      <c r="H364" s="6"/>
    </row>
    <row r="365" spans="1:8" x14ac:dyDescent="0.25">
      <c r="A365" s="1">
        <f t="shared" ca="1" si="5"/>
        <v>12404</v>
      </c>
      <c r="B365" s="30">
        <v>29981</v>
      </c>
      <c r="C365" s="31">
        <v>29924</v>
      </c>
      <c r="D365" s="34">
        <v>795</v>
      </c>
      <c r="E365" s="35">
        <v>820</v>
      </c>
      <c r="F365" s="5">
        <v>80</v>
      </c>
      <c r="G365" s="43">
        <v>80</v>
      </c>
      <c r="H365" s="6"/>
    </row>
    <row r="366" spans="1:8" x14ac:dyDescent="0.25">
      <c r="A366" s="1">
        <f t="shared" ca="1" si="5"/>
        <v>12405</v>
      </c>
      <c r="B366" s="30">
        <v>29993</v>
      </c>
      <c r="C366" s="31">
        <v>29925</v>
      </c>
      <c r="D366" s="34">
        <v>790</v>
      </c>
      <c r="E366" s="35">
        <v>820</v>
      </c>
      <c r="F366" s="5">
        <v>75</v>
      </c>
      <c r="G366" s="43">
        <v>45</v>
      </c>
      <c r="H366" s="6"/>
    </row>
    <row r="367" spans="1:8" x14ac:dyDescent="0.25">
      <c r="A367" s="1">
        <f t="shared" ca="1" si="5"/>
        <v>12406</v>
      </c>
      <c r="B367" s="30">
        <v>30031</v>
      </c>
      <c r="C367" s="31">
        <v>29984</v>
      </c>
      <c r="D367" s="34">
        <v>795</v>
      </c>
      <c r="E367" s="35">
        <v>820</v>
      </c>
      <c r="F367" s="5">
        <v>0</v>
      </c>
      <c r="G367" s="43">
        <v>110</v>
      </c>
      <c r="H367" s="6"/>
    </row>
    <row r="368" spans="1:8" x14ac:dyDescent="0.25">
      <c r="A368" s="1">
        <f t="shared" ca="1" si="5"/>
        <v>12407</v>
      </c>
      <c r="B368" s="30">
        <v>30073</v>
      </c>
      <c r="C368" s="31">
        <v>29976</v>
      </c>
      <c r="D368" s="34">
        <v>790</v>
      </c>
      <c r="E368" s="35">
        <v>815</v>
      </c>
      <c r="F368" s="5">
        <v>60</v>
      </c>
      <c r="G368" s="43">
        <v>0</v>
      </c>
      <c r="H368" s="6"/>
    </row>
    <row r="369" spans="1:8" x14ac:dyDescent="0.25">
      <c r="A369" s="1">
        <f t="shared" ca="1" si="5"/>
        <v>12408</v>
      </c>
      <c r="B369" s="30">
        <v>30044</v>
      </c>
      <c r="C369" s="31">
        <v>29974</v>
      </c>
      <c r="D369" s="34">
        <v>785</v>
      </c>
      <c r="E369" s="35">
        <v>820</v>
      </c>
      <c r="F369" s="5">
        <v>60</v>
      </c>
      <c r="G369" s="43">
        <v>224</v>
      </c>
      <c r="H369" s="6"/>
    </row>
    <row r="370" spans="1:8" x14ac:dyDescent="0.25">
      <c r="A370" s="1">
        <f t="shared" ca="1" si="5"/>
        <v>12409</v>
      </c>
      <c r="B370" s="30">
        <v>30005</v>
      </c>
      <c r="C370" s="31">
        <v>29915</v>
      </c>
      <c r="D370" s="34">
        <v>780</v>
      </c>
      <c r="E370" s="35">
        <v>820</v>
      </c>
      <c r="F370" s="5">
        <v>0</v>
      </c>
      <c r="G370" s="43">
        <v>0</v>
      </c>
      <c r="H370" s="6"/>
    </row>
    <row r="371" spans="1:8" x14ac:dyDescent="0.25">
      <c r="A371" s="1">
        <f t="shared" ca="1" si="5"/>
        <v>12410</v>
      </c>
      <c r="B371" s="30">
        <v>30003</v>
      </c>
      <c r="C371" s="31">
        <v>29916</v>
      </c>
      <c r="D371" s="34">
        <v>790</v>
      </c>
      <c r="E371" s="35">
        <v>815</v>
      </c>
      <c r="F371" s="5">
        <v>0</v>
      </c>
      <c r="G371" s="43">
        <v>0</v>
      </c>
      <c r="H371" s="6"/>
    </row>
    <row r="372" spans="1:8" x14ac:dyDescent="0.25">
      <c r="A372" s="1">
        <f t="shared" ca="1" si="5"/>
        <v>12411</v>
      </c>
      <c r="B372" s="30">
        <v>33010</v>
      </c>
      <c r="C372" s="31">
        <v>29924</v>
      </c>
      <c r="D372" s="34">
        <v>800</v>
      </c>
      <c r="E372" s="35">
        <v>820</v>
      </c>
      <c r="F372" s="5">
        <v>60</v>
      </c>
      <c r="G372" s="43">
        <v>0</v>
      </c>
      <c r="H372" s="6"/>
    </row>
    <row r="373" spans="1:8" x14ac:dyDescent="0.25">
      <c r="A373" s="1">
        <f t="shared" ca="1" si="5"/>
        <v>12412</v>
      </c>
      <c r="B373" s="30">
        <v>29984</v>
      </c>
      <c r="C373" s="31">
        <v>29898</v>
      </c>
      <c r="D373" s="34">
        <v>780</v>
      </c>
      <c r="E373" s="35">
        <v>805</v>
      </c>
      <c r="F373" s="5">
        <v>130</v>
      </c>
      <c r="G373" s="43">
        <v>90</v>
      </c>
      <c r="H373" s="6"/>
    </row>
    <row r="374" spans="1:8" x14ac:dyDescent="0.25">
      <c r="A374" s="1">
        <f t="shared" ca="1" si="5"/>
        <v>12413</v>
      </c>
      <c r="B374" s="30">
        <v>29993</v>
      </c>
      <c r="C374" s="31">
        <v>29920</v>
      </c>
      <c r="D374" s="34">
        <v>790</v>
      </c>
      <c r="E374" s="35">
        <v>800</v>
      </c>
      <c r="F374" s="5">
        <v>25</v>
      </c>
      <c r="G374" s="43">
        <v>77</v>
      </c>
      <c r="H374" s="6"/>
    </row>
    <row r="375" spans="1:8" x14ac:dyDescent="0.25">
      <c r="A375" s="1">
        <f t="shared" ca="1" si="5"/>
        <v>12414</v>
      </c>
      <c r="B375" s="30">
        <v>29953</v>
      </c>
      <c r="C375" s="31">
        <v>29875</v>
      </c>
      <c r="D375" s="34">
        <v>790</v>
      </c>
      <c r="E375" s="35">
        <v>820</v>
      </c>
      <c r="F375" s="5">
        <v>0</v>
      </c>
      <c r="G375" s="43">
        <v>0</v>
      </c>
      <c r="H375" s="6"/>
    </row>
    <row r="376" spans="1:8" x14ac:dyDescent="0.25">
      <c r="A376" s="1">
        <f t="shared" ca="1" si="5"/>
        <v>12415</v>
      </c>
      <c r="B376" s="30">
        <v>29968</v>
      </c>
      <c r="C376" s="31">
        <v>29901</v>
      </c>
      <c r="D376" s="34">
        <v>770</v>
      </c>
      <c r="E376" s="35">
        <v>800</v>
      </c>
      <c r="F376" s="5">
        <v>90</v>
      </c>
      <c r="G376" s="43">
        <v>134</v>
      </c>
      <c r="H376" s="6"/>
    </row>
    <row r="377" spans="1:8" x14ac:dyDescent="0.25">
      <c r="A377" s="1">
        <f t="shared" ca="1" si="5"/>
        <v>12416</v>
      </c>
      <c r="B377" s="30">
        <v>29984</v>
      </c>
      <c r="C377" s="31">
        <v>29921</v>
      </c>
      <c r="D377" s="34">
        <v>780</v>
      </c>
      <c r="E377" s="35">
        <v>800</v>
      </c>
      <c r="F377" s="5">
        <v>0</v>
      </c>
      <c r="G377" s="43">
        <v>85</v>
      </c>
      <c r="H377" s="6"/>
    </row>
    <row r="378" spans="1:8" x14ac:dyDescent="0.25">
      <c r="A378" s="1">
        <f t="shared" ca="1" si="5"/>
        <v>12417</v>
      </c>
      <c r="B378" s="30">
        <v>29966</v>
      </c>
      <c r="C378" s="31">
        <v>29898</v>
      </c>
      <c r="D378" s="34">
        <v>780</v>
      </c>
      <c r="E378" s="35">
        <v>810</v>
      </c>
      <c r="F378" s="5">
        <v>0</v>
      </c>
      <c r="G378" s="43">
        <v>21</v>
      </c>
      <c r="H378" s="6"/>
    </row>
    <row r="379" spans="1:8" x14ac:dyDescent="0.25">
      <c r="A379" s="1">
        <f t="shared" ca="1" si="5"/>
        <v>12418</v>
      </c>
      <c r="B379" s="30">
        <v>29943</v>
      </c>
      <c r="C379" s="31">
        <v>29871</v>
      </c>
      <c r="D379" s="34">
        <v>790</v>
      </c>
      <c r="E379" s="35">
        <v>800</v>
      </c>
      <c r="F379" s="5">
        <v>0</v>
      </c>
      <c r="G379" s="43">
        <v>54</v>
      </c>
      <c r="H379" s="6"/>
    </row>
    <row r="380" spans="1:8" x14ac:dyDescent="0.25">
      <c r="A380" s="1">
        <f t="shared" ca="1" si="5"/>
        <v>12419</v>
      </c>
      <c r="B380" s="30">
        <v>29970</v>
      </c>
      <c r="C380" s="31">
        <v>29898</v>
      </c>
      <c r="D380" s="34">
        <v>800</v>
      </c>
      <c r="E380" s="35">
        <v>810</v>
      </c>
      <c r="F380" s="5">
        <v>187</v>
      </c>
      <c r="G380" s="43">
        <v>0</v>
      </c>
      <c r="H380" s="6"/>
    </row>
    <row r="381" spans="1:8" x14ac:dyDescent="0.25">
      <c r="A381" s="1" t="str">
        <f t="shared" ca="1" si="5"/>
        <v>Totaal</v>
      </c>
      <c r="B381" s="37">
        <f>IF(COUNT(B350:B380)&gt;0,AVERAGE(B350:B380)/1000,"")</f>
        <v>30.072451612903226</v>
      </c>
      <c r="C381" s="38">
        <f>IF(COUNT(C350:C380)&gt;0,AVERAGE(C350:C380)/1000,"")</f>
        <v>29.908032258064516</v>
      </c>
      <c r="D381" s="39">
        <f>IF(COUNT(D350:D380)&gt;0,AVERAGE(D350:D380)/10,"")</f>
        <v>79.403225806451616</v>
      </c>
      <c r="E381" s="40">
        <f>IF(COUNT(E350:E380)&gt;0,AVERAGE(E350:E380)/10,"")</f>
        <v>81.741935483870961</v>
      </c>
      <c r="F381" s="22">
        <f>SUM(F350:F380)/10</f>
        <v>148.80000000000001</v>
      </c>
      <c r="G381" s="46">
        <f>SUM(G350:G380)/10</f>
        <v>178.3</v>
      </c>
      <c r="H381" s="23">
        <f>SUM(H350:H380)/10</f>
        <v>0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53" t="s">
        <v>0</v>
      </c>
      <c r="K3" s="55" t="s">
        <v>30</v>
      </c>
      <c r="L3" s="55"/>
      <c r="M3" s="55" t="s">
        <v>31</v>
      </c>
      <c r="N3" s="55"/>
      <c r="O3" s="55" t="s">
        <v>1</v>
      </c>
      <c r="P3" s="55"/>
    </row>
    <row r="4" spans="1:16" x14ac:dyDescent="0.25">
      <c r="A4" s="26" t="s">
        <v>12</v>
      </c>
      <c r="B4" s="25" t="s">
        <v>13</v>
      </c>
      <c r="D4" s="25" t="s">
        <v>24</v>
      </c>
      <c r="E4" s="25" t="s">
        <v>26</v>
      </c>
      <c r="G4" s="16" t="s">
        <v>14</v>
      </c>
      <c r="H4" s="16" t="s">
        <v>15</v>
      </c>
      <c r="J4" s="54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7" t="s">
        <v>9</v>
      </c>
      <c r="E6" s="27" t="s">
        <v>27</v>
      </c>
      <c r="G6" t="s">
        <v>17</v>
      </c>
      <c r="H6" s="12">
        <v>1</v>
      </c>
    </row>
    <row r="7" spans="1:16" x14ac:dyDescent="0.25">
      <c r="A7" s="32">
        <v>49</v>
      </c>
      <c r="B7" s="27" t="s">
        <v>46</v>
      </c>
      <c r="D7" s="33" t="s">
        <v>4</v>
      </c>
      <c r="E7" s="33" t="s">
        <v>28</v>
      </c>
      <c r="G7" t="s">
        <v>18</v>
      </c>
      <c r="H7" s="12">
        <v>4</v>
      </c>
    </row>
    <row r="8" spans="1:16" x14ac:dyDescent="0.25">
      <c r="A8" s="32">
        <v>41</v>
      </c>
      <c r="B8" t="s">
        <v>36</v>
      </c>
      <c r="D8" s="33" t="s">
        <v>37</v>
      </c>
      <c r="E8" s="33" t="s">
        <v>38</v>
      </c>
      <c r="G8" t="s">
        <v>19</v>
      </c>
      <c r="H8" s="12">
        <v>6</v>
      </c>
    </row>
    <row r="9" spans="1:16" ht="15.75" thickBot="1" x14ac:dyDescent="0.3">
      <c r="A9" s="32">
        <v>43</v>
      </c>
      <c r="B9" t="s">
        <v>39</v>
      </c>
      <c r="D9" s="28" t="s">
        <v>40</v>
      </c>
      <c r="E9" s="28" t="s">
        <v>41</v>
      </c>
      <c r="G9" s="13" t="s">
        <v>20</v>
      </c>
      <c r="H9" s="14">
        <v>7</v>
      </c>
    </row>
    <row r="10" spans="1:16" x14ac:dyDescent="0.25">
      <c r="A10" s="32">
        <v>45</v>
      </c>
      <c r="B10" t="s">
        <v>42</v>
      </c>
    </row>
    <row r="11" spans="1:16" x14ac:dyDescent="0.25">
      <c r="A11" s="32">
        <v>46</v>
      </c>
      <c r="B11" t="s">
        <v>43</v>
      </c>
    </row>
    <row r="12" spans="1:16" x14ac:dyDescent="0.25">
      <c r="A12" s="32">
        <v>47</v>
      </c>
      <c r="B12" t="s">
        <v>44</v>
      </c>
    </row>
    <row r="13" spans="1:16" ht="15.75" thickBot="1" x14ac:dyDescent="0.3">
      <c r="A13" s="15">
        <v>48</v>
      </c>
      <c r="B13" s="13" t="s">
        <v>45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19330101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50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19330102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19330103</v>
      </c>
      <c r="C4" s="12">
        <v>1</v>
      </c>
      <c r="D4" s="17">
        <f t="shared" ca="1" si="0"/>
        <v>30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19330104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19330105</v>
      </c>
      <c r="C6" s="12">
        <v>1</v>
      </c>
      <c r="D6" s="17">
        <f t="shared" ca="1" si="0"/>
        <v>0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19330106</v>
      </c>
      <c r="C7" s="12">
        <v>1</v>
      </c>
      <c r="D7" s="17">
        <f t="shared" ca="1" si="0"/>
        <v>40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19330107</v>
      </c>
      <c r="C8" s="12">
        <v>1</v>
      </c>
      <c r="D8" s="17">
        <f t="shared" ca="1" si="0"/>
        <v>110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19330108</v>
      </c>
      <c r="C9" s="12">
        <v>1</v>
      </c>
      <c r="D9" s="17">
        <f t="shared" ca="1" si="0"/>
        <v>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19330109</v>
      </c>
      <c r="C10" s="12">
        <v>1</v>
      </c>
      <c r="D10" s="17">
        <f t="shared" ca="1" si="0"/>
        <v>0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19330110</v>
      </c>
      <c r="C11" s="12">
        <v>1</v>
      </c>
      <c r="D11" s="17">
        <f t="shared" ca="1" si="0"/>
        <v>41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19330111</v>
      </c>
      <c r="C12" s="12">
        <v>1</v>
      </c>
      <c r="D12" s="17">
        <f t="shared" ca="1" si="0"/>
        <v>40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19330112</v>
      </c>
      <c r="C13" s="12">
        <v>1</v>
      </c>
      <c r="D13" s="17">
        <f t="shared" ca="1" si="0"/>
        <v>70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19330113</v>
      </c>
      <c r="C14" s="12">
        <v>1</v>
      </c>
      <c r="D14" s="17">
        <f t="shared" ca="1" si="0"/>
        <v>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19330114</v>
      </c>
      <c r="C15" s="12">
        <v>1</v>
      </c>
      <c r="D15" s="17">
        <f t="shared" ca="1" si="0"/>
        <v>220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19330115</v>
      </c>
      <c r="C16" s="12">
        <v>1</v>
      </c>
      <c r="D16" s="17">
        <f t="shared" ca="1" si="0"/>
        <v>80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19330116</v>
      </c>
      <c r="C17" s="12">
        <v>1</v>
      </c>
      <c r="D17" s="17">
        <f t="shared" ca="1" si="0"/>
        <v>40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19330117</v>
      </c>
      <c r="C18" s="12">
        <v>1</v>
      </c>
      <c r="D18" s="17">
        <f t="shared" ca="1" si="0"/>
        <v>0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19330118</v>
      </c>
      <c r="C19" s="12">
        <v>1</v>
      </c>
      <c r="D19" s="17">
        <f t="shared" ca="1" si="0"/>
        <v>145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19330119</v>
      </c>
      <c r="C20" s="12">
        <v>1</v>
      </c>
      <c r="D20" s="17">
        <f t="shared" ca="1" si="0"/>
        <v>0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19330120</v>
      </c>
      <c r="C21" s="12">
        <v>1</v>
      </c>
      <c r="D21" s="17">
        <f t="shared" ca="1" si="0"/>
        <v>0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19330121</v>
      </c>
      <c r="C22" s="12">
        <v>1</v>
      </c>
      <c r="D22" s="17">
        <f t="shared" ca="1" si="0"/>
        <v>22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19330122</v>
      </c>
      <c r="C23" s="12">
        <v>1</v>
      </c>
      <c r="D23" s="17">
        <f t="shared" ca="1" si="0"/>
        <v>0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19330123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19330124</v>
      </c>
      <c r="C25" s="12">
        <v>1</v>
      </c>
      <c r="D25" s="17">
        <f t="shared" ca="1" si="0"/>
        <v>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19330125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19330126</v>
      </c>
      <c r="C27" s="12">
        <v>1</v>
      </c>
      <c r="D27" s="17">
        <f t="shared" ca="1" si="0"/>
        <v>0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19330127</v>
      </c>
      <c r="C28" s="12">
        <v>1</v>
      </c>
      <c r="D28" s="17">
        <f t="shared" ca="1" si="0"/>
        <v>11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19330128</v>
      </c>
      <c r="C29" s="12">
        <v>1</v>
      </c>
      <c r="D29" s="17">
        <f t="shared" ca="1" si="0"/>
        <v>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19330129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19330130</v>
      </c>
      <c r="C31" s="12">
        <v>1</v>
      </c>
      <c r="D31" s="17">
        <f t="shared" ca="1" si="0"/>
        <v>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19330131</v>
      </c>
      <c r="C32" s="12">
        <v>1</v>
      </c>
      <c r="D32" s="17">
        <f t="shared" ca="1" si="0"/>
        <v>11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19330201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19330202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19330203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19330204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19330205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19330206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19330207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19330208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19330209</v>
      </c>
      <c r="C41" s="12">
        <v>1</v>
      </c>
      <c r="D41" s="17">
        <f t="shared" ca="1" si="0"/>
        <v>96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19330210</v>
      </c>
      <c r="C42" s="12">
        <v>1</v>
      </c>
      <c r="D42" s="17">
        <f t="shared" ca="1" si="0"/>
        <v>53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19330211</v>
      </c>
      <c r="C43" s="12">
        <v>1</v>
      </c>
      <c r="D43" s="17">
        <f t="shared" ca="1" si="0"/>
        <v>88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19330212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19330213</v>
      </c>
      <c r="C45" s="12">
        <v>1</v>
      </c>
      <c r="D45" s="17">
        <f t="shared" ca="1" si="0"/>
        <v>60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19330214</v>
      </c>
      <c r="C46" s="12">
        <v>1</v>
      </c>
      <c r="D46" s="17">
        <f t="shared" ca="1" si="0"/>
        <v>14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19330215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19330216</v>
      </c>
      <c r="C48" s="12">
        <v>1</v>
      </c>
      <c r="D48" s="17">
        <f t="shared" ca="1" si="0"/>
        <v>47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19330217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19330218</v>
      </c>
      <c r="C50" s="12">
        <v>1</v>
      </c>
      <c r="D50" s="17">
        <f t="shared" ca="1" si="0"/>
        <v>20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19330219</v>
      </c>
      <c r="C51" s="12">
        <v>1</v>
      </c>
      <c r="D51" s="17">
        <f t="shared" ca="1" si="0"/>
        <v>60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19330220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19330221</v>
      </c>
      <c r="C53" s="12">
        <v>1</v>
      </c>
      <c r="D53" s="17">
        <f t="shared" ca="1" si="0"/>
        <v>15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19330222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19330223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19330224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19330225</v>
      </c>
      <c r="C57" s="12">
        <v>1</v>
      </c>
      <c r="D57" s="17">
        <f t="shared" ca="1" si="0"/>
        <v>20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19330226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19330227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19330228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19330301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19330302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19330303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19330304</v>
      </c>
      <c r="C64" s="12">
        <v>1</v>
      </c>
      <c r="D64" s="17">
        <f t="shared" ca="1" si="0"/>
        <v>30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19330305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19330306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19330307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19330308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19330309</v>
      </c>
      <c r="C69" s="12">
        <v>1</v>
      </c>
      <c r="D69" s="17">
        <f t="shared" ca="1" si="2"/>
        <v>0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19330310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19330311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19330312</v>
      </c>
      <c r="C72" s="12">
        <v>1</v>
      </c>
      <c r="D72" s="17">
        <f t="shared" ca="1" si="2"/>
        <v>10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19330313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19330314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19330315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19330316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19330317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19330318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19330319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19330320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19330321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19330322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19330323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19330324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19330325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19330326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19330327</v>
      </c>
      <c r="C87" s="12">
        <v>1</v>
      </c>
      <c r="D87" s="17">
        <f t="shared" ca="1" si="2"/>
        <v>20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19330328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19330329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19330330</v>
      </c>
      <c r="C90" s="12">
        <v>1</v>
      </c>
      <c r="D90" s="17">
        <f t="shared" ca="1" si="2"/>
        <v>60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19330331</v>
      </c>
      <c r="C91" s="12">
        <v>1</v>
      </c>
      <c r="D91" s="17">
        <f t="shared" ca="1" si="2"/>
        <v>10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19330401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19330402</v>
      </c>
      <c r="C93" s="12">
        <v>1</v>
      </c>
      <c r="D93" s="17">
        <f t="shared" ca="1" si="2"/>
        <v>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19330403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19330404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19330405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19330406</v>
      </c>
      <c r="C97" s="12">
        <v>1</v>
      </c>
      <c r="D97" s="17">
        <f t="shared" ca="1" si="2"/>
        <v>51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19330407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19330408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19330409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19330410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19330411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19330412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19330413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19330414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19330415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19330416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19330417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19330418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19330419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19330420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19330421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19330422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19330423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19330424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19330425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19330426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19330427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19330428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19330429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19330430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19330501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19330502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19330503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19330504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19330505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19330506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19330507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19330508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19330509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19330510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19330511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19330512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19330513</v>
      </c>
      <c r="C134" s="12">
        <v>1</v>
      </c>
      <c r="D134" s="17">
        <f t="shared" ca="1" si="4"/>
        <v>21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19330514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19330515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19330516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19330517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19330518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19330519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19330520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19330521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19330522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19330523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19330524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19330525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19330526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19330527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19330528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19330529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19330530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19330531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19330601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19330602</v>
      </c>
      <c r="C154" s="12">
        <v>1</v>
      </c>
      <c r="D154" s="17">
        <f t="shared" ca="1" si="4"/>
        <v>3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19330603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19330604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19330605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19330606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19330607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19330608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19330609</v>
      </c>
      <c r="C161" s="12">
        <v>1</v>
      </c>
      <c r="D161" s="17">
        <f t="shared" ca="1" si="4"/>
        <v>58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19330610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19330611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19330612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19330613</v>
      </c>
      <c r="C165" s="12">
        <v>1</v>
      </c>
      <c r="D165" s="17">
        <f t="shared" ca="1" si="4"/>
        <v>23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19330614</v>
      </c>
      <c r="C166" s="12">
        <v>1</v>
      </c>
      <c r="D166" s="17">
        <f t="shared" ca="1" si="4"/>
        <v>23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19330615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19330616</v>
      </c>
      <c r="C168" s="12">
        <v>1</v>
      </c>
      <c r="D168" s="17">
        <f t="shared" ca="1" si="4"/>
        <v>17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19330617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19330618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19330619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19330620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19330621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19330622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19330623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19330624</v>
      </c>
      <c r="C176" s="12">
        <v>1</v>
      </c>
      <c r="D176" s="17">
        <f t="shared" ca="1" si="4"/>
        <v>0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19330625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19330626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19330627</v>
      </c>
      <c r="C179" s="12">
        <v>1</v>
      </c>
      <c r="D179" s="17">
        <f t="shared" ca="1" si="4"/>
        <v>23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19330628</v>
      </c>
      <c r="C180" s="12">
        <v>1</v>
      </c>
      <c r="D180" s="17">
        <f t="shared" ca="1" si="4"/>
        <v>42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19330629</v>
      </c>
      <c r="C181" s="12">
        <v>1</v>
      </c>
      <c r="D181" s="17">
        <f t="shared" ca="1" si="4"/>
        <v>352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19330630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19330701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19330702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19330703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19330704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19330705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19330706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19330707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19330708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19330709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19330710</v>
      </c>
      <c r="C192" s="12">
        <v>1</v>
      </c>
      <c r="D192" s="17">
        <f t="shared" ca="1" si="4"/>
        <v>18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19330711</v>
      </c>
      <c r="C193" s="12">
        <v>1</v>
      </c>
      <c r="D193" s="17">
        <f t="shared" ca="1" si="4"/>
        <v>10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19330712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11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19330713</v>
      </c>
      <c r="C195" s="12">
        <v>1</v>
      </c>
      <c r="D195" s="17">
        <f t="shared" ca="1" si="6"/>
        <v>8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19330714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19330715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19330716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19330717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19330718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19330719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19330720</v>
      </c>
      <c r="C202" s="12">
        <v>1</v>
      </c>
      <c r="D202" s="17">
        <f t="shared" ca="1" si="6"/>
        <v>12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19330721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19330722</v>
      </c>
      <c r="C204" s="12">
        <v>1</v>
      </c>
      <c r="D204" s="17">
        <f t="shared" ca="1" si="6"/>
        <v>29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19330723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19330724</v>
      </c>
      <c r="C206" s="12">
        <v>1</v>
      </c>
      <c r="D206" s="17">
        <f t="shared" ca="1" si="6"/>
        <v>145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19330725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19330726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19330727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19330728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19330729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19330730</v>
      </c>
      <c r="C212" s="12">
        <v>1</v>
      </c>
      <c r="D212" s="17">
        <f t="shared" ca="1" si="6"/>
        <v>40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19330731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19330801</v>
      </c>
      <c r="C214" s="12">
        <v>1</v>
      </c>
      <c r="D214" s="17">
        <f t="shared" ca="1" si="6"/>
        <v>13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19330802</v>
      </c>
      <c r="C215" s="12">
        <v>1</v>
      </c>
      <c r="D215" s="17">
        <f t="shared" ca="1" si="6"/>
        <v>63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19330803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19330804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19330805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19330806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19330807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19330808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19330809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19330810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19330811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19330812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19330813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19330814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19330815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19330816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19330817</v>
      </c>
      <c r="C230" s="12">
        <v>1</v>
      </c>
      <c r="D230" s="17">
        <f t="shared" ca="1" si="6"/>
        <v>105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19330818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19330819</v>
      </c>
      <c r="C232" s="12">
        <v>1</v>
      </c>
      <c r="D232" s="17">
        <f t="shared" ca="1" si="6"/>
        <v>0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19330820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19330821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19330822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19330823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19330824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19330825</v>
      </c>
      <c r="C238" s="12">
        <v>1</v>
      </c>
      <c r="D238" s="17">
        <f t="shared" ca="1" si="6"/>
        <v>61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19330826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19330827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19330828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19330829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19330830</v>
      </c>
      <c r="C243" s="12">
        <v>1</v>
      </c>
      <c r="D243" s="17">
        <f t="shared" ca="1" si="6"/>
        <v>40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19330831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19330901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19330902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19330903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19330904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19330905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19330906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19330907</v>
      </c>
      <c r="C251" s="12">
        <v>1</v>
      </c>
      <c r="D251" s="17">
        <f t="shared" ca="1" si="6"/>
        <v>107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19330908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19330909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19330910</v>
      </c>
      <c r="C254" s="12">
        <v>1</v>
      </c>
      <c r="D254" s="17">
        <f t="shared" ca="1" si="6"/>
        <v>134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19330911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19330912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19330913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19330914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19330915</v>
      </c>
      <c r="C259" s="12">
        <v>1</v>
      </c>
      <c r="D259" s="17">
        <f t="shared" ca="1" si="8"/>
        <v>45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19330916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19330917</v>
      </c>
      <c r="C261" s="12">
        <v>1</v>
      </c>
      <c r="D261" s="17">
        <f t="shared" ca="1" si="8"/>
        <v>17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19330918</v>
      </c>
      <c r="C262" s="12">
        <v>1</v>
      </c>
      <c r="D262" s="17">
        <f t="shared" ca="1" si="8"/>
        <v>966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19330919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19330920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19330921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19330922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19330923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19330924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19330925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19330926</v>
      </c>
      <c r="C270" s="12">
        <v>1</v>
      </c>
      <c r="D270" s="17">
        <f t="shared" ca="1" si="8"/>
        <v>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19330927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19330928</v>
      </c>
      <c r="C272" s="12">
        <v>1</v>
      </c>
      <c r="D272" s="17">
        <f t="shared" ca="1" si="8"/>
        <v>38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19330929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19330930</v>
      </c>
      <c r="C274" s="12">
        <v>1</v>
      </c>
      <c r="D274" s="17">
        <f t="shared" ca="1" si="8"/>
        <v>440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19331001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19331002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19331003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19331004</v>
      </c>
      <c r="C278" s="12">
        <v>1</v>
      </c>
      <c r="D278" s="17">
        <f t="shared" ca="1" si="8"/>
        <v>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19331005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19331006</v>
      </c>
      <c r="C280" s="12">
        <v>1</v>
      </c>
      <c r="D280" s="17">
        <f t="shared" ca="1" si="8"/>
        <v>46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19331007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19331008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19331009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19331010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19331011</v>
      </c>
      <c r="C285" s="12">
        <v>1</v>
      </c>
      <c r="D285" s="17">
        <f t="shared" ca="1" si="8"/>
        <v>64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19331012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19331013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19331014</v>
      </c>
      <c r="C288" s="12">
        <v>1</v>
      </c>
      <c r="D288" s="17">
        <f t="shared" ca="1" si="8"/>
        <v>200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19331015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19331016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19331017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19331018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19331019</v>
      </c>
      <c r="C293" s="12">
        <v>1</v>
      </c>
      <c r="D293" s="17">
        <f t="shared" ca="1" si="8"/>
        <v>215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19331020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19331021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19331022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19331023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19331024</v>
      </c>
      <c r="C298" s="12">
        <v>1</v>
      </c>
      <c r="D298" s="17">
        <f t="shared" ca="1" si="8"/>
        <v>103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19331025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19331026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19331027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19331028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19331029</v>
      </c>
      <c r="C303" s="12">
        <v>1</v>
      </c>
      <c r="D303" s="17">
        <f t="shared" ca="1" si="8"/>
        <v>161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19331030</v>
      </c>
      <c r="C304" s="12">
        <v>1</v>
      </c>
      <c r="D304" s="17">
        <f t="shared" ca="1" si="8"/>
        <v>38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19331031</v>
      </c>
      <c r="C305" s="12">
        <v>1</v>
      </c>
      <c r="D305" s="17">
        <f t="shared" ca="1" si="8"/>
        <v>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19331101</v>
      </c>
      <c r="C306" s="12">
        <v>1</v>
      </c>
      <c r="D306" s="17">
        <f t="shared" ca="1" si="8"/>
        <v>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19331102</v>
      </c>
      <c r="C307" s="12">
        <v>1</v>
      </c>
      <c r="D307" s="17">
        <f t="shared" ca="1" si="8"/>
        <v>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19331103</v>
      </c>
      <c r="C308" s="12">
        <v>1</v>
      </c>
      <c r="D308" s="17">
        <f t="shared" ca="1" si="8"/>
        <v>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19331104</v>
      </c>
      <c r="C309" s="12">
        <v>1</v>
      </c>
      <c r="D309" s="17">
        <f t="shared" ca="1" si="8"/>
        <v>0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19331105</v>
      </c>
      <c r="C310" s="12">
        <v>1</v>
      </c>
      <c r="D310" s="17">
        <f t="shared" ca="1" si="8"/>
        <v>64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19331106</v>
      </c>
      <c r="C311" s="12">
        <v>1</v>
      </c>
      <c r="D311" s="17">
        <f t="shared" ca="1" si="8"/>
        <v>43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19331107</v>
      </c>
      <c r="C312" s="12">
        <v>1</v>
      </c>
      <c r="D312" s="17">
        <f t="shared" ca="1" si="8"/>
        <v>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19331108</v>
      </c>
      <c r="C313" s="12">
        <v>1</v>
      </c>
      <c r="D313" s="17">
        <f t="shared" ca="1" si="8"/>
        <v>57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19331109</v>
      </c>
      <c r="C314" s="12">
        <v>1</v>
      </c>
      <c r="D314" s="17">
        <f t="shared" ca="1" si="8"/>
        <v>53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19331110</v>
      </c>
      <c r="C315" s="12">
        <v>1</v>
      </c>
      <c r="D315" s="17">
        <f t="shared" ca="1" si="8"/>
        <v>220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19331111</v>
      </c>
      <c r="C316" s="12">
        <v>1</v>
      </c>
      <c r="D316" s="17">
        <f t="shared" ca="1" si="8"/>
        <v>450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19331112</v>
      </c>
      <c r="C317" s="12">
        <v>1</v>
      </c>
      <c r="D317" s="17">
        <f t="shared" ca="1" si="8"/>
        <v>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19331113</v>
      </c>
      <c r="C318" s="12">
        <v>1</v>
      </c>
      <c r="D318" s="17">
        <f t="shared" ca="1" si="8"/>
        <v>54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19331114</v>
      </c>
      <c r="C319" s="12">
        <v>1</v>
      </c>
      <c r="D319" s="17">
        <f t="shared" ca="1" si="8"/>
        <v>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19331115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19331116</v>
      </c>
      <c r="C321" s="12">
        <v>1</v>
      </c>
      <c r="D321" s="17">
        <f t="shared" ca="1" si="8"/>
        <v>52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19331117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19331118</v>
      </c>
      <c r="C323" s="12">
        <v>1</v>
      </c>
      <c r="D323" s="17">
        <f t="shared" ca="1" si="10"/>
        <v>102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19331119</v>
      </c>
      <c r="C324" s="12">
        <v>1</v>
      </c>
      <c r="D324" s="17">
        <f t="shared" ca="1" si="10"/>
        <v>0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19331120</v>
      </c>
      <c r="C325" s="12">
        <v>1</v>
      </c>
      <c r="D325" s="17">
        <f t="shared" ca="1" si="10"/>
        <v>0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19331121</v>
      </c>
      <c r="C326" s="12">
        <v>1</v>
      </c>
      <c r="D326" s="17">
        <f t="shared" ca="1" si="10"/>
        <v>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19331122</v>
      </c>
      <c r="C327" s="12">
        <v>1</v>
      </c>
      <c r="D327" s="17">
        <f t="shared" ca="1" si="10"/>
        <v>0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19331123</v>
      </c>
      <c r="C328" s="12">
        <v>1</v>
      </c>
      <c r="D328" s="17">
        <f t="shared" ca="1" si="10"/>
        <v>100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19331124</v>
      </c>
      <c r="C329" s="12">
        <v>1</v>
      </c>
      <c r="D329" s="17">
        <f t="shared" ca="1" si="10"/>
        <v>110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19331125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19331126</v>
      </c>
      <c r="C331" s="12">
        <v>1</v>
      </c>
      <c r="D331" s="17">
        <f t="shared" ca="1" si="10"/>
        <v>95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19331127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19331128</v>
      </c>
      <c r="C333" s="12">
        <v>1</v>
      </c>
      <c r="D333" s="17">
        <f t="shared" ca="1" si="10"/>
        <v>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19331129</v>
      </c>
      <c r="C334" s="12">
        <v>1</v>
      </c>
      <c r="D334" s="17">
        <f t="shared" ca="1" si="10"/>
        <v>70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19331130</v>
      </c>
      <c r="C335" s="12">
        <v>1</v>
      </c>
      <c r="D335" s="17" t="str">
        <f t="shared" ca="1" si="10"/>
        <v>—</v>
      </c>
      <c r="E335" s="18">
        <f t="shared" ca="1" si="11"/>
        <v>7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19331201</v>
      </c>
      <c r="C336" s="12">
        <v>1</v>
      </c>
      <c r="D336" s="17">
        <f t="shared" ca="1" si="10"/>
        <v>0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19331202</v>
      </c>
      <c r="C337" s="12">
        <v>1</v>
      </c>
      <c r="D337" s="17">
        <f t="shared" ca="1" si="10"/>
        <v>131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19331203</v>
      </c>
      <c r="C338" s="12">
        <v>1</v>
      </c>
      <c r="D338" s="17">
        <f t="shared" ca="1" si="10"/>
        <v>95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19331204</v>
      </c>
      <c r="C339" s="12">
        <v>1</v>
      </c>
      <c r="D339" s="17">
        <f t="shared" ca="1" si="10"/>
        <v>90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19331205</v>
      </c>
      <c r="C340" s="12">
        <v>1</v>
      </c>
      <c r="D340" s="17">
        <f t="shared" ca="1" si="10"/>
        <v>0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19331206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19331207</v>
      </c>
      <c r="C342" s="12">
        <v>1</v>
      </c>
      <c r="D342" s="17">
        <f t="shared" ca="1" si="10"/>
        <v>0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19331208</v>
      </c>
      <c r="C343" s="12">
        <v>1</v>
      </c>
      <c r="D343" s="17">
        <f t="shared" ca="1" si="10"/>
        <v>60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19331209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19331210</v>
      </c>
      <c r="C345" s="12">
        <v>1</v>
      </c>
      <c r="D345" s="17">
        <f t="shared" ca="1" si="10"/>
        <v>0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19331211</v>
      </c>
      <c r="C346" s="12">
        <v>1</v>
      </c>
      <c r="D346" s="17">
        <f t="shared" ca="1" si="10"/>
        <v>60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19331212</v>
      </c>
      <c r="C347" s="12">
        <v>1</v>
      </c>
      <c r="D347" s="17">
        <f t="shared" ca="1" si="10"/>
        <v>47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19331213</v>
      </c>
      <c r="C348" s="12">
        <v>1</v>
      </c>
      <c r="D348" s="17">
        <f t="shared" ca="1" si="10"/>
        <v>115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19331214</v>
      </c>
      <c r="C349" s="12">
        <v>1</v>
      </c>
      <c r="D349" s="17">
        <f t="shared" ca="1" si="10"/>
        <v>77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19331215</v>
      </c>
      <c r="C350" s="12">
        <v>1</v>
      </c>
      <c r="D350" s="17">
        <f t="shared" ca="1" si="10"/>
        <v>46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19331216</v>
      </c>
      <c r="C351" s="12">
        <v>1</v>
      </c>
      <c r="D351" s="17">
        <f t="shared" ca="1" si="10"/>
        <v>80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19331217</v>
      </c>
      <c r="C352" s="12">
        <v>1</v>
      </c>
      <c r="D352" s="17">
        <f t="shared" ca="1" si="10"/>
        <v>75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19331218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19331219</v>
      </c>
      <c r="C354" s="12">
        <v>1</v>
      </c>
      <c r="D354" s="17">
        <f t="shared" ca="1" si="10"/>
        <v>60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19331220</v>
      </c>
      <c r="C355" s="12">
        <v>1</v>
      </c>
      <c r="D355" s="17">
        <f t="shared" ca="1" si="10"/>
        <v>60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19331221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19331222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19331223</v>
      </c>
      <c r="C358" s="12">
        <v>1</v>
      </c>
      <c r="D358" s="17">
        <f t="shared" ca="1" si="10"/>
        <v>60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19331224</v>
      </c>
      <c r="C359" s="12">
        <v>1</v>
      </c>
      <c r="D359" s="17">
        <f t="shared" ca="1" si="10"/>
        <v>130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19331225</v>
      </c>
      <c r="C360" s="12">
        <v>1</v>
      </c>
      <c r="D360" s="17">
        <f t="shared" ca="1" si="10"/>
        <v>25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19331226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19331227</v>
      </c>
      <c r="C362" s="12">
        <v>1</v>
      </c>
      <c r="D362" s="17">
        <f t="shared" ca="1" si="10"/>
        <v>90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19331228</v>
      </c>
      <c r="C363" s="12">
        <v>1</v>
      </c>
      <c r="D363" s="17">
        <f t="shared" ca="1" si="10"/>
        <v>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19331229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19331230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19331231</v>
      </c>
      <c r="C366" s="12">
        <v>1</v>
      </c>
      <c r="D366" s="17">
        <f t="shared" ca="1" si="10"/>
        <v>187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19330101</v>
      </c>
      <c r="C367" s="12">
        <v>1</v>
      </c>
      <c r="D367" s="17">
        <f t="shared" ca="1" si="10"/>
        <v>170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19330102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19330103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19330104</v>
      </c>
      <c r="C370" s="12">
        <v>1</v>
      </c>
      <c r="D370" s="17">
        <f t="shared" ca="1" si="10"/>
        <v>0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19330105</v>
      </c>
      <c r="C371" s="12">
        <v>1</v>
      </c>
      <c r="D371" s="17">
        <f t="shared" ca="1" si="10"/>
        <v>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19330106</v>
      </c>
      <c r="C372" s="12">
        <v>1</v>
      </c>
      <c r="D372" s="17">
        <f t="shared" ca="1" si="10"/>
        <v>40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19330107</v>
      </c>
      <c r="C373" s="12">
        <v>1</v>
      </c>
      <c r="D373" s="17">
        <f t="shared" ca="1" si="10"/>
        <v>33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19330108</v>
      </c>
      <c r="C374" s="12">
        <v>1</v>
      </c>
      <c r="D374" s="17">
        <f t="shared" ca="1" si="10"/>
        <v>45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19330109</v>
      </c>
      <c r="C375" s="12">
        <v>1</v>
      </c>
      <c r="D375" s="17">
        <f t="shared" ca="1" si="10"/>
        <v>12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19330110</v>
      </c>
      <c r="C376" s="12">
        <v>1</v>
      </c>
      <c r="D376" s="17">
        <f t="shared" ca="1" si="10"/>
        <v>24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19330111</v>
      </c>
      <c r="C377" s="12">
        <v>1</v>
      </c>
      <c r="D377" s="17">
        <f t="shared" ca="1" si="10"/>
        <v>134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19330112</v>
      </c>
      <c r="C378" s="12">
        <v>1</v>
      </c>
      <c r="D378" s="17">
        <f t="shared" ca="1" si="10"/>
        <v>32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19330113</v>
      </c>
      <c r="C379" s="12">
        <v>1</v>
      </c>
      <c r="D379" s="17">
        <f t="shared" ca="1" si="10"/>
        <v>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19330114</v>
      </c>
      <c r="C380" s="12">
        <v>1</v>
      </c>
      <c r="D380" s="17">
        <f t="shared" ca="1" si="10"/>
        <v>208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19330115</v>
      </c>
      <c r="C381" s="12">
        <v>1</v>
      </c>
      <c r="D381" s="17">
        <f t="shared" ca="1" si="10"/>
        <v>54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19330116</v>
      </c>
      <c r="C382" s="12">
        <v>1</v>
      </c>
      <c r="D382" s="17">
        <f t="shared" ca="1" si="10"/>
        <v>445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19330117</v>
      </c>
      <c r="C383" s="12">
        <v>1</v>
      </c>
      <c r="D383" s="17">
        <f t="shared" ca="1" si="10"/>
        <v>174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19330118</v>
      </c>
      <c r="C384" s="12">
        <v>1</v>
      </c>
      <c r="D384" s="17">
        <f t="shared" ca="1" si="10"/>
        <v>62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19330119</v>
      </c>
      <c r="C385" s="12">
        <v>1</v>
      </c>
      <c r="D385" s="17">
        <f t="shared" ca="1" si="10"/>
        <v>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19330120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19330121</v>
      </c>
      <c r="C387" s="12">
        <v>1</v>
      </c>
      <c r="D387" s="17">
        <f t="shared" ca="1" si="12"/>
        <v>0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19330122</v>
      </c>
      <c r="C388" s="12">
        <v>1</v>
      </c>
      <c r="D388" s="17">
        <f t="shared" ca="1" si="12"/>
        <v>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19330123</v>
      </c>
      <c r="C389" s="12">
        <v>1</v>
      </c>
      <c r="D389" s="17">
        <f t="shared" ca="1" si="12"/>
        <v>0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19330124</v>
      </c>
      <c r="C390" s="12">
        <v>1</v>
      </c>
      <c r="D390" s="17">
        <f t="shared" ca="1" si="12"/>
        <v>30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19330125</v>
      </c>
      <c r="C391" s="12">
        <v>1</v>
      </c>
      <c r="D391" s="17">
        <f t="shared" ca="1" si="12"/>
        <v>15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19330126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19330127</v>
      </c>
      <c r="C393" s="12">
        <v>1</v>
      </c>
      <c r="D393" s="17">
        <f t="shared" ca="1" si="12"/>
        <v>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19330128</v>
      </c>
      <c r="C394" s="12">
        <v>1</v>
      </c>
      <c r="D394" s="17">
        <f t="shared" ca="1" si="12"/>
        <v>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19330129</v>
      </c>
      <c r="C395" s="12">
        <v>1</v>
      </c>
      <c r="D395" s="17">
        <f t="shared" ca="1" si="12"/>
        <v>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19330130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19330131</v>
      </c>
      <c r="C397" s="12">
        <v>1</v>
      </c>
      <c r="D397" s="17">
        <f t="shared" ca="1" si="12"/>
        <v>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19330201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19330202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19330203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19330204</v>
      </c>
      <c r="C401" s="12">
        <v>1</v>
      </c>
      <c r="D401" s="17">
        <f t="shared" ca="1" si="12"/>
        <v>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19330205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19330206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19330207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19330208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19330209</v>
      </c>
      <c r="C406" s="12">
        <v>1</v>
      </c>
      <c r="D406" s="17">
        <f t="shared" ca="1" si="12"/>
        <v>51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19330210</v>
      </c>
      <c r="C407" s="12">
        <v>1</v>
      </c>
      <c r="D407" s="17">
        <f t="shared" ca="1" si="12"/>
        <v>95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19330211</v>
      </c>
      <c r="C408" s="12">
        <v>1</v>
      </c>
      <c r="D408" s="17">
        <f t="shared" ca="1" si="12"/>
        <v>133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19330212</v>
      </c>
      <c r="C409" s="12">
        <v>1</v>
      </c>
      <c r="D409" s="17">
        <f t="shared" ca="1" si="12"/>
        <v>0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19330213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19330214</v>
      </c>
      <c r="C411" s="12">
        <v>1</v>
      </c>
      <c r="D411" s="17">
        <f t="shared" ca="1" si="12"/>
        <v>20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19330215</v>
      </c>
      <c r="C412" s="12">
        <v>1</v>
      </c>
      <c r="D412" s="17">
        <f t="shared" ca="1" si="12"/>
        <v>12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19330216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19330217</v>
      </c>
      <c r="C414" s="12">
        <v>1</v>
      </c>
      <c r="D414" s="17">
        <f t="shared" ca="1" si="12"/>
        <v>45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19330218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19330219</v>
      </c>
      <c r="C416" s="12">
        <v>1</v>
      </c>
      <c r="D416" s="17">
        <f t="shared" ca="1" si="12"/>
        <v>32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19330220</v>
      </c>
      <c r="C417" s="12">
        <v>1</v>
      </c>
      <c r="D417" s="17">
        <f t="shared" ca="1" si="12"/>
        <v>13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19330221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19330222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19330223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19330224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19330225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19330226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19330227</v>
      </c>
      <c r="C424" s="12">
        <v>1</v>
      </c>
      <c r="D424" s="17">
        <f t="shared" ca="1" si="12"/>
        <v>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19330228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19330301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19330302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19330303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19330304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19330305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19330306</v>
      </c>
      <c r="C431" s="12">
        <v>1</v>
      </c>
      <c r="D431" s="17">
        <f t="shared" ca="1" si="12"/>
        <v>23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19330307</v>
      </c>
      <c r="C432" s="12">
        <v>1</v>
      </c>
      <c r="D432" s="17">
        <f t="shared" ca="1" si="12"/>
        <v>45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19330308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19330309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19330310</v>
      </c>
      <c r="C435" s="12">
        <v>1</v>
      </c>
      <c r="D435" s="17">
        <f t="shared" ca="1" si="12"/>
        <v>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19330311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19330312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19330313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19330314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19330315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19330316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19330317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19330318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19330319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19330320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19330321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19330322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19330323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19330324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19330325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19330326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19330327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19330328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19330329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19330330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19330331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19330401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19330402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19330403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19330404</v>
      </c>
      <c r="C460" s="12">
        <v>1</v>
      </c>
      <c r="D460" s="17">
        <f t="shared" ca="1" si="14"/>
        <v>27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19330405</v>
      </c>
      <c r="C461" s="12">
        <v>1</v>
      </c>
      <c r="D461" s="17">
        <f t="shared" ca="1" si="14"/>
        <v>20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19330406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19330407</v>
      </c>
      <c r="C463" s="12">
        <v>1</v>
      </c>
      <c r="D463" s="17">
        <f t="shared" ca="1" si="14"/>
        <v>23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19330408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19330409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19330410</v>
      </c>
      <c r="C466" s="12">
        <v>1</v>
      </c>
      <c r="D466" s="17">
        <f t="shared" ca="1" si="14"/>
        <v>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19330411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19330412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19330413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19330414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19330415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19330416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19330417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19330418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19330419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19330420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19330421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19330422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19330423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19330424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19330425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19330426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19330427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19330428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19330429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19330430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19330501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19330502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19330503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19330504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19330505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19330506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19330507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19330508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19330509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19330510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19330511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19330512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19330513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19330514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19330515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19330516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19330517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19330518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19330519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19330520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19330521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19330522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19330523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19330524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19330525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19330526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19330527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19330528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19330529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19330530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19330531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19330601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19330602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19330603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19330604</v>
      </c>
      <c r="C521" s="12">
        <v>1</v>
      </c>
      <c r="D521" s="17">
        <f t="shared" ca="1" si="16"/>
        <v>10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19330605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19330606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19330607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19330608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19330609</v>
      </c>
      <c r="C526" s="12">
        <v>1</v>
      </c>
      <c r="D526" s="17">
        <f t="shared" ca="1" si="16"/>
        <v>131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19330610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19330611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19330612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19330613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19330614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19330615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19330616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19330617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19330618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19330619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19330620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19330621</v>
      </c>
      <c r="C538" s="12">
        <v>1</v>
      </c>
      <c r="D538" s="17">
        <f t="shared" ca="1" si="16"/>
        <v>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19330622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19330623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19330624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19330625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19330626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19330627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19330628</v>
      </c>
      <c r="C545" s="12">
        <v>1</v>
      </c>
      <c r="D545" s="17">
        <f t="shared" ca="1" si="16"/>
        <v>165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19330629</v>
      </c>
      <c r="C546" s="12">
        <v>1</v>
      </c>
      <c r="D546" s="17">
        <f t="shared" ca="1" si="16"/>
        <v>220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19330630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19330701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19330702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19330703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19330704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19330705</v>
      </c>
      <c r="C552" s="12">
        <v>1</v>
      </c>
      <c r="D552" s="17">
        <f t="shared" ca="1" si="16"/>
        <v>16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19330706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19330707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19330708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19330709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19330710</v>
      </c>
      <c r="C557" s="12">
        <v>1</v>
      </c>
      <c r="D557" s="17">
        <f t="shared" ca="1" si="16"/>
        <v>93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19330711</v>
      </c>
      <c r="C558" s="12">
        <v>1</v>
      </c>
      <c r="D558" s="17">
        <f t="shared" ca="1" si="16"/>
        <v>33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19330712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19330713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19330714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19330715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19330716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19330717</v>
      </c>
      <c r="C564" s="12">
        <v>1</v>
      </c>
      <c r="D564" s="17">
        <f t="shared" ca="1" si="16"/>
        <v>28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19330718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19330719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19330720</v>
      </c>
      <c r="C567" s="12">
        <v>1</v>
      </c>
      <c r="D567" s="17">
        <f t="shared" ca="1" si="16"/>
        <v>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19330721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19330722</v>
      </c>
      <c r="C569" s="12">
        <v>1</v>
      </c>
      <c r="D569" s="17">
        <f t="shared" ca="1" si="16"/>
        <v>19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19330723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19330724</v>
      </c>
      <c r="C571" s="12">
        <v>1</v>
      </c>
      <c r="D571" s="17">
        <f t="shared" ca="1" si="16"/>
        <v>122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19330725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19330726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19330727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19330728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19330729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19330730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19330731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19330801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19330802</v>
      </c>
      <c r="C580" s="12">
        <v>1</v>
      </c>
      <c r="D580" s="17">
        <f t="shared" ca="1" si="18"/>
        <v>60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19330803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19330804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19330805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19330806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19330807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19330808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19330809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19330810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19330811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19330812</v>
      </c>
      <c r="C590" s="12">
        <v>1</v>
      </c>
      <c r="D590" s="17">
        <f t="shared" ca="1" si="18"/>
        <v>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19330813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19330814</v>
      </c>
      <c r="C592" s="12">
        <v>1</v>
      </c>
      <c r="D592" s="17">
        <f t="shared" ca="1" si="18"/>
        <v>80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19330815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19330816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19330817</v>
      </c>
      <c r="C595" s="12">
        <v>1</v>
      </c>
      <c r="D595" s="17">
        <f t="shared" ca="1" si="18"/>
        <v>87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19330818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19330819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19330820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19330821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19330822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19330823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19330824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19330825</v>
      </c>
      <c r="C603" s="12">
        <v>1</v>
      </c>
      <c r="D603" s="17">
        <f t="shared" ca="1" si="18"/>
        <v>50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19330826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19330827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19330828</v>
      </c>
      <c r="C606" s="12">
        <v>1</v>
      </c>
      <c r="D606" s="17">
        <f t="shared" ca="1" si="18"/>
        <v>53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19330829</v>
      </c>
      <c r="C607" s="12">
        <v>1</v>
      </c>
      <c r="D607" s="17">
        <f t="shared" ca="1" si="18"/>
        <v>205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19330830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19330831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19330901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19330902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19330903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19330904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19330905</v>
      </c>
      <c r="C614" s="12">
        <v>1</v>
      </c>
      <c r="D614" s="17">
        <f t="shared" ca="1" si="18"/>
        <v>47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19330906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19330907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19330908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19330909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19330910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19330911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19330912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19330913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19330914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19330915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19330916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19330917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19330918</v>
      </c>
      <c r="C627" s="12">
        <v>1</v>
      </c>
      <c r="D627" s="17">
        <f t="shared" ca="1" si="18"/>
        <v>1235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19330919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19330920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19330921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19330922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19330923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19330924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19330925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19330926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19330927</v>
      </c>
      <c r="C636" s="12">
        <v>1</v>
      </c>
      <c r="D636" s="17">
        <f t="shared" ca="1" si="18"/>
        <v>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19330928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19330929</v>
      </c>
      <c r="C638" s="12">
        <v>1</v>
      </c>
      <c r="D638" s="17">
        <f t="shared" ca="1" si="18"/>
        <v>28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19330930</v>
      </c>
      <c r="C639" s="12">
        <v>1</v>
      </c>
      <c r="D639" s="17">
        <f t="shared" ca="1" si="18"/>
        <v>90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19331001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19331002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19331003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19331004</v>
      </c>
      <c r="C643" s="12">
        <v>1</v>
      </c>
      <c r="D643" s="17">
        <f t="shared" ca="1" si="20"/>
        <v>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19331005</v>
      </c>
      <c r="C644" s="12">
        <v>1</v>
      </c>
      <c r="D644" s="17">
        <f t="shared" ca="1" si="20"/>
        <v>40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19331006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19331007</v>
      </c>
      <c r="C646" s="12">
        <v>1</v>
      </c>
      <c r="D646" s="17">
        <f t="shared" ca="1" si="20"/>
        <v>100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19331008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19331009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19331010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19331011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19331012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19331013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19331014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19331015</v>
      </c>
      <c r="C654" s="12">
        <v>1</v>
      </c>
      <c r="D654" s="17">
        <f t="shared" ca="1" si="20"/>
        <v>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19331016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19331017</v>
      </c>
      <c r="C656" s="12">
        <v>1</v>
      </c>
      <c r="D656" s="17">
        <f t="shared" ca="1" si="20"/>
        <v>27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19331018</v>
      </c>
      <c r="C657" s="12">
        <v>1</v>
      </c>
      <c r="D657" s="17">
        <f t="shared" ca="1" si="20"/>
        <v>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19331019</v>
      </c>
      <c r="C658" s="12">
        <v>1</v>
      </c>
      <c r="D658" s="17">
        <f t="shared" ca="1" si="20"/>
        <v>105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19331020</v>
      </c>
      <c r="C659" s="12">
        <v>1</v>
      </c>
      <c r="D659" s="17">
        <f t="shared" ca="1" si="20"/>
        <v>82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19331021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19331022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19331023</v>
      </c>
      <c r="C662" s="12">
        <v>1</v>
      </c>
      <c r="D662" s="17">
        <f t="shared" ca="1" si="20"/>
        <v>159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19331024</v>
      </c>
      <c r="C663" s="12">
        <v>1</v>
      </c>
      <c r="D663" s="17">
        <f t="shared" ca="1" si="20"/>
        <v>192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19331025</v>
      </c>
      <c r="C664" s="12">
        <v>1</v>
      </c>
      <c r="D664" s="17">
        <f t="shared" ca="1" si="20"/>
        <v>35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19331026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19331027</v>
      </c>
      <c r="C666" s="12">
        <v>1</v>
      </c>
      <c r="D666" s="17">
        <f t="shared" ca="1" si="20"/>
        <v>25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19331028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19331029</v>
      </c>
      <c r="C668" s="12">
        <v>1</v>
      </c>
      <c r="D668" s="17">
        <f t="shared" ca="1" si="20"/>
        <v>105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19331030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19331031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19331101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19331102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19331103</v>
      </c>
      <c r="C673" s="12">
        <v>1</v>
      </c>
      <c r="D673" s="17">
        <f t="shared" ca="1" si="20"/>
        <v>0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19331104</v>
      </c>
      <c r="C674" s="12">
        <v>1</v>
      </c>
      <c r="D674" s="17">
        <f t="shared" ca="1" si="20"/>
        <v>180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19331105</v>
      </c>
      <c r="C675" s="12">
        <v>1</v>
      </c>
      <c r="D675" s="17">
        <f t="shared" ca="1" si="20"/>
        <v>60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19331106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19331107</v>
      </c>
      <c r="C677" s="12">
        <v>1</v>
      </c>
      <c r="D677" s="17">
        <f t="shared" ca="1" si="20"/>
        <v>78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19331108</v>
      </c>
      <c r="C678" s="12">
        <v>1</v>
      </c>
      <c r="D678" s="17">
        <f t="shared" ca="1" si="20"/>
        <v>55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19331109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19331110</v>
      </c>
      <c r="C680" s="12">
        <v>1</v>
      </c>
      <c r="D680" s="17">
        <f t="shared" ca="1" si="20"/>
        <v>332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19331111</v>
      </c>
      <c r="C681" s="12">
        <v>1</v>
      </c>
      <c r="D681" s="17">
        <f t="shared" ca="1" si="20"/>
        <v>152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19331112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19331113</v>
      </c>
      <c r="C683" s="12">
        <v>1</v>
      </c>
      <c r="D683" s="17">
        <f t="shared" ca="1" si="20"/>
        <v>67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19331114</v>
      </c>
      <c r="C684" s="12">
        <v>1</v>
      </c>
      <c r="D684" s="17">
        <f t="shared" ca="1" si="20"/>
        <v>0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19331115</v>
      </c>
      <c r="C685" s="12">
        <v>1</v>
      </c>
      <c r="D685" s="17">
        <f t="shared" ca="1" si="20"/>
        <v>102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19331116</v>
      </c>
      <c r="C686" s="12">
        <v>1</v>
      </c>
      <c r="D686" s="17">
        <f t="shared" ca="1" si="20"/>
        <v>72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19331117</v>
      </c>
      <c r="C687" s="12">
        <v>1</v>
      </c>
      <c r="D687" s="17">
        <f t="shared" ca="1" si="20"/>
        <v>34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19331118</v>
      </c>
      <c r="C688" s="12">
        <v>1</v>
      </c>
      <c r="D688" s="17">
        <f t="shared" ca="1" si="20"/>
        <v>23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19331119</v>
      </c>
      <c r="C689" s="12">
        <v>1</v>
      </c>
      <c r="D689" s="17">
        <f t="shared" ca="1" si="20"/>
        <v>127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19331120</v>
      </c>
      <c r="C690" s="12">
        <v>1</v>
      </c>
      <c r="D690" s="17">
        <f t="shared" ca="1" si="20"/>
        <v>0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19331121</v>
      </c>
      <c r="C691" s="12">
        <v>1</v>
      </c>
      <c r="D691" s="17">
        <f t="shared" ca="1" si="20"/>
        <v>0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19331122</v>
      </c>
      <c r="C692" s="12">
        <v>1</v>
      </c>
      <c r="D692" s="17">
        <f t="shared" ca="1" si="20"/>
        <v>93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19331123</v>
      </c>
      <c r="C693" s="12">
        <v>1</v>
      </c>
      <c r="D693" s="17">
        <f t="shared" ca="1" si="20"/>
        <v>0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19331124</v>
      </c>
      <c r="C694" s="12">
        <v>1</v>
      </c>
      <c r="D694" s="17">
        <f t="shared" ca="1" si="20"/>
        <v>34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19331125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19331126</v>
      </c>
      <c r="C696" s="12">
        <v>1</v>
      </c>
      <c r="D696" s="17">
        <f t="shared" ca="1" si="20"/>
        <v>180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19331127</v>
      </c>
      <c r="C697" s="12">
        <v>1</v>
      </c>
      <c r="D697" s="17">
        <f t="shared" ca="1" si="20"/>
        <v>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19331128</v>
      </c>
      <c r="C698" s="12">
        <v>1</v>
      </c>
      <c r="D698" s="17">
        <f t="shared" ca="1" si="20"/>
        <v>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19331129</v>
      </c>
      <c r="C699" s="12">
        <v>1</v>
      </c>
      <c r="D699" s="17">
        <f t="shared" ca="1" si="20"/>
        <v>90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19331130</v>
      </c>
      <c r="C700" s="12">
        <v>1</v>
      </c>
      <c r="D700" s="17">
        <f t="shared" ca="1" si="20"/>
        <v>50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19331201</v>
      </c>
      <c r="C701" s="12">
        <v>1</v>
      </c>
      <c r="D701" s="17">
        <f t="shared" ca="1" si="20"/>
        <v>0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19331202</v>
      </c>
      <c r="C702" s="12">
        <v>1</v>
      </c>
      <c r="D702" s="17">
        <f t="shared" ca="1" si="20"/>
        <v>180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19331203</v>
      </c>
      <c r="C703" s="12">
        <v>1</v>
      </c>
      <c r="D703" s="17">
        <f t="shared" ca="1" si="20"/>
        <v>250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19331204</v>
      </c>
      <c r="C704" s="12">
        <v>1</v>
      </c>
      <c r="D704" s="17">
        <f t="shared" ca="1" si="20"/>
        <v>70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19331205</v>
      </c>
      <c r="C705" s="12">
        <v>1</v>
      </c>
      <c r="D705" s="17">
        <f t="shared" ca="1" si="20"/>
        <v>45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19331206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19331207</v>
      </c>
      <c r="C707" s="12">
        <v>1</v>
      </c>
      <c r="D707" s="17">
        <f t="shared" ca="1" si="22"/>
        <v>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19331208</v>
      </c>
      <c r="C708" s="12">
        <v>1</v>
      </c>
      <c r="D708" s="17">
        <f t="shared" ca="1" si="22"/>
        <v>0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19331209</v>
      </c>
      <c r="C709" s="12">
        <v>1</v>
      </c>
      <c r="D709" s="17">
        <f t="shared" ca="1" si="22"/>
        <v>0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19331210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19331211</v>
      </c>
      <c r="C711" s="12">
        <v>1</v>
      </c>
      <c r="D711" s="17">
        <f t="shared" ca="1" si="22"/>
        <v>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19331212</v>
      </c>
      <c r="C712" s="12">
        <v>1</v>
      </c>
      <c r="D712" s="17">
        <f t="shared" ca="1" si="22"/>
        <v>99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19331213</v>
      </c>
      <c r="C713" s="12">
        <v>1</v>
      </c>
      <c r="D713" s="17">
        <f t="shared" ca="1" si="22"/>
        <v>53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19331214</v>
      </c>
      <c r="C714" s="12">
        <v>1</v>
      </c>
      <c r="D714" s="17">
        <f t="shared" ca="1" si="22"/>
        <v>106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19331215</v>
      </c>
      <c r="C715" s="12">
        <v>1</v>
      </c>
      <c r="D715" s="17">
        <f t="shared" ca="1" si="22"/>
        <v>60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19331216</v>
      </c>
      <c r="C716" s="12">
        <v>1</v>
      </c>
      <c r="D716" s="17">
        <f t="shared" ca="1" si="22"/>
        <v>80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19331217</v>
      </c>
      <c r="C717" s="12">
        <v>1</v>
      </c>
      <c r="D717" s="17">
        <f t="shared" ca="1" si="22"/>
        <v>45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19331218</v>
      </c>
      <c r="C718" s="12">
        <v>1</v>
      </c>
      <c r="D718" s="17">
        <f t="shared" ca="1" si="22"/>
        <v>110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19331219</v>
      </c>
      <c r="C719" s="12">
        <v>1</v>
      </c>
      <c r="D719" s="17">
        <f t="shared" ca="1" si="22"/>
        <v>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19331220</v>
      </c>
      <c r="C720" s="12">
        <v>1</v>
      </c>
      <c r="D720" s="17">
        <f t="shared" ca="1" si="22"/>
        <v>224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19331221</v>
      </c>
      <c r="C721" s="12">
        <v>1</v>
      </c>
      <c r="D721" s="17">
        <f t="shared" ca="1" si="22"/>
        <v>0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19331222</v>
      </c>
      <c r="C722" s="12">
        <v>1</v>
      </c>
      <c r="D722" s="17">
        <f t="shared" ca="1" si="22"/>
        <v>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19331223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19331224</v>
      </c>
      <c r="C724" s="12">
        <v>1</v>
      </c>
      <c r="D724" s="17">
        <f t="shared" ca="1" si="22"/>
        <v>90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19331225</v>
      </c>
      <c r="C725" s="12">
        <v>1</v>
      </c>
      <c r="D725" s="17">
        <f t="shared" ca="1" si="22"/>
        <v>77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19331226</v>
      </c>
      <c r="C726" s="12">
        <v>1</v>
      </c>
      <c r="D726" s="17">
        <f t="shared" ca="1" si="22"/>
        <v>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19331227</v>
      </c>
      <c r="C727" s="12">
        <v>1</v>
      </c>
      <c r="D727" s="17">
        <f t="shared" ca="1" si="22"/>
        <v>134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19331228</v>
      </c>
      <c r="C728" s="12">
        <v>1</v>
      </c>
      <c r="D728" s="17">
        <f t="shared" ca="1" si="22"/>
        <v>85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19331229</v>
      </c>
      <c r="C729" s="12">
        <v>1</v>
      </c>
      <c r="D729" s="17">
        <f t="shared" ca="1" si="22"/>
        <v>21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19331230</v>
      </c>
      <c r="C730" s="12">
        <v>1</v>
      </c>
      <c r="D730" s="17">
        <f t="shared" ca="1" si="22"/>
        <v>54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19331231</v>
      </c>
      <c r="C731" s="12">
        <v>1</v>
      </c>
      <c r="D731" s="17">
        <f t="shared" ca="1" si="22"/>
        <v>0</v>
      </c>
      <c r="E731" s="18">
        <f t="shared" ca="1" si="23"/>
        <v>0</v>
      </c>
    </row>
    <row r="732" spans="1:5" x14ac:dyDescent="0.25">
      <c r="A732" s="11">
        <f ca="1">INDEX(Stations,INT((ROWS(A$2:A732)-1)/(DATE(YEAR(Invoer!$A$5),12,31)-DATE(YEAR(Invoer!$A$5),1,1)+1))+2,1)</f>
        <v>49</v>
      </c>
      <c r="B732" t="str">
        <f ca="1">TEXT(DATE(YEAR(Invoer!$A$5),1,1)+MOD(ROWS(B$2:B732)-1,DATE(YEAR(Invoer!$A$5),12,31)-DATE(YEAR(Invoer!$A$5),1,1)+1),"jjjjmmdd")</f>
        <v>19330101</v>
      </c>
      <c r="C732" s="12">
        <v>2</v>
      </c>
      <c r="D732" s="17" t="str">
        <f t="shared" ref="D732:D739" ca="1" si="24">IF(OR(ISBLANK(VLOOKUP(DATEVALUE(LEFT(B732,4)&amp;"-"&amp;MID(B732,5,2)&amp;"-"&amp;RIGHT(B732,2)),Data,MATCH(VLOOKUP(A732,Stations,2,FALSE()),OFFSET(Data,1,0,1),0),FALSE())),ISTEXT(VLOOKUP(DATEVALUE(LEFT(B732,4)&amp;"-"&amp;MID(B732,5,2)&amp;"-"&amp;RIGHT(B732,2)),Data,MATCH(VLOOKUP(A732,Stations,2,FALSE()),OFFSET(Data,1,0,1),0),FALSE()))),"—",VLOOKUP(DATEVALUE(LEFT(B732,4)&amp;"-"&amp;MID(B732,5,2)&amp;"-"&amp;RIGHT(B732,2)),Data,MATCH(VLOOKUP(A732,Stations,2,FALSE()),OFFSET(Data,1,0,1),0),FALSE()))</f>
        <v>—</v>
      </c>
      <c r="E732" s="18">
        <f t="shared" ref="E732:E739" ca="1" si="25">IF(OR(ISBLANK(VLOOKUP(DATEVALUE(LEFT(B732,4)&amp;"-"&amp;MID(B732,5,2)&amp;"-"&amp;RIGHT(B732,2)),Data,MATCH(VLOOKUP(A732,Stations,2,FALSE()),OFFSET(Data,1,0,1),0),FALSE())),ISTEXT(VLOOKUP(DATEVALUE(LEFT(B732,4)&amp;"-"&amp;MID(B732,5,2)&amp;"-"&amp;RIGHT(B732,2)),Data,MATCH(VLOOKUP(A732,Stations,2,FALSE()),OFFSET(Data,1,0,1),0),FALSE()))),Lacking,IF(ISNA(MATCH(DATEVALUE(LEFT(B732,4)&amp;"-"&amp;MID(B732,5,2)&amp;"-"&amp;RIGHT(B732,2)),OFFSET(Catalogus,0,0,,1),0)),Ok,VLOOKUP(DATEVALUE(LEFT(B732,4)&amp;"-"&amp;MID(B732,5,2)&amp;"-"&amp;RIGHT(B732,2)),Catalogus,MATCH(VLOOKUP(A732,Stations,2,FALSE()),OFFSET(Catalogus,1,0,1),0),FALSE())))</f>
        <v>7</v>
      </c>
    </row>
    <row r="733" spans="1:5" x14ac:dyDescent="0.25">
      <c r="A733" s="11">
        <f ca="1">INDEX(Stations,INT((ROWS(A$2:A733)-1)/(DATE(YEAR(Invoer!$A$5),12,31)-DATE(YEAR(Invoer!$A$5),1,1)+1))+2,1)</f>
        <v>49</v>
      </c>
      <c r="B733" t="str">
        <f ca="1">TEXT(DATE(YEAR(Invoer!$A$5),1,1)+MOD(ROWS(B$2:B733)-1,DATE(YEAR(Invoer!$A$5),12,31)-DATE(YEAR(Invoer!$A$5),1,1)+1),"jjjjmmdd")</f>
        <v>19330102</v>
      </c>
      <c r="C733" s="12">
        <v>3</v>
      </c>
      <c r="D733" s="17" t="str">
        <f t="shared" ca="1" si="24"/>
        <v>—</v>
      </c>
      <c r="E733" s="18">
        <f t="shared" ca="1" si="25"/>
        <v>7</v>
      </c>
    </row>
    <row r="734" spans="1:5" x14ac:dyDescent="0.25">
      <c r="A734" s="11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19330103</v>
      </c>
      <c r="C734" s="12">
        <v>4</v>
      </c>
      <c r="D734" s="17" t="str">
        <f t="shared" ca="1" si="24"/>
        <v>—</v>
      </c>
      <c r="E734" s="18">
        <f t="shared" ca="1" si="25"/>
        <v>7</v>
      </c>
    </row>
    <row r="735" spans="1:5" x14ac:dyDescent="0.25">
      <c r="A735" s="11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19330104</v>
      </c>
      <c r="C735" s="12">
        <v>5</v>
      </c>
      <c r="D735" s="17" t="str">
        <f t="shared" ca="1" si="24"/>
        <v>—</v>
      </c>
      <c r="E735" s="18">
        <f t="shared" ca="1" si="25"/>
        <v>7</v>
      </c>
    </row>
    <row r="736" spans="1:5" x14ac:dyDescent="0.25">
      <c r="A736" s="11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19330105</v>
      </c>
      <c r="C736" s="12">
        <v>6</v>
      </c>
      <c r="D736" s="17" t="str">
        <f t="shared" ca="1" si="24"/>
        <v>—</v>
      </c>
      <c r="E736" s="18">
        <f t="shared" ca="1" si="25"/>
        <v>7</v>
      </c>
    </row>
    <row r="737" spans="1:5" x14ac:dyDescent="0.25">
      <c r="A737" s="11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19330106</v>
      </c>
      <c r="C737" s="12">
        <v>7</v>
      </c>
      <c r="D737" s="17" t="str">
        <f t="shared" ca="1" si="24"/>
        <v>—</v>
      </c>
      <c r="E737" s="18">
        <f t="shared" ca="1" si="25"/>
        <v>7</v>
      </c>
    </row>
    <row r="738" spans="1:5" x14ac:dyDescent="0.25">
      <c r="A738" s="11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19330107</v>
      </c>
      <c r="C738" s="12">
        <v>8</v>
      </c>
      <c r="D738" s="17" t="str">
        <f t="shared" ca="1" si="24"/>
        <v>—</v>
      </c>
      <c r="E738" s="18">
        <f t="shared" ca="1" si="25"/>
        <v>7</v>
      </c>
    </row>
    <row r="739" spans="1:5" x14ac:dyDescent="0.25">
      <c r="A739" s="11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19330108</v>
      </c>
      <c r="C739" s="12">
        <v>9</v>
      </c>
      <c r="D739" s="17" t="str">
        <f t="shared" ca="1" si="24"/>
        <v>—</v>
      </c>
      <c r="E739" s="18">
        <f t="shared" ca="1" si="25"/>
        <v>7</v>
      </c>
    </row>
    <row r="740" spans="1:5" x14ac:dyDescent="0.25">
      <c r="A740" s="11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19330109</v>
      </c>
      <c r="C740" s="12">
        <v>9</v>
      </c>
      <c r="D740" s="17" t="str">
        <f t="shared" ref="D740:D803" ca="1" si="26">IF(OR(ISBLANK(VLOOKUP(DATEVALUE(LEFT(B740,4)&amp;"-"&amp;MID(B740,5,2)&amp;"-"&amp;RIGHT(B740,2)),Data,MATCH(VLOOKUP(A740,Stations,2,FALSE()),OFFSET(Data,1,0,1),0),FALSE())),ISTEXT(VLOOKUP(DATEVALUE(LEFT(B740,4)&amp;"-"&amp;MID(B740,5,2)&amp;"-"&amp;RIGHT(B740,2)),Data,MATCH(VLOOKUP(A740,Stations,2,FALSE()),OFFSET(Data,1,0,1),0),FALSE()))),"—",VLOOKUP(DATEVALUE(LEFT(B740,4)&amp;"-"&amp;MID(B740,5,2)&amp;"-"&amp;RIGHT(B740,2)),Data,MATCH(VLOOKUP(A740,Stations,2,FALSE()),OFFSET(Data,1,0,1),0),FALSE()))</f>
        <v>—</v>
      </c>
      <c r="E740" s="18">
        <f t="shared" ref="E740:E803" ca="1" si="27">IF(OR(ISBLANK(VLOOKUP(DATEVALUE(LEFT(B740,4)&amp;"-"&amp;MID(B740,5,2)&amp;"-"&amp;RIGHT(B740,2)),Data,MATCH(VLOOKUP(A740,Stations,2,FALSE()),OFFSET(Data,1,0,1),0),FALSE())),ISTEXT(VLOOKUP(DATEVALUE(LEFT(B740,4)&amp;"-"&amp;MID(B740,5,2)&amp;"-"&amp;RIGHT(B740,2)),Data,MATCH(VLOOKUP(A740,Stations,2,FALSE()),OFFSET(Data,1,0,1),0),FALSE()))),Lacking,IF(ISNA(MATCH(DATEVALUE(LEFT(B740,4)&amp;"-"&amp;MID(B740,5,2)&amp;"-"&amp;RIGHT(B740,2)),OFFSET(Catalogus,0,0,,1),0)),Ok,VLOOKUP(DATEVALUE(LEFT(B740,4)&amp;"-"&amp;MID(B740,5,2)&amp;"-"&amp;RIGHT(B740,2)),Catalogus,MATCH(VLOOKUP(A740,Stations,2,FALSE()),OFFSET(Catalogus,1,0,1),0),FALSE())))</f>
        <v>7</v>
      </c>
    </row>
    <row r="741" spans="1:5" x14ac:dyDescent="0.25">
      <c r="A741" s="11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19330110</v>
      </c>
      <c r="C741" s="12">
        <v>9</v>
      </c>
      <c r="D741" s="17" t="str">
        <f t="shared" ca="1" si="26"/>
        <v>—</v>
      </c>
      <c r="E741" s="18">
        <f t="shared" ca="1" si="27"/>
        <v>7</v>
      </c>
    </row>
    <row r="742" spans="1:5" x14ac:dyDescent="0.25">
      <c r="A742" s="11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19330111</v>
      </c>
      <c r="C742" s="12">
        <v>9</v>
      </c>
      <c r="D742" s="17" t="str">
        <f t="shared" ca="1" si="26"/>
        <v>—</v>
      </c>
      <c r="E742" s="18">
        <f t="shared" ca="1" si="27"/>
        <v>7</v>
      </c>
    </row>
    <row r="743" spans="1:5" x14ac:dyDescent="0.25">
      <c r="A743" s="11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19330112</v>
      </c>
      <c r="C743" s="12">
        <v>9</v>
      </c>
      <c r="D743" s="17" t="str">
        <f t="shared" ca="1" si="26"/>
        <v>—</v>
      </c>
      <c r="E743" s="18">
        <f t="shared" ca="1" si="27"/>
        <v>7</v>
      </c>
    </row>
    <row r="744" spans="1:5" x14ac:dyDescent="0.25">
      <c r="A744" s="11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19330113</v>
      </c>
      <c r="C744" s="12">
        <v>9</v>
      </c>
      <c r="D744" s="17" t="str">
        <f t="shared" ca="1" si="26"/>
        <v>—</v>
      </c>
      <c r="E744" s="18">
        <f t="shared" ca="1" si="27"/>
        <v>7</v>
      </c>
    </row>
    <row r="745" spans="1:5" x14ac:dyDescent="0.25">
      <c r="A745" s="11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19330114</v>
      </c>
      <c r="C745" s="12">
        <v>9</v>
      </c>
      <c r="D745" s="17" t="str">
        <f t="shared" ca="1" si="26"/>
        <v>—</v>
      </c>
      <c r="E745" s="18">
        <f t="shared" ca="1" si="27"/>
        <v>7</v>
      </c>
    </row>
    <row r="746" spans="1:5" x14ac:dyDescent="0.25">
      <c r="A746" s="11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19330115</v>
      </c>
      <c r="C746" s="12">
        <v>9</v>
      </c>
      <c r="D746" s="17" t="str">
        <f t="shared" ca="1" si="26"/>
        <v>—</v>
      </c>
      <c r="E746" s="18">
        <f t="shared" ca="1" si="27"/>
        <v>7</v>
      </c>
    </row>
    <row r="747" spans="1:5" x14ac:dyDescent="0.25">
      <c r="A747" s="11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19330116</v>
      </c>
      <c r="C747" s="12">
        <v>9</v>
      </c>
      <c r="D747" s="17" t="str">
        <f t="shared" ca="1" si="26"/>
        <v>—</v>
      </c>
      <c r="E747" s="18">
        <f t="shared" ca="1" si="27"/>
        <v>7</v>
      </c>
    </row>
    <row r="748" spans="1:5" x14ac:dyDescent="0.25">
      <c r="A748" s="11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19330117</v>
      </c>
      <c r="C748" s="12">
        <v>9</v>
      </c>
      <c r="D748" s="17" t="str">
        <f t="shared" ca="1" si="26"/>
        <v>—</v>
      </c>
      <c r="E748" s="18">
        <f t="shared" ca="1" si="27"/>
        <v>7</v>
      </c>
    </row>
    <row r="749" spans="1:5" x14ac:dyDescent="0.25">
      <c r="A749" s="11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19330118</v>
      </c>
      <c r="C749" s="12">
        <v>9</v>
      </c>
      <c r="D749" s="17" t="str">
        <f t="shared" ca="1" si="26"/>
        <v>—</v>
      </c>
      <c r="E749" s="18">
        <f t="shared" ca="1" si="27"/>
        <v>7</v>
      </c>
    </row>
    <row r="750" spans="1:5" x14ac:dyDescent="0.25">
      <c r="A750" s="11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19330119</v>
      </c>
      <c r="C750" s="12">
        <v>9</v>
      </c>
      <c r="D750" s="17" t="str">
        <f t="shared" ca="1" si="26"/>
        <v>—</v>
      </c>
      <c r="E750" s="18">
        <f t="shared" ca="1" si="27"/>
        <v>7</v>
      </c>
    </row>
    <row r="751" spans="1:5" x14ac:dyDescent="0.25">
      <c r="A751" s="11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19330120</v>
      </c>
      <c r="C751" s="12">
        <v>9</v>
      </c>
      <c r="D751" s="17" t="str">
        <f t="shared" ca="1" si="26"/>
        <v>—</v>
      </c>
      <c r="E751" s="18">
        <f t="shared" ca="1" si="27"/>
        <v>7</v>
      </c>
    </row>
    <row r="752" spans="1:5" x14ac:dyDescent="0.25">
      <c r="A752" s="11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19330121</v>
      </c>
      <c r="C752" s="12">
        <v>9</v>
      </c>
      <c r="D752" s="17" t="str">
        <f t="shared" ca="1" si="26"/>
        <v>—</v>
      </c>
      <c r="E752" s="18">
        <f t="shared" ca="1" si="27"/>
        <v>7</v>
      </c>
    </row>
    <row r="753" spans="1:5" x14ac:dyDescent="0.25">
      <c r="A753" s="11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19330122</v>
      </c>
      <c r="C753" s="12">
        <v>9</v>
      </c>
      <c r="D753" s="17" t="str">
        <f t="shared" ca="1" si="26"/>
        <v>—</v>
      </c>
      <c r="E753" s="18">
        <f t="shared" ca="1" si="27"/>
        <v>7</v>
      </c>
    </row>
    <row r="754" spans="1:5" x14ac:dyDescent="0.25">
      <c r="A754" s="11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19330123</v>
      </c>
      <c r="C754" s="12">
        <v>9</v>
      </c>
      <c r="D754" s="17" t="str">
        <f t="shared" ca="1" si="26"/>
        <v>—</v>
      </c>
      <c r="E754" s="18">
        <f t="shared" ca="1" si="27"/>
        <v>7</v>
      </c>
    </row>
    <row r="755" spans="1:5" x14ac:dyDescent="0.25">
      <c r="A755" s="11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19330124</v>
      </c>
      <c r="C755" s="12">
        <v>9</v>
      </c>
      <c r="D755" s="17" t="str">
        <f t="shared" ca="1" si="26"/>
        <v>—</v>
      </c>
      <c r="E755" s="18">
        <f t="shared" ca="1" si="27"/>
        <v>7</v>
      </c>
    </row>
    <row r="756" spans="1:5" x14ac:dyDescent="0.25">
      <c r="A756" s="11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19330125</v>
      </c>
      <c r="C756" s="12">
        <v>9</v>
      </c>
      <c r="D756" s="17" t="str">
        <f t="shared" ca="1" si="26"/>
        <v>—</v>
      </c>
      <c r="E756" s="18">
        <f t="shared" ca="1" si="27"/>
        <v>7</v>
      </c>
    </row>
    <row r="757" spans="1:5" x14ac:dyDescent="0.25">
      <c r="A757" s="11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19330126</v>
      </c>
      <c r="C757" s="12">
        <v>9</v>
      </c>
      <c r="D757" s="17" t="str">
        <f t="shared" ca="1" si="26"/>
        <v>—</v>
      </c>
      <c r="E757" s="18">
        <f t="shared" ca="1" si="27"/>
        <v>7</v>
      </c>
    </row>
    <row r="758" spans="1:5" x14ac:dyDescent="0.25">
      <c r="A758" s="11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19330127</v>
      </c>
      <c r="C758" s="12">
        <v>9</v>
      </c>
      <c r="D758" s="17" t="str">
        <f t="shared" ca="1" si="26"/>
        <v>—</v>
      </c>
      <c r="E758" s="18">
        <f t="shared" ca="1" si="27"/>
        <v>7</v>
      </c>
    </row>
    <row r="759" spans="1:5" x14ac:dyDescent="0.25">
      <c r="A759" s="11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19330128</v>
      </c>
      <c r="C759" s="12">
        <v>9</v>
      </c>
      <c r="D759" s="17" t="str">
        <f t="shared" ca="1" si="26"/>
        <v>—</v>
      </c>
      <c r="E759" s="18">
        <f t="shared" ca="1" si="27"/>
        <v>7</v>
      </c>
    </row>
    <row r="760" spans="1:5" x14ac:dyDescent="0.25">
      <c r="A760" s="11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19330129</v>
      </c>
      <c r="C760" s="12">
        <v>9</v>
      </c>
      <c r="D760" s="17" t="str">
        <f t="shared" ca="1" si="26"/>
        <v>—</v>
      </c>
      <c r="E760" s="18">
        <f t="shared" ca="1" si="27"/>
        <v>7</v>
      </c>
    </row>
    <row r="761" spans="1:5" x14ac:dyDescent="0.25">
      <c r="A761" s="11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19330130</v>
      </c>
      <c r="C761" s="12">
        <v>9</v>
      </c>
      <c r="D761" s="17" t="str">
        <f t="shared" ca="1" si="26"/>
        <v>—</v>
      </c>
      <c r="E761" s="18">
        <f t="shared" ca="1" si="27"/>
        <v>7</v>
      </c>
    </row>
    <row r="762" spans="1:5" x14ac:dyDescent="0.25">
      <c r="A762" s="11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19330131</v>
      </c>
      <c r="C762" s="12">
        <v>9</v>
      </c>
      <c r="D762" s="17" t="str">
        <f t="shared" ca="1" si="26"/>
        <v>—</v>
      </c>
      <c r="E762" s="18">
        <f t="shared" ca="1" si="27"/>
        <v>7</v>
      </c>
    </row>
    <row r="763" spans="1:5" x14ac:dyDescent="0.25">
      <c r="A763" s="11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19330201</v>
      </c>
      <c r="C763" s="12">
        <v>9</v>
      </c>
      <c r="D763" s="17" t="str">
        <f t="shared" ca="1" si="26"/>
        <v>—</v>
      </c>
      <c r="E763" s="18">
        <f t="shared" ca="1" si="27"/>
        <v>7</v>
      </c>
    </row>
    <row r="764" spans="1:5" x14ac:dyDescent="0.25">
      <c r="A764" s="11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19330202</v>
      </c>
      <c r="C764" s="12">
        <v>9</v>
      </c>
      <c r="D764" s="17" t="str">
        <f t="shared" ca="1" si="26"/>
        <v>—</v>
      </c>
      <c r="E764" s="18">
        <f t="shared" ca="1" si="27"/>
        <v>7</v>
      </c>
    </row>
    <row r="765" spans="1:5" x14ac:dyDescent="0.25">
      <c r="A765" s="11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19330203</v>
      </c>
      <c r="C765" s="12">
        <v>9</v>
      </c>
      <c r="D765" s="17" t="str">
        <f t="shared" ca="1" si="26"/>
        <v>—</v>
      </c>
      <c r="E765" s="18">
        <f t="shared" ca="1" si="27"/>
        <v>7</v>
      </c>
    </row>
    <row r="766" spans="1:5" x14ac:dyDescent="0.25">
      <c r="A766" s="11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19330204</v>
      </c>
      <c r="C766" s="12">
        <v>9</v>
      </c>
      <c r="D766" s="17" t="str">
        <f t="shared" ca="1" si="26"/>
        <v>—</v>
      </c>
      <c r="E766" s="18">
        <f t="shared" ca="1" si="27"/>
        <v>7</v>
      </c>
    </row>
    <row r="767" spans="1:5" x14ac:dyDescent="0.25">
      <c r="A767" s="11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19330205</v>
      </c>
      <c r="C767" s="12">
        <v>9</v>
      </c>
      <c r="D767" s="17" t="str">
        <f t="shared" ca="1" si="26"/>
        <v>—</v>
      </c>
      <c r="E767" s="18">
        <f t="shared" ca="1" si="27"/>
        <v>7</v>
      </c>
    </row>
    <row r="768" spans="1:5" x14ac:dyDescent="0.25">
      <c r="A768" s="11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19330206</v>
      </c>
      <c r="C768" s="12">
        <v>9</v>
      </c>
      <c r="D768" s="17" t="str">
        <f t="shared" ca="1" si="26"/>
        <v>—</v>
      </c>
      <c r="E768" s="18">
        <f t="shared" ca="1" si="27"/>
        <v>7</v>
      </c>
    </row>
    <row r="769" spans="1:5" x14ac:dyDescent="0.25">
      <c r="A769" s="11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19330207</v>
      </c>
      <c r="C769" s="12">
        <v>9</v>
      </c>
      <c r="D769" s="17" t="str">
        <f t="shared" ca="1" si="26"/>
        <v>—</v>
      </c>
      <c r="E769" s="18">
        <f t="shared" ca="1" si="27"/>
        <v>7</v>
      </c>
    </row>
    <row r="770" spans="1:5" x14ac:dyDescent="0.25">
      <c r="A770" s="11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19330208</v>
      </c>
      <c r="C770" s="12">
        <v>9</v>
      </c>
      <c r="D770" s="17" t="str">
        <f t="shared" ca="1" si="26"/>
        <v>—</v>
      </c>
      <c r="E770" s="18">
        <f t="shared" ca="1" si="27"/>
        <v>7</v>
      </c>
    </row>
    <row r="771" spans="1:5" x14ac:dyDescent="0.25">
      <c r="A771" s="11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19330209</v>
      </c>
      <c r="C771" s="12">
        <v>9</v>
      </c>
      <c r="D771" s="17" t="str">
        <f t="shared" ca="1" si="26"/>
        <v>—</v>
      </c>
      <c r="E771" s="18">
        <f t="shared" ca="1" si="27"/>
        <v>7</v>
      </c>
    </row>
    <row r="772" spans="1:5" x14ac:dyDescent="0.25">
      <c r="A772" s="11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19330210</v>
      </c>
      <c r="C772" s="12">
        <v>9</v>
      </c>
      <c r="D772" s="17" t="str">
        <f t="shared" ca="1" si="26"/>
        <v>—</v>
      </c>
      <c r="E772" s="18">
        <f t="shared" ca="1" si="27"/>
        <v>7</v>
      </c>
    </row>
    <row r="773" spans="1:5" x14ac:dyDescent="0.25">
      <c r="A773" s="11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19330211</v>
      </c>
      <c r="C773" s="12">
        <v>9</v>
      </c>
      <c r="D773" s="17" t="str">
        <f t="shared" ca="1" si="26"/>
        <v>—</v>
      </c>
      <c r="E773" s="18">
        <f t="shared" ca="1" si="27"/>
        <v>7</v>
      </c>
    </row>
    <row r="774" spans="1:5" x14ac:dyDescent="0.25">
      <c r="A774" s="11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19330212</v>
      </c>
      <c r="C774" s="12">
        <v>9</v>
      </c>
      <c r="D774" s="17" t="str">
        <f t="shared" ca="1" si="26"/>
        <v>—</v>
      </c>
      <c r="E774" s="18">
        <f t="shared" ca="1" si="27"/>
        <v>7</v>
      </c>
    </row>
    <row r="775" spans="1:5" x14ac:dyDescent="0.25">
      <c r="A775" s="11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19330213</v>
      </c>
      <c r="C775" s="12">
        <v>9</v>
      </c>
      <c r="D775" s="17" t="str">
        <f t="shared" ca="1" si="26"/>
        <v>—</v>
      </c>
      <c r="E775" s="18">
        <f t="shared" ca="1" si="27"/>
        <v>7</v>
      </c>
    </row>
    <row r="776" spans="1:5" x14ac:dyDescent="0.25">
      <c r="A776" s="11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19330214</v>
      </c>
      <c r="C776" s="12">
        <v>9</v>
      </c>
      <c r="D776" s="17" t="str">
        <f t="shared" ca="1" si="26"/>
        <v>—</v>
      </c>
      <c r="E776" s="18">
        <f t="shared" ca="1" si="27"/>
        <v>7</v>
      </c>
    </row>
    <row r="777" spans="1:5" x14ac:dyDescent="0.25">
      <c r="A777" s="11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19330215</v>
      </c>
      <c r="C777" s="12">
        <v>9</v>
      </c>
      <c r="D777" s="17" t="str">
        <f t="shared" ca="1" si="26"/>
        <v>—</v>
      </c>
      <c r="E777" s="18">
        <f t="shared" ca="1" si="27"/>
        <v>7</v>
      </c>
    </row>
    <row r="778" spans="1:5" x14ac:dyDescent="0.25">
      <c r="A778" s="11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19330216</v>
      </c>
      <c r="C778" s="12">
        <v>9</v>
      </c>
      <c r="D778" s="17" t="str">
        <f t="shared" ca="1" si="26"/>
        <v>—</v>
      </c>
      <c r="E778" s="18">
        <f t="shared" ca="1" si="27"/>
        <v>7</v>
      </c>
    </row>
    <row r="779" spans="1:5" x14ac:dyDescent="0.25">
      <c r="A779" s="11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19330217</v>
      </c>
      <c r="C779" s="12">
        <v>9</v>
      </c>
      <c r="D779" s="17" t="str">
        <f t="shared" ca="1" si="26"/>
        <v>—</v>
      </c>
      <c r="E779" s="18">
        <f t="shared" ca="1" si="27"/>
        <v>7</v>
      </c>
    </row>
    <row r="780" spans="1:5" x14ac:dyDescent="0.25">
      <c r="A780" s="11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19330218</v>
      </c>
      <c r="C780" s="12">
        <v>9</v>
      </c>
      <c r="D780" s="17" t="str">
        <f t="shared" ca="1" si="26"/>
        <v>—</v>
      </c>
      <c r="E780" s="18">
        <f t="shared" ca="1" si="27"/>
        <v>7</v>
      </c>
    </row>
    <row r="781" spans="1:5" x14ac:dyDescent="0.25">
      <c r="A781" s="11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19330219</v>
      </c>
      <c r="C781" s="12">
        <v>9</v>
      </c>
      <c r="D781" s="17" t="str">
        <f t="shared" ca="1" si="26"/>
        <v>—</v>
      </c>
      <c r="E781" s="18">
        <f t="shared" ca="1" si="27"/>
        <v>7</v>
      </c>
    </row>
    <row r="782" spans="1:5" x14ac:dyDescent="0.25">
      <c r="A782" s="11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19330220</v>
      </c>
      <c r="C782" s="12">
        <v>9</v>
      </c>
      <c r="D782" s="17" t="str">
        <f t="shared" ca="1" si="26"/>
        <v>—</v>
      </c>
      <c r="E782" s="18">
        <f t="shared" ca="1" si="27"/>
        <v>7</v>
      </c>
    </row>
    <row r="783" spans="1:5" x14ac:dyDescent="0.25">
      <c r="A783" s="11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19330221</v>
      </c>
      <c r="C783" s="12">
        <v>9</v>
      </c>
      <c r="D783" s="17" t="str">
        <f t="shared" ca="1" si="26"/>
        <v>—</v>
      </c>
      <c r="E783" s="18">
        <f t="shared" ca="1" si="27"/>
        <v>7</v>
      </c>
    </row>
    <row r="784" spans="1:5" x14ac:dyDescent="0.25">
      <c r="A784" s="11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19330222</v>
      </c>
      <c r="C784" s="12">
        <v>9</v>
      </c>
      <c r="D784" s="17" t="str">
        <f t="shared" ca="1" si="26"/>
        <v>—</v>
      </c>
      <c r="E784" s="18">
        <f t="shared" ca="1" si="27"/>
        <v>7</v>
      </c>
    </row>
    <row r="785" spans="1:5" x14ac:dyDescent="0.25">
      <c r="A785" s="11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19330223</v>
      </c>
      <c r="C785" s="12">
        <v>9</v>
      </c>
      <c r="D785" s="17" t="str">
        <f t="shared" ca="1" si="26"/>
        <v>—</v>
      </c>
      <c r="E785" s="18">
        <f t="shared" ca="1" si="27"/>
        <v>7</v>
      </c>
    </row>
    <row r="786" spans="1:5" x14ac:dyDescent="0.25">
      <c r="A786" s="11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19330224</v>
      </c>
      <c r="C786" s="12">
        <v>9</v>
      </c>
      <c r="D786" s="17" t="str">
        <f t="shared" ca="1" si="26"/>
        <v>—</v>
      </c>
      <c r="E786" s="18">
        <f t="shared" ca="1" si="27"/>
        <v>7</v>
      </c>
    </row>
    <row r="787" spans="1:5" x14ac:dyDescent="0.25">
      <c r="A787" s="11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19330225</v>
      </c>
      <c r="C787" s="12">
        <v>9</v>
      </c>
      <c r="D787" s="17" t="str">
        <f t="shared" ca="1" si="26"/>
        <v>—</v>
      </c>
      <c r="E787" s="18">
        <f t="shared" ca="1" si="27"/>
        <v>7</v>
      </c>
    </row>
    <row r="788" spans="1:5" x14ac:dyDescent="0.25">
      <c r="A788" s="11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19330226</v>
      </c>
      <c r="C788" s="12">
        <v>9</v>
      </c>
      <c r="D788" s="17" t="str">
        <f t="shared" ca="1" si="26"/>
        <v>—</v>
      </c>
      <c r="E788" s="18">
        <f t="shared" ca="1" si="27"/>
        <v>7</v>
      </c>
    </row>
    <row r="789" spans="1:5" x14ac:dyDescent="0.25">
      <c r="A789" s="11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19330227</v>
      </c>
      <c r="C789" s="12">
        <v>9</v>
      </c>
      <c r="D789" s="17" t="str">
        <f t="shared" ca="1" si="26"/>
        <v>—</v>
      </c>
      <c r="E789" s="18">
        <f t="shared" ca="1" si="27"/>
        <v>7</v>
      </c>
    </row>
    <row r="790" spans="1:5" x14ac:dyDescent="0.25">
      <c r="A790" s="11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19330228</v>
      </c>
      <c r="C790" s="12">
        <v>9</v>
      </c>
      <c r="D790" s="17" t="str">
        <f t="shared" ca="1" si="26"/>
        <v>—</v>
      </c>
      <c r="E790" s="18">
        <f t="shared" ca="1" si="27"/>
        <v>7</v>
      </c>
    </row>
    <row r="791" spans="1:5" x14ac:dyDescent="0.25">
      <c r="A791" s="11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19330301</v>
      </c>
      <c r="C791" s="12">
        <v>9</v>
      </c>
      <c r="D791" s="17" t="str">
        <f t="shared" ca="1" si="26"/>
        <v>—</v>
      </c>
      <c r="E791" s="18">
        <f t="shared" ca="1" si="27"/>
        <v>7</v>
      </c>
    </row>
    <row r="792" spans="1:5" x14ac:dyDescent="0.25">
      <c r="A792" s="11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19330302</v>
      </c>
      <c r="C792" s="12">
        <v>9</v>
      </c>
      <c r="D792" s="17" t="str">
        <f t="shared" ca="1" si="26"/>
        <v>—</v>
      </c>
      <c r="E792" s="18">
        <f t="shared" ca="1" si="27"/>
        <v>7</v>
      </c>
    </row>
    <row r="793" spans="1:5" x14ac:dyDescent="0.25">
      <c r="A793" s="11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19330303</v>
      </c>
      <c r="C793" s="12">
        <v>9</v>
      </c>
      <c r="D793" s="17" t="str">
        <f t="shared" ca="1" si="26"/>
        <v>—</v>
      </c>
      <c r="E793" s="18">
        <f t="shared" ca="1" si="27"/>
        <v>7</v>
      </c>
    </row>
    <row r="794" spans="1:5" x14ac:dyDescent="0.25">
      <c r="A794" s="11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19330304</v>
      </c>
      <c r="C794" s="12">
        <v>9</v>
      </c>
      <c r="D794" s="17" t="str">
        <f t="shared" ca="1" si="26"/>
        <v>—</v>
      </c>
      <c r="E794" s="18">
        <f t="shared" ca="1" si="27"/>
        <v>7</v>
      </c>
    </row>
    <row r="795" spans="1:5" x14ac:dyDescent="0.25">
      <c r="A795" s="11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19330305</v>
      </c>
      <c r="C795" s="12">
        <v>9</v>
      </c>
      <c r="D795" s="17" t="str">
        <f t="shared" ca="1" si="26"/>
        <v>—</v>
      </c>
      <c r="E795" s="18">
        <f t="shared" ca="1" si="27"/>
        <v>7</v>
      </c>
    </row>
    <row r="796" spans="1:5" x14ac:dyDescent="0.25">
      <c r="A796" s="11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19330306</v>
      </c>
      <c r="C796" s="12">
        <v>9</v>
      </c>
      <c r="D796" s="17" t="str">
        <f t="shared" ca="1" si="26"/>
        <v>—</v>
      </c>
      <c r="E796" s="18">
        <f t="shared" ca="1" si="27"/>
        <v>7</v>
      </c>
    </row>
    <row r="797" spans="1:5" x14ac:dyDescent="0.25">
      <c r="A797" s="11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19330307</v>
      </c>
      <c r="C797" s="12">
        <v>9</v>
      </c>
      <c r="D797" s="17" t="str">
        <f t="shared" ca="1" si="26"/>
        <v>—</v>
      </c>
      <c r="E797" s="18">
        <f t="shared" ca="1" si="27"/>
        <v>7</v>
      </c>
    </row>
    <row r="798" spans="1:5" x14ac:dyDescent="0.25">
      <c r="A798" s="11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19330308</v>
      </c>
      <c r="C798" s="12">
        <v>9</v>
      </c>
      <c r="D798" s="17" t="str">
        <f t="shared" ca="1" si="26"/>
        <v>—</v>
      </c>
      <c r="E798" s="18">
        <f t="shared" ca="1" si="27"/>
        <v>7</v>
      </c>
    </row>
    <row r="799" spans="1:5" x14ac:dyDescent="0.25">
      <c r="A799" s="11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19330309</v>
      </c>
      <c r="C799" s="12">
        <v>9</v>
      </c>
      <c r="D799" s="17" t="str">
        <f t="shared" ca="1" si="26"/>
        <v>—</v>
      </c>
      <c r="E799" s="18">
        <f t="shared" ca="1" si="27"/>
        <v>7</v>
      </c>
    </row>
    <row r="800" spans="1:5" x14ac:dyDescent="0.25">
      <c r="A800" s="11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19330310</v>
      </c>
      <c r="C800" s="12">
        <v>9</v>
      </c>
      <c r="D800" s="17" t="str">
        <f t="shared" ca="1" si="26"/>
        <v>—</v>
      </c>
      <c r="E800" s="18">
        <f t="shared" ca="1" si="27"/>
        <v>7</v>
      </c>
    </row>
    <row r="801" spans="1:5" x14ac:dyDescent="0.25">
      <c r="A801" s="11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19330311</v>
      </c>
      <c r="C801" s="12">
        <v>9</v>
      </c>
      <c r="D801" s="17" t="str">
        <f t="shared" ca="1" si="26"/>
        <v>—</v>
      </c>
      <c r="E801" s="18">
        <f t="shared" ca="1" si="27"/>
        <v>7</v>
      </c>
    </row>
    <row r="802" spans="1:5" x14ac:dyDescent="0.25">
      <c r="A802" s="11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19330312</v>
      </c>
      <c r="C802" s="12">
        <v>9</v>
      </c>
      <c r="D802" s="17" t="str">
        <f t="shared" ca="1" si="26"/>
        <v>—</v>
      </c>
      <c r="E802" s="18">
        <f t="shared" ca="1" si="27"/>
        <v>7</v>
      </c>
    </row>
    <row r="803" spans="1:5" x14ac:dyDescent="0.25">
      <c r="A803" s="11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19330313</v>
      </c>
      <c r="C803" s="12">
        <v>9</v>
      </c>
      <c r="D803" s="17" t="str">
        <f t="shared" ca="1" si="26"/>
        <v>—</v>
      </c>
      <c r="E803" s="18">
        <f t="shared" ca="1" si="27"/>
        <v>7</v>
      </c>
    </row>
    <row r="804" spans="1:5" x14ac:dyDescent="0.25">
      <c r="A804" s="11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19330314</v>
      </c>
      <c r="C804" s="12">
        <v>9</v>
      </c>
      <c r="D804" s="17" t="str">
        <f t="shared" ref="D804:D867" ca="1" si="28">IF(OR(ISBLANK(VLOOKUP(DATEVALUE(LEFT(B804,4)&amp;"-"&amp;MID(B804,5,2)&amp;"-"&amp;RIGHT(B804,2)),Data,MATCH(VLOOKUP(A804,Stations,2,FALSE()),OFFSET(Data,1,0,1),0),FALSE())),ISTEXT(VLOOKUP(DATEVALUE(LEFT(B804,4)&amp;"-"&amp;MID(B804,5,2)&amp;"-"&amp;RIGHT(B804,2)),Data,MATCH(VLOOKUP(A804,Stations,2,FALSE()),OFFSET(Data,1,0,1),0),FALSE()))),"—",VLOOKUP(DATEVALUE(LEFT(B804,4)&amp;"-"&amp;MID(B804,5,2)&amp;"-"&amp;RIGHT(B804,2)),Data,MATCH(VLOOKUP(A804,Stations,2,FALSE()),OFFSET(Data,1,0,1),0),FALSE()))</f>
        <v>—</v>
      </c>
      <c r="E804" s="18">
        <f t="shared" ref="E804:E867" ca="1" si="29">IF(OR(ISBLANK(VLOOKUP(DATEVALUE(LEFT(B804,4)&amp;"-"&amp;MID(B804,5,2)&amp;"-"&amp;RIGHT(B804,2)),Data,MATCH(VLOOKUP(A804,Stations,2,FALSE()),OFFSET(Data,1,0,1),0),FALSE())),ISTEXT(VLOOKUP(DATEVALUE(LEFT(B804,4)&amp;"-"&amp;MID(B804,5,2)&amp;"-"&amp;RIGHT(B804,2)),Data,MATCH(VLOOKUP(A804,Stations,2,FALSE()),OFFSET(Data,1,0,1),0),FALSE()))),Lacking,IF(ISNA(MATCH(DATEVALUE(LEFT(B804,4)&amp;"-"&amp;MID(B804,5,2)&amp;"-"&amp;RIGHT(B804,2)),OFFSET(Catalogus,0,0,,1),0)),Ok,VLOOKUP(DATEVALUE(LEFT(B804,4)&amp;"-"&amp;MID(B804,5,2)&amp;"-"&amp;RIGHT(B804,2)),Catalogus,MATCH(VLOOKUP(A804,Stations,2,FALSE()),OFFSET(Catalogus,1,0,1),0),FALSE())))</f>
        <v>7</v>
      </c>
    </row>
    <row r="805" spans="1:5" x14ac:dyDescent="0.25">
      <c r="A805" s="11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19330315</v>
      </c>
      <c r="C805" s="12">
        <v>9</v>
      </c>
      <c r="D805" s="17" t="str">
        <f t="shared" ca="1" si="28"/>
        <v>—</v>
      </c>
      <c r="E805" s="18">
        <f t="shared" ca="1" si="29"/>
        <v>7</v>
      </c>
    </row>
    <row r="806" spans="1:5" x14ac:dyDescent="0.25">
      <c r="A806" s="11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19330316</v>
      </c>
      <c r="C806" s="12">
        <v>9</v>
      </c>
      <c r="D806" s="17" t="str">
        <f t="shared" ca="1" si="28"/>
        <v>—</v>
      </c>
      <c r="E806" s="18">
        <f t="shared" ca="1" si="29"/>
        <v>7</v>
      </c>
    </row>
    <row r="807" spans="1:5" x14ac:dyDescent="0.25">
      <c r="A807" s="11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19330317</v>
      </c>
      <c r="C807" s="12">
        <v>9</v>
      </c>
      <c r="D807" s="17" t="str">
        <f t="shared" ca="1" si="28"/>
        <v>—</v>
      </c>
      <c r="E807" s="18">
        <f t="shared" ca="1" si="29"/>
        <v>7</v>
      </c>
    </row>
    <row r="808" spans="1:5" x14ac:dyDescent="0.25">
      <c r="A808" s="11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19330318</v>
      </c>
      <c r="C808" s="12">
        <v>9</v>
      </c>
      <c r="D808" s="17" t="str">
        <f t="shared" ca="1" si="28"/>
        <v>—</v>
      </c>
      <c r="E808" s="18">
        <f t="shared" ca="1" si="29"/>
        <v>7</v>
      </c>
    </row>
    <row r="809" spans="1:5" x14ac:dyDescent="0.25">
      <c r="A809" s="11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19330319</v>
      </c>
      <c r="C809" s="12">
        <v>9</v>
      </c>
      <c r="D809" s="17" t="str">
        <f t="shared" ca="1" si="28"/>
        <v>—</v>
      </c>
      <c r="E809" s="18">
        <f t="shared" ca="1" si="29"/>
        <v>7</v>
      </c>
    </row>
    <row r="810" spans="1:5" x14ac:dyDescent="0.25">
      <c r="A810" s="11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19330320</v>
      </c>
      <c r="C810" s="12">
        <v>9</v>
      </c>
      <c r="D810" s="17" t="str">
        <f t="shared" ca="1" si="28"/>
        <v>—</v>
      </c>
      <c r="E810" s="18">
        <f t="shared" ca="1" si="29"/>
        <v>7</v>
      </c>
    </row>
    <row r="811" spans="1:5" x14ac:dyDescent="0.25">
      <c r="A811" s="11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19330321</v>
      </c>
      <c r="C811" s="12">
        <v>9</v>
      </c>
      <c r="D811" s="17" t="str">
        <f t="shared" ca="1" si="28"/>
        <v>—</v>
      </c>
      <c r="E811" s="18">
        <f t="shared" ca="1" si="29"/>
        <v>7</v>
      </c>
    </row>
    <row r="812" spans="1:5" x14ac:dyDescent="0.25">
      <c r="A812" s="11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19330322</v>
      </c>
      <c r="C812" s="12">
        <v>9</v>
      </c>
      <c r="D812" s="17" t="str">
        <f t="shared" ca="1" si="28"/>
        <v>—</v>
      </c>
      <c r="E812" s="18">
        <f t="shared" ca="1" si="29"/>
        <v>7</v>
      </c>
    </row>
    <row r="813" spans="1:5" x14ac:dyDescent="0.25">
      <c r="A813" s="11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19330323</v>
      </c>
      <c r="C813" s="12">
        <v>9</v>
      </c>
      <c r="D813" s="17" t="str">
        <f t="shared" ca="1" si="28"/>
        <v>—</v>
      </c>
      <c r="E813" s="18">
        <f t="shared" ca="1" si="29"/>
        <v>7</v>
      </c>
    </row>
    <row r="814" spans="1:5" x14ac:dyDescent="0.25">
      <c r="A814" s="11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19330324</v>
      </c>
      <c r="C814" s="12">
        <v>9</v>
      </c>
      <c r="D814" s="17" t="str">
        <f t="shared" ca="1" si="28"/>
        <v>—</v>
      </c>
      <c r="E814" s="18">
        <f t="shared" ca="1" si="29"/>
        <v>7</v>
      </c>
    </row>
    <row r="815" spans="1:5" x14ac:dyDescent="0.25">
      <c r="A815" s="11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19330325</v>
      </c>
      <c r="C815" s="12">
        <v>9</v>
      </c>
      <c r="D815" s="17" t="str">
        <f t="shared" ca="1" si="28"/>
        <v>—</v>
      </c>
      <c r="E815" s="18">
        <f t="shared" ca="1" si="29"/>
        <v>7</v>
      </c>
    </row>
    <row r="816" spans="1:5" x14ac:dyDescent="0.25">
      <c r="A816" s="11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19330326</v>
      </c>
      <c r="C816" s="12">
        <v>9</v>
      </c>
      <c r="D816" s="17" t="str">
        <f t="shared" ca="1" si="28"/>
        <v>—</v>
      </c>
      <c r="E816" s="18">
        <f t="shared" ca="1" si="29"/>
        <v>7</v>
      </c>
    </row>
    <row r="817" spans="1:5" x14ac:dyDescent="0.25">
      <c r="A817" s="11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19330327</v>
      </c>
      <c r="C817" s="12">
        <v>9</v>
      </c>
      <c r="D817" s="17" t="str">
        <f t="shared" ca="1" si="28"/>
        <v>—</v>
      </c>
      <c r="E817" s="18">
        <f t="shared" ca="1" si="29"/>
        <v>7</v>
      </c>
    </row>
    <row r="818" spans="1:5" x14ac:dyDescent="0.25">
      <c r="A818" s="11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19330328</v>
      </c>
      <c r="C818" s="12">
        <v>9</v>
      </c>
      <c r="D818" s="17" t="str">
        <f t="shared" ca="1" si="28"/>
        <v>—</v>
      </c>
      <c r="E818" s="18">
        <f t="shared" ca="1" si="29"/>
        <v>7</v>
      </c>
    </row>
    <row r="819" spans="1:5" x14ac:dyDescent="0.25">
      <c r="A819" s="11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19330329</v>
      </c>
      <c r="C819" s="12">
        <v>9</v>
      </c>
      <c r="D819" s="17" t="str">
        <f t="shared" ca="1" si="28"/>
        <v>—</v>
      </c>
      <c r="E819" s="18">
        <f t="shared" ca="1" si="29"/>
        <v>7</v>
      </c>
    </row>
    <row r="820" spans="1:5" x14ac:dyDescent="0.25">
      <c r="A820" s="11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19330330</v>
      </c>
      <c r="C820" s="12">
        <v>9</v>
      </c>
      <c r="D820" s="17" t="str">
        <f t="shared" ca="1" si="28"/>
        <v>—</v>
      </c>
      <c r="E820" s="18">
        <f t="shared" ca="1" si="29"/>
        <v>7</v>
      </c>
    </row>
    <row r="821" spans="1:5" x14ac:dyDescent="0.25">
      <c r="A821" s="11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19330331</v>
      </c>
      <c r="C821" s="12">
        <v>9</v>
      </c>
      <c r="D821" s="17" t="str">
        <f t="shared" ca="1" si="28"/>
        <v>—</v>
      </c>
      <c r="E821" s="18">
        <f t="shared" ca="1" si="29"/>
        <v>7</v>
      </c>
    </row>
    <row r="822" spans="1:5" x14ac:dyDescent="0.25">
      <c r="A822" s="11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19330401</v>
      </c>
      <c r="C822" s="12">
        <v>9</v>
      </c>
      <c r="D822" s="17" t="str">
        <f t="shared" ca="1" si="28"/>
        <v>—</v>
      </c>
      <c r="E822" s="18">
        <f t="shared" ca="1" si="29"/>
        <v>7</v>
      </c>
    </row>
    <row r="823" spans="1:5" x14ac:dyDescent="0.25">
      <c r="A823" s="11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19330402</v>
      </c>
      <c r="C823" s="12">
        <v>9</v>
      </c>
      <c r="D823" s="17" t="str">
        <f t="shared" ca="1" si="28"/>
        <v>—</v>
      </c>
      <c r="E823" s="18">
        <f t="shared" ca="1" si="29"/>
        <v>7</v>
      </c>
    </row>
    <row r="824" spans="1:5" x14ac:dyDescent="0.25">
      <c r="A824" s="11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19330403</v>
      </c>
      <c r="C824" s="12">
        <v>9</v>
      </c>
      <c r="D824" s="17" t="str">
        <f t="shared" ca="1" si="28"/>
        <v>—</v>
      </c>
      <c r="E824" s="18">
        <f t="shared" ca="1" si="29"/>
        <v>7</v>
      </c>
    </row>
    <row r="825" spans="1:5" x14ac:dyDescent="0.25">
      <c r="A825" s="11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19330404</v>
      </c>
      <c r="C825" s="12">
        <v>9</v>
      </c>
      <c r="D825" s="17" t="str">
        <f t="shared" ca="1" si="28"/>
        <v>—</v>
      </c>
      <c r="E825" s="18">
        <f t="shared" ca="1" si="29"/>
        <v>7</v>
      </c>
    </row>
    <row r="826" spans="1:5" x14ac:dyDescent="0.25">
      <c r="A826" s="11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19330405</v>
      </c>
      <c r="C826" s="12">
        <v>9</v>
      </c>
      <c r="D826" s="17" t="str">
        <f t="shared" ca="1" si="28"/>
        <v>—</v>
      </c>
      <c r="E826" s="18">
        <f t="shared" ca="1" si="29"/>
        <v>7</v>
      </c>
    </row>
    <row r="827" spans="1:5" x14ac:dyDescent="0.25">
      <c r="A827" s="11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19330406</v>
      </c>
      <c r="C827" s="12">
        <v>9</v>
      </c>
      <c r="D827" s="17" t="str">
        <f t="shared" ca="1" si="28"/>
        <v>—</v>
      </c>
      <c r="E827" s="18">
        <f t="shared" ca="1" si="29"/>
        <v>7</v>
      </c>
    </row>
    <row r="828" spans="1:5" x14ac:dyDescent="0.25">
      <c r="A828" s="11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19330407</v>
      </c>
      <c r="C828" s="12">
        <v>9</v>
      </c>
      <c r="D828" s="17" t="str">
        <f t="shared" ca="1" si="28"/>
        <v>—</v>
      </c>
      <c r="E828" s="18">
        <f t="shared" ca="1" si="29"/>
        <v>7</v>
      </c>
    </row>
    <row r="829" spans="1:5" x14ac:dyDescent="0.25">
      <c r="A829" s="11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19330408</v>
      </c>
      <c r="C829" s="12">
        <v>9</v>
      </c>
      <c r="D829" s="17" t="str">
        <f t="shared" ca="1" si="28"/>
        <v>—</v>
      </c>
      <c r="E829" s="18">
        <f t="shared" ca="1" si="29"/>
        <v>7</v>
      </c>
    </row>
    <row r="830" spans="1:5" x14ac:dyDescent="0.25">
      <c r="A830" s="11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19330409</v>
      </c>
      <c r="C830" s="12">
        <v>9</v>
      </c>
      <c r="D830" s="17" t="str">
        <f t="shared" ca="1" si="28"/>
        <v>—</v>
      </c>
      <c r="E830" s="18">
        <f t="shared" ca="1" si="29"/>
        <v>7</v>
      </c>
    </row>
    <row r="831" spans="1:5" x14ac:dyDescent="0.25">
      <c r="A831" s="11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19330410</v>
      </c>
      <c r="C831" s="12">
        <v>9</v>
      </c>
      <c r="D831" s="17" t="str">
        <f t="shared" ca="1" si="28"/>
        <v>—</v>
      </c>
      <c r="E831" s="18">
        <f t="shared" ca="1" si="29"/>
        <v>7</v>
      </c>
    </row>
    <row r="832" spans="1:5" x14ac:dyDescent="0.25">
      <c r="A832" s="11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19330411</v>
      </c>
      <c r="C832" s="12">
        <v>9</v>
      </c>
      <c r="D832" s="17" t="str">
        <f t="shared" ca="1" si="28"/>
        <v>—</v>
      </c>
      <c r="E832" s="18">
        <f t="shared" ca="1" si="29"/>
        <v>7</v>
      </c>
    </row>
    <row r="833" spans="1:5" x14ac:dyDescent="0.25">
      <c r="A833" s="11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19330412</v>
      </c>
      <c r="C833" s="12">
        <v>9</v>
      </c>
      <c r="D833" s="17" t="str">
        <f t="shared" ca="1" si="28"/>
        <v>—</v>
      </c>
      <c r="E833" s="18">
        <f t="shared" ca="1" si="29"/>
        <v>7</v>
      </c>
    </row>
    <row r="834" spans="1:5" x14ac:dyDescent="0.25">
      <c r="A834" s="11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19330413</v>
      </c>
      <c r="C834" s="12">
        <v>9</v>
      </c>
      <c r="D834" s="17" t="str">
        <f t="shared" ca="1" si="28"/>
        <v>—</v>
      </c>
      <c r="E834" s="18">
        <f t="shared" ca="1" si="29"/>
        <v>7</v>
      </c>
    </row>
    <row r="835" spans="1:5" x14ac:dyDescent="0.25">
      <c r="A835" s="11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19330414</v>
      </c>
      <c r="C835" s="12">
        <v>9</v>
      </c>
      <c r="D835" s="17" t="str">
        <f t="shared" ca="1" si="28"/>
        <v>—</v>
      </c>
      <c r="E835" s="18">
        <f t="shared" ca="1" si="29"/>
        <v>7</v>
      </c>
    </row>
    <row r="836" spans="1:5" x14ac:dyDescent="0.25">
      <c r="A836" s="11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19330415</v>
      </c>
      <c r="C836" s="12">
        <v>9</v>
      </c>
      <c r="D836" s="17" t="str">
        <f t="shared" ca="1" si="28"/>
        <v>—</v>
      </c>
      <c r="E836" s="18">
        <f t="shared" ca="1" si="29"/>
        <v>7</v>
      </c>
    </row>
    <row r="837" spans="1:5" x14ac:dyDescent="0.25">
      <c r="A837" s="11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19330416</v>
      </c>
      <c r="C837" s="12">
        <v>9</v>
      </c>
      <c r="D837" s="17" t="str">
        <f t="shared" ca="1" si="28"/>
        <v>—</v>
      </c>
      <c r="E837" s="18">
        <f t="shared" ca="1" si="29"/>
        <v>7</v>
      </c>
    </row>
    <row r="838" spans="1:5" x14ac:dyDescent="0.25">
      <c r="A838" s="11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19330417</v>
      </c>
      <c r="C838" s="12">
        <v>9</v>
      </c>
      <c r="D838" s="17" t="str">
        <f t="shared" ca="1" si="28"/>
        <v>—</v>
      </c>
      <c r="E838" s="18">
        <f t="shared" ca="1" si="29"/>
        <v>7</v>
      </c>
    </row>
    <row r="839" spans="1:5" x14ac:dyDescent="0.25">
      <c r="A839" s="11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19330418</v>
      </c>
      <c r="C839" s="12">
        <v>9</v>
      </c>
      <c r="D839" s="17" t="str">
        <f t="shared" ca="1" si="28"/>
        <v>—</v>
      </c>
      <c r="E839" s="18">
        <f t="shared" ca="1" si="29"/>
        <v>7</v>
      </c>
    </row>
    <row r="840" spans="1:5" x14ac:dyDescent="0.25">
      <c r="A840" s="11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19330419</v>
      </c>
      <c r="C840" s="12">
        <v>9</v>
      </c>
      <c r="D840" s="17" t="str">
        <f t="shared" ca="1" si="28"/>
        <v>—</v>
      </c>
      <c r="E840" s="18">
        <f t="shared" ca="1" si="29"/>
        <v>7</v>
      </c>
    </row>
    <row r="841" spans="1:5" x14ac:dyDescent="0.25">
      <c r="A841" s="11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19330420</v>
      </c>
      <c r="C841" s="12">
        <v>9</v>
      </c>
      <c r="D841" s="17" t="str">
        <f t="shared" ca="1" si="28"/>
        <v>—</v>
      </c>
      <c r="E841" s="18">
        <f t="shared" ca="1" si="29"/>
        <v>7</v>
      </c>
    </row>
    <row r="842" spans="1:5" x14ac:dyDescent="0.25">
      <c r="A842" s="11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19330421</v>
      </c>
      <c r="C842" s="12">
        <v>9</v>
      </c>
      <c r="D842" s="17" t="str">
        <f t="shared" ca="1" si="28"/>
        <v>—</v>
      </c>
      <c r="E842" s="18">
        <f t="shared" ca="1" si="29"/>
        <v>7</v>
      </c>
    </row>
    <row r="843" spans="1:5" x14ac:dyDescent="0.25">
      <c r="A843" s="11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19330422</v>
      </c>
      <c r="C843" s="12">
        <v>9</v>
      </c>
      <c r="D843" s="17" t="str">
        <f t="shared" ca="1" si="28"/>
        <v>—</v>
      </c>
      <c r="E843" s="18">
        <f t="shared" ca="1" si="29"/>
        <v>7</v>
      </c>
    </row>
    <row r="844" spans="1:5" x14ac:dyDescent="0.25">
      <c r="A844" s="11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19330423</v>
      </c>
      <c r="C844" s="12">
        <v>9</v>
      </c>
      <c r="D844" s="17" t="str">
        <f t="shared" ca="1" si="28"/>
        <v>—</v>
      </c>
      <c r="E844" s="18">
        <f t="shared" ca="1" si="29"/>
        <v>7</v>
      </c>
    </row>
    <row r="845" spans="1:5" x14ac:dyDescent="0.25">
      <c r="A845" s="11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19330424</v>
      </c>
      <c r="C845" s="12">
        <v>9</v>
      </c>
      <c r="D845" s="17" t="str">
        <f t="shared" ca="1" si="28"/>
        <v>—</v>
      </c>
      <c r="E845" s="18">
        <f t="shared" ca="1" si="29"/>
        <v>7</v>
      </c>
    </row>
    <row r="846" spans="1:5" x14ac:dyDescent="0.25">
      <c r="A846" s="11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19330425</v>
      </c>
      <c r="C846" s="12">
        <v>9</v>
      </c>
      <c r="D846" s="17" t="str">
        <f t="shared" ca="1" si="28"/>
        <v>—</v>
      </c>
      <c r="E846" s="18">
        <f t="shared" ca="1" si="29"/>
        <v>7</v>
      </c>
    </row>
    <row r="847" spans="1:5" x14ac:dyDescent="0.25">
      <c r="A847" s="11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19330426</v>
      </c>
      <c r="C847" s="12">
        <v>9</v>
      </c>
      <c r="D847" s="17" t="str">
        <f t="shared" ca="1" si="28"/>
        <v>—</v>
      </c>
      <c r="E847" s="18">
        <f t="shared" ca="1" si="29"/>
        <v>7</v>
      </c>
    </row>
    <row r="848" spans="1:5" x14ac:dyDescent="0.25">
      <c r="A848" s="11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19330427</v>
      </c>
      <c r="C848" s="12">
        <v>9</v>
      </c>
      <c r="D848" s="17" t="str">
        <f t="shared" ca="1" si="28"/>
        <v>—</v>
      </c>
      <c r="E848" s="18">
        <f t="shared" ca="1" si="29"/>
        <v>7</v>
      </c>
    </row>
    <row r="849" spans="1:5" x14ac:dyDescent="0.25">
      <c r="A849" s="11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19330428</v>
      </c>
      <c r="C849" s="12">
        <v>9</v>
      </c>
      <c r="D849" s="17" t="str">
        <f t="shared" ca="1" si="28"/>
        <v>—</v>
      </c>
      <c r="E849" s="18">
        <f t="shared" ca="1" si="29"/>
        <v>7</v>
      </c>
    </row>
    <row r="850" spans="1:5" x14ac:dyDescent="0.25">
      <c r="A850" s="11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19330429</v>
      </c>
      <c r="C850" s="12">
        <v>9</v>
      </c>
      <c r="D850" s="17" t="str">
        <f t="shared" ca="1" si="28"/>
        <v>—</v>
      </c>
      <c r="E850" s="18">
        <f t="shared" ca="1" si="29"/>
        <v>7</v>
      </c>
    </row>
    <row r="851" spans="1:5" x14ac:dyDescent="0.25">
      <c r="A851" s="11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19330430</v>
      </c>
      <c r="C851" s="12">
        <v>9</v>
      </c>
      <c r="D851" s="17" t="str">
        <f t="shared" ca="1" si="28"/>
        <v>—</v>
      </c>
      <c r="E851" s="18">
        <f t="shared" ca="1" si="29"/>
        <v>7</v>
      </c>
    </row>
    <row r="852" spans="1:5" x14ac:dyDescent="0.25">
      <c r="A852" s="11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19330501</v>
      </c>
      <c r="C852" s="12">
        <v>9</v>
      </c>
      <c r="D852" s="17" t="str">
        <f t="shared" ca="1" si="28"/>
        <v>—</v>
      </c>
      <c r="E852" s="18">
        <f t="shared" ca="1" si="29"/>
        <v>7</v>
      </c>
    </row>
    <row r="853" spans="1:5" x14ac:dyDescent="0.25">
      <c r="A853" s="11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19330502</v>
      </c>
      <c r="C853" s="12">
        <v>9</v>
      </c>
      <c r="D853" s="17" t="str">
        <f t="shared" ca="1" si="28"/>
        <v>—</v>
      </c>
      <c r="E853" s="18">
        <f t="shared" ca="1" si="29"/>
        <v>7</v>
      </c>
    </row>
    <row r="854" spans="1:5" x14ac:dyDescent="0.25">
      <c r="A854" s="11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19330503</v>
      </c>
      <c r="C854" s="12">
        <v>9</v>
      </c>
      <c r="D854" s="17" t="str">
        <f t="shared" ca="1" si="28"/>
        <v>—</v>
      </c>
      <c r="E854" s="18">
        <f t="shared" ca="1" si="29"/>
        <v>7</v>
      </c>
    </row>
    <row r="855" spans="1:5" x14ac:dyDescent="0.25">
      <c r="A855" s="11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19330504</v>
      </c>
      <c r="C855" s="12">
        <v>9</v>
      </c>
      <c r="D855" s="17" t="str">
        <f t="shared" ca="1" si="28"/>
        <v>—</v>
      </c>
      <c r="E855" s="18">
        <f t="shared" ca="1" si="29"/>
        <v>7</v>
      </c>
    </row>
    <row r="856" spans="1:5" x14ac:dyDescent="0.25">
      <c r="A856" s="11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19330505</v>
      </c>
      <c r="C856" s="12">
        <v>9</v>
      </c>
      <c r="D856" s="17" t="str">
        <f t="shared" ca="1" si="28"/>
        <v>—</v>
      </c>
      <c r="E856" s="18">
        <f t="shared" ca="1" si="29"/>
        <v>7</v>
      </c>
    </row>
    <row r="857" spans="1:5" x14ac:dyDescent="0.25">
      <c r="A857" s="11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19330506</v>
      </c>
      <c r="C857" s="12">
        <v>9</v>
      </c>
      <c r="D857" s="17" t="str">
        <f t="shared" ca="1" si="28"/>
        <v>—</v>
      </c>
      <c r="E857" s="18">
        <f t="shared" ca="1" si="29"/>
        <v>7</v>
      </c>
    </row>
    <row r="858" spans="1:5" x14ac:dyDescent="0.25">
      <c r="A858" s="11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19330507</v>
      </c>
      <c r="C858" s="12">
        <v>9</v>
      </c>
      <c r="D858" s="17" t="str">
        <f t="shared" ca="1" si="28"/>
        <v>—</v>
      </c>
      <c r="E858" s="18">
        <f t="shared" ca="1" si="29"/>
        <v>7</v>
      </c>
    </row>
    <row r="859" spans="1:5" x14ac:dyDescent="0.25">
      <c r="A859" s="11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19330508</v>
      </c>
      <c r="C859" s="12">
        <v>9</v>
      </c>
      <c r="D859" s="17" t="str">
        <f t="shared" ca="1" si="28"/>
        <v>—</v>
      </c>
      <c r="E859" s="18">
        <f t="shared" ca="1" si="29"/>
        <v>7</v>
      </c>
    </row>
    <row r="860" spans="1:5" x14ac:dyDescent="0.25">
      <c r="A860" s="11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19330509</v>
      </c>
      <c r="C860" s="12">
        <v>9</v>
      </c>
      <c r="D860" s="17" t="str">
        <f t="shared" ca="1" si="28"/>
        <v>—</v>
      </c>
      <c r="E860" s="18">
        <f t="shared" ca="1" si="29"/>
        <v>7</v>
      </c>
    </row>
    <row r="861" spans="1:5" x14ac:dyDescent="0.25">
      <c r="A861" s="11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19330510</v>
      </c>
      <c r="C861" s="12">
        <v>9</v>
      </c>
      <c r="D861" s="17" t="str">
        <f t="shared" ca="1" si="28"/>
        <v>—</v>
      </c>
      <c r="E861" s="18">
        <f t="shared" ca="1" si="29"/>
        <v>7</v>
      </c>
    </row>
    <row r="862" spans="1:5" x14ac:dyDescent="0.25">
      <c r="A862" s="11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19330511</v>
      </c>
      <c r="C862" s="12">
        <v>9</v>
      </c>
      <c r="D862" s="17" t="str">
        <f t="shared" ca="1" si="28"/>
        <v>—</v>
      </c>
      <c r="E862" s="18">
        <f t="shared" ca="1" si="29"/>
        <v>7</v>
      </c>
    </row>
    <row r="863" spans="1:5" x14ac:dyDescent="0.25">
      <c r="A863" s="11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19330512</v>
      </c>
      <c r="C863" s="12">
        <v>9</v>
      </c>
      <c r="D863" s="17" t="str">
        <f t="shared" ca="1" si="28"/>
        <v>—</v>
      </c>
      <c r="E863" s="18">
        <f t="shared" ca="1" si="29"/>
        <v>7</v>
      </c>
    </row>
    <row r="864" spans="1:5" x14ac:dyDescent="0.25">
      <c r="A864" s="11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19330513</v>
      </c>
      <c r="C864" s="12">
        <v>9</v>
      </c>
      <c r="D864" s="17" t="str">
        <f t="shared" ca="1" si="28"/>
        <v>—</v>
      </c>
      <c r="E864" s="18">
        <f t="shared" ca="1" si="29"/>
        <v>7</v>
      </c>
    </row>
    <row r="865" spans="1:5" x14ac:dyDescent="0.25">
      <c r="A865" s="11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19330514</v>
      </c>
      <c r="C865" s="12">
        <v>9</v>
      </c>
      <c r="D865" s="17" t="str">
        <f t="shared" ca="1" si="28"/>
        <v>—</v>
      </c>
      <c r="E865" s="18">
        <f t="shared" ca="1" si="29"/>
        <v>7</v>
      </c>
    </row>
    <row r="866" spans="1:5" x14ac:dyDescent="0.25">
      <c r="A866" s="11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19330515</v>
      </c>
      <c r="C866" s="12">
        <v>9</v>
      </c>
      <c r="D866" s="17" t="str">
        <f t="shared" ca="1" si="28"/>
        <v>—</v>
      </c>
      <c r="E866" s="18">
        <f t="shared" ca="1" si="29"/>
        <v>7</v>
      </c>
    </row>
    <row r="867" spans="1:5" x14ac:dyDescent="0.25">
      <c r="A867" s="11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19330516</v>
      </c>
      <c r="C867" s="12">
        <v>9</v>
      </c>
      <c r="D867" s="17" t="str">
        <f t="shared" ca="1" si="28"/>
        <v>—</v>
      </c>
      <c r="E867" s="18">
        <f t="shared" ca="1" si="29"/>
        <v>7</v>
      </c>
    </row>
    <row r="868" spans="1:5" x14ac:dyDescent="0.25">
      <c r="A868" s="11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19330517</v>
      </c>
      <c r="C868" s="12">
        <v>9</v>
      </c>
      <c r="D868" s="17" t="str">
        <f t="shared" ref="D868:D931" ca="1" si="30">IF(OR(ISBLANK(VLOOKUP(DATEVALUE(LEFT(B868,4)&amp;"-"&amp;MID(B868,5,2)&amp;"-"&amp;RIGHT(B868,2)),Data,MATCH(VLOOKUP(A868,Stations,2,FALSE()),OFFSET(Data,1,0,1),0),FALSE())),ISTEXT(VLOOKUP(DATEVALUE(LEFT(B868,4)&amp;"-"&amp;MID(B868,5,2)&amp;"-"&amp;RIGHT(B868,2)),Data,MATCH(VLOOKUP(A868,Stations,2,FALSE()),OFFSET(Data,1,0,1),0),FALSE()))),"—",VLOOKUP(DATEVALUE(LEFT(B868,4)&amp;"-"&amp;MID(B868,5,2)&amp;"-"&amp;RIGHT(B868,2)),Data,MATCH(VLOOKUP(A868,Stations,2,FALSE()),OFFSET(Data,1,0,1),0),FALSE()))</f>
        <v>—</v>
      </c>
      <c r="E868" s="18">
        <f t="shared" ref="E868:E931" ca="1" si="31">IF(OR(ISBLANK(VLOOKUP(DATEVALUE(LEFT(B868,4)&amp;"-"&amp;MID(B868,5,2)&amp;"-"&amp;RIGHT(B868,2)),Data,MATCH(VLOOKUP(A868,Stations,2,FALSE()),OFFSET(Data,1,0,1),0),FALSE())),ISTEXT(VLOOKUP(DATEVALUE(LEFT(B868,4)&amp;"-"&amp;MID(B868,5,2)&amp;"-"&amp;RIGHT(B868,2)),Data,MATCH(VLOOKUP(A868,Stations,2,FALSE()),OFFSET(Data,1,0,1),0),FALSE()))),Lacking,IF(ISNA(MATCH(DATEVALUE(LEFT(B868,4)&amp;"-"&amp;MID(B868,5,2)&amp;"-"&amp;RIGHT(B868,2)),OFFSET(Catalogus,0,0,,1),0)),Ok,VLOOKUP(DATEVALUE(LEFT(B868,4)&amp;"-"&amp;MID(B868,5,2)&amp;"-"&amp;RIGHT(B868,2)),Catalogus,MATCH(VLOOKUP(A868,Stations,2,FALSE()),OFFSET(Catalogus,1,0,1),0),FALSE())))</f>
        <v>7</v>
      </c>
    </row>
    <row r="869" spans="1:5" x14ac:dyDescent="0.25">
      <c r="A869" s="11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19330518</v>
      </c>
      <c r="C869" s="12">
        <v>9</v>
      </c>
      <c r="D869" s="17" t="str">
        <f t="shared" ca="1" si="30"/>
        <v>—</v>
      </c>
      <c r="E869" s="18">
        <f t="shared" ca="1" si="31"/>
        <v>7</v>
      </c>
    </row>
    <row r="870" spans="1:5" x14ac:dyDescent="0.25">
      <c r="A870" s="11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19330519</v>
      </c>
      <c r="C870" s="12">
        <v>9</v>
      </c>
      <c r="D870" s="17" t="str">
        <f t="shared" ca="1" si="30"/>
        <v>—</v>
      </c>
      <c r="E870" s="18">
        <f t="shared" ca="1" si="31"/>
        <v>7</v>
      </c>
    </row>
    <row r="871" spans="1:5" x14ac:dyDescent="0.25">
      <c r="A871" s="11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19330520</v>
      </c>
      <c r="C871" s="12">
        <v>9</v>
      </c>
      <c r="D871" s="17" t="str">
        <f t="shared" ca="1" si="30"/>
        <v>—</v>
      </c>
      <c r="E871" s="18">
        <f t="shared" ca="1" si="31"/>
        <v>7</v>
      </c>
    </row>
    <row r="872" spans="1:5" x14ac:dyDescent="0.25">
      <c r="A872" s="11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19330521</v>
      </c>
      <c r="C872" s="12">
        <v>9</v>
      </c>
      <c r="D872" s="17" t="str">
        <f t="shared" ca="1" si="30"/>
        <v>—</v>
      </c>
      <c r="E872" s="18">
        <f t="shared" ca="1" si="31"/>
        <v>7</v>
      </c>
    </row>
    <row r="873" spans="1:5" x14ac:dyDescent="0.25">
      <c r="A873" s="11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19330522</v>
      </c>
      <c r="C873" s="12">
        <v>9</v>
      </c>
      <c r="D873" s="17" t="str">
        <f t="shared" ca="1" si="30"/>
        <v>—</v>
      </c>
      <c r="E873" s="18">
        <f t="shared" ca="1" si="31"/>
        <v>7</v>
      </c>
    </row>
    <row r="874" spans="1:5" x14ac:dyDescent="0.25">
      <c r="A874" s="11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19330523</v>
      </c>
      <c r="C874" s="12">
        <v>9</v>
      </c>
      <c r="D874" s="17" t="str">
        <f t="shared" ca="1" si="30"/>
        <v>—</v>
      </c>
      <c r="E874" s="18">
        <f t="shared" ca="1" si="31"/>
        <v>7</v>
      </c>
    </row>
    <row r="875" spans="1:5" x14ac:dyDescent="0.25">
      <c r="A875" s="11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19330524</v>
      </c>
      <c r="C875" s="12">
        <v>9</v>
      </c>
      <c r="D875" s="17" t="str">
        <f t="shared" ca="1" si="30"/>
        <v>—</v>
      </c>
      <c r="E875" s="18">
        <f t="shared" ca="1" si="31"/>
        <v>7</v>
      </c>
    </row>
    <row r="876" spans="1:5" x14ac:dyDescent="0.25">
      <c r="A876" s="11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19330525</v>
      </c>
      <c r="C876" s="12">
        <v>9</v>
      </c>
      <c r="D876" s="17" t="str">
        <f t="shared" ca="1" si="30"/>
        <v>—</v>
      </c>
      <c r="E876" s="18">
        <f t="shared" ca="1" si="31"/>
        <v>7</v>
      </c>
    </row>
    <row r="877" spans="1:5" x14ac:dyDescent="0.25">
      <c r="A877" s="11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19330526</v>
      </c>
      <c r="C877" s="12">
        <v>9</v>
      </c>
      <c r="D877" s="17" t="str">
        <f t="shared" ca="1" si="30"/>
        <v>—</v>
      </c>
      <c r="E877" s="18">
        <f t="shared" ca="1" si="31"/>
        <v>7</v>
      </c>
    </row>
    <row r="878" spans="1:5" x14ac:dyDescent="0.25">
      <c r="A878" s="11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19330527</v>
      </c>
      <c r="C878" s="12">
        <v>9</v>
      </c>
      <c r="D878" s="17" t="str">
        <f t="shared" ca="1" si="30"/>
        <v>—</v>
      </c>
      <c r="E878" s="18">
        <f t="shared" ca="1" si="31"/>
        <v>7</v>
      </c>
    </row>
    <row r="879" spans="1:5" x14ac:dyDescent="0.25">
      <c r="A879" s="11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19330528</v>
      </c>
      <c r="C879" s="12">
        <v>9</v>
      </c>
      <c r="D879" s="17" t="str">
        <f t="shared" ca="1" si="30"/>
        <v>—</v>
      </c>
      <c r="E879" s="18">
        <f t="shared" ca="1" si="31"/>
        <v>7</v>
      </c>
    </row>
    <row r="880" spans="1:5" x14ac:dyDescent="0.25">
      <c r="A880" s="11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19330529</v>
      </c>
      <c r="C880" s="12">
        <v>9</v>
      </c>
      <c r="D880" s="17" t="str">
        <f t="shared" ca="1" si="30"/>
        <v>—</v>
      </c>
      <c r="E880" s="18">
        <f t="shared" ca="1" si="31"/>
        <v>7</v>
      </c>
    </row>
    <row r="881" spans="1:5" x14ac:dyDescent="0.25">
      <c r="A881" s="11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19330530</v>
      </c>
      <c r="C881" s="12">
        <v>9</v>
      </c>
      <c r="D881" s="17" t="str">
        <f t="shared" ca="1" si="30"/>
        <v>—</v>
      </c>
      <c r="E881" s="18">
        <f t="shared" ca="1" si="31"/>
        <v>7</v>
      </c>
    </row>
    <row r="882" spans="1:5" x14ac:dyDescent="0.25">
      <c r="A882" s="11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19330531</v>
      </c>
      <c r="C882" s="12">
        <v>9</v>
      </c>
      <c r="D882" s="17" t="str">
        <f t="shared" ca="1" si="30"/>
        <v>—</v>
      </c>
      <c r="E882" s="18">
        <f t="shared" ca="1" si="31"/>
        <v>7</v>
      </c>
    </row>
    <row r="883" spans="1:5" x14ac:dyDescent="0.25">
      <c r="A883" s="11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19330601</v>
      </c>
      <c r="C883" s="12">
        <v>9</v>
      </c>
      <c r="D883" s="17" t="str">
        <f t="shared" ca="1" si="30"/>
        <v>—</v>
      </c>
      <c r="E883" s="18">
        <f t="shared" ca="1" si="31"/>
        <v>7</v>
      </c>
    </row>
    <row r="884" spans="1:5" x14ac:dyDescent="0.25">
      <c r="A884" s="11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19330602</v>
      </c>
      <c r="C884" s="12">
        <v>9</v>
      </c>
      <c r="D884" s="17" t="str">
        <f t="shared" ca="1" si="30"/>
        <v>—</v>
      </c>
      <c r="E884" s="18">
        <f t="shared" ca="1" si="31"/>
        <v>7</v>
      </c>
    </row>
    <row r="885" spans="1:5" x14ac:dyDescent="0.25">
      <c r="A885" s="11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19330603</v>
      </c>
      <c r="C885" s="12">
        <v>9</v>
      </c>
      <c r="D885" s="17" t="str">
        <f t="shared" ca="1" si="30"/>
        <v>—</v>
      </c>
      <c r="E885" s="18">
        <f t="shared" ca="1" si="31"/>
        <v>7</v>
      </c>
    </row>
    <row r="886" spans="1:5" x14ac:dyDescent="0.25">
      <c r="A886" s="11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19330604</v>
      </c>
      <c r="C886" s="12">
        <v>9</v>
      </c>
      <c r="D886" s="17" t="str">
        <f t="shared" ca="1" si="30"/>
        <v>—</v>
      </c>
      <c r="E886" s="18">
        <f t="shared" ca="1" si="31"/>
        <v>7</v>
      </c>
    </row>
    <row r="887" spans="1:5" x14ac:dyDescent="0.25">
      <c r="A887" s="11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19330605</v>
      </c>
      <c r="C887" s="12">
        <v>9</v>
      </c>
      <c r="D887" s="17" t="str">
        <f t="shared" ca="1" si="30"/>
        <v>—</v>
      </c>
      <c r="E887" s="18">
        <f t="shared" ca="1" si="31"/>
        <v>7</v>
      </c>
    </row>
    <row r="888" spans="1:5" x14ac:dyDescent="0.25">
      <c r="A888" s="11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19330606</v>
      </c>
      <c r="C888" s="12">
        <v>9</v>
      </c>
      <c r="D888" s="17" t="str">
        <f t="shared" ca="1" si="30"/>
        <v>—</v>
      </c>
      <c r="E888" s="18">
        <f t="shared" ca="1" si="31"/>
        <v>7</v>
      </c>
    </row>
    <row r="889" spans="1:5" x14ac:dyDescent="0.25">
      <c r="A889" s="11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19330607</v>
      </c>
      <c r="C889" s="12">
        <v>9</v>
      </c>
      <c r="D889" s="17" t="str">
        <f t="shared" ca="1" si="30"/>
        <v>—</v>
      </c>
      <c r="E889" s="18">
        <f t="shared" ca="1" si="31"/>
        <v>7</v>
      </c>
    </row>
    <row r="890" spans="1:5" x14ac:dyDescent="0.25">
      <c r="A890" s="11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19330608</v>
      </c>
      <c r="C890" s="12">
        <v>9</v>
      </c>
      <c r="D890" s="17" t="str">
        <f t="shared" ca="1" si="30"/>
        <v>—</v>
      </c>
      <c r="E890" s="18">
        <f t="shared" ca="1" si="31"/>
        <v>7</v>
      </c>
    </row>
    <row r="891" spans="1:5" x14ac:dyDescent="0.25">
      <c r="A891" s="11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19330609</v>
      </c>
      <c r="C891" s="12">
        <v>9</v>
      </c>
      <c r="D891" s="17" t="str">
        <f t="shared" ca="1" si="30"/>
        <v>—</v>
      </c>
      <c r="E891" s="18">
        <f t="shared" ca="1" si="31"/>
        <v>7</v>
      </c>
    </row>
    <row r="892" spans="1:5" x14ac:dyDescent="0.25">
      <c r="A892" s="11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19330610</v>
      </c>
      <c r="C892" s="12">
        <v>9</v>
      </c>
      <c r="D892" s="17" t="str">
        <f t="shared" ca="1" si="30"/>
        <v>—</v>
      </c>
      <c r="E892" s="18">
        <f t="shared" ca="1" si="31"/>
        <v>7</v>
      </c>
    </row>
    <row r="893" spans="1:5" x14ac:dyDescent="0.25">
      <c r="A893" s="11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19330611</v>
      </c>
      <c r="C893" s="12">
        <v>9</v>
      </c>
      <c r="D893" s="17" t="str">
        <f t="shared" ca="1" si="30"/>
        <v>—</v>
      </c>
      <c r="E893" s="18">
        <f t="shared" ca="1" si="31"/>
        <v>7</v>
      </c>
    </row>
    <row r="894" spans="1:5" x14ac:dyDescent="0.25">
      <c r="A894" s="11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19330612</v>
      </c>
      <c r="C894" s="12">
        <v>9</v>
      </c>
      <c r="D894" s="17" t="str">
        <f t="shared" ca="1" si="30"/>
        <v>—</v>
      </c>
      <c r="E894" s="18">
        <f t="shared" ca="1" si="31"/>
        <v>7</v>
      </c>
    </row>
    <row r="895" spans="1:5" x14ac:dyDescent="0.25">
      <c r="A895" s="11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19330613</v>
      </c>
      <c r="C895" s="12">
        <v>9</v>
      </c>
      <c r="D895" s="17" t="str">
        <f t="shared" ca="1" si="30"/>
        <v>—</v>
      </c>
      <c r="E895" s="18">
        <f t="shared" ca="1" si="31"/>
        <v>7</v>
      </c>
    </row>
    <row r="896" spans="1:5" x14ac:dyDescent="0.25">
      <c r="A896" s="11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19330614</v>
      </c>
      <c r="C896" s="12">
        <v>9</v>
      </c>
      <c r="D896" s="17" t="str">
        <f t="shared" ca="1" si="30"/>
        <v>—</v>
      </c>
      <c r="E896" s="18">
        <f t="shared" ca="1" si="31"/>
        <v>7</v>
      </c>
    </row>
    <row r="897" spans="1:5" x14ac:dyDescent="0.25">
      <c r="A897" s="11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19330615</v>
      </c>
      <c r="C897" s="12">
        <v>9</v>
      </c>
      <c r="D897" s="17" t="str">
        <f t="shared" ca="1" si="30"/>
        <v>—</v>
      </c>
      <c r="E897" s="18">
        <f t="shared" ca="1" si="31"/>
        <v>7</v>
      </c>
    </row>
    <row r="898" spans="1:5" x14ac:dyDescent="0.25">
      <c r="A898" s="11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19330616</v>
      </c>
      <c r="C898" s="12">
        <v>9</v>
      </c>
      <c r="D898" s="17" t="str">
        <f t="shared" ca="1" si="30"/>
        <v>—</v>
      </c>
      <c r="E898" s="18">
        <f t="shared" ca="1" si="31"/>
        <v>7</v>
      </c>
    </row>
    <row r="899" spans="1:5" x14ac:dyDescent="0.25">
      <c r="A899" s="11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19330617</v>
      </c>
      <c r="C899" s="12">
        <v>9</v>
      </c>
      <c r="D899" s="17" t="str">
        <f t="shared" ca="1" si="30"/>
        <v>—</v>
      </c>
      <c r="E899" s="18">
        <f t="shared" ca="1" si="31"/>
        <v>7</v>
      </c>
    </row>
    <row r="900" spans="1:5" x14ac:dyDescent="0.25">
      <c r="A900" s="11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19330618</v>
      </c>
      <c r="C900" s="12">
        <v>9</v>
      </c>
      <c r="D900" s="17" t="str">
        <f t="shared" ca="1" si="30"/>
        <v>—</v>
      </c>
      <c r="E900" s="18">
        <f t="shared" ca="1" si="31"/>
        <v>7</v>
      </c>
    </row>
    <row r="901" spans="1:5" x14ac:dyDescent="0.25">
      <c r="A901" s="11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19330619</v>
      </c>
      <c r="C901" s="12">
        <v>9</v>
      </c>
      <c r="D901" s="17" t="str">
        <f t="shared" ca="1" si="30"/>
        <v>—</v>
      </c>
      <c r="E901" s="18">
        <f t="shared" ca="1" si="31"/>
        <v>7</v>
      </c>
    </row>
    <row r="902" spans="1:5" x14ac:dyDescent="0.25">
      <c r="A902" s="11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19330620</v>
      </c>
      <c r="C902" s="12">
        <v>9</v>
      </c>
      <c r="D902" s="17" t="str">
        <f t="shared" ca="1" si="30"/>
        <v>—</v>
      </c>
      <c r="E902" s="18">
        <f t="shared" ca="1" si="31"/>
        <v>7</v>
      </c>
    </row>
    <row r="903" spans="1:5" x14ac:dyDescent="0.25">
      <c r="A903" s="11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19330621</v>
      </c>
      <c r="C903" s="12">
        <v>9</v>
      </c>
      <c r="D903" s="17" t="str">
        <f t="shared" ca="1" si="30"/>
        <v>—</v>
      </c>
      <c r="E903" s="18">
        <f t="shared" ca="1" si="31"/>
        <v>7</v>
      </c>
    </row>
    <row r="904" spans="1:5" x14ac:dyDescent="0.25">
      <c r="A904" s="11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19330622</v>
      </c>
      <c r="C904" s="12">
        <v>9</v>
      </c>
      <c r="D904" s="17" t="str">
        <f t="shared" ca="1" si="30"/>
        <v>—</v>
      </c>
      <c r="E904" s="18">
        <f t="shared" ca="1" si="31"/>
        <v>7</v>
      </c>
    </row>
    <row r="905" spans="1:5" x14ac:dyDescent="0.25">
      <c r="A905" s="11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19330623</v>
      </c>
      <c r="C905" s="12">
        <v>9</v>
      </c>
      <c r="D905" s="17" t="str">
        <f t="shared" ca="1" si="30"/>
        <v>—</v>
      </c>
      <c r="E905" s="18">
        <f t="shared" ca="1" si="31"/>
        <v>7</v>
      </c>
    </row>
    <row r="906" spans="1:5" x14ac:dyDescent="0.25">
      <c r="A906" s="11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19330624</v>
      </c>
      <c r="C906" s="12">
        <v>9</v>
      </c>
      <c r="D906" s="17" t="str">
        <f t="shared" ca="1" si="30"/>
        <v>—</v>
      </c>
      <c r="E906" s="18">
        <f t="shared" ca="1" si="31"/>
        <v>7</v>
      </c>
    </row>
    <row r="907" spans="1:5" x14ac:dyDescent="0.25">
      <c r="A907" s="11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19330625</v>
      </c>
      <c r="C907" s="12">
        <v>9</v>
      </c>
      <c r="D907" s="17" t="str">
        <f t="shared" ca="1" si="30"/>
        <v>—</v>
      </c>
      <c r="E907" s="18">
        <f t="shared" ca="1" si="31"/>
        <v>7</v>
      </c>
    </row>
    <row r="908" spans="1:5" x14ac:dyDescent="0.25">
      <c r="A908" s="11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19330626</v>
      </c>
      <c r="C908" s="12">
        <v>9</v>
      </c>
      <c r="D908" s="17" t="str">
        <f t="shared" ca="1" si="30"/>
        <v>—</v>
      </c>
      <c r="E908" s="18">
        <f t="shared" ca="1" si="31"/>
        <v>7</v>
      </c>
    </row>
    <row r="909" spans="1:5" x14ac:dyDescent="0.25">
      <c r="A909" s="11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19330627</v>
      </c>
      <c r="C909" s="12">
        <v>9</v>
      </c>
      <c r="D909" s="17" t="str">
        <f t="shared" ca="1" si="30"/>
        <v>—</v>
      </c>
      <c r="E909" s="18">
        <f t="shared" ca="1" si="31"/>
        <v>7</v>
      </c>
    </row>
    <row r="910" spans="1:5" x14ac:dyDescent="0.25">
      <c r="A910" s="11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19330628</v>
      </c>
      <c r="C910" s="12">
        <v>9</v>
      </c>
      <c r="D910" s="17" t="str">
        <f t="shared" ca="1" si="30"/>
        <v>—</v>
      </c>
      <c r="E910" s="18">
        <f t="shared" ca="1" si="31"/>
        <v>7</v>
      </c>
    </row>
    <row r="911" spans="1:5" x14ac:dyDescent="0.25">
      <c r="A911" s="11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19330629</v>
      </c>
      <c r="C911" s="12">
        <v>9</v>
      </c>
      <c r="D911" s="17" t="str">
        <f t="shared" ca="1" si="30"/>
        <v>—</v>
      </c>
      <c r="E911" s="18">
        <f t="shared" ca="1" si="31"/>
        <v>7</v>
      </c>
    </row>
    <row r="912" spans="1:5" x14ac:dyDescent="0.25">
      <c r="A912" s="11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19330630</v>
      </c>
      <c r="C912" s="12">
        <v>9</v>
      </c>
      <c r="D912" s="17" t="str">
        <f t="shared" ca="1" si="30"/>
        <v>—</v>
      </c>
      <c r="E912" s="18">
        <f t="shared" ca="1" si="31"/>
        <v>7</v>
      </c>
    </row>
    <row r="913" spans="1:5" x14ac:dyDescent="0.25">
      <c r="A913" s="11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19330701</v>
      </c>
      <c r="C913" s="12">
        <v>9</v>
      </c>
      <c r="D913" s="17" t="str">
        <f t="shared" ca="1" si="30"/>
        <v>—</v>
      </c>
      <c r="E913" s="18">
        <f t="shared" ca="1" si="31"/>
        <v>7</v>
      </c>
    </row>
    <row r="914" spans="1:5" x14ac:dyDescent="0.25">
      <c r="A914" s="11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19330702</v>
      </c>
      <c r="C914" s="12">
        <v>9</v>
      </c>
      <c r="D914" s="17" t="str">
        <f t="shared" ca="1" si="30"/>
        <v>—</v>
      </c>
      <c r="E914" s="18">
        <f t="shared" ca="1" si="31"/>
        <v>7</v>
      </c>
    </row>
    <row r="915" spans="1:5" x14ac:dyDescent="0.25">
      <c r="A915" s="11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19330703</v>
      </c>
      <c r="C915" s="12">
        <v>9</v>
      </c>
      <c r="D915" s="17" t="str">
        <f t="shared" ca="1" si="30"/>
        <v>—</v>
      </c>
      <c r="E915" s="18">
        <f t="shared" ca="1" si="31"/>
        <v>7</v>
      </c>
    </row>
    <row r="916" spans="1:5" x14ac:dyDescent="0.25">
      <c r="A916" s="11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19330704</v>
      </c>
      <c r="C916" s="12">
        <v>9</v>
      </c>
      <c r="D916" s="17" t="str">
        <f t="shared" ca="1" si="30"/>
        <v>—</v>
      </c>
      <c r="E916" s="18">
        <f t="shared" ca="1" si="31"/>
        <v>7</v>
      </c>
    </row>
    <row r="917" spans="1:5" x14ac:dyDescent="0.25">
      <c r="A917" s="11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19330705</v>
      </c>
      <c r="C917" s="12">
        <v>9</v>
      </c>
      <c r="D917" s="17" t="str">
        <f t="shared" ca="1" si="30"/>
        <v>—</v>
      </c>
      <c r="E917" s="18">
        <f t="shared" ca="1" si="31"/>
        <v>7</v>
      </c>
    </row>
    <row r="918" spans="1:5" x14ac:dyDescent="0.25">
      <c r="A918" s="11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19330706</v>
      </c>
      <c r="C918" s="12">
        <v>9</v>
      </c>
      <c r="D918" s="17" t="str">
        <f t="shared" ca="1" si="30"/>
        <v>—</v>
      </c>
      <c r="E918" s="18">
        <f t="shared" ca="1" si="31"/>
        <v>7</v>
      </c>
    </row>
    <row r="919" spans="1:5" x14ac:dyDescent="0.25">
      <c r="A919" s="11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19330707</v>
      </c>
      <c r="C919" s="12">
        <v>9</v>
      </c>
      <c r="D919" s="17" t="str">
        <f t="shared" ca="1" si="30"/>
        <v>—</v>
      </c>
      <c r="E919" s="18">
        <f t="shared" ca="1" si="31"/>
        <v>7</v>
      </c>
    </row>
    <row r="920" spans="1:5" x14ac:dyDescent="0.25">
      <c r="A920" s="11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19330708</v>
      </c>
      <c r="C920" s="12">
        <v>9</v>
      </c>
      <c r="D920" s="17" t="str">
        <f t="shared" ca="1" si="30"/>
        <v>—</v>
      </c>
      <c r="E920" s="18">
        <f t="shared" ca="1" si="31"/>
        <v>7</v>
      </c>
    </row>
    <row r="921" spans="1:5" x14ac:dyDescent="0.25">
      <c r="A921" s="11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19330709</v>
      </c>
      <c r="C921" s="12">
        <v>9</v>
      </c>
      <c r="D921" s="17" t="str">
        <f t="shared" ca="1" si="30"/>
        <v>—</v>
      </c>
      <c r="E921" s="18">
        <f t="shared" ca="1" si="31"/>
        <v>7</v>
      </c>
    </row>
    <row r="922" spans="1:5" x14ac:dyDescent="0.25">
      <c r="A922" s="11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19330710</v>
      </c>
      <c r="C922" s="12">
        <v>9</v>
      </c>
      <c r="D922" s="17" t="str">
        <f t="shared" ca="1" si="30"/>
        <v>—</v>
      </c>
      <c r="E922" s="18">
        <f t="shared" ca="1" si="31"/>
        <v>7</v>
      </c>
    </row>
    <row r="923" spans="1:5" x14ac:dyDescent="0.25">
      <c r="A923" s="11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19330711</v>
      </c>
      <c r="C923" s="12">
        <v>9</v>
      </c>
      <c r="D923" s="17" t="str">
        <f t="shared" ca="1" si="30"/>
        <v>—</v>
      </c>
      <c r="E923" s="18">
        <f t="shared" ca="1" si="31"/>
        <v>7</v>
      </c>
    </row>
    <row r="924" spans="1:5" x14ac:dyDescent="0.25">
      <c r="A924" s="11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19330712</v>
      </c>
      <c r="C924" s="12">
        <v>9</v>
      </c>
      <c r="D924" s="17" t="str">
        <f t="shared" ca="1" si="30"/>
        <v>—</v>
      </c>
      <c r="E924" s="18">
        <f t="shared" ca="1" si="31"/>
        <v>7</v>
      </c>
    </row>
    <row r="925" spans="1:5" x14ac:dyDescent="0.25">
      <c r="A925" s="11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19330713</v>
      </c>
      <c r="C925" s="12">
        <v>9</v>
      </c>
      <c r="D925" s="17" t="str">
        <f t="shared" ca="1" si="30"/>
        <v>—</v>
      </c>
      <c r="E925" s="18">
        <f t="shared" ca="1" si="31"/>
        <v>7</v>
      </c>
    </row>
    <row r="926" spans="1:5" x14ac:dyDescent="0.25">
      <c r="A926" s="11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19330714</v>
      </c>
      <c r="C926" s="12">
        <v>9</v>
      </c>
      <c r="D926" s="17" t="str">
        <f t="shared" ca="1" si="30"/>
        <v>—</v>
      </c>
      <c r="E926" s="18">
        <f t="shared" ca="1" si="31"/>
        <v>7</v>
      </c>
    </row>
    <row r="927" spans="1:5" x14ac:dyDescent="0.25">
      <c r="A927" s="11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19330715</v>
      </c>
      <c r="C927" s="12">
        <v>9</v>
      </c>
      <c r="D927" s="17" t="str">
        <f t="shared" ca="1" si="30"/>
        <v>—</v>
      </c>
      <c r="E927" s="18">
        <f t="shared" ca="1" si="31"/>
        <v>7</v>
      </c>
    </row>
    <row r="928" spans="1:5" x14ac:dyDescent="0.25">
      <c r="A928" s="11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19330716</v>
      </c>
      <c r="C928" s="12">
        <v>9</v>
      </c>
      <c r="D928" s="17" t="str">
        <f t="shared" ca="1" si="30"/>
        <v>—</v>
      </c>
      <c r="E928" s="18">
        <f t="shared" ca="1" si="31"/>
        <v>7</v>
      </c>
    </row>
    <row r="929" spans="1:5" x14ac:dyDescent="0.25">
      <c r="A929" s="11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19330717</v>
      </c>
      <c r="C929" s="12">
        <v>9</v>
      </c>
      <c r="D929" s="17" t="str">
        <f t="shared" ca="1" si="30"/>
        <v>—</v>
      </c>
      <c r="E929" s="18">
        <f t="shared" ca="1" si="31"/>
        <v>7</v>
      </c>
    </row>
    <row r="930" spans="1:5" x14ac:dyDescent="0.25">
      <c r="A930" s="11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19330718</v>
      </c>
      <c r="C930" s="12">
        <v>9</v>
      </c>
      <c r="D930" s="17" t="str">
        <f t="shared" ca="1" si="30"/>
        <v>—</v>
      </c>
      <c r="E930" s="18">
        <f t="shared" ca="1" si="31"/>
        <v>7</v>
      </c>
    </row>
    <row r="931" spans="1:5" x14ac:dyDescent="0.25">
      <c r="A931" s="11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19330719</v>
      </c>
      <c r="C931" s="12">
        <v>9</v>
      </c>
      <c r="D931" s="17" t="str">
        <f t="shared" ca="1" si="30"/>
        <v>—</v>
      </c>
      <c r="E931" s="18">
        <f t="shared" ca="1" si="31"/>
        <v>7</v>
      </c>
    </row>
    <row r="932" spans="1:5" x14ac:dyDescent="0.25">
      <c r="A932" s="11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19330720</v>
      </c>
      <c r="C932" s="12">
        <v>9</v>
      </c>
      <c r="D932" s="17" t="str">
        <f t="shared" ref="D932:D995" ca="1" si="32">IF(OR(ISBLANK(VLOOKUP(DATEVALUE(LEFT(B932,4)&amp;"-"&amp;MID(B932,5,2)&amp;"-"&amp;RIGHT(B932,2)),Data,MATCH(VLOOKUP(A932,Stations,2,FALSE()),OFFSET(Data,1,0,1),0),FALSE())),ISTEXT(VLOOKUP(DATEVALUE(LEFT(B932,4)&amp;"-"&amp;MID(B932,5,2)&amp;"-"&amp;RIGHT(B932,2)),Data,MATCH(VLOOKUP(A932,Stations,2,FALSE()),OFFSET(Data,1,0,1),0),FALSE()))),"—",VLOOKUP(DATEVALUE(LEFT(B932,4)&amp;"-"&amp;MID(B932,5,2)&amp;"-"&amp;RIGHT(B932,2)),Data,MATCH(VLOOKUP(A932,Stations,2,FALSE()),OFFSET(Data,1,0,1),0),FALSE()))</f>
        <v>—</v>
      </c>
      <c r="E932" s="18">
        <f t="shared" ref="E932:E995" ca="1" si="33">IF(OR(ISBLANK(VLOOKUP(DATEVALUE(LEFT(B932,4)&amp;"-"&amp;MID(B932,5,2)&amp;"-"&amp;RIGHT(B932,2)),Data,MATCH(VLOOKUP(A932,Stations,2,FALSE()),OFFSET(Data,1,0,1),0),FALSE())),ISTEXT(VLOOKUP(DATEVALUE(LEFT(B932,4)&amp;"-"&amp;MID(B932,5,2)&amp;"-"&amp;RIGHT(B932,2)),Data,MATCH(VLOOKUP(A932,Stations,2,FALSE()),OFFSET(Data,1,0,1),0),FALSE()))),Lacking,IF(ISNA(MATCH(DATEVALUE(LEFT(B932,4)&amp;"-"&amp;MID(B932,5,2)&amp;"-"&amp;RIGHT(B932,2)),OFFSET(Catalogus,0,0,,1),0)),Ok,VLOOKUP(DATEVALUE(LEFT(B932,4)&amp;"-"&amp;MID(B932,5,2)&amp;"-"&amp;RIGHT(B932,2)),Catalogus,MATCH(VLOOKUP(A932,Stations,2,FALSE()),OFFSET(Catalogus,1,0,1),0),FALSE())))</f>
        <v>7</v>
      </c>
    </row>
    <row r="933" spans="1:5" x14ac:dyDescent="0.25">
      <c r="A933" s="11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19330721</v>
      </c>
      <c r="C933" s="12">
        <v>9</v>
      </c>
      <c r="D933" s="17" t="str">
        <f t="shared" ca="1" si="32"/>
        <v>—</v>
      </c>
      <c r="E933" s="18">
        <f t="shared" ca="1" si="33"/>
        <v>7</v>
      </c>
    </row>
    <row r="934" spans="1:5" x14ac:dyDescent="0.25">
      <c r="A934" s="11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19330722</v>
      </c>
      <c r="C934" s="12">
        <v>9</v>
      </c>
      <c r="D934" s="17" t="str">
        <f t="shared" ca="1" si="32"/>
        <v>—</v>
      </c>
      <c r="E934" s="18">
        <f t="shared" ca="1" si="33"/>
        <v>7</v>
      </c>
    </row>
    <row r="935" spans="1:5" x14ac:dyDescent="0.25">
      <c r="A935" s="11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19330723</v>
      </c>
      <c r="C935" s="12">
        <v>9</v>
      </c>
      <c r="D935" s="17" t="str">
        <f t="shared" ca="1" si="32"/>
        <v>—</v>
      </c>
      <c r="E935" s="18">
        <f t="shared" ca="1" si="33"/>
        <v>7</v>
      </c>
    </row>
    <row r="936" spans="1:5" x14ac:dyDescent="0.25">
      <c r="A936" s="11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19330724</v>
      </c>
      <c r="C936" s="12">
        <v>9</v>
      </c>
      <c r="D936" s="17" t="str">
        <f t="shared" ca="1" si="32"/>
        <v>—</v>
      </c>
      <c r="E936" s="18">
        <f t="shared" ca="1" si="33"/>
        <v>7</v>
      </c>
    </row>
    <row r="937" spans="1:5" x14ac:dyDescent="0.25">
      <c r="A937" s="11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19330725</v>
      </c>
      <c r="C937" s="12">
        <v>9</v>
      </c>
      <c r="D937" s="17" t="str">
        <f t="shared" ca="1" si="32"/>
        <v>—</v>
      </c>
      <c r="E937" s="18">
        <f t="shared" ca="1" si="33"/>
        <v>7</v>
      </c>
    </row>
    <row r="938" spans="1:5" x14ac:dyDescent="0.25">
      <c r="A938" s="11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19330726</v>
      </c>
      <c r="C938" s="12">
        <v>9</v>
      </c>
      <c r="D938" s="17" t="str">
        <f t="shared" ca="1" si="32"/>
        <v>—</v>
      </c>
      <c r="E938" s="18">
        <f t="shared" ca="1" si="33"/>
        <v>7</v>
      </c>
    </row>
    <row r="939" spans="1:5" x14ac:dyDescent="0.25">
      <c r="A939" s="11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19330727</v>
      </c>
      <c r="C939" s="12">
        <v>9</v>
      </c>
      <c r="D939" s="17" t="str">
        <f t="shared" ca="1" si="32"/>
        <v>—</v>
      </c>
      <c r="E939" s="18">
        <f t="shared" ca="1" si="33"/>
        <v>7</v>
      </c>
    </row>
    <row r="940" spans="1:5" x14ac:dyDescent="0.25">
      <c r="A940" s="11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19330728</v>
      </c>
      <c r="C940" s="12">
        <v>9</v>
      </c>
      <c r="D940" s="17" t="str">
        <f t="shared" ca="1" si="32"/>
        <v>—</v>
      </c>
      <c r="E940" s="18">
        <f t="shared" ca="1" si="33"/>
        <v>7</v>
      </c>
    </row>
    <row r="941" spans="1:5" x14ac:dyDescent="0.25">
      <c r="A941" s="11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19330729</v>
      </c>
      <c r="C941" s="12">
        <v>9</v>
      </c>
      <c r="D941" s="17" t="str">
        <f t="shared" ca="1" si="32"/>
        <v>—</v>
      </c>
      <c r="E941" s="18">
        <f t="shared" ca="1" si="33"/>
        <v>7</v>
      </c>
    </row>
    <row r="942" spans="1:5" x14ac:dyDescent="0.25">
      <c r="A942" s="11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19330730</v>
      </c>
      <c r="C942" s="12">
        <v>9</v>
      </c>
      <c r="D942" s="17" t="str">
        <f t="shared" ca="1" si="32"/>
        <v>—</v>
      </c>
      <c r="E942" s="18">
        <f t="shared" ca="1" si="33"/>
        <v>7</v>
      </c>
    </row>
    <row r="943" spans="1:5" x14ac:dyDescent="0.25">
      <c r="A943" s="11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19330731</v>
      </c>
      <c r="C943" s="12">
        <v>9</v>
      </c>
      <c r="D943" s="17" t="str">
        <f t="shared" ca="1" si="32"/>
        <v>—</v>
      </c>
      <c r="E943" s="18">
        <f t="shared" ca="1" si="33"/>
        <v>7</v>
      </c>
    </row>
    <row r="944" spans="1:5" x14ac:dyDescent="0.25">
      <c r="A944" s="11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19330801</v>
      </c>
      <c r="C944" s="12">
        <v>9</v>
      </c>
      <c r="D944" s="17" t="str">
        <f t="shared" ca="1" si="32"/>
        <v>—</v>
      </c>
      <c r="E944" s="18">
        <f t="shared" ca="1" si="33"/>
        <v>7</v>
      </c>
    </row>
    <row r="945" spans="1:5" x14ac:dyDescent="0.25">
      <c r="A945" s="11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19330802</v>
      </c>
      <c r="C945" s="12">
        <v>9</v>
      </c>
      <c r="D945" s="17" t="str">
        <f t="shared" ca="1" si="32"/>
        <v>—</v>
      </c>
      <c r="E945" s="18">
        <f t="shared" ca="1" si="33"/>
        <v>7</v>
      </c>
    </row>
    <row r="946" spans="1:5" x14ac:dyDescent="0.25">
      <c r="A946" s="11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19330803</v>
      </c>
      <c r="C946" s="12">
        <v>9</v>
      </c>
      <c r="D946" s="17" t="str">
        <f t="shared" ca="1" si="32"/>
        <v>—</v>
      </c>
      <c r="E946" s="18">
        <f t="shared" ca="1" si="33"/>
        <v>7</v>
      </c>
    </row>
    <row r="947" spans="1:5" x14ac:dyDescent="0.25">
      <c r="A947" s="11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19330804</v>
      </c>
      <c r="C947" s="12">
        <v>9</v>
      </c>
      <c r="D947" s="17" t="str">
        <f t="shared" ca="1" si="32"/>
        <v>—</v>
      </c>
      <c r="E947" s="18">
        <f t="shared" ca="1" si="33"/>
        <v>7</v>
      </c>
    </row>
    <row r="948" spans="1:5" x14ac:dyDescent="0.25">
      <c r="A948" s="11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19330805</v>
      </c>
      <c r="C948" s="12">
        <v>9</v>
      </c>
      <c r="D948" s="17" t="str">
        <f t="shared" ca="1" si="32"/>
        <v>—</v>
      </c>
      <c r="E948" s="18">
        <f t="shared" ca="1" si="33"/>
        <v>7</v>
      </c>
    </row>
    <row r="949" spans="1:5" x14ac:dyDescent="0.25">
      <c r="A949" s="11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19330806</v>
      </c>
      <c r="C949" s="12">
        <v>9</v>
      </c>
      <c r="D949" s="17" t="str">
        <f t="shared" ca="1" si="32"/>
        <v>—</v>
      </c>
      <c r="E949" s="18">
        <f t="shared" ca="1" si="33"/>
        <v>7</v>
      </c>
    </row>
    <row r="950" spans="1:5" x14ac:dyDescent="0.25">
      <c r="A950" s="11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19330807</v>
      </c>
      <c r="C950" s="12">
        <v>9</v>
      </c>
      <c r="D950" s="17" t="str">
        <f t="shared" ca="1" si="32"/>
        <v>—</v>
      </c>
      <c r="E950" s="18">
        <f t="shared" ca="1" si="33"/>
        <v>7</v>
      </c>
    </row>
    <row r="951" spans="1:5" x14ac:dyDescent="0.25">
      <c r="A951" s="11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19330808</v>
      </c>
      <c r="C951" s="12">
        <v>9</v>
      </c>
      <c r="D951" s="17" t="str">
        <f t="shared" ca="1" si="32"/>
        <v>—</v>
      </c>
      <c r="E951" s="18">
        <f t="shared" ca="1" si="33"/>
        <v>7</v>
      </c>
    </row>
    <row r="952" spans="1:5" x14ac:dyDescent="0.25">
      <c r="A952" s="11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19330809</v>
      </c>
      <c r="C952" s="12">
        <v>9</v>
      </c>
      <c r="D952" s="17" t="str">
        <f t="shared" ca="1" si="32"/>
        <v>—</v>
      </c>
      <c r="E952" s="18">
        <f t="shared" ca="1" si="33"/>
        <v>7</v>
      </c>
    </row>
    <row r="953" spans="1:5" x14ac:dyDescent="0.25">
      <c r="A953" s="11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19330810</v>
      </c>
      <c r="C953" s="12">
        <v>9</v>
      </c>
      <c r="D953" s="17" t="str">
        <f t="shared" ca="1" si="32"/>
        <v>—</v>
      </c>
      <c r="E953" s="18">
        <f t="shared" ca="1" si="33"/>
        <v>7</v>
      </c>
    </row>
    <row r="954" spans="1:5" x14ac:dyDescent="0.25">
      <c r="A954" s="11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19330811</v>
      </c>
      <c r="C954" s="12">
        <v>9</v>
      </c>
      <c r="D954" s="17" t="str">
        <f t="shared" ca="1" si="32"/>
        <v>—</v>
      </c>
      <c r="E954" s="18">
        <f t="shared" ca="1" si="33"/>
        <v>7</v>
      </c>
    </row>
    <row r="955" spans="1:5" x14ac:dyDescent="0.25">
      <c r="A955" s="11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19330812</v>
      </c>
      <c r="C955" s="12">
        <v>9</v>
      </c>
      <c r="D955" s="17" t="str">
        <f t="shared" ca="1" si="32"/>
        <v>—</v>
      </c>
      <c r="E955" s="18">
        <f t="shared" ca="1" si="33"/>
        <v>7</v>
      </c>
    </row>
    <row r="956" spans="1:5" x14ac:dyDescent="0.25">
      <c r="A956" s="11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19330813</v>
      </c>
      <c r="C956" s="12">
        <v>9</v>
      </c>
      <c r="D956" s="17" t="str">
        <f t="shared" ca="1" si="32"/>
        <v>—</v>
      </c>
      <c r="E956" s="18">
        <f t="shared" ca="1" si="33"/>
        <v>7</v>
      </c>
    </row>
    <row r="957" spans="1:5" x14ac:dyDescent="0.25">
      <c r="A957" s="11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19330814</v>
      </c>
      <c r="C957" s="12">
        <v>9</v>
      </c>
      <c r="D957" s="17" t="str">
        <f t="shared" ca="1" si="32"/>
        <v>—</v>
      </c>
      <c r="E957" s="18">
        <f t="shared" ca="1" si="33"/>
        <v>7</v>
      </c>
    </row>
    <row r="958" spans="1:5" x14ac:dyDescent="0.25">
      <c r="A958" s="11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19330815</v>
      </c>
      <c r="C958" s="12">
        <v>9</v>
      </c>
      <c r="D958" s="17" t="str">
        <f t="shared" ca="1" si="32"/>
        <v>—</v>
      </c>
      <c r="E958" s="18">
        <f t="shared" ca="1" si="33"/>
        <v>7</v>
      </c>
    </row>
    <row r="959" spans="1:5" x14ac:dyDescent="0.25">
      <c r="A959" s="11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19330816</v>
      </c>
      <c r="C959" s="12">
        <v>9</v>
      </c>
      <c r="D959" s="17" t="str">
        <f t="shared" ca="1" si="32"/>
        <v>—</v>
      </c>
      <c r="E959" s="18">
        <f t="shared" ca="1" si="33"/>
        <v>7</v>
      </c>
    </row>
    <row r="960" spans="1:5" x14ac:dyDescent="0.25">
      <c r="A960" s="11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19330817</v>
      </c>
      <c r="C960" s="12">
        <v>9</v>
      </c>
      <c r="D960" s="17" t="str">
        <f t="shared" ca="1" si="32"/>
        <v>—</v>
      </c>
      <c r="E960" s="18">
        <f t="shared" ca="1" si="33"/>
        <v>7</v>
      </c>
    </row>
    <row r="961" spans="1:5" x14ac:dyDescent="0.25">
      <c r="A961" s="11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19330818</v>
      </c>
      <c r="C961" s="12">
        <v>9</v>
      </c>
      <c r="D961" s="17" t="str">
        <f t="shared" ca="1" si="32"/>
        <v>—</v>
      </c>
      <c r="E961" s="18">
        <f t="shared" ca="1" si="33"/>
        <v>7</v>
      </c>
    </row>
    <row r="962" spans="1:5" x14ac:dyDescent="0.25">
      <c r="A962" s="11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19330819</v>
      </c>
      <c r="C962" s="12">
        <v>9</v>
      </c>
      <c r="D962" s="17" t="str">
        <f t="shared" ca="1" si="32"/>
        <v>—</v>
      </c>
      <c r="E962" s="18">
        <f t="shared" ca="1" si="33"/>
        <v>7</v>
      </c>
    </row>
    <row r="963" spans="1:5" x14ac:dyDescent="0.25">
      <c r="A963" s="11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19330820</v>
      </c>
      <c r="C963" s="12">
        <v>9</v>
      </c>
      <c r="D963" s="17" t="str">
        <f t="shared" ca="1" si="32"/>
        <v>—</v>
      </c>
      <c r="E963" s="18">
        <f t="shared" ca="1" si="33"/>
        <v>7</v>
      </c>
    </row>
    <row r="964" spans="1:5" x14ac:dyDescent="0.25">
      <c r="A964" s="11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19330821</v>
      </c>
      <c r="C964" s="12">
        <v>9</v>
      </c>
      <c r="D964" s="17" t="str">
        <f t="shared" ca="1" si="32"/>
        <v>—</v>
      </c>
      <c r="E964" s="18">
        <f t="shared" ca="1" si="33"/>
        <v>7</v>
      </c>
    </row>
    <row r="965" spans="1:5" x14ac:dyDescent="0.25">
      <c r="A965" s="11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19330822</v>
      </c>
      <c r="C965" s="12">
        <v>9</v>
      </c>
      <c r="D965" s="17" t="str">
        <f t="shared" ca="1" si="32"/>
        <v>—</v>
      </c>
      <c r="E965" s="18">
        <f t="shared" ca="1" si="33"/>
        <v>7</v>
      </c>
    </row>
    <row r="966" spans="1:5" x14ac:dyDescent="0.25">
      <c r="A966" s="11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19330823</v>
      </c>
      <c r="C966" s="12">
        <v>9</v>
      </c>
      <c r="D966" s="17" t="str">
        <f t="shared" ca="1" si="32"/>
        <v>—</v>
      </c>
      <c r="E966" s="18">
        <f t="shared" ca="1" si="33"/>
        <v>7</v>
      </c>
    </row>
    <row r="967" spans="1:5" x14ac:dyDescent="0.25">
      <c r="A967" s="11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19330824</v>
      </c>
      <c r="C967" s="12">
        <v>9</v>
      </c>
      <c r="D967" s="17" t="str">
        <f t="shared" ca="1" si="32"/>
        <v>—</v>
      </c>
      <c r="E967" s="18">
        <f t="shared" ca="1" si="33"/>
        <v>7</v>
      </c>
    </row>
    <row r="968" spans="1:5" x14ac:dyDescent="0.25">
      <c r="A968" s="11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19330825</v>
      </c>
      <c r="C968" s="12">
        <v>9</v>
      </c>
      <c r="D968" s="17" t="str">
        <f t="shared" ca="1" si="32"/>
        <v>—</v>
      </c>
      <c r="E968" s="18">
        <f t="shared" ca="1" si="33"/>
        <v>7</v>
      </c>
    </row>
    <row r="969" spans="1:5" x14ac:dyDescent="0.25">
      <c r="A969" s="11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19330826</v>
      </c>
      <c r="C969" s="12">
        <v>9</v>
      </c>
      <c r="D969" s="17" t="str">
        <f t="shared" ca="1" si="32"/>
        <v>—</v>
      </c>
      <c r="E969" s="18">
        <f t="shared" ca="1" si="33"/>
        <v>7</v>
      </c>
    </row>
    <row r="970" spans="1:5" x14ac:dyDescent="0.25">
      <c r="A970" s="11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19330827</v>
      </c>
      <c r="C970" s="12">
        <v>9</v>
      </c>
      <c r="D970" s="17" t="str">
        <f t="shared" ca="1" si="32"/>
        <v>—</v>
      </c>
      <c r="E970" s="18">
        <f t="shared" ca="1" si="33"/>
        <v>7</v>
      </c>
    </row>
    <row r="971" spans="1:5" x14ac:dyDescent="0.25">
      <c r="A971" s="11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19330828</v>
      </c>
      <c r="C971" s="12">
        <v>9</v>
      </c>
      <c r="D971" s="17" t="str">
        <f t="shared" ca="1" si="32"/>
        <v>—</v>
      </c>
      <c r="E971" s="18">
        <f t="shared" ca="1" si="33"/>
        <v>7</v>
      </c>
    </row>
    <row r="972" spans="1:5" x14ac:dyDescent="0.25">
      <c r="A972" s="11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19330829</v>
      </c>
      <c r="C972" s="12">
        <v>9</v>
      </c>
      <c r="D972" s="17" t="str">
        <f t="shared" ca="1" si="32"/>
        <v>—</v>
      </c>
      <c r="E972" s="18">
        <f t="shared" ca="1" si="33"/>
        <v>7</v>
      </c>
    </row>
    <row r="973" spans="1:5" x14ac:dyDescent="0.25">
      <c r="A973" s="11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19330830</v>
      </c>
      <c r="C973" s="12">
        <v>9</v>
      </c>
      <c r="D973" s="17" t="str">
        <f t="shared" ca="1" si="32"/>
        <v>—</v>
      </c>
      <c r="E973" s="18">
        <f t="shared" ca="1" si="33"/>
        <v>7</v>
      </c>
    </row>
    <row r="974" spans="1:5" x14ac:dyDescent="0.25">
      <c r="A974" s="11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19330831</v>
      </c>
      <c r="C974" s="12">
        <v>9</v>
      </c>
      <c r="D974" s="17" t="str">
        <f t="shared" ca="1" si="32"/>
        <v>—</v>
      </c>
      <c r="E974" s="18">
        <f t="shared" ca="1" si="33"/>
        <v>7</v>
      </c>
    </row>
    <row r="975" spans="1:5" x14ac:dyDescent="0.25">
      <c r="A975" s="11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19330901</v>
      </c>
      <c r="C975" s="12">
        <v>9</v>
      </c>
      <c r="D975" s="17" t="str">
        <f t="shared" ca="1" si="32"/>
        <v>—</v>
      </c>
      <c r="E975" s="18">
        <f t="shared" ca="1" si="33"/>
        <v>7</v>
      </c>
    </row>
    <row r="976" spans="1:5" x14ac:dyDescent="0.25">
      <c r="A976" s="11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19330902</v>
      </c>
      <c r="C976" s="12">
        <v>9</v>
      </c>
      <c r="D976" s="17" t="str">
        <f t="shared" ca="1" si="32"/>
        <v>—</v>
      </c>
      <c r="E976" s="18">
        <f t="shared" ca="1" si="33"/>
        <v>7</v>
      </c>
    </row>
    <row r="977" spans="1:5" x14ac:dyDescent="0.25">
      <c r="A977" s="11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19330903</v>
      </c>
      <c r="C977" s="12">
        <v>9</v>
      </c>
      <c r="D977" s="17" t="str">
        <f t="shared" ca="1" si="32"/>
        <v>—</v>
      </c>
      <c r="E977" s="18">
        <f t="shared" ca="1" si="33"/>
        <v>7</v>
      </c>
    </row>
    <row r="978" spans="1:5" x14ac:dyDescent="0.25">
      <c r="A978" s="11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19330904</v>
      </c>
      <c r="C978" s="12">
        <v>9</v>
      </c>
      <c r="D978" s="17" t="str">
        <f t="shared" ca="1" si="32"/>
        <v>—</v>
      </c>
      <c r="E978" s="18">
        <f t="shared" ca="1" si="33"/>
        <v>7</v>
      </c>
    </row>
    <row r="979" spans="1:5" x14ac:dyDescent="0.25">
      <c r="A979" s="11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19330905</v>
      </c>
      <c r="C979" s="12">
        <v>9</v>
      </c>
      <c r="D979" s="17" t="str">
        <f t="shared" ca="1" si="32"/>
        <v>—</v>
      </c>
      <c r="E979" s="18">
        <f t="shared" ca="1" si="33"/>
        <v>7</v>
      </c>
    </row>
    <row r="980" spans="1:5" x14ac:dyDescent="0.25">
      <c r="A980" s="11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19330906</v>
      </c>
      <c r="C980" s="12">
        <v>9</v>
      </c>
      <c r="D980" s="17" t="str">
        <f t="shared" ca="1" si="32"/>
        <v>—</v>
      </c>
      <c r="E980" s="18">
        <f t="shared" ca="1" si="33"/>
        <v>7</v>
      </c>
    </row>
    <row r="981" spans="1:5" x14ac:dyDescent="0.25">
      <c r="A981" s="11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19330907</v>
      </c>
      <c r="C981" s="12">
        <v>9</v>
      </c>
      <c r="D981" s="17" t="str">
        <f t="shared" ca="1" si="32"/>
        <v>—</v>
      </c>
      <c r="E981" s="18">
        <f t="shared" ca="1" si="33"/>
        <v>7</v>
      </c>
    </row>
    <row r="982" spans="1:5" x14ac:dyDescent="0.25">
      <c r="A982" s="11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19330908</v>
      </c>
      <c r="C982" s="12">
        <v>9</v>
      </c>
      <c r="D982" s="17" t="str">
        <f t="shared" ca="1" si="32"/>
        <v>—</v>
      </c>
      <c r="E982" s="18">
        <f t="shared" ca="1" si="33"/>
        <v>7</v>
      </c>
    </row>
    <row r="983" spans="1:5" x14ac:dyDescent="0.25">
      <c r="A983" s="11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19330909</v>
      </c>
      <c r="C983" s="12">
        <v>9</v>
      </c>
      <c r="D983" s="17" t="str">
        <f t="shared" ca="1" si="32"/>
        <v>—</v>
      </c>
      <c r="E983" s="18">
        <f t="shared" ca="1" si="33"/>
        <v>7</v>
      </c>
    </row>
    <row r="984" spans="1:5" x14ac:dyDescent="0.25">
      <c r="A984" s="11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19330910</v>
      </c>
      <c r="C984" s="12">
        <v>9</v>
      </c>
      <c r="D984" s="17" t="str">
        <f t="shared" ca="1" si="32"/>
        <v>—</v>
      </c>
      <c r="E984" s="18">
        <f t="shared" ca="1" si="33"/>
        <v>7</v>
      </c>
    </row>
    <row r="985" spans="1:5" x14ac:dyDescent="0.25">
      <c r="A985" s="11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19330911</v>
      </c>
      <c r="C985" s="12">
        <v>9</v>
      </c>
      <c r="D985" s="17" t="str">
        <f t="shared" ca="1" si="32"/>
        <v>—</v>
      </c>
      <c r="E985" s="18">
        <f t="shared" ca="1" si="33"/>
        <v>7</v>
      </c>
    </row>
    <row r="986" spans="1:5" x14ac:dyDescent="0.25">
      <c r="A986" s="11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19330912</v>
      </c>
      <c r="C986" s="12">
        <v>9</v>
      </c>
      <c r="D986" s="17" t="str">
        <f t="shared" ca="1" si="32"/>
        <v>—</v>
      </c>
      <c r="E986" s="18">
        <f t="shared" ca="1" si="33"/>
        <v>7</v>
      </c>
    </row>
    <row r="987" spans="1:5" x14ac:dyDescent="0.25">
      <c r="A987" s="11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19330913</v>
      </c>
      <c r="C987" s="12">
        <v>9</v>
      </c>
      <c r="D987" s="17" t="str">
        <f t="shared" ca="1" si="32"/>
        <v>—</v>
      </c>
      <c r="E987" s="18">
        <f t="shared" ca="1" si="33"/>
        <v>7</v>
      </c>
    </row>
    <row r="988" spans="1:5" x14ac:dyDescent="0.25">
      <c r="A988" s="11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19330914</v>
      </c>
      <c r="C988" s="12">
        <v>9</v>
      </c>
      <c r="D988" s="17" t="str">
        <f t="shared" ca="1" si="32"/>
        <v>—</v>
      </c>
      <c r="E988" s="18">
        <f t="shared" ca="1" si="33"/>
        <v>7</v>
      </c>
    </row>
    <row r="989" spans="1:5" x14ac:dyDescent="0.25">
      <c r="A989" s="11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19330915</v>
      </c>
      <c r="C989" s="12">
        <v>9</v>
      </c>
      <c r="D989" s="17" t="str">
        <f t="shared" ca="1" si="32"/>
        <v>—</v>
      </c>
      <c r="E989" s="18">
        <f t="shared" ca="1" si="33"/>
        <v>7</v>
      </c>
    </row>
    <row r="990" spans="1:5" x14ac:dyDescent="0.25">
      <c r="A990" s="11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19330916</v>
      </c>
      <c r="C990" s="12">
        <v>9</v>
      </c>
      <c r="D990" s="17" t="str">
        <f t="shared" ca="1" si="32"/>
        <v>—</v>
      </c>
      <c r="E990" s="18">
        <f t="shared" ca="1" si="33"/>
        <v>7</v>
      </c>
    </row>
    <row r="991" spans="1:5" x14ac:dyDescent="0.25">
      <c r="A991" s="11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19330917</v>
      </c>
      <c r="C991" s="12">
        <v>9</v>
      </c>
      <c r="D991" s="17" t="str">
        <f t="shared" ca="1" si="32"/>
        <v>—</v>
      </c>
      <c r="E991" s="18">
        <f t="shared" ca="1" si="33"/>
        <v>7</v>
      </c>
    </row>
    <row r="992" spans="1:5" x14ac:dyDescent="0.25">
      <c r="A992" s="11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19330918</v>
      </c>
      <c r="C992" s="12">
        <v>9</v>
      </c>
      <c r="D992" s="17" t="str">
        <f t="shared" ca="1" si="32"/>
        <v>—</v>
      </c>
      <c r="E992" s="18">
        <f t="shared" ca="1" si="33"/>
        <v>7</v>
      </c>
    </row>
    <row r="993" spans="1:5" x14ac:dyDescent="0.25">
      <c r="A993" s="11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19330919</v>
      </c>
      <c r="C993" s="12">
        <v>9</v>
      </c>
      <c r="D993" s="17" t="str">
        <f t="shared" ca="1" si="32"/>
        <v>—</v>
      </c>
      <c r="E993" s="18">
        <f t="shared" ca="1" si="33"/>
        <v>7</v>
      </c>
    </row>
    <row r="994" spans="1:5" x14ac:dyDescent="0.25">
      <c r="A994" s="11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19330920</v>
      </c>
      <c r="C994" s="12">
        <v>9</v>
      </c>
      <c r="D994" s="17" t="str">
        <f t="shared" ca="1" si="32"/>
        <v>—</v>
      </c>
      <c r="E994" s="18">
        <f t="shared" ca="1" si="33"/>
        <v>7</v>
      </c>
    </row>
    <row r="995" spans="1:5" x14ac:dyDescent="0.25">
      <c r="A995" s="11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19330921</v>
      </c>
      <c r="C995" s="12">
        <v>9</v>
      </c>
      <c r="D995" s="17" t="str">
        <f t="shared" ca="1" si="32"/>
        <v>—</v>
      </c>
      <c r="E995" s="18">
        <f t="shared" ca="1" si="33"/>
        <v>7</v>
      </c>
    </row>
    <row r="996" spans="1:5" x14ac:dyDescent="0.25">
      <c r="A996" s="11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19330922</v>
      </c>
      <c r="C996" s="12">
        <v>9</v>
      </c>
      <c r="D996" s="17" t="str">
        <f t="shared" ref="D996:D1059" ca="1" si="34">IF(OR(ISBLANK(VLOOKUP(DATEVALUE(LEFT(B996,4)&amp;"-"&amp;MID(B996,5,2)&amp;"-"&amp;RIGHT(B996,2)),Data,MATCH(VLOOKUP(A996,Stations,2,FALSE()),OFFSET(Data,1,0,1),0),FALSE())),ISTEXT(VLOOKUP(DATEVALUE(LEFT(B996,4)&amp;"-"&amp;MID(B996,5,2)&amp;"-"&amp;RIGHT(B996,2)),Data,MATCH(VLOOKUP(A996,Stations,2,FALSE()),OFFSET(Data,1,0,1),0),FALSE()))),"—",VLOOKUP(DATEVALUE(LEFT(B996,4)&amp;"-"&amp;MID(B996,5,2)&amp;"-"&amp;RIGHT(B996,2)),Data,MATCH(VLOOKUP(A996,Stations,2,FALSE()),OFFSET(Data,1,0,1),0),FALSE()))</f>
        <v>—</v>
      </c>
      <c r="E996" s="18">
        <f t="shared" ref="E996:E1059" ca="1" si="35">IF(OR(ISBLANK(VLOOKUP(DATEVALUE(LEFT(B996,4)&amp;"-"&amp;MID(B996,5,2)&amp;"-"&amp;RIGHT(B996,2)),Data,MATCH(VLOOKUP(A996,Stations,2,FALSE()),OFFSET(Data,1,0,1),0),FALSE())),ISTEXT(VLOOKUP(DATEVALUE(LEFT(B996,4)&amp;"-"&amp;MID(B996,5,2)&amp;"-"&amp;RIGHT(B996,2)),Data,MATCH(VLOOKUP(A996,Stations,2,FALSE()),OFFSET(Data,1,0,1),0),FALSE()))),Lacking,IF(ISNA(MATCH(DATEVALUE(LEFT(B996,4)&amp;"-"&amp;MID(B996,5,2)&amp;"-"&amp;RIGHT(B996,2)),OFFSET(Catalogus,0,0,,1),0)),Ok,VLOOKUP(DATEVALUE(LEFT(B996,4)&amp;"-"&amp;MID(B996,5,2)&amp;"-"&amp;RIGHT(B996,2)),Catalogus,MATCH(VLOOKUP(A996,Stations,2,FALSE()),OFFSET(Catalogus,1,0,1),0),FALSE())))</f>
        <v>7</v>
      </c>
    </row>
    <row r="997" spans="1:5" x14ac:dyDescent="0.25">
      <c r="A997" s="11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19330923</v>
      </c>
      <c r="C997" s="12">
        <v>9</v>
      </c>
      <c r="D997" s="17" t="str">
        <f t="shared" ca="1" si="34"/>
        <v>—</v>
      </c>
      <c r="E997" s="18">
        <f t="shared" ca="1" si="35"/>
        <v>7</v>
      </c>
    </row>
    <row r="998" spans="1:5" x14ac:dyDescent="0.25">
      <c r="A998" s="11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19330924</v>
      </c>
      <c r="C998" s="12">
        <v>9</v>
      </c>
      <c r="D998" s="17" t="str">
        <f t="shared" ca="1" si="34"/>
        <v>—</v>
      </c>
      <c r="E998" s="18">
        <f t="shared" ca="1" si="35"/>
        <v>7</v>
      </c>
    </row>
    <row r="999" spans="1:5" x14ac:dyDescent="0.25">
      <c r="A999" s="11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19330925</v>
      </c>
      <c r="C999" s="12">
        <v>9</v>
      </c>
      <c r="D999" s="17" t="str">
        <f t="shared" ca="1" si="34"/>
        <v>—</v>
      </c>
      <c r="E999" s="18">
        <f t="shared" ca="1" si="35"/>
        <v>7</v>
      </c>
    </row>
    <row r="1000" spans="1:5" x14ac:dyDescent="0.25">
      <c r="A1000" s="11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19330926</v>
      </c>
      <c r="C1000" s="12">
        <v>9</v>
      </c>
      <c r="D1000" s="17" t="str">
        <f t="shared" ca="1" si="34"/>
        <v>—</v>
      </c>
      <c r="E1000" s="18">
        <f t="shared" ca="1" si="35"/>
        <v>7</v>
      </c>
    </row>
    <row r="1001" spans="1:5" x14ac:dyDescent="0.25">
      <c r="A1001" s="11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19330927</v>
      </c>
      <c r="C1001" s="12">
        <v>9</v>
      </c>
      <c r="D1001" s="17" t="str">
        <f t="shared" ca="1" si="34"/>
        <v>—</v>
      </c>
      <c r="E1001" s="18">
        <f t="shared" ca="1" si="35"/>
        <v>7</v>
      </c>
    </row>
    <row r="1002" spans="1:5" x14ac:dyDescent="0.25">
      <c r="A1002" s="11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19330928</v>
      </c>
      <c r="C1002" s="12">
        <v>9</v>
      </c>
      <c r="D1002" s="17" t="str">
        <f t="shared" ca="1" si="34"/>
        <v>—</v>
      </c>
      <c r="E1002" s="18">
        <f t="shared" ca="1" si="35"/>
        <v>7</v>
      </c>
    </row>
    <row r="1003" spans="1:5" x14ac:dyDescent="0.25">
      <c r="A1003" s="11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19330929</v>
      </c>
      <c r="C1003" s="12">
        <v>9</v>
      </c>
      <c r="D1003" s="17" t="str">
        <f t="shared" ca="1" si="34"/>
        <v>—</v>
      </c>
      <c r="E1003" s="18">
        <f t="shared" ca="1" si="35"/>
        <v>7</v>
      </c>
    </row>
    <row r="1004" spans="1:5" x14ac:dyDescent="0.25">
      <c r="A1004" s="11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19330930</v>
      </c>
      <c r="C1004" s="12">
        <v>9</v>
      </c>
      <c r="D1004" s="17" t="str">
        <f t="shared" ca="1" si="34"/>
        <v>—</v>
      </c>
      <c r="E1004" s="18">
        <f t="shared" ca="1" si="35"/>
        <v>7</v>
      </c>
    </row>
    <row r="1005" spans="1:5" x14ac:dyDescent="0.25">
      <c r="A1005" s="11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19331001</v>
      </c>
      <c r="C1005" s="12">
        <v>9</v>
      </c>
      <c r="D1005" s="17" t="str">
        <f t="shared" ca="1" si="34"/>
        <v>—</v>
      </c>
      <c r="E1005" s="18">
        <f t="shared" ca="1" si="35"/>
        <v>7</v>
      </c>
    </row>
    <row r="1006" spans="1:5" x14ac:dyDescent="0.25">
      <c r="A1006" s="11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19331002</v>
      </c>
      <c r="C1006" s="12">
        <v>9</v>
      </c>
      <c r="D1006" s="17" t="str">
        <f t="shared" ca="1" si="34"/>
        <v>—</v>
      </c>
      <c r="E1006" s="18">
        <f t="shared" ca="1" si="35"/>
        <v>7</v>
      </c>
    </row>
    <row r="1007" spans="1:5" x14ac:dyDescent="0.25">
      <c r="A1007" s="11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19331003</v>
      </c>
      <c r="C1007" s="12">
        <v>9</v>
      </c>
      <c r="D1007" s="17" t="str">
        <f t="shared" ca="1" si="34"/>
        <v>—</v>
      </c>
      <c r="E1007" s="18">
        <f t="shared" ca="1" si="35"/>
        <v>7</v>
      </c>
    </row>
    <row r="1008" spans="1:5" x14ac:dyDescent="0.25">
      <c r="A1008" s="11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19331004</v>
      </c>
      <c r="C1008" s="12">
        <v>9</v>
      </c>
      <c r="D1008" s="17" t="str">
        <f t="shared" ca="1" si="34"/>
        <v>—</v>
      </c>
      <c r="E1008" s="18">
        <f t="shared" ca="1" si="35"/>
        <v>7</v>
      </c>
    </row>
    <row r="1009" spans="1:5" x14ac:dyDescent="0.25">
      <c r="A1009" s="11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19331005</v>
      </c>
      <c r="C1009" s="12">
        <v>9</v>
      </c>
      <c r="D1009" s="17" t="str">
        <f t="shared" ca="1" si="34"/>
        <v>—</v>
      </c>
      <c r="E1009" s="18">
        <f t="shared" ca="1" si="35"/>
        <v>7</v>
      </c>
    </row>
    <row r="1010" spans="1:5" x14ac:dyDescent="0.25">
      <c r="A1010" s="11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19331006</v>
      </c>
      <c r="C1010" s="12">
        <v>9</v>
      </c>
      <c r="D1010" s="17" t="str">
        <f t="shared" ca="1" si="34"/>
        <v>—</v>
      </c>
      <c r="E1010" s="18">
        <f t="shared" ca="1" si="35"/>
        <v>7</v>
      </c>
    </row>
    <row r="1011" spans="1:5" x14ac:dyDescent="0.25">
      <c r="A1011" s="11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19331007</v>
      </c>
      <c r="C1011" s="12">
        <v>9</v>
      </c>
      <c r="D1011" s="17" t="str">
        <f t="shared" ca="1" si="34"/>
        <v>—</v>
      </c>
      <c r="E1011" s="18">
        <f t="shared" ca="1" si="35"/>
        <v>7</v>
      </c>
    </row>
    <row r="1012" spans="1:5" x14ac:dyDescent="0.25">
      <c r="A1012" s="11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19331008</v>
      </c>
      <c r="C1012" s="12">
        <v>9</v>
      </c>
      <c r="D1012" s="17" t="str">
        <f t="shared" ca="1" si="34"/>
        <v>—</v>
      </c>
      <c r="E1012" s="18">
        <f t="shared" ca="1" si="35"/>
        <v>7</v>
      </c>
    </row>
    <row r="1013" spans="1:5" x14ac:dyDescent="0.25">
      <c r="A1013" s="11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19331009</v>
      </c>
      <c r="C1013" s="12">
        <v>9</v>
      </c>
      <c r="D1013" s="17" t="str">
        <f t="shared" ca="1" si="34"/>
        <v>—</v>
      </c>
      <c r="E1013" s="18">
        <f t="shared" ca="1" si="35"/>
        <v>7</v>
      </c>
    </row>
    <row r="1014" spans="1:5" x14ac:dyDescent="0.25">
      <c r="A1014" s="11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19331010</v>
      </c>
      <c r="C1014" s="12">
        <v>9</v>
      </c>
      <c r="D1014" s="17" t="str">
        <f t="shared" ca="1" si="34"/>
        <v>—</v>
      </c>
      <c r="E1014" s="18">
        <f t="shared" ca="1" si="35"/>
        <v>7</v>
      </c>
    </row>
    <row r="1015" spans="1:5" x14ac:dyDescent="0.25">
      <c r="A1015" s="11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19331011</v>
      </c>
      <c r="C1015" s="12">
        <v>9</v>
      </c>
      <c r="D1015" s="17" t="str">
        <f t="shared" ca="1" si="34"/>
        <v>—</v>
      </c>
      <c r="E1015" s="18">
        <f t="shared" ca="1" si="35"/>
        <v>7</v>
      </c>
    </row>
    <row r="1016" spans="1:5" x14ac:dyDescent="0.25">
      <c r="A1016" s="11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19331012</v>
      </c>
      <c r="C1016" s="12">
        <v>9</v>
      </c>
      <c r="D1016" s="17" t="str">
        <f t="shared" ca="1" si="34"/>
        <v>—</v>
      </c>
      <c r="E1016" s="18">
        <f t="shared" ca="1" si="35"/>
        <v>7</v>
      </c>
    </row>
    <row r="1017" spans="1:5" x14ac:dyDescent="0.25">
      <c r="A1017" s="11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19331013</v>
      </c>
      <c r="C1017" s="12">
        <v>9</v>
      </c>
      <c r="D1017" s="17" t="str">
        <f t="shared" ca="1" si="34"/>
        <v>—</v>
      </c>
      <c r="E1017" s="18">
        <f t="shared" ca="1" si="35"/>
        <v>7</v>
      </c>
    </row>
    <row r="1018" spans="1:5" x14ac:dyDescent="0.25">
      <c r="A1018" s="11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19331014</v>
      </c>
      <c r="C1018" s="12">
        <v>9</v>
      </c>
      <c r="D1018" s="17" t="str">
        <f t="shared" ca="1" si="34"/>
        <v>—</v>
      </c>
      <c r="E1018" s="18">
        <f t="shared" ca="1" si="35"/>
        <v>7</v>
      </c>
    </row>
    <row r="1019" spans="1:5" x14ac:dyDescent="0.25">
      <c r="A1019" s="11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19331015</v>
      </c>
      <c r="C1019" s="12">
        <v>9</v>
      </c>
      <c r="D1019" s="17" t="str">
        <f t="shared" ca="1" si="34"/>
        <v>—</v>
      </c>
      <c r="E1019" s="18">
        <f t="shared" ca="1" si="35"/>
        <v>7</v>
      </c>
    </row>
    <row r="1020" spans="1:5" x14ac:dyDescent="0.25">
      <c r="A1020" s="11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19331016</v>
      </c>
      <c r="C1020" s="12">
        <v>9</v>
      </c>
      <c r="D1020" s="17" t="str">
        <f t="shared" ca="1" si="34"/>
        <v>—</v>
      </c>
      <c r="E1020" s="18">
        <f t="shared" ca="1" si="35"/>
        <v>7</v>
      </c>
    </row>
    <row r="1021" spans="1:5" x14ac:dyDescent="0.25">
      <c r="A1021" s="11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19331017</v>
      </c>
      <c r="C1021" s="12">
        <v>9</v>
      </c>
      <c r="D1021" s="17" t="str">
        <f t="shared" ca="1" si="34"/>
        <v>—</v>
      </c>
      <c r="E1021" s="18">
        <f t="shared" ca="1" si="35"/>
        <v>7</v>
      </c>
    </row>
    <row r="1022" spans="1:5" x14ac:dyDescent="0.25">
      <c r="A1022" s="11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19331018</v>
      </c>
      <c r="C1022" s="12">
        <v>9</v>
      </c>
      <c r="D1022" s="17" t="str">
        <f t="shared" ca="1" si="34"/>
        <v>—</v>
      </c>
      <c r="E1022" s="18">
        <f t="shared" ca="1" si="35"/>
        <v>7</v>
      </c>
    </row>
    <row r="1023" spans="1:5" x14ac:dyDescent="0.25">
      <c r="A1023" s="11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19331019</v>
      </c>
      <c r="C1023" s="12">
        <v>9</v>
      </c>
      <c r="D1023" s="17" t="str">
        <f t="shared" ca="1" si="34"/>
        <v>—</v>
      </c>
      <c r="E1023" s="18">
        <f t="shared" ca="1" si="35"/>
        <v>7</v>
      </c>
    </row>
    <row r="1024" spans="1:5" x14ac:dyDescent="0.25">
      <c r="A1024" s="11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19331020</v>
      </c>
      <c r="C1024" s="12">
        <v>9</v>
      </c>
      <c r="D1024" s="17" t="str">
        <f t="shared" ca="1" si="34"/>
        <v>—</v>
      </c>
      <c r="E1024" s="18">
        <f t="shared" ca="1" si="35"/>
        <v>7</v>
      </c>
    </row>
    <row r="1025" spans="1:5" x14ac:dyDescent="0.25">
      <c r="A1025" s="11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19331021</v>
      </c>
      <c r="C1025" s="12">
        <v>9</v>
      </c>
      <c r="D1025" s="17" t="str">
        <f t="shared" ca="1" si="34"/>
        <v>—</v>
      </c>
      <c r="E1025" s="18">
        <f t="shared" ca="1" si="35"/>
        <v>7</v>
      </c>
    </row>
    <row r="1026" spans="1:5" x14ac:dyDescent="0.25">
      <c r="A1026" s="11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19331022</v>
      </c>
      <c r="C1026" s="12">
        <v>9</v>
      </c>
      <c r="D1026" s="17" t="str">
        <f t="shared" ca="1" si="34"/>
        <v>—</v>
      </c>
      <c r="E1026" s="18">
        <f t="shared" ca="1" si="35"/>
        <v>7</v>
      </c>
    </row>
    <row r="1027" spans="1:5" x14ac:dyDescent="0.25">
      <c r="A1027" s="11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19331023</v>
      </c>
      <c r="C1027" s="12">
        <v>9</v>
      </c>
      <c r="D1027" s="17" t="str">
        <f t="shared" ca="1" si="34"/>
        <v>—</v>
      </c>
      <c r="E1027" s="18">
        <f t="shared" ca="1" si="35"/>
        <v>7</v>
      </c>
    </row>
    <row r="1028" spans="1:5" x14ac:dyDescent="0.25">
      <c r="A1028" s="11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19331024</v>
      </c>
      <c r="C1028" s="12">
        <v>9</v>
      </c>
      <c r="D1028" s="17" t="str">
        <f t="shared" ca="1" si="34"/>
        <v>—</v>
      </c>
      <c r="E1028" s="18">
        <f t="shared" ca="1" si="35"/>
        <v>7</v>
      </c>
    </row>
    <row r="1029" spans="1:5" x14ac:dyDescent="0.25">
      <c r="A1029" s="11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19331025</v>
      </c>
      <c r="C1029" s="12">
        <v>9</v>
      </c>
      <c r="D1029" s="17" t="str">
        <f t="shared" ca="1" si="34"/>
        <v>—</v>
      </c>
      <c r="E1029" s="18">
        <f t="shared" ca="1" si="35"/>
        <v>7</v>
      </c>
    </row>
    <row r="1030" spans="1:5" x14ac:dyDescent="0.25">
      <c r="A1030" s="11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19331026</v>
      </c>
      <c r="C1030" s="12">
        <v>9</v>
      </c>
      <c r="D1030" s="17" t="str">
        <f t="shared" ca="1" si="34"/>
        <v>—</v>
      </c>
      <c r="E1030" s="18">
        <f t="shared" ca="1" si="35"/>
        <v>7</v>
      </c>
    </row>
    <row r="1031" spans="1:5" x14ac:dyDescent="0.25">
      <c r="A1031" s="11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19331027</v>
      </c>
      <c r="C1031" s="12">
        <v>9</v>
      </c>
      <c r="D1031" s="17" t="str">
        <f t="shared" ca="1" si="34"/>
        <v>—</v>
      </c>
      <c r="E1031" s="18">
        <f t="shared" ca="1" si="35"/>
        <v>7</v>
      </c>
    </row>
    <row r="1032" spans="1:5" x14ac:dyDescent="0.25">
      <c r="A1032" s="11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19331028</v>
      </c>
      <c r="C1032" s="12">
        <v>9</v>
      </c>
      <c r="D1032" s="17" t="str">
        <f t="shared" ca="1" si="34"/>
        <v>—</v>
      </c>
      <c r="E1032" s="18">
        <f t="shared" ca="1" si="35"/>
        <v>7</v>
      </c>
    </row>
    <row r="1033" spans="1:5" x14ac:dyDescent="0.25">
      <c r="A1033" s="11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19331029</v>
      </c>
      <c r="C1033" s="12">
        <v>9</v>
      </c>
      <c r="D1033" s="17" t="str">
        <f t="shared" ca="1" si="34"/>
        <v>—</v>
      </c>
      <c r="E1033" s="18">
        <f t="shared" ca="1" si="35"/>
        <v>7</v>
      </c>
    </row>
    <row r="1034" spans="1:5" x14ac:dyDescent="0.25">
      <c r="A1034" s="11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19331030</v>
      </c>
      <c r="C1034" s="12">
        <v>9</v>
      </c>
      <c r="D1034" s="17" t="str">
        <f t="shared" ca="1" si="34"/>
        <v>—</v>
      </c>
      <c r="E1034" s="18">
        <f t="shared" ca="1" si="35"/>
        <v>7</v>
      </c>
    </row>
    <row r="1035" spans="1:5" x14ac:dyDescent="0.25">
      <c r="A1035" s="11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19331031</v>
      </c>
      <c r="C1035" s="12">
        <v>9</v>
      </c>
      <c r="D1035" s="17" t="str">
        <f t="shared" ca="1" si="34"/>
        <v>—</v>
      </c>
      <c r="E1035" s="18">
        <f t="shared" ca="1" si="35"/>
        <v>7</v>
      </c>
    </row>
    <row r="1036" spans="1:5" x14ac:dyDescent="0.25">
      <c r="A1036" s="11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19331101</v>
      </c>
      <c r="C1036" s="12">
        <v>9</v>
      </c>
      <c r="D1036" s="17">
        <f t="shared" ca="1" si="34"/>
        <v>0</v>
      </c>
      <c r="E1036" s="18">
        <f t="shared" ca="1" si="35"/>
        <v>0</v>
      </c>
    </row>
    <row r="1037" spans="1:5" x14ac:dyDescent="0.25">
      <c r="A1037" s="11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19331102</v>
      </c>
      <c r="C1037" s="12">
        <v>9</v>
      </c>
      <c r="D1037" s="17">
        <f t="shared" ca="1" si="34"/>
        <v>0</v>
      </c>
      <c r="E1037" s="18">
        <f t="shared" ca="1" si="35"/>
        <v>0</v>
      </c>
    </row>
    <row r="1038" spans="1:5" x14ac:dyDescent="0.25">
      <c r="A1038" s="11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19331103</v>
      </c>
      <c r="C1038" s="12">
        <v>9</v>
      </c>
      <c r="D1038" s="17">
        <f t="shared" ca="1" si="34"/>
        <v>0</v>
      </c>
      <c r="E1038" s="18">
        <f t="shared" ca="1" si="35"/>
        <v>0</v>
      </c>
    </row>
    <row r="1039" spans="1:5" x14ac:dyDescent="0.25">
      <c r="A1039" s="11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19331104</v>
      </c>
      <c r="C1039" s="12">
        <v>9</v>
      </c>
      <c r="D1039" s="17">
        <f t="shared" ca="1" si="34"/>
        <v>0</v>
      </c>
      <c r="E1039" s="18">
        <f t="shared" ca="1" si="35"/>
        <v>0</v>
      </c>
    </row>
    <row r="1040" spans="1:5" x14ac:dyDescent="0.25">
      <c r="A1040" s="11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19331105</v>
      </c>
      <c r="C1040" s="12">
        <v>9</v>
      </c>
      <c r="D1040" s="17">
        <f t="shared" ca="1" si="34"/>
        <v>0</v>
      </c>
      <c r="E1040" s="18">
        <f t="shared" ca="1" si="35"/>
        <v>0</v>
      </c>
    </row>
    <row r="1041" spans="1:5" x14ac:dyDescent="0.25">
      <c r="A1041" s="11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19331106</v>
      </c>
      <c r="C1041" s="12">
        <v>9</v>
      </c>
      <c r="D1041" s="17">
        <f t="shared" ca="1" si="34"/>
        <v>0</v>
      </c>
      <c r="E1041" s="18">
        <f t="shared" ca="1" si="35"/>
        <v>0</v>
      </c>
    </row>
    <row r="1042" spans="1:5" x14ac:dyDescent="0.25">
      <c r="A1042" s="11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19331107</v>
      </c>
      <c r="C1042" s="12">
        <v>9</v>
      </c>
      <c r="D1042" s="17">
        <f t="shared" ca="1" si="34"/>
        <v>340</v>
      </c>
      <c r="E1042" s="18">
        <f t="shared" ca="1" si="35"/>
        <v>0</v>
      </c>
    </row>
    <row r="1043" spans="1:5" x14ac:dyDescent="0.25">
      <c r="A1043" s="11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19331108</v>
      </c>
      <c r="C1043" s="12">
        <v>9</v>
      </c>
      <c r="D1043" s="17">
        <f t="shared" ca="1" si="34"/>
        <v>0</v>
      </c>
      <c r="E1043" s="18">
        <f t="shared" ca="1" si="35"/>
        <v>0</v>
      </c>
    </row>
    <row r="1044" spans="1:5" x14ac:dyDescent="0.25">
      <c r="A1044" s="11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19331109</v>
      </c>
      <c r="C1044" s="12">
        <v>9</v>
      </c>
      <c r="D1044" s="17">
        <f t="shared" ca="1" si="34"/>
        <v>100</v>
      </c>
      <c r="E1044" s="18">
        <f t="shared" ca="1" si="35"/>
        <v>0</v>
      </c>
    </row>
    <row r="1045" spans="1:5" x14ac:dyDescent="0.25">
      <c r="A1045" s="11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19331110</v>
      </c>
      <c r="C1045" s="12">
        <v>9</v>
      </c>
      <c r="D1045" s="17">
        <f t="shared" ca="1" si="34"/>
        <v>220</v>
      </c>
      <c r="E1045" s="18">
        <f t="shared" ca="1" si="35"/>
        <v>0</v>
      </c>
    </row>
    <row r="1046" spans="1:5" x14ac:dyDescent="0.25">
      <c r="A1046" s="11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19331111</v>
      </c>
      <c r="C1046" s="12">
        <v>9</v>
      </c>
      <c r="D1046" s="17">
        <f t="shared" ca="1" si="34"/>
        <v>100</v>
      </c>
      <c r="E1046" s="18">
        <f t="shared" ca="1" si="35"/>
        <v>0</v>
      </c>
    </row>
    <row r="1047" spans="1:5" x14ac:dyDescent="0.25">
      <c r="A1047" s="11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19331112</v>
      </c>
      <c r="C1047" s="12">
        <v>9</v>
      </c>
      <c r="D1047" s="17">
        <f t="shared" ca="1" si="34"/>
        <v>0</v>
      </c>
      <c r="E1047" s="18">
        <f t="shared" ca="1" si="35"/>
        <v>0</v>
      </c>
    </row>
    <row r="1048" spans="1:5" x14ac:dyDescent="0.25">
      <c r="A1048" s="11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19331113</v>
      </c>
      <c r="C1048" s="12">
        <v>9</v>
      </c>
      <c r="D1048" s="17">
        <f t="shared" ca="1" si="34"/>
        <v>0</v>
      </c>
      <c r="E1048" s="18">
        <f t="shared" ca="1" si="35"/>
        <v>0</v>
      </c>
    </row>
    <row r="1049" spans="1:5" x14ac:dyDescent="0.25">
      <c r="A1049" s="11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19331114</v>
      </c>
      <c r="C1049" s="12">
        <v>9</v>
      </c>
      <c r="D1049" s="17">
        <f t="shared" ca="1" si="34"/>
        <v>0</v>
      </c>
      <c r="E1049" s="18">
        <f t="shared" ca="1" si="35"/>
        <v>0</v>
      </c>
    </row>
    <row r="1050" spans="1:5" x14ac:dyDescent="0.25">
      <c r="A1050" s="11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19331115</v>
      </c>
      <c r="C1050" s="12">
        <v>9</v>
      </c>
      <c r="D1050" s="17">
        <f t="shared" ca="1" si="34"/>
        <v>80</v>
      </c>
      <c r="E1050" s="18">
        <f t="shared" ca="1" si="35"/>
        <v>0</v>
      </c>
    </row>
    <row r="1051" spans="1:5" x14ac:dyDescent="0.25">
      <c r="A1051" s="11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19331116</v>
      </c>
      <c r="C1051" s="12">
        <v>9</v>
      </c>
      <c r="D1051" s="17">
        <f t="shared" ca="1" si="34"/>
        <v>60</v>
      </c>
      <c r="E1051" s="18">
        <f t="shared" ca="1" si="35"/>
        <v>0</v>
      </c>
    </row>
    <row r="1052" spans="1:5" x14ac:dyDescent="0.25">
      <c r="A1052" s="11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19331117</v>
      </c>
      <c r="C1052" s="12">
        <v>9</v>
      </c>
      <c r="D1052" s="17">
        <f t="shared" ca="1" si="34"/>
        <v>0</v>
      </c>
      <c r="E1052" s="18">
        <f t="shared" ca="1" si="35"/>
        <v>0</v>
      </c>
    </row>
    <row r="1053" spans="1:5" x14ac:dyDescent="0.25">
      <c r="A1053" s="11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19331118</v>
      </c>
      <c r="C1053" s="12">
        <v>9</v>
      </c>
      <c r="D1053" s="17">
        <f t="shared" ca="1" si="34"/>
        <v>0</v>
      </c>
      <c r="E1053" s="18">
        <f t="shared" ca="1" si="35"/>
        <v>0</v>
      </c>
    </row>
    <row r="1054" spans="1:5" x14ac:dyDescent="0.25">
      <c r="A1054" s="11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19331119</v>
      </c>
      <c r="C1054" s="12">
        <v>9</v>
      </c>
      <c r="D1054" s="17">
        <f t="shared" ca="1" si="34"/>
        <v>0</v>
      </c>
      <c r="E1054" s="18">
        <f t="shared" ca="1" si="35"/>
        <v>0</v>
      </c>
    </row>
    <row r="1055" spans="1:5" x14ac:dyDescent="0.25">
      <c r="A1055" s="11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19331120</v>
      </c>
      <c r="C1055" s="12">
        <v>9</v>
      </c>
      <c r="D1055" s="17">
        <f t="shared" ca="1" si="34"/>
        <v>0</v>
      </c>
      <c r="E1055" s="18">
        <f t="shared" ca="1" si="35"/>
        <v>0</v>
      </c>
    </row>
    <row r="1056" spans="1:5" x14ac:dyDescent="0.25">
      <c r="A1056" s="11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19331121</v>
      </c>
      <c r="C1056" s="12">
        <v>9</v>
      </c>
      <c r="D1056" s="17">
        <f t="shared" ca="1" si="34"/>
        <v>0</v>
      </c>
      <c r="E1056" s="18">
        <f t="shared" ca="1" si="35"/>
        <v>0</v>
      </c>
    </row>
    <row r="1057" spans="1:5" x14ac:dyDescent="0.25">
      <c r="A1057" s="11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19331122</v>
      </c>
      <c r="C1057" s="12">
        <v>9</v>
      </c>
      <c r="D1057" s="17">
        <f t="shared" ca="1" si="34"/>
        <v>0</v>
      </c>
      <c r="E1057" s="18">
        <f t="shared" ca="1" si="35"/>
        <v>0</v>
      </c>
    </row>
    <row r="1058" spans="1:5" x14ac:dyDescent="0.25">
      <c r="A1058" s="11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19331123</v>
      </c>
      <c r="C1058" s="12">
        <v>9</v>
      </c>
      <c r="D1058" s="17">
        <f t="shared" ca="1" si="34"/>
        <v>0</v>
      </c>
      <c r="E1058" s="18">
        <f t="shared" ca="1" si="35"/>
        <v>0</v>
      </c>
    </row>
    <row r="1059" spans="1:5" x14ac:dyDescent="0.25">
      <c r="A1059" s="11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19331124</v>
      </c>
      <c r="C1059" s="12">
        <v>9</v>
      </c>
      <c r="D1059" s="17">
        <f t="shared" ca="1" si="34"/>
        <v>30</v>
      </c>
      <c r="E1059" s="18">
        <f t="shared" ca="1" si="35"/>
        <v>0</v>
      </c>
    </row>
    <row r="1060" spans="1:5" x14ac:dyDescent="0.25">
      <c r="A1060" s="11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19331125</v>
      </c>
      <c r="C1060" s="12">
        <v>9</v>
      </c>
      <c r="D1060" s="17">
        <f t="shared" ref="D1060:D1096" ca="1" si="36">IF(OR(ISBLANK(VLOOKUP(DATEVALUE(LEFT(B1060,4)&amp;"-"&amp;MID(B1060,5,2)&amp;"-"&amp;RIGHT(B1060,2)),Data,MATCH(VLOOKUP(A1060,Stations,2,FALSE()),OFFSET(Data,1,0,1),0),FALSE())),ISTEXT(VLOOKUP(DATEVALUE(LEFT(B1060,4)&amp;"-"&amp;MID(B1060,5,2)&amp;"-"&amp;RIGHT(B1060,2)),Data,MATCH(VLOOKUP(A1060,Stations,2,FALSE()),OFFSET(Data,1,0,1),0),FALSE()))),"—",VLOOKUP(DATEVALUE(LEFT(B1060,4)&amp;"-"&amp;MID(B1060,5,2)&amp;"-"&amp;RIGHT(B1060,2)),Data,MATCH(VLOOKUP(A1060,Stations,2,FALSE()),OFFSET(Data,1,0,1),0),FALSE()))</f>
        <v>0</v>
      </c>
      <c r="E1060" s="18">
        <f t="shared" ref="E1060:E1096" ca="1" si="37">IF(OR(ISBLANK(VLOOKUP(DATEVALUE(LEFT(B1060,4)&amp;"-"&amp;MID(B1060,5,2)&amp;"-"&amp;RIGHT(B1060,2)),Data,MATCH(VLOOKUP(A1060,Stations,2,FALSE()),OFFSET(Data,1,0,1),0),FALSE())),ISTEXT(VLOOKUP(DATEVALUE(LEFT(B1060,4)&amp;"-"&amp;MID(B1060,5,2)&amp;"-"&amp;RIGHT(B1060,2)),Data,MATCH(VLOOKUP(A1060,Stations,2,FALSE()),OFFSET(Data,1,0,1),0),FALSE()))),Lacking,IF(ISNA(MATCH(DATEVALUE(LEFT(B1060,4)&amp;"-"&amp;MID(B1060,5,2)&amp;"-"&amp;RIGHT(B1060,2)),OFFSET(Catalogus,0,0,,1),0)),Ok,VLOOKUP(DATEVALUE(LEFT(B1060,4)&amp;"-"&amp;MID(B1060,5,2)&amp;"-"&amp;RIGHT(B1060,2)),Catalogus,MATCH(VLOOKUP(A1060,Stations,2,FALSE()),OFFSET(Catalogus,1,0,1),0),FALSE())))</f>
        <v>0</v>
      </c>
    </row>
    <row r="1061" spans="1:5" x14ac:dyDescent="0.25">
      <c r="A1061" s="11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19331126</v>
      </c>
      <c r="C1061" s="12">
        <v>9</v>
      </c>
      <c r="D1061" s="17">
        <f t="shared" ca="1" si="36"/>
        <v>90</v>
      </c>
      <c r="E1061" s="18">
        <f t="shared" ca="1" si="37"/>
        <v>0</v>
      </c>
    </row>
    <row r="1062" spans="1:5" x14ac:dyDescent="0.25">
      <c r="A1062" s="11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19331127</v>
      </c>
      <c r="C1062" s="12">
        <v>9</v>
      </c>
      <c r="D1062" s="17">
        <f t="shared" ca="1" si="36"/>
        <v>60</v>
      </c>
      <c r="E1062" s="18">
        <f t="shared" ca="1" si="37"/>
        <v>0</v>
      </c>
    </row>
    <row r="1063" spans="1:5" x14ac:dyDescent="0.25">
      <c r="A1063" s="11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19331128</v>
      </c>
      <c r="C1063" s="12">
        <v>9</v>
      </c>
      <c r="D1063" s="17">
        <f t="shared" ca="1" si="36"/>
        <v>0</v>
      </c>
      <c r="E1063" s="18">
        <f t="shared" ca="1" si="37"/>
        <v>0</v>
      </c>
    </row>
    <row r="1064" spans="1:5" x14ac:dyDescent="0.25">
      <c r="A1064" s="11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19331129</v>
      </c>
      <c r="C1064" s="12">
        <v>9</v>
      </c>
      <c r="D1064" s="17">
        <f t="shared" ca="1" si="36"/>
        <v>0</v>
      </c>
      <c r="E1064" s="18">
        <f t="shared" ca="1" si="37"/>
        <v>0</v>
      </c>
    </row>
    <row r="1065" spans="1:5" x14ac:dyDescent="0.25">
      <c r="A1065" s="11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19331130</v>
      </c>
      <c r="C1065" s="12">
        <v>9</v>
      </c>
      <c r="D1065" s="17">
        <f t="shared" ca="1" si="36"/>
        <v>0</v>
      </c>
      <c r="E1065" s="18">
        <f t="shared" ca="1" si="37"/>
        <v>0</v>
      </c>
    </row>
    <row r="1066" spans="1:5" x14ac:dyDescent="0.25">
      <c r="A1066" s="11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19331201</v>
      </c>
      <c r="C1066" s="12">
        <v>9</v>
      </c>
      <c r="D1066" s="17" t="str">
        <f t="shared" ca="1" si="36"/>
        <v>—</v>
      </c>
      <c r="E1066" s="18">
        <f t="shared" ca="1" si="37"/>
        <v>7</v>
      </c>
    </row>
    <row r="1067" spans="1:5" x14ac:dyDescent="0.25">
      <c r="A1067" s="11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19331202</v>
      </c>
      <c r="C1067" s="12">
        <v>9</v>
      </c>
      <c r="D1067" s="17" t="str">
        <f t="shared" ca="1" si="36"/>
        <v>—</v>
      </c>
      <c r="E1067" s="18">
        <f t="shared" ca="1" si="37"/>
        <v>7</v>
      </c>
    </row>
    <row r="1068" spans="1:5" x14ac:dyDescent="0.25">
      <c r="A1068" s="11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19331203</v>
      </c>
      <c r="C1068" s="12">
        <v>9</v>
      </c>
      <c r="D1068" s="17" t="str">
        <f t="shared" ca="1" si="36"/>
        <v>—</v>
      </c>
      <c r="E1068" s="18">
        <f t="shared" ca="1" si="37"/>
        <v>7</v>
      </c>
    </row>
    <row r="1069" spans="1:5" x14ac:dyDescent="0.25">
      <c r="A1069" s="11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19331204</v>
      </c>
      <c r="C1069" s="12">
        <v>9</v>
      </c>
      <c r="D1069" s="17" t="str">
        <f t="shared" ca="1" si="36"/>
        <v>—</v>
      </c>
      <c r="E1069" s="18">
        <f t="shared" ca="1" si="37"/>
        <v>7</v>
      </c>
    </row>
    <row r="1070" spans="1:5" x14ac:dyDescent="0.25">
      <c r="A1070" s="11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19331205</v>
      </c>
      <c r="C1070" s="12">
        <v>9</v>
      </c>
      <c r="D1070" s="17" t="str">
        <f t="shared" ca="1" si="36"/>
        <v>—</v>
      </c>
      <c r="E1070" s="18">
        <f t="shared" ca="1" si="37"/>
        <v>7</v>
      </c>
    </row>
    <row r="1071" spans="1:5" x14ac:dyDescent="0.25">
      <c r="A1071" s="11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19331206</v>
      </c>
      <c r="C1071" s="12">
        <v>9</v>
      </c>
      <c r="D1071" s="17" t="str">
        <f t="shared" ca="1" si="36"/>
        <v>—</v>
      </c>
      <c r="E1071" s="18">
        <f t="shared" ca="1" si="37"/>
        <v>7</v>
      </c>
    </row>
    <row r="1072" spans="1:5" x14ac:dyDescent="0.25">
      <c r="A1072" s="11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19331207</v>
      </c>
      <c r="C1072" s="12">
        <v>9</v>
      </c>
      <c r="D1072" s="17" t="str">
        <f t="shared" ca="1" si="36"/>
        <v>—</v>
      </c>
      <c r="E1072" s="18">
        <f t="shared" ca="1" si="37"/>
        <v>7</v>
      </c>
    </row>
    <row r="1073" spans="1:5" x14ac:dyDescent="0.25">
      <c r="A1073" s="11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19331208</v>
      </c>
      <c r="C1073" s="12">
        <v>9</v>
      </c>
      <c r="D1073" s="17" t="str">
        <f t="shared" ca="1" si="36"/>
        <v>—</v>
      </c>
      <c r="E1073" s="18">
        <f t="shared" ca="1" si="37"/>
        <v>7</v>
      </c>
    </row>
    <row r="1074" spans="1:5" x14ac:dyDescent="0.25">
      <c r="A1074" s="11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19331209</v>
      </c>
      <c r="C1074" s="12">
        <v>9</v>
      </c>
      <c r="D1074" s="17" t="str">
        <f t="shared" ca="1" si="36"/>
        <v>—</v>
      </c>
      <c r="E1074" s="18">
        <f t="shared" ca="1" si="37"/>
        <v>7</v>
      </c>
    </row>
    <row r="1075" spans="1:5" x14ac:dyDescent="0.25">
      <c r="A1075" s="11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19331210</v>
      </c>
      <c r="C1075" s="12">
        <v>9</v>
      </c>
      <c r="D1075" s="17" t="str">
        <f t="shared" ca="1" si="36"/>
        <v>—</v>
      </c>
      <c r="E1075" s="18">
        <f t="shared" ca="1" si="37"/>
        <v>7</v>
      </c>
    </row>
    <row r="1076" spans="1:5" x14ac:dyDescent="0.25">
      <c r="A1076" s="11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19331211</v>
      </c>
      <c r="C1076" s="12">
        <v>9</v>
      </c>
      <c r="D1076" s="17" t="str">
        <f t="shared" ca="1" si="36"/>
        <v>—</v>
      </c>
      <c r="E1076" s="18">
        <f t="shared" ca="1" si="37"/>
        <v>7</v>
      </c>
    </row>
    <row r="1077" spans="1:5" x14ac:dyDescent="0.25">
      <c r="A1077" s="11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19331212</v>
      </c>
      <c r="C1077" s="12">
        <v>9</v>
      </c>
      <c r="D1077" s="17" t="str">
        <f t="shared" ca="1" si="36"/>
        <v>—</v>
      </c>
      <c r="E1077" s="18">
        <f t="shared" ca="1" si="37"/>
        <v>7</v>
      </c>
    </row>
    <row r="1078" spans="1:5" x14ac:dyDescent="0.25">
      <c r="A1078" s="11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19331213</v>
      </c>
      <c r="C1078" s="12">
        <v>9</v>
      </c>
      <c r="D1078" s="17" t="str">
        <f t="shared" ca="1" si="36"/>
        <v>—</v>
      </c>
      <c r="E1078" s="18">
        <f t="shared" ca="1" si="37"/>
        <v>7</v>
      </c>
    </row>
    <row r="1079" spans="1:5" x14ac:dyDescent="0.25">
      <c r="A1079" s="11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19331214</v>
      </c>
      <c r="C1079" s="12">
        <v>9</v>
      </c>
      <c r="D1079" s="17" t="str">
        <f t="shared" ca="1" si="36"/>
        <v>—</v>
      </c>
      <c r="E1079" s="18">
        <f t="shared" ca="1" si="37"/>
        <v>7</v>
      </c>
    </row>
    <row r="1080" spans="1:5" x14ac:dyDescent="0.25">
      <c r="A1080" s="11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19331215</v>
      </c>
      <c r="C1080" s="12">
        <v>9</v>
      </c>
      <c r="D1080" s="17" t="str">
        <f t="shared" ca="1" si="36"/>
        <v>—</v>
      </c>
      <c r="E1080" s="18">
        <f t="shared" ca="1" si="37"/>
        <v>7</v>
      </c>
    </row>
    <row r="1081" spans="1:5" x14ac:dyDescent="0.25">
      <c r="A1081" s="11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19331216</v>
      </c>
      <c r="C1081" s="12">
        <v>9</v>
      </c>
      <c r="D1081" s="17" t="str">
        <f t="shared" ca="1" si="36"/>
        <v>—</v>
      </c>
      <c r="E1081" s="18">
        <f t="shared" ca="1" si="37"/>
        <v>7</v>
      </c>
    </row>
    <row r="1082" spans="1:5" x14ac:dyDescent="0.25">
      <c r="A1082" s="11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19331217</v>
      </c>
      <c r="C1082" s="12">
        <v>9</v>
      </c>
      <c r="D1082" s="17" t="str">
        <f t="shared" ca="1" si="36"/>
        <v>—</v>
      </c>
      <c r="E1082" s="18">
        <f t="shared" ca="1" si="37"/>
        <v>7</v>
      </c>
    </row>
    <row r="1083" spans="1:5" x14ac:dyDescent="0.25">
      <c r="A1083" s="11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19331218</v>
      </c>
      <c r="C1083" s="12">
        <v>9</v>
      </c>
      <c r="D1083" s="17" t="str">
        <f t="shared" ca="1" si="36"/>
        <v>—</v>
      </c>
      <c r="E1083" s="18">
        <f t="shared" ca="1" si="37"/>
        <v>7</v>
      </c>
    </row>
    <row r="1084" spans="1:5" x14ac:dyDescent="0.25">
      <c r="A1084" s="11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19331219</v>
      </c>
      <c r="C1084" s="12">
        <v>9</v>
      </c>
      <c r="D1084" s="17" t="str">
        <f t="shared" ca="1" si="36"/>
        <v>—</v>
      </c>
      <c r="E1084" s="18">
        <f t="shared" ca="1" si="37"/>
        <v>7</v>
      </c>
    </row>
    <row r="1085" spans="1:5" x14ac:dyDescent="0.25">
      <c r="A1085" s="11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19331220</v>
      </c>
      <c r="C1085" s="12">
        <v>9</v>
      </c>
      <c r="D1085" s="17" t="str">
        <f t="shared" ca="1" si="36"/>
        <v>—</v>
      </c>
      <c r="E1085" s="18">
        <f t="shared" ca="1" si="37"/>
        <v>7</v>
      </c>
    </row>
    <row r="1086" spans="1:5" x14ac:dyDescent="0.25">
      <c r="A1086" s="11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19331221</v>
      </c>
      <c r="C1086" s="12">
        <v>9</v>
      </c>
      <c r="D1086" s="17" t="str">
        <f t="shared" ca="1" si="36"/>
        <v>—</v>
      </c>
      <c r="E1086" s="18">
        <f t="shared" ca="1" si="37"/>
        <v>7</v>
      </c>
    </row>
    <row r="1087" spans="1:5" x14ac:dyDescent="0.25">
      <c r="A1087" s="11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19331222</v>
      </c>
      <c r="C1087" s="12">
        <v>9</v>
      </c>
      <c r="D1087" s="17" t="str">
        <f t="shared" ca="1" si="36"/>
        <v>—</v>
      </c>
      <c r="E1087" s="18">
        <f t="shared" ca="1" si="37"/>
        <v>7</v>
      </c>
    </row>
    <row r="1088" spans="1:5" x14ac:dyDescent="0.25">
      <c r="A1088" s="11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19331223</v>
      </c>
      <c r="C1088" s="12">
        <v>9</v>
      </c>
      <c r="D1088" s="17" t="str">
        <f t="shared" ca="1" si="36"/>
        <v>—</v>
      </c>
      <c r="E1088" s="18">
        <f t="shared" ca="1" si="37"/>
        <v>7</v>
      </c>
    </row>
    <row r="1089" spans="1:5" x14ac:dyDescent="0.25">
      <c r="A1089" s="11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19331224</v>
      </c>
      <c r="C1089" s="12">
        <v>9</v>
      </c>
      <c r="D1089" s="17" t="str">
        <f t="shared" ca="1" si="36"/>
        <v>—</v>
      </c>
      <c r="E1089" s="18">
        <f t="shared" ca="1" si="37"/>
        <v>7</v>
      </c>
    </row>
    <row r="1090" spans="1:5" x14ac:dyDescent="0.25">
      <c r="A1090" s="11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19331225</v>
      </c>
      <c r="C1090" s="12">
        <v>9</v>
      </c>
      <c r="D1090" s="17" t="str">
        <f t="shared" ca="1" si="36"/>
        <v>—</v>
      </c>
      <c r="E1090" s="18">
        <f t="shared" ca="1" si="37"/>
        <v>7</v>
      </c>
    </row>
    <row r="1091" spans="1:5" x14ac:dyDescent="0.25">
      <c r="A1091" s="11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19331226</v>
      </c>
      <c r="C1091" s="12">
        <v>9</v>
      </c>
      <c r="D1091" s="17" t="str">
        <f t="shared" ca="1" si="36"/>
        <v>—</v>
      </c>
      <c r="E1091" s="18">
        <f t="shared" ca="1" si="37"/>
        <v>7</v>
      </c>
    </row>
    <row r="1092" spans="1:5" x14ac:dyDescent="0.25">
      <c r="A1092" s="11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19331227</v>
      </c>
      <c r="C1092" s="12">
        <v>9</v>
      </c>
      <c r="D1092" s="17" t="str">
        <f t="shared" ca="1" si="36"/>
        <v>—</v>
      </c>
      <c r="E1092" s="18">
        <f t="shared" ca="1" si="37"/>
        <v>7</v>
      </c>
    </row>
    <row r="1093" spans="1:5" x14ac:dyDescent="0.25">
      <c r="A1093" s="11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19331228</v>
      </c>
      <c r="C1093" s="12">
        <v>9</v>
      </c>
      <c r="D1093" s="17" t="str">
        <f t="shared" ca="1" si="36"/>
        <v>—</v>
      </c>
      <c r="E1093" s="18">
        <f t="shared" ca="1" si="37"/>
        <v>7</v>
      </c>
    </row>
    <row r="1094" spans="1:5" x14ac:dyDescent="0.25">
      <c r="A1094" s="11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19331229</v>
      </c>
      <c r="C1094" s="12">
        <v>9</v>
      </c>
      <c r="D1094" s="17" t="str">
        <f t="shared" ca="1" si="36"/>
        <v>—</v>
      </c>
      <c r="E1094" s="18">
        <f t="shared" ca="1" si="37"/>
        <v>7</v>
      </c>
    </row>
    <row r="1095" spans="1:5" x14ac:dyDescent="0.25">
      <c r="A1095" s="11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19331230</v>
      </c>
      <c r="C1095" s="12">
        <v>9</v>
      </c>
      <c r="D1095" s="17" t="str">
        <f t="shared" ca="1" si="36"/>
        <v>—</v>
      </c>
      <c r="E1095" s="18">
        <f t="shared" ca="1" si="37"/>
        <v>7</v>
      </c>
    </row>
    <row r="1096" spans="1:5" x14ac:dyDescent="0.25">
      <c r="A1096" s="11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19331231</v>
      </c>
      <c r="C1096" s="12">
        <v>9</v>
      </c>
      <c r="D1096" s="17" t="str">
        <f t="shared" ca="1" si="36"/>
        <v>—</v>
      </c>
      <c r="E1096" s="18">
        <f t="shared" ca="1" si="37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19330101</v>
      </c>
      <c r="C2" s="24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759</v>
      </c>
      <c r="E2" s="29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28</v>
      </c>
      <c r="G2" s="29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19330101</v>
      </c>
      <c r="C3" s="24" t="str">
        <f>INDEX(Data,2,2+MOD(ROWS(C$2:C3)-1,2))</f>
        <v>15.00</v>
      </c>
      <c r="D3" s="41">
        <f t="shared" ca="1" si="1"/>
        <v>759</v>
      </c>
      <c r="E3" s="29">
        <f t="shared" ca="1" si="2"/>
        <v>0</v>
      </c>
      <c r="F3" s="42">
        <f t="shared" ca="1" si="3"/>
        <v>28.5</v>
      </c>
      <c r="G3" s="29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19330102</v>
      </c>
      <c r="C4" s="24" t="str">
        <f>INDEX(Data,2,2+MOD(ROWS(C$2:C4)-1,2))</f>
        <v>08.00</v>
      </c>
      <c r="D4" s="41">
        <f t="shared" ca="1" si="1"/>
        <v>759</v>
      </c>
      <c r="E4" s="29">
        <f t="shared" ca="1" si="2"/>
        <v>0</v>
      </c>
      <c r="F4" s="42">
        <f t="shared" ca="1" si="3"/>
        <v>28.5</v>
      </c>
      <c r="G4" s="29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19330102</v>
      </c>
      <c r="C5" s="24" t="str">
        <f>INDEX(Data,2,2+MOD(ROWS(C$2:C5)-1,2))</f>
        <v>15.00</v>
      </c>
      <c r="D5" s="41">
        <f t="shared" ca="1" si="1"/>
        <v>759</v>
      </c>
      <c r="E5" s="29">
        <f t="shared" ca="1" si="2"/>
        <v>0</v>
      </c>
      <c r="F5" s="42">
        <f t="shared" ca="1" si="3"/>
        <v>28.5</v>
      </c>
      <c r="G5" s="29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19330103</v>
      </c>
      <c r="C6" s="24" t="str">
        <f>INDEX(Data,2,2+MOD(ROWS(C$2:C6)-1,2))</f>
        <v>08.00</v>
      </c>
      <c r="D6" s="41">
        <f t="shared" ca="1" si="1"/>
        <v>759</v>
      </c>
      <c r="E6" s="29">
        <f t="shared" ca="1" si="2"/>
        <v>0</v>
      </c>
      <c r="F6" s="42">
        <f t="shared" ca="1" si="3"/>
        <v>28</v>
      </c>
      <c r="G6" s="29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19330103</v>
      </c>
      <c r="C7" s="24" t="str">
        <f>INDEX(Data,2,2+MOD(ROWS(C$2:C7)-1,2))</f>
        <v>15.00</v>
      </c>
      <c r="D7" s="41">
        <f t="shared" ca="1" si="1"/>
        <v>759</v>
      </c>
      <c r="E7" s="29">
        <f t="shared" ca="1" si="2"/>
        <v>0</v>
      </c>
      <c r="F7" s="42">
        <f t="shared" ca="1" si="3"/>
        <v>28.5</v>
      </c>
      <c r="G7" s="29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19330104</v>
      </c>
      <c r="C8" s="24" t="str">
        <f>INDEX(Data,2,2+MOD(ROWS(C$2:C8)-1,2))</f>
        <v>08.00</v>
      </c>
      <c r="D8" s="41">
        <f t="shared" ca="1" si="1"/>
        <v>759</v>
      </c>
      <c r="E8" s="29">
        <f t="shared" ca="1" si="2"/>
        <v>0</v>
      </c>
      <c r="F8" s="42">
        <f t="shared" ca="1" si="3"/>
        <v>28</v>
      </c>
      <c r="G8" s="29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19330104</v>
      </c>
      <c r="C9" s="24" t="str">
        <f>INDEX(Data,2,2+MOD(ROWS(C$2:C9)-1,2))</f>
        <v>15.00</v>
      </c>
      <c r="D9" s="41">
        <f t="shared" ca="1" si="1"/>
        <v>759</v>
      </c>
      <c r="E9" s="29">
        <f t="shared" ca="1" si="2"/>
        <v>0</v>
      </c>
      <c r="F9" s="42">
        <f t="shared" ca="1" si="3"/>
        <v>28.5</v>
      </c>
      <c r="G9" s="29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19330105</v>
      </c>
      <c r="C10" s="24" t="str">
        <f>INDEX(Data,2,2+MOD(ROWS(C$2:C10)-1,2))</f>
        <v>08.00</v>
      </c>
      <c r="D10" s="41">
        <f t="shared" ca="1" si="1"/>
        <v>759</v>
      </c>
      <c r="E10" s="29">
        <f t="shared" ca="1" si="2"/>
        <v>0</v>
      </c>
      <c r="F10" s="42">
        <f t="shared" ca="1" si="3"/>
        <v>28</v>
      </c>
      <c r="G10" s="29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19330105</v>
      </c>
      <c r="C11" s="24" t="str">
        <f>INDEX(Data,2,2+MOD(ROWS(C$2:C11)-1,2))</f>
        <v>15.00</v>
      </c>
      <c r="D11" s="41">
        <f t="shared" ca="1" si="1"/>
        <v>759</v>
      </c>
      <c r="E11" s="29">
        <f t="shared" ca="1" si="2"/>
        <v>0</v>
      </c>
      <c r="F11" s="42">
        <f t="shared" ca="1" si="3"/>
        <v>28.5</v>
      </c>
      <c r="G11" s="29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19330106</v>
      </c>
      <c r="C12" s="24" t="str">
        <f>INDEX(Data,2,2+MOD(ROWS(C$2:C12)-1,2))</f>
        <v>08.00</v>
      </c>
      <c r="D12" s="41">
        <f t="shared" ca="1" si="1"/>
        <v>759</v>
      </c>
      <c r="E12" s="29">
        <f t="shared" ca="1" si="2"/>
        <v>0</v>
      </c>
      <c r="F12" s="42">
        <f t="shared" ca="1" si="3"/>
        <v>28</v>
      </c>
      <c r="G12" s="29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19330106</v>
      </c>
      <c r="C13" s="24" t="str">
        <f>INDEX(Data,2,2+MOD(ROWS(C$2:C13)-1,2))</f>
        <v>15.00</v>
      </c>
      <c r="D13" s="41">
        <f t="shared" ca="1" si="1"/>
        <v>759</v>
      </c>
      <c r="E13" s="29">
        <f t="shared" ca="1" si="2"/>
        <v>0</v>
      </c>
      <c r="F13" s="42">
        <f t="shared" ca="1" si="3"/>
        <v>28.5</v>
      </c>
      <c r="G13" s="29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19330107</v>
      </c>
      <c r="C14" s="24" t="str">
        <f>INDEX(Data,2,2+MOD(ROWS(C$2:C14)-1,2))</f>
        <v>08.00</v>
      </c>
      <c r="D14" s="41">
        <f t="shared" ca="1" si="1"/>
        <v>759</v>
      </c>
      <c r="E14" s="29">
        <f t="shared" ca="1" si="2"/>
        <v>0</v>
      </c>
      <c r="F14" s="42">
        <f t="shared" ca="1" si="3"/>
        <v>27.5</v>
      </c>
      <c r="G14" s="29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19330107</v>
      </c>
      <c r="C15" s="24" t="str">
        <f>INDEX(Data,2,2+MOD(ROWS(C$2:C15)-1,2))</f>
        <v>15.00</v>
      </c>
      <c r="D15" s="41">
        <f t="shared" ca="1" si="1"/>
        <v>758</v>
      </c>
      <c r="E15" s="29">
        <f t="shared" ca="1" si="2"/>
        <v>0</v>
      </c>
      <c r="F15" s="42">
        <f t="shared" ca="1" si="3"/>
        <v>28.5</v>
      </c>
      <c r="G15" s="29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19330108</v>
      </c>
      <c r="C16" s="24" t="str">
        <f>INDEX(Data,2,2+MOD(ROWS(C$2:C16)-1,2))</f>
        <v>08.00</v>
      </c>
      <c r="D16" s="41">
        <f t="shared" ca="1" si="1"/>
        <v>759</v>
      </c>
      <c r="E16" s="29">
        <f t="shared" ca="1" si="2"/>
        <v>0</v>
      </c>
      <c r="F16" s="42">
        <f t="shared" ca="1" si="3"/>
        <v>28</v>
      </c>
      <c r="G16" s="29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19330108</v>
      </c>
      <c r="C17" s="24" t="str">
        <f>INDEX(Data,2,2+MOD(ROWS(C$2:C17)-1,2))</f>
        <v>15.00</v>
      </c>
      <c r="D17" s="41">
        <f t="shared" ca="1" si="1"/>
        <v>759</v>
      </c>
      <c r="E17" s="29">
        <f t="shared" ca="1" si="2"/>
        <v>0</v>
      </c>
      <c r="F17" s="42">
        <f t="shared" ca="1" si="3"/>
        <v>28</v>
      </c>
      <c r="G17" s="29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19330109</v>
      </c>
      <c r="C18" s="24" t="str">
        <f>INDEX(Data,2,2+MOD(ROWS(C$2:C18)-1,2))</f>
        <v>08.00</v>
      </c>
      <c r="D18" s="41">
        <f t="shared" ca="1" si="1"/>
        <v>759</v>
      </c>
      <c r="E18" s="29">
        <f t="shared" ca="1" si="2"/>
        <v>0</v>
      </c>
      <c r="F18" s="42">
        <f t="shared" ca="1" si="3"/>
        <v>28</v>
      </c>
      <c r="G18" s="29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19330109</v>
      </c>
      <c r="C19" s="24" t="str">
        <f>INDEX(Data,2,2+MOD(ROWS(C$2:C19)-1,2))</f>
        <v>15.00</v>
      </c>
      <c r="D19" s="41">
        <f t="shared" ca="1" si="1"/>
        <v>759</v>
      </c>
      <c r="E19" s="29">
        <f t="shared" ca="1" si="2"/>
        <v>0</v>
      </c>
      <c r="F19" s="42">
        <f t="shared" ca="1" si="3"/>
        <v>29</v>
      </c>
      <c r="G19" s="29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19330110</v>
      </c>
      <c r="C20" s="24" t="str">
        <f>INDEX(Data,2,2+MOD(ROWS(C$2:C20)-1,2))</f>
        <v>08.00</v>
      </c>
      <c r="D20" s="41">
        <f t="shared" ca="1" si="1"/>
        <v>759</v>
      </c>
      <c r="E20" s="29">
        <f t="shared" ca="1" si="2"/>
        <v>0</v>
      </c>
      <c r="F20" s="42">
        <f t="shared" ca="1" si="3"/>
        <v>27</v>
      </c>
      <c r="G20" s="29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19330110</v>
      </c>
      <c r="C21" s="24" t="str">
        <f>INDEX(Data,2,2+MOD(ROWS(C$2:C21)-1,2))</f>
        <v>15.00</v>
      </c>
      <c r="D21" s="41">
        <f t="shared" ca="1" si="1"/>
        <v>759</v>
      </c>
      <c r="E21" s="29">
        <f t="shared" ca="1" si="2"/>
        <v>0</v>
      </c>
      <c r="F21" s="42">
        <f t="shared" ca="1" si="3"/>
        <v>28.5</v>
      </c>
      <c r="G21" s="29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19330111</v>
      </c>
      <c r="C22" s="24" t="str">
        <f>INDEX(Data,2,2+MOD(ROWS(C$2:C22)-1,2))</f>
        <v>08.00</v>
      </c>
      <c r="D22" s="41">
        <f t="shared" ca="1" si="1"/>
        <v>759</v>
      </c>
      <c r="E22" s="29">
        <f t="shared" ca="1" si="2"/>
        <v>0</v>
      </c>
      <c r="F22" s="42">
        <f t="shared" ca="1" si="3"/>
        <v>27</v>
      </c>
      <c r="G22" s="29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19330111</v>
      </c>
      <c r="C23" s="24" t="str">
        <f>INDEX(Data,2,2+MOD(ROWS(C$2:C23)-1,2))</f>
        <v>15.00</v>
      </c>
      <c r="D23" s="41">
        <f t="shared" ca="1" si="1"/>
        <v>759</v>
      </c>
      <c r="E23" s="29">
        <f t="shared" ca="1" si="2"/>
        <v>0</v>
      </c>
      <c r="F23" s="42">
        <f t="shared" ca="1" si="3"/>
        <v>28</v>
      </c>
      <c r="G23" s="29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19330112</v>
      </c>
      <c r="C24" s="24" t="str">
        <f>INDEX(Data,2,2+MOD(ROWS(C$2:C24)-1,2))</f>
        <v>08.00</v>
      </c>
      <c r="D24" s="41">
        <f t="shared" ca="1" si="1"/>
        <v>759</v>
      </c>
      <c r="E24" s="29">
        <f t="shared" ca="1" si="2"/>
        <v>0</v>
      </c>
      <c r="F24" s="42">
        <f t="shared" ca="1" si="3"/>
        <v>27</v>
      </c>
      <c r="G24" s="29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19330112</v>
      </c>
      <c r="C25" s="24" t="str">
        <f>INDEX(Data,2,2+MOD(ROWS(C$2:C25)-1,2))</f>
        <v>15.00</v>
      </c>
      <c r="D25" s="41">
        <f t="shared" ca="1" si="1"/>
        <v>759</v>
      </c>
      <c r="E25" s="29">
        <f t="shared" ca="1" si="2"/>
        <v>0</v>
      </c>
      <c r="F25" s="42">
        <f t="shared" ca="1" si="3"/>
        <v>28</v>
      </c>
      <c r="G25" s="29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19330113</v>
      </c>
      <c r="C26" s="24" t="str">
        <f>INDEX(Data,2,2+MOD(ROWS(C$2:C26)-1,2))</f>
        <v>08.00</v>
      </c>
      <c r="D26" s="41">
        <f t="shared" ca="1" si="1"/>
        <v>759</v>
      </c>
      <c r="E26" s="29">
        <f t="shared" ca="1" si="2"/>
        <v>0</v>
      </c>
      <c r="F26" s="42">
        <f t="shared" ca="1" si="3"/>
        <v>28</v>
      </c>
      <c r="G26" s="29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19330113</v>
      </c>
      <c r="C27" s="24" t="str">
        <f>INDEX(Data,2,2+MOD(ROWS(C$2:C27)-1,2))</f>
        <v>15.00</v>
      </c>
      <c r="D27" s="41">
        <f t="shared" ca="1" si="1"/>
        <v>759</v>
      </c>
      <c r="E27" s="29">
        <f t="shared" ca="1" si="2"/>
        <v>0</v>
      </c>
      <c r="F27" s="42">
        <f t="shared" ca="1" si="3"/>
        <v>28</v>
      </c>
      <c r="G27" s="29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19330114</v>
      </c>
      <c r="C28" s="24" t="str">
        <f>INDEX(Data,2,2+MOD(ROWS(C$2:C28)-1,2))</f>
        <v>08.00</v>
      </c>
      <c r="D28" s="41">
        <f t="shared" ca="1" si="1"/>
        <v>759</v>
      </c>
      <c r="E28" s="29">
        <f t="shared" ca="1" si="2"/>
        <v>0</v>
      </c>
      <c r="F28" s="42">
        <f t="shared" ca="1" si="3"/>
        <v>26</v>
      </c>
      <c r="G28" s="29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19330114</v>
      </c>
      <c r="C29" s="24" t="str">
        <f>INDEX(Data,2,2+MOD(ROWS(C$2:C29)-1,2))</f>
        <v>15.00</v>
      </c>
      <c r="D29" s="41">
        <f t="shared" ca="1" si="1"/>
        <v>759</v>
      </c>
      <c r="E29" s="29">
        <f t="shared" ca="1" si="2"/>
        <v>0</v>
      </c>
      <c r="F29" s="42">
        <f t="shared" ca="1" si="3"/>
        <v>26.5</v>
      </c>
      <c r="G29" s="29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19330115</v>
      </c>
      <c r="C30" s="24" t="str">
        <f>INDEX(Data,2,2+MOD(ROWS(C$2:C30)-1,2))</f>
        <v>08.00</v>
      </c>
      <c r="D30" s="41">
        <f t="shared" ca="1" si="1"/>
        <v>759</v>
      </c>
      <c r="E30" s="29">
        <f t="shared" ca="1" si="2"/>
        <v>0</v>
      </c>
      <c r="F30" s="42">
        <f t="shared" ca="1" si="3"/>
        <v>26.5</v>
      </c>
      <c r="G30" s="29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19330115</v>
      </c>
      <c r="C31" s="24" t="str">
        <f>INDEX(Data,2,2+MOD(ROWS(C$2:C31)-1,2))</f>
        <v>15.00</v>
      </c>
      <c r="D31" s="41">
        <f t="shared" ca="1" si="1"/>
        <v>759</v>
      </c>
      <c r="E31" s="29">
        <f t="shared" ca="1" si="2"/>
        <v>0</v>
      </c>
      <c r="F31" s="42">
        <f t="shared" ca="1" si="3"/>
        <v>27</v>
      </c>
      <c r="G31" s="29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19330116</v>
      </c>
      <c r="C32" s="24" t="str">
        <f>INDEX(Data,2,2+MOD(ROWS(C$2:C32)-1,2))</f>
        <v>08.00</v>
      </c>
      <c r="D32" s="41">
        <f t="shared" ca="1" si="1"/>
        <v>759</v>
      </c>
      <c r="E32" s="29">
        <f t="shared" ca="1" si="2"/>
        <v>0</v>
      </c>
      <c r="F32" s="42">
        <f t="shared" ca="1" si="3"/>
        <v>26.5</v>
      </c>
      <c r="G32" s="29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19330116</v>
      </c>
      <c r="C33" s="24" t="str">
        <f>INDEX(Data,2,2+MOD(ROWS(C$2:C33)-1,2))</f>
        <v>15.00</v>
      </c>
      <c r="D33" s="41">
        <f t="shared" ca="1" si="1"/>
        <v>759</v>
      </c>
      <c r="E33" s="29">
        <f t="shared" ca="1" si="2"/>
        <v>0</v>
      </c>
      <c r="F33" s="42">
        <f t="shared" ca="1" si="3"/>
        <v>27</v>
      </c>
      <c r="G33" s="29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19330117</v>
      </c>
      <c r="C34" s="24" t="str">
        <f>INDEX(Data,2,2+MOD(ROWS(C$2:C34)-1,2))</f>
        <v>08.00</v>
      </c>
      <c r="D34" s="41">
        <f t="shared" ca="1" si="1"/>
        <v>759</v>
      </c>
      <c r="E34" s="29">
        <f t="shared" ca="1" si="2"/>
        <v>0</v>
      </c>
      <c r="F34" s="42">
        <f t="shared" ca="1" si="3"/>
        <v>25</v>
      </c>
      <c r="G34" s="29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19330117</v>
      </c>
      <c r="C35" s="24" t="str">
        <f>INDEX(Data,2,2+MOD(ROWS(C$2:C35)-1,2))</f>
        <v>15.00</v>
      </c>
      <c r="D35" s="41">
        <f t="shared" ca="1" si="1"/>
        <v>759</v>
      </c>
      <c r="E35" s="29">
        <f t="shared" ca="1" si="2"/>
        <v>0</v>
      </c>
      <c r="F35" s="42">
        <f t="shared" ca="1" si="3"/>
        <v>27</v>
      </c>
      <c r="G35" s="29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19330118</v>
      </c>
      <c r="C36" s="24" t="str">
        <f>INDEX(Data,2,2+MOD(ROWS(C$2:C36)-1,2))</f>
        <v>08.00</v>
      </c>
      <c r="D36" s="41">
        <f t="shared" ca="1" si="1"/>
        <v>759</v>
      </c>
      <c r="E36" s="29">
        <f t="shared" ca="1" si="2"/>
        <v>0</v>
      </c>
      <c r="F36" s="42">
        <f t="shared" ca="1" si="3"/>
        <v>27</v>
      </c>
      <c r="G36" s="29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19330118</v>
      </c>
      <c r="C37" s="24" t="str">
        <f>INDEX(Data,2,2+MOD(ROWS(C$2:C37)-1,2))</f>
        <v>15.00</v>
      </c>
      <c r="D37" s="41">
        <f t="shared" ca="1" si="1"/>
        <v>759</v>
      </c>
      <c r="E37" s="29">
        <f t="shared" ca="1" si="2"/>
        <v>0</v>
      </c>
      <c r="F37" s="42">
        <f t="shared" ca="1" si="3"/>
        <v>26.5</v>
      </c>
      <c r="G37" s="29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19330119</v>
      </c>
      <c r="C38" s="24" t="str">
        <f>INDEX(Data,2,2+MOD(ROWS(C$2:C38)-1,2))</f>
        <v>08.00</v>
      </c>
      <c r="D38" s="41">
        <f t="shared" ca="1" si="1"/>
        <v>759</v>
      </c>
      <c r="E38" s="29">
        <f t="shared" ca="1" si="2"/>
        <v>0</v>
      </c>
      <c r="F38" s="42">
        <f t="shared" ca="1" si="3"/>
        <v>26.5</v>
      </c>
      <c r="G38" s="29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19330119</v>
      </c>
      <c r="C39" s="24" t="str">
        <f>INDEX(Data,2,2+MOD(ROWS(C$2:C39)-1,2))</f>
        <v>15.00</v>
      </c>
      <c r="D39" s="41">
        <f t="shared" ca="1" si="1"/>
        <v>759</v>
      </c>
      <c r="E39" s="29">
        <f t="shared" ca="1" si="2"/>
        <v>0</v>
      </c>
      <c r="F39" s="42">
        <f t="shared" ca="1" si="3"/>
        <v>27</v>
      </c>
      <c r="G39" s="29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19330120</v>
      </c>
      <c r="C40" s="24" t="str">
        <f>INDEX(Data,2,2+MOD(ROWS(C$2:C40)-1,2))</f>
        <v>08.00</v>
      </c>
      <c r="D40" s="41">
        <f t="shared" ca="1" si="1"/>
        <v>759</v>
      </c>
      <c r="E40" s="29">
        <f t="shared" ca="1" si="2"/>
        <v>0</v>
      </c>
      <c r="F40" s="42">
        <f t="shared" ca="1" si="3"/>
        <v>27</v>
      </c>
      <c r="G40" s="29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19330120</v>
      </c>
      <c r="C41" s="24" t="str">
        <f>INDEX(Data,2,2+MOD(ROWS(C$2:C41)-1,2))</f>
        <v>15.00</v>
      </c>
      <c r="D41" s="41">
        <f t="shared" ca="1" si="1"/>
        <v>759</v>
      </c>
      <c r="E41" s="29">
        <f t="shared" ca="1" si="2"/>
        <v>0</v>
      </c>
      <c r="F41" s="42">
        <f t="shared" ca="1" si="3"/>
        <v>27</v>
      </c>
      <c r="G41" s="29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19330121</v>
      </c>
      <c r="C42" s="24" t="str">
        <f>INDEX(Data,2,2+MOD(ROWS(C$2:C42)-1,2))</f>
        <v>08.00</v>
      </c>
      <c r="D42" s="41">
        <f t="shared" ca="1" si="1"/>
        <v>759</v>
      </c>
      <c r="E42" s="29">
        <f t="shared" ca="1" si="2"/>
        <v>0</v>
      </c>
      <c r="F42" s="42">
        <f t="shared" ca="1" si="3"/>
        <v>27</v>
      </c>
      <c r="G42" s="29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19330121</v>
      </c>
      <c r="C43" s="24" t="str">
        <f>INDEX(Data,2,2+MOD(ROWS(C$2:C43)-1,2))</f>
        <v>15.00</v>
      </c>
      <c r="D43" s="41">
        <f t="shared" ca="1" si="1"/>
        <v>759</v>
      </c>
      <c r="E43" s="29">
        <f t="shared" ca="1" si="2"/>
        <v>0</v>
      </c>
      <c r="F43" s="42">
        <f t="shared" ca="1" si="3"/>
        <v>27</v>
      </c>
      <c r="G43" s="29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19330122</v>
      </c>
      <c r="C44" s="24" t="str">
        <f>INDEX(Data,2,2+MOD(ROWS(C$2:C44)-1,2))</f>
        <v>08.00</v>
      </c>
      <c r="D44" s="41">
        <f t="shared" ca="1" si="1"/>
        <v>759</v>
      </c>
      <c r="E44" s="29">
        <f t="shared" ca="1" si="2"/>
        <v>0</v>
      </c>
      <c r="F44" s="42">
        <f t="shared" ca="1" si="3"/>
        <v>27</v>
      </c>
      <c r="G44" s="29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19330122</v>
      </c>
      <c r="C45" s="24" t="str">
        <f>INDEX(Data,2,2+MOD(ROWS(C$2:C45)-1,2))</f>
        <v>15.00</v>
      </c>
      <c r="D45" s="41">
        <f t="shared" ca="1" si="1"/>
        <v>759</v>
      </c>
      <c r="E45" s="29">
        <f t="shared" ca="1" si="2"/>
        <v>0</v>
      </c>
      <c r="F45" s="42">
        <f t="shared" ca="1" si="3"/>
        <v>27</v>
      </c>
      <c r="G45" s="29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19330123</v>
      </c>
      <c r="C46" s="24" t="str">
        <f>INDEX(Data,2,2+MOD(ROWS(C$2:C46)-1,2))</f>
        <v>08.00</v>
      </c>
      <c r="D46" s="41">
        <f t="shared" ca="1" si="1"/>
        <v>759</v>
      </c>
      <c r="E46" s="29">
        <f t="shared" ca="1" si="2"/>
        <v>0</v>
      </c>
      <c r="F46" s="42">
        <f t="shared" ca="1" si="3"/>
        <v>27</v>
      </c>
      <c r="G46" s="29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19330123</v>
      </c>
      <c r="C47" s="24" t="str">
        <f>INDEX(Data,2,2+MOD(ROWS(C$2:C47)-1,2))</f>
        <v>15.00</v>
      </c>
      <c r="D47" s="41">
        <f t="shared" ca="1" si="1"/>
        <v>759</v>
      </c>
      <c r="E47" s="29">
        <f t="shared" ca="1" si="2"/>
        <v>0</v>
      </c>
      <c r="F47" s="42">
        <f t="shared" ca="1" si="3"/>
        <v>28</v>
      </c>
      <c r="G47" s="29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19330124</v>
      </c>
      <c r="C48" s="24" t="str">
        <f>INDEX(Data,2,2+MOD(ROWS(C$2:C48)-1,2))</f>
        <v>08.00</v>
      </c>
      <c r="D48" s="41">
        <f t="shared" ca="1" si="1"/>
        <v>759</v>
      </c>
      <c r="E48" s="29">
        <f t="shared" ca="1" si="2"/>
        <v>0</v>
      </c>
      <c r="F48" s="42">
        <f t="shared" ca="1" si="3"/>
        <v>27</v>
      </c>
      <c r="G48" s="29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19330124</v>
      </c>
      <c r="C49" s="24" t="str">
        <f>INDEX(Data,2,2+MOD(ROWS(C$2:C49)-1,2))</f>
        <v>15.00</v>
      </c>
      <c r="D49" s="41">
        <f t="shared" ca="1" si="1"/>
        <v>759</v>
      </c>
      <c r="E49" s="29">
        <f t="shared" ca="1" si="2"/>
        <v>0</v>
      </c>
      <c r="F49" s="42">
        <f t="shared" ca="1" si="3"/>
        <v>28</v>
      </c>
      <c r="G49" s="29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19330125</v>
      </c>
      <c r="C50" s="24" t="str">
        <f>INDEX(Data,2,2+MOD(ROWS(C$2:C50)-1,2))</f>
        <v>08.00</v>
      </c>
      <c r="D50" s="41">
        <f t="shared" ca="1" si="1"/>
        <v>759</v>
      </c>
      <c r="E50" s="29">
        <f t="shared" ca="1" si="2"/>
        <v>0</v>
      </c>
      <c r="F50" s="42">
        <f t="shared" ca="1" si="3"/>
        <v>26.5</v>
      </c>
      <c r="G50" s="29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19330125</v>
      </c>
      <c r="C51" s="24" t="str">
        <f>INDEX(Data,2,2+MOD(ROWS(C$2:C51)-1,2))</f>
        <v>15.00</v>
      </c>
      <c r="D51" s="41">
        <f t="shared" ca="1" si="1"/>
        <v>759</v>
      </c>
      <c r="E51" s="29">
        <f t="shared" ca="1" si="2"/>
        <v>0</v>
      </c>
      <c r="F51" s="42">
        <f t="shared" ca="1" si="3"/>
        <v>28</v>
      </c>
      <c r="G51" s="29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19330126</v>
      </c>
      <c r="C52" s="24" t="str">
        <f>INDEX(Data,2,2+MOD(ROWS(C$2:C52)-1,2))</f>
        <v>08.00</v>
      </c>
      <c r="D52" s="41">
        <f t="shared" ca="1" si="1"/>
        <v>759</v>
      </c>
      <c r="E52" s="29">
        <f t="shared" ca="1" si="2"/>
        <v>0</v>
      </c>
      <c r="F52" s="42">
        <f t="shared" ca="1" si="3"/>
        <v>26.5</v>
      </c>
      <c r="G52" s="29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19330126</v>
      </c>
      <c r="C53" s="24" t="str">
        <f>INDEX(Data,2,2+MOD(ROWS(C$2:C53)-1,2))</f>
        <v>15.00</v>
      </c>
      <c r="D53" s="41">
        <f t="shared" ca="1" si="1"/>
        <v>759</v>
      </c>
      <c r="E53" s="29">
        <f t="shared" ca="1" si="2"/>
        <v>0</v>
      </c>
      <c r="F53" s="42">
        <f t="shared" ca="1" si="3"/>
        <v>28</v>
      </c>
      <c r="G53" s="29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19330127</v>
      </c>
      <c r="C54" s="24" t="str">
        <f>INDEX(Data,2,2+MOD(ROWS(C$2:C54)-1,2))</f>
        <v>08.00</v>
      </c>
      <c r="D54" s="41">
        <f t="shared" ca="1" si="1"/>
        <v>759</v>
      </c>
      <c r="E54" s="29">
        <f t="shared" ca="1" si="2"/>
        <v>0</v>
      </c>
      <c r="F54" s="42">
        <f t="shared" ca="1" si="3"/>
        <v>27</v>
      </c>
      <c r="G54" s="29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19330127</v>
      </c>
      <c r="C55" s="24" t="str">
        <f>INDEX(Data,2,2+MOD(ROWS(C$2:C55)-1,2))</f>
        <v>15.00</v>
      </c>
      <c r="D55" s="41">
        <f t="shared" ca="1" si="1"/>
        <v>759</v>
      </c>
      <c r="E55" s="29">
        <f t="shared" ca="1" si="2"/>
        <v>0</v>
      </c>
      <c r="F55" s="42">
        <f t="shared" ca="1" si="3"/>
        <v>28</v>
      </c>
      <c r="G55" s="29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19330128</v>
      </c>
      <c r="C56" s="24" t="str">
        <f>INDEX(Data,2,2+MOD(ROWS(C$2:C56)-1,2))</f>
        <v>08.00</v>
      </c>
      <c r="D56" s="41">
        <f t="shared" ca="1" si="1"/>
        <v>759</v>
      </c>
      <c r="E56" s="29">
        <f t="shared" ca="1" si="2"/>
        <v>0</v>
      </c>
      <c r="F56" s="42">
        <f t="shared" ca="1" si="3"/>
        <v>26.5</v>
      </c>
      <c r="G56" s="29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19330128</v>
      </c>
      <c r="C57" s="24" t="str">
        <f>INDEX(Data,2,2+MOD(ROWS(C$2:C57)-1,2))</f>
        <v>15.00</v>
      </c>
      <c r="D57" s="41">
        <f t="shared" ca="1" si="1"/>
        <v>759</v>
      </c>
      <c r="E57" s="29">
        <f t="shared" ca="1" si="2"/>
        <v>0</v>
      </c>
      <c r="F57" s="42">
        <f t="shared" ca="1" si="3"/>
        <v>28</v>
      </c>
      <c r="G57" s="29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19330129</v>
      </c>
      <c r="C58" s="24" t="str">
        <f>INDEX(Data,2,2+MOD(ROWS(C$2:C58)-1,2))</f>
        <v>08.00</v>
      </c>
      <c r="D58" s="41">
        <f t="shared" ca="1" si="1"/>
        <v>759</v>
      </c>
      <c r="E58" s="29">
        <f t="shared" ca="1" si="2"/>
        <v>0</v>
      </c>
      <c r="F58" s="42">
        <f t="shared" ca="1" si="3"/>
        <v>27</v>
      </c>
      <c r="G58" s="29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19330129</v>
      </c>
      <c r="C59" s="24" t="str">
        <f>INDEX(Data,2,2+MOD(ROWS(C$2:C59)-1,2))</f>
        <v>15.00</v>
      </c>
      <c r="D59" s="41">
        <f t="shared" ca="1" si="1"/>
        <v>759</v>
      </c>
      <c r="E59" s="29">
        <f t="shared" ca="1" si="2"/>
        <v>0</v>
      </c>
      <c r="F59" s="42">
        <f t="shared" ca="1" si="3"/>
        <v>28</v>
      </c>
      <c r="G59" s="29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19330130</v>
      </c>
      <c r="C60" s="24" t="str">
        <f>INDEX(Data,2,2+MOD(ROWS(C$2:C60)-1,2))</f>
        <v>08.00</v>
      </c>
      <c r="D60" s="41">
        <f t="shared" ca="1" si="1"/>
        <v>759</v>
      </c>
      <c r="E60" s="29">
        <f t="shared" ca="1" si="2"/>
        <v>0</v>
      </c>
      <c r="F60" s="42">
        <f t="shared" ca="1" si="3"/>
        <v>28</v>
      </c>
      <c r="G60" s="29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19330130</v>
      </c>
      <c r="C61" s="24" t="str">
        <f>INDEX(Data,2,2+MOD(ROWS(C$2:C61)-1,2))</f>
        <v>15.00</v>
      </c>
      <c r="D61" s="41">
        <f t="shared" ca="1" si="1"/>
        <v>759</v>
      </c>
      <c r="E61" s="29">
        <f t="shared" ca="1" si="2"/>
        <v>0</v>
      </c>
      <c r="F61" s="42">
        <f t="shared" ca="1" si="3"/>
        <v>28</v>
      </c>
      <c r="G61" s="29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19330131</v>
      </c>
      <c r="C62" s="24" t="str">
        <f>INDEX(Data,2,2+MOD(ROWS(C$2:C62)-1,2))</f>
        <v>08.00</v>
      </c>
      <c r="D62" s="41">
        <f t="shared" ca="1" si="1"/>
        <v>759</v>
      </c>
      <c r="E62" s="29">
        <f t="shared" ca="1" si="2"/>
        <v>0</v>
      </c>
      <c r="F62" s="42">
        <f t="shared" ca="1" si="3"/>
        <v>28</v>
      </c>
      <c r="G62" s="29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19330131</v>
      </c>
      <c r="C63" s="24" t="str">
        <f>INDEX(Data,2,2+MOD(ROWS(C$2:C63)-1,2))</f>
        <v>15.00</v>
      </c>
      <c r="D63" s="41">
        <f t="shared" ca="1" si="1"/>
        <v>759</v>
      </c>
      <c r="E63" s="29">
        <f t="shared" ca="1" si="2"/>
        <v>0</v>
      </c>
      <c r="F63" s="42">
        <f t="shared" ca="1" si="3"/>
        <v>29</v>
      </c>
      <c r="G63" s="29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19330201</v>
      </c>
      <c r="C64" s="24" t="str">
        <f>INDEX(Data,2,2+MOD(ROWS(C$2:C64)-1,2))</f>
        <v>08.00</v>
      </c>
      <c r="D64" s="41">
        <f t="shared" ca="1" si="1"/>
        <v>759</v>
      </c>
      <c r="E64" s="29">
        <f t="shared" ca="1" si="2"/>
        <v>0</v>
      </c>
      <c r="F64" s="42">
        <f t="shared" ca="1" si="3"/>
        <v>28</v>
      </c>
      <c r="G64" s="29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19330201</v>
      </c>
      <c r="C65" s="24" t="str">
        <f>INDEX(Data,2,2+MOD(ROWS(C$2:C65)-1,2))</f>
        <v>15.00</v>
      </c>
      <c r="D65" s="41">
        <f t="shared" ca="1" si="1"/>
        <v>759</v>
      </c>
      <c r="E65" s="29">
        <f t="shared" ca="1" si="2"/>
        <v>0</v>
      </c>
      <c r="F65" s="42">
        <f t="shared" ca="1" si="3"/>
        <v>29</v>
      </c>
      <c r="G65" s="29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19330202</v>
      </c>
      <c r="C66" s="24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759</v>
      </c>
      <c r="E66" s="29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27.5</v>
      </c>
      <c r="G66" s="29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19330202</v>
      </c>
      <c r="C67" s="24" t="str">
        <f>INDEX(Data,2,2+MOD(ROWS(C$2:C67)-1,2))</f>
        <v>15.00</v>
      </c>
      <c r="D67" s="41">
        <f t="shared" ca="1" si="6"/>
        <v>759</v>
      </c>
      <c r="E67" s="29">
        <f t="shared" ca="1" si="7"/>
        <v>0</v>
      </c>
      <c r="F67" s="42">
        <f t="shared" ca="1" si="8"/>
        <v>28.5</v>
      </c>
      <c r="G67" s="29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19330203</v>
      </c>
      <c r="C68" s="24" t="str">
        <f>INDEX(Data,2,2+MOD(ROWS(C$2:C68)-1,2))</f>
        <v>08.00</v>
      </c>
      <c r="D68" s="41">
        <f t="shared" ca="1" si="6"/>
        <v>759</v>
      </c>
      <c r="E68" s="29">
        <f t="shared" ca="1" si="7"/>
        <v>0</v>
      </c>
      <c r="F68" s="42">
        <f t="shared" ca="1" si="8"/>
        <v>27.5</v>
      </c>
      <c r="G68" s="29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19330203</v>
      </c>
      <c r="C69" s="24" t="str">
        <f>INDEX(Data,2,2+MOD(ROWS(C$2:C69)-1,2))</f>
        <v>15.00</v>
      </c>
      <c r="D69" s="41">
        <f t="shared" ca="1" si="6"/>
        <v>759</v>
      </c>
      <c r="E69" s="29">
        <f t="shared" ca="1" si="7"/>
        <v>0</v>
      </c>
      <c r="F69" s="42">
        <f t="shared" ca="1" si="8"/>
        <v>28</v>
      </c>
      <c r="G69" s="29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19330204</v>
      </c>
      <c r="C70" s="24" t="str">
        <f>INDEX(Data,2,2+MOD(ROWS(C$2:C70)-1,2))</f>
        <v>08.00</v>
      </c>
      <c r="D70" s="41">
        <f t="shared" ca="1" si="6"/>
        <v>759</v>
      </c>
      <c r="E70" s="29">
        <f t="shared" ca="1" si="7"/>
        <v>0</v>
      </c>
      <c r="F70" s="42">
        <f t="shared" ca="1" si="8"/>
        <v>28.5</v>
      </c>
      <c r="G70" s="29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19330204</v>
      </c>
      <c r="C71" s="24" t="str">
        <f>INDEX(Data,2,2+MOD(ROWS(C$2:C71)-1,2))</f>
        <v>15.00</v>
      </c>
      <c r="D71" s="41">
        <f t="shared" ca="1" si="6"/>
        <v>759</v>
      </c>
      <c r="E71" s="29">
        <f t="shared" ca="1" si="7"/>
        <v>0</v>
      </c>
      <c r="F71" s="42">
        <f t="shared" ca="1" si="8"/>
        <v>29</v>
      </c>
      <c r="G71" s="29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19330205</v>
      </c>
      <c r="C72" s="24" t="str">
        <f>INDEX(Data,2,2+MOD(ROWS(C$2:C72)-1,2))</f>
        <v>08.00</v>
      </c>
      <c r="D72" s="41">
        <f t="shared" ca="1" si="6"/>
        <v>759</v>
      </c>
      <c r="E72" s="29">
        <f t="shared" ca="1" si="7"/>
        <v>0</v>
      </c>
      <c r="F72" s="42">
        <f t="shared" ca="1" si="8"/>
        <v>28.5</v>
      </c>
      <c r="G72" s="29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19330205</v>
      </c>
      <c r="C73" s="24" t="str">
        <f>INDEX(Data,2,2+MOD(ROWS(C$2:C73)-1,2))</f>
        <v>15.00</v>
      </c>
      <c r="D73" s="41">
        <f t="shared" ca="1" si="6"/>
        <v>759</v>
      </c>
      <c r="E73" s="29">
        <f t="shared" ca="1" si="7"/>
        <v>0</v>
      </c>
      <c r="F73" s="42">
        <f t="shared" ca="1" si="8"/>
        <v>29.5</v>
      </c>
      <c r="G73" s="29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19330206</v>
      </c>
      <c r="C74" s="24" t="str">
        <f>INDEX(Data,2,2+MOD(ROWS(C$2:C74)-1,2))</f>
        <v>08.00</v>
      </c>
      <c r="D74" s="41">
        <f t="shared" ca="1" si="6"/>
        <v>759</v>
      </c>
      <c r="E74" s="29">
        <f t="shared" ca="1" si="7"/>
        <v>0</v>
      </c>
      <c r="F74" s="42">
        <f t="shared" ca="1" si="8"/>
        <v>28.5</v>
      </c>
      <c r="G74" s="29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19330206</v>
      </c>
      <c r="C75" s="24" t="str">
        <f>INDEX(Data,2,2+MOD(ROWS(C$2:C75)-1,2))</f>
        <v>15.00</v>
      </c>
      <c r="D75" s="41">
        <f t="shared" ca="1" si="6"/>
        <v>759</v>
      </c>
      <c r="E75" s="29">
        <f t="shared" ca="1" si="7"/>
        <v>0</v>
      </c>
      <c r="F75" s="42">
        <f t="shared" ca="1" si="8"/>
        <v>29.5</v>
      </c>
      <c r="G75" s="29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19330207</v>
      </c>
      <c r="C76" s="24" t="str">
        <f>INDEX(Data,2,2+MOD(ROWS(C$2:C76)-1,2))</f>
        <v>08.00</v>
      </c>
      <c r="D76" s="41">
        <f t="shared" ca="1" si="6"/>
        <v>759</v>
      </c>
      <c r="E76" s="29">
        <f t="shared" ca="1" si="7"/>
        <v>0</v>
      </c>
      <c r="F76" s="42">
        <f t="shared" ca="1" si="8"/>
        <v>28</v>
      </c>
      <c r="G76" s="29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19330207</v>
      </c>
      <c r="C77" s="24" t="str">
        <f>INDEX(Data,2,2+MOD(ROWS(C$2:C77)-1,2))</f>
        <v>15.00</v>
      </c>
      <c r="D77" s="41">
        <f t="shared" ca="1" si="6"/>
        <v>759</v>
      </c>
      <c r="E77" s="29">
        <f t="shared" ca="1" si="7"/>
        <v>0</v>
      </c>
      <c r="F77" s="42">
        <f t="shared" ca="1" si="8"/>
        <v>28</v>
      </c>
      <c r="G77" s="29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19330208</v>
      </c>
      <c r="C78" s="24" t="str">
        <f>INDEX(Data,2,2+MOD(ROWS(C$2:C78)-1,2))</f>
        <v>08.00</v>
      </c>
      <c r="D78" s="41">
        <f t="shared" ca="1" si="6"/>
        <v>759</v>
      </c>
      <c r="E78" s="29">
        <f t="shared" ca="1" si="7"/>
        <v>0</v>
      </c>
      <c r="F78" s="42">
        <f t="shared" ca="1" si="8"/>
        <v>28</v>
      </c>
      <c r="G78" s="29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19330208</v>
      </c>
      <c r="C79" s="24" t="str">
        <f>INDEX(Data,2,2+MOD(ROWS(C$2:C79)-1,2))</f>
        <v>15.00</v>
      </c>
      <c r="D79" s="41">
        <f t="shared" ca="1" si="6"/>
        <v>759</v>
      </c>
      <c r="E79" s="29">
        <f t="shared" ca="1" si="7"/>
        <v>0</v>
      </c>
      <c r="F79" s="42">
        <f t="shared" ca="1" si="8"/>
        <v>28</v>
      </c>
      <c r="G79" s="29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19330209</v>
      </c>
      <c r="C80" s="24" t="str">
        <f>INDEX(Data,2,2+MOD(ROWS(C$2:C80)-1,2))</f>
        <v>08.00</v>
      </c>
      <c r="D80" s="41">
        <f t="shared" ca="1" si="6"/>
        <v>759</v>
      </c>
      <c r="E80" s="29">
        <f t="shared" ca="1" si="7"/>
        <v>0</v>
      </c>
      <c r="F80" s="42">
        <f t="shared" ca="1" si="8"/>
        <v>27</v>
      </c>
      <c r="G80" s="29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19330209</v>
      </c>
      <c r="C81" s="24" t="str">
        <f>INDEX(Data,2,2+MOD(ROWS(C$2:C81)-1,2))</f>
        <v>15.00</v>
      </c>
      <c r="D81" s="41">
        <f t="shared" ca="1" si="6"/>
        <v>759</v>
      </c>
      <c r="E81" s="29">
        <f t="shared" ca="1" si="7"/>
        <v>0</v>
      </c>
      <c r="F81" s="42">
        <f t="shared" ca="1" si="8"/>
        <v>27</v>
      </c>
      <c r="G81" s="29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19330210</v>
      </c>
      <c r="C82" s="24" t="str">
        <f>INDEX(Data,2,2+MOD(ROWS(C$2:C82)-1,2))</f>
        <v>08.00</v>
      </c>
      <c r="D82" s="41">
        <f t="shared" ca="1" si="6"/>
        <v>759</v>
      </c>
      <c r="E82" s="29">
        <f t="shared" ca="1" si="7"/>
        <v>0</v>
      </c>
      <c r="F82" s="42">
        <f t="shared" ca="1" si="8"/>
        <v>27</v>
      </c>
      <c r="G82" s="29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19330210</v>
      </c>
      <c r="C83" s="24" t="str">
        <f>INDEX(Data,2,2+MOD(ROWS(C$2:C83)-1,2))</f>
        <v>15.00</v>
      </c>
      <c r="D83" s="41">
        <f t="shared" ca="1" si="6"/>
        <v>759</v>
      </c>
      <c r="E83" s="29">
        <f t="shared" ca="1" si="7"/>
        <v>0</v>
      </c>
      <c r="F83" s="42">
        <f t="shared" ca="1" si="8"/>
        <v>28</v>
      </c>
      <c r="G83" s="29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19330211</v>
      </c>
      <c r="C84" s="24" t="str">
        <f>INDEX(Data,2,2+MOD(ROWS(C$2:C84)-1,2))</f>
        <v>08.00</v>
      </c>
      <c r="D84" s="41">
        <f t="shared" ca="1" si="6"/>
        <v>759</v>
      </c>
      <c r="E84" s="29">
        <f t="shared" ca="1" si="7"/>
        <v>0</v>
      </c>
      <c r="F84" s="42">
        <f t="shared" ca="1" si="8"/>
        <v>27</v>
      </c>
      <c r="G84" s="29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19330211</v>
      </c>
      <c r="C85" s="24" t="str">
        <f>INDEX(Data,2,2+MOD(ROWS(C$2:C85)-1,2))</f>
        <v>15.00</v>
      </c>
      <c r="D85" s="41">
        <f t="shared" ca="1" si="6"/>
        <v>759</v>
      </c>
      <c r="E85" s="29">
        <f t="shared" ca="1" si="7"/>
        <v>0</v>
      </c>
      <c r="F85" s="42">
        <f t="shared" ca="1" si="8"/>
        <v>27</v>
      </c>
      <c r="G85" s="29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19330212</v>
      </c>
      <c r="C86" s="24" t="str">
        <f>INDEX(Data,2,2+MOD(ROWS(C$2:C86)-1,2))</f>
        <v>08.00</v>
      </c>
      <c r="D86" s="41">
        <f t="shared" ca="1" si="6"/>
        <v>759</v>
      </c>
      <c r="E86" s="29">
        <f t="shared" ca="1" si="7"/>
        <v>0</v>
      </c>
      <c r="F86" s="42">
        <f t="shared" ca="1" si="8"/>
        <v>27</v>
      </c>
      <c r="G86" s="29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19330212</v>
      </c>
      <c r="C87" s="24" t="str">
        <f>INDEX(Data,2,2+MOD(ROWS(C$2:C87)-1,2))</f>
        <v>15.00</v>
      </c>
      <c r="D87" s="41">
        <f t="shared" ca="1" si="6"/>
        <v>759</v>
      </c>
      <c r="E87" s="29">
        <f t="shared" ca="1" si="7"/>
        <v>0</v>
      </c>
      <c r="F87" s="42">
        <f t="shared" ca="1" si="8"/>
        <v>27</v>
      </c>
      <c r="G87" s="29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19330213</v>
      </c>
      <c r="C88" s="24" t="str">
        <f>INDEX(Data,2,2+MOD(ROWS(C$2:C88)-1,2))</f>
        <v>08.00</v>
      </c>
      <c r="D88" s="41">
        <f t="shared" ca="1" si="6"/>
        <v>759</v>
      </c>
      <c r="E88" s="29">
        <f t="shared" ca="1" si="7"/>
        <v>0</v>
      </c>
      <c r="F88" s="42">
        <f t="shared" ca="1" si="8"/>
        <v>27</v>
      </c>
      <c r="G88" s="29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19330213</v>
      </c>
      <c r="C89" s="24" t="str">
        <f>INDEX(Data,2,2+MOD(ROWS(C$2:C89)-1,2))</f>
        <v>15.00</v>
      </c>
      <c r="D89" s="41">
        <f t="shared" ca="1" si="6"/>
        <v>759</v>
      </c>
      <c r="E89" s="29">
        <f t="shared" ca="1" si="7"/>
        <v>0</v>
      </c>
      <c r="F89" s="42">
        <f t="shared" ca="1" si="8"/>
        <v>28</v>
      </c>
      <c r="G89" s="29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19330214</v>
      </c>
      <c r="C90" s="24" t="str">
        <f>INDEX(Data,2,2+MOD(ROWS(C$2:C90)-1,2))</f>
        <v>08.00</v>
      </c>
      <c r="D90" s="41">
        <f t="shared" ca="1" si="6"/>
        <v>759</v>
      </c>
      <c r="E90" s="29">
        <f t="shared" ca="1" si="7"/>
        <v>0</v>
      </c>
      <c r="F90" s="42">
        <f t="shared" ca="1" si="8"/>
        <v>28</v>
      </c>
      <c r="G90" s="29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19330214</v>
      </c>
      <c r="C91" s="24" t="str">
        <f>INDEX(Data,2,2+MOD(ROWS(C$2:C91)-1,2))</f>
        <v>15.00</v>
      </c>
      <c r="D91" s="41">
        <f t="shared" ca="1" si="6"/>
        <v>759</v>
      </c>
      <c r="E91" s="29">
        <f t="shared" ca="1" si="7"/>
        <v>0</v>
      </c>
      <c r="F91" s="42">
        <f t="shared" ca="1" si="8"/>
        <v>28</v>
      </c>
      <c r="G91" s="29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19330215</v>
      </c>
      <c r="C92" s="24" t="str">
        <f>INDEX(Data,2,2+MOD(ROWS(C$2:C92)-1,2))</f>
        <v>08.00</v>
      </c>
      <c r="D92" s="41">
        <f t="shared" ca="1" si="6"/>
        <v>759.5</v>
      </c>
      <c r="E92" s="29">
        <f t="shared" ca="1" si="7"/>
        <v>0</v>
      </c>
      <c r="F92" s="42">
        <f t="shared" ca="1" si="8"/>
        <v>26</v>
      </c>
      <c r="G92" s="29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19330215</v>
      </c>
      <c r="C93" s="24" t="str">
        <f>INDEX(Data,2,2+MOD(ROWS(C$2:C93)-1,2))</f>
        <v>15.00</v>
      </c>
      <c r="D93" s="41">
        <f t="shared" ca="1" si="6"/>
        <v>759</v>
      </c>
      <c r="E93" s="29">
        <f t="shared" ca="1" si="7"/>
        <v>0</v>
      </c>
      <c r="F93" s="42">
        <f t="shared" ca="1" si="8"/>
        <v>27</v>
      </c>
      <c r="G93" s="29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19330216</v>
      </c>
      <c r="C94" s="24" t="str">
        <f>INDEX(Data,2,2+MOD(ROWS(C$2:C94)-1,2))</f>
        <v>08.00</v>
      </c>
      <c r="D94" s="41">
        <f t="shared" ca="1" si="6"/>
        <v>759.5</v>
      </c>
      <c r="E94" s="29">
        <f t="shared" ca="1" si="7"/>
        <v>0</v>
      </c>
      <c r="F94" s="42">
        <f t="shared" ca="1" si="8"/>
        <v>26.5</v>
      </c>
      <c r="G94" s="29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19330216</v>
      </c>
      <c r="C95" s="24" t="str">
        <f>INDEX(Data,2,2+MOD(ROWS(C$2:C95)-1,2))</f>
        <v>15.00</v>
      </c>
      <c r="D95" s="41">
        <f t="shared" ca="1" si="6"/>
        <v>759</v>
      </c>
      <c r="E95" s="29">
        <f t="shared" ca="1" si="7"/>
        <v>0</v>
      </c>
      <c r="F95" s="42">
        <f t="shared" ca="1" si="8"/>
        <v>28</v>
      </c>
      <c r="G95" s="29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19330217</v>
      </c>
      <c r="C96" s="24" t="str">
        <f>INDEX(Data,2,2+MOD(ROWS(C$2:C96)-1,2))</f>
        <v>08.00</v>
      </c>
      <c r="D96" s="41">
        <f t="shared" ca="1" si="6"/>
        <v>759</v>
      </c>
      <c r="E96" s="29">
        <f t="shared" ca="1" si="7"/>
        <v>0</v>
      </c>
      <c r="F96" s="42">
        <f t="shared" ca="1" si="8"/>
        <v>27</v>
      </c>
      <c r="G96" s="29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19330217</v>
      </c>
      <c r="C97" s="24" t="str">
        <f>INDEX(Data,2,2+MOD(ROWS(C$2:C97)-1,2))</f>
        <v>15.00</v>
      </c>
      <c r="D97" s="41">
        <f t="shared" ca="1" si="6"/>
        <v>759</v>
      </c>
      <c r="E97" s="29">
        <f t="shared" ca="1" si="7"/>
        <v>0</v>
      </c>
      <c r="F97" s="42">
        <f t="shared" ca="1" si="8"/>
        <v>27</v>
      </c>
      <c r="G97" s="29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19330218</v>
      </c>
      <c r="C98" s="24" t="str">
        <f>INDEX(Data,2,2+MOD(ROWS(C$2:C98)-1,2))</f>
        <v>08.00</v>
      </c>
      <c r="D98" s="41">
        <f t="shared" ca="1" si="6"/>
        <v>759</v>
      </c>
      <c r="E98" s="29">
        <f t="shared" ca="1" si="7"/>
        <v>0</v>
      </c>
      <c r="F98" s="42">
        <f t="shared" ca="1" si="8"/>
        <v>27</v>
      </c>
      <c r="G98" s="29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19330218</v>
      </c>
      <c r="C99" s="24" t="str">
        <f>INDEX(Data,2,2+MOD(ROWS(C$2:C99)-1,2))</f>
        <v>15.00</v>
      </c>
      <c r="D99" s="41">
        <f t="shared" ca="1" si="6"/>
        <v>759</v>
      </c>
      <c r="E99" s="29">
        <f t="shared" ca="1" si="7"/>
        <v>0</v>
      </c>
      <c r="F99" s="42">
        <f t="shared" ca="1" si="8"/>
        <v>28</v>
      </c>
      <c r="G99" s="29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19330219</v>
      </c>
      <c r="C100" s="24" t="str">
        <f>INDEX(Data,2,2+MOD(ROWS(C$2:C100)-1,2))</f>
        <v>08.00</v>
      </c>
      <c r="D100" s="41">
        <f t="shared" ca="1" si="6"/>
        <v>759</v>
      </c>
      <c r="E100" s="29">
        <f t="shared" ca="1" si="7"/>
        <v>0</v>
      </c>
      <c r="F100" s="42">
        <f t="shared" ca="1" si="8"/>
        <v>27</v>
      </c>
      <c r="G100" s="29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19330219</v>
      </c>
      <c r="C101" s="24" t="str">
        <f>INDEX(Data,2,2+MOD(ROWS(C$2:C101)-1,2))</f>
        <v>15.00</v>
      </c>
      <c r="D101" s="41">
        <f t="shared" ca="1" si="6"/>
        <v>759</v>
      </c>
      <c r="E101" s="29">
        <f t="shared" ca="1" si="7"/>
        <v>0</v>
      </c>
      <c r="F101" s="42">
        <f t="shared" ca="1" si="8"/>
        <v>28</v>
      </c>
      <c r="G101" s="29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19330220</v>
      </c>
      <c r="C102" s="24" t="str">
        <f>INDEX(Data,2,2+MOD(ROWS(C$2:C102)-1,2))</f>
        <v>08.00</v>
      </c>
      <c r="D102" s="41">
        <f t="shared" ca="1" si="6"/>
        <v>759</v>
      </c>
      <c r="E102" s="29">
        <f t="shared" ca="1" si="7"/>
        <v>0</v>
      </c>
      <c r="F102" s="42">
        <f t="shared" ca="1" si="8"/>
        <v>26</v>
      </c>
      <c r="G102" s="29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19330220</v>
      </c>
      <c r="C103" s="24" t="str">
        <f>INDEX(Data,2,2+MOD(ROWS(C$2:C103)-1,2))</f>
        <v>15.00</v>
      </c>
      <c r="D103" s="41">
        <f t="shared" ca="1" si="6"/>
        <v>759</v>
      </c>
      <c r="E103" s="29">
        <f t="shared" ca="1" si="7"/>
        <v>0</v>
      </c>
      <c r="F103" s="42">
        <f t="shared" ca="1" si="8"/>
        <v>27.5</v>
      </c>
      <c r="G103" s="29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19330221</v>
      </c>
      <c r="C104" s="24" t="str">
        <f>INDEX(Data,2,2+MOD(ROWS(C$2:C104)-1,2))</f>
        <v>08.00</v>
      </c>
      <c r="D104" s="41">
        <f t="shared" ca="1" si="6"/>
        <v>759</v>
      </c>
      <c r="E104" s="29">
        <f t="shared" ca="1" si="7"/>
        <v>0</v>
      </c>
      <c r="F104" s="42">
        <f t="shared" ca="1" si="8"/>
        <v>26.5</v>
      </c>
      <c r="G104" s="29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19330221</v>
      </c>
      <c r="C105" s="24" t="str">
        <f>INDEX(Data,2,2+MOD(ROWS(C$2:C105)-1,2))</f>
        <v>15.00</v>
      </c>
      <c r="D105" s="41">
        <f t="shared" ca="1" si="6"/>
        <v>759.5</v>
      </c>
      <c r="E105" s="29">
        <f t="shared" ca="1" si="7"/>
        <v>0</v>
      </c>
      <c r="F105" s="42">
        <f t="shared" ca="1" si="8"/>
        <v>27</v>
      </c>
      <c r="G105" s="29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19330222</v>
      </c>
      <c r="C106" s="24" t="str">
        <f>INDEX(Data,2,2+MOD(ROWS(C$2:C106)-1,2))</f>
        <v>08.00</v>
      </c>
      <c r="D106" s="41">
        <f t="shared" ca="1" si="6"/>
        <v>759.5</v>
      </c>
      <c r="E106" s="29">
        <f t="shared" ca="1" si="7"/>
        <v>0</v>
      </c>
      <c r="F106" s="42">
        <f t="shared" ca="1" si="8"/>
        <v>27</v>
      </c>
      <c r="G106" s="29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19330222</v>
      </c>
      <c r="C107" s="24" t="str">
        <f>INDEX(Data,2,2+MOD(ROWS(C$2:C107)-1,2))</f>
        <v>15.00</v>
      </c>
      <c r="D107" s="41">
        <f t="shared" ca="1" si="6"/>
        <v>759.5</v>
      </c>
      <c r="E107" s="29">
        <f t="shared" ca="1" si="7"/>
        <v>0</v>
      </c>
      <c r="F107" s="42">
        <f t="shared" ca="1" si="8"/>
        <v>28</v>
      </c>
      <c r="G107" s="29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19330223</v>
      </c>
      <c r="C108" s="24" t="str">
        <f>INDEX(Data,2,2+MOD(ROWS(C$2:C108)-1,2))</f>
        <v>08.00</v>
      </c>
      <c r="D108" s="41">
        <f t="shared" ca="1" si="6"/>
        <v>759.5</v>
      </c>
      <c r="E108" s="29">
        <f t="shared" ca="1" si="7"/>
        <v>0</v>
      </c>
      <c r="F108" s="42">
        <f t="shared" ca="1" si="8"/>
        <v>27</v>
      </c>
      <c r="G108" s="29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19330223</v>
      </c>
      <c r="C109" s="24" t="str">
        <f>INDEX(Data,2,2+MOD(ROWS(C$2:C109)-1,2))</f>
        <v>15.00</v>
      </c>
      <c r="D109" s="41">
        <f t="shared" ca="1" si="6"/>
        <v>759.5</v>
      </c>
      <c r="E109" s="29">
        <f t="shared" ca="1" si="7"/>
        <v>0</v>
      </c>
      <c r="F109" s="42">
        <f t="shared" ca="1" si="8"/>
        <v>28</v>
      </c>
      <c r="G109" s="29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19330224</v>
      </c>
      <c r="C110" s="24" t="str">
        <f>INDEX(Data,2,2+MOD(ROWS(C$2:C110)-1,2))</f>
        <v>08.00</v>
      </c>
      <c r="D110" s="41">
        <f t="shared" ca="1" si="6"/>
        <v>759.5</v>
      </c>
      <c r="E110" s="29">
        <f t="shared" ca="1" si="7"/>
        <v>0</v>
      </c>
      <c r="F110" s="42">
        <f t="shared" ca="1" si="8"/>
        <v>27</v>
      </c>
      <c r="G110" s="29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19330224</v>
      </c>
      <c r="C111" s="24" t="str">
        <f>INDEX(Data,2,2+MOD(ROWS(C$2:C111)-1,2))</f>
        <v>15.00</v>
      </c>
      <c r="D111" s="41">
        <f t="shared" ca="1" si="6"/>
        <v>759.5</v>
      </c>
      <c r="E111" s="29">
        <f t="shared" ca="1" si="7"/>
        <v>0</v>
      </c>
      <c r="F111" s="42">
        <f t="shared" ca="1" si="8"/>
        <v>28</v>
      </c>
      <c r="G111" s="29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19330225</v>
      </c>
      <c r="C112" s="24" t="str">
        <f>INDEX(Data,2,2+MOD(ROWS(C$2:C112)-1,2))</f>
        <v>08.00</v>
      </c>
      <c r="D112" s="41">
        <f t="shared" ca="1" si="6"/>
        <v>759.5</v>
      </c>
      <c r="E112" s="29">
        <f t="shared" ca="1" si="7"/>
        <v>0</v>
      </c>
      <c r="F112" s="42">
        <f t="shared" ca="1" si="8"/>
        <v>27</v>
      </c>
      <c r="G112" s="29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19330225</v>
      </c>
      <c r="C113" s="24" t="str">
        <f>INDEX(Data,2,2+MOD(ROWS(C$2:C113)-1,2))</f>
        <v>15.00</v>
      </c>
      <c r="D113" s="41">
        <f t="shared" ca="1" si="6"/>
        <v>759.5</v>
      </c>
      <c r="E113" s="29">
        <f t="shared" ca="1" si="7"/>
        <v>0</v>
      </c>
      <c r="F113" s="42">
        <f t="shared" ca="1" si="8"/>
        <v>28</v>
      </c>
      <c r="G113" s="29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19330226</v>
      </c>
      <c r="C114" s="24" t="str">
        <f>INDEX(Data,2,2+MOD(ROWS(C$2:C114)-1,2))</f>
        <v>08.00</v>
      </c>
      <c r="D114" s="41">
        <f t="shared" ca="1" si="6"/>
        <v>759</v>
      </c>
      <c r="E114" s="29">
        <f t="shared" ca="1" si="7"/>
        <v>0</v>
      </c>
      <c r="F114" s="42">
        <f t="shared" ca="1" si="8"/>
        <v>27</v>
      </c>
      <c r="G114" s="29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19330226</v>
      </c>
      <c r="C115" s="24" t="str">
        <f>INDEX(Data,2,2+MOD(ROWS(C$2:C115)-1,2))</f>
        <v>15.00</v>
      </c>
      <c r="D115" s="41">
        <f t="shared" ca="1" si="6"/>
        <v>759</v>
      </c>
      <c r="E115" s="29">
        <f t="shared" ca="1" si="7"/>
        <v>0</v>
      </c>
      <c r="F115" s="42">
        <f t="shared" ca="1" si="8"/>
        <v>28</v>
      </c>
      <c r="G115" s="29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19330227</v>
      </c>
      <c r="C116" s="24" t="str">
        <f>INDEX(Data,2,2+MOD(ROWS(C$2:C116)-1,2))</f>
        <v>08.00</v>
      </c>
      <c r="D116" s="41">
        <f t="shared" ca="1" si="6"/>
        <v>759</v>
      </c>
      <c r="E116" s="29">
        <f t="shared" ca="1" si="7"/>
        <v>0</v>
      </c>
      <c r="F116" s="42">
        <f t="shared" ca="1" si="8"/>
        <v>27</v>
      </c>
      <c r="G116" s="29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19330227</v>
      </c>
      <c r="C117" s="24" t="str">
        <f>INDEX(Data,2,2+MOD(ROWS(C$2:C117)-1,2))</f>
        <v>15.00</v>
      </c>
      <c r="D117" s="41">
        <f t="shared" ca="1" si="6"/>
        <v>759</v>
      </c>
      <c r="E117" s="29">
        <f t="shared" ca="1" si="7"/>
        <v>0</v>
      </c>
      <c r="F117" s="42">
        <f t="shared" ca="1" si="8"/>
        <v>28</v>
      </c>
      <c r="G117" s="29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19330228</v>
      </c>
      <c r="C118" s="24" t="str">
        <f>INDEX(Data,2,2+MOD(ROWS(C$2:C118)-1,2))</f>
        <v>08.00</v>
      </c>
      <c r="D118" s="41">
        <f t="shared" ca="1" si="6"/>
        <v>759</v>
      </c>
      <c r="E118" s="29">
        <f t="shared" ca="1" si="7"/>
        <v>0</v>
      </c>
      <c r="F118" s="42">
        <f t="shared" ca="1" si="8"/>
        <v>28</v>
      </c>
      <c r="G118" s="29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19330228</v>
      </c>
      <c r="C119" s="24" t="str">
        <f>INDEX(Data,2,2+MOD(ROWS(C$2:C119)-1,2))</f>
        <v>15.00</v>
      </c>
      <c r="D119" s="41">
        <f t="shared" ca="1" si="6"/>
        <v>759</v>
      </c>
      <c r="E119" s="29">
        <f t="shared" ca="1" si="7"/>
        <v>0</v>
      </c>
      <c r="F119" s="42">
        <f t="shared" ca="1" si="8"/>
        <v>28</v>
      </c>
      <c r="G119" s="29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19330301</v>
      </c>
      <c r="C120" s="24" t="str">
        <f>INDEX(Data,2,2+MOD(ROWS(C$2:C120)-1,2))</f>
        <v>08.00</v>
      </c>
      <c r="D120" s="41">
        <f t="shared" ca="1" si="6"/>
        <v>759</v>
      </c>
      <c r="E120" s="29">
        <f t="shared" ca="1" si="7"/>
        <v>0</v>
      </c>
      <c r="F120" s="42">
        <f t="shared" ca="1" si="8"/>
        <v>27.5</v>
      </c>
      <c r="G120" s="29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19330301</v>
      </c>
      <c r="C121" s="24" t="str">
        <f>INDEX(Data,2,2+MOD(ROWS(C$2:C121)-1,2))</f>
        <v>15.00</v>
      </c>
      <c r="D121" s="41">
        <f t="shared" ca="1" si="6"/>
        <v>759</v>
      </c>
      <c r="E121" s="29">
        <f t="shared" ca="1" si="7"/>
        <v>0</v>
      </c>
      <c r="F121" s="42">
        <f t="shared" ca="1" si="8"/>
        <v>28</v>
      </c>
      <c r="G121" s="29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19330302</v>
      </c>
      <c r="C122" s="24" t="str">
        <f>INDEX(Data,2,2+MOD(ROWS(C$2:C122)-1,2))</f>
        <v>08.00</v>
      </c>
      <c r="D122" s="41">
        <f t="shared" ca="1" si="6"/>
        <v>759</v>
      </c>
      <c r="E122" s="29">
        <f t="shared" ca="1" si="7"/>
        <v>0</v>
      </c>
      <c r="F122" s="42">
        <f t="shared" ca="1" si="8"/>
        <v>27</v>
      </c>
      <c r="G122" s="29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19330302</v>
      </c>
      <c r="C123" s="24" t="str">
        <f>INDEX(Data,2,2+MOD(ROWS(C$2:C123)-1,2))</f>
        <v>15.00</v>
      </c>
      <c r="D123" s="41">
        <f t="shared" ca="1" si="6"/>
        <v>757.5</v>
      </c>
      <c r="E123" s="29">
        <f t="shared" ca="1" si="7"/>
        <v>0</v>
      </c>
      <c r="F123" s="42">
        <f t="shared" ca="1" si="8"/>
        <v>29.5</v>
      </c>
      <c r="G123" s="29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19330303</v>
      </c>
      <c r="C124" s="24" t="str">
        <f>INDEX(Data,2,2+MOD(ROWS(C$2:C124)-1,2))</f>
        <v>08.00</v>
      </c>
      <c r="D124" s="41">
        <f t="shared" ca="1" si="6"/>
        <v>759</v>
      </c>
      <c r="E124" s="29">
        <f t="shared" ca="1" si="7"/>
        <v>0</v>
      </c>
      <c r="F124" s="42">
        <f t="shared" ca="1" si="8"/>
        <v>28</v>
      </c>
      <c r="G124" s="29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19330303</v>
      </c>
      <c r="C125" s="24" t="str">
        <f>INDEX(Data,2,2+MOD(ROWS(C$2:C125)-1,2))</f>
        <v>15.00</v>
      </c>
      <c r="D125" s="41">
        <f t="shared" ca="1" si="6"/>
        <v>758</v>
      </c>
      <c r="E125" s="29">
        <f t="shared" ca="1" si="7"/>
        <v>0</v>
      </c>
      <c r="F125" s="42">
        <f t="shared" ca="1" si="8"/>
        <v>29</v>
      </c>
      <c r="G125" s="29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19330304</v>
      </c>
      <c r="C126" s="24" t="str">
        <f>INDEX(Data,2,2+MOD(ROWS(C$2:C126)-1,2))</f>
        <v>08.00</v>
      </c>
      <c r="D126" s="41">
        <f t="shared" ca="1" si="6"/>
        <v>759</v>
      </c>
      <c r="E126" s="29">
        <f t="shared" ca="1" si="7"/>
        <v>0</v>
      </c>
      <c r="F126" s="42">
        <f t="shared" ca="1" si="8"/>
        <v>29</v>
      </c>
      <c r="G126" s="29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19330304</v>
      </c>
      <c r="C127" s="24" t="str">
        <f>INDEX(Data,2,2+MOD(ROWS(C$2:C127)-1,2))</f>
        <v>15.00</v>
      </c>
      <c r="D127" s="41">
        <f t="shared" ca="1" si="6"/>
        <v>758</v>
      </c>
      <c r="E127" s="29">
        <f t="shared" ca="1" si="7"/>
        <v>0</v>
      </c>
      <c r="F127" s="42">
        <f t="shared" ca="1" si="8"/>
        <v>29</v>
      </c>
      <c r="G127" s="29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19330305</v>
      </c>
      <c r="C128" s="24" t="str">
        <f>INDEX(Data,2,2+MOD(ROWS(C$2:C128)-1,2))</f>
        <v>08.00</v>
      </c>
      <c r="D128" s="41">
        <f t="shared" ca="1" si="6"/>
        <v>759</v>
      </c>
      <c r="E128" s="29">
        <f t="shared" ca="1" si="7"/>
        <v>0</v>
      </c>
      <c r="F128" s="42">
        <f t="shared" ca="1" si="8"/>
        <v>29</v>
      </c>
      <c r="G128" s="29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19330305</v>
      </c>
      <c r="C129" s="24" t="str">
        <f>INDEX(Data,2,2+MOD(ROWS(C$2:C129)-1,2))</f>
        <v>15.00</v>
      </c>
      <c r="D129" s="41">
        <f t="shared" ca="1" si="6"/>
        <v>758</v>
      </c>
      <c r="E129" s="29">
        <f t="shared" ca="1" si="7"/>
        <v>0</v>
      </c>
      <c r="F129" s="42">
        <f t="shared" ca="1" si="8"/>
        <v>29</v>
      </c>
      <c r="G129" s="29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19330306</v>
      </c>
      <c r="C130" s="24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759</v>
      </c>
      <c r="E130" s="29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27</v>
      </c>
      <c r="G130" s="29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19330306</v>
      </c>
      <c r="C131" s="24" t="str">
        <f>INDEX(Data,2,2+MOD(ROWS(C$2:C131)-1,2))</f>
        <v>15.00</v>
      </c>
      <c r="D131" s="41">
        <f t="shared" ca="1" si="11"/>
        <v>759</v>
      </c>
      <c r="E131" s="29">
        <f t="shared" ca="1" si="12"/>
        <v>0</v>
      </c>
      <c r="F131" s="42">
        <f t="shared" ca="1" si="13"/>
        <v>27</v>
      </c>
      <c r="G131" s="29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19330307</v>
      </c>
      <c r="C132" s="24" t="str">
        <f>INDEX(Data,2,2+MOD(ROWS(C$2:C132)-1,2))</f>
        <v>08.00</v>
      </c>
      <c r="D132" s="41">
        <f t="shared" ca="1" si="11"/>
        <v>759</v>
      </c>
      <c r="E132" s="29">
        <f t="shared" ca="1" si="12"/>
        <v>0</v>
      </c>
      <c r="F132" s="42">
        <f t="shared" ca="1" si="13"/>
        <v>27</v>
      </c>
      <c r="G132" s="29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19330307</v>
      </c>
      <c r="C133" s="24" t="str">
        <f>INDEX(Data,2,2+MOD(ROWS(C$2:C133)-1,2))</f>
        <v>15.00</v>
      </c>
      <c r="D133" s="41">
        <f t="shared" ca="1" si="11"/>
        <v>759</v>
      </c>
      <c r="E133" s="29">
        <f t="shared" ca="1" si="12"/>
        <v>0</v>
      </c>
      <c r="F133" s="42">
        <f t="shared" ca="1" si="13"/>
        <v>28</v>
      </c>
      <c r="G133" s="29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19330308</v>
      </c>
      <c r="C134" s="24" t="str">
        <f>INDEX(Data,2,2+MOD(ROWS(C$2:C134)-1,2))</f>
        <v>08.00</v>
      </c>
      <c r="D134" s="41">
        <f t="shared" ca="1" si="11"/>
        <v>759</v>
      </c>
      <c r="E134" s="29">
        <f t="shared" ca="1" si="12"/>
        <v>0</v>
      </c>
      <c r="F134" s="42">
        <f t="shared" ca="1" si="13"/>
        <v>29</v>
      </c>
      <c r="G134" s="29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19330308</v>
      </c>
      <c r="C135" s="24" t="str">
        <f>INDEX(Data,2,2+MOD(ROWS(C$2:C135)-1,2))</f>
        <v>15.00</v>
      </c>
      <c r="D135" s="41">
        <f t="shared" ca="1" si="11"/>
        <v>759</v>
      </c>
      <c r="E135" s="29">
        <f t="shared" ca="1" si="12"/>
        <v>0</v>
      </c>
      <c r="F135" s="42">
        <f t="shared" ca="1" si="13"/>
        <v>29</v>
      </c>
      <c r="G135" s="29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19330309</v>
      </c>
      <c r="C136" s="24" t="str">
        <f>INDEX(Data,2,2+MOD(ROWS(C$2:C136)-1,2))</f>
        <v>08.00</v>
      </c>
      <c r="D136" s="41">
        <f t="shared" ca="1" si="11"/>
        <v>759</v>
      </c>
      <c r="E136" s="29">
        <f t="shared" ca="1" si="12"/>
        <v>0</v>
      </c>
      <c r="F136" s="42">
        <f t="shared" ca="1" si="13"/>
        <v>28</v>
      </c>
      <c r="G136" s="29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19330309</v>
      </c>
      <c r="C137" s="24" t="str">
        <f>INDEX(Data,2,2+MOD(ROWS(C$2:C137)-1,2))</f>
        <v>15.00</v>
      </c>
      <c r="D137" s="41">
        <f t="shared" ca="1" si="11"/>
        <v>759</v>
      </c>
      <c r="E137" s="29">
        <f t="shared" ca="1" si="12"/>
        <v>0</v>
      </c>
      <c r="F137" s="42">
        <f t="shared" ca="1" si="13"/>
        <v>29</v>
      </c>
      <c r="G137" s="29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19330310</v>
      </c>
      <c r="C138" s="24" t="str">
        <f>INDEX(Data,2,2+MOD(ROWS(C$2:C138)-1,2))</f>
        <v>08.00</v>
      </c>
      <c r="D138" s="41">
        <f t="shared" ca="1" si="11"/>
        <v>759</v>
      </c>
      <c r="E138" s="29">
        <f t="shared" ca="1" si="12"/>
        <v>0</v>
      </c>
      <c r="F138" s="42">
        <f t="shared" ca="1" si="13"/>
        <v>28</v>
      </c>
      <c r="G138" s="29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19330310</v>
      </c>
      <c r="C139" s="24" t="str">
        <f>INDEX(Data,2,2+MOD(ROWS(C$2:C139)-1,2))</f>
        <v>15.00</v>
      </c>
      <c r="D139" s="41">
        <f t="shared" ca="1" si="11"/>
        <v>759</v>
      </c>
      <c r="E139" s="29">
        <f t="shared" ca="1" si="12"/>
        <v>0</v>
      </c>
      <c r="F139" s="42">
        <f t="shared" ca="1" si="13"/>
        <v>29</v>
      </c>
      <c r="G139" s="29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19330311</v>
      </c>
      <c r="C140" s="24" t="str">
        <f>INDEX(Data,2,2+MOD(ROWS(C$2:C140)-1,2))</f>
        <v>08.00</v>
      </c>
      <c r="D140" s="41">
        <f t="shared" ca="1" si="11"/>
        <v>759</v>
      </c>
      <c r="E140" s="29">
        <f t="shared" ca="1" si="12"/>
        <v>0</v>
      </c>
      <c r="F140" s="42">
        <f t="shared" ca="1" si="13"/>
        <v>28</v>
      </c>
      <c r="G140" s="29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19330311</v>
      </c>
      <c r="C141" s="24" t="str">
        <f>INDEX(Data,2,2+MOD(ROWS(C$2:C141)-1,2))</f>
        <v>15.00</v>
      </c>
      <c r="D141" s="41">
        <f t="shared" ca="1" si="11"/>
        <v>759</v>
      </c>
      <c r="E141" s="29">
        <f t="shared" ca="1" si="12"/>
        <v>0</v>
      </c>
      <c r="F141" s="42">
        <f t="shared" ca="1" si="13"/>
        <v>29</v>
      </c>
      <c r="G141" s="29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19330312</v>
      </c>
      <c r="C142" s="24" t="str">
        <f>INDEX(Data,2,2+MOD(ROWS(C$2:C142)-1,2))</f>
        <v>08.00</v>
      </c>
      <c r="D142" s="41">
        <f t="shared" ca="1" si="11"/>
        <v>759</v>
      </c>
      <c r="E142" s="29">
        <f t="shared" ca="1" si="12"/>
        <v>0</v>
      </c>
      <c r="F142" s="42">
        <f t="shared" ca="1" si="13"/>
        <v>28</v>
      </c>
      <c r="G142" s="29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19330312</v>
      </c>
      <c r="C143" s="24" t="str">
        <f>INDEX(Data,2,2+MOD(ROWS(C$2:C143)-1,2))</f>
        <v>15.00</v>
      </c>
      <c r="D143" s="41">
        <f t="shared" ca="1" si="11"/>
        <v>759</v>
      </c>
      <c r="E143" s="29">
        <f t="shared" ca="1" si="12"/>
        <v>0</v>
      </c>
      <c r="F143" s="42">
        <f t="shared" ca="1" si="13"/>
        <v>29</v>
      </c>
      <c r="G143" s="29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19330313</v>
      </c>
      <c r="C144" s="24" t="str">
        <f>INDEX(Data,2,2+MOD(ROWS(C$2:C144)-1,2))</f>
        <v>08.00</v>
      </c>
      <c r="D144" s="41">
        <f t="shared" ca="1" si="11"/>
        <v>759</v>
      </c>
      <c r="E144" s="29">
        <f t="shared" ca="1" si="12"/>
        <v>0</v>
      </c>
      <c r="F144" s="42">
        <f t="shared" ca="1" si="13"/>
        <v>27.5</v>
      </c>
      <c r="G144" s="29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19330313</v>
      </c>
      <c r="C145" s="24" t="str">
        <f>INDEX(Data,2,2+MOD(ROWS(C$2:C145)-1,2))</f>
        <v>15.00</v>
      </c>
      <c r="D145" s="41">
        <f t="shared" ca="1" si="11"/>
        <v>759</v>
      </c>
      <c r="E145" s="29">
        <f t="shared" ca="1" si="12"/>
        <v>0</v>
      </c>
      <c r="F145" s="42">
        <f t="shared" ca="1" si="13"/>
        <v>29</v>
      </c>
      <c r="G145" s="29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19330314</v>
      </c>
      <c r="C146" s="24" t="str">
        <f>INDEX(Data,2,2+MOD(ROWS(C$2:C146)-1,2))</f>
        <v>08.00</v>
      </c>
      <c r="D146" s="41">
        <f t="shared" ca="1" si="11"/>
        <v>759</v>
      </c>
      <c r="E146" s="29">
        <f t="shared" ca="1" si="12"/>
        <v>0</v>
      </c>
      <c r="F146" s="42">
        <f t="shared" ca="1" si="13"/>
        <v>28</v>
      </c>
      <c r="G146" s="29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19330314</v>
      </c>
      <c r="C147" s="24" t="str">
        <f>INDEX(Data,2,2+MOD(ROWS(C$2:C147)-1,2))</f>
        <v>15.00</v>
      </c>
      <c r="D147" s="41">
        <f t="shared" ca="1" si="11"/>
        <v>759</v>
      </c>
      <c r="E147" s="29">
        <f t="shared" ca="1" si="12"/>
        <v>0</v>
      </c>
      <c r="F147" s="42">
        <f t="shared" ca="1" si="13"/>
        <v>29</v>
      </c>
      <c r="G147" s="29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19330315</v>
      </c>
      <c r="C148" s="24" t="str">
        <f>INDEX(Data,2,2+MOD(ROWS(C$2:C148)-1,2))</f>
        <v>08.00</v>
      </c>
      <c r="D148" s="41">
        <f t="shared" ca="1" si="11"/>
        <v>759</v>
      </c>
      <c r="E148" s="29">
        <f t="shared" ca="1" si="12"/>
        <v>0</v>
      </c>
      <c r="F148" s="42">
        <f t="shared" ca="1" si="13"/>
        <v>28</v>
      </c>
      <c r="G148" s="29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19330315</v>
      </c>
      <c r="C149" s="24" t="str">
        <f>INDEX(Data,2,2+MOD(ROWS(C$2:C149)-1,2))</f>
        <v>15.00</v>
      </c>
      <c r="D149" s="41">
        <f t="shared" ca="1" si="11"/>
        <v>759</v>
      </c>
      <c r="E149" s="29">
        <f t="shared" ca="1" si="12"/>
        <v>0</v>
      </c>
      <c r="F149" s="42">
        <f t="shared" ca="1" si="13"/>
        <v>29</v>
      </c>
      <c r="G149" s="29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19330316</v>
      </c>
      <c r="C150" s="24" t="str">
        <f>INDEX(Data,2,2+MOD(ROWS(C$2:C150)-1,2))</f>
        <v>08.00</v>
      </c>
      <c r="D150" s="41">
        <f t="shared" ca="1" si="11"/>
        <v>759</v>
      </c>
      <c r="E150" s="29">
        <f t="shared" ca="1" si="12"/>
        <v>0</v>
      </c>
      <c r="F150" s="42">
        <f t="shared" ca="1" si="13"/>
        <v>28.5</v>
      </c>
      <c r="G150" s="29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19330316</v>
      </c>
      <c r="C151" s="24" t="str">
        <f>INDEX(Data,2,2+MOD(ROWS(C$2:C151)-1,2))</f>
        <v>15.00</v>
      </c>
      <c r="D151" s="41">
        <f t="shared" ca="1" si="11"/>
        <v>758.5</v>
      </c>
      <c r="E151" s="29">
        <f t="shared" ca="1" si="12"/>
        <v>0</v>
      </c>
      <c r="F151" s="42">
        <f t="shared" ca="1" si="13"/>
        <v>29</v>
      </c>
      <c r="G151" s="29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19330317</v>
      </c>
      <c r="C152" s="24" t="str">
        <f>INDEX(Data,2,2+MOD(ROWS(C$2:C152)-1,2))</f>
        <v>08.00</v>
      </c>
      <c r="D152" s="41">
        <f t="shared" ca="1" si="11"/>
        <v>759</v>
      </c>
      <c r="E152" s="29">
        <f t="shared" ca="1" si="12"/>
        <v>0</v>
      </c>
      <c r="F152" s="42">
        <f t="shared" ca="1" si="13"/>
        <v>28.5</v>
      </c>
      <c r="G152" s="29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19330317</v>
      </c>
      <c r="C153" s="24" t="str">
        <f>INDEX(Data,2,2+MOD(ROWS(C$2:C153)-1,2))</f>
        <v>15.00</v>
      </c>
      <c r="D153" s="41">
        <f t="shared" ca="1" si="11"/>
        <v>759</v>
      </c>
      <c r="E153" s="29">
        <f t="shared" ca="1" si="12"/>
        <v>0</v>
      </c>
      <c r="F153" s="42">
        <f t="shared" ca="1" si="13"/>
        <v>29</v>
      </c>
      <c r="G153" s="29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19330318</v>
      </c>
      <c r="C154" s="24" t="str">
        <f>INDEX(Data,2,2+MOD(ROWS(C$2:C154)-1,2))</f>
        <v>08.00</v>
      </c>
      <c r="D154" s="41">
        <f t="shared" ca="1" si="11"/>
        <v>758</v>
      </c>
      <c r="E154" s="29">
        <f t="shared" ca="1" si="12"/>
        <v>0</v>
      </c>
      <c r="F154" s="42">
        <f t="shared" ca="1" si="13"/>
        <v>28</v>
      </c>
      <c r="G154" s="29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19330318</v>
      </c>
      <c r="C155" s="24" t="str">
        <f>INDEX(Data,2,2+MOD(ROWS(C$2:C155)-1,2))</f>
        <v>15.00</v>
      </c>
      <c r="D155" s="41">
        <f t="shared" ca="1" si="11"/>
        <v>759</v>
      </c>
      <c r="E155" s="29">
        <f t="shared" ca="1" si="12"/>
        <v>0</v>
      </c>
      <c r="F155" s="42">
        <f t="shared" ca="1" si="13"/>
        <v>29</v>
      </c>
      <c r="G155" s="29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19330319</v>
      </c>
      <c r="C156" s="24" t="str">
        <f>INDEX(Data,2,2+MOD(ROWS(C$2:C156)-1,2))</f>
        <v>08.00</v>
      </c>
      <c r="D156" s="41">
        <f t="shared" ca="1" si="11"/>
        <v>759</v>
      </c>
      <c r="E156" s="29">
        <f t="shared" ca="1" si="12"/>
        <v>0</v>
      </c>
      <c r="F156" s="42">
        <f t="shared" ca="1" si="13"/>
        <v>28</v>
      </c>
      <c r="G156" s="29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19330319</v>
      </c>
      <c r="C157" s="24" t="str">
        <f>INDEX(Data,2,2+MOD(ROWS(C$2:C157)-1,2))</f>
        <v>15.00</v>
      </c>
      <c r="D157" s="41">
        <f t="shared" ca="1" si="11"/>
        <v>759.5</v>
      </c>
      <c r="E157" s="29">
        <f t="shared" ca="1" si="12"/>
        <v>0</v>
      </c>
      <c r="F157" s="42">
        <f t="shared" ca="1" si="13"/>
        <v>29</v>
      </c>
      <c r="G157" s="29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19330320</v>
      </c>
      <c r="C158" s="24" t="str">
        <f>INDEX(Data,2,2+MOD(ROWS(C$2:C158)-1,2))</f>
        <v>08.00</v>
      </c>
      <c r="D158" s="41">
        <f t="shared" ca="1" si="11"/>
        <v>759</v>
      </c>
      <c r="E158" s="29">
        <f t="shared" ca="1" si="12"/>
        <v>0</v>
      </c>
      <c r="F158" s="42">
        <f t="shared" ca="1" si="13"/>
        <v>28</v>
      </c>
      <c r="G158" s="29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19330320</v>
      </c>
      <c r="C159" s="24" t="str">
        <f>INDEX(Data,2,2+MOD(ROWS(C$2:C159)-1,2))</f>
        <v>15.00</v>
      </c>
      <c r="D159" s="41">
        <f t="shared" ca="1" si="11"/>
        <v>759.5</v>
      </c>
      <c r="E159" s="29">
        <f t="shared" ca="1" si="12"/>
        <v>0</v>
      </c>
      <c r="F159" s="42">
        <f t="shared" ca="1" si="13"/>
        <v>29</v>
      </c>
      <c r="G159" s="29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19330321</v>
      </c>
      <c r="C160" s="24" t="str">
        <f>INDEX(Data,2,2+MOD(ROWS(C$2:C160)-1,2))</f>
        <v>08.00</v>
      </c>
      <c r="D160" s="41">
        <f t="shared" ca="1" si="11"/>
        <v>759</v>
      </c>
      <c r="E160" s="29">
        <f t="shared" ca="1" si="12"/>
        <v>0</v>
      </c>
      <c r="F160" s="42">
        <f t="shared" ca="1" si="13"/>
        <v>28.5</v>
      </c>
      <c r="G160" s="29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19330321</v>
      </c>
      <c r="C161" s="24" t="str">
        <f>INDEX(Data,2,2+MOD(ROWS(C$2:C161)-1,2))</f>
        <v>15.00</v>
      </c>
      <c r="D161" s="41">
        <f t="shared" ca="1" si="11"/>
        <v>759.5</v>
      </c>
      <c r="E161" s="29">
        <f t="shared" ca="1" si="12"/>
        <v>0</v>
      </c>
      <c r="F161" s="42">
        <f t="shared" ca="1" si="13"/>
        <v>29</v>
      </c>
      <c r="G161" s="29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19330322</v>
      </c>
      <c r="C162" s="24" t="str">
        <f>INDEX(Data,2,2+MOD(ROWS(C$2:C162)-1,2))</f>
        <v>08.00</v>
      </c>
      <c r="D162" s="41">
        <f t="shared" ca="1" si="11"/>
        <v>759</v>
      </c>
      <c r="E162" s="29">
        <f t="shared" ca="1" si="12"/>
        <v>0</v>
      </c>
      <c r="F162" s="42">
        <f t="shared" ca="1" si="13"/>
        <v>28</v>
      </c>
      <c r="G162" s="29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19330322</v>
      </c>
      <c r="C163" s="24" t="str">
        <f>INDEX(Data,2,2+MOD(ROWS(C$2:C163)-1,2))</f>
        <v>15.00</v>
      </c>
      <c r="D163" s="41">
        <f t="shared" ca="1" si="11"/>
        <v>759</v>
      </c>
      <c r="E163" s="29">
        <f t="shared" ca="1" si="12"/>
        <v>0</v>
      </c>
      <c r="F163" s="42">
        <f t="shared" ca="1" si="13"/>
        <v>29</v>
      </c>
      <c r="G163" s="29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19330323</v>
      </c>
      <c r="C164" s="24" t="str">
        <f>INDEX(Data,2,2+MOD(ROWS(C$2:C164)-1,2))</f>
        <v>08.00</v>
      </c>
      <c r="D164" s="41">
        <f t="shared" ca="1" si="11"/>
        <v>759</v>
      </c>
      <c r="E164" s="29">
        <f t="shared" ca="1" si="12"/>
        <v>0</v>
      </c>
      <c r="F164" s="42">
        <f t="shared" ca="1" si="13"/>
        <v>28</v>
      </c>
      <c r="G164" s="29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19330323</v>
      </c>
      <c r="C165" s="24" t="str">
        <f>INDEX(Data,2,2+MOD(ROWS(C$2:C165)-1,2))</f>
        <v>15.00</v>
      </c>
      <c r="D165" s="41">
        <f t="shared" ca="1" si="11"/>
        <v>759</v>
      </c>
      <c r="E165" s="29">
        <f t="shared" ca="1" si="12"/>
        <v>0</v>
      </c>
      <c r="F165" s="42">
        <f t="shared" ca="1" si="13"/>
        <v>29</v>
      </c>
      <c r="G165" s="29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19330324</v>
      </c>
      <c r="C166" s="24" t="str">
        <f>INDEX(Data,2,2+MOD(ROWS(C$2:C166)-1,2))</f>
        <v>08.00</v>
      </c>
      <c r="D166" s="41">
        <f t="shared" ca="1" si="11"/>
        <v>759</v>
      </c>
      <c r="E166" s="29">
        <f t="shared" ca="1" si="12"/>
        <v>0</v>
      </c>
      <c r="F166" s="42">
        <f t="shared" ca="1" si="13"/>
        <v>28</v>
      </c>
      <c r="G166" s="29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19330324</v>
      </c>
      <c r="C167" s="24" t="str">
        <f>INDEX(Data,2,2+MOD(ROWS(C$2:C167)-1,2))</f>
        <v>15.00</v>
      </c>
      <c r="D167" s="41">
        <f t="shared" ca="1" si="11"/>
        <v>759</v>
      </c>
      <c r="E167" s="29">
        <f t="shared" ca="1" si="12"/>
        <v>0</v>
      </c>
      <c r="F167" s="42">
        <f t="shared" ca="1" si="13"/>
        <v>29</v>
      </c>
      <c r="G167" s="29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19330325</v>
      </c>
      <c r="C168" s="24" t="str">
        <f>INDEX(Data,2,2+MOD(ROWS(C$2:C168)-1,2))</f>
        <v>08.00</v>
      </c>
      <c r="D168" s="41">
        <f t="shared" ca="1" si="11"/>
        <v>759</v>
      </c>
      <c r="E168" s="29">
        <f t="shared" ca="1" si="12"/>
        <v>0</v>
      </c>
      <c r="F168" s="42">
        <f t="shared" ca="1" si="13"/>
        <v>28</v>
      </c>
      <c r="G168" s="29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19330325</v>
      </c>
      <c r="C169" s="24" t="str">
        <f>INDEX(Data,2,2+MOD(ROWS(C$2:C169)-1,2))</f>
        <v>15.00</v>
      </c>
      <c r="D169" s="41">
        <f t="shared" ca="1" si="11"/>
        <v>759</v>
      </c>
      <c r="E169" s="29">
        <f t="shared" ca="1" si="12"/>
        <v>0</v>
      </c>
      <c r="F169" s="42">
        <f t="shared" ca="1" si="13"/>
        <v>29</v>
      </c>
      <c r="G169" s="29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19330326</v>
      </c>
      <c r="C170" s="24" t="str">
        <f>INDEX(Data,2,2+MOD(ROWS(C$2:C170)-1,2))</f>
        <v>08.00</v>
      </c>
      <c r="D170" s="41">
        <f t="shared" ca="1" si="11"/>
        <v>759</v>
      </c>
      <c r="E170" s="29">
        <f t="shared" ca="1" si="12"/>
        <v>0</v>
      </c>
      <c r="F170" s="42">
        <f t="shared" ca="1" si="13"/>
        <v>28</v>
      </c>
      <c r="G170" s="29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19330326</v>
      </c>
      <c r="C171" s="24" t="str">
        <f>INDEX(Data,2,2+MOD(ROWS(C$2:C171)-1,2))</f>
        <v>15.00</v>
      </c>
      <c r="D171" s="41">
        <f t="shared" ca="1" si="11"/>
        <v>759</v>
      </c>
      <c r="E171" s="29">
        <f t="shared" ca="1" si="12"/>
        <v>0</v>
      </c>
      <c r="F171" s="42">
        <f t="shared" ca="1" si="13"/>
        <v>29</v>
      </c>
      <c r="G171" s="29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19330327</v>
      </c>
      <c r="C172" s="24" t="str">
        <f>INDEX(Data,2,2+MOD(ROWS(C$2:C172)-1,2))</f>
        <v>08.00</v>
      </c>
      <c r="D172" s="41">
        <f t="shared" ca="1" si="11"/>
        <v>759</v>
      </c>
      <c r="E172" s="29">
        <f t="shared" ca="1" si="12"/>
        <v>0</v>
      </c>
      <c r="F172" s="42">
        <f t="shared" ca="1" si="13"/>
        <v>28</v>
      </c>
      <c r="G172" s="29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19330327</v>
      </c>
      <c r="C173" s="24" t="str">
        <f>INDEX(Data,2,2+MOD(ROWS(C$2:C173)-1,2))</f>
        <v>15.00</v>
      </c>
      <c r="D173" s="41">
        <f t="shared" ca="1" si="11"/>
        <v>759</v>
      </c>
      <c r="E173" s="29">
        <f t="shared" ca="1" si="12"/>
        <v>0</v>
      </c>
      <c r="F173" s="42">
        <f t="shared" ca="1" si="13"/>
        <v>29</v>
      </c>
      <c r="G173" s="29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19330328</v>
      </c>
      <c r="C174" s="24" t="str">
        <f>INDEX(Data,2,2+MOD(ROWS(C$2:C174)-1,2))</f>
        <v>08.00</v>
      </c>
      <c r="D174" s="41">
        <f t="shared" ca="1" si="11"/>
        <v>759</v>
      </c>
      <c r="E174" s="29">
        <f t="shared" ca="1" si="12"/>
        <v>0</v>
      </c>
      <c r="F174" s="42">
        <f t="shared" ca="1" si="13"/>
        <v>28</v>
      </c>
      <c r="G174" s="29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19330328</v>
      </c>
      <c r="C175" s="24" t="str">
        <f>INDEX(Data,2,2+MOD(ROWS(C$2:C175)-1,2))</f>
        <v>15.00</v>
      </c>
      <c r="D175" s="41">
        <f t="shared" ca="1" si="11"/>
        <v>759</v>
      </c>
      <c r="E175" s="29">
        <f t="shared" ca="1" si="12"/>
        <v>0</v>
      </c>
      <c r="F175" s="42">
        <f t="shared" ca="1" si="13"/>
        <v>29</v>
      </c>
      <c r="G175" s="29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19330329</v>
      </c>
      <c r="C176" s="24" t="str">
        <f>INDEX(Data,2,2+MOD(ROWS(C$2:C176)-1,2))</f>
        <v>08.00</v>
      </c>
      <c r="D176" s="41">
        <f t="shared" ca="1" si="11"/>
        <v>759</v>
      </c>
      <c r="E176" s="29">
        <f t="shared" ca="1" si="12"/>
        <v>0</v>
      </c>
      <c r="F176" s="42">
        <f t="shared" ca="1" si="13"/>
        <v>28</v>
      </c>
      <c r="G176" s="29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19330329</v>
      </c>
      <c r="C177" s="24" t="str">
        <f>INDEX(Data,2,2+MOD(ROWS(C$2:C177)-1,2))</f>
        <v>15.00</v>
      </c>
      <c r="D177" s="41">
        <f t="shared" ca="1" si="11"/>
        <v>759</v>
      </c>
      <c r="E177" s="29">
        <f t="shared" ca="1" si="12"/>
        <v>0</v>
      </c>
      <c r="F177" s="42">
        <f t="shared" ca="1" si="13"/>
        <v>29</v>
      </c>
      <c r="G177" s="29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19330330</v>
      </c>
      <c r="C178" s="24" t="str">
        <f>INDEX(Data,2,2+MOD(ROWS(C$2:C178)-1,2))</f>
        <v>08.00</v>
      </c>
      <c r="D178" s="41">
        <f t="shared" ca="1" si="11"/>
        <v>759</v>
      </c>
      <c r="E178" s="29">
        <f t="shared" ca="1" si="12"/>
        <v>0</v>
      </c>
      <c r="F178" s="42">
        <f t="shared" ca="1" si="13"/>
        <v>28</v>
      </c>
      <c r="G178" s="29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19330330</v>
      </c>
      <c r="C179" s="24" t="str">
        <f>INDEX(Data,2,2+MOD(ROWS(C$2:C179)-1,2))</f>
        <v>15.00</v>
      </c>
      <c r="D179" s="41">
        <f t="shared" ca="1" si="11"/>
        <v>759</v>
      </c>
      <c r="E179" s="29">
        <f t="shared" ca="1" si="12"/>
        <v>0</v>
      </c>
      <c r="F179" s="42">
        <f t="shared" ca="1" si="13"/>
        <v>29</v>
      </c>
      <c r="G179" s="29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19330331</v>
      </c>
      <c r="C180" s="24" t="str">
        <f>INDEX(Data,2,2+MOD(ROWS(C$2:C180)-1,2))</f>
        <v>08.00</v>
      </c>
      <c r="D180" s="41">
        <f t="shared" ca="1" si="11"/>
        <v>759</v>
      </c>
      <c r="E180" s="29">
        <f t="shared" ca="1" si="12"/>
        <v>0</v>
      </c>
      <c r="F180" s="42">
        <f t="shared" ca="1" si="13"/>
        <v>28</v>
      </c>
      <c r="G180" s="29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19330331</v>
      </c>
      <c r="C181" s="24" t="str">
        <f>INDEX(Data,2,2+MOD(ROWS(C$2:C181)-1,2))</f>
        <v>15.00</v>
      </c>
      <c r="D181" s="41">
        <f t="shared" ca="1" si="11"/>
        <v>759</v>
      </c>
      <c r="E181" s="29">
        <f t="shared" ca="1" si="12"/>
        <v>0</v>
      </c>
      <c r="F181" s="42">
        <f t="shared" ca="1" si="13"/>
        <v>29</v>
      </c>
      <c r="G181" s="29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19330401</v>
      </c>
      <c r="C182" s="24" t="str">
        <f>INDEX(Data,2,2+MOD(ROWS(C$2:C182)-1,2))</f>
        <v>08.00</v>
      </c>
      <c r="D182" s="41">
        <f t="shared" ca="1" si="11"/>
        <v>759</v>
      </c>
      <c r="E182" s="29">
        <f t="shared" ca="1" si="12"/>
        <v>0</v>
      </c>
      <c r="F182" s="42">
        <f t="shared" ca="1" si="13"/>
        <v>28</v>
      </c>
      <c r="G182" s="29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19330401</v>
      </c>
      <c r="C183" s="24" t="str">
        <f>INDEX(Data,2,2+MOD(ROWS(C$2:C183)-1,2))</f>
        <v>15.00</v>
      </c>
      <c r="D183" s="41">
        <f t="shared" ca="1" si="11"/>
        <v>759</v>
      </c>
      <c r="E183" s="29">
        <f t="shared" ca="1" si="12"/>
        <v>0</v>
      </c>
      <c r="F183" s="42">
        <f t="shared" ca="1" si="13"/>
        <v>29</v>
      </c>
      <c r="G183" s="29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19330402</v>
      </c>
      <c r="C184" s="24" t="str">
        <f>INDEX(Data,2,2+MOD(ROWS(C$2:C184)-1,2))</f>
        <v>08.00</v>
      </c>
      <c r="D184" s="41">
        <f t="shared" ca="1" si="11"/>
        <v>759</v>
      </c>
      <c r="E184" s="29">
        <f t="shared" ca="1" si="12"/>
        <v>0</v>
      </c>
      <c r="F184" s="42">
        <f t="shared" ca="1" si="13"/>
        <v>28</v>
      </c>
      <c r="G184" s="29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19330402</v>
      </c>
      <c r="C185" s="24" t="str">
        <f>INDEX(Data,2,2+MOD(ROWS(C$2:C185)-1,2))</f>
        <v>15.00</v>
      </c>
      <c r="D185" s="41">
        <f t="shared" ca="1" si="11"/>
        <v>759.5</v>
      </c>
      <c r="E185" s="29">
        <f t="shared" ca="1" si="12"/>
        <v>0</v>
      </c>
      <c r="F185" s="42">
        <f t="shared" ca="1" si="13"/>
        <v>29</v>
      </c>
      <c r="G185" s="29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19330403</v>
      </c>
      <c r="C186" s="24" t="str">
        <f>INDEX(Data,2,2+MOD(ROWS(C$2:C186)-1,2))</f>
        <v>08.00</v>
      </c>
      <c r="D186" s="41">
        <f t="shared" ca="1" si="11"/>
        <v>759</v>
      </c>
      <c r="E186" s="29">
        <f t="shared" ca="1" si="12"/>
        <v>0</v>
      </c>
      <c r="F186" s="42">
        <f t="shared" ca="1" si="13"/>
        <v>28</v>
      </c>
      <c r="G186" s="29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19330403</v>
      </c>
      <c r="C187" s="24" t="str">
        <f>INDEX(Data,2,2+MOD(ROWS(C$2:C187)-1,2))</f>
        <v>15.00</v>
      </c>
      <c r="D187" s="41">
        <f t="shared" ca="1" si="11"/>
        <v>759</v>
      </c>
      <c r="E187" s="29">
        <f t="shared" ca="1" si="12"/>
        <v>0</v>
      </c>
      <c r="F187" s="42">
        <f t="shared" ca="1" si="13"/>
        <v>29</v>
      </c>
      <c r="G187" s="29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19330404</v>
      </c>
      <c r="C188" s="24" t="str">
        <f>INDEX(Data,2,2+MOD(ROWS(C$2:C188)-1,2))</f>
        <v>08.00</v>
      </c>
      <c r="D188" s="41">
        <f t="shared" ca="1" si="11"/>
        <v>759</v>
      </c>
      <c r="E188" s="29">
        <f t="shared" ca="1" si="12"/>
        <v>0</v>
      </c>
      <c r="F188" s="42">
        <f t="shared" ca="1" si="13"/>
        <v>28</v>
      </c>
      <c r="G188" s="29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19330404</v>
      </c>
      <c r="C189" s="24" t="str">
        <f>INDEX(Data,2,2+MOD(ROWS(C$2:C189)-1,2))</f>
        <v>15.00</v>
      </c>
      <c r="D189" s="41">
        <f t="shared" ca="1" si="11"/>
        <v>759</v>
      </c>
      <c r="E189" s="29">
        <f t="shared" ca="1" si="12"/>
        <v>0</v>
      </c>
      <c r="F189" s="42">
        <f t="shared" ca="1" si="13"/>
        <v>29</v>
      </c>
      <c r="G189" s="29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19330405</v>
      </c>
      <c r="C190" s="24" t="str">
        <f>INDEX(Data,2,2+MOD(ROWS(C$2:C190)-1,2))</f>
        <v>08.00</v>
      </c>
      <c r="D190" s="41">
        <f t="shared" ca="1" si="11"/>
        <v>758.5</v>
      </c>
      <c r="E190" s="29">
        <f t="shared" ca="1" si="12"/>
        <v>0</v>
      </c>
      <c r="F190" s="42">
        <f t="shared" ca="1" si="13"/>
        <v>28.5</v>
      </c>
      <c r="G190" s="29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19330405</v>
      </c>
      <c r="C191" s="24" t="str">
        <f>INDEX(Data,2,2+MOD(ROWS(C$2:C191)-1,2))</f>
        <v>15.00</v>
      </c>
      <c r="D191" s="41">
        <f t="shared" ca="1" si="11"/>
        <v>759</v>
      </c>
      <c r="E191" s="29">
        <f t="shared" ca="1" si="12"/>
        <v>0</v>
      </c>
      <c r="F191" s="42">
        <f t="shared" ca="1" si="13"/>
        <v>29</v>
      </c>
      <c r="G191" s="29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19330406</v>
      </c>
      <c r="C192" s="24" t="str">
        <f>INDEX(Data,2,2+MOD(ROWS(C$2:C192)-1,2))</f>
        <v>08.00</v>
      </c>
      <c r="D192" s="41">
        <f t="shared" ca="1" si="11"/>
        <v>759</v>
      </c>
      <c r="E192" s="29">
        <f t="shared" ca="1" si="12"/>
        <v>0</v>
      </c>
      <c r="F192" s="42">
        <f t="shared" ca="1" si="13"/>
        <v>28</v>
      </c>
      <c r="G192" s="29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19330406</v>
      </c>
      <c r="C193" s="24" t="str">
        <f>INDEX(Data,2,2+MOD(ROWS(C$2:C193)-1,2))</f>
        <v>15.00</v>
      </c>
      <c r="D193" s="41">
        <f t="shared" ca="1" si="11"/>
        <v>759</v>
      </c>
      <c r="E193" s="29">
        <f t="shared" ca="1" si="12"/>
        <v>0</v>
      </c>
      <c r="F193" s="42">
        <f t="shared" ca="1" si="13"/>
        <v>29</v>
      </c>
      <c r="G193" s="29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19330407</v>
      </c>
      <c r="C194" s="24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759</v>
      </c>
      <c r="E194" s="29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28</v>
      </c>
      <c r="G194" s="29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19330407</v>
      </c>
      <c r="C195" s="24" t="str">
        <f>INDEX(Data,2,2+MOD(ROWS(C$2:C195)-1,2))</f>
        <v>15.00</v>
      </c>
      <c r="D195" s="41">
        <f t="shared" ca="1" si="16"/>
        <v>759</v>
      </c>
      <c r="E195" s="29">
        <f t="shared" ca="1" si="17"/>
        <v>0</v>
      </c>
      <c r="F195" s="42">
        <f t="shared" ca="1" si="18"/>
        <v>29</v>
      </c>
      <c r="G195" s="29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19330408</v>
      </c>
      <c r="C196" s="24" t="str">
        <f>INDEX(Data,2,2+MOD(ROWS(C$2:C196)-1,2))</f>
        <v>08.00</v>
      </c>
      <c r="D196" s="41">
        <f t="shared" ca="1" si="16"/>
        <v>759</v>
      </c>
      <c r="E196" s="29">
        <f t="shared" ca="1" si="17"/>
        <v>0</v>
      </c>
      <c r="F196" s="42">
        <f t="shared" ca="1" si="18"/>
        <v>28</v>
      </c>
      <c r="G196" s="29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19330408</v>
      </c>
      <c r="C197" s="24" t="str">
        <f>INDEX(Data,2,2+MOD(ROWS(C$2:C197)-1,2))</f>
        <v>15.00</v>
      </c>
      <c r="D197" s="41">
        <f t="shared" ca="1" si="16"/>
        <v>759</v>
      </c>
      <c r="E197" s="29">
        <f t="shared" ca="1" si="17"/>
        <v>0</v>
      </c>
      <c r="F197" s="42">
        <f t="shared" ca="1" si="18"/>
        <v>29</v>
      </c>
      <c r="G197" s="29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19330409</v>
      </c>
      <c r="C198" s="24" t="str">
        <f>INDEX(Data,2,2+MOD(ROWS(C$2:C198)-1,2))</f>
        <v>08.00</v>
      </c>
      <c r="D198" s="41">
        <f t="shared" ca="1" si="16"/>
        <v>758.5</v>
      </c>
      <c r="E198" s="29">
        <f t="shared" ca="1" si="17"/>
        <v>0</v>
      </c>
      <c r="F198" s="42">
        <f t="shared" ca="1" si="18"/>
        <v>28</v>
      </c>
      <c r="G198" s="29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19330409</v>
      </c>
      <c r="C199" s="24" t="str">
        <f>INDEX(Data,2,2+MOD(ROWS(C$2:C199)-1,2))</f>
        <v>15.00</v>
      </c>
      <c r="D199" s="41">
        <f t="shared" ca="1" si="16"/>
        <v>759</v>
      </c>
      <c r="E199" s="29">
        <f t="shared" ca="1" si="17"/>
        <v>0</v>
      </c>
      <c r="F199" s="42">
        <f t="shared" ca="1" si="18"/>
        <v>29</v>
      </c>
      <c r="G199" s="29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19330410</v>
      </c>
      <c r="C200" s="24" t="str">
        <f>INDEX(Data,2,2+MOD(ROWS(C$2:C200)-1,2))</f>
        <v>08.00</v>
      </c>
      <c r="D200" s="41">
        <f t="shared" ca="1" si="16"/>
        <v>758.5</v>
      </c>
      <c r="E200" s="29">
        <f t="shared" ca="1" si="17"/>
        <v>0</v>
      </c>
      <c r="F200" s="42">
        <f t="shared" ca="1" si="18"/>
        <v>28</v>
      </c>
      <c r="G200" s="29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19330410</v>
      </c>
      <c r="C201" s="24" t="str">
        <f>INDEX(Data,2,2+MOD(ROWS(C$2:C201)-1,2))</f>
        <v>15.00</v>
      </c>
      <c r="D201" s="41">
        <f t="shared" ca="1" si="16"/>
        <v>759</v>
      </c>
      <c r="E201" s="29">
        <f t="shared" ca="1" si="17"/>
        <v>0</v>
      </c>
      <c r="F201" s="42">
        <f t="shared" ca="1" si="18"/>
        <v>29</v>
      </c>
      <c r="G201" s="29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19330411</v>
      </c>
      <c r="C202" s="24" t="str">
        <f>INDEX(Data,2,2+MOD(ROWS(C$2:C202)-1,2))</f>
        <v>08.00</v>
      </c>
      <c r="D202" s="41">
        <f t="shared" ca="1" si="16"/>
        <v>759</v>
      </c>
      <c r="E202" s="29">
        <f t="shared" ca="1" si="17"/>
        <v>0</v>
      </c>
      <c r="F202" s="42">
        <f t="shared" ca="1" si="18"/>
        <v>28.5</v>
      </c>
      <c r="G202" s="29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19330411</v>
      </c>
      <c r="C203" s="24" t="str">
        <f>INDEX(Data,2,2+MOD(ROWS(C$2:C203)-1,2))</f>
        <v>15.00</v>
      </c>
      <c r="D203" s="41">
        <f t="shared" ca="1" si="16"/>
        <v>759</v>
      </c>
      <c r="E203" s="29">
        <f t="shared" ca="1" si="17"/>
        <v>0</v>
      </c>
      <c r="F203" s="42">
        <f t="shared" ca="1" si="18"/>
        <v>29</v>
      </c>
      <c r="G203" s="29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19330412</v>
      </c>
      <c r="C204" s="24" t="str">
        <f>INDEX(Data,2,2+MOD(ROWS(C$2:C204)-1,2))</f>
        <v>08.00</v>
      </c>
      <c r="D204" s="41">
        <f t="shared" ca="1" si="16"/>
        <v>759</v>
      </c>
      <c r="E204" s="29">
        <f t="shared" ca="1" si="17"/>
        <v>0</v>
      </c>
      <c r="F204" s="42">
        <f t="shared" ca="1" si="18"/>
        <v>28.5</v>
      </c>
      <c r="G204" s="29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19330412</v>
      </c>
      <c r="C205" s="24" t="str">
        <f>INDEX(Data,2,2+MOD(ROWS(C$2:C205)-1,2))</f>
        <v>15.00</v>
      </c>
      <c r="D205" s="41">
        <f t="shared" ca="1" si="16"/>
        <v>759</v>
      </c>
      <c r="E205" s="29">
        <f t="shared" ca="1" si="17"/>
        <v>0</v>
      </c>
      <c r="F205" s="42">
        <f t="shared" ca="1" si="18"/>
        <v>29</v>
      </c>
      <c r="G205" s="29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19330413</v>
      </c>
      <c r="C206" s="24" t="str">
        <f>INDEX(Data,2,2+MOD(ROWS(C$2:C206)-1,2))</f>
        <v>08.00</v>
      </c>
      <c r="D206" s="41">
        <f t="shared" ca="1" si="16"/>
        <v>759</v>
      </c>
      <c r="E206" s="29">
        <f t="shared" ca="1" si="17"/>
        <v>0</v>
      </c>
      <c r="F206" s="42">
        <f t="shared" ca="1" si="18"/>
        <v>28</v>
      </c>
      <c r="G206" s="29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19330413</v>
      </c>
      <c r="C207" s="24" t="str">
        <f>INDEX(Data,2,2+MOD(ROWS(C$2:C207)-1,2))</f>
        <v>15.00</v>
      </c>
      <c r="D207" s="41">
        <f t="shared" ca="1" si="16"/>
        <v>759</v>
      </c>
      <c r="E207" s="29">
        <f t="shared" ca="1" si="17"/>
        <v>0</v>
      </c>
      <c r="F207" s="42">
        <f t="shared" ca="1" si="18"/>
        <v>29</v>
      </c>
      <c r="G207" s="29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19330414</v>
      </c>
      <c r="C208" s="24" t="str">
        <f>INDEX(Data,2,2+MOD(ROWS(C$2:C208)-1,2))</f>
        <v>08.00</v>
      </c>
      <c r="D208" s="41">
        <f t="shared" ca="1" si="16"/>
        <v>759</v>
      </c>
      <c r="E208" s="29">
        <f t="shared" ca="1" si="17"/>
        <v>0</v>
      </c>
      <c r="F208" s="42">
        <f t="shared" ca="1" si="18"/>
        <v>28</v>
      </c>
      <c r="G208" s="29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19330414</v>
      </c>
      <c r="C209" s="24" t="str">
        <f>INDEX(Data,2,2+MOD(ROWS(C$2:C209)-1,2))</f>
        <v>15.00</v>
      </c>
      <c r="D209" s="41">
        <f t="shared" ca="1" si="16"/>
        <v>759</v>
      </c>
      <c r="E209" s="29">
        <f t="shared" ca="1" si="17"/>
        <v>0</v>
      </c>
      <c r="F209" s="42">
        <f t="shared" ca="1" si="18"/>
        <v>29</v>
      </c>
      <c r="G209" s="29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19330415</v>
      </c>
      <c r="C210" s="24" t="str">
        <f>INDEX(Data,2,2+MOD(ROWS(C$2:C210)-1,2))</f>
        <v>08.00</v>
      </c>
      <c r="D210" s="41">
        <f t="shared" ca="1" si="16"/>
        <v>759</v>
      </c>
      <c r="E210" s="29">
        <f t="shared" ca="1" si="17"/>
        <v>0</v>
      </c>
      <c r="F210" s="42">
        <f t="shared" ca="1" si="18"/>
        <v>28</v>
      </c>
      <c r="G210" s="29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19330415</v>
      </c>
      <c r="C211" s="24" t="str">
        <f>INDEX(Data,2,2+MOD(ROWS(C$2:C211)-1,2))</f>
        <v>15.00</v>
      </c>
      <c r="D211" s="41">
        <f t="shared" ca="1" si="16"/>
        <v>759</v>
      </c>
      <c r="E211" s="29">
        <f t="shared" ca="1" si="17"/>
        <v>0</v>
      </c>
      <c r="F211" s="42">
        <f t="shared" ca="1" si="18"/>
        <v>29</v>
      </c>
      <c r="G211" s="29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19330416</v>
      </c>
      <c r="C212" s="24" t="str">
        <f>INDEX(Data,2,2+MOD(ROWS(C$2:C212)-1,2))</f>
        <v>08.00</v>
      </c>
      <c r="D212" s="41">
        <f t="shared" ca="1" si="16"/>
        <v>759</v>
      </c>
      <c r="E212" s="29">
        <f t="shared" ca="1" si="17"/>
        <v>0</v>
      </c>
      <c r="F212" s="42">
        <f t="shared" ca="1" si="18"/>
        <v>28</v>
      </c>
      <c r="G212" s="29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19330416</v>
      </c>
      <c r="C213" s="24" t="str">
        <f>INDEX(Data,2,2+MOD(ROWS(C$2:C213)-1,2))</f>
        <v>15.00</v>
      </c>
      <c r="D213" s="41">
        <f t="shared" ca="1" si="16"/>
        <v>759</v>
      </c>
      <c r="E213" s="29">
        <f t="shared" ca="1" si="17"/>
        <v>0</v>
      </c>
      <c r="F213" s="42">
        <f t="shared" ca="1" si="18"/>
        <v>29</v>
      </c>
      <c r="G213" s="29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19330417</v>
      </c>
      <c r="C214" s="24" t="str">
        <f>INDEX(Data,2,2+MOD(ROWS(C$2:C214)-1,2))</f>
        <v>08.00</v>
      </c>
      <c r="D214" s="41">
        <f t="shared" ca="1" si="16"/>
        <v>759</v>
      </c>
      <c r="E214" s="29">
        <f t="shared" ca="1" si="17"/>
        <v>0</v>
      </c>
      <c r="F214" s="42">
        <f t="shared" ca="1" si="18"/>
        <v>28.5</v>
      </c>
      <c r="G214" s="29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19330417</v>
      </c>
      <c r="C215" s="24" t="str">
        <f>INDEX(Data,2,2+MOD(ROWS(C$2:C215)-1,2))</f>
        <v>15.00</v>
      </c>
      <c r="D215" s="41">
        <f t="shared" ca="1" si="16"/>
        <v>759</v>
      </c>
      <c r="E215" s="29">
        <f t="shared" ca="1" si="17"/>
        <v>0</v>
      </c>
      <c r="F215" s="42">
        <f t="shared" ca="1" si="18"/>
        <v>29</v>
      </c>
      <c r="G215" s="29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19330418</v>
      </c>
      <c r="C216" s="24" t="str">
        <f>INDEX(Data,2,2+MOD(ROWS(C$2:C216)-1,2))</f>
        <v>08.00</v>
      </c>
      <c r="D216" s="41">
        <f t="shared" ca="1" si="16"/>
        <v>759</v>
      </c>
      <c r="E216" s="29">
        <f t="shared" ca="1" si="17"/>
        <v>0</v>
      </c>
      <c r="F216" s="42">
        <f t="shared" ca="1" si="18"/>
        <v>28</v>
      </c>
      <c r="G216" s="29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19330418</v>
      </c>
      <c r="C217" s="24" t="str">
        <f>INDEX(Data,2,2+MOD(ROWS(C$2:C217)-1,2))</f>
        <v>15.00</v>
      </c>
      <c r="D217" s="41">
        <f t="shared" ca="1" si="16"/>
        <v>759</v>
      </c>
      <c r="E217" s="29">
        <f t="shared" ca="1" si="17"/>
        <v>0</v>
      </c>
      <c r="F217" s="42">
        <f t="shared" ca="1" si="18"/>
        <v>29</v>
      </c>
      <c r="G217" s="29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19330419</v>
      </c>
      <c r="C218" s="24" t="str">
        <f>INDEX(Data,2,2+MOD(ROWS(C$2:C218)-1,2))</f>
        <v>08.00</v>
      </c>
      <c r="D218" s="41">
        <f t="shared" ca="1" si="16"/>
        <v>758.5</v>
      </c>
      <c r="E218" s="29">
        <f t="shared" ca="1" si="17"/>
        <v>0</v>
      </c>
      <c r="F218" s="42">
        <f t="shared" ca="1" si="18"/>
        <v>28</v>
      </c>
      <c r="G218" s="29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19330419</v>
      </c>
      <c r="C219" s="24" t="str">
        <f>INDEX(Data,2,2+MOD(ROWS(C$2:C219)-1,2))</f>
        <v>15.00</v>
      </c>
      <c r="D219" s="41">
        <f t="shared" ca="1" si="16"/>
        <v>759</v>
      </c>
      <c r="E219" s="29">
        <f t="shared" ca="1" si="17"/>
        <v>0</v>
      </c>
      <c r="F219" s="42">
        <f t="shared" ca="1" si="18"/>
        <v>29</v>
      </c>
      <c r="G219" s="29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19330420</v>
      </c>
      <c r="C220" s="24" t="str">
        <f>INDEX(Data,2,2+MOD(ROWS(C$2:C220)-1,2))</f>
        <v>08.00</v>
      </c>
      <c r="D220" s="41">
        <f t="shared" ca="1" si="16"/>
        <v>759</v>
      </c>
      <c r="E220" s="29">
        <f t="shared" ca="1" si="17"/>
        <v>0</v>
      </c>
      <c r="F220" s="42">
        <f t="shared" ca="1" si="18"/>
        <v>28</v>
      </c>
      <c r="G220" s="29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19330420</v>
      </c>
      <c r="C221" s="24" t="str">
        <f>INDEX(Data,2,2+MOD(ROWS(C$2:C221)-1,2))</f>
        <v>15.00</v>
      </c>
      <c r="D221" s="41">
        <f t="shared" ca="1" si="16"/>
        <v>759</v>
      </c>
      <c r="E221" s="29">
        <f t="shared" ca="1" si="17"/>
        <v>0</v>
      </c>
      <c r="F221" s="42">
        <f t="shared" ca="1" si="18"/>
        <v>29</v>
      </c>
      <c r="G221" s="29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19330421</v>
      </c>
      <c r="C222" s="24" t="str">
        <f>INDEX(Data,2,2+MOD(ROWS(C$2:C222)-1,2))</f>
        <v>08.00</v>
      </c>
      <c r="D222" s="41">
        <f t="shared" ca="1" si="16"/>
        <v>759</v>
      </c>
      <c r="E222" s="29">
        <f t="shared" ca="1" si="17"/>
        <v>0</v>
      </c>
      <c r="F222" s="42">
        <f t="shared" ca="1" si="18"/>
        <v>28.5</v>
      </c>
      <c r="G222" s="29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19330421</v>
      </c>
      <c r="C223" s="24" t="str">
        <f>INDEX(Data,2,2+MOD(ROWS(C$2:C223)-1,2))</f>
        <v>15.00</v>
      </c>
      <c r="D223" s="41">
        <f t="shared" ca="1" si="16"/>
        <v>759</v>
      </c>
      <c r="E223" s="29">
        <f t="shared" ca="1" si="17"/>
        <v>0</v>
      </c>
      <c r="F223" s="42">
        <f t="shared" ca="1" si="18"/>
        <v>29</v>
      </c>
      <c r="G223" s="29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19330422</v>
      </c>
      <c r="C224" s="24" t="str">
        <f>INDEX(Data,2,2+MOD(ROWS(C$2:C224)-1,2))</f>
        <v>08.00</v>
      </c>
      <c r="D224" s="41">
        <f t="shared" ca="1" si="16"/>
        <v>759</v>
      </c>
      <c r="E224" s="29">
        <f t="shared" ca="1" si="17"/>
        <v>0</v>
      </c>
      <c r="F224" s="42">
        <f t="shared" ca="1" si="18"/>
        <v>28</v>
      </c>
      <c r="G224" s="29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19330422</v>
      </c>
      <c r="C225" s="24" t="str">
        <f>INDEX(Data,2,2+MOD(ROWS(C$2:C225)-1,2))</f>
        <v>15.00</v>
      </c>
      <c r="D225" s="41">
        <f t="shared" ca="1" si="16"/>
        <v>759</v>
      </c>
      <c r="E225" s="29">
        <f t="shared" ca="1" si="17"/>
        <v>0</v>
      </c>
      <c r="F225" s="42">
        <f t="shared" ca="1" si="18"/>
        <v>29</v>
      </c>
      <c r="G225" s="29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19330423</v>
      </c>
      <c r="C226" s="24" t="str">
        <f>INDEX(Data,2,2+MOD(ROWS(C$2:C226)-1,2))</f>
        <v>08.00</v>
      </c>
      <c r="D226" s="41">
        <f t="shared" ca="1" si="16"/>
        <v>759</v>
      </c>
      <c r="E226" s="29">
        <f t="shared" ca="1" si="17"/>
        <v>0</v>
      </c>
      <c r="F226" s="42">
        <f t="shared" ca="1" si="18"/>
        <v>28</v>
      </c>
      <c r="G226" s="29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19330423</v>
      </c>
      <c r="C227" s="24" t="str">
        <f>INDEX(Data,2,2+MOD(ROWS(C$2:C227)-1,2))</f>
        <v>15.00</v>
      </c>
      <c r="D227" s="41">
        <f t="shared" ca="1" si="16"/>
        <v>759</v>
      </c>
      <c r="E227" s="29">
        <f t="shared" ca="1" si="17"/>
        <v>0</v>
      </c>
      <c r="F227" s="42">
        <f t="shared" ca="1" si="18"/>
        <v>29</v>
      </c>
      <c r="G227" s="29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19330424</v>
      </c>
      <c r="C228" s="24" t="str">
        <f>INDEX(Data,2,2+MOD(ROWS(C$2:C228)-1,2))</f>
        <v>08.00</v>
      </c>
      <c r="D228" s="41">
        <f t="shared" ca="1" si="16"/>
        <v>759</v>
      </c>
      <c r="E228" s="29">
        <f t="shared" ca="1" si="17"/>
        <v>0</v>
      </c>
      <c r="F228" s="42">
        <f t="shared" ca="1" si="18"/>
        <v>28</v>
      </c>
      <c r="G228" s="29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19330424</v>
      </c>
      <c r="C229" s="24" t="str">
        <f>INDEX(Data,2,2+MOD(ROWS(C$2:C229)-1,2))</f>
        <v>15.00</v>
      </c>
      <c r="D229" s="41">
        <f t="shared" ca="1" si="16"/>
        <v>759</v>
      </c>
      <c r="E229" s="29">
        <f t="shared" ca="1" si="17"/>
        <v>0</v>
      </c>
      <c r="F229" s="42">
        <f t="shared" ca="1" si="18"/>
        <v>29</v>
      </c>
      <c r="G229" s="29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19330425</v>
      </c>
      <c r="C230" s="24" t="str">
        <f>INDEX(Data,2,2+MOD(ROWS(C$2:C230)-1,2))</f>
        <v>08.00</v>
      </c>
      <c r="D230" s="41">
        <f t="shared" ca="1" si="16"/>
        <v>759</v>
      </c>
      <c r="E230" s="29">
        <f t="shared" ca="1" si="17"/>
        <v>0</v>
      </c>
      <c r="F230" s="42">
        <f t="shared" ca="1" si="18"/>
        <v>28</v>
      </c>
      <c r="G230" s="29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19330425</v>
      </c>
      <c r="C231" s="24" t="str">
        <f>INDEX(Data,2,2+MOD(ROWS(C$2:C231)-1,2))</f>
        <v>15.00</v>
      </c>
      <c r="D231" s="41">
        <f t="shared" ca="1" si="16"/>
        <v>759</v>
      </c>
      <c r="E231" s="29">
        <f t="shared" ca="1" si="17"/>
        <v>0</v>
      </c>
      <c r="F231" s="42">
        <f t="shared" ca="1" si="18"/>
        <v>29</v>
      </c>
      <c r="G231" s="29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19330426</v>
      </c>
      <c r="C232" s="24" t="str">
        <f>INDEX(Data,2,2+MOD(ROWS(C$2:C232)-1,2))</f>
        <v>08.00</v>
      </c>
      <c r="D232" s="41">
        <f t="shared" ca="1" si="16"/>
        <v>759</v>
      </c>
      <c r="E232" s="29">
        <f t="shared" ca="1" si="17"/>
        <v>0</v>
      </c>
      <c r="F232" s="42">
        <f t="shared" ca="1" si="18"/>
        <v>27.5</v>
      </c>
      <c r="G232" s="29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19330426</v>
      </c>
      <c r="C233" s="24" t="str">
        <f>INDEX(Data,2,2+MOD(ROWS(C$2:C233)-1,2))</f>
        <v>15.00</v>
      </c>
      <c r="D233" s="41">
        <f t="shared" ca="1" si="16"/>
        <v>759</v>
      </c>
      <c r="E233" s="29">
        <f t="shared" ca="1" si="17"/>
        <v>0</v>
      </c>
      <c r="F233" s="42">
        <f t="shared" ca="1" si="18"/>
        <v>28.5</v>
      </c>
      <c r="G233" s="29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19330427</v>
      </c>
      <c r="C234" s="24" t="str">
        <f>INDEX(Data,2,2+MOD(ROWS(C$2:C234)-1,2))</f>
        <v>08.00</v>
      </c>
      <c r="D234" s="41">
        <f t="shared" ca="1" si="16"/>
        <v>758</v>
      </c>
      <c r="E234" s="29">
        <f t="shared" ca="1" si="17"/>
        <v>0</v>
      </c>
      <c r="F234" s="42">
        <f t="shared" ca="1" si="18"/>
        <v>28</v>
      </c>
      <c r="G234" s="29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19330427</v>
      </c>
      <c r="C235" s="24" t="str">
        <f>INDEX(Data,2,2+MOD(ROWS(C$2:C235)-1,2))</f>
        <v>15.00</v>
      </c>
      <c r="D235" s="41">
        <f t="shared" ca="1" si="16"/>
        <v>758.5</v>
      </c>
      <c r="E235" s="29">
        <f t="shared" ca="1" si="17"/>
        <v>0</v>
      </c>
      <c r="F235" s="42">
        <f t="shared" ca="1" si="18"/>
        <v>29</v>
      </c>
      <c r="G235" s="29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19330428</v>
      </c>
      <c r="C236" s="24" t="str">
        <f>INDEX(Data,2,2+MOD(ROWS(C$2:C236)-1,2))</f>
        <v>08.00</v>
      </c>
      <c r="D236" s="41">
        <f t="shared" ca="1" si="16"/>
        <v>758</v>
      </c>
      <c r="E236" s="29">
        <f t="shared" ca="1" si="17"/>
        <v>0</v>
      </c>
      <c r="F236" s="42">
        <f t="shared" ca="1" si="18"/>
        <v>29</v>
      </c>
      <c r="G236" s="29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19330428</v>
      </c>
      <c r="C237" s="24" t="str">
        <f>INDEX(Data,2,2+MOD(ROWS(C$2:C237)-1,2))</f>
        <v>15.00</v>
      </c>
      <c r="D237" s="41">
        <f t="shared" ca="1" si="16"/>
        <v>758</v>
      </c>
      <c r="E237" s="29">
        <f t="shared" ca="1" si="17"/>
        <v>0</v>
      </c>
      <c r="F237" s="42">
        <f t="shared" ca="1" si="18"/>
        <v>30</v>
      </c>
      <c r="G237" s="29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19330429</v>
      </c>
      <c r="C238" s="24" t="str">
        <f>INDEX(Data,2,2+MOD(ROWS(C$2:C238)-1,2))</f>
        <v>08.00</v>
      </c>
      <c r="D238" s="41">
        <f t="shared" ca="1" si="16"/>
        <v>758</v>
      </c>
      <c r="E238" s="29">
        <f t="shared" ca="1" si="17"/>
        <v>0</v>
      </c>
      <c r="F238" s="42">
        <f t="shared" ca="1" si="18"/>
        <v>29</v>
      </c>
      <c r="G238" s="29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19330429</v>
      </c>
      <c r="C239" s="24" t="str">
        <f>INDEX(Data,2,2+MOD(ROWS(C$2:C239)-1,2))</f>
        <v>15.00</v>
      </c>
      <c r="D239" s="41">
        <f t="shared" ca="1" si="16"/>
        <v>758</v>
      </c>
      <c r="E239" s="29">
        <f t="shared" ca="1" si="17"/>
        <v>0</v>
      </c>
      <c r="F239" s="42">
        <f t="shared" ca="1" si="18"/>
        <v>30</v>
      </c>
      <c r="G239" s="29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19330430</v>
      </c>
      <c r="C240" s="24" t="str">
        <f>INDEX(Data,2,2+MOD(ROWS(C$2:C240)-1,2))</f>
        <v>08.00</v>
      </c>
      <c r="D240" s="41">
        <f t="shared" ca="1" si="16"/>
        <v>758.5</v>
      </c>
      <c r="E240" s="29">
        <f t="shared" ca="1" si="17"/>
        <v>0</v>
      </c>
      <c r="F240" s="42">
        <f t="shared" ca="1" si="18"/>
        <v>29</v>
      </c>
      <c r="G240" s="29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19330430</v>
      </c>
      <c r="C241" s="24" t="str">
        <f>INDEX(Data,2,2+MOD(ROWS(C$2:C241)-1,2))</f>
        <v>15.00</v>
      </c>
      <c r="D241" s="41">
        <f t="shared" ca="1" si="16"/>
        <v>757</v>
      </c>
      <c r="E241" s="29">
        <f t="shared" ca="1" si="17"/>
        <v>0</v>
      </c>
      <c r="F241" s="42">
        <f t="shared" ca="1" si="18"/>
        <v>31</v>
      </c>
      <c r="G241" s="29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19330501</v>
      </c>
      <c r="C242" s="24" t="str">
        <f>INDEX(Data,2,2+MOD(ROWS(C$2:C242)-1,2))</f>
        <v>08.00</v>
      </c>
      <c r="D242" s="41">
        <f t="shared" ca="1" si="16"/>
        <v>758.5</v>
      </c>
      <c r="E242" s="29">
        <f t="shared" ca="1" si="17"/>
        <v>0</v>
      </c>
      <c r="F242" s="42">
        <f t="shared" ca="1" si="18"/>
        <v>29</v>
      </c>
      <c r="G242" s="29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19330501</v>
      </c>
      <c r="C243" s="24" t="str">
        <f>INDEX(Data,2,2+MOD(ROWS(C$2:C243)-1,2))</f>
        <v>15.00</v>
      </c>
      <c r="D243" s="41">
        <f t="shared" ca="1" si="16"/>
        <v>757</v>
      </c>
      <c r="E243" s="29">
        <f t="shared" ca="1" si="17"/>
        <v>0</v>
      </c>
      <c r="F243" s="42">
        <f t="shared" ca="1" si="18"/>
        <v>31.5</v>
      </c>
      <c r="G243" s="29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19330502</v>
      </c>
      <c r="C244" s="24" t="str">
        <f>INDEX(Data,2,2+MOD(ROWS(C$2:C244)-1,2))</f>
        <v>08.00</v>
      </c>
      <c r="D244" s="41">
        <f t="shared" ca="1" si="16"/>
        <v>758.5</v>
      </c>
      <c r="E244" s="29">
        <f t="shared" ca="1" si="17"/>
        <v>0</v>
      </c>
      <c r="F244" s="42">
        <f t="shared" ca="1" si="18"/>
        <v>29.5</v>
      </c>
      <c r="G244" s="29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19330502</v>
      </c>
      <c r="C245" s="24" t="str">
        <f>INDEX(Data,2,2+MOD(ROWS(C$2:C245)-1,2))</f>
        <v>15.00</v>
      </c>
      <c r="D245" s="41">
        <f t="shared" ca="1" si="16"/>
        <v>757</v>
      </c>
      <c r="E245" s="29">
        <f t="shared" ca="1" si="17"/>
        <v>0</v>
      </c>
      <c r="F245" s="42">
        <f t="shared" ca="1" si="18"/>
        <v>31.5</v>
      </c>
      <c r="G245" s="29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19330503</v>
      </c>
      <c r="C246" s="24" t="str">
        <f>INDEX(Data,2,2+MOD(ROWS(C$2:C246)-1,2))</f>
        <v>08.00</v>
      </c>
      <c r="D246" s="41">
        <f t="shared" ca="1" si="16"/>
        <v>758.5</v>
      </c>
      <c r="E246" s="29">
        <f t="shared" ca="1" si="17"/>
        <v>0</v>
      </c>
      <c r="F246" s="42">
        <f t="shared" ca="1" si="18"/>
        <v>30.5</v>
      </c>
      <c r="G246" s="29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19330503</v>
      </c>
      <c r="C247" s="24" t="str">
        <f>INDEX(Data,2,2+MOD(ROWS(C$2:C247)-1,2))</f>
        <v>15.00</v>
      </c>
      <c r="D247" s="41">
        <f t="shared" ca="1" si="16"/>
        <v>757.5</v>
      </c>
      <c r="E247" s="29">
        <f t="shared" ca="1" si="17"/>
        <v>0</v>
      </c>
      <c r="F247" s="42">
        <f t="shared" ca="1" si="18"/>
        <v>31.5</v>
      </c>
      <c r="G247" s="29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19330504</v>
      </c>
      <c r="C248" s="24" t="str">
        <f>INDEX(Data,2,2+MOD(ROWS(C$2:C248)-1,2))</f>
        <v>08.00</v>
      </c>
      <c r="D248" s="41">
        <f t="shared" ca="1" si="16"/>
        <v>758.5</v>
      </c>
      <c r="E248" s="29">
        <f t="shared" ca="1" si="17"/>
        <v>0</v>
      </c>
      <c r="F248" s="42">
        <f t="shared" ca="1" si="18"/>
        <v>29.5</v>
      </c>
      <c r="G248" s="29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19330504</v>
      </c>
      <c r="C249" s="24" t="str">
        <f>INDEX(Data,2,2+MOD(ROWS(C$2:C249)-1,2))</f>
        <v>15.00</v>
      </c>
      <c r="D249" s="41">
        <f t="shared" ca="1" si="16"/>
        <v>757.5</v>
      </c>
      <c r="E249" s="29">
        <f t="shared" ca="1" si="17"/>
        <v>0</v>
      </c>
      <c r="F249" s="42">
        <f t="shared" ca="1" si="18"/>
        <v>31</v>
      </c>
      <c r="G249" s="29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19330505</v>
      </c>
      <c r="C250" s="24" t="str">
        <f>INDEX(Data,2,2+MOD(ROWS(C$2:C250)-1,2))</f>
        <v>08.00</v>
      </c>
      <c r="D250" s="41">
        <f t="shared" ca="1" si="16"/>
        <v>759</v>
      </c>
      <c r="E250" s="29">
        <f t="shared" ca="1" si="17"/>
        <v>0</v>
      </c>
      <c r="F250" s="42">
        <f t="shared" ca="1" si="18"/>
        <v>29.5</v>
      </c>
      <c r="G250" s="29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19330505</v>
      </c>
      <c r="C251" s="24" t="str">
        <f>INDEX(Data,2,2+MOD(ROWS(C$2:C251)-1,2))</f>
        <v>15.00</v>
      </c>
      <c r="D251" s="41">
        <f t="shared" ca="1" si="16"/>
        <v>758.5</v>
      </c>
      <c r="E251" s="29">
        <f t="shared" ca="1" si="17"/>
        <v>0</v>
      </c>
      <c r="F251" s="42">
        <f t="shared" ca="1" si="18"/>
        <v>31</v>
      </c>
      <c r="G251" s="29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19330506</v>
      </c>
      <c r="C252" s="24" t="str">
        <f>INDEX(Data,2,2+MOD(ROWS(C$2:C252)-1,2))</f>
        <v>08.00</v>
      </c>
      <c r="D252" s="41">
        <f t="shared" ca="1" si="16"/>
        <v>759</v>
      </c>
      <c r="E252" s="29">
        <f t="shared" ca="1" si="17"/>
        <v>0</v>
      </c>
      <c r="F252" s="42">
        <f t="shared" ca="1" si="18"/>
        <v>30</v>
      </c>
      <c r="G252" s="29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19330506</v>
      </c>
      <c r="C253" s="24" t="str">
        <f>INDEX(Data,2,2+MOD(ROWS(C$2:C253)-1,2))</f>
        <v>15.00</v>
      </c>
      <c r="D253" s="41">
        <f t="shared" ca="1" si="16"/>
        <v>758.5</v>
      </c>
      <c r="E253" s="29">
        <f t="shared" ca="1" si="17"/>
        <v>0</v>
      </c>
      <c r="F253" s="42">
        <f t="shared" ca="1" si="18"/>
        <v>31</v>
      </c>
      <c r="G253" s="29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19330507</v>
      </c>
      <c r="C254" s="24" t="str">
        <f>INDEX(Data,2,2+MOD(ROWS(C$2:C254)-1,2))</f>
        <v>08.00</v>
      </c>
      <c r="D254" s="41">
        <f t="shared" ca="1" si="16"/>
        <v>759</v>
      </c>
      <c r="E254" s="29">
        <f t="shared" ca="1" si="17"/>
        <v>0</v>
      </c>
      <c r="F254" s="42">
        <f t="shared" ca="1" si="18"/>
        <v>30</v>
      </c>
      <c r="G254" s="29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19330507</v>
      </c>
      <c r="C255" s="24" t="str">
        <f>INDEX(Data,2,2+MOD(ROWS(C$2:C255)-1,2))</f>
        <v>15.00</v>
      </c>
      <c r="D255" s="41">
        <f t="shared" ca="1" si="16"/>
        <v>759</v>
      </c>
      <c r="E255" s="29">
        <f t="shared" ca="1" si="17"/>
        <v>0</v>
      </c>
      <c r="F255" s="42">
        <f t="shared" ca="1" si="18"/>
        <v>31</v>
      </c>
      <c r="G255" s="29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19330508</v>
      </c>
      <c r="C256" s="24" t="str">
        <f>INDEX(Data,2,2+MOD(ROWS(C$2:C256)-1,2))</f>
        <v>08.00</v>
      </c>
      <c r="D256" s="41">
        <f t="shared" ca="1" si="16"/>
        <v>759</v>
      </c>
      <c r="E256" s="29">
        <f t="shared" ca="1" si="17"/>
        <v>0</v>
      </c>
      <c r="F256" s="42">
        <f t="shared" ca="1" si="18"/>
        <v>30</v>
      </c>
      <c r="G256" s="29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19330508</v>
      </c>
      <c r="C257" s="24" t="str">
        <f>INDEX(Data,2,2+MOD(ROWS(C$2:C257)-1,2))</f>
        <v>15.00</v>
      </c>
      <c r="D257" s="41">
        <f t="shared" ca="1" si="16"/>
        <v>759</v>
      </c>
      <c r="E257" s="29">
        <f t="shared" ca="1" si="17"/>
        <v>0</v>
      </c>
      <c r="F257" s="42">
        <f t="shared" ca="1" si="18"/>
        <v>31</v>
      </c>
      <c r="G257" s="29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19330509</v>
      </c>
      <c r="C258" s="24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758</v>
      </c>
      <c r="E258" s="29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29</v>
      </c>
      <c r="G258" s="29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19330509</v>
      </c>
      <c r="C259" s="24" t="str">
        <f>INDEX(Data,2,2+MOD(ROWS(C$2:C259)-1,2))</f>
        <v>15.00</v>
      </c>
      <c r="D259" s="41">
        <f t="shared" ca="1" si="21"/>
        <v>759</v>
      </c>
      <c r="E259" s="29">
        <f t="shared" ca="1" si="22"/>
        <v>0</v>
      </c>
      <c r="F259" s="42">
        <f t="shared" ca="1" si="23"/>
        <v>30</v>
      </c>
      <c r="G259" s="29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19330510</v>
      </c>
      <c r="C260" s="24" t="str">
        <f>INDEX(Data,2,2+MOD(ROWS(C$2:C260)-1,2))</f>
        <v>08.00</v>
      </c>
      <c r="D260" s="41">
        <f t="shared" ca="1" si="21"/>
        <v>758</v>
      </c>
      <c r="E260" s="29">
        <f t="shared" ca="1" si="22"/>
        <v>0</v>
      </c>
      <c r="F260" s="42">
        <f t="shared" ca="1" si="23"/>
        <v>29</v>
      </c>
      <c r="G260" s="29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19330510</v>
      </c>
      <c r="C261" s="24" t="str">
        <f>INDEX(Data,2,2+MOD(ROWS(C$2:C261)-1,2))</f>
        <v>15.00</v>
      </c>
      <c r="D261" s="41">
        <f t="shared" ca="1" si="21"/>
        <v>759</v>
      </c>
      <c r="E261" s="29">
        <f t="shared" ca="1" si="22"/>
        <v>0</v>
      </c>
      <c r="F261" s="42">
        <f t="shared" ca="1" si="23"/>
        <v>30</v>
      </c>
      <c r="G261" s="29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19330511</v>
      </c>
      <c r="C262" s="24" t="str">
        <f>INDEX(Data,2,2+MOD(ROWS(C$2:C262)-1,2))</f>
        <v>08.00</v>
      </c>
      <c r="D262" s="41">
        <f t="shared" ca="1" si="21"/>
        <v>758</v>
      </c>
      <c r="E262" s="29">
        <f t="shared" ca="1" si="22"/>
        <v>0</v>
      </c>
      <c r="F262" s="42">
        <f t="shared" ca="1" si="23"/>
        <v>30</v>
      </c>
      <c r="G262" s="29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19330511</v>
      </c>
      <c r="C263" s="24" t="str">
        <f>INDEX(Data,2,2+MOD(ROWS(C$2:C263)-1,2))</f>
        <v>15.00</v>
      </c>
      <c r="D263" s="41">
        <f t="shared" ca="1" si="21"/>
        <v>759</v>
      </c>
      <c r="E263" s="29">
        <f t="shared" ca="1" si="22"/>
        <v>0</v>
      </c>
      <c r="F263" s="42">
        <f t="shared" ca="1" si="23"/>
        <v>31</v>
      </c>
      <c r="G263" s="29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19330512</v>
      </c>
      <c r="C264" s="24" t="str">
        <f>INDEX(Data,2,2+MOD(ROWS(C$2:C264)-1,2))</f>
        <v>08.00</v>
      </c>
      <c r="D264" s="41">
        <f t="shared" ca="1" si="21"/>
        <v>758.5</v>
      </c>
      <c r="E264" s="29">
        <f t="shared" ca="1" si="22"/>
        <v>0</v>
      </c>
      <c r="F264" s="42">
        <f t="shared" ca="1" si="23"/>
        <v>30</v>
      </c>
      <c r="G264" s="29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19330512</v>
      </c>
      <c r="C265" s="24" t="str">
        <f>INDEX(Data,2,2+MOD(ROWS(C$2:C265)-1,2))</f>
        <v>15.00</v>
      </c>
      <c r="D265" s="41">
        <f t="shared" ca="1" si="21"/>
        <v>759</v>
      </c>
      <c r="E265" s="29">
        <f t="shared" ca="1" si="22"/>
        <v>0</v>
      </c>
      <c r="F265" s="42">
        <f t="shared" ca="1" si="23"/>
        <v>31</v>
      </c>
      <c r="G265" s="29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19330513</v>
      </c>
      <c r="C266" s="24" t="str">
        <f>INDEX(Data,2,2+MOD(ROWS(C$2:C266)-1,2))</f>
        <v>08.00</v>
      </c>
      <c r="D266" s="41">
        <f t="shared" ca="1" si="21"/>
        <v>758.5</v>
      </c>
      <c r="E266" s="29">
        <f t="shared" ca="1" si="22"/>
        <v>0</v>
      </c>
      <c r="F266" s="42">
        <f t="shared" ca="1" si="23"/>
        <v>29</v>
      </c>
      <c r="G266" s="29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19330513</v>
      </c>
      <c r="C267" s="24" t="str">
        <f>INDEX(Data,2,2+MOD(ROWS(C$2:C267)-1,2))</f>
        <v>15.00</v>
      </c>
      <c r="D267" s="41">
        <f t="shared" ca="1" si="21"/>
        <v>759</v>
      </c>
      <c r="E267" s="29">
        <f t="shared" ca="1" si="22"/>
        <v>0</v>
      </c>
      <c r="F267" s="42">
        <f t="shared" ca="1" si="23"/>
        <v>30</v>
      </c>
      <c r="G267" s="29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19330514</v>
      </c>
      <c r="C268" s="24" t="str">
        <f>INDEX(Data,2,2+MOD(ROWS(C$2:C268)-1,2))</f>
        <v>08.00</v>
      </c>
      <c r="D268" s="41">
        <f t="shared" ca="1" si="21"/>
        <v>759</v>
      </c>
      <c r="E268" s="29">
        <f t="shared" ca="1" si="22"/>
        <v>0</v>
      </c>
      <c r="F268" s="42">
        <f t="shared" ca="1" si="23"/>
        <v>29</v>
      </c>
      <c r="G268" s="29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19330514</v>
      </c>
      <c r="C269" s="24" t="str">
        <f>INDEX(Data,2,2+MOD(ROWS(C$2:C269)-1,2))</f>
        <v>15.00</v>
      </c>
      <c r="D269" s="41">
        <f t="shared" ca="1" si="21"/>
        <v>759</v>
      </c>
      <c r="E269" s="29">
        <f t="shared" ca="1" si="22"/>
        <v>0</v>
      </c>
      <c r="F269" s="42">
        <f t="shared" ca="1" si="23"/>
        <v>30</v>
      </c>
      <c r="G269" s="29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19330515</v>
      </c>
      <c r="C270" s="24" t="str">
        <f>INDEX(Data,2,2+MOD(ROWS(C$2:C270)-1,2))</f>
        <v>08.00</v>
      </c>
      <c r="D270" s="41">
        <f t="shared" ca="1" si="21"/>
        <v>759</v>
      </c>
      <c r="E270" s="29">
        <f t="shared" ca="1" si="22"/>
        <v>0</v>
      </c>
      <c r="F270" s="42">
        <f t="shared" ca="1" si="23"/>
        <v>29</v>
      </c>
      <c r="G270" s="29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19330515</v>
      </c>
      <c r="C271" s="24" t="str">
        <f>INDEX(Data,2,2+MOD(ROWS(C$2:C271)-1,2))</f>
        <v>15.00</v>
      </c>
      <c r="D271" s="41">
        <f t="shared" ca="1" si="21"/>
        <v>759</v>
      </c>
      <c r="E271" s="29">
        <f t="shared" ca="1" si="22"/>
        <v>0</v>
      </c>
      <c r="F271" s="42">
        <f t="shared" ca="1" si="23"/>
        <v>30</v>
      </c>
      <c r="G271" s="29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19330516</v>
      </c>
      <c r="C272" s="24" t="str">
        <f>INDEX(Data,2,2+MOD(ROWS(C$2:C272)-1,2))</f>
        <v>08.00</v>
      </c>
      <c r="D272" s="41">
        <f t="shared" ca="1" si="21"/>
        <v>759</v>
      </c>
      <c r="E272" s="29">
        <f t="shared" ca="1" si="22"/>
        <v>0</v>
      </c>
      <c r="F272" s="42">
        <f t="shared" ca="1" si="23"/>
        <v>29.5</v>
      </c>
      <c r="G272" s="29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19330516</v>
      </c>
      <c r="C273" s="24" t="str">
        <f>INDEX(Data,2,2+MOD(ROWS(C$2:C273)-1,2))</f>
        <v>15.00</v>
      </c>
      <c r="D273" s="41">
        <f t="shared" ca="1" si="21"/>
        <v>759</v>
      </c>
      <c r="E273" s="29">
        <f t="shared" ca="1" si="22"/>
        <v>0</v>
      </c>
      <c r="F273" s="42">
        <f t="shared" ca="1" si="23"/>
        <v>30</v>
      </c>
      <c r="G273" s="29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19330517</v>
      </c>
      <c r="C274" s="24" t="str">
        <f>INDEX(Data,2,2+MOD(ROWS(C$2:C274)-1,2))</f>
        <v>08.00</v>
      </c>
      <c r="D274" s="41">
        <f t="shared" ca="1" si="21"/>
        <v>759</v>
      </c>
      <c r="E274" s="29">
        <f t="shared" ca="1" si="22"/>
        <v>0</v>
      </c>
      <c r="F274" s="42">
        <f t="shared" ca="1" si="23"/>
        <v>29.5</v>
      </c>
      <c r="G274" s="29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19330517</v>
      </c>
      <c r="C275" s="24" t="str">
        <f>INDEX(Data,2,2+MOD(ROWS(C$2:C275)-1,2))</f>
        <v>15.00</v>
      </c>
      <c r="D275" s="41">
        <f t="shared" ca="1" si="21"/>
        <v>759</v>
      </c>
      <c r="E275" s="29">
        <f t="shared" ca="1" si="22"/>
        <v>0</v>
      </c>
      <c r="F275" s="42">
        <f t="shared" ca="1" si="23"/>
        <v>30</v>
      </c>
      <c r="G275" s="29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19330518</v>
      </c>
      <c r="C276" s="24" t="str">
        <f>INDEX(Data,2,2+MOD(ROWS(C$2:C276)-1,2))</f>
        <v>08.00</v>
      </c>
      <c r="D276" s="41">
        <f t="shared" ca="1" si="21"/>
        <v>758.5</v>
      </c>
      <c r="E276" s="29">
        <f t="shared" ca="1" si="22"/>
        <v>0</v>
      </c>
      <c r="F276" s="42">
        <f t="shared" ca="1" si="23"/>
        <v>29.5</v>
      </c>
      <c r="G276" s="29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19330518</v>
      </c>
      <c r="C277" s="24" t="str">
        <f>INDEX(Data,2,2+MOD(ROWS(C$2:C277)-1,2))</f>
        <v>15.00</v>
      </c>
      <c r="D277" s="41">
        <f t="shared" ca="1" si="21"/>
        <v>759</v>
      </c>
      <c r="E277" s="29">
        <f t="shared" ca="1" si="22"/>
        <v>0</v>
      </c>
      <c r="F277" s="42">
        <f t="shared" ca="1" si="23"/>
        <v>30</v>
      </c>
      <c r="G277" s="29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19330519</v>
      </c>
      <c r="C278" s="24" t="str">
        <f>INDEX(Data,2,2+MOD(ROWS(C$2:C278)-1,2))</f>
        <v>08.00</v>
      </c>
      <c r="D278" s="41">
        <f t="shared" ca="1" si="21"/>
        <v>758.5</v>
      </c>
      <c r="E278" s="29">
        <f t="shared" ca="1" si="22"/>
        <v>0</v>
      </c>
      <c r="F278" s="42">
        <f t="shared" ca="1" si="23"/>
        <v>29.5</v>
      </c>
      <c r="G278" s="29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19330519</v>
      </c>
      <c r="C279" s="24" t="str">
        <f>INDEX(Data,2,2+MOD(ROWS(C$2:C279)-1,2))</f>
        <v>15.00</v>
      </c>
      <c r="D279" s="41">
        <f t="shared" ca="1" si="21"/>
        <v>759</v>
      </c>
      <c r="E279" s="29">
        <f t="shared" ca="1" si="22"/>
        <v>0</v>
      </c>
      <c r="F279" s="42">
        <f t="shared" ca="1" si="23"/>
        <v>31</v>
      </c>
      <c r="G279" s="29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19330520</v>
      </c>
      <c r="C280" s="24" t="str">
        <f>INDEX(Data,2,2+MOD(ROWS(C$2:C280)-1,2))</f>
        <v>08.00</v>
      </c>
      <c r="D280" s="41">
        <f t="shared" ca="1" si="21"/>
        <v>759</v>
      </c>
      <c r="E280" s="29">
        <f t="shared" ca="1" si="22"/>
        <v>0</v>
      </c>
      <c r="F280" s="42">
        <f t="shared" ca="1" si="23"/>
        <v>29.5</v>
      </c>
      <c r="G280" s="29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19330520</v>
      </c>
      <c r="C281" s="24" t="str">
        <f>INDEX(Data,2,2+MOD(ROWS(C$2:C281)-1,2))</f>
        <v>15.00</v>
      </c>
      <c r="D281" s="41">
        <f t="shared" ca="1" si="21"/>
        <v>759</v>
      </c>
      <c r="E281" s="29">
        <f t="shared" ca="1" si="22"/>
        <v>0</v>
      </c>
      <c r="F281" s="42">
        <f t="shared" ca="1" si="23"/>
        <v>31</v>
      </c>
      <c r="G281" s="29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19330521</v>
      </c>
      <c r="C282" s="24" t="str">
        <f>INDEX(Data,2,2+MOD(ROWS(C$2:C282)-1,2))</f>
        <v>08.00</v>
      </c>
      <c r="D282" s="41">
        <f t="shared" ca="1" si="21"/>
        <v>759</v>
      </c>
      <c r="E282" s="29">
        <f t="shared" ca="1" si="22"/>
        <v>0</v>
      </c>
      <c r="F282" s="42">
        <f t="shared" ca="1" si="23"/>
        <v>29.5</v>
      </c>
      <c r="G282" s="29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19330521</v>
      </c>
      <c r="C283" s="24" t="str">
        <f>INDEX(Data,2,2+MOD(ROWS(C$2:C283)-1,2))</f>
        <v>15.00</v>
      </c>
      <c r="D283" s="41">
        <f t="shared" ca="1" si="21"/>
        <v>759</v>
      </c>
      <c r="E283" s="29">
        <f t="shared" ca="1" si="22"/>
        <v>0</v>
      </c>
      <c r="F283" s="42">
        <f t="shared" ca="1" si="23"/>
        <v>31</v>
      </c>
      <c r="G283" s="29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19330522</v>
      </c>
      <c r="C284" s="24" t="str">
        <f>INDEX(Data,2,2+MOD(ROWS(C$2:C284)-1,2))</f>
        <v>08.00</v>
      </c>
      <c r="D284" s="41">
        <f t="shared" ca="1" si="21"/>
        <v>759</v>
      </c>
      <c r="E284" s="29">
        <f t="shared" ca="1" si="22"/>
        <v>0</v>
      </c>
      <c r="F284" s="42">
        <f t="shared" ca="1" si="23"/>
        <v>30</v>
      </c>
      <c r="G284" s="29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19330522</v>
      </c>
      <c r="C285" s="24" t="str">
        <f>INDEX(Data,2,2+MOD(ROWS(C$2:C285)-1,2))</f>
        <v>15.00</v>
      </c>
      <c r="D285" s="41">
        <f t="shared" ca="1" si="21"/>
        <v>759</v>
      </c>
      <c r="E285" s="29">
        <f t="shared" ca="1" si="22"/>
        <v>0</v>
      </c>
      <c r="F285" s="42">
        <f t="shared" ca="1" si="23"/>
        <v>31</v>
      </c>
      <c r="G285" s="29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19330523</v>
      </c>
      <c r="C286" s="24" t="str">
        <f>INDEX(Data,2,2+MOD(ROWS(C$2:C286)-1,2))</f>
        <v>08.00</v>
      </c>
      <c r="D286" s="41">
        <f t="shared" ca="1" si="21"/>
        <v>759</v>
      </c>
      <c r="E286" s="29">
        <f t="shared" ca="1" si="22"/>
        <v>0</v>
      </c>
      <c r="F286" s="42">
        <f t="shared" ca="1" si="23"/>
        <v>30</v>
      </c>
      <c r="G286" s="29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19330523</v>
      </c>
      <c r="C287" s="24" t="str">
        <f>INDEX(Data,2,2+MOD(ROWS(C$2:C287)-1,2))</f>
        <v>15.00</v>
      </c>
      <c r="D287" s="41">
        <f t="shared" ca="1" si="21"/>
        <v>759</v>
      </c>
      <c r="E287" s="29">
        <f t="shared" ca="1" si="22"/>
        <v>0</v>
      </c>
      <c r="F287" s="42">
        <f t="shared" ca="1" si="23"/>
        <v>31</v>
      </c>
      <c r="G287" s="29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19330524</v>
      </c>
      <c r="C288" s="24" t="str">
        <f>INDEX(Data,2,2+MOD(ROWS(C$2:C288)-1,2))</f>
        <v>08.00</v>
      </c>
      <c r="D288" s="41">
        <f t="shared" ca="1" si="21"/>
        <v>759</v>
      </c>
      <c r="E288" s="29">
        <f t="shared" ca="1" si="22"/>
        <v>0</v>
      </c>
      <c r="F288" s="42">
        <f t="shared" ca="1" si="23"/>
        <v>30</v>
      </c>
      <c r="G288" s="29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19330524</v>
      </c>
      <c r="C289" s="24" t="str">
        <f>INDEX(Data,2,2+MOD(ROWS(C$2:C289)-1,2))</f>
        <v>15.00</v>
      </c>
      <c r="D289" s="41">
        <f t="shared" ca="1" si="21"/>
        <v>759</v>
      </c>
      <c r="E289" s="29">
        <f t="shared" ca="1" si="22"/>
        <v>0</v>
      </c>
      <c r="F289" s="42">
        <f t="shared" ca="1" si="23"/>
        <v>31</v>
      </c>
      <c r="G289" s="29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19330525</v>
      </c>
      <c r="C290" s="24" t="str">
        <f>INDEX(Data,2,2+MOD(ROWS(C$2:C290)-1,2))</f>
        <v>08.00</v>
      </c>
      <c r="D290" s="41">
        <f t="shared" ca="1" si="21"/>
        <v>759</v>
      </c>
      <c r="E290" s="29">
        <f t="shared" ca="1" si="22"/>
        <v>0</v>
      </c>
      <c r="F290" s="42">
        <f t="shared" ca="1" si="23"/>
        <v>30</v>
      </c>
      <c r="G290" s="29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19330525</v>
      </c>
      <c r="C291" s="24" t="str">
        <f>INDEX(Data,2,2+MOD(ROWS(C$2:C291)-1,2))</f>
        <v>15.00</v>
      </c>
      <c r="D291" s="41">
        <f t="shared" ca="1" si="21"/>
        <v>759</v>
      </c>
      <c r="E291" s="29">
        <f t="shared" ca="1" si="22"/>
        <v>0</v>
      </c>
      <c r="F291" s="42">
        <f t="shared" ca="1" si="23"/>
        <v>31</v>
      </c>
      <c r="G291" s="29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19330526</v>
      </c>
      <c r="C292" s="24" t="str">
        <f>INDEX(Data,2,2+MOD(ROWS(C$2:C292)-1,2))</f>
        <v>08.00</v>
      </c>
      <c r="D292" s="41">
        <f t="shared" ca="1" si="21"/>
        <v>758.5</v>
      </c>
      <c r="E292" s="29">
        <f t="shared" ca="1" si="22"/>
        <v>0</v>
      </c>
      <c r="F292" s="42">
        <f t="shared" ca="1" si="23"/>
        <v>30</v>
      </c>
      <c r="G292" s="29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19330526</v>
      </c>
      <c r="C293" s="24" t="str">
        <f>INDEX(Data,2,2+MOD(ROWS(C$2:C293)-1,2))</f>
        <v>15.00</v>
      </c>
      <c r="D293" s="41">
        <f t="shared" ca="1" si="21"/>
        <v>759</v>
      </c>
      <c r="E293" s="29">
        <f t="shared" ca="1" si="22"/>
        <v>0</v>
      </c>
      <c r="F293" s="42">
        <f t="shared" ca="1" si="23"/>
        <v>31</v>
      </c>
      <c r="G293" s="29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19330527</v>
      </c>
      <c r="C294" s="24" t="str">
        <f>INDEX(Data,2,2+MOD(ROWS(C$2:C294)-1,2))</f>
        <v>08.00</v>
      </c>
      <c r="D294" s="41">
        <f t="shared" ca="1" si="21"/>
        <v>758.5</v>
      </c>
      <c r="E294" s="29">
        <f t="shared" ca="1" si="22"/>
        <v>0</v>
      </c>
      <c r="F294" s="42">
        <f t="shared" ca="1" si="23"/>
        <v>30</v>
      </c>
      <c r="G294" s="29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19330527</v>
      </c>
      <c r="C295" s="24" t="str">
        <f>INDEX(Data,2,2+MOD(ROWS(C$2:C295)-1,2))</f>
        <v>15.00</v>
      </c>
      <c r="D295" s="41">
        <f t="shared" ca="1" si="21"/>
        <v>759</v>
      </c>
      <c r="E295" s="29">
        <f t="shared" ca="1" si="22"/>
        <v>0</v>
      </c>
      <c r="F295" s="42">
        <f t="shared" ca="1" si="23"/>
        <v>31</v>
      </c>
      <c r="G295" s="29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19330528</v>
      </c>
      <c r="C296" s="24" t="str">
        <f>INDEX(Data,2,2+MOD(ROWS(C$2:C296)-1,2))</f>
        <v>08.00</v>
      </c>
      <c r="D296" s="41">
        <f t="shared" ca="1" si="21"/>
        <v>758.5</v>
      </c>
      <c r="E296" s="29">
        <f t="shared" ca="1" si="22"/>
        <v>0</v>
      </c>
      <c r="F296" s="42">
        <f t="shared" ca="1" si="23"/>
        <v>30</v>
      </c>
      <c r="G296" s="29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19330528</v>
      </c>
      <c r="C297" s="24" t="str">
        <f>INDEX(Data,2,2+MOD(ROWS(C$2:C297)-1,2))</f>
        <v>15.00</v>
      </c>
      <c r="D297" s="41">
        <f t="shared" ca="1" si="21"/>
        <v>759</v>
      </c>
      <c r="E297" s="29">
        <f t="shared" ca="1" si="22"/>
        <v>0</v>
      </c>
      <c r="F297" s="42">
        <f t="shared" ca="1" si="23"/>
        <v>31.5</v>
      </c>
      <c r="G297" s="29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19330529</v>
      </c>
      <c r="C298" s="24" t="str">
        <f>INDEX(Data,2,2+MOD(ROWS(C$2:C298)-1,2))</f>
        <v>08.00</v>
      </c>
      <c r="D298" s="41">
        <f t="shared" ca="1" si="21"/>
        <v>758.5</v>
      </c>
      <c r="E298" s="29">
        <f t="shared" ca="1" si="22"/>
        <v>0</v>
      </c>
      <c r="F298" s="42">
        <f t="shared" ca="1" si="23"/>
        <v>30.5</v>
      </c>
      <c r="G298" s="29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19330529</v>
      </c>
      <c r="C299" s="24" t="str">
        <f>INDEX(Data,2,2+MOD(ROWS(C$2:C299)-1,2))</f>
        <v>15.00</v>
      </c>
      <c r="D299" s="41">
        <f t="shared" ca="1" si="21"/>
        <v>759</v>
      </c>
      <c r="E299" s="29">
        <f t="shared" ca="1" si="22"/>
        <v>0</v>
      </c>
      <c r="F299" s="42">
        <f t="shared" ca="1" si="23"/>
        <v>31.5</v>
      </c>
      <c r="G299" s="29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19330530</v>
      </c>
      <c r="C300" s="24" t="str">
        <f>INDEX(Data,2,2+MOD(ROWS(C$2:C300)-1,2))</f>
        <v>08.00</v>
      </c>
      <c r="D300" s="41">
        <f t="shared" ca="1" si="21"/>
        <v>758</v>
      </c>
      <c r="E300" s="29">
        <f t="shared" ca="1" si="22"/>
        <v>0</v>
      </c>
      <c r="F300" s="42">
        <f t="shared" ca="1" si="23"/>
        <v>31.5</v>
      </c>
      <c r="G300" s="29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19330530</v>
      </c>
      <c r="C301" s="24" t="str">
        <f>INDEX(Data,2,2+MOD(ROWS(C$2:C301)-1,2))</f>
        <v>15.00</v>
      </c>
      <c r="D301" s="41">
        <f t="shared" ca="1" si="21"/>
        <v>758</v>
      </c>
      <c r="E301" s="29">
        <f t="shared" ca="1" si="22"/>
        <v>0</v>
      </c>
      <c r="F301" s="42">
        <f t="shared" ca="1" si="23"/>
        <v>32</v>
      </c>
      <c r="G301" s="29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19330531</v>
      </c>
      <c r="C302" s="24" t="str">
        <f>INDEX(Data,2,2+MOD(ROWS(C$2:C302)-1,2))</f>
        <v>08.00</v>
      </c>
      <c r="D302" s="41">
        <f t="shared" ca="1" si="21"/>
        <v>758</v>
      </c>
      <c r="E302" s="29">
        <f t="shared" ca="1" si="22"/>
        <v>0</v>
      </c>
      <c r="F302" s="42">
        <f t="shared" ca="1" si="23"/>
        <v>31</v>
      </c>
      <c r="G302" s="29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19330531</v>
      </c>
      <c r="C303" s="24" t="str">
        <f>INDEX(Data,2,2+MOD(ROWS(C$2:C303)-1,2))</f>
        <v>15.00</v>
      </c>
      <c r="D303" s="41">
        <f t="shared" ca="1" si="21"/>
        <v>757.5</v>
      </c>
      <c r="E303" s="29">
        <f t="shared" ca="1" si="22"/>
        <v>0</v>
      </c>
      <c r="F303" s="42">
        <f t="shared" ca="1" si="23"/>
        <v>32</v>
      </c>
      <c r="G303" s="29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19330601</v>
      </c>
      <c r="C304" s="24" t="str">
        <f>INDEX(Data,2,2+MOD(ROWS(C$2:C304)-1,2))</f>
        <v>08.00</v>
      </c>
      <c r="D304" s="41">
        <f t="shared" ca="1" si="21"/>
        <v>758</v>
      </c>
      <c r="E304" s="29">
        <f t="shared" ca="1" si="22"/>
        <v>0</v>
      </c>
      <c r="F304" s="42">
        <f t="shared" ca="1" si="23"/>
        <v>31.5</v>
      </c>
      <c r="G304" s="29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19330601</v>
      </c>
      <c r="C305" s="24" t="str">
        <f>INDEX(Data,2,2+MOD(ROWS(C$2:C305)-1,2))</f>
        <v>15.00</v>
      </c>
      <c r="D305" s="41">
        <f t="shared" ca="1" si="21"/>
        <v>757.5</v>
      </c>
      <c r="E305" s="29">
        <f t="shared" ca="1" si="22"/>
        <v>0</v>
      </c>
      <c r="F305" s="42">
        <f t="shared" ca="1" si="23"/>
        <v>32</v>
      </c>
      <c r="G305" s="29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19330602</v>
      </c>
      <c r="C306" s="24" t="str">
        <f>INDEX(Data,2,2+MOD(ROWS(C$2:C306)-1,2))</f>
        <v>08.00</v>
      </c>
      <c r="D306" s="41">
        <f t="shared" ca="1" si="21"/>
        <v>758.5</v>
      </c>
      <c r="E306" s="29">
        <f t="shared" ca="1" si="22"/>
        <v>0</v>
      </c>
      <c r="F306" s="42">
        <f t="shared" ca="1" si="23"/>
        <v>30.5</v>
      </c>
      <c r="G306" s="29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19330602</v>
      </c>
      <c r="C307" s="24" t="str">
        <f>INDEX(Data,2,2+MOD(ROWS(C$2:C307)-1,2))</f>
        <v>15.00</v>
      </c>
      <c r="D307" s="41">
        <f t="shared" ca="1" si="21"/>
        <v>758.5</v>
      </c>
      <c r="E307" s="29">
        <f t="shared" ca="1" si="22"/>
        <v>0</v>
      </c>
      <c r="F307" s="42">
        <f t="shared" ca="1" si="23"/>
        <v>32</v>
      </c>
      <c r="G307" s="29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19330603</v>
      </c>
      <c r="C308" s="24" t="str">
        <f>INDEX(Data,2,2+MOD(ROWS(C$2:C308)-1,2))</f>
        <v>08.00</v>
      </c>
      <c r="D308" s="41">
        <f t="shared" ca="1" si="21"/>
        <v>758.5</v>
      </c>
      <c r="E308" s="29">
        <f t="shared" ca="1" si="22"/>
        <v>0</v>
      </c>
      <c r="F308" s="42">
        <f t="shared" ca="1" si="23"/>
        <v>30.5</v>
      </c>
      <c r="G308" s="29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19330603</v>
      </c>
      <c r="C309" s="24" t="str">
        <f>INDEX(Data,2,2+MOD(ROWS(C$2:C309)-1,2))</f>
        <v>15.00</v>
      </c>
      <c r="D309" s="41">
        <f t="shared" ca="1" si="21"/>
        <v>758.5</v>
      </c>
      <c r="E309" s="29">
        <f t="shared" ca="1" si="22"/>
        <v>0</v>
      </c>
      <c r="F309" s="42">
        <f t="shared" ca="1" si="23"/>
        <v>32</v>
      </c>
      <c r="G309" s="29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19330604</v>
      </c>
      <c r="C310" s="24" t="str">
        <f>INDEX(Data,2,2+MOD(ROWS(C$2:C310)-1,2))</f>
        <v>08.00</v>
      </c>
      <c r="D310" s="41">
        <f t="shared" ca="1" si="21"/>
        <v>759</v>
      </c>
      <c r="E310" s="29">
        <f t="shared" ca="1" si="22"/>
        <v>0</v>
      </c>
      <c r="F310" s="42">
        <f t="shared" ca="1" si="23"/>
        <v>30</v>
      </c>
      <c r="G310" s="29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19330604</v>
      </c>
      <c r="C311" s="24" t="str">
        <f>INDEX(Data,2,2+MOD(ROWS(C$2:C311)-1,2))</f>
        <v>15.00</v>
      </c>
      <c r="D311" s="41">
        <f t="shared" ca="1" si="21"/>
        <v>759</v>
      </c>
      <c r="E311" s="29">
        <f t="shared" ca="1" si="22"/>
        <v>0</v>
      </c>
      <c r="F311" s="42">
        <f t="shared" ca="1" si="23"/>
        <v>31</v>
      </c>
      <c r="G311" s="29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19330605</v>
      </c>
      <c r="C312" s="24" t="str">
        <f>INDEX(Data,2,2+MOD(ROWS(C$2:C312)-1,2))</f>
        <v>08.00</v>
      </c>
      <c r="D312" s="41">
        <f t="shared" ca="1" si="21"/>
        <v>759</v>
      </c>
      <c r="E312" s="29">
        <f t="shared" ca="1" si="22"/>
        <v>0</v>
      </c>
      <c r="F312" s="42">
        <f t="shared" ca="1" si="23"/>
        <v>30</v>
      </c>
      <c r="G312" s="29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19330605</v>
      </c>
      <c r="C313" s="24" t="str">
        <f>INDEX(Data,2,2+MOD(ROWS(C$2:C313)-1,2))</f>
        <v>15.00</v>
      </c>
      <c r="D313" s="41">
        <f t="shared" ca="1" si="21"/>
        <v>759</v>
      </c>
      <c r="E313" s="29">
        <f t="shared" ca="1" si="22"/>
        <v>0</v>
      </c>
      <c r="F313" s="42">
        <f t="shared" ca="1" si="23"/>
        <v>31</v>
      </c>
      <c r="G313" s="29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19330606</v>
      </c>
      <c r="C314" s="24" t="str">
        <f>INDEX(Data,2,2+MOD(ROWS(C$2:C314)-1,2))</f>
        <v>08.00</v>
      </c>
      <c r="D314" s="41">
        <f t="shared" ca="1" si="21"/>
        <v>759</v>
      </c>
      <c r="E314" s="29">
        <f t="shared" ca="1" si="22"/>
        <v>0</v>
      </c>
      <c r="F314" s="42">
        <f t="shared" ca="1" si="23"/>
        <v>30</v>
      </c>
      <c r="G314" s="29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19330606</v>
      </c>
      <c r="C315" s="24" t="str">
        <f>INDEX(Data,2,2+MOD(ROWS(C$2:C315)-1,2))</f>
        <v>15.00</v>
      </c>
      <c r="D315" s="41">
        <f t="shared" ca="1" si="21"/>
        <v>759</v>
      </c>
      <c r="E315" s="29">
        <f t="shared" ca="1" si="22"/>
        <v>0</v>
      </c>
      <c r="F315" s="42">
        <f t="shared" ca="1" si="23"/>
        <v>31</v>
      </c>
      <c r="G315" s="29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19330607</v>
      </c>
      <c r="C316" s="24" t="str">
        <f>INDEX(Data,2,2+MOD(ROWS(C$2:C316)-1,2))</f>
        <v>08.00</v>
      </c>
      <c r="D316" s="41">
        <f t="shared" ca="1" si="21"/>
        <v>759</v>
      </c>
      <c r="E316" s="29">
        <f t="shared" ca="1" si="22"/>
        <v>0</v>
      </c>
      <c r="F316" s="42">
        <f t="shared" ca="1" si="23"/>
        <v>30</v>
      </c>
      <c r="G316" s="29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19330607</v>
      </c>
      <c r="C317" s="24" t="str">
        <f>INDEX(Data,2,2+MOD(ROWS(C$2:C317)-1,2))</f>
        <v>15.00</v>
      </c>
      <c r="D317" s="41">
        <f t="shared" ca="1" si="21"/>
        <v>759</v>
      </c>
      <c r="E317" s="29">
        <f t="shared" ca="1" si="22"/>
        <v>0</v>
      </c>
      <c r="F317" s="42">
        <f t="shared" ca="1" si="23"/>
        <v>31</v>
      </c>
      <c r="G317" s="29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19330608</v>
      </c>
      <c r="C318" s="24" t="str">
        <f>INDEX(Data,2,2+MOD(ROWS(C$2:C318)-1,2))</f>
        <v>08.00</v>
      </c>
      <c r="D318" s="41">
        <f t="shared" ca="1" si="21"/>
        <v>758.5</v>
      </c>
      <c r="E318" s="29">
        <f t="shared" ca="1" si="22"/>
        <v>0</v>
      </c>
      <c r="F318" s="42">
        <f t="shared" ca="1" si="23"/>
        <v>30.5</v>
      </c>
      <c r="G318" s="29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19330608</v>
      </c>
      <c r="C319" s="24" t="str">
        <f>INDEX(Data,2,2+MOD(ROWS(C$2:C319)-1,2))</f>
        <v>15.00</v>
      </c>
      <c r="D319" s="41">
        <f t="shared" ca="1" si="21"/>
        <v>758.5</v>
      </c>
      <c r="E319" s="29">
        <f t="shared" ca="1" si="22"/>
        <v>0</v>
      </c>
      <c r="F319" s="42">
        <f t="shared" ca="1" si="23"/>
        <v>31</v>
      </c>
      <c r="G319" s="29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19330609</v>
      </c>
      <c r="C320" s="24" t="str">
        <f>INDEX(Data,2,2+MOD(ROWS(C$2:C320)-1,2))</f>
        <v>08.00</v>
      </c>
      <c r="D320" s="41">
        <f t="shared" ca="1" si="21"/>
        <v>758.5</v>
      </c>
      <c r="E320" s="29">
        <f t="shared" ca="1" si="22"/>
        <v>0</v>
      </c>
      <c r="F320" s="42">
        <f t="shared" ca="1" si="23"/>
        <v>30.5</v>
      </c>
      <c r="G320" s="29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19330609</v>
      </c>
      <c r="C321" s="24" t="str">
        <f>INDEX(Data,2,2+MOD(ROWS(C$2:C321)-1,2))</f>
        <v>15.00</v>
      </c>
      <c r="D321" s="41">
        <f t="shared" ca="1" si="21"/>
        <v>758.5</v>
      </c>
      <c r="E321" s="29">
        <f t="shared" ca="1" si="22"/>
        <v>0</v>
      </c>
      <c r="F321" s="42">
        <f t="shared" ca="1" si="23"/>
        <v>31</v>
      </c>
      <c r="G321" s="29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19330610</v>
      </c>
      <c r="C322" s="24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759</v>
      </c>
      <c r="E322" s="29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30</v>
      </c>
      <c r="G322" s="29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19330610</v>
      </c>
      <c r="C323" s="24" t="str">
        <f>INDEX(Data,2,2+MOD(ROWS(C$2:C323)-1,2))</f>
        <v>15.00</v>
      </c>
      <c r="D323" s="41">
        <f t="shared" ca="1" si="26"/>
        <v>759</v>
      </c>
      <c r="E323" s="29">
        <f t="shared" ca="1" si="27"/>
        <v>0</v>
      </c>
      <c r="F323" s="42">
        <f t="shared" ca="1" si="28"/>
        <v>31</v>
      </c>
      <c r="G323" s="29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19330611</v>
      </c>
      <c r="C324" s="24" t="str">
        <f>INDEX(Data,2,2+MOD(ROWS(C$2:C324)-1,2))</f>
        <v>08.00</v>
      </c>
      <c r="D324" s="41">
        <f t="shared" ca="1" si="26"/>
        <v>759</v>
      </c>
      <c r="E324" s="29">
        <f t="shared" ca="1" si="27"/>
        <v>0</v>
      </c>
      <c r="F324" s="42">
        <f t="shared" ca="1" si="28"/>
        <v>29</v>
      </c>
      <c r="G324" s="29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19330611</v>
      </c>
      <c r="C325" s="24" t="str">
        <f>INDEX(Data,2,2+MOD(ROWS(C$2:C325)-1,2))</f>
        <v>15.00</v>
      </c>
      <c r="D325" s="41">
        <f t="shared" ca="1" si="26"/>
        <v>759</v>
      </c>
      <c r="E325" s="29">
        <f t="shared" ca="1" si="27"/>
        <v>0</v>
      </c>
      <c r="F325" s="42">
        <f t="shared" ca="1" si="28"/>
        <v>30</v>
      </c>
      <c r="G325" s="29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19330612</v>
      </c>
      <c r="C326" s="24" t="str">
        <f>INDEX(Data,2,2+MOD(ROWS(C$2:C326)-1,2))</f>
        <v>08.00</v>
      </c>
      <c r="D326" s="41">
        <f t="shared" ca="1" si="26"/>
        <v>759</v>
      </c>
      <c r="E326" s="29">
        <f t="shared" ca="1" si="27"/>
        <v>0</v>
      </c>
      <c r="F326" s="42">
        <f t="shared" ca="1" si="28"/>
        <v>29</v>
      </c>
      <c r="G326" s="29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19330612</v>
      </c>
      <c r="C327" s="24" t="str">
        <f>INDEX(Data,2,2+MOD(ROWS(C$2:C327)-1,2))</f>
        <v>15.00</v>
      </c>
      <c r="D327" s="41">
        <f t="shared" ca="1" si="26"/>
        <v>759</v>
      </c>
      <c r="E327" s="29">
        <f t="shared" ca="1" si="27"/>
        <v>0</v>
      </c>
      <c r="F327" s="42">
        <f t="shared" ca="1" si="28"/>
        <v>30</v>
      </c>
      <c r="G327" s="29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19330613</v>
      </c>
      <c r="C328" s="24" t="str">
        <f>INDEX(Data,2,2+MOD(ROWS(C$2:C328)-1,2))</f>
        <v>08.00</v>
      </c>
      <c r="D328" s="41">
        <f t="shared" ca="1" si="26"/>
        <v>759</v>
      </c>
      <c r="E328" s="29">
        <f t="shared" ca="1" si="27"/>
        <v>0</v>
      </c>
      <c r="F328" s="42">
        <f t="shared" ca="1" si="28"/>
        <v>29</v>
      </c>
      <c r="G328" s="29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19330613</v>
      </c>
      <c r="C329" s="24" t="str">
        <f>INDEX(Data,2,2+MOD(ROWS(C$2:C329)-1,2))</f>
        <v>15.00</v>
      </c>
      <c r="D329" s="41">
        <f t="shared" ca="1" si="26"/>
        <v>759</v>
      </c>
      <c r="E329" s="29">
        <f t="shared" ca="1" si="27"/>
        <v>0</v>
      </c>
      <c r="F329" s="42">
        <f t="shared" ca="1" si="28"/>
        <v>31</v>
      </c>
      <c r="G329" s="29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19330614</v>
      </c>
      <c r="C330" s="24" t="str">
        <f>INDEX(Data,2,2+MOD(ROWS(C$2:C330)-1,2))</f>
        <v>08.00</v>
      </c>
      <c r="D330" s="41">
        <f t="shared" ca="1" si="26"/>
        <v>759</v>
      </c>
      <c r="E330" s="29">
        <f t="shared" ca="1" si="27"/>
        <v>0</v>
      </c>
      <c r="F330" s="42">
        <f t="shared" ca="1" si="28"/>
        <v>29</v>
      </c>
      <c r="G330" s="29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19330614</v>
      </c>
      <c r="C331" s="24" t="str">
        <f>INDEX(Data,2,2+MOD(ROWS(C$2:C331)-1,2))</f>
        <v>15.00</v>
      </c>
      <c r="D331" s="41">
        <f t="shared" ca="1" si="26"/>
        <v>759</v>
      </c>
      <c r="E331" s="29">
        <f t="shared" ca="1" si="27"/>
        <v>0</v>
      </c>
      <c r="F331" s="42">
        <f t="shared" ca="1" si="28"/>
        <v>31</v>
      </c>
      <c r="G331" s="29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19330615</v>
      </c>
      <c r="C332" s="24" t="str">
        <f>INDEX(Data,2,2+MOD(ROWS(C$2:C332)-1,2))</f>
        <v>08.00</v>
      </c>
      <c r="D332" s="41">
        <f t="shared" ca="1" si="26"/>
        <v>759</v>
      </c>
      <c r="E332" s="29">
        <f t="shared" ca="1" si="27"/>
        <v>0</v>
      </c>
      <c r="F332" s="42">
        <f t="shared" ca="1" si="28"/>
        <v>30</v>
      </c>
      <c r="G332" s="29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19330615</v>
      </c>
      <c r="C333" s="24" t="str">
        <f>INDEX(Data,2,2+MOD(ROWS(C$2:C333)-1,2))</f>
        <v>15.00</v>
      </c>
      <c r="D333" s="41">
        <f t="shared" ca="1" si="26"/>
        <v>758.5</v>
      </c>
      <c r="E333" s="29">
        <f t="shared" ca="1" si="27"/>
        <v>0</v>
      </c>
      <c r="F333" s="42">
        <f t="shared" ca="1" si="28"/>
        <v>31</v>
      </c>
      <c r="G333" s="29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19330616</v>
      </c>
      <c r="C334" s="24" t="str">
        <f>INDEX(Data,2,2+MOD(ROWS(C$2:C334)-1,2))</f>
        <v>08.00</v>
      </c>
      <c r="D334" s="41">
        <f t="shared" ca="1" si="26"/>
        <v>759</v>
      </c>
      <c r="E334" s="29">
        <f t="shared" ca="1" si="27"/>
        <v>0</v>
      </c>
      <c r="F334" s="42">
        <f t="shared" ca="1" si="28"/>
        <v>29</v>
      </c>
      <c r="G334" s="29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19330616</v>
      </c>
      <c r="C335" s="24" t="str">
        <f>INDEX(Data,2,2+MOD(ROWS(C$2:C335)-1,2))</f>
        <v>15.00</v>
      </c>
      <c r="D335" s="41">
        <f t="shared" ca="1" si="26"/>
        <v>758</v>
      </c>
      <c r="E335" s="29">
        <f t="shared" ca="1" si="27"/>
        <v>0</v>
      </c>
      <c r="F335" s="42">
        <f t="shared" ca="1" si="28"/>
        <v>31.5</v>
      </c>
      <c r="G335" s="29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19330617</v>
      </c>
      <c r="C336" s="24" t="str">
        <f>INDEX(Data,2,2+MOD(ROWS(C$2:C336)-1,2))</f>
        <v>08.00</v>
      </c>
      <c r="D336" s="41">
        <f t="shared" ca="1" si="26"/>
        <v>759</v>
      </c>
      <c r="E336" s="29">
        <f t="shared" ca="1" si="27"/>
        <v>0</v>
      </c>
      <c r="F336" s="42">
        <f t="shared" ca="1" si="28"/>
        <v>30</v>
      </c>
      <c r="G336" s="29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19330617</v>
      </c>
      <c r="C337" s="24" t="str">
        <f>INDEX(Data,2,2+MOD(ROWS(C$2:C337)-1,2))</f>
        <v>15.00</v>
      </c>
      <c r="D337" s="41">
        <f t="shared" ca="1" si="26"/>
        <v>758</v>
      </c>
      <c r="E337" s="29">
        <f t="shared" ca="1" si="27"/>
        <v>0</v>
      </c>
      <c r="F337" s="42">
        <f t="shared" ca="1" si="28"/>
        <v>31.5</v>
      </c>
      <c r="G337" s="29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19330618</v>
      </c>
      <c r="C338" s="24" t="str">
        <f>INDEX(Data,2,2+MOD(ROWS(C$2:C338)-1,2))</f>
        <v>08.00</v>
      </c>
      <c r="D338" s="41">
        <f t="shared" ca="1" si="26"/>
        <v>759</v>
      </c>
      <c r="E338" s="29">
        <f t="shared" ca="1" si="27"/>
        <v>0</v>
      </c>
      <c r="F338" s="42">
        <f t="shared" ca="1" si="28"/>
        <v>31</v>
      </c>
      <c r="G338" s="29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19330618</v>
      </c>
      <c r="C339" s="24" t="str">
        <f>INDEX(Data,2,2+MOD(ROWS(C$2:C339)-1,2))</f>
        <v>15.00</v>
      </c>
      <c r="D339" s="41">
        <f t="shared" ca="1" si="26"/>
        <v>759</v>
      </c>
      <c r="E339" s="29">
        <f t="shared" ca="1" si="27"/>
        <v>0</v>
      </c>
      <c r="F339" s="42">
        <f t="shared" ca="1" si="28"/>
        <v>31.5</v>
      </c>
      <c r="G339" s="29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19330619</v>
      </c>
      <c r="C340" s="24" t="str">
        <f>INDEX(Data,2,2+MOD(ROWS(C$2:C340)-1,2))</f>
        <v>08.00</v>
      </c>
      <c r="D340" s="41">
        <f t="shared" ca="1" si="26"/>
        <v>759</v>
      </c>
      <c r="E340" s="29">
        <f t="shared" ca="1" si="27"/>
        <v>0</v>
      </c>
      <c r="F340" s="42">
        <f t="shared" ca="1" si="28"/>
        <v>31</v>
      </c>
      <c r="G340" s="29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19330619</v>
      </c>
      <c r="C341" s="24" t="str">
        <f>INDEX(Data,2,2+MOD(ROWS(C$2:C341)-1,2))</f>
        <v>15.00</v>
      </c>
      <c r="D341" s="41">
        <f t="shared" ca="1" si="26"/>
        <v>759</v>
      </c>
      <c r="E341" s="29">
        <f t="shared" ca="1" si="27"/>
        <v>0</v>
      </c>
      <c r="F341" s="42">
        <f t="shared" ca="1" si="28"/>
        <v>31.5</v>
      </c>
      <c r="G341" s="29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19330620</v>
      </c>
      <c r="C342" s="24" t="str">
        <f>INDEX(Data,2,2+MOD(ROWS(C$2:C342)-1,2))</f>
        <v>08.00</v>
      </c>
      <c r="D342" s="41">
        <f t="shared" ca="1" si="26"/>
        <v>759</v>
      </c>
      <c r="E342" s="29">
        <f t="shared" ca="1" si="27"/>
        <v>0</v>
      </c>
      <c r="F342" s="42">
        <f t="shared" ca="1" si="28"/>
        <v>30.5</v>
      </c>
      <c r="G342" s="29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19330620</v>
      </c>
      <c r="C343" s="24" t="str">
        <f>INDEX(Data,2,2+MOD(ROWS(C$2:C343)-1,2))</f>
        <v>15.00</v>
      </c>
      <c r="D343" s="41">
        <f t="shared" ca="1" si="26"/>
        <v>758.5</v>
      </c>
      <c r="E343" s="29">
        <f t="shared" ca="1" si="27"/>
        <v>0</v>
      </c>
      <c r="F343" s="42">
        <f t="shared" ca="1" si="28"/>
        <v>32</v>
      </c>
      <c r="G343" s="29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19330621</v>
      </c>
      <c r="C344" s="24" t="str">
        <f>INDEX(Data,2,2+MOD(ROWS(C$2:C344)-1,2))</f>
        <v>08.00</v>
      </c>
      <c r="D344" s="41">
        <f t="shared" ca="1" si="26"/>
        <v>759</v>
      </c>
      <c r="E344" s="29">
        <f t="shared" ca="1" si="27"/>
        <v>0</v>
      </c>
      <c r="F344" s="42">
        <f t="shared" ca="1" si="28"/>
        <v>30.5</v>
      </c>
      <c r="G344" s="29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19330621</v>
      </c>
      <c r="C345" s="24" t="str">
        <f>INDEX(Data,2,2+MOD(ROWS(C$2:C345)-1,2))</f>
        <v>15.00</v>
      </c>
      <c r="D345" s="41">
        <f t="shared" ca="1" si="26"/>
        <v>758</v>
      </c>
      <c r="E345" s="29">
        <f t="shared" ca="1" si="27"/>
        <v>0</v>
      </c>
      <c r="F345" s="42">
        <f t="shared" ca="1" si="28"/>
        <v>32.5</v>
      </c>
      <c r="G345" s="29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19330622</v>
      </c>
      <c r="C346" s="24" t="str">
        <f>INDEX(Data,2,2+MOD(ROWS(C$2:C346)-1,2))</f>
        <v>08.00</v>
      </c>
      <c r="D346" s="41">
        <f t="shared" ca="1" si="26"/>
        <v>759</v>
      </c>
      <c r="E346" s="29">
        <f t="shared" ca="1" si="27"/>
        <v>0</v>
      </c>
      <c r="F346" s="42">
        <f t="shared" ca="1" si="28"/>
        <v>30.5</v>
      </c>
      <c r="G346" s="29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19330622</v>
      </c>
      <c r="C347" s="24" t="str">
        <f>INDEX(Data,2,2+MOD(ROWS(C$2:C347)-1,2))</f>
        <v>15.00</v>
      </c>
      <c r="D347" s="41">
        <f t="shared" ca="1" si="26"/>
        <v>758</v>
      </c>
      <c r="E347" s="29">
        <f t="shared" ca="1" si="27"/>
        <v>0</v>
      </c>
      <c r="F347" s="42">
        <f t="shared" ca="1" si="28"/>
        <v>32</v>
      </c>
      <c r="G347" s="29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19330623</v>
      </c>
      <c r="C348" s="24" t="str">
        <f>INDEX(Data,2,2+MOD(ROWS(C$2:C348)-1,2))</f>
        <v>08.00</v>
      </c>
      <c r="D348" s="41">
        <f t="shared" ca="1" si="26"/>
        <v>759</v>
      </c>
      <c r="E348" s="29">
        <f t="shared" ca="1" si="27"/>
        <v>0</v>
      </c>
      <c r="F348" s="42">
        <f t="shared" ca="1" si="28"/>
        <v>30.5</v>
      </c>
      <c r="G348" s="29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19330623</v>
      </c>
      <c r="C349" s="24" t="str">
        <f>INDEX(Data,2,2+MOD(ROWS(C$2:C349)-1,2))</f>
        <v>15.00</v>
      </c>
      <c r="D349" s="41">
        <f t="shared" ca="1" si="26"/>
        <v>758</v>
      </c>
      <c r="E349" s="29">
        <f t="shared" ca="1" si="27"/>
        <v>0</v>
      </c>
      <c r="F349" s="42">
        <f t="shared" ca="1" si="28"/>
        <v>32</v>
      </c>
      <c r="G349" s="29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19330624</v>
      </c>
      <c r="C350" s="24" t="str">
        <f>INDEX(Data,2,2+MOD(ROWS(C$2:C350)-1,2))</f>
        <v>08.00</v>
      </c>
      <c r="D350" s="41">
        <f t="shared" ca="1" si="26"/>
        <v>759</v>
      </c>
      <c r="E350" s="29">
        <f t="shared" ca="1" si="27"/>
        <v>0</v>
      </c>
      <c r="F350" s="42">
        <f t="shared" ca="1" si="28"/>
        <v>30</v>
      </c>
      <c r="G350" s="29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19330624</v>
      </c>
      <c r="C351" s="24" t="str">
        <f>INDEX(Data,2,2+MOD(ROWS(C$2:C351)-1,2))</f>
        <v>15.00</v>
      </c>
      <c r="D351" s="41">
        <f t="shared" ca="1" si="26"/>
        <v>758.5</v>
      </c>
      <c r="E351" s="29">
        <f t="shared" ca="1" si="27"/>
        <v>0</v>
      </c>
      <c r="F351" s="42">
        <f t="shared" ca="1" si="28"/>
        <v>32</v>
      </c>
      <c r="G351" s="29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19330625</v>
      </c>
      <c r="C352" s="24" t="str">
        <f>INDEX(Data,2,2+MOD(ROWS(C$2:C352)-1,2))</f>
        <v>08.00</v>
      </c>
      <c r="D352" s="41">
        <f t="shared" ca="1" si="26"/>
        <v>759</v>
      </c>
      <c r="E352" s="29">
        <f t="shared" ca="1" si="27"/>
        <v>0</v>
      </c>
      <c r="F352" s="42">
        <f t="shared" ca="1" si="28"/>
        <v>30</v>
      </c>
      <c r="G352" s="29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19330625</v>
      </c>
      <c r="C353" s="24" t="str">
        <f>INDEX(Data,2,2+MOD(ROWS(C$2:C353)-1,2))</f>
        <v>15.00</v>
      </c>
      <c r="D353" s="41">
        <f t="shared" ca="1" si="26"/>
        <v>758.5</v>
      </c>
      <c r="E353" s="29">
        <f t="shared" ca="1" si="27"/>
        <v>0</v>
      </c>
      <c r="F353" s="42">
        <f t="shared" ca="1" si="28"/>
        <v>32</v>
      </c>
      <c r="G353" s="29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19330626</v>
      </c>
      <c r="C354" s="24" t="str">
        <f>INDEX(Data,2,2+MOD(ROWS(C$2:C354)-1,2))</f>
        <v>08.00</v>
      </c>
      <c r="D354" s="41">
        <f t="shared" ca="1" si="26"/>
        <v>758.5</v>
      </c>
      <c r="E354" s="29">
        <f t="shared" ca="1" si="27"/>
        <v>0</v>
      </c>
      <c r="F354" s="42">
        <f t="shared" ca="1" si="28"/>
        <v>30.5</v>
      </c>
      <c r="G354" s="29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19330626</v>
      </c>
      <c r="C355" s="24" t="str">
        <f>INDEX(Data,2,2+MOD(ROWS(C$2:C355)-1,2))</f>
        <v>15.00</v>
      </c>
      <c r="D355" s="41">
        <f t="shared" ca="1" si="26"/>
        <v>758</v>
      </c>
      <c r="E355" s="29">
        <f t="shared" ca="1" si="27"/>
        <v>0</v>
      </c>
      <c r="F355" s="42">
        <f t="shared" ca="1" si="28"/>
        <v>31.5</v>
      </c>
      <c r="G355" s="29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19330627</v>
      </c>
      <c r="C356" s="24" t="str">
        <f>INDEX(Data,2,2+MOD(ROWS(C$2:C356)-1,2))</f>
        <v>08.00</v>
      </c>
      <c r="D356" s="41">
        <f t="shared" ca="1" si="26"/>
        <v>758</v>
      </c>
      <c r="E356" s="29">
        <f t="shared" ca="1" si="27"/>
        <v>0</v>
      </c>
      <c r="F356" s="42">
        <f t="shared" ca="1" si="28"/>
        <v>30.5</v>
      </c>
      <c r="G356" s="29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19330627</v>
      </c>
      <c r="C357" s="24" t="str">
        <f>INDEX(Data,2,2+MOD(ROWS(C$2:C357)-1,2))</f>
        <v>15.00</v>
      </c>
      <c r="D357" s="41">
        <f t="shared" ca="1" si="26"/>
        <v>758</v>
      </c>
      <c r="E357" s="29">
        <f t="shared" ca="1" si="27"/>
        <v>0</v>
      </c>
      <c r="F357" s="42">
        <f t="shared" ca="1" si="28"/>
        <v>31.5</v>
      </c>
      <c r="G357" s="29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19330628</v>
      </c>
      <c r="C358" s="24" t="str">
        <f>INDEX(Data,2,2+MOD(ROWS(C$2:C358)-1,2))</f>
        <v>08.00</v>
      </c>
      <c r="D358" s="41">
        <f t="shared" ca="1" si="26"/>
        <v>758</v>
      </c>
      <c r="E358" s="29">
        <f t="shared" ca="1" si="27"/>
        <v>0</v>
      </c>
      <c r="F358" s="42">
        <f t="shared" ca="1" si="28"/>
        <v>29.5</v>
      </c>
      <c r="G358" s="29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19330628</v>
      </c>
      <c r="C359" s="24" t="str">
        <f>INDEX(Data,2,2+MOD(ROWS(C$2:C359)-1,2))</f>
        <v>15.00</v>
      </c>
      <c r="D359" s="41">
        <f t="shared" ca="1" si="26"/>
        <v>758</v>
      </c>
      <c r="E359" s="29">
        <f t="shared" ca="1" si="27"/>
        <v>0</v>
      </c>
      <c r="F359" s="42">
        <f t="shared" ca="1" si="28"/>
        <v>31</v>
      </c>
      <c r="G359" s="29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19330629</v>
      </c>
      <c r="C360" s="24" t="str">
        <f>INDEX(Data,2,2+MOD(ROWS(C$2:C360)-1,2))</f>
        <v>08.00</v>
      </c>
      <c r="D360" s="41">
        <f t="shared" ca="1" si="26"/>
        <v>759</v>
      </c>
      <c r="E360" s="29">
        <f t="shared" ca="1" si="27"/>
        <v>0</v>
      </c>
      <c r="F360" s="42">
        <f t="shared" ca="1" si="28"/>
        <v>28</v>
      </c>
      <c r="G360" s="29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19330629</v>
      </c>
      <c r="C361" s="24" t="str">
        <f>INDEX(Data,2,2+MOD(ROWS(C$2:C361)-1,2))</f>
        <v>15.00</v>
      </c>
      <c r="D361" s="41">
        <f t="shared" ca="1" si="26"/>
        <v>758</v>
      </c>
      <c r="E361" s="29">
        <f t="shared" ca="1" si="27"/>
        <v>0</v>
      </c>
      <c r="F361" s="42">
        <f t="shared" ca="1" si="28"/>
        <v>31</v>
      </c>
      <c r="G361" s="29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19330630</v>
      </c>
      <c r="C362" s="24" t="str">
        <f>INDEX(Data,2,2+MOD(ROWS(C$2:C362)-1,2))</f>
        <v>08.00</v>
      </c>
      <c r="D362" s="41">
        <f t="shared" ca="1" si="26"/>
        <v>759</v>
      </c>
      <c r="E362" s="29">
        <f t="shared" ca="1" si="27"/>
        <v>0</v>
      </c>
      <c r="F362" s="42">
        <f t="shared" ca="1" si="28"/>
        <v>29.5</v>
      </c>
      <c r="G362" s="29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19330630</v>
      </c>
      <c r="C363" s="24" t="str">
        <f>INDEX(Data,2,2+MOD(ROWS(C$2:C363)-1,2))</f>
        <v>15.00</v>
      </c>
      <c r="D363" s="41">
        <f t="shared" ca="1" si="26"/>
        <v>759</v>
      </c>
      <c r="E363" s="29">
        <f t="shared" ca="1" si="27"/>
        <v>0</v>
      </c>
      <c r="F363" s="42">
        <f t="shared" ca="1" si="28"/>
        <v>30.5</v>
      </c>
      <c r="G363" s="29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19330701</v>
      </c>
      <c r="C364" s="24" t="str">
        <f>INDEX(Data,2,2+MOD(ROWS(C$2:C364)-1,2))</f>
        <v>08.00</v>
      </c>
      <c r="D364" s="41">
        <f t="shared" ca="1" si="26"/>
        <v>759</v>
      </c>
      <c r="E364" s="29">
        <f t="shared" ca="1" si="27"/>
        <v>0</v>
      </c>
      <c r="F364" s="42">
        <f t="shared" ca="1" si="28"/>
        <v>29.5</v>
      </c>
      <c r="G364" s="29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19330701</v>
      </c>
      <c r="C365" s="24" t="str">
        <f>INDEX(Data,2,2+MOD(ROWS(C$2:C365)-1,2))</f>
        <v>15.00</v>
      </c>
      <c r="D365" s="41">
        <f t="shared" ca="1" si="26"/>
        <v>759</v>
      </c>
      <c r="E365" s="29">
        <f t="shared" ca="1" si="27"/>
        <v>0</v>
      </c>
      <c r="F365" s="42">
        <f t="shared" ca="1" si="28"/>
        <v>30</v>
      </c>
      <c r="G365" s="29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19330702</v>
      </c>
      <c r="C366" s="24" t="str">
        <f>INDEX(Data,2,2+MOD(ROWS(C$2:C366)-1,2))</f>
        <v>08.00</v>
      </c>
      <c r="D366" s="41">
        <f t="shared" ca="1" si="26"/>
        <v>759</v>
      </c>
      <c r="E366" s="29">
        <f t="shared" ca="1" si="27"/>
        <v>0</v>
      </c>
      <c r="F366" s="42">
        <f t="shared" ca="1" si="28"/>
        <v>29.5</v>
      </c>
      <c r="G366" s="29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19330702</v>
      </c>
      <c r="C367" s="24" t="str">
        <f>INDEX(Data,2,2+MOD(ROWS(C$2:C367)-1,2))</f>
        <v>15.00</v>
      </c>
      <c r="D367" s="41">
        <f t="shared" ca="1" si="26"/>
        <v>759</v>
      </c>
      <c r="E367" s="29">
        <f t="shared" ca="1" si="27"/>
        <v>0</v>
      </c>
      <c r="F367" s="42">
        <f t="shared" ca="1" si="28"/>
        <v>30</v>
      </c>
      <c r="G367" s="29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19330703</v>
      </c>
      <c r="C368" s="24" t="str">
        <f>INDEX(Data,2,2+MOD(ROWS(C$2:C368)-1,2))</f>
        <v>08.00</v>
      </c>
      <c r="D368" s="41">
        <f t="shared" ca="1" si="26"/>
        <v>759</v>
      </c>
      <c r="E368" s="29">
        <f t="shared" ca="1" si="27"/>
        <v>0</v>
      </c>
      <c r="F368" s="42">
        <f t="shared" ca="1" si="28"/>
        <v>29.5</v>
      </c>
      <c r="G368" s="29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19330703</v>
      </c>
      <c r="C369" s="24" t="str">
        <f>INDEX(Data,2,2+MOD(ROWS(C$2:C369)-1,2))</f>
        <v>15.00</v>
      </c>
      <c r="D369" s="41">
        <f t="shared" ca="1" si="26"/>
        <v>759</v>
      </c>
      <c r="E369" s="29">
        <f t="shared" ca="1" si="27"/>
        <v>0</v>
      </c>
      <c r="F369" s="42">
        <f t="shared" ca="1" si="28"/>
        <v>30.5</v>
      </c>
      <c r="G369" s="29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19330704</v>
      </c>
      <c r="C370" s="24" t="str">
        <f>INDEX(Data,2,2+MOD(ROWS(C$2:C370)-1,2))</f>
        <v>08.00</v>
      </c>
      <c r="D370" s="41">
        <f t="shared" ca="1" si="26"/>
        <v>759</v>
      </c>
      <c r="E370" s="29">
        <f t="shared" ca="1" si="27"/>
        <v>0</v>
      </c>
      <c r="F370" s="42">
        <f t="shared" ca="1" si="28"/>
        <v>29.5</v>
      </c>
      <c r="G370" s="29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19330704</v>
      </c>
      <c r="C371" s="24" t="str">
        <f>INDEX(Data,2,2+MOD(ROWS(C$2:C371)-1,2))</f>
        <v>15.00</v>
      </c>
      <c r="D371" s="41">
        <f t="shared" ca="1" si="26"/>
        <v>759</v>
      </c>
      <c r="E371" s="29">
        <f t="shared" ca="1" si="27"/>
        <v>0</v>
      </c>
      <c r="F371" s="42">
        <f t="shared" ca="1" si="28"/>
        <v>30.5</v>
      </c>
      <c r="G371" s="29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19330705</v>
      </c>
      <c r="C372" s="24" t="str">
        <f>INDEX(Data,2,2+MOD(ROWS(C$2:C372)-1,2))</f>
        <v>08.00</v>
      </c>
      <c r="D372" s="41">
        <f t="shared" ca="1" si="26"/>
        <v>759</v>
      </c>
      <c r="E372" s="29">
        <f t="shared" ca="1" si="27"/>
        <v>0</v>
      </c>
      <c r="F372" s="42">
        <f t="shared" ca="1" si="28"/>
        <v>29.5</v>
      </c>
      <c r="G372" s="29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19330705</v>
      </c>
      <c r="C373" s="24" t="str">
        <f>INDEX(Data,2,2+MOD(ROWS(C$2:C373)-1,2))</f>
        <v>15.00</v>
      </c>
      <c r="D373" s="41">
        <f t="shared" ca="1" si="26"/>
        <v>759</v>
      </c>
      <c r="E373" s="29">
        <f t="shared" ca="1" si="27"/>
        <v>0</v>
      </c>
      <c r="F373" s="42">
        <f t="shared" ca="1" si="28"/>
        <v>30.5</v>
      </c>
      <c r="G373" s="29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19330706</v>
      </c>
      <c r="C374" s="24" t="str">
        <f>INDEX(Data,2,2+MOD(ROWS(C$2:C374)-1,2))</f>
        <v>08.00</v>
      </c>
      <c r="D374" s="41">
        <f t="shared" ca="1" si="26"/>
        <v>759</v>
      </c>
      <c r="E374" s="29">
        <f t="shared" ca="1" si="27"/>
        <v>0</v>
      </c>
      <c r="F374" s="42">
        <f t="shared" ca="1" si="28"/>
        <v>30</v>
      </c>
      <c r="G374" s="29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19330706</v>
      </c>
      <c r="C375" s="24" t="str">
        <f>INDEX(Data,2,2+MOD(ROWS(C$2:C375)-1,2))</f>
        <v>15.00</v>
      </c>
      <c r="D375" s="41">
        <f t="shared" ca="1" si="26"/>
        <v>759</v>
      </c>
      <c r="E375" s="29">
        <f t="shared" ca="1" si="27"/>
        <v>0</v>
      </c>
      <c r="F375" s="42">
        <f t="shared" ca="1" si="28"/>
        <v>31</v>
      </c>
      <c r="G375" s="29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19330707</v>
      </c>
      <c r="C376" s="24" t="str">
        <f>INDEX(Data,2,2+MOD(ROWS(C$2:C376)-1,2))</f>
        <v>08.00</v>
      </c>
      <c r="D376" s="41">
        <f t="shared" ca="1" si="26"/>
        <v>758.5</v>
      </c>
      <c r="E376" s="29">
        <f t="shared" ca="1" si="27"/>
        <v>0</v>
      </c>
      <c r="F376" s="42">
        <f t="shared" ca="1" si="28"/>
        <v>29.5</v>
      </c>
      <c r="G376" s="29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19330707</v>
      </c>
      <c r="C377" s="24" t="str">
        <f>INDEX(Data,2,2+MOD(ROWS(C$2:C377)-1,2))</f>
        <v>15.00</v>
      </c>
      <c r="D377" s="41">
        <f t="shared" ca="1" si="26"/>
        <v>757.5</v>
      </c>
      <c r="E377" s="29">
        <f t="shared" ca="1" si="27"/>
        <v>0</v>
      </c>
      <c r="F377" s="42">
        <f t="shared" ca="1" si="28"/>
        <v>31</v>
      </c>
      <c r="G377" s="29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19330708</v>
      </c>
      <c r="C378" s="24" t="str">
        <f>INDEX(Data,2,2+MOD(ROWS(C$2:C378)-1,2))</f>
        <v>08.00</v>
      </c>
      <c r="D378" s="41">
        <f t="shared" ca="1" si="26"/>
        <v>759</v>
      </c>
      <c r="E378" s="29">
        <f t="shared" ca="1" si="27"/>
        <v>0</v>
      </c>
      <c r="F378" s="42">
        <f t="shared" ca="1" si="28"/>
        <v>30</v>
      </c>
      <c r="G378" s="29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19330708</v>
      </c>
      <c r="C379" s="24" t="str">
        <f>INDEX(Data,2,2+MOD(ROWS(C$2:C379)-1,2))</f>
        <v>15.00</v>
      </c>
      <c r="D379" s="41">
        <f t="shared" ca="1" si="26"/>
        <v>758.5</v>
      </c>
      <c r="E379" s="29">
        <f t="shared" ca="1" si="27"/>
        <v>0</v>
      </c>
      <c r="F379" s="42">
        <f t="shared" ca="1" si="28"/>
        <v>31.5</v>
      </c>
      <c r="G379" s="29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19330709</v>
      </c>
      <c r="C380" s="24" t="str">
        <f>INDEX(Data,2,2+MOD(ROWS(C$2:C380)-1,2))</f>
        <v>08.00</v>
      </c>
      <c r="D380" s="41">
        <f t="shared" ca="1" si="26"/>
        <v>759</v>
      </c>
      <c r="E380" s="29">
        <f t="shared" ca="1" si="27"/>
        <v>0</v>
      </c>
      <c r="F380" s="42">
        <f t="shared" ca="1" si="28"/>
        <v>30</v>
      </c>
      <c r="G380" s="29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19330709</v>
      </c>
      <c r="C381" s="24" t="str">
        <f>INDEX(Data,2,2+MOD(ROWS(C$2:C381)-1,2))</f>
        <v>15.00</v>
      </c>
      <c r="D381" s="41">
        <f t="shared" ca="1" si="26"/>
        <v>759</v>
      </c>
      <c r="E381" s="29">
        <f t="shared" ca="1" si="27"/>
        <v>0</v>
      </c>
      <c r="F381" s="42">
        <f t="shared" ca="1" si="28"/>
        <v>31</v>
      </c>
      <c r="G381" s="29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19330710</v>
      </c>
      <c r="C382" s="24" t="str">
        <f>INDEX(Data,2,2+MOD(ROWS(C$2:C382)-1,2))</f>
        <v>08.00</v>
      </c>
      <c r="D382" s="41">
        <f t="shared" ca="1" si="26"/>
        <v>759</v>
      </c>
      <c r="E382" s="29">
        <f t="shared" ca="1" si="27"/>
        <v>0</v>
      </c>
      <c r="F382" s="42">
        <f t="shared" ca="1" si="28"/>
        <v>30.5</v>
      </c>
      <c r="G382" s="29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19330710</v>
      </c>
      <c r="C383" s="24" t="str">
        <f>INDEX(Data,2,2+MOD(ROWS(C$2:C383)-1,2))</f>
        <v>15.00</v>
      </c>
      <c r="D383" s="41">
        <f t="shared" ca="1" si="26"/>
        <v>758.5</v>
      </c>
      <c r="E383" s="29">
        <f t="shared" ca="1" si="27"/>
        <v>0</v>
      </c>
      <c r="F383" s="42">
        <f t="shared" ca="1" si="28"/>
        <v>30.5</v>
      </c>
      <c r="G383" s="29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19330711</v>
      </c>
      <c r="C384" s="24" t="str">
        <f>INDEX(Data,2,2+MOD(ROWS(C$2:C384)-1,2))</f>
        <v>08.00</v>
      </c>
      <c r="D384" s="41">
        <f t="shared" ca="1" si="26"/>
        <v>758.5</v>
      </c>
      <c r="E384" s="29">
        <f t="shared" ca="1" si="27"/>
        <v>0</v>
      </c>
      <c r="F384" s="42">
        <f t="shared" ca="1" si="28"/>
        <v>30</v>
      </c>
      <c r="G384" s="29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19330711</v>
      </c>
      <c r="C385" s="24" t="str">
        <f>INDEX(Data,2,2+MOD(ROWS(C$2:C385)-1,2))</f>
        <v>15.00</v>
      </c>
      <c r="D385" s="41">
        <f t="shared" ca="1" si="26"/>
        <v>758.5</v>
      </c>
      <c r="E385" s="29">
        <f t="shared" ca="1" si="27"/>
        <v>0</v>
      </c>
      <c r="F385" s="42">
        <f t="shared" ca="1" si="28"/>
        <v>30.5</v>
      </c>
      <c r="G385" s="29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19330712</v>
      </c>
      <c r="C386" s="24" t="str">
        <f>INDEX(Data,2,2+MOD(ROWS(C$2:C386)-1,2))</f>
        <v>08.00</v>
      </c>
      <c r="D386" s="41">
        <f t="shared" ref="D386:D425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759</v>
      </c>
      <c r="E386" s="29">
        <f t="shared" ref="E386:E425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25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30</v>
      </c>
      <c r="G386" s="29">
        <f t="shared" ref="G386:G425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19330712</v>
      </c>
      <c r="C387" s="24" t="str">
        <f>INDEX(Data,2,2+MOD(ROWS(C$2:C387)-1,2))</f>
        <v>15.00</v>
      </c>
      <c r="D387" s="41">
        <f t="shared" ca="1" si="31"/>
        <v>759</v>
      </c>
      <c r="E387" s="29">
        <f t="shared" ca="1" si="32"/>
        <v>0</v>
      </c>
      <c r="F387" s="42">
        <f t="shared" ca="1" si="33"/>
        <v>31</v>
      </c>
      <c r="G387" s="29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19330713</v>
      </c>
      <c r="C388" s="24" t="str">
        <f>INDEX(Data,2,2+MOD(ROWS(C$2:C388)-1,2))</f>
        <v>08.00</v>
      </c>
      <c r="D388" s="41">
        <f t="shared" ca="1" si="31"/>
        <v>759</v>
      </c>
      <c r="E388" s="29">
        <f t="shared" ca="1" si="32"/>
        <v>0</v>
      </c>
      <c r="F388" s="42">
        <f t="shared" ca="1" si="33"/>
        <v>30</v>
      </c>
      <c r="G388" s="29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19330713</v>
      </c>
      <c r="C389" s="24" t="str">
        <f>INDEX(Data,2,2+MOD(ROWS(C$2:C389)-1,2))</f>
        <v>15.00</v>
      </c>
      <c r="D389" s="41">
        <f t="shared" ca="1" si="31"/>
        <v>759</v>
      </c>
      <c r="E389" s="29">
        <f t="shared" ca="1" si="32"/>
        <v>0</v>
      </c>
      <c r="F389" s="42">
        <f t="shared" ca="1" si="33"/>
        <v>31</v>
      </c>
      <c r="G389" s="29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19330714</v>
      </c>
      <c r="C390" s="24" t="str">
        <f>INDEX(Data,2,2+MOD(ROWS(C$2:C390)-1,2))</f>
        <v>08.00</v>
      </c>
      <c r="D390" s="41">
        <f t="shared" ca="1" si="31"/>
        <v>759</v>
      </c>
      <c r="E390" s="29">
        <f t="shared" ca="1" si="32"/>
        <v>0</v>
      </c>
      <c r="F390" s="42">
        <f t="shared" ca="1" si="33"/>
        <v>29.5</v>
      </c>
      <c r="G390" s="29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19330714</v>
      </c>
      <c r="C391" s="24" t="str">
        <f>INDEX(Data,2,2+MOD(ROWS(C$2:C391)-1,2))</f>
        <v>15.00</v>
      </c>
      <c r="D391" s="41">
        <f t="shared" ca="1" si="31"/>
        <v>758.5</v>
      </c>
      <c r="E391" s="29">
        <f t="shared" ca="1" si="32"/>
        <v>0</v>
      </c>
      <c r="F391" s="42">
        <f t="shared" ca="1" si="33"/>
        <v>30.5</v>
      </c>
      <c r="G391" s="29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19330715</v>
      </c>
      <c r="C392" s="24" t="str">
        <f>INDEX(Data,2,2+MOD(ROWS(C$2:C392)-1,2))</f>
        <v>08.00</v>
      </c>
      <c r="D392" s="41">
        <f t="shared" ca="1" si="31"/>
        <v>758.5</v>
      </c>
      <c r="E392" s="29">
        <f t="shared" ca="1" si="32"/>
        <v>0</v>
      </c>
      <c r="F392" s="42">
        <f t="shared" ca="1" si="33"/>
        <v>30</v>
      </c>
      <c r="G392" s="29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19330715</v>
      </c>
      <c r="C393" s="24" t="str">
        <f>INDEX(Data,2,2+MOD(ROWS(C$2:C393)-1,2))</f>
        <v>15.00</v>
      </c>
      <c r="D393" s="41">
        <f t="shared" ca="1" si="31"/>
        <v>758</v>
      </c>
      <c r="E393" s="29">
        <f t="shared" ca="1" si="32"/>
        <v>0</v>
      </c>
      <c r="F393" s="42">
        <f t="shared" ca="1" si="33"/>
        <v>31.5</v>
      </c>
      <c r="G393" s="29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19330716</v>
      </c>
      <c r="C394" s="24" t="str">
        <f>INDEX(Data,2,2+MOD(ROWS(C$2:C394)-1,2))</f>
        <v>08.00</v>
      </c>
      <c r="D394" s="41">
        <f t="shared" ca="1" si="31"/>
        <v>760.5</v>
      </c>
      <c r="E394" s="29">
        <f t="shared" ca="1" si="32"/>
        <v>0</v>
      </c>
      <c r="F394" s="42">
        <f t="shared" ca="1" si="33"/>
        <v>31</v>
      </c>
      <c r="G394" s="29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19330716</v>
      </c>
      <c r="C395" s="24" t="str">
        <f>INDEX(Data,2,2+MOD(ROWS(C$2:C395)-1,2))</f>
        <v>15.00</v>
      </c>
      <c r="D395" s="41">
        <f t="shared" ca="1" si="31"/>
        <v>759</v>
      </c>
      <c r="E395" s="29">
        <f t="shared" ca="1" si="32"/>
        <v>0</v>
      </c>
      <c r="F395" s="42">
        <f t="shared" ca="1" si="33"/>
        <v>31</v>
      </c>
      <c r="G395" s="29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19330717</v>
      </c>
      <c r="C396" s="24" t="str">
        <f>INDEX(Data,2,2+MOD(ROWS(C$2:C396)-1,2))</f>
        <v>08.00</v>
      </c>
      <c r="D396" s="41">
        <f t="shared" ca="1" si="31"/>
        <v>759</v>
      </c>
      <c r="E396" s="29">
        <f t="shared" ca="1" si="32"/>
        <v>0</v>
      </c>
      <c r="F396" s="42">
        <f t="shared" ca="1" si="33"/>
        <v>30</v>
      </c>
      <c r="G396" s="29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19330717</v>
      </c>
      <c r="C397" s="24" t="str">
        <f>INDEX(Data,2,2+MOD(ROWS(C$2:C397)-1,2))</f>
        <v>15.00</v>
      </c>
      <c r="D397" s="41">
        <f t="shared" ca="1" si="31"/>
        <v>758.5</v>
      </c>
      <c r="E397" s="29">
        <f t="shared" ca="1" si="32"/>
        <v>0</v>
      </c>
      <c r="F397" s="42">
        <f t="shared" ca="1" si="33"/>
        <v>29.5</v>
      </c>
      <c r="G397" s="29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19330718</v>
      </c>
      <c r="C398" s="24" t="str">
        <f>INDEX(Data,2,2+MOD(ROWS(C$2:C398)-1,2))</f>
        <v>08.00</v>
      </c>
      <c r="D398" s="41">
        <f t="shared" ca="1" si="31"/>
        <v>758.5</v>
      </c>
      <c r="E398" s="29">
        <f t="shared" ca="1" si="32"/>
        <v>0</v>
      </c>
      <c r="F398" s="42">
        <f t="shared" ca="1" si="33"/>
        <v>30</v>
      </c>
      <c r="G398" s="29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19330718</v>
      </c>
      <c r="C399" s="24" t="str">
        <f>INDEX(Data,2,2+MOD(ROWS(C$2:C399)-1,2))</f>
        <v>15.00</v>
      </c>
      <c r="D399" s="41">
        <f t="shared" ca="1" si="31"/>
        <v>758.5</v>
      </c>
      <c r="E399" s="29">
        <f t="shared" ca="1" si="32"/>
        <v>0</v>
      </c>
      <c r="F399" s="42">
        <f t="shared" ca="1" si="33"/>
        <v>31</v>
      </c>
      <c r="G399" s="29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19330719</v>
      </c>
      <c r="C400" s="24" t="str">
        <f>INDEX(Data,2,2+MOD(ROWS(C$2:C400)-1,2))</f>
        <v>08.00</v>
      </c>
      <c r="D400" s="41">
        <f t="shared" ca="1" si="31"/>
        <v>759</v>
      </c>
      <c r="E400" s="29">
        <f t="shared" ca="1" si="32"/>
        <v>0</v>
      </c>
      <c r="F400" s="42">
        <f t="shared" ca="1" si="33"/>
        <v>30</v>
      </c>
      <c r="G400" s="29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19330719</v>
      </c>
      <c r="C401" s="24" t="str">
        <f>INDEX(Data,2,2+MOD(ROWS(C$2:C401)-1,2))</f>
        <v>15.00</v>
      </c>
      <c r="D401" s="41">
        <f t="shared" ca="1" si="31"/>
        <v>759</v>
      </c>
      <c r="E401" s="29">
        <f t="shared" ca="1" si="32"/>
        <v>0</v>
      </c>
      <c r="F401" s="42">
        <f t="shared" ca="1" si="33"/>
        <v>31</v>
      </c>
      <c r="G401" s="29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19330720</v>
      </c>
      <c r="C402" s="24" t="str">
        <f>INDEX(Data,2,2+MOD(ROWS(C$2:C402)-1,2))</f>
        <v>08.00</v>
      </c>
      <c r="D402" s="41">
        <f t="shared" ca="1" si="31"/>
        <v>759</v>
      </c>
      <c r="E402" s="29">
        <f t="shared" ca="1" si="32"/>
        <v>0</v>
      </c>
      <c r="F402" s="42">
        <f t="shared" ca="1" si="33"/>
        <v>30</v>
      </c>
      <c r="G402" s="29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19330720</v>
      </c>
      <c r="C403" s="24" t="str">
        <f>INDEX(Data,2,2+MOD(ROWS(C$2:C403)-1,2))</f>
        <v>15.00</v>
      </c>
      <c r="D403" s="41">
        <f t="shared" ca="1" si="31"/>
        <v>758.5</v>
      </c>
      <c r="E403" s="29">
        <f t="shared" ca="1" si="32"/>
        <v>0</v>
      </c>
      <c r="F403" s="42">
        <f t="shared" ca="1" si="33"/>
        <v>31</v>
      </c>
      <c r="G403" s="29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19330721</v>
      </c>
      <c r="C404" s="24" t="str">
        <f>INDEX(Data,2,2+MOD(ROWS(C$2:C404)-1,2))</f>
        <v>08.00</v>
      </c>
      <c r="D404" s="41">
        <f t="shared" ca="1" si="31"/>
        <v>758.5</v>
      </c>
      <c r="E404" s="29">
        <f t="shared" ca="1" si="32"/>
        <v>0</v>
      </c>
      <c r="F404" s="42">
        <f t="shared" ca="1" si="33"/>
        <v>30.5</v>
      </c>
      <c r="G404" s="29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19330721</v>
      </c>
      <c r="C405" s="24" t="str">
        <f>INDEX(Data,2,2+MOD(ROWS(C$2:C405)-1,2))</f>
        <v>15.00</v>
      </c>
      <c r="D405" s="41">
        <f t="shared" ca="1" si="31"/>
        <v>758.5</v>
      </c>
      <c r="E405" s="29">
        <f t="shared" ca="1" si="32"/>
        <v>0</v>
      </c>
      <c r="F405" s="42">
        <f t="shared" ca="1" si="33"/>
        <v>31</v>
      </c>
      <c r="G405" s="29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19330722</v>
      </c>
      <c r="C406" s="24" t="str">
        <f>INDEX(Data,2,2+MOD(ROWS(C$2:C406)-1,2))</f>
        <v>08.00</v>
      </c>
      <c r="D406" s="41">
        <f t="shared" ca="1" si="31"/>
        <v>758.5</v>
      </c>
      <c r="E406" s="29">
        <f t="shared" ca="1" si="32"/>
        <v>0</v>
      </c>
      <c r="F406" s="42">
        <f t="shared" ca="1" si="33"/>
        <v>29</v>
      </c>
      <c r="G406" s="29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19330722</v>
      </c>
      <c r="C407" s="24" t="str">
        <f>INDEX(Data,2,2+MOD(ROWS(C$2:C407)-1,2))</f>
        <v>15.00</v>
      </c>
      <c r="D407" s="41">
        <f t="shared" ca="1" si="31"/>
        <v>758.5</v>
      </c>
      <c r="E407" s="29">
        <f t="shared" ca="1" si="32"/>
        <v>0</v>
      </c>
      <c r="F407" s="42">
        <f t="shared" ca="1" si="33"/>
        <v>30.5</v>
      </c>
      <c r="G407" s="29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19330723</v>
      </c>
      <c r="C408" s="24" t="str">
        <f>INDEX(Data,2,2+MOD(ROWS(C$2:C408)-1,2))</f>
        <v>08.00</v>
      </c>
      <c r="D408" s="41">
        <f t="shared" ca="1" si="31"/>
        <v>759</v>
      </c>
      <c r="E408" s="29">
        <f t="shared" ca="1" si="32"/>
        <v>0</v>
      </c>
      <c r="F408" s="42">
        <f t="shared" ca="1" si="33"/>
        <v>30</v>
      </c>
      <c r="G408" s="29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19330723</v>
      </c>
      <c r="C409" s="24" t="str">
        <f>INDEX(Data,2,2+MOD(ROWS(C$2:C409)-1,2))</f>
        <v>15.00</v>
      </c>
      <c r="D409" s="41">
        <f t="shared" ca="1" si="31"/>
        <v>759</v>
      </c>
      <c r="E409" s="29">
        <f t="shared" ca="1" si="32"/>
        <v>0</v>
      </c>
      <c r="F409" s="42">
        <f t="shared" ca="1" si="33"/>
        <v>31</v>
      </c>
      <c r="G409" s="29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19330724</v>
      </c>
      <c r="C410" s="24" t="str">
        <f>INDEX(Data,2,2+MOD(ROWS(C$2:C410)-1,2))</f>
        <v>08.00</v>
      </c>
      <c r="D410" s="41">
        <f t="shared" ca="1" si="31"/>
        <v>761.5</v>
      </c>
      <c r="E410" s="29">
        <f t="shared" ca="1" si="32"/>
        <v>0</v>
      </c>
      <c r="F410" s="42">
        <f t="shared" ca="1" si="33"/>
        <v>30</v>
      </c>
      <c r="G410" s="29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19330724</v>
      </c>
      <c r="C411" s="24" t="str">
        <f>INDEX(Data,2,2+MOD(ROWS(C$2:C411)-1,2))</f>
        <v>15.00</v>
      </c>
      <c r="D411" s="41">
        <f t="shared" ca="1" si="31"/>
        <v>760.5</v>
      </c>
      <c r="E411" s="29">
        <f t="shared" ca="1" si="32"/>
        <v>0</v>
      </c>
      <c r="F411" s="42">
        <f t="shared" ca="1" si="33"/>
        <v>30.5</v>
      </c>
      <c r="G411" s="29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19330725</v>
      </c>
      <c r="C412" s="24" t="str">
        <f>INDEX(Data,2,2+MOD(ROWS(C$2:C412)-1,2))</f>
        <v>08.00</v>
      </c>
      <c r="D412" s="41">
        <f t="shared" ca="1" si="31"/>
        <v>758.5</v>
      </c>
      <c r="E412" s="29">
        <f t="shared" ca="1" si="32"/>
        <v>0</v>
      </c>
      <c r="F412" s="42">
        <f t="shared" ca="1" si="33"/>
        <v>31</v>
      </c>
      <c r="G412" s="29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19330725</v>
      </c>
      <c r="C413" s="24" t="str">
        <f>INDEX(Data,2,2+MOD(ROWS(C$2:C413)-1,2))</f>
        <v>15.00</v>
      </c>
      <c r="D413" s="41">
        <f t="shared" ca="1" si="31"/>
        <v>757.5</v>
      </c>
      <c r="E413" s="29">
        <f t="shared" ca="1" si="32"/>
        <v>0</v>
      </c>
      <c r="F413" s="42">
        <f t="shared" ca="1" si="33"/>
        <v>30</v>
      </c>
      <c r="G413" s="29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19330726</v>
      </c>
      <c r="C414" s="24" t="str">
        <f>INDEX(Data,2,2+MOD(ROWS(C$2:C414)-1,2))</f>
        <v>08.00</v>
      </c>
      <c r="D414" s="41">
        <f t="shared" ca="1" si="31"/>
        <v>759.5</v>
      </c>
      <c r="E414" s="29">
        <f t="shared" ca="1" si="32"/>
        <v>0</v>
      </c>
      <c r="F414" s="42">
        <f t="shared" ca="1" si="33"/>
        <v>30</v>
      </c>
      <c r="G414" s="29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19330726</v>
      </c>
      <c r="C415" s="24" t="str">
        <f>INDEX(Data,2,2+MOD(ROWS(C$2:C415)-1,2))</f>
        <v>15.00</v>
      </c>
      <c r="D415" s="41">
        <f t="shared" ca="1" si="31"/>
        <v>757.5</v>
      </c>
      <c r="E415" s="29">
        <f t="shared" ca="1" si="32"/>
        <v>0</v>
      </c>
      <c r="F415" s="42">
        <f t="shared" ca="1" si="33"/>
        <v>32</v>
      </c>
      <c r="G415" s="29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19330727</v>
      </c>
      <c r="C416" s="24" t="str">
        <f>INDEX(Data,2,2+MOD(ROWS(C$2:C416)-1,2))</f>
        <v>08.00</v>
      </c>
      <c r="D416" s="41">
        <f t="shared" ca="1" si="31"/>
        <v>759</v>
      </c>
      <c r="E416" s="29">
        <f t="shared" ca="1" si="32"/>
        <v>0</v>
      </c>
      <c r="F416" s="42">
        <f t="shared" ca="1" si="33"/>
        <v>31</v>
      </c>
      <c r="G416" s="29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19330727</v>
      </c>
      <c r="C417" s="24" t="str">
        <f>INDEX(Data,2,2+MOD(ROWS(C$2:C417)-1,2))</f>
        <v>15.00</v>
      </c>
      <c r="D417" s="41">
        <f t="shared" ca="1" si="31"/>
        <v>758.5</v>
      </c>
      <c r="E417" s="29">
        <f t="shared" ca="1" si="32"/>
        <v>0</v>
      </c>
      <c r="F417" s="42">
        <f t="shared" ca="1" si="33"/>
        <v>31.5</v>
      </c>
      <c r="G417" s="29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19330728</v>
      </c>
      <c r="C418" s="24" t="str">
        <f>INDEX(Data,2,2+MOD(ROWS(C$2:C418)-1,2))</f>
        <v>08.00</v>
      </c>
      <c r="D418" s="41">
        <f t="shared" ca="1" si="31"/>
        <v>759</v>
      </c>
      <c r="E418" s="29">
        <f t="shared" ca="1" si="32"/>
        <v>0</v>
      </c>
      <c r="F418" s="42">
        <f t="shared" ca="1" si="33"/>
        <v>30</v>
      </c>
      <c r="G418" s="29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19330728</v>
      </c>
      <c r="C419" s="24" t="str">
        <f>INDEX(Data,2,2+MOD(ROWS(C$2:C419)-1,2))</f>
        <v>15.00</v>
      </c>
      <c r="D419" s="41">
        <f t="shared" ca="1" si="31"/>
        <v>759</v>
      </c>
      <c r="E419" s="29">
        <f t="shared" ca="1" si="32"/>
        <v>0</v>
      </c>
      <c r="F419" s="42">
        <f t="shared" ca="1" si="33"/>
        <v>31</v>
      </c>
      <c r="G419" s="29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19330729</v>
      </c>
      <c r="C420" s="24" t="str">
        <f>INDEX(Data,2,2+MOD(ROWS(C$2:C420)-1,2))</f>
        <v>08.00</v>
      </c>
      <c r="D420" s="41">
        <f t="shared" ca="1" si="31"/>
        <v>759</v>
      </c>
      <c r="E420" s="29">
        <f t="shared" ca="1" si="32"/>
        <v>0</v>
      </c>
      <c r="F420" s="42">
        <f t="shared" ca="1" si="33"/>
        <v>30.5</v>
      </c>
      <c r="G420" s="29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19330729</v>
      </c>
      <c r="C421" s="24" t="str">
        <f>INDEX(Data,2,2+MOD(ROWS(C$2:C421)-1,2))</f>
        <v>15.00</v>
      </c>
      <c r="D421" s="41">
        <f t="shared" ca="1" si="31"/>
        <v>759</v>
      </c>
      <c r="E421" s="29">
        <f t="shared" ca="1" si="32"/>
        <v>0</v>
      </c>
      <c r="F421" s="42">
        <f t="shared" ca="1" si="33"/>
        <v>30.5</v>
      </c>
      <c r="G421" s="29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19330730</v>
      </c>
      <c r="C422" s="24" t="str">
        <f>INDEX(Data,2,2+MOD(ROWS(C$2:C422)-1,2))</f>
        <v>08.00</v>
      </c>
      <c r="D422" s="41">
        <f t="shared" ca="1" si="31"/>
        <v>759</v>
      </c>
      <c r="E422" s="29">
        <f t="shared" ca="1" si="32"/>
        <v>0</v>
      </c>
      <c r="F422" s="42">
        <f t="shared" ca="1" si="33"/>
        <v>30</v>
      </c>
      <c r="G422" s="29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19330730</v>
      </c>
      <c r="C423" s="24" t="str">
        <f>INDEX(Data,2,2+MOD(ROWS(C$2:C423)-1,2))</f>
        <v>15.00</v>
      </c>
      <c r="D423" s="41">
        <f t="shared" ca="1" si="31"/>
        <v>758.5</v>
      </c>
      <c r="E423" s="29">
        <f t="shared" ca="1" si="32"/>
        <v>0</v>
      </c>
      <c r="F423" s="42">
        <f t="shared" ca="1" si="33"/>
        <v>31</v>
      </c>
      <c r="G423" s="29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19330731</v>
      </c>
      <c r="C424" s="24" t="str">
        <f>INDEX(Data,2,2+MOD(ROWS(C$2:C424)-1,2))</f>
        <v>08.00</v>
      </c>
      <c r="D424" s="41">
        <f t="shared" ca="1" si="31"/>
        <v>759.5</v>
      </c>
      <c r="E424" s="29">
        <f t="shared" ca="1" si="32"/>
        <v>0</v>
      </c>
      <c r="F424" s="42">
        <f t="shared" ca="1" si="33"/>
        <v>30</v>
      </c>
      <c r="G424" s="29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19330731</v>
      </c>
      <c r="C425" s="24" t="str">
        <f>INDEX(Data,2,2+MOD(ROWS(C$2:C425)-1,2))</f>
        <v>15.00</v>
      </c>
      <c r="D425" s="41">
        <f t="shared" ca="1" si="31"/>
        <v>759</v>
      </c>
      <c r="E425" s="29">
        <f t="shared" ca="1" si="32"/>
        <v>0</v>
      </c>
      <c r="F425" s="42">
        <f t="shared" ca="1" si="33"/>
        <v>31.5</v>
      </c>
      <c r="G425" s="29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19330801</v>
      </c>
      <c r="C426" s="24" t="str">
        <f>INDEX(Data,2,2+MOD(ROWS(C$2:C426)-1,2))</f>
        <v>08.00</v>
      </c>
      <c r="D426" s="41">
        <f t="shared" ref="D426:D489" ca="1" si="35">IF(OR(ISBLANK(VLOOKUP(DATEVALUE(LEFT($B426,4)&amp;"-"&amp;MID($B426,5,2)&amp;"-"&amp;RIGHT($B426,2)),Data,MATCH(LEFT(VLOOKUP(D$1,Parameters,2,FALSE()),4)&amp;"*",OFFSET(Data,0,0,1),0)+MATCH($C426,OFFSET(Data,1,0,1),0)-2,FALSE())),ISTEXT(VLOOKUP(DATEVALUE(LEFT($B426,4)&amp;"-"&amp;MID($B426,5,2)&amp;"-"&amp;RIGHT($B426,2)),Data,MATCH(LEFT(VLOOKUP(D$1,Parameters,2,FALSE()),4)&amp;"*",OFFSET(Data,0,0,1),0)+MATCH($C426,OFFSET(Data,1,0,1),0)-2,FALSE()))),"—",0.0254*VLOOKUP(DATEVALUE(LEFT($B426,4)&amp;"-"&amp;MID($B426,5,2)&amp;"-"&amp;RIGHT($B426,2)),Data,MATCH(LEFT(VLOOKUP(D$1,Parameters,2,FALSE()),4)&amp;"*",OFFSET(Data,0,0,1),0)+MATCH($C426,OFFSET(Data,1,0,1),0)-2,FALSE()))</f>
        <v>762</v>
      </c>
      <c r="E426" s="29">
        <f t="shared" ref="E426:E489" ca="1" si="36">IF(OR(ISBLANK(VLOOKUP(DATEVALUE(LEFT($B426,4)&amp;"-"&amp;MID($B426,5,2)&amp;"-"&amp;RIGHT($B426,2)),Data,MATCH(LEFT(VLOOKUP(MID(E$1,2,LEN(E$1)-1),Parameters,2,FALSE()),4)&amp;"*",OFFSET(Data,0,0,1),0)+MATCH($C426,OFFSET(Data,1,0,1),0)-2,FALSE())),ISTEXT(VLOOKUP(DATEVALUE(LEFT($B426,4)&amp;"-"&amp;MID($B426,5,2)&amp;"-"&amp;RIGHT($B426,2)),Data,MATCH(LEFT(VLOOKUP(MID(E$1,2,LEN(E$1)-1),Parameters,2,FALSE()),4)&amp;"*",OFFSET(Data,0,0,1),0)+MATCH($C426,OFFSET(Data,1,0,1),0)-2,FALSE()))),Lacking,IF(ISNA(MATCH(DATEVALUE(LEFT($B426,4)&amp;"-"&amp;MID($B426,5,2)&amp;"-"&amp;RIGHT($B426,2)),OFFSET(Catalogus,0,0,,1),0)),Ok,VLOOKUP(DATEVALUE(LEFT($B426,4)&amp;"-"&amp;MID($B426,5,2)&amp;"-"&amp;RIGHT($B426,2)),Catalogus,MATCH(LEFT(VLOOKUP(MID(E$1,2,LEN(E$1)-1),Parameters,2,FALSE()),4)&amp;"*",OFFSET(Catalogus,0,0,1),0)+MATCH($C426,OFFSET(Catalogus,1,0,1),0)-2,FALSE())))</f>
        <v>0</v>
      </c>
      <c r="F426" s="42">
        <f t="shared" ref="F426:F489" ca="1" si="37">IF(OR(ISBLANK(VLOOKUP(DATEVALUE(LEFT($B426,4)&amp;"-"&amp;MID($B426,5,2)&amp;"-"&amp;RIGHT($B426,2)),Data,MATCH(LEFT(VLOOKUP(F$1,Parameters,2,FALSE()),4)&amp;"*",OFFSET(Data,0,0,1),0)+MATCH($C426,OFFSET(Data,1,0,1),0)-2,FALSE())),ISTEXT(VLOOKUP(DATEVALUE(LEFT($B426,4)&amp;"-"&amp;MID($B426,5,2)&amp;"-"&amp;RIGHT($B426,2)),Data,MATCH(LEFT(VLOOKUP(F$1,Parameters,2,FALSE()),4)&amp;"*",OFFSET(Data,0,0,1),0)+MATCH($C426,OFFSET(Data,1,0,1),0)-2,FALSE()))),"—",5*(VLOOKUP(DATEVALUE(LEFT($B426,4)&amp;"-"&amp;MID($B426,5,2)&amp;"-"&amp;RIGHT($B426,2)),Data,MATCH(LEFT(VLOOKUP(F$1,Parameters,2,FALSE()),4)&amp;"*",OFFSET(Data,0,0,1),0)+MATCH($C426,OFFSET(Data,1,0,1),0)-2,FALSE())-320)/90)</f>
        <v>28.888888888888889</v>
      </c>
      <c r="G426" s="29">
        <f t="shared" ref="G426:G489" ca="1" si="38">IF(OR(ISBLANK(VLOOKUP(DATEVALUE(LEFT($B426,4)&amp;"-"&amp;MID($B426,5,2)&amp;"-"&amp;RIGHT($B426,2)),Data,MATCH(LEFT(VLOOKUP(MID(G$1,2,LEN(G$1)-1),Parameters,2,FALSE()),4)&amp;"*",OFFSET(Data,0,0,1),0)+MATCH($C426,OFFSET(Data,1,0,1),0)-2,FALSE())),ISTEXT(VLOOKUP(DATEVALUE(LEFT($B426,4)&amp;"-"&amp;MID($B426,5,2)&amp;"-"&amp;RIGHT($B426,2)),Data,MATCH(LEFT(VLOOKUP(MID(G$1,2,LEN(G$1)-1),Parameters,2,FALSE()),4)&amp;"*",OFFSET(Data,0,0,1),0)+MATCH($C426,OFFSET(Data,1,0,1),0)-2,FALSE()))),Lacking,IF(ISNA(MATCH(DATEVALUE(LEFT($B426,4)&amp;"-"&amp;MID($B426,5,2)&amp;"-"&amp;RIGHT($B426,2)),OFFSET(Catalogus,0,0,,1),0)),Ok,VLOOKUP(DATEVALUE(LEFT($B426,4)&amp;"-"&amp;MID($B426,5,2)&amp;"-"&amp;RIGHT($B426,2)),Catalogus,MATCH(LEFT(VLOOKUP(MID(G$1,2,LEN(G$1)-1),Parameters,2,FALSE()),4)&amp;"*",OFFSET(Catalogus,0,0,1),0)+MATCH($C426,OFFSET(Catalogus,1,0,1),0)-2,FALSE())))</f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19330801</v>
      </c>
      <c r="C427" s="24" t="str">
        <f>INDEX(Data,2,2+MOD(ROWS(C$2:C427)-1,2))</f>
        <v>15.00</v>
      </c>
      <c r="D427" s="41">
        <f t="shared" ca="1" si="35"/>
        <v>759.45999999999992</v>
      </c>
      <c r="E427" s="29">
        <f t="shared" ca="1" si="36"/>
        <v>0</v>
      </c>
      <c r="F427" s="42">
        <f t="shared" ca="1" si="37"/>
        <v>30.555555555555557</v>
      </c>
      <c r="G427" s="29">
        <f t="shared" ca="1" si="38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19330802</v>
      </c>
      <c r="C428" s="24" t="str">
        <f>INDEX(Data,2,2+MOD(ROWS(C$2:C428)-1,2))</f>
        <v>08.00</v>
      </c>
      <c r="D428" s="41">
        <f t="shared" ca="1" si="35"/>
        <v>762.25400000000002</v>
      </c>
      <c r="E428" s="29">
        <f t="shared" ca="1" si="36"/>
        <v>0</v>
      </c>
      <c r="F428" s="42">
        <f t="shared" ca="1" si="37"/>
        <v>28.611111111111111</v>
      </c>
      <c r="G428" s="29">
        <f t="shared" ca="1" si="38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19330802</v>
      </c>
      <c r="C429" s="24" t="str">
        <f>INDEX(Data,2,2+MOD(ROWS(C$2:C429)-1,2))</f>
        <v>15.00</v>
      </c>
      <c r="D429" s="41">
        <f t="shared" ca="1" si="35"/>
        <v>759.71399999999994</v>
      </c>
      <c r="E429" s="29">
        <f t="shared" ca="1" si="36"/>
        <v>0</v>
      </c>
      <c r="F429" s="42">
        <f t="shared" ca="1" si="37"/>
        <v>28.333333333333332</v>
      </c>
      <c r="G429" s="29">
        <f t="shared" ca="1" si="38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19330803</v>
      </c>
      <c r="C430" s="24" t="str">
        <f>INDEX(Data,2,2+MOD(ROWS(C$2:C430)-1,2))</f>
        <v>08.00</v>
      </c>
      <c r="D430" s="41">
        <f t="shared" ca="1" si="35"/>
        <v>761.74599999999998</v>
      </c>
      <c r="E430" s="29">
        <f t="shared" ca="1" si="36"/>
        <v>0</v>
      </c>
      <c r="F430" s="42">
        <f t="shared" ca="1" si="37"/>
        <v>27.5</v>
      </c>
      <c r="G430" s="29">
        <f t="shared" ca="1" si="38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19330803</v>
      </c>
      <c r="C431" s="24" t="str">
        <f>INDEX(Data,2,2+MOD(ROWS(C$2:C431)-1,2))</f>
        <v>15.00</v>
      </c>
      <c r="D431" s="41">
        <f t="shared" ca="1" si="35"/>
        <v>759.45999999999992</v>
      </c>
      <c r="E431" s="29">
        <f t="shared" ca="1" si="36"/>
        <v>0</v>
      </c>
      <c r="F431" s="42">
        <f t="shared" ca="1" si="37"/>
        <v>29.444444444444443</v>
      </c>
      <c r="G431" s="29">
        <f t="shared" ca="1" si="38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19330804</v>
      </c>
      <c r="C432" s="24" t="str">
        <f>INDEX(Data,2,2+MOD(ROWS(C$2:C432)-1,2))</f>
        <v>08.00</v>
      </c>
      <c r="D432" s="41">
        <f t="shared" ca="1" si="35"/>
        <v>760.73</v>
      </c>
      <c r="E432" s="29">
        <f t="shared" ca="1" si="36"/>
        <v>0</v>
      </c>
      <c r="F432" s="42">
        <f t="shared" ca="1" si="37"/>
        <v>28.888888888888889</v>
      </c>
      <c r="G432" s="29">
        <f t="shared" ca="1" si="38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19330804</v>
      </c>
      <c r="C433" s="24" t="str">
        <f>INDEX(Data,2,2+MOD(ROWS(C$2:C433)-1,2))</f>
        <v>15.00</v>
      </c>
      <c r="D433" s="41">
        <f t="shared" ca="1" si="35"/>
        <v>759.71399999999994</v>
      </c>
      <c r="E433" s="29">
        <f t="shared" ca="1" si="36"/>
        <v>0</v>
      </c>
      <c r="F433" s="42">
        <f t="shared" ca="1" si="37"/>
        <v>30.833333333333332</v>
      </c>
      <c r="G433" s="29">
        <f t="shared" ca="1" si="38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19330805</v>
      </c>
      <c r="C434" s="24" t="str">
        <f>INDEX(Data,2,2+MOD(ROWS(C$2:C434)-1,2))</f>
        <v>08.00</v>
      </c>
      <c r="D434" s="41">
        <f t="shared" ca="1" si="35"/>
        <v>761.23799999999994</v>
      </c>
      <c r="E434" s="29">
        <f t="shared" ca="1" si="36"/>
        <v>0</v>
      </c>
      <c r="F434" s="42">
        <f t="shared" ca="1" si="37"/>
        <v>29.444444444444443</v>
      </c>
      <c r="G434" s="29">
        <f t="shared" ca="1" si="38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19330805</v>
      </c>
      <c r="C435" s="24" t="str">
        <f>INDEX(Data,2,2+MOD(ROWS(C$2:C435)-1,2))</f>
        <v>15.00</v>
      </c>
      <c r="D435" s="41">
        <f t="shared" ca="1" si="35"/>
        <v>759.45999999999992</v>
      </c>
      <c r="E435" s="29">
        <f t="shared" ca="1" si="36"/>
        <v>0</v>
      </c>
      <c r="F435" s="42">
        <f t="shared" ca="1" si="37"/>
        <v>30.555555555555557</v>
      </c>
      <c r="G435" s="29">
        <f t="shared" ca="1" si="38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19330806</v>
      </c>
      <c r="C436" s="24" t="str">
        <f>INDEX(Data,2,2+MOD(ROWS(C$2:C436)-1,2))</f>
        <v>08.00</v>
      </c>
      <c r="D436" s="41">
        <f t="shared" ca="1" si="35"/>
        <v>761.49199999999996</v>
      </c>
      <c r="E436" s="29">
        <f t="shared" ca="1" si="36"/>
        <v>0</v>
      </c>
      <c r="F436" s="42">
        <f t="shared" ca="1" si="37"/>
        <v>28.888888888888889</v>
      </c>
      <c r="G436" s="29">
        <f t="shared" ca="1" si="38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19330806</v>
      </c>
      <c r="C437" s="24" t="str">
        <f>INDEX(Data,2,2+MOD(ROWS(C$2:C437)-1,2))</f>
        <v>15.00</v>
      </c>
      <c r="D437" s="41">
        <f t="shared" ca="1" si="35"/>
        <v>759.45999999999992</v>
      </c>
      <c r="E437" s="29">
        <f t="shared" ca="1" si="36"/>
        <v>0</v>
      </c>
      <c r="F437" s="42">
        <f t="shared" ca="1" si="37"/>
        <v>30.555555555555557</v>
      </c>
      <c r="G437" s="29">
        <f t="shared" ca="1" si="38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19330807</v>
      </c>
      <c r="C438" s="24" t="str">
        <f>INDEX(Data,2,2+MOD(ROWS(C$2:C438)-1,2))</f>
        <v>08.00</v>
      </c>
      <c r="D438" s="41">
        <f t="shared" ca="1" si="35"/>
        <v>762.50799999999992</v>
      </c>
      <c r="E438" s="29">
        <f t="shared" ca="1" si="36"/>
        <v>0</v>
      </c>
      <c r="F438" s="42">
        <f t="shared" ca="1" si="37"/>
        <v>29.444444444444443</v>
      </c>
      <c r="G438" s="29">
        <f t="shared" ca="1" si="38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19330807</v>
      </c>
      <c r="C439" s="24" t="str">
        <f>INDEX(Data,2,2+MOD(ROWS(C$2:C439)-1,2))</f>
        <v>15.00</v>
      </c>
      <c r="D439" s="41">
        <f t="shared" ca="1" si="35"/>
        <v>760.476</v>
      </c>
      <c r="E439" s="29">
        <f t="shared" ca="1" si="36"/>
        <v>0</v>
      </c>
      <c r="F439" s="42">
        <f t="shared" ca="1" si="37"/>
        <v>30.833333333333332</v>
      </c>
      <c r="G439" s="29">
        <f t="shared" ca="1" si="38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19330808</v>
      </c>
      <c r="C440" s="24" t="str">
        <f>INDEX(Data,2,2+MOD(ROWS(C$2:C440)-1,2))</f>
        <v>08.00</v>
      </c>
      <c r="D440" s="41">
        <f t="shared" ca="1" si="35"/>
        <v>761.23799999999994</v>
      </c>
      <c r="E440" s="29">
        <f t="shared" ca="1" si="36"/>
        <v>0</v>
      </c>
      <c r="F440" s="42">
        <f t="shared" ca="1" si="37"/>
        <v>29.166666666666668</v>
      </c>
      <c r="G440" s="29">
        <f t="shared" ca="1" si="38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19330808</v>
      </c>
      <c r="C441" s="24" t="str">
        <f>INDEX(Data,2,2+MOD(ROWS(C$2:C441)-1,2))</f>
        <v>15.00</v>
      </c>
      <c r="D441" s="41">
        <f t="shared" ca="1" si="35"/>
        <v>759.71399999999994</v>
      </c>
      <c r="E441" s="29">
        <f t="shared" ca="1" si="36"/>
        <v>0</v>
      </c>
      <c r="F441" s="42">
        <f t="shared" ca="1" si="37"/>
        <v>30.555555555555557</v>
      </c>
      <c r="G441" s="29">
        <f t="shared" ca="1" si="38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19330809</v>
      </c>
      <c r="C442" s="24" t="str">
        <f>INDEX(Data,2,2+MOD(ROWS(C$2:C442)-1,2))</f>
        <v>08.00</v>
      </c>
      <c r="D442" s="41">
        <f t="shared" ca="1" si="35"/>
        <v>760.476</v>
      </c>
      <c r="E442" s="29">
        <f t="shared" ca="1" si="36"/>
        <v>0</v>
      </c>
      <c r="F442" s="42">
        <f t="shared" ca="1" si="37"/>
        <v>29.444444444444443</v>
      </c>
      <c r="G442" s="29">
        <f t="shared" ca="1" si="38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19330809</v>
      </c>
      <c r="C443" s="24" t="str">
        <f>INDEX(Data,2,2+MOD(ROWS(C$2:C443)-1,2))</f>
        <v>15.00</v>
      </c>
      <c r="D443" s="41">
        <f t="shared" ca="1" si="35"/>
        <v>759.71399999999994</v>
      </c>
      <c r="E443" s="29">
        <f t="shared" ca="1" si="36"/>
        <v>0</v>
      </c>
      <c r="F443" s="42">
        <f t="shared" ca="1" si="37"/>
        <v>30.555555555555557</v>
      </c>
      <c r="G443" s="29">
        <f t="shared" ca="1" si="38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19330810</v>
      </c>
      <c r="C444" s="24" t="str">
        <f>INDEX(Data,2,2+MOD(ROWS(C$2:C444)-1,2))</f>
        <v>08.00</v>
      </c>
      <c r="D444" s="41">
        <f t="shared" ca="1" si="35"/>
        <v>762.76199999999994</v>
      </c>
      <c r="E444" s="29">
        <f t="shared" ca="1" si="36"/>
        <v>0</v>
      </c>
      <c r="F444" s="42">
        <f t="shared" ca="1" si="37"/>
        <v>29.166666666666668</v>
      </c>
      <c r="G444" s="29">
        <f t="shared" ca="1" si="38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19330810</v>
      </c>
      <c r="C445" s="24" t="str">
        <f>INDEX(Data,2,2+MOD(ROWS(C$2:C445)-1,2))</f>
        <v>15.00</v>
      </c>
      <c r="D445" s="41">
        <f t="shared" ca="1" si="35"/>
        <v>760.73</v>
      </c>
      <c r="E445" s="29">
        <f t="shared" ca="1" si="36"/>
        <v>0</v>
      </c>
      <c r="F445" s="42">
        <f t="shared" ca="1" si="37"/>
        <v>30.555555555555557</v>
      </c>
      <c r="G445" s="29">
        <f t="shared" ca="1" si="38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19330811</v>
      </c>
      <c r="C446" s="24" t="str">
        <f>INDEX(Data,2,2+MOD(ROWS(C$2:C446)-1,2))</f>
        <v>08.00</v>
      </c>
      <c r="D446" s="41">
        <f t="shared" ca="1" si="35"/>
        <v>762.76199999999994</v>
      </c>
      <c r="E446" s="29">
        <f t="shared" ca="1" si="36"/>
        <v>0</v>
      </c>
      <c r="F446" s="42">
        <f t="shared" ca="1" si="37"/>
        <v>28.611111111111111</v>
      </c>
      <c r="G446" s="29">
        <f t="shared" ca="1" si="38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19330811</v>
      </c>
      <c r="C447" s="24" t="str">
        <f>INDEX(Data,2,2+MOD(ROWS(C$2:C447)-1,2))</f>
        <v>15.00</v>
      </c>
      <c r="D447" s="41">
        <f t="shared" ca="1" si="35"/>
        <v>760.73</v>
      </c>
      <c r="E447" s="29">
        <f t="shared" ca="1" si="36"/>
        <v>0</v>
      </c>
      <c r="F447" s="42">
        <f t="shared" ca="1" si="37"/>
        <v>28.888888888888889</v>
      </c>
      <c r="G447" s="29">
        <f t="shared" ca="1" si="38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19330812</v>
      </c>
      <c r="C448" s="24" t="str">
        <f>INDEX(Data,2,2+MOD(ROWS(C$2:C448)-1,2))</f>
        <v>08.00</v>
      </c>
      <c r="D448" s="41">
        <f t="shared" ca="1" si="35"/>
        <v>762</v>
      </c>
      <c r="E448" s="29">
        <f t="shared" ca="1" si="36"/>
        <v>0</v>
      </c>
      <c r="F448" s="42">
        <f t="shared" ca="1" si="37"/>
        <v>28.888888888888889</v>
      </c>
      <c r="G448" s="29">
        <f t="shared" ca="1" si="38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19330812</v>
      </c>
      <c r="C449" s="24" t="str">
        <f>INDEX(Data,2,2+MOD(ROWS(C$2:C449)-1,2))</f>
        <v>15.00</v>
      </c>
      <c r="D449" s="41">
        <f t="shared" ca="1" si="35"/>
        <v>759.96799999999996</v>
      </c>
      <c r="E449" s="29">
        <f t="shared" ca="1" si="36"/>
        <v>0</v>
      </c>
      <c r="F449" s="42">
        <f t="shared" ca="1" si="37"/>
        <v>30</v>
      </c>
      <c r="G449" s="29">
        <f t="shared" ca="1" si="38"/>
        <v>0</v>
      </c>
    </row>
    <row r="450" spans="1:7" x14ac:dyDescent="0.25">
      <c r="A450" s="11">
        <f t="shared" ref="A450:A513" si="39">INDEX(Stations,2,1)</f>
        <v>44</v>
      </c>
      <c r="B450" t="str">
        <f ca="1">TEXT(DATE(YEAR(Invoer!$A$5),1,1)+INT((ROWS(B$2:B450)-1)/2),"jjjjmmdd")</f>
        <v>19330813</v>
      </c>
      <c r="C450" s="24" t="str">
        <f>INDEX(Data,2,2+MOD(ROWS(C$2:C450)-1,2))</f>
        <v>08.00</v>
      </c>
      <c r="D450" s="41">
        <f t="shared" ca="1" si="35"/>
        <v>760.73</v>
      </c>
      <c r="E450" s="29">
        <f t="shared" ca="1" si="36"/>
        <v>0</v>
      </c>
      <c r="F450" s="42">
        <f t="shared" ca="1" si="37"/>
        <v>28.888888888888889</v>
      </c>
      <c r="G450" s="29">
        <f t="shared" ca="1" si="38"/>
        <v>0</v>
      </c>
    </row>
    <row r="451" spans="1:7" x14ac:dyDescent="0.25">
      <c r="A451" s="11">
        <f t="shared" si="39"/>
        <v>44</v>
      </c>
      <c r="B451" t="str">
        <f ca="1">TEXT(DATE(YEAR(Invoer!$A$5),1,1)+INT((ROWS(B$2:B451)-1)/2),"jjjjmmdd")</f>
        <v>19330813</v>
      </c>
      <c r="C451" s="24" t="str">
        <f>INDEX(Data,2,2+MOD(ROWS(C$2:C451)-1,2))</f>
        <v>15.00</v>
      </c>
      <c r="D451" s="41">
        <f t="shared" ca="1" si="35"/>
        <v>759.45999999999992</v>
      </c>
      <c r="E451" s="29">
        <f t="shared" ca="1" si="36"/>
        <v>0</v>
      </c>
      <c r="F451" s="42">
        <f t="shared" ca="1" si="37"/>
        <v>30.277777777777779</v>
      </c>
      <c r="G451" s="29">
        <f t="shared" ca="1" si="38"/>
        <v>0</v>
      </c>
    </row>
    <row r="452" spans="1:7" x14ac:dyDescent="0.25">
      <c r="A452" s="11">
        <f t="shared" si="39"/>
        <v>44</v>
      </c>
      <c r="B452" t="str">
        <f ca="1">TEXT(DATE(YEAR(Invoer!$A$5),1,1)+INT((ROWS(B$2:B452)-1)/2),"jjjjmmdd")</f>
        <v>19330814</v>
      </c>
      <c r="C452" s="24" t="str">
        <f>INDEX(Data,2,2+MOD(ROWS(C$2:C452)-1,2))</f>
        <v>08.00</v>
      </c>
      <c r="D452" s="41">
        <f t="shared" ca="1" si="35"/>
        <v>760.476</v>
      </c>
      <c r="E452" s="29">
        <f t="shared" ca="1" si="36"/>
        <v>0</v>
      </c>
      <c r="F452" s="42">
        <f t="shared" ca="1" si="37"/>
        <v>28.888888888888889</v>
      </c>
      <c r="G452" s="29">
        <f t="shared" ca="1" si="38"/>
        <v>0</v>
      </c>
    </row>
    <row r="453" spans="1:7" x14ac:dyDescent="0.25">
      <c r="A453" s="11">
        <f t="shared" si="39"/>
        <v>44</v>
      </c>
      <c r="B453" t="str">
        <f ca="1">TEXT(DATE(YEAR(Invoer!$A$5),1,1)+INT((ROWS(B$2:B453)-1)/2),"jjjjmmdd")</f>
        <v>19330814</v>
      </c>
      <c r="C453" s="24" t="str">
        <f>INDEX(Data,2,2+MOD(ROWS(C$2:C453)-1,2))</f>
        <v>15.00</v>
      </c>
      <c r="D453" s="41">
        <f t="shared" ca="1" si="35"/>
        <v>758.69799999999998</v>
      </c>
      <c r="E453" s="29">
        <f t="shared" ca="1" si="36"/>
        <v>0</v>
      </c>
      <c r="F453" s="42">
        <f t="shared" ca="1" si="37"/>
        <v>30.833333333333332</v>
      </c>
      <c r="G453" s="29">
        <f t="shared" ca="1" si="38"/>
        <v>0</v>
      </c>
    </row>
    <row r="454" spans="1:7" x14ac:dyDescent="0.25">
      <c r="A454" s="11">
        <f t="shared" si="39"/>
        <v>44</v>
      </c>
      <c r="B454" t="str">
        <f ca="1">TEXT(DATE(YEAR(Invoer!$A$5),1,1)+INT((ROWS(B$2:B454)-1)/2),"jjjjmmdd")</f>
        <v>19330815</v>
      </c>
      <c r="C454" s="24" t="str">
        <f>INDEX(Data,2,2+MOD(ROWS(C$2:C454)-1,2))</f>
        <v>08.00</v>
      </c>
      <c r="D454" s="41">
        <f t="shared" ca="1" si="35"/>
        <v>761.23799999999994</v>
      </c>
      <c r="E454" s="29">
        <f t="shared" ca="1" si="36"/>
        <v>0</v>
      </c>
      <c r="F454" s="42">
        <f t="shared" ca="1" si="37"/>
        <v>29.444444444444443</v>
      </c>
      <c r="G454" s="29">
        <f t="shared" ca="1" si="38"/>
        <v>0</v>
      </c>
    </row>
    <row r="455" spans="1:7" x14ac:dyDescent="0.25">
      <c r="A455" s="11">
        <f t="shared" si="39"/>
        <v>44</v>
      </c>
      <c r="B455" t="str">
        <f ca="1">TEXT(DATE(YEAR(Invoer!$A$5),1,1)+INT((ROWS(B$2:B455)-1)/2),"jjjjmmdd")</f>
        <v>19330815</v>
      </c>
      <c r="C455" s="24" t="str">
        <f>INDEX(Data,2,2+MOD(ROWS(C$2:C455)-1,2))</f>
        <v>15.00</v>
      </c>
      <c r="D455" s="41">
        <f t="shared" ca="1" si="35"/>
        <v>760.22199999999998</v>
      </c>
      <c r="E455" s="29">
        <f t="shared" ca="1" si="36"/>
        <v>0</v>
      </c>
      <c r="F455" s="42">
        <f t="shared" ca="1" si="37"/>
        <v>30.555555555555557</v>
      </c>
      <c r="G455" s="29">
        <f t="shared" ca="1" si="38"/>
        <v>0</v>
      </c>
    </row>
    <row r="456" spans="1:7" x14ac:dyDescent="0.25">
      <c r="A456" s="11">
        <f t="shared" si="39"/>
        <v>44</v>
      </c>
      <c r="B456" t="str">
        <f ca="1">TEXT(DATE(YEAR(Invoer!$A$5),1,1)+INT((ROWS(B$2:B456)-1)/2),"jjjjmmdd")</f>
        <v>19330816</v>
      </c>
      <c r="C456" s="24" t="str">
        <f>INDEX(Data,2,2+MOD(ROWS(C$2:C456)-1,2))</f>
        <v>08.00</v>
      </c>
      <c r="D456" s="41">
        <f t="shared" ca="1" si="35"/>
        <v>761.23799999999994</v>
      </c>
      <c r="E456" s="29">
        <f t="shared" ca="1" si="36"/>
        <v>0</v>
      </c>
      <c r="F456" s="42">
        <f t="shared" ca="1" si="37"/>
        <v>28.888888888888889</v>
      </c>
      <c r="G456" s="29">
        <f t="shared" ca="1" si="38"/>
        <v>0</v>
      </c>
    </row>
    <row r="457" spans="1:7" x14ac:dyDescent="0.25">
      <c r="A457" s="11">
        <f t="shared" si="39"/>
        <v>44</v>
      </c>
      <c r="B457" t="str">
        <f ca="1">TEXT(DATE(YEAR(Invoer!$A$5),1,1)+INT((ROWS(B$2:B457)-1)/2),"jjjjmmdd")</f>
        <v>19330816</v>
      </c>
      <c r="C457" s="24" t="str">
        <f>INDEX(Data,2,2+MOD(ROWS(C$2:C457)-1,2))</f>
        <v>15.00</v>
      </c>
      <c r="D457" s="41">
        <f t="shared" ca="1" si="35"/>
        <v>759.20600000000002</v>
      </c>
      <c r="E457" s="29">
        <f t="shared" ca="1" si="36"/>
        <v>0</v>
      </c>
      <c r="F457" s="42">
        <f t="shared" ca="1" si="37"/>
        <v>30.555555555555557</v>
      </c>
      <c r="G457" s="29">
        <f t="shared" ca="1" si="38"/>
        <v>0</v>
      </c>
    </row>
    <row r="458" spans="1:7" x14ac:dyDescent="0.25">
      <c r="A458" s="11">
        <f t="shared" si="39"/>
        <v>44</v>
      </c>
      <c r="B458" t="str">
        <f ca="1">TEXT(DATE(YEAR(Invoer!$A$5),1,1)+INT((ROWS(B$2:B458)-1)/2),"jjjjmmdd")</f>
        <v>19330817</v>
      </c>
      <c r="C458" s="24" t="str">
        <f>INDEX(Data,2,2+MOD(ROWS(C$2:C458)-1,2))</f>
        <v>08.00</v>
      </c>
      <c r="D458" s="41">
        <f t="shared" ca="1" si="35"/>
        <v>759.71399999999994</v>
      </c>
      <c r="E458" s="29">
        <f t="shared" ca="1" si="36"/>
        <v>0</v>
      </c>
      <c r="F458" s="42">
        <f t="shared" ca="1" si="37"/>
        <v>28.611111111111111</v>
      </c>
      <c r="G458" s="29">
        <f t="shared" ca="1" si="38"/>
        <v>0</v>
      </c>
    </row>
    <row r="459" spans="1:7" x14ac:dyDescent="0.25">
      <c r="A459" s="11">
        <f t="shared" si="39"/>
        <v>44</v>
      </c>
      <c r="B459" t="str">
        <f ca="1">TEXT(DATE(YEAR(Invoer!$A$5),1,1)+INT((ROWS(B$2:B459)-1)/2),"jjjjmmdd")</f>
        <v>19330817</v>
      </c>
      <c r="C459" s="24" t="str">
        <f>INDEX(Data,2,2+MOD(ROWS(C$2:C459)-1,2))</f>
        <v>15.00</v>
      </c>
      <c r="D459" s="41">
        <f t="shared" ca="1" si="35"/>
        <v>757.68200000000002</v>
      </c>
      <c r="E459" s="29">
        <f t="shared" ca="1" si="36"/>
        <v>0</v>
      </c>
      <c r="F459" s="42">
        <f t="shared" ca="1" si="37"/>
        <v>28.888888888888889</v>
      </c>
      <c r="G459" s="29">
        <f t="shared" ca="1" si="38"/>
        <v>0</v>
      </c>
    </row>
    <row r="460" spans="1:7" x14ac:dyDescent="0.25">
      <c r="A460" s="11">
        <f t="shared" si="39"/>
        <v>44</v>
      </c>
      <c r="B460" t="str">
        <f ca="1">TEXT(DATE(YEAR(Invoer!$A$5),1,1)+INT((ROWS(B$2:B460)-1)/2),"jjjjmmdd")</f>
        <v>19330818</v>
      </c>
      <c r="C460" s="24" t="str">
        <f>INDEX(Data,2,2+MOD(ROWS(C$2:C460)-1,2))</f>
        <v>08.00</v>
      </c>
      <c r="D460" s="41">
        <f t="shared" ca="1" si="35"/>
        <v>759.45999999999992</v>
      </c>
      <c r="E460" s="29">
        <f t="shared" ca="1" si="36"/>
        <v>0</v>
      </c>
      <c r="F460" s="42">
        <f t="shared" ca="1" si="37"/>
        <v>28.055555555555557</v>
      </c>
      <c r="G460" s="29">
        <f t="shared" ca="1" si="38"/>
        <v>0</v>
      </c>
    </row>
    <row r="461" spans="1:7" x14ac:dyDescent="0.25">
      <c r="A461" s="11">
        <f t="shared" si="39"/>
        <v>44</v>
      </c>
      <c r="B461" t="str">
        <f ca="1">TEXT(DATE(YEAR(Invoer!$A$5),1,1)+INT((ROWS(B$2:B461)-1)/2),"jjjjmmdd")</f>
        <v>19330818</v>
      </c>
      <c r="C461" s="24" t="str">
        <f>INDEX(Data,2,2+MOD(ROWS(C$2:C461)-1,2))</f>
        <v>15.00</v>
      </c>
      <c r="D461" s="41">
        <f t="shared" ca="1" si="35"/>
        <v>757.93599999999992</v>
      </c>
      <c r="E461" s="29">
        <f t="shared" ca="1" si="36"/>
        <v>0</v>
      </c>
      <c r="F461" s="42">
        <f t="shared" ca="1" si="37"/>
        <v>30.555555555555557</v>
      </c>
      <c r="G461" s="29">
        <f t="shared" ca="1" si="38"/>
        <v>0</v>
      </c>
    </row>
    <row r="462" spans="1:7" x14ac:dyDescent="0.25">
      <c r="A462" s="11">
        <f t="shared" si="39"/>
        <v>44</v>
      </c>
      <c r="B462" t="str">
        <f ca="1">TEXT(DATE(YEAR(Invoer!$A$5),1,1)+INT((ROWS(B$2:B462)-1)/2),"jjjjmmdd")</f>
        <v>19330819</v>
      </c>
      <c r="C462" s="24" t="str">
        <f>INDEX(Data,2,2+MOD(ROWS(C$2:C462)-1,2))</f>
        <v>08.00</v>
      </c>
      <c r="D462" s="41">
        <f t="shared" ca="1" si="35"/>
        <v>760.73</v>
      </c>
      <c r="E462" s="29">
        <f t="shared" ca="1" si="36"/>
        <v>0</v>
      </c>
      <c r="F462" s="42">
        <f t="shared" ca="1" si="37"/>
        <v>28.888888888888889</v>
      </c>
      <c r="G462" s="29">
        <f t="shared" ca="1" si="38"/>
        <v>0</v>
      </c>
    </row>
    <row r="463" spans="1:7" x14ac:dyDescent="0.25">
      <c r="A463" s="11">
        <f t="shared" si="39"/>
        <v>44</v>
      </c>
      <c r="B463" t="str">
        <f ca="1">TEXT(DATE(YEAR(Invoer!$A$5),1,1)+INT((ROWS(B$2:B463)-1)/2),"jjjjmmdd")</f>
        <v>19330819</v>
      </c>
      <c r="C463" s="24" t="str">
        <f>INDEX(Data,2,2+MOD(ROWS(C$2:C463)-1,2))</f>
        <v>15.00</v>
      </c>
      <c r="D463" s="41">
        <f t="shared" ca="1" si="35"/>
        <v>759.20600000000002</v>
      </c>
      <c r="E463" s="29">
        <f t="shared" ca="1" si="36"/>
        <v>0</v>
      </c>
      <c r="F463" s="42">
        <f t="shared" ca="1" si="37"/>
        <v>29.444444444444443</v>
      </c>
      <c r="G463" s="29">
        <f t="shared" ca="1" si="38"/>
        <v>0</v>
      </c>
    </row>
    <row r="464" spans="1:7" x14ac:dyDescent="0.25">
      <c r="A464" s="11">
        <f t="shared" si="39"/>
        <v>44</v>
      </c>
      <c r="B464" t="str">
        <f ca="1">TEXT(DATE(YEAR(Invoer!$A$5),1,1)+INT((ROWS(B$2:B464)-1)/2),"jjjjmmdd")</f>
        <v>19330820</v>
      </c>
      <c r="C464" s="24" t="str">
        <f>INDEX(Data,2,2+MOD(ROWS(C$2:C464)-1,2))</f>
        <v>08.00</v>
      </c>
      <c r="D464" s="41">
        <f t="shared" ca="1" si="35"/>
        <v>760.73</v>
      </c>
      <c r="E464" s="29">
        <f t="shared" ca="1" si="36"/>
        <v>0</v>
      </c>
      <c r="F464" s="42">
        <f t="shared" ca="1" si="37"/>
        <v>28.888888888888889</v>
      </c>
      <c r="G464" s="29">
        <f t="shared" ca="1" si="38"/>
        <v>0</v>
      </c>
    </row>
    <row r="465" spans="1:7" x14ac:dyDescent="0.25">
      <c r="A465" s="11">
        <f t="shared" si="39"/>
        <v>44</v>
      </c>
      <c r="B465" t="str">
        <f ca="1">TEXT(DATE(YEAR(Invoer!$A$5),1,1)+INT((ROWS(B$2:B465)-1)/2),"jjjjmmdd")</f>
        <v>19330820</v>
      </c>
      <c r="C465" s="24" t="str">
        <f>INDEX(Data,2,2+MOD(ROWS(C$2:C465)-1,2))</f>
        <v>15.00</v>
      </c>
      <c r="D465" s="41">
        <f t="shared" ca="1" si="35"/>
        <v>759.20600000000002</v>
      </c>
      <c r="E465" s="29">
        <f t="shared" ca="1" si="36"/>
        <v>0</v>
      </c>
      <c r="F465" s="42">
        <f t="shared" ca="1" si="37"/>
        <v>29.722222222222221</v>
      </c>
      <c r="G465" s="29">
        <f t="shared" ca="1" si="38"/>
        <v>0</v>
      </c>
    </row>
    <row r="466" spans="1:7" x14ac:dyDescent="0.25">
      <c r="A466" s="11">
        <f t="shared" si="39"/>
        <v>44</v>
      </c>
      <c r="B466" t="str">
        <f ca="1">TEXT(DATE(YEAR(Invoer!$A$5),1,1)+INT((ROWS(B$2:B466)-1)/2),"jjjjmmdd")</f>
        <v>19330821</v>
      </c>
      <c r="C466" s="24" t="str">
        <f>INDEX(Data,2,2+MOD(ROWS(C$2:C466)-1,2))</f>
        <v>08.00</v>
      </c>
      <c r="D466" s="41">
        <f t="shared" ca="1" si="35"/>
        <v>760.73</v>
      </c>
      <c r="E466" s="29">
        <f t="shared" ca="1" si="36"/>
        <v>0</v>
      </c>
      <c r="F466" s="42">
        <f t="shared" ca="1" si="37"/>
        <v>29.166666666666668</v>
      </c>
      <c r="G466" s="29">
        <f t="shared" ca="1" si="38"/>
        <v>0</v>
      </c>
    </row>
    <row r="467" spans="1:7" x14ac:dyDescent="0.25">
      <c r="A467" s="11">
        <f t="shared" si="39"/>
        <v>44</v>
      </c>
      <c r="B467" t="str">
        <f ca="1">TEXT(DATE(YEAR(Invoer!$A$5),1,1)+INT((ROWS(B$2:B467)-1)/2),"jjjjmmdd")</f>
        <v>19330821</v>
      </c>
      <c r="C467" s="24" t="str">
        <f>INDEX(Data,2,2+MOD(ROWS(C$2:C467)-1,2))</f>
        <v>15.00</v>
      </c>
      <c r="D467" s="41">
        <f t="shared" ca="1" si="35"/>
        <v>758.69799999999998</v>
      </c>
      <c r="E467" s="29">
        <f t="shared" ca="1" si="36"/>
        <v>0</v>
      </c>
      <c r="F467" s="42">
        <f t="shared" ca="1" si="37"/>
        <v>30.833333333333332</v>
      </c>
      <c r="G467" s="29">
        <f t="shared" ca="1" si="38"/>
        <v>0</v>
      </c>
    </row>
    <row r="468" spans="1:7" x14ac:dyDescent="0.25">
      <c r="A468" s="11">
        <f t="shared" si="39"/>
        <v>44</v>
      </c>
      <c r="B468" t="str">
        <f ca="1">TEXT(DATE(YEAR(Invoer!$A$5),1,1)+INT((ROWS(B$2:B468)-1)/2),"jjjjmmdd")</f>
        <v>19330822</v>
      </c>
      <c r="C468" s="24" t="str">
        <f>INDEX(Data,2,2+MOD(ROWS(C$2:C468)-1,2))</f>
        <v>08.00</v>
      </c>
      <c r="D468" s="41">
        <f t="shared" ca="1" si="35"/>
        <v>759.96799999999996</v>
      </c>
      <c r="E468" s="29">
        <f t="shared" ca="1" si="36"/>
        <v>0</v>
      </c>
      <c r="F468" s="42">
        <f t="shared" ca="1" si="37"/>
        <v>28.888888888888889</v>
      </c>
      <c r="G468" s="29">
        <f t="shared" ca="1" si="38"/>
        <v>0</v>
      </c>
    </row>
    <row r="469" spans="1:7" x14ac:dyDescent="0.25">
      <c r="A469" s="11">
        <f t="shared" si="39"/>
        <v>44</v>
      </c>
      <c r="B469" t="str">
        <f ca="1">TEXT(DATE(YEAR(Invoer!$A$5),1,1)+INT((ROWS(B$2:B469)-1)/2),"jjjjmmdd")</f>
        <v>19330822</v>
      </c>
      <c r="C469" s="24" t="str">
        <f>INDEX(Data,2,2+MOD(ROWS(C$2:C469)-1,2))</f>
        <v>15.00</v>
      </c>
      <c r="D469" s="41">
        <f t="shared" ca="1" si="35"/>
        <v>758.18999999999994</v>
      </c>
      <c r="E469" s="29">
        <f t="shared" ca="1" si="36"/>
        <v>0</v>
      </c>
      <c r="F469" s="42">
        <f t="shared" ca="1" si="37"/>
        <v>30.833333333333332</v>
      </c>
      <c r="G469" s="29">
        <f t="shared" ca="1" si="38"/>
        <v>0</v>
      </c>
    </row>
    <row r="470" spans="1:7" x14ac:dyDescent="0.25">
      <c r="A470" s="11">
        <f t="shared" si="39"/>
        <v>44</v>
      </c>
      <c r="B470" t="str">
        <f ca="1">TEXT(DATE(YEAR(Invoer!$A$5),1,1)+INT((ROWS(B$2:B470)-1)/2),"jjjjmmdd")</f>
        <v>19330823</v>
      </c>
      <c r="C470" s="24" t="str">
        <f>INDEX(Data,2,2+MOD(ROWS(C$2:C470)-1,2))</f>
        <v>08.00</v>
      </c>
      <c r="D470" s="41">
        <f t="shared" ca="1" si="35"/>
        <v>760.22199999999998</v>
      </c>
      <c r="E470" s="29">
        <f t="shared" ca="1" si="36"/>
        <v>0</v>
      </c>
      <c r="F470" s="42">
        <f t="shared" ca="1" si="37"/>
        <v>28.888888888888889</v>
      </c>
      <c r="G470" s="29">
        <f t="shared" ca="1" si="38"/>
        <v>0</v>
      </c>
    </row>
    <row r="471" spans="1:7" x14ac:dyDescent="0.25">
      <c r="A471" s="11">
        <f t="shared" si="39"/>
        <v>44</v>
      </c>
      <c r="B471" t="str">
        <f ca="1">TEXT(DATE(YEAR(Invoer!$A$5),1,1)+INT((ROWS(B$2:B471)-1)/2),"jjjjmmdd")</f>
        <v>19330823</v>
      </c>
      <c r="C471" s="24" t="str">
        <f>INDEX(Data,2,2+MOD(ROWS(C$2:C471)-1,2))</f>
        <v>15.00</v>
      </c>
      <c r="D471" s="41">
        <f t="shared" ca="1" si="35"/>
        <v>757.68200000000002</v>
      </c>
      <c r="E471" s="29">
        <f t="shared" ca="1" si="36"/>
        <v>0</v>
      </c>
      <c r="F471" s="42">
        <f t="shared" ca="1" si="37"/>
        <v>30</v>
      </c>
      <c r="G471" s="29">
        <f t="shared" ca="1" si="38"/>
        <v>0</v>
      </c>
    </row>
    <row r="472" spans="1:7" x14ac:dyDescent="0.25">
      <c r="A472" s="11">
        <f t="shared" si="39"/>
        <v>44</v>
      </c>
      <c r="B472" t="str">
        <f ca="1">TEXT(DATE(YEAR(Invoer!$A$5),1,1)+INT((ROWS(B$2:B472)-1)/2),"jjjjmmdd")</f>
        <v>19330824</v>
      </c>
      <c r="C472" s="24" t="str">
        <f>INDEX(Data,2,2+MOD(ROWS(C$2:C472)-1,2))</f>
        <v>08.00</v>
      </c>
      <c r="D472" s="41">
        <f t="shared" ca="1" si="35"/>
        <v>759.45999999999992</v>
      </c>
      <c r="E472" s="29">
        <f t="shared" ca="1" si="36"/>
        <v>0</v>
      </c>
      <c r="F472" s="42">
        <f t="shared" ca="1" si="37"/>
        <v>28.888888888888889</v>
      </c>
      <c r="G472" s="29">
        <f t="shared" ca="1" si="38"/>
        <v>0</v>
      </c>
    </row>
    <row r="473" spans="1:7" x14ac:dyDescent="0.25">
      <c r="A473" s="11">
        <f t="shared" si="39"/>
        <v>44</v>
      </c>
      <c r="B473" t="str">
        <f ca="1">TEXT(DATE(YEAR(Invoer!$A$5),1,1)+INT((ROWS(B$2:B473)-1)/2),"jjjjmmdd")</f>
        <v>19330824</v>
      </c>
      <c r="C473" s="24" t="str">
        <f>INDEX(Data,2,2+MOD(ROWS(C$2:C473)-1,2))</f>
        <v>15.00</v>
      </c>
      <c r="D473" s="41">
        <f t="shared" ca="1" si="35"/>
        <v>756.92</v>
      </c>
      <c r="E473" s="29">
        <f t="shared" ca="1" si="36"/>
        <v>0</v>
      </c>
      <c r="F473" s="42">
        <f t="shared" ca="1" si="37"/>
        <v>30.555555555555557</v>
      </c>
      <c r="G473" s="29">
        <f t="shared" ca="1" si="38"/>
        <v>0</v>
      </c>
    </row>
    <row r="474" spans="1:7" x14ac:dyDescent="0.25">
      <c r="A474" s="11">
        <f t="shared" si="39"/>
        <v>44</v>
      </c>
      <c r="B474" t="str">
        <f ca="1">TEXT(DATE(YEAR(Invoer!$A$5),1,1)+INT((ROWS(B$2:B474)-1)/2),"jjjjmmdd")</f>
        <v>19330825</v>
      </c>
      <c r="C474" s="24" t="str">
        <f>INDEX(Data,2,2+MOD(ROWS(C$2:C474)-1,2))</f>
        <v>08.00</v>
      </c>
      <c r="D474" s="41">
        <f t="shared" ca="1" si="35"/>
        <v>758.952</v>
      </c>
      <c r="E474" s="29">
        <f t="shared" ca="1" si="36"/>
        <v>0</v>
      </c>
      <c r="F474" s="42">
        <f t="shared" ca="1" si="37"/>
        <v>29.444444444444443</v>
      </c>
      <c r="G474" s="29">
        <f t="shared" ca="1" si="38"/>
        <v>0</v>
      </c>
    </row>
    <row r="475" spans="1:7" x14ac:dyDescent="0.25">
      <c r="A475" s="11">
        <f t="shared" si="39"/>
        <v>44</v>
      </c>
      <c r="B475" t="str">
        <f ca="1">TEXT(DATE(YEAR(Invoer!$A$5),1,1)+INT((ROWS(B$2:B475)-1)/2),"jjjjmmdd")</f>
        <v>19330825</v>
      </c>
      <c r="C475" s="24" t="str">
        <f>INDEX(Data,2,2+MOD(ROWS(C$2:C475)-1,2))</f>
        <v>15.00</v>
      </c>
      <c r="D475" s="41">
        <f t="shared" ca="1" si="35"/>
        <v>759.45999999999992</v>
      </c>
      <c r="E475" s="29">
        <f t="shared" ca="1" si="36"/>
        <v>0</v>
      </c>
      <c r="F475" s="42">
        <f t="shared" ca="1" si="37"/>
        <v>29.444444444444443</v>
      </c>
      <c r="G475" s="29">
        <f t="shared" ca="1" si="38"/>
        <v>0</v>
      </c>
    </row>
    <row r="476" spans="1:7" x14ac:dyDescent="0.25">
      <c r="A476" s="11">
        <f t="shared" si="39"/>
        <v>44</v>
      </c>
      <c r="B476" t="str">
        <f ca="1">TEXT(DATE(YEAR(Invoer!$A$5),1,1)+INT((ROWS(B$2:B476)-1)/2),"jjjjmmdd")</f>
        <v>19330826</v>
      </c>
      <c r="C476" s="24" t="str">
        <f>INDEX(Data,2,2+MOD(ROWS(C$2:C476)-1,2))</f>
        <v>08.00</v>
      </c>
      <c r="D476" s="41">
        <f t="shared" ca="1" si="35"/>
        <v>760.98399999999992</v>
      </c>
      <c r="E476" s="29">
        <f t="shared" ca="1" si="36"/>
        <v>0</v>
      </c>
      <c r="F476" s="42">
        <f t="shared" ca="1" si="37"/>
        <v>28.611111111111111</v>
      </c>
      <c r="G476" s="29">
        <f t="shared" ca="1" si="38"/>
        <v>0</v>
      </c>
    </row>
    <row r="477" spans="1:7" x14ac:dyDescent="0.25">
      <c r="A477" s="11">
        <f t="shared" si="39"/>
        <v>44</v>
      </c>
      <c r="B477" t="str">
        <f ca="1">TEXT(DATE(YEAR(Invoer!$A$5),1,1)+INT((ROWS(B$2:B477)-1)/2),"jjjjmmdd")</f>
        <v>19330826</v>
      </c>
      <c r="C477" s="24" t="str">
        <f>INDEX(Data,2,2+MOD(ROWS(C$2:C477)-1,2))</f>
        <v>15.00</v>
      </c>
      <c r="D477" s="41">
        <f t="shared" ca="1" si="35"/>
        <v>759.45999999999992</v>
      </c>
      <c r="E477" s="29">
        <f t="shared" ca="1" si="36"/>
        <v>0</v>
      </c>
      <c r="F477" s="42">
        <f t="shared" ca="1" si="37"/>
        <v>30.555555555555557</v>
      </c>
      <c r="G477" s="29">
        <f t="shared" ca="1" si="38"/>
        <v>0</v>
      </c>
    </row>
    <row r="478" spans="1:7" x14ac:dyDescent="0.25">
      <c r="A478" s="11">
        <f t="shared" si="39"/>
        <v>44</v>
      </c>
      <c r="B478" t="str">
        <f ca="1">TEXT(DATE(YEAR(Invoer!$A$5),1,1)+INT((ROWS(B$2:B478)-1)/2),"jjjjmmdd")</f>
        <v>19330827</v>
      </c>
      <c r="C478" s="24" t="str">
        <f>INDEX(Data,2,2+MOD(ROWS(C$2:C478)-1,2))</f>
        <v>08.00</v>
      </c>
      <c r="D478" s="41">
        <f t="shared" ca="1" si="35"/>
        <v>760.73</v>
      </c>
      <c r="E478" s="29">
        <f t="shared" ca="1" si="36"/>
        <v>0</v>
      </c>
      <c r="F478" s="42">
        <f t="shared" ca="1" si="37"/>
        <v>28.888888888888889</v>
      </c>
      <c r="G478" s="29">
        <f t="shared" ca="1" si="38"/>
        <v>0</v>
      </c>
    </row>
    <row r="479" spans="1:7" x14ac:dyDescent="0.25">
      <c r="A479" s="11">
        <f t="shared" si="39"/>
        <v>44</v>
      </c>
      <c r="B479" t="str">
        <f ca="1">TEXT(DATE(YEAR(Invoer!$A$5),1,1)+INT((ROWS(B$2:B479)-1)/2),"jjjjmmdd")</f>
        <v>19330827</v>
      </c>
      <c r="C479" s="24" t="str">
        <f>INDEX(Data,2,2+MOD(ROWS(C$2:C479)-1,2))</f>
        <v>15.00</v>
      </c>
      <c r="D479" s="41">
        <f t="shared" ca="1" si="35"/>
        <v>759.20600000000002</v>
      </c>
      <c r="E479" s="29">
        <f t="shared" ca="1" si="36"/>
        <v>0</v>
      </c>
      <c r="F479" s="42">
        <f t="shared" ca="1" si="37"/>
        <v>29.722222222222221</v>
      </c>
      <c r="G479" s="29">
        <f t="shared" ca="1" si="38"/>
        <v>0</v>
      </c>
    </row>
    <row r="480" spans="1:7" x14ac:dyDescent="0.25">
      <c r="A480" s="11">
        <f t="shared" si="39"/>
        <v>44</v>
      </c>
      <c r="B480" t="str">
        <f ca="1">TEXT(DATE(YEAR(Invoer!$A$5),1,1)+INT((ROWS(B$2:B480)-1)/2),"jjjjmmdd")</f>
        <v>19330828</v>
      </c>
      <c r="C480" s="24" t="str">
        <f>INDEX(Data,2,2+MOD(ROWS(C$2:C480)-1,2))</f>
        <v>08.00</v>
      </c>
      <c r="D480" s="41">
        <f t="shared" ca="1" si="35"/>
        <v>760.476</v>
      </c>
      <c r="E480" s="29">
        <f t="shared" ca="1" si="36"/>
        <v>0</v>
      </c>
      <c r="F480" s="42">
        <f t="shared" ca="1" si="37"/>
        <v>29.166666666666668</v>
      </c>
      <c r="G480" s="29">
        <f t="shared" ca="1" si="38"/>
        <v>0</v>
      </c>
    </row>
    <row r="481" spans="1:7" x14ac:dyDescent="0.25">
      <c r="A481" s="11">
        <f t="shared" si="39"/>
        <v>44</v>
      </c>
      <c r="B481" t="str">
        <f ca="1">TEXT(DATE(YEAR(Invoer!$A$5),1,1)+INT((ROWS(B$2:B481)-1)/2),"jjjjmmdd")</f>
        <v>19330828</v>
      </c>
      <c r="C481" s="24" t="str">
        <f>INDEX(Data,2,2+MOD(ROWS(C$2:C481)-1,2))</f>
        <v>15.00</v>
      </c>
      <c r="D481" s="41">
        <f t="shared" ca="1" si="35"/>
        <v>758.18999999999994</v>
      </c>
      <c r="E481" s="29">
        <f t="shared" ca="1" si="36"/>
        <v>0</v>
      </c>
      <c r="F481" s="42">
        <f t="shared" ca="1" si="37"/>
        <v>29.444444444444443</v>
      </c>
      <c r="G481" s="29">
        <f t="shared" ca="1" si="38"/>
        <v>0</v>
      </c>
    </row>
    <row r="482" spans="1:7" x14ac:dyDescent="0.25">
      <c r="A482" s="11">
        <f t="shared" si="39"/>
        <v>44</v>
      </c>
      <c r="B482" t="str">
        <f ca="1">TEXT(DATE(YEAR(Invoer!$A$5),1,1)+INT((ROWS(B$2:B482)-1)/2),"jjjjmmdd")</f>
        <v>19330829</v>
      </c>
      <c r="C482" s="24" t="str">
        <f>INDEX(Data,2,2+MOD(ROWS(C$2:C482)-1,2))</f>
        <v>08.00</v>
      </c>
      <c r="D482" s="41">
        <f t="shared" ca="1" si="35"/>
        <v>759.71399999999994</v>
      </c>
      <c r="E482" s="29">
        <f t="shared" ca="1" si="36"/>
        <v>0</v>
      </c>
      <c r="F482" s="42">
        <f t="shared" ca="1" si="37"/>
        <v>29.166666666666668</v>
      </c>
      <c r="G482" s="29">
        <f t="shared" ca="1" si="38"/>
        <v>0</v>
      </c>
    </row>
    <row r="483" spans="1:7" x14ac:dyDescent="0.25">
      <c r="A483" s="11">
        <f t="shared" si="39"/>
        <v>44</v>
      </c>
      <c r="B483" t="str">
        <f ca="1">TEXT(DATE(YEAR(Invoer!$A$5),1,1)+INT((ROWS(B$2:B483)-1)/2),"jjjjmmdd")</f>
        <v>19330829</v>
      </c>
      <c r="C483" s="24" t="str">
        <f>INDEX(Data,2,2+MOD(ROWS(C$2:C483)-1,2))</f>
        <v>15.00</v>
      </c>
      <c r="D483" s="41">
        <f t="shared" ca="1" si="35"/>
        <v>758.952</v>
      </c>
      <c r="E483" s="29">
        <f t="shared" ca="1" si="36"/>
        <v>0</v>
      </c>
      <c r="F483" s="42">
        <f t="shared" ca="1" si="37"/>
        <v>29.166666666666668</v>
      </c>
      <c r="G483" s="29">
        <f t="shared" ca="1" si="38"/>
        <v>0</v>
      </c>
    </row>
    <row r="484" spans="1:7" x14ac:dyDescent="0.25">
      <c r="A484" s="11">
        <f t="shared" si="39"/>
        <v>44</v>
      </c>
      <c r="B484" t="str">
        <f ca="1">TEXT(DATE(YEAR(Invoer!$A$5),1,1)+INT((ROWS(B$2:B484)-1)/2),"jjjjmmdd")</f>
        <v>19330830</v>
      </c>
      <c r="C484" s="24" t="str">
        <f>INDEX(Data,2,2+MOD(ROWS(C$2:C484)-1,2))</f>
        <v>08.00</v>
      </c>
      <c r="D484" s="41">
        <f t="shared" ca="1" si="35"/>
        <v>761.23799999999994</v>
      </c>
      <c r="E484" s="29">
        <f t="shared" ca="1" si="36"/>
        <v>0</v>
      </c>
      <c r="F484" s="42">
        <f t="shared" ca="1" si="37"/>
        <v>28.333333333333332</v>
      </c>
      <c r="G484" s="29">
        <f t="shared" ca="1" si="38"/>
        <v>0</v>
      </c>
    </row>
    <row r="485" spans="1:7" x14ac:dyDescent="0.25">
      <c r="A485" s="11">
        <f t="shared" si="39"/>
        <v>44</v>
      </c>
      <c r="B485" t="str">
        <f ca="1">TEXT(DATE(YEAR(Invoer!$A$5),1,1)+INT((ROWS(B$2:B485)-1)/2),"jjjjmmdd")</f>
        <v>19330830</v>
      </c>
      <c r="C485" s="24" t="str">
        <f>INDEX(Data,2,2+MOD(ROWS(C$2:C485)-1,2))</f>
        <v>15.00</v>
      </c>
      <c r="D485" s="41">
        <f t="shared" ca="1" si="35"/>
        <v>758.69799999999998</v>
      </c>
      <c r="E485" s="29">
        <f t="shared" ca="1" si="36"/>
        <v>0</v>
      </c>
      <c r="F485" s="42">
        <f t="shared" ca="1" si="37"/>
        <v>30.555555555555557</v>
      </c>
      <c r="G485" s="29">
        <f t="shared" ca="1" si="38"/>
        <v>0</v>
      </c>
    </row>
    <row r="486" spans="1:7" x14ac:dyDescent="0.25">
      <c r="A486" s="11">
        <f t="shared" si="39"/>
        <v>44</v>
      </c>
      <c r="B486" t="str">
        <f ca="1">TEXT(DATE(YEAR(Invoer!$A$5),1,1)+INT((ROWS(B$2:B486)-1)/2),"jjjjmmdd")</f>
        <v>19330831</v>
      </c>
      <c r="C486" s="24" t="str">
        <f>INDEX(Data,2,2+MOD(ROWS(C$2:C486)-1,2))</f>
        <v>08.00</v>
      </c>
      <c r="D486" s="41">
        <f t="shared" ca="1" si="35"/>
        <v>761.49199999999996</v>
      </c>
      <c r="E486" s="29">
        <f t="shared" ca="1" si="36"/>
        <v>0</v>
      </c>
      <c r="F486" s="42">
        <f t="shared" ca="1" si="37"/>
        <v>28.888888888888889</v>
      </c>
      <c r="G486" s="29">
        <f t="shared" ca="1" si="38"/>
        <v>0</v>
      </c>
    </row>
    <row r="487" spans="1:7" x14ac:dyDescent="0.25">
      <c r="A487" s="11">
        <f t="shared" si="39"/>
        <v>44</v>
      </c>
      <c r="B487" t="str">
        <f ca="1">TEXT(DATE(YEAR(Invoer!$A$5),1,1)+INT((ROWS(B$2:B487)-1)/2),"jjjjmmdd")</f>
        <v>19330831</v>
      </c>
      <c r="C487" s="24" t="str">
        <f>INDEX(Data,2,2+MOD(ROWS(C$2:C487)-1,2))</f>
        <v>15.00</v>
      </c>
      <c r="D487" s="41">
        <f t="shared" ca="1" si="35"/>
        <v>759.45999999999992</v>
      </c>
      <c r="E487" s="29">
        <f t="shared" ca="1" si="36"/>
        <v>0</v>
      </c>
      <c r="F487" s="42">
        <f t="shared" ca="1" si="37"/>
        <v>30.555555555555557</v>
      </c>
      <c r="G487" s="29">
        <f t="shared" ca="1" si="38"/>
        <v>0</v>
      </c>
    </row>
    <row r="488" spans="1:7" x14ac:dyDescent="0.25">
      <c r="A488" s="11">
        <f t="shared" si="39"/>
        <v>44</v>
      </c>
      <c r="B488" t="str">
        <f ca="1">TEXT(DATE(YEAR(Invoer!$A$5),1,1)+INT((ROWS(B$2:B488)-1)/2),"jjjjmmdd")</f>
        <v>19330901</v>
      </c>
      <c r="C488" s="24" t="str">
        <f>INDEX(Data,2,2+MOD(ROWS(C$2:C488)-1,2))</f>
        <v>08.00</v>
      </c>
      <c r="D488" s="41">
        <f t="shared" ca="1" si="35"/>
        <v>760.70459999999991</v>
      </c>
      <c r="E488" s="29">
        <f t="shared" ca="1" si="36"/>
        <v>0</v>
      </c>
      <c r="F488" s="42">
        <f t="shared" ca="1" si="37"/>
        <v>29.166666666666668</v>
      </c>
      <c r="G488" s="29">
        <f t="shared" ca="1" si="38"/>
        <v>0</v>
      </c>
    </row>
    <row r="489" spans="1:7" x14ac:dyDescent="0.25">
      <c r="A489" s="11">
        <f t="shared" si="39"/>
        <v>44</v>
      </c>
      <c r="B489" t="str">
        <f ca="1">TEXT(DATE(YEAR(Invoer!$A$5),1,1)+INT((ROWS(B$2:B489)-1)/2),"jjjjmmdd")</f>
        <v>19330901</v>
      </c>
      <c r="C489" s="24" t="str">
        <f>INDEX(Data,2,2+MOD(ROWS(C$2:C489)-1,2))</f>
        <v>15.00</v>
      </c>
      <c r="D489" s="41">
        <f t="shared" ca="1" si="35"/>
        <v>758.67259999999999</v>
      </c>
      <c r="E489" s="29">
        <f t="shared" ca="1" si="36"/>
        <v>0</v>
      </c>
      <c r="F489" s="42">
        <f t="shared" ca="1" si="37"/>
        <v>31.111111111111111</v>
      </c>
      <c r="G489" s="29">
        <f t="shared" ca="1" si="38"/>
        <v>0</v>
      </c>
    </row>
    <row r="490" spans="1:7" x14ac:dyDescent="0.25">
      <c r="A490" s="11">
        <f t="shared" si="39"/>
        <v>44</v>
      </c>
      <c r="B490" t="str">
        <f ca="1">TEXT(DATE(YEAR(Invoer!$A$5),1,1)+INT((ROWS(B$2:B490)-1)/2),"jjjjmmdd")</f>
        <v>19330902</v>
      </c>
      <c r="C490" s="24" t="str">
        <f>INDEX(Data,2,2+MOD(ROWS(C$2:C490)-1,2))</f>
        <v>08.00</v>
      </c>
      <c r="D490" s="41">
        <f t="shared" ref="D490:D553" ca="1" si="40">IF(OR(ISBLANK(VLOOKUP(DATEVALUE(LEFT($B490,4)&amp;"-"&amp;MID($B490,5,2)&amp;"-"&amp;RIGHT($B490,2)),Data,MATCH(LEFT(VLOOKUP(D$1,Parameters,2,FALSE()),4)&amp;"*",OFFSET(Data,0,0,1),0)+MATCH($C490,OFFSET(Data,1,0,1),0)-2,FALSE())),ISTEXT(VLOOKUP(DATEVALUE(LEFT($B490,4)&amp;"-"&amp;MID($B490,5,2)&amp;"-"&amp;RIGHT($B490,2)),Data,MATCH(LEFT(VLOOKUP(D$1,Parameters,2,FALSE()),4)&amp;"*",OFFSET(Data,0,0,1),0)+MATCH($C490,OFFSET(Data,1,0,1),0)-2,FALSE()))),"—",0.0254*VLOOKUP(DATEVALUE(LEFT($B490,4)&amp;"-"&amp;MID($B490,5,2)&amp;"-"&amp;RIGHT($B490,2)),Data,MATCH(LEFT(VLOOKUP(D$1,Parameters,2,FALSE()),4)&amp;"*",OFFSET(Data,0,0,1),0)+MATCH($C490,OFFSET(Data,1,0,1),0)-2,FALSE()))</f>
        <v>760.45060000000001</v>
      </c>
      <c r="E490" s="29">
        <f t="shared" ref="E490:E553" ca="1" si="41">IF(OR(ISBLANK(VLOOKUP(DATEVALUE(LEFT($B490,4)&amp;"-"&amp;MID($B490,5,2)&amp;"-"&amp;RIGHT($B490,2)),Data,MATCH(LEFT(VLOOKUP(MID(E$1,2,LEN(E$1)-1),Parameters,2,FALSE()),4)&amp;"*",OFFSET(Data,0,0,1),0)+MATCH($C490,OFFSET(Data,1,0,1),0)-2,FALSE())),ISTEXT(VLOOKUP(DATEVALUE(LEFT($B490,4)&amp;"-"&amp;MID($B490,5,2)&amp;"-"&amp;RIGHT($B490,2)),Data,MATCH(LEFT(VLOOKUP(MID(E$1,2,LEN(E$1)-1),Parameters,2,FALSE()),4)&amp;"*",OFFSET(Data,0,0,1),0)+MATCH($C490,OFFSET(Data,1,0,1),0)-2,FALSE()))),Lacking,IF(ISNA(MATCH(DATEVALUE(LEFT($B490,4)&amp;"-"&amp;MID($B490,5,2)&amp;"-"&amp;RIGHT($B490,2)),OFFSET(Catalogus,0,0,,1),0)),Ok,VLOOKUP(DATEVALUE(LEFT($B490,4)&amp;"-"&amp;MID($B490,5,2)&amp;"-"&amp;RIGHT($B490,2)),Catalogus,MATCH(LEFT(VLOOKUP(MID(E$1,2,LEN(E$1)-1),Parameters,2,FALSE()),4)&amp;"*",OFFSET(Catalogus,0,0,1),0)+MATCH($C490,OFFSET(Catalogus,1,0,1),0)-2,FALSE())))</f>
        <v>0</v>
      </c>
      <c r="F490" s="42">
        <f t="shared" ref="F490:F553" ca="1" si="42">IF(OR(ISBLANK(VLOOKUP(DATEVALUE(LEFT($B490,4)&amp;"-"&amp;MID($B490,5,2)&amp;"-"&amp;RIGHT($B490,2)),Data,MATCH(LEFT(VLOOKUP(F$1,Parameters,2,FALSE()),4)&amp;"*",OFFSET(Data,0,0,1),0)+MATCH($C490,OFFSET(Data,1,0,1),0)-2,FALSE())),ISTEXT(VLOOKUP(DATEVALUE(LEFT($B490,4)&amp;"-"&amp;MID($B490,5,2)&amp;"-"&amp;RIGHT($B490,2)),Data,MATCH(LEFT(VLOOKUP(F$1,Parameters,2,FALSE()),4)&amp;"*",OFFSET(Data,0,0,1),0)+MATCH($C490,OFFSET(Data,1,0,1),0)-2,FALSE()))),"—",5*(VLOOKUP(DATEVALUE(LEFT($B490,4)&amp;"-"&amp;MID($B490,5,2)&amp;"-"&amp;RIGHT($B490,2)),Data,MATCH(LEFT(VLOOKUP(F$1,Parameters,2,FALSE()),4)&amp;"*",OFFSET(Data,0,0,1),0)+MATCH($C490,OFFSET(Data,1,0,1),0)-2,FALSE())-320)/90)</f>
        <v>29.166666666666668</v>
      </c>
      <c r="G490" s="29">
        <f t="shared" ref="G490:G553" ca="1" si="43">IF(OR(ISBLANK(VLOOKUP(DATEVALUE(LEFT($B490,4)&amp;"-"&amp;MID($B490,5,2)&amp;"-"&amp;RIGHT($B490,2)),Data,MATCH(LEFT(VLOOKUP(MID(G$1,2,LEN(G$1)-1),Parameters,2,FALSE()),4)&amp;"*",OFFSET(Data,0,0,1),0)+MATCH($C490,OFFSET(Data,1,0,1),0)-2,FALSE())),ISTEXT(VLOOKUP(DATEVALUE(LEFT($B490,4)&amp;"-"&amp;MID($B490,5,2)&amp;"-"&amp;RIGHT($B490,2)),Data,MATCH(LEFT(VLOOKUP(MID(G$1,2,LEN(G$1)-1),Parameters,2,FALSE()),4)&amp;"*",OFFSET(Data,0,0,1),0)+MATCH($C490,OFFSET(Data,1,0,1),0)-2,FALSE()))),Lacking,IF(ISNA(MATCH(DATEVALUE(LEFT($B490,4)&amp;"-"&amp;MID($B490,5,2)&amp;"-"&amp;RIGHT($B490,2)),OFFSET(Catalogus,0,0,,1),0)),Ok,VLOOKUP(DATEVALUE(LEFT($B490,4)&amp;"-"&amp;MID($B490,5,2)&amp;"-"&amp;RIGHT($B490,2)),Catalogus,MATCH(LEFT(VLOOKUP(MID(G$1,2,LEN(G$1)-1),Parameters,2,FALSE()),4)&amp;"*",OFFSET(Catalogus,0,0,1),0)+MATCH($C490,OFFSET(Catalogus,1,0,1),0)-2,FALSE())))</f>
        <v>0</v>
      </c>
    </row>
    <row r="491" spans="1:7" x14ac:dyDescent="0.25">
      <c r="A491" s="11">
        <f t="shared" si="39"/>
        <v>44</v>
      </c>
      <c r="B491" t="str">
        <f ca="1">TEXT(DATE(YEAR(Invoer!$A$5),1,1)+INT((ROWS(B$2:B491)-1)/2),"jjjjmmdd")</f>
        <v>19330902</v>
      </c>
      <c r="C491" s="24" t="str">
        <f>INDEX(Data,2,2+MOD(ROWS(C$2:C491)-1,2))</f>
        <v>15.00</v>
      </c>
      <c r="D491" s="41">
        <f t="shared" ca="1" si="40"/>
        <v>758.21539999999993</v>
      </c>
      <c r="E491" s="29">
        <f t="shared" ca="1" si="41"/>
        <v>0</v>
      </c>
      <c r="F491" s="42">
        <f t="shared" ca="1" si="42"/>
        <v>30.833333333333332</v>
      </c>
      <c r="G491" s="29">
        <f t="shared" ca="1" si="43"/>
        <v>0</v>
      </c>
    </row>
    <row r="492" spans="1:7" x14ac:dyDescent="0.25">
      <c r="A492" s="11">
        <f t="shared" si="39"/>
        <v>44</v>
      </c>
      <c r="B492" t="str">
        <f ca="1">TEXT(DATE(YEAR(Invoer!$A$5),1,1)+INT((ROWS(B$2:B492)-1)/2),"jjjjmmdd")</f>
        <v>19330903</v>
      </c>
      <c r="C492" s="24" t="str">
        <f>INDEX(Data,2,2+MOD(ROWS(C$2:C492)-1,2))</f>
        <v>08.00</v>
      </c>
      <c r="D492" s="41">
        <f t="shared" ca="1" si="40"/>
        <v>760.95859999999993</v>
      </c>
      <c r="E492" s="29">
        <f t="shared" ca="1" si="41"/>
        <v>0</v>
      </c>
      <c r="F492" s="42">
        <f t="shared" ca="1" si="42"/>
        <v>28.888888888888889</v>
      </c>
      <c r="G492" s="29">
        <f t="shared" ca="1" si="43"/>
        <v>0</v>
      </c>
    </row>
    <row r="493" spans="1:7" x14ac:dyDescent="0.25">
      <c r="A493" s="11">
        <f t="shared" si="39"/>
        <v>44</v>
      </c>
      <c r="B493" t="str">
        <f ca="1">TEXT(DATE(YEAR(Invoer!$A$5),1,1)+INT((ROWS(B$2:B493)-1)/2),"jjjjmmdd")</f>
        <v>19330903</v>
      </c>
      <c r="C493" s="24" t="str">
        <f>INDEX(Data,2,2+MOD(ROWS(C$2:C493)-1,2))</f>
        <v>15.00</v>
      </c>
      <c r="D493" s="41">
        <f t="shared" ca="1" si="40"/>
        <v>759.38379999999995</v>
      </c>
      <c r="E493" s="29">
        <f t="shared" ca="1" si="41"/>
        <v>0</v>
      </c>
      <c r="F493" s="42">
        <f t="shared" ca="1" si="42"/>
        <v>29.444444444444443</v>
      </c>
      <c r="G493" s="29">
        <f t="shared" ca="1" si="43"/>
        <v>0</v>
      </c>
    </row>
    <row r="494" spans="1:7" x14ac:dyDescent="0.25">
      <c r="A494" s="11">
        <f t="shared" si="39"/>
        <v>44</v>
      </c>
      <c r="B494" t="str">
        <f ca="1">TEXT(DATE(YEAR(Invoer!$A$5),1,1)+INT((ROWS(B$2:B494)-1)/2),"jjjjmmdd")</f>
        <v>19330904</v>
      </c>
      <c r="C494" s="24" t="str">
        <f>INDEX(Data,2,2+MOD(ROWS(C$2:C494)-1,2))</f>
        <v>08.00</v>
      </c>
      <c r="D494" s="41">
        <f t="shared" ca="1" si="40"/>
        <v>760.65379999999993</v>
      </c>
      <c r="E494" s="29">
        <f t="shared" ca="1" si="41"/>
        <v>0</v>
      </c>
      <c r="F494" s="42">
        <f t="shared" ca="1" si="42"/>
        <v>29.444444444444443</v>
      </c>
      <c r="G494" s="29">
        <f t="shared" ca="1" si="43"/>
        <v>0</v>
      </c>
    </row>
    <row r="495" spans="1:7" x14ac:dyDescent="0.25">
      <c r="A495" s="11">
        <f t="shared" si="39"/>
        <v>44</v>
      </c>
      <c r="B495" t="str">
        <f ca="1">TEXT(DATE(YEAR(Invoer!$A$5),1,1)+INT((ROWS(B$2:B495)-1)/2),"jjjjmmdd")</f>
        <v>19330904</v>
      </c>
      <c r="C495" s="24" t="str">
        <f>INDEX(Data,2,2+MOD(ROWS(C$2:C495)-1,2))</f>
        <v>15.00</v>
      </c>
      <c r="D495" s="41">
        <f t="shared" ca="1" si="40"/>
        <v>758.46939999999995</v>
      </c>
      <c r="E495" s="29">
        <f t="shared" ca="1" si="41"/>
        <v>0</v>
      </c>
      <c r="F495" s="42">
        <f t="shared" ca="1" si="42"/>
        <v>30.833333333333332</v>
      </c>
      <c r="G495" s="29">
        <f t="shared" ca="1" si="43"/>
        <v>0</v>
      </c>
    </row>
    <row r="496" spans="1:7" x14ac:dyDescent="0.25">
      <c r="A496" s="11">
        <f t="shared" si="39"/>
        <v>44</v>
      </c>
      <c r="B496" t="str">
        <f ca="1">TEXT(DATE(YEAR(Invoer!$A$5),1,1)+INT((ROWS(B$2:B496)-1)/2),"jjjjmmdd")</f>
        <v>19330905</v>
      </c>
      <c r="C496" s="24" t="str">
        <f>INDEX(Data,2,2+MOD(ROWS(C$2:C496)-1,2))</f>
        <v>08.00</v>
      </c>
      <c r="D496" s="41">
        <f t="shared" ca="1" si="40"/>
        <v>760.12040000000002</v>
      </c>
      <c r="E496" s="29">
        <f t="shared" ca="1" si="41"/>
        <v>0</v>
      </c>
      <c r="F496" s="42">
        <f t="shared" ca="1" si="42"/>
        <v>29.722222222222221</v>
      </c>
      <c r="G496" s="29">
        <f t="shared" ca="1" si="43"/>
        <v>0</v>
      </c>
    </row>
    <row r="497" spans="1:7" x14ac:dyDescent="0.25">
      <c r="A497" s="11">
        <f t="shared" si="39"/>
        <v>44</v>
      </c>
      <c r="B497" t="str">
        <f ca="1">TEXT(DATE(YEAR(Invoer!$A$5),1,1)+INT((ROWS(B$2:B497)-1)/2),"jjjjmmdd")</f>
        <v>19330905</v>
      </c>
      <c r="C497" s="24" t="str">
        <f>INDEX(Data,2,2+MOD(ROWS(C$2:C497)-1,2))</f>
        <v>15.00</v>
      </c>
      <c r="D497" s="41">
        <f t="shared" ca="1" si="40"/>
        <v>757.65660000000003</v>
      </c>
      <c r="E497" s="29">
        <f t="shared" ca="1" si="41"/>
        <v>0</v>
      </c>
      <c r="F497" s="42">
        <f t="shared" ca="1" si="42"/>
        <v>31.111111111111111</v>
      </c>
      <c r="G497" s="29">
        <f t="shared" ca="1" si="43"/>
        <v>0</v>
      </c>
    </row>
    <row r="498" spans="1:7" x14ac:dyDescent="0.25">
      <c r="A498" s="11">
        <f t="shared" si="39"/>
        <v>44</v>
      </c>
      <c r="B498" t="str">
        <f ca="1">TEXT(DATE(YEAR(Invoer!$A$5),1,1)+INT((ROWS(B$2:B498)-1)/2),"jjjjmmdd")</f>
        <v>19330906</v>
      </c>
      <c r="C498" s="24" t="str">
        <f>INDEX(Data,2,2+MOD(ROWS(C$2:C498)-1,2))</f>
        <v>08.00</v>
      </c>
      <c r="D498" s="41">
        <f t="shared" ca="1" si="40"/>
        <v>759.61239999999998</v>
      </c>
      <c r="E498" s="29">
        <f t="shared" ca="1" si="41"/>
        <v>0</v>
      </c>
      <c r="F498" s="42">
        <f t="shared" ca="1" si="42"/>
        <v>29.722222222222221</v>
      </c>
      <c r="G498" s="29">
        <f t="shared" ca="1" si="43"/>
        <v>0</v>
      </c>
    </row>
    <row r="499" spans="1:7" x14ac:dyDescent="0.25">
      <c r="A499" s="11">
        <f t="shared" si="39"/>
        <v>44</v>
      </c>
      <c r="B499" t="str">
        <f ca="1">TEXT(DATE(YEAR(Invoer!$A$5),1,1)+INT((ROWS(B$2:B499)-1)/2),"jjjjmmdd")</f>
        <v>19330906</v>
      </c>
      <c r="C499" s="24" t="str">
        <f>INDEX(Data,2,2+MOD(ROWS(C$2:C499)-1,2))</f>
        <v>15.00</v>
      </c>
      <c r="D499" s="41">
        <f t="shared" ca="1" si="40"/>
        <v>757.65660000000003</v>
      </c>
      <c r="E499" s="29">
        <f t="shared" ca="1" si="41"/>
        <v>0</v>
      </c>
      <c r="F499" s="42">
        <f t="shared" ca="1" si="42"/>
        <v>31.111111111111111</v>
      </c>
      <c r="G499" s="29">
        <f t="shared" ca="1" si="43"/>
        <v>0</v>
      </c>
    </row>
    <row r="500" spans="1:7" x14ac:dyDescent="0.25">
      <c r="A500" s="11">
        <f t="shared" si="39"/>
        <v>44</v>
      </c>
      <c r="B500" t="str">
        <f ca="1">TEXT(DATE(YEAR(Invoer!$A$5),1,1)+INT((ROWS(B$2:B500)-1)/2),"jjjjmmdd")</f>
        <v>19330907</v>
      </c>
      <c r="C500" s="24" t="str">
        <f>INDEX(Data,2,2+MOD(ROWS(C$2:C500)-1,2))</f>
        <v>08.00</v>
      </c>
      <c r="D500" s="41">
        <f t="shared" ca="1" si="40"/>
        <v>760.22199999999998</v>
      </c>
      <c r="E500" s="29">
        <f t="shared" ca="1" si="41"/>
        <v>0</v>
      </c>
      <c r="F500" s="42">
        <f t="shared" ca="1" si="42"/>
        <v>28.888888888888889</v>
      </c>
      <c r="G500" s="29">
        <f t="shared" ca="1" si="43"/>
        <v>0</v>
      </c>
    </row>
    <row r="501" spans="1:7" x14ac:dyDescent="0.25">
      <c r="A501" s="11">
        <f t="shared" si="39"/>
        <v>44</v>
      </c>
      <c r="B501" t="str">
        <f ca="1">TEXT(DATE(YEAR(Invoer!$A$5),1,1)+INT((ROWS(B$2:B501)-1)/2),"jjjjmmdd")</f>
        <v>19330907</v>
      </c>
      <c r="C501" s="24" t="str">
        <f>INDEX(Data,2,2+MOD(ROWS(C$2:C501)-1,2))</f>
        <v>15.00</v>
      </c>
      <c r="D501" s="41">
        <f t="shared" ca="1" si="40"/>
        <v>758.06299999999999</v>
      </c>
      <c r="E501" s="29">
        <f t="shared" ca="1" si="41"/>
        <v>0</v>
      </c>
      <c r="F501" s="42">
        <f t="shared" ca="1" si="42"/>
        <v>30</v>
      </c>
      <c r="G501" s="29">
        <f t="shared" ca="1" si="43"/>
        <v>0</v>
      </c>
    </row>
    <row r="502" spans="1:7" x14ac:dyDescent="0.25">
      <c r="A502" s="11">
        <f t="shared" si="39"/>
        <v>44</v>
      </c>
      <c r="B502" t="str">
        <f ca="1">TEXT(DATE(YEAR(Invoer!$A$5),1,1)+INT((ROWS(B$2:B502)-1)/2),"jjjjmmdd")</f>
        <v>19330908</v>
      </c>
      <c r="C502" s="24" t="str">
        <f>INDEX(Data,2,2+MOD(ROWS(C$2:C502)-1,2))</f>
        <v>08.00</v>
      </c>
      <c r="D502" s="41">
        <f t="shared" ca="1" si="40"/>
        <v>761.3904</v>
      </c>
      <c r="E502" s="29">
        <f t="shared" ca="1" si="41"/>
        <v>0</v>
      </c>
      <c r="F502" s="42">
        <f t="shared" ca="1" si="42"/>
        <v>29.444444444444443</v>
      </c>
      <c r="G502" s="29">
        <f t="shared" ca="1" si="43"/>
        <v>0</v>
      </c>
    </row>
    <row r="503" spans="1:7" x14ac:dyDescent="0.25">
      <c r="A503" s="11">
        <f t="shared" si="39"/>
        <v>44</v>
      </c>
      <c r="B503" t="str">
        <f ca="1">TEXT(DATE(YEAR(Invoer!$A$5),1,1)+INT((ROWS(B$2:B503)-1)/2),"jjjjmmdd")</f>
        <v>19330908</v>
      </c>
      <c r="C503" s="24" t="str">
        <f>INDEX(Data,2,2+MOD(ROWS(C$2:C503)-1,2))</f>
        <v>15.00</v>
      </c>
      <c r="D503" s="41">
        <f t="shared" ca="1" si="40"/>
        <v>759.00279999999998</v>
      </c>
      <c r="E503" s="29">
        <f t="shared" ca="1" si="41"/>
        <v>0</v>
      </c>
      <c r="F503" s="42">
        <f t="shared" ca="1" si="42"/>
        <v>30.555555555555557</v>
      </c>
      <c r="G503" s="29">
        <f t="shared" ca="1" si="43"/>
        <v>0</v>
      </c>
    </row>
    <row r="504" spans="1:7" x14ac:dyDescent="0.25">
      <c r="A504" s="11">
        <f t="shared" si="39"/>
        <v>44</v>
      </c>
      <c r="B504" t="str">
        <f ca="1">TEXT(DATE(YEAR(Invoer!$A$5),1,1)+INT((ROWS(B$2:B504)-1)/2),"jjjjmmdd")</f>
        <v>19330909</v>
      </c>
      <c r="C504" s="24" t="str">
        <f>INDEX(Data,2,2+MOD(ROWS(C$2:C504)-1,2))</f>
        <v>08.00</v>
      </c>
      <c r="D504" s="41">
        <f t="shared" ca="1" si="40"/>
        <v>761.3904</v>
      </c>
      <c r="E504" s="29">
        <f t="shared" ca="1" si="41"/>
        <v>0</v>
      </c>
      <c r="F504" s="42">
        <f t="shared" ca="1" si="42"/>
        <v>29.444444444444443</v>
      </c>
      <c r="G504" s="29">
        <f t="shared" ca="1" si="43"/>
        <v>0</v>
      </c>
    </row>
    <row r="505" spans="1:7" x14ac:dyDescent="0.25">
      <c r="A505" s="11">
        <f t="shared" si="39"/>
        <v>44</v>
      </c>
      <c r="B505" t="str">
        <f ca="1">TEXT(DATE(YEAR(Invoer!$A$5),1,1)+INT((ROWS(B$2:B505)-1)/2),"jjjjmmdd")</f>
        <v>19330909</v>
      </c>
      <c r="C505" s="24" t="str">
        <f>INDEX(Data,2,2+MOD(ROWS(C$2:C505)-1,2))</f>
        <v>15.00</v>
      </c>
      <c r="D505" s="41">
        <f t="shared" ca="1" si="40"/>
        <v>758.46939999999995</v>
      </c>
      <c r="E505" s="29">
        <f t="shared" ca="1" si="41"/>
        <v>0</v>
      </c>
      <c r="F505" s="42">
        <f t="shared" ca="1" si="42"/>
        <v>30.833333333333332</v>
      </c>
      <c r="G505" s="29">
        <f t="shared" ca="1" si="43"/>
        <v>0</v>
      </c>
    </row>
    <row r="506" spans="1:7" x14ac:dyDescent="0.25">
      <c r="A506" s="11">
        <f t="shared" si="39"/>
        <v>44</v>
      </c>
      <c r="B506" t="str">
        <f ca="1">TEXT(DATE(YEAR(Invoer!$A$5),1,1)+INT((ROWS(B$2:B506)-1)/2),"jjjjmmdd")</f>
        <v>19330910</v>
      </c>
      <c r="C506" s="24" t="str">
        <f>INDEX(Data,2,2+MOD(ROWS(C$2:C506)-1,2))</f>
        <v>08.00</v>
      </c>
      <c r="D506" s="41">
        <f t="shared" ca="1" si="40"/>
        <v>761.3904</v>
      </c>
      <c r="E506" s="29">
        <f t="shared" ca="1" si="41"/>
        <v>0</v>
      </c>
      <c r="F506" s="42">
        <f t="shared" ca="1" si="42"/>
        <v>29.444444444444443</v>
      </c>
      <c r="G506" s="29">
        <f t="shared" ca="1" si="43"/>
        <v>0</v>
      </c>
    </row>
    <row r="507" spans="1:7" x14ac:dyDescent="0.25">
      <c r="A507" s="11">
        <f t="shared" si="39"/>
        <v>44</v>
      </c>
      <c r="B507" t="str">
        <f ca="1">TEXT(DATE(YEAR(Invoer!$A$5),1,1)+INT((ROWS(B$2:B507)-1)/2),"jjjjmmdd")</f>
        <v>19330910</v>
      </c>
      <c r="C507" s="24" t="str">
        <f>INDEX(Data,2,2+MOD(ROWS(C$2:C507)-1,2))</f>
        <v>15.00</v>
      </c>
      <c r="D507" s="41">
        <f t="shared" ca="1" si="40"/>
        <v>760.14580000000001</v>
      </c>
      <c r="E507" s="29">
        <f t="shared" ca="1" si="41"/>
        <v>0</v>
      </c>
      <c r="F507" s="42">
        <f t="shared" ca="1" si="42"/>
        <v>29.444444444444443</v>
      </c>
      <c r="G507" s="29">
        <f t="shared" ca="1" si="43"/>
        <v>0</v>
      </c>
    </row>
    <row r="508" spans="1:7" x14ac:dyDescent="0.25">
      <c r="A508" s="11">
        <f t="shared" si="39"/>
        <v>44</v>
      </c>
      <c r="B508" t="str">
        <f ca="1">TEXT(DATE(YEAR(Invoer!$A$5),1,1)+INT((ROWS(B$2:B508)-1)/2),"jjjjmmdd")</f>
        <v>19330911</v>
      </c>
      <c r="C508" s="24" t="str">
        <f>INDEX(Data,2,2+MOD(ROWS(C$2:C508)-1,2))</f>
        <v>08.00</v>
      </c>
      <c r="D508" s="41">
        <f t="shared" ca="1" si="40"/>
        <v>759.68859999999995</v>
      </c>
      <c r="E508" s="29">
        <f t="shared" ca="1" si="41"/>
        <v>0</v>
      </c>
      <c r="F508" s="42">
        <f t="shared" ca="1" si="42"/>
        <v>29.166666666666668</v>
      </c>
      <c r="G508" s="29">
        <f t="shared" ca="1" si="43"/>
        <v>0</v>
      </c>
    </row>
    <row r="509" spans="1:7" x14ac:dyDescent="0.25">
      <c r="A509" s="11">
        <f t="shared" si="39"/>
        <v>44</v>
      </c>
      <c r="B509" t="str">
        <f ca="1">TEXT(DATE(YEAR(Invoer!$A$5),1,1)+INT((ROWS(B$2:B509)-1)/2),"jjjjmmdd")</f>
        <v>19330911</v>
      </c>
      <c r="C509" s="24" t="str">
        <f>INDEX(Data,2,2+MOD(ROWS(C$2:C509)-1,2))</f>
        <v>15.00</v>
      </c>
      <c r="D509" s="41">
        <f t="shared" ca="1" si="40"/>
        <v>757.22479999999996</v>
      </c>
      <c r="E509" s="29">
        <f t="shared" ca="1" si="41"/>
        <v>0</v>
      </c>
      <c r="F509" s="42">
        <f t="shared" ca="1" si="42"/>
        <v>30.555555555555557</v>
      </c>
      <c r="G509" s="29">
        <f t="shared" ca="1" si="43"/>
        <v>0</v>
      </c>
    </row>
    <row r="510" spans="1:7" x14ac:dyDescent="0.25">
      <c r="A510" s="11">
        <f t="shared" si="39"/>
        <v>44</v>
      </c>
      <c r="B510" t="str">
        <f ca="1">TEXT(DATE(YEAR(Invoer!$A$5),1,1)+INT((ROWS(B$2:B510)-1)/2),"jjjjmmdd")</f>
        <v>19330912</v>
      </c>
      <c r="C510" s="24" t="str">
        <f>INDEX(Data,2,2+MOD(ROWS(C$2:C510)-1,2))</f>
        <v>08.00</v>
      </c>
      <c r="D510" s="41">
        <f t="shared" ca="1" si="40"/>
        <v>760.37439999999992</v>
      </c>
      <c r="E510" s="29">
        <f t="shared" ca="1" si="41"/>
        <v>0</v>
      </c>
      <c r="F510" s="42">
        <f t="shared" ca="1" si="42"/>
        <v>29.722222222222221</v>
      </c>
      <c r="G510" s="29">
        <f t="shared" ca="1" si="43"/>
        <v>0</v>
      </c>
    </row>
    <row r="511" spans="1:7" x14ac:dyDescent="0.25">
      <c r="A511" s="11">
        <f t="shared" si="39"/>
        <v>44</v>
      </c>
      <c r="B511" t="str">
        <f ca="1">TEXT(DATE(YEAR(Invoer!$A$5),1,1)+INT((ROWS(B$2:B511)-1)/2),"jjjjmmdd")</f>
        <v>19330912</v>
      </c>
      <c r="C511" s="24" t="str">
        <f>INDEX(Data,2,2+MOD(ROWS(C$2:C511)-1,2))</f>
        <v>15.00</v>
      </c>
      <c r="D511" s="41">
        <f t="shared" ca="1" si="40"/>
        <v>757.65660000000003</v>
      </c>
      <c r="E511" s="29">
        <f t="shared" ca="1" si="41"/>
        <v>0</v>
      </c>
      <c r="F511" s="42">
        <f t="shared" ca="1" si="42"/>
        <v>31.111111111111111</v>
      </c>
      <c r="G511" s="29">
        <f t="shared" ca="1" si="43"/>
        <v>0</v>
      </c>
    </row>
    <row r="512" spans="1:7" x14ac:dyDescent="0.25">
      <c r="A512" s="11">
        <f t="shared" si="39"/>
        <v>44</v>
      </c>
      <c r="B512" t="str">
        <f ca="1">TEXT(DATE(YEAR(Invoer!$A$5),1,1)+INT((ROWS(B$2:B512)-1)/2),"jjjjmmdd")</f>
        <v>19330913</v>
      </c>
      <c r="C512" s="24" t="str">
        <f>INDEX(Data,2,2+MOD(ROWS(C$2:C512)-1,2))</f>
        <v>08.00</v>
      </c>
      <c r="D512" s="41">
        <f t="shared" ca="1" si="40"/>
        <v>760.83159999999998</v>
      </c>
      <c r="E512" s="29">
        <f t="shared" ca="1" si="41"/>
        <v>0</v>
      </c>
      <c r="F512" s="42">
        <f t="shared" ca="1" si="42"/>
        <v>30</v>
      </c>
      <c r="G512" s="29">
        <f t="shared" ca="1" si="43"/>
        <v>0</v>
      </c>
    </row>
    <row r="513" spans="1:7" x14ac:dyDescent="0.25">
      <c r="A513" s="11">
        <f t="shared" si="39"/>
        <v>44</v>
      </c>
      <c r="B513" t="str">
        <f ca="1">TEXT(DATE(YEAR(Invoer!$A$5),1,1)+INT((ROWS(B$2:B513)-1)/2),"jjjjmmdd")</f>
        <v>19330913</v>
      </c>
      <c r="C513" s="24" t="str">
        <f>INDEX(Data,2,2+MOD(ROWS(C$2:C513)-1,2))</f>
        <v>15.00</v>
      </c>
      <c r="D513" s="41">
        <f t="shared" ca="1" si="40"/>
        <v>758.92660000000001</v>
      </c>
      <c r="E513" s="29">
        <f t="shared" ca="1" si="41"/>
        <v>0</v>
      </c>
      <c r="F513" s="42">
        <f t="shared" ca="1" si="42"/>
        <v>31.111111111111111</v>
      </c>
      <c r="G513" s="29">
        <f t="shared" ca="1" si="43"/>
        <v>0</v>
      </c>
    </row>
    <row r="514" spans="1:7" x14ac:dyDescent="0.25">
      <c r="A514" s="11">
        <f t="shared" ref="A514:A577" si="44">INDEX(Stations,2,1)</f>
        <v>44</v>
      </c>
      <c r="B514" t="str">
        <f ca="1">TEXT(DATE(YEAR(Invoer!$A$5),1,1)+INT((ROWS(B$2:B514)-1)/2),"jjjjmmdd")</f>
        <v>19330914</v>
      </c>
      <c r="C514" s="24" t="str">
        <f>INDEX(Data,2,2+MOD(ROWS(C$2:C514)-1,2))</f>
        <v>08.00</v>
      </c>
      <c r="D514" s="41">
        <f t="shared" ca="1" si="40"/>
        <v>760.39979999999991</v>
      </c>
      <c r="E514" s="29">
        <f t="shared" ca="1" si="41"/>
        <v>0</v>
      </c>
      <c r="F514" s="42">
        <f t="shared" ca="1" si="42"/>
        <v>29.444444444444443</v>
      </c>
      <c r="G514" s="29">
        <f t="shared" ca="1" si="43"/>
        <v>0</v>
      </c>
    </row>
    <row r="515" spans="1:7" x14ac:dyDescent="0.25">
      <c r="A515" s="11">
        <f t="shared" si="44"/>
        <v>44</v>
      </c>
      <c r="B515" t="str">
        <f ca="1">TEXT(DATE(YEAR(Invoer!$A$5),1,1)+INT((ROWS(B$2:B515)-1)/2),"jjjjmmdd")</f>
        <v>19330914</v>
      </c>
      <c r="C515" s="24" t="str">
        <f>INDEX(Data,2,2+MOD(ROWS(C$2:C515)-1,2))</f>
        <v>15.00</v>
      </c>
      <c r="D515" s="41">
        <f t="shared" ca="1" si="40"/>
        <v>758.46939999999995</v>
      </c>
      <c r="E515" s="29">
        <f t="shared" ca="1" si="41"/>
        <v>0</v>
      </c>
      <c r="F515" s="42">
        <f t="shared" ca="1" si="42"/>
        <v>30.833333333333332</v>
      </c>
      <c r="G515" s="29">
        <f t="shared" ca="1" si="43"/>
        <v>0</v>
      </c>
    </row>
    <row r="516" spans="1:7" x14ac:dyDescent="0.25">
      <c r="A516" s="11">
        <f t="shared" si="44"/>
        <v>44</v>
      </c>
      <c r="B516" t="str">
        <f ca="1">TEXT(DATE(YEAR(Invoer!$A$5),1,1)+INT((ROWS(B$2:B516)-1)/2),"jjjjmmdd")</f>
        <v>19330915</v>
      </c>
      <c r="C516" s="24" t="str">
        <f>INDEX(Data,2,2+MOD(ROWS(C$2:C516)-1,2))</f>
        <v>08.00</v>
      </c>
      <c r="D516" s="41">
        <f t="shared" ca="1" si="40"/>
        <v>760.19659999999999</v>
      </c>
      <c r="E516" s="29">
        <f t="shared" ca="1" si="41"/>
        <v>0</v>
      </c>
      <c r="F516" s="42">
        <f t="shared" ca="1" si="42"/>
        <v>29.166666666666668</v>
      </c>
      <c r="G516" s="29">
        <f t="shared" ca="1" si="43"/>
        <v>0</v>
      </c>
    </row>
    <row r="517" spans="1:7" x14ac:dyDescent="0.25">
      <c r="A517" s="11">
        <f t="shared" si="44"/>
        <v>44</v>
      </c>
      <c r="B517" t="str">
        <f ca="1">TEXT(DATE(YEAR(Invoer!$A$5),1,1)+INT((ROWS(B$2:B517)-1)/2),"jjjjmmdd")</f>
        <v>19330915</v>
      </c>
      <c r="C517" s="24" t="str">
        <f>INDEX(Data,2,2+MOD(ROWS(C$2:C517)-1,2))</f>
        <v>15.00</v>
      </c>
      <c r="D517" s="41">
        <f t="shared" ca="1" si="40"/>
        <v>758.49479999999994</v>
      </c>
      <c r="E517" s="29">
        <f t="shared" ca="1" si="41"/>
        <v>0</v>
      </c>
      <c r="F517" s="42">
        <f t="shared" ca="1" si="42"/>
        <v>30.555555555555557</v>
      </c>
      <c r="G517" s="29">
        <f t="shared" ca="1" si="43"/>
        <v>0</v>
      </c>
    </row>
    <row r="518" spans="1:7" x14ac:dyDescent="0.25">
      <c r="A518" s="11">
        <f t="shared" si="44"/>
        <v>44</v>
      </c>
      <c r="B518" t="str">
        <f ca="1">TEXT(DATE(YEAR(Invoer!$A$5),1,1)+INT((ROWS(B$2:B518)-1)/2),"jjjjmmdd")</f>
        <v>19330916</v>
      </c>
      <c r="C518" s="24" t="str">
        <f>INDEX(Data,2,2+MOD(ROWS(C$2:C518)-1,2))</f>
        <v>08.00</v>
      </c>
      <c r="D518" s="41">
        <f t="shared" ca="1" si="40"/>
        <v>760.88239999999996</v>
      </c>
      <c r="E518" s="29">
        <f t="shared" ca="1" si="41"/>
        <v>0</v>
      </c>
      <c r="F518" s="42">
        <f t="shared" ca="1" si="42"/>
        <v>29.444444444444443</v>
      </c>
      <c r="G518" s="29">
        <f t="shared" ca="1" si="43"/>
        <v>0</v>
      </c>
    </row>
    <row r="519" spans="1:7" x14ac:dyDescent="0.25">
      <c r="A519" s="11">
        <f t="shared" si="44"/>
        <v>44</v>
      </c>
      <c r="B519" t="str">
        <f ca="1">TEXT(DATE(YEAR(Invoer!$A$5),1,1)+INT((ROWS(B$2:B519)-1)/2),"jjjjmmdd")</f>
        <v>19330916</v>
      </c>
      <c r="C519" s="24" t="str">
        <f>INDEX(Data,2,2+MOD(ROWS(C$2:C519)-1,2))</f>
        <v>15.00</v>
      </c>
      <c r="D519" s="41">
        <f t="shared" ca="1" si="40"/>
        <v>759.00279999999998</v>
      </c>
      <c r="E519" s="29">
        <f t="shared" ca="1" si="41"/>
        <v>0</v>
      </c>
      <c r="F519" s="42">
        <f t="shared" ca="1" si="42"/>
        <v>30.555555555555557</v>
      </c>
      <c r="G519" s="29">
        <f t="shared" ca="1" si="43"/>
        <v>0</v>
      </c>
    </row>
    <row r="520" spans="1:7" x14ac:dyDescent="0.25">
      <c r="A520" s="11">
        <f t="shared" si="44"/>
        <v>44</v>
      </c>
      <c r="B520" t="str">
        <f ca="1">TEXT(DATE(YEAR(Invoer!$A$5),1,1)+INT((ROWS(B$2:B520)-1)/2),"jjjjmmdd")</f>
        <v>19330917</v>
      </c>
      <c r="C520" s="24" t="str">
        <f>INDEX(Data,2,2+MOD(ROWS(C$2:C520)-1,2))</f>
        <v>08.00</v>
      </c>
      <c r="D520" s="41">
        <f t="shared" ca="1" si="40"/>
        <v>760.95859999999993</v>
      </c>
      <c r="E520" s="29">
        <f t="shared" ca="1" si="41"/>
        <v>0</v>
      </c>
      <c r="F520" s="42">
        <f t="shared" ca="1" si="42"/>
        <v>28.888888888888889</v>
      </c>
      <c r="G520" s="29">
        <f t="shared" ca="1" si="43"/>
        <v>0</v>
      </c>
    </row>
    <row r="521" spans="1:7" x14ac:dyDescent="0.25">
      <c r="A521" s="11">
        <f t="shared" si="44"/>
        <v>44</v>
      </c>
      <c r="B521" t="str">
        <f ca="1">TEXT(DATE(YEAR(Invoer!$A$5),1,1)+INT((ROWS(B$2:B521)-1)/2),"jjjjmmdd")</f>
        <v>19330917</v>
      </c>
      <c r="C521" s="24" t="str">
        <f>INDEX(Data,2,2+MOD(ROWS(C$2:C521)-1,2))</f>
        <v>15.00</v>
      </c>
      <c r="D521" s="41">
        <f t="shared" ca="1" si="40"/>
        <v>757.98680000000002</v>
      </c>
      <c r="E521" s="29">
        <f t="shared" ca="1" si="41"/>
        <v>0</v>
      </c>
      <c r="F521" s="42">
        <f t="shared" ca="1" si="42"/>
        <v>30.555555555555557</v>
      </c>
      <c r="G521" s="29">
        <f t="shared" ca="1" si="43"/>
        <v>0</v>
      </c>
    </row>
    <row r="522" spans="1:7" x14ac:dyDescent="0.25">
      <c r="A522" s="11">
        <f t="shared" si="44"/>
        <v>44</v>
      </c>
      <c r="B522" t="str">
        <f ca="1">TEXT(DATE(YEAR(Invoer!$A$5),1,1)+INT((ROWS(B$2:B522)-1)/2),"jjjjmmdd")</f>
        <v>19330918</v>
      </c>
      <c r="C522" s="24" t="str">
        <f>INDEX(Data,2,2+MOD(ROWS(C$2:C522)-1,2))</f>
        <v>08.00</v>
      </c>
      <c r="D522" s="41">
        <f t="shared" ca="1" si="40"/>
        <v>761.31419999999991</v>
      </c>
      <c r="E522" s="29">
        <f t="shared" ca="1" si="41"/>
        <v>0</v>
      </c>
      <c r="F522" s="42">
        <f t="shared" ca="1" si="42"/>
        <v>28.055555555555557</v>
      </c>
      <c r="G522" s="29">
        <f t="shared" ca="1" si="43"/>
        <v>0</v>
      </c>
    </row>
    <row r="523" spans="1:7" x14ac:dyDescent="0.25">
      <c r="A523" s="11">
        <f t="shared" si="44"/>
        <v>44</v>
      </c>
      <c r="B523" t="str">
        <f ca="1">TEXT(DATE(YEAR(Invoer!$A$5),1,1)+INT((ROWS(B$2:B523)-1)/2),"jjjjmmdd")</f>
        <v>19330918</v>
      </c>
      <c r="C523" s="24" t="str">
        <f>INDEX(Data,2,2+MOD(ROWS(C$2:C523)-1,2))</f>
        <v>15.00</v>
      </c>
      <c r="D523" s="41">
        <f t="shared" ca="1" si="40"/>
        <v>759.63779999999997</v>
      </c>
      <c r="E523" s="29">
        <f t="shared" ca="1" si="41"/>
        <v>0</v>
      </c>
      <c r="F523" s="42">
        <f t="shared" ca="1" si="42"/>
        <v>29.444444444444443</v>
      </c>
      <c r="G523" s="29">
        <f t="shared" ca="1" si="43"/>
        <v>0</v>
      </c>
    </row>
    <row r="524" spans="1:7" x14ac:dyDescent="0.25">
      <c r="A524" s="11">
        <f t="shared" si="44"/>
        <v>44</v>
      </c>
      <c r="B524" t="str">
        <f ca="1">TEXT(DATE(YEAR(Invoer!$A$5),1,1)+INT((ROWS(B$2:B524)-1)/2),"jjjjmmdd")</f>
        <v>19330919</v>
      </c>
      <c r="C524" s="24" t="str">
        <f>INDEX(Data,2,2+MOD(ROWS(C$2:C524)-1,2))</f>
        <v>08.00</v>
      </c>
      <c r="D524" s="41">
        <f t="shared" ca="1" si="40"/>
        <v>760.50139999999999</v>
      </c>
      <c r="E524" s="29">
        <f t="shared" ca="1" si="41"/>
        <v>0</v>
      </c>
      <c r="F524" s="42">
        <f t="shared" ca="1" si="42"/>
        <v>28.611111111111111</v>
      </c>
      <c r="G524" s="29">
        <f t="shared" ca="1" si="43"/>
        <v>0</v>
      </c>
    </row>
    <row r="525" spans="1:7" x14ac:dyDescent="0.25">
      <c r="A525" s="11">
        <f t="shared" si="44"/>
        <v>44</v>
      </c>
      <c r="B525" t="str">
        <f ca="1">TEXT(DATE(YEAR(Invoer!$A$5),1,1)+INT((ROWS(B$2:B525)-1)/2),"jjjjmmdd")</f>
        <v>19330919</v>
      </c>
      <c r="C525" s="24" t="str">
        <f>INDEX(Data,2,2+MOD(ROWS(C$2:C525)-1,2))</f>
        <v>15.00</v>
      </c>
      <c r="D525" s="41">
        <f t="shared" ca="1" si="40"/>
        <v>758.62180000000001</v>
      </c>
      <c r="E525" s="29">
        <f t="shared" ca="1" si="41"/>
        <v>0</v>
      </c>
      <c r="F525" s="42">
        <f t="shared" ca="1" si="42"/>
        <v>29.444444444444443</v>
      </c>
      <c r="G525" s="29">
        <f t="shared" ca="1" si="43"/>
        <v>0</v>
      </c>
    </row>
    <row r="526" spans="1:7" x14ac:dyDescent="0.25">
      <c r="A526" s="11">
        <f t="shared" si="44"/>
        <v>44</v>
      </c>
      <c r="B526" t="str">
        <f ca="1">TEXT(DATE(YEAR(Invoer!$A$5),1,1)+INT((ROWS(B$2:B526)-1)/2),"jjjjmmdd")</f>
        <v>19330920</v>
      </c>
      <c r="C526" s="24" t="str">
        <f>INDEX(Data,2,2+MOD(ROWS(C$2:C526)-1,2))</f>
        <v>08.00</v>
      </c>
      <c r="D526" s="41">
        <f t="shared" ca="1" si="40"/>
        <v>760.50139999999999</v>
      </c>
      <c r="E526" s="29">
        <f t="shared" ca="1" si="41"/>
        <v>0</v>
      </c>
      <c r="F526" s="42">
        <f t="shared" ca="1" si="42"/>
        <v>28.611111111111111</v>
      </c>
      <c r="G526" s="29">
        <f t="shared" ca="1" si="43"/>
        <v>0</v>
      </c>
    </row>
    <row r="527" spans="1:7" x14ac:dyDescent="0.25">
      <c r="A527" s="11">
        <f t="shared" si="44"/>
        <v>44</v>
      </c>
      <c r="B527" t="str">
        <f ca="1">TEXT(DATE(YEAR(Invoer!$A$5),1,1)+INT((ROWS(B$2:B527)-1)/2),"jjjjmmdd")</f>
        <v>19330920</v>
      </c>
      <c r="C527" s="24" t="str">
        <f>INDEX(Data,2,2+MOD(ROWS(C$2:C527)-1,2))</f>
        <v>15.00</v>
      </c>
      <c r="D527" s="41">
        <f t="shared" ca="1" si="40"/>
        <v>758.82499999999993</v>
      </c>
      <c r="E527" s="29">
        <f t="shared" ca="1" si="41"/>
        <v>0</v>
      </c>
      <c r="F527" s="42">
        <f t="shared" ca="1" si="42"/>
        <v>30</v>
      </c>
      <c r="G527" s="29">
        <f t="shared" ca="1" si="43"/>
        <v>0</v>
      </c>
    </row>
    <row r="528" spans="1:7" x14ac:dyDescent="0.25">
      <c r="A528" s="11">
        <f t="shared" si="44"/>
        <v>44</v>
      </c>
      <c r="B528" t="str">
        <f ca="1">TEXT(DATE(YEAR(Invoer!$A$5),1,1)+INT((ROWS(B$2:B528)-1)/2),"jjjjmmdd")</f>
        <v>19330921</v>
      </c>
      <c r="C528" s="24" t="str">
        <f>INDEX(Data,2,2+MOD(ROWS(C$2:C528)-1,2))</f>
        <v>08.00</v>
      </c>
      <c r="D528" s="41">
        <f t="shared" ca="1" si="40"/>
        <v>760.75540000000001</v>
      </c>
      <c r="E528" s="29">
        <f t="shared" ca="1" si="41"/>
        <v>0</v>
      </c>
      <c r="F528" s="42">
        <f t="shared" ca="1" si="42"/>
        <v>28.611111111111111</v>
      </c>
      <c r="G528" s="29">
        <f t="shared" ca="1" si="43"/>
        <v>0</v>
      </c>
    </row>
    <row r="529" spans="1:7" x14ac:dyDescent="0.25">
      <c r="A529" s="11">
        <f t="shared" si="44"/>
        <v>44</v>
      </c>
      <c r="B529" t="str">
        <f ca="1">TEXT(DATE(YEAR(Invoer!$A$5),1,1)+INT((ROWS(B$2:B529)-1)/2),"jjjjmmdd")</f>
        <v>19330921</v>
      </c>
      <c r="C529" s="24" t="str">
        <f>INDEX(Data,2,2+MOD(ROWS(C$2:C529)-1,2))</f>
        <v>15.00</v>
      </c>
      <c r="D529" s="41">
        <f t="shared" ca="1" si="40"/>
        <v>758.77419999999995</v>
      </c>
      <c r="E529" s="29">
        <f t="shared" ca="1" si="41"/>
        <v>0</v>
      </c>
      <c r="F529" s="42">
        <f t="shared" ca="1" si="42"/>
        <v>30.277777777777779</v>
      </c>
      <c r="G529" s="29">
        <f t="shared" ca="1" si="43"/>
        <v>0</v>
      </c>
    </row>
    <row r="530" spans="1:7" x14ac:dyDescent="0.25">
      <c r="A530" s="11">
        <f t="shared" si="44"/>
        <v>44</v>
      </c>
      <c r="B530" t="str">
        <f ca="1">TEXT(DATE(YEAR(Invoer!$A$5),1,1)+INT((ROWS(B$2:B530)-1)/2),"jjjjmmdd")</f>
        <v>19330922</v>
      </c>
      <c r="C530" s="24" t="str">
        <f>INDEX(Data,2,2+MOD(ROWS(C$2:C530)-1,2))</f>
        <v>08.00</v>
      </c>
      <c r="D530" s="41">
        <f t="shared" ca="1" si="40"/>
        <v>760.73</v>
      </c>
      <c r="E530" s="29">
        <f t="shared" ca="1" si="41"/>
        <v>0</v>
      </c>
      <c r="F530" s="42">
        <f t="shared" ca="1" si="42"/>
        <v>28.888888888888889</v>
      </c>
      <c r="G530" s="29">
        <f t="shared" ca="1" si="43"/>
        <v>0</v>
      </c>
    </row>
    <row r="531" spans="1:7" x14ac:dyDescent="0.25">
      <c r="A531" s="11">
        <f t="shared" si="44"/>
        <v>44</v>
      </c>
      <c r="B531" t="str">
        <f ca="1">TEXT(DATE(YEAR(Invoer!$A$5),1,1)+INT((ROWS(B$2:B531)-1)/2),"jjjjmmdd")</f>
        <v>19330922</v>
      </c>
      <c r="C531" s="24" t="str">
        <f>INDEX(Data,2,2+MOD(ROWS(C$2:C531)-1,2))</f>
        <v>15.00</v>
      </c>
      <c r="D531" s="41">
        <f t="shared" ca="1" si="40"/>
        <v>758.87579999999991</v>
      </c>
      <c r="E531" s="29">
        <f t="shared" ca="1" si="41"/>
        <v>0</v>
      </c>
      <c r="F531" s="42">
        <f t="shared" ca="1" si="42"/>
        <v>29.444444444444443</v>
      </c>
      <c r="G531" s="29">
        <f t="shared" ca="1" si="43"/>
        <v>0</v>
      </c>
    </row>
    <row r="532" spans="1:7" x14ac:dyDescent="0.25">
      <c r="A532" s="11">
        <f t="shared" si="44"/>
        <v>44</v>
      </c>
      <c r="B532" t="str">
        <f ca="1">TEXT(DATE(YEAR(Invoer!$A$5),1,1)+INT((ROWS(B$2:B532)-1)/2),"jjjjmmdd")</f>
        <v>19330923</v>
      </c>
      <c r="C532" s="24" t="str">
        <f>INDEX(Data,2,2+MOD(ROWS(C$2:C532)-1,2))</f>
        <v>08.00</v>
      </c>
      <c r="D532" s="41">
        <f t="shared" ca="1" si="40"/>
        <v>760.95859999999993</v>
      </c>
      <c r="E532" s="29">
        <f t="shared" ca="1" si="41"/>
        <v>0</v>
      </c>
      <c r="F532" s="42">
        <f t="shared" ca="1" si="42"/>
        <v>28.888888888888889</v>
      </c>
      <c r="G532" s="29">
        <f t="shared" ca="1" si="43"/>
        <v>0</v>
      </c>
    </row>
    <row r="533" spans="1:7" x14ac:dyDescent="0.25">
      <c r="A533" s="11">
        <f t="shared" si="44"/>
        <v>44</v>
      </c>
      <c r="B533" t="str">
        <f ca="1">TEXT(DATE(YEAR(Invoer!$A$5),1,1)+INT((ROWS(B$2:B533)-1)/2),"jjjjmmdd")</f>
        <v>19330923</v>
      </c>
      <c r="C533" s="24" t="str">
        <f>INDEX(Data,2,2+MOD(ROWS(C$2:C533)-1,2))</f>
        <v>15.00</v>
      </c>
      <c r="D533" s="41">
        <f t="shared" ca="1" si="40"/>
        <v>758.82499999999993</v>
      </c>
      <c r="E533" s="29">
        <f t="shared" ca="1" si="41"/>
        <v>0</v>
      </c>
      <c r="F533" s="42">
        <f t="shared" ca="1" si="42"/>
        <v>30</v>
      </c>
      <c r="G533" s="29">
        <f t="shared" ca="1" si="43"/>
        <v>0</v>
      </c>
    </row>
    <row r="534" spans="1:7" x14ac:dyDescent="0.25">
      <c r="A534" s="11">
        <f t="shared" si="44"/>
        <v>44</v>
      </c>
      <c r="B534" t="str">
        <f ca="1">TEXT(DATE(YEAR(Invoer!$A$5),1,1)+INT((ROWS(B$2:B534)-1)/2),"jjjjmmdd")</f>
        <v>19330924</v>
      </c>
      <c r="C534" s="24" t="str">
        <f>INDEX(Data,2,2+MOD(ROWS(C$2:C534)-1,2))</f>
        <v>08.00</v>
      </c>
      <c r="D534" s="41">
        <f t="shared" ca="1" si="40"/>
        <v>761.49199999999996</v>
      </c>
      <c r="E534" s="29">
        <f t="shared" ca="1" si="41"/>
        <v>0</v>
      </c>
      <c r="F534" s="42">
        <f t="shared" ca="1" si="42"/>
        <v>28.611111111111111</v>
      </c>
      <c r="G534" s="29">
        <f t="shared" ca="1" si="43"/>
        <v>0</v>
      </c>
    </row>
    <row r="535" spans="1:7" x14ac:dyDescent="0.25">
      <c r="A535" s="11">
        <f t="shared" si="44"/>
        <v>44</v>
      </c>
      <c r="B535" t="str">
        <f ca="1">TEXT(DATE(YEAR(Invoer!$A$5),1,1)+INT((ROWS(B$2:B535)-1)/2),"jjjjmmdd")</f>
        <v>19330924</v>
      </c>
      <c r="C535" s="24" t="str">
        <f>INDEX(Data,2,2+MOD(ROWS(C$2:C535)-1,2))</f>
        <v>15.00</v>
      </c>
      <c r="D535" s="41">
        <f t="shared" ca="1" si="40"/>
        <v>758.62180000000001</v>
      </c>
      <c r="E535" s="29">
        <f t="shared" ca="1" si="41"/>
        <v>0</v>
      </c>
      <c r="F535" s="42">
        <f t="shared" ca="1" si="42"/>
        <v>29.444444444444443</v>
      </c>
      <c r="G535" s="29">
        <f t="shared" ca="1" si="43"/>
        <v>0</v>
      </c>
    </row>
    <row r="536" spans="1:7" x14ac:dyDescent="0.25">
      <c r="A536" s="11">
        <f t="shared" si="44"/>
        <v>44</v>
      </c>
      <c r="B536" t="str">
        <f ca="1">TEXT(DATE(YEAR(Invoer!$A$5),1,1)+INT((ROWS(B$2:B536)-1)/2),"jjjjmmdd")</f>
        <v>19330925</v>
      </c>
      <c r="C536" s="24" t="str">
        <f>INDEX(Data,2,2+MOD(ROWS(C$2:C536)-1,2))</f>
        <v>08.00</v>
      </c>
      <c r="D536" s="41">
        <f t="shared" ca="1" si="40"/>
        <v>760.22199999999998</v>
      </c>
      <c r="E536" s="29">
        <f t="shared" ca="1" si="41"/>
        <v>0</v>
      </c>
      <c r="F536" s="42">
        <f t="shared" ca="1" si="42"/>
        <v>28.888888888888889</v>
      </c>
      <c r="G536" s="29">
        <f t="shared" ca="1" si="43"/>
        <v>0</v>
      </c>
    </row>
    <row r="537" spans="1:7" x14ac:dyDescent="0.25">
      <c r="A537" s="11">
        <f t="shared" si="44"/>
        <v>44</v>
      </c>
      <c r="B537" t="str">
        <f ca="1">TEXT(DATE(YEAR(Invoer!$A$5),1,1)+INT((ROWS(B$2:B537)-1)/2),"jjjjmmdd")</f>
        <v>19330925</v>
      </c>
      <c r="C537" s="24" t="str">
        <f>INDEX(Data,2,2+MOD(ROWS(C$2:C537)-1,2))</f>
        <v>15.00</v>
      </c>
      <c r="D537" s="41">
        <f t="shared" ca="1" si="40"/>
        <v>757.75819999999999</v>
      </c>
      <c r="E537" s="29">
        <f t="shared" ca="1" si="41"/>
        <v>0</v>
      </c>
      <c r="F537" s="42">
        <f t="shared" ca="1" si="42"/>
        <v>30.277777777777779</v>
      </c>
      <c r="G537" s="29">
        <f t="shared" ca="1" si="43"/>
        <v>0</v>
      </c>
    </row>
    <row r="538" spans="1:7" x14ac:dyDescent="0.25">
      <c r="A538" s="11">
        <f t="shared" si="44"/>
        <v>44</v>
      </c>
      <c r="B538" t="str">
        <f ca="1">TEXT(DATE(YEAR(Invoer!$A$5),1,1)+INT((ROWS(B$2:B538)-1)/2),"jjjjmmdd")</f>
        <v>19330926</v>
      </c>
      <c r="C538" s="24" t="str">
        <f>INDEX(Data,2,2+MOD(ROWS(C$2:C538)-1,2))</f>
        <v>08.00</v>
      </c>
      <c r="D538" s="41">
        <f t="shared" ca="1" si="40"/>
        <v>759.94259999999997</v>
      </c>
      <c r="E538" s="29">
        <f t="shared" ca="1" si="41"/>
        <v>0</v>
      </c>
      <c r="F538" s="42">
        <f t="shared" ca="1" si="42"/>
        <v>29.166666666666668</v>
      </c>
      <c r="G538" s="29">
        <f t="shared" ca="1" si="43"/>
        <v>0</v>
      </c>
    </row>
    <row r="539" spans="1:7" x14ac:dyDescent="0.25">
      <c r="A539" s="11">
        <f t="shared" si="44"/>
        <v>44</v>
      </c>
      <c r="B539" t="str">
        <f ca="1">TEXT(DATE(YEAR(Invoer!$A$5),1,1)+INT((ROWS(B$2:B539)-1)/2),"jjjjmmdd")</f>
        <v>19330926</v>
      </c>
      <c r="C539" s="24" t="str">
        <f>INDEX(Data,2,2+MOD(ROWS(C$2:C539)-1,2))</f>
        <v>15.00</v>
      </c>
      <c r="D539" s="41">
        <f t="shared" ca="1" si="40"/>
        <v>757.88519999999994</v>
      </c>
      <c r="E539" s="29">
        <f t="shared" ca="1" si="41"/>
        <v>0</v>
      </c>
      <c r="F539" s="42">
        <f t="shared" ca="1" si="42"/>
        <v>31.388888888888889</v>
      </c>
      <c r="G539" s="29">
        <f t="shared" ca="1" si="43"/>
        <v>0</v>
      </c>
    </row>
    <row r="540" spans="1:7" x14ac:dyDescent="0.25">
      <c r="A540" s="11">
        <f t="shared" si="44"/>
        <v>44</v>
      </c>
      <c r="B540" t="str">
        <f ca="1">TEXT(DATE(YEAR(Invoer!$A$5),1,1)+INT((ROWS(B$2:B540)-1)/2),"jjjjmmdd")</f>
        <v>19330927</v>
      </c>
      <c r="C540" s="24" t="str">
        <f>INDEX(Data,2,2+MOD(ROWS(C$2:C540)-1,2))</f>
        <v>08.00</v>
      </c>
      <c r="D540" s="41">
        <f t="shared" ca="1" si="40"/>
        <v>760.50139999999999</v>
      </c>
      <c r="E540" s="29">
        <f t="shared" ca="1" si="41"/>
        <v>0</v>
      </c>
      <c r="F540" s="42">
        <f t="shared" ca="1" si="42"/>
        <v>28.611111111111111</v>
      </c>
      <c r="G540" s="29">
        <f t="shared" ca="1" si="43"/>
        <v>0</v>
      </c>
    </row>
    <row r="541" spans="1:7" x14ac:dyDescent="0.25">
      <c r="A541" s="11">
        <f t="shared" si="44"/>
        <v>44</v>
      </c>
      <c r="B541" t="str">
        <f ca="1">TEXT(DATE(YEAR(Invoer!$A$5),1,1)+INT((ROWS(B$2:B541)-1)/2),"jjjjmmdd")</f>
        <v>19330927</v>
      </c>
      <c r="C541" s="24" t="str">
        <f>INDEX(Data,2,2+MOD(ROWS(C$2:C541)-1,2))</f>
        <v>15.00</v>
      </c>
      <c r="D541" s="41">
        <f t="shared" ca="1" si="40"/>
        <v>758.01220000000001</v>
      </c>
      <c r="E541" s="29">
        <f t="shared" ca="1" si="41"/>
        <v>0</v>
      </c>
      <c r="F541" s="42">
        <f t="shared" ca="1" si="42"/>
        <v>30.277777777777779</v>
      </c>
      <c r="G541" s="29">
        <f t="shared" ca="1" si="43"/>
        <v>0</v>
      </c>
    </row>
    <row r="542" spans="1:7" x14ac:dyDescent="0.25">
      <c r="A542" s="11">
        <f t="shared" si="44"/>
        <v>44</v>
      </c>
      <c r="B542" t="str">
        <f ca="1">TEXT(DATE(YEAR(Invoer!$A$5),1,1)+INT((ROWS(B$2:B542)-1)/2),"jjjjmmdd")</f>
        <v>19330928</v>
      </c>
      <c r="C542" s="24" t="str">
        <f>INDEX(Data,2,2+MOD(ROWS(C$2:C542)-1,2))</f>
        <v>08.00</v>
      </c>
      <c r="D542" s="41">
        <f t="shared" ca="1" si="40"/>
        <v>760.09499999999991</v>
      </c>
      <c r="E542" s="29">
        <f t="shared" ca="1" si="41"/>
        <v>0</v>
      </c>
      <c r="F542" s="42">
        <f t="shared" ca="1" si="42"/>
        <v>27.777777777777779</v>
      </c>
      <c r="G542" s="29">
        <f t="shared" ca="1" si="43"/>
        <v>0</v>
      </c>
    </row>
    <row r="543" spans="1:7" x14ac:dyDescent="0.25">
      <c r="A543" s="11">
        <f t="shared" si="44"/>
        <v>44</v>
      </c>
      <c r="B543" t="str">
        <f ca="1">TEXT(DATE(YEAR(Invoer!$A$5),1,1)+INT((ROWS(B$2:B543)-1)/2),"jjjjmmdd")</f>
        <v>19330928</v>
      </c>
      <c r="C543" s="24" t="str">
        <f>INDEX(Data,2,2+MOD(ROWS(C$2:C543)-1,2))</f>
        <v>15.00</v>
      </c>
      <c r="D543" s="41">
        <f t="shared" ca="1" si="40"/>
        <v>758.16459999999995</v>
      </c>
      <c r="E543" s="29">
        <f t="shared" ca="1" si="41"/>
        <v>0</v>
      </c>
      <c r="F543" s="42">
        <f t="shared" ca="1" si="42"/>
        <v>29.166666666666668</v>
      </c>
      <c r="G543" s="29">
        <f t="shared" ca="1" si="43"/>
        <v>0</v>
      </c>
    </row>
    <row r="544" spans="1:7" x14ac:dyDescent="0.25">
      <c r="A544" s="11">
        <f t="shared" si="44"/>
        <v>44</v>
      </c>
      <c r="B544" t="str">
        <f ca="1">TEXT(DATE(YEAR(Invoer!$A$5),1,1)+INT((ROWS(B$2:B544)-1)/2),"jjjjmmdd")</f>
        <v>19330929</v>
      </c>
      <c r="C544" s="24" t="str">
        <f>INDEX(Data,2,2+MOD(ROWS(C$2:C544)-1,2))</f>
        <v>08.00</v>
      </c>
      <c r="D544" s="41">
        <f t="shared" ca="1" si="40"/>
        <v>759.5616</v>
      </c>
      <c r="E544" s="29">
        <f t="shared" ca="1" si="41"/>
        <v>0</v>
      </c>
      <c r="F544" s="42">
        <f t="shared" ca="1" si="42"/>
        <v>28.055555555555557</v>
      </c>
      <c r="G544" s="29">
        <f t="shared" ca="1" si="43"/>
        <v>0</v>
      </c>
    </row>
    <row r="545" spans="1:7" x14ac:dyDescent="0.25">
      <c r="A545" s="11">
        <f t="shared" si="44"/>
        <v>44</v>
      </c>
      <c r="B545" t="str">
        <f ca="1">TEXT(DATE(YEAR(Invoer!$A$5),1,1)+INT((ROWS(B$2:B545)-1)/2),"jjjjmmdd")</f>
        <v>19330929</v>
      </c>
      <c r="C545" s="24" t="str">
        <f>INDEX(Data,2,2+MOD(ROWS(C$2:C545)-1,2))</f>
        <v>15.00</v>
      </c>
      <c r="D545" s="41">
        <f t="shared" ca="1" si="40"/>
        <v>756.31039999999996</v>
      </c>
      <c r="E545" s="29">
        <f t="shared" ca="1" si="41"/>
        <v>0</v>
      </c>
      <c r="F545" s="42">
        <f t="shared" ca="1" si="42"/>
        <v>29.722222222222221</v>
      </c>
      <c r="G545" s="29">
        <f t="shared" ca="1" si="43"/>
        <v>0</v>
      </c>
    </row>
    <row r="546" spans="1:7" x14ac:dyDescent="0.25">
      <c r="A546" s="11">
        <f t="shared" si="44"/>
        <v>44</v>
      </c>
      <c r="B546" t="str">
        <f ca="1">TEXT(DATE(YEAR(Invoer!$A$5),1,1)+INT((ROWS(B$2:B546)-1)/2),"jjjjmmdd")</f>
        <v>19330930</v>
      </c>
      <c r="C546" s="24" t="str">
        <f>INDEX(Data,2,2+MOD(ROWS(C$2:C546)-1,2))</f>
        <v>08.00</v>
      </c>
      <c r="D546" s="41">
        <f t="shared" ca="1" si="40"/>
        <v>759.63779999999997</v>
      </c>
      <c r="E546" s="29">
        <f t="shared" ca="1" si="41"/>
        <v>0</v>
      </c>
      <c r="F546" s="42">
        <f t="shared" ca="1" si="42"/>
        <v>27.5</v>
      </c>
      <c r="G546" s="29">
        <f t="shared" ca="1" si="43"/>
        <v>0</v>
      </c>
    </row>
    <row r="547" spans="1:7" x14ac:dyDescent="0.25">
      <c r="A547" s="11">
        <f t="shared" si="44"/>
        <v>44</v>
      </c>
      <c r="B547" t="str">
        <f ca="1">TEXT(DATE(YEAR(Invoer!$A$5),1,1)+INT((ROWS(B$2:B547)-1)/2),"jjjjmmdd")</f>
        <v>19330930</v>
      </c>
      <c r="C547" s="24" t="str">
        <f>INDEX(Data,2,2+MOD(ROWS(C$2:C547)-1,2))</f>
        <v>15.00</v>
      </c>
      <c r="D547" s="41">
        <f t="shared" ca="1" si="40"/>
        <v>755.904</v>
      </c>
      <c r="E547" s="29">
        <f t="shared" ca="1" si="41"/>
        <v>0</v>
      </c>
      <c r="F547" s="42">
        <f t="shared" ca="1" si="42"/>
        <v>28.888888888888889</v>
      </c>
      <c r="G547" s="29">
        <f t="shared" ca="1" si="43"/>
        <v>0</v>
      </c>
    </row>
    <row r="548" spans="1:7" x14ac:dyDescent="0.25">
      <c r="A548" s="11">
        <f t="shared" si="44"/>
        <v>44</v>
      </c>
      <c r="B548" t="str">
        <f ca="1">TEXT(DATE(YEAR(Invoer!$A$5),1,1)+INT((ROWS(B$2:B548)-1)/2),"jjjjmmdd")</f>
        <v>19331001</v>
      </c>
      <c r="C548" s="24" t="str">
        <f>INDEX(Data,2,2+MOD(ROWS(C$2:C548)-1,2))</f>
        <v>08.00</v>
      </c>
      <c r="D548" s="41">
        <f t="shared" ca="1" si="40"/>
        <v>758.77419999999995</v>
      </c>
      <c r="E548" s="29">
        <f t="shared" ca="1" si="41"/>
        <v>0</v>
      </c>
      <c r="F548" s="42">
        <f t="shared" ca="1" si="42"/>
        <v>28.333333333333332</v>
      </c>
      <c r="G548" s="29">
        <f t="shared" ca="1" si="43"/>
        <v>0</v>
      </c>
    </row>
    <row r="549" spans="1:7" x14ac:dyDescent="0.25">
      <c r="A549" s="11">
        <f t="shared" si="44"/>
        <v>44</v>
      </c>
      <c r="B549" t="str">
        <f ca="1">TEXT(DATE(YEAR(Invoer!$A$5),1,1)+INT((ROWS(B$2:B549)-1)/2),"jjjjmmdd")</f>
        <v>19331001</v>
      </c>
      <c r="C549" s="24" t="str">
        <f>INDEX(Data,2,2+MOD(ROWS(C$2:C549)-1,2))</f>
        <v>15.00</v>
      </c>
      <c r="D549" s="41">
        <f t="shared" ca="1" si="40"/>
        <v>756.28499999999997</v>
      </c>
      <c r="E549" s="29">
        <f t="shared" ca="1" si="41"/>
        <v>0</v>
      </c>
      <c r="F549" s="42">
        <f t="shared" ca="1" si="42"/>
        <v>30</v>
      </c>
      <c r="G549" s="29">
        <f t="shared" ca="1" si="43"/>
        <v>0</v>
      </c>
    </row>
    <row r="550" spans="1:7" x14ac:dyDescent="0.25">
      <c r="A550" s="11">
        <f t="shared" si="44"/>
        <v>44</v>
      </c>
      <c r="B550" t="str">
        <f ca="1">TEXT(DATE(YEAR(Invoer!$A$5),1,1)+INT((ROWS(B$2:B550)-1)/2),"jjjjmmdd")</f>
        <v>19331002</v>
      </c>
      <c r="C550" s="24" t="str">
        <f>INDEX(Data,2,2+MOD(ROWS(C$2:C550)-1,2))</f>
        <v>08.00</v>
      </c>
      <c r="D550" s="41">
        <f t="shared" ca="1" si="40"/>
        <v>758.46939999999995</v>
      </c>
      <c r="E550" s="29">
        <f t="shared" ca="1" si="41"/>
        <v>0</v>
      </c>
      <c r="F550" s="42">
        <f t="shared" ca="1" si="42"/>
        <v>28.611111111111111</v>
      </c>
      <c r="G550" s="29">
        <f t="shared" ca="1" si="43"/>
        <v>0</v>
      </c>
    </row>
    <row r="551" spans="1:7" x14ac:dyDescent="0.25">
      <c r="A551" s="11">
        <f t="shared" si="44"/>
        <v>44</v>
      </c>
      <c r="B551" t="str">
        <f ca="1">TEXT(DATE(YEAR(Invoer!$A$5),1,1)+INT((ROWS(B$2:B551)-1)/2),"jjjjmmdd")</f>
        <v>19331002</v>
      </c>
      <c r="C551" s="24" t="str">
        <f>INDEX(Data,2,2+MOD(ROWS(C$2:C551)-1,2))</f>
        <v>15.00</v>
      </c>
      <c r="D551" s="41">
        <f t="shared" ca="1" si="40"/>
        <v>756.31039999999996</v>
      </c>
      <c r="E551" s="29">
        <f t="shared" ca="1" si="41"/>
        <v>0</v>
      </c>
      <c r="F551" s="42">
        <f t="shared" ca="1" si="42"/>
        <v>29.722222222222221</v>
      </c>
      <c r="G551" s="29">
        <f t="shared" ca="1" si="43"/>
        <v>0</v>
      </c>
    </row>
    <row r="552" spans="1:7" x14ac:dyDescent="0.25">
      <c r="A552" s="11">
        <f t="shared" si="44"/>
        <v>44</v>
      </c>
      <c r="B552" t="str">
        <f ca="1">TEXT(DATE(YEAR(Invoer!$A$5),1,1)+INT((ROWS(B$2:B552)-1)/2),"jjjjmmdd")</f>
        <v>19331003</v>
      </c>
      <c r="C552" s="24" t="str">
        <f>INDEX(Data,2,2+MOD(ROWS(C$2:C552)-1,2))</f>
        <v>08.00</v>
      </c>
      <c r="D552" s="41">
        <f t="shared" ca="1" si="40"/>
        <v>758.21539999999993</v>
      </c>
      <c r="E552" s="29">
        <f t="shared" ca="1" si="41"/>
        <v>0</v>
      </c>
      <c r="F552" s="42">
        <f t="shared" ca="1" si="42"/>
        <v>28.611111111111111</v>
      </c>
      <c r="G552" s="29">
        <f t="shared" ca="1" si="43"/>
        <v>0</v>
      </c>
    </row>
    <row r="553" spans="1:7" x14ac:dyDescent="0.25">
      <c r="A553" s="11">
        <f t="shared" si="44"/>
        <v>44</v>
      </c>
      <c r="B553" t="str">
        <f ca="1">TEXT(DATE(YEAR(Invoer!$A$5),1,1)+INT((ROWS(B$2:B553)-1)/2),"jjjjmmdd")</f>
        <v>19331003</v>
      </c>
      <c r="C553" s="24" t="str">
        <f>INDEX(Data,2,2+MOD(ROWS(C$2:C553)-1,2))</f>
        <v>15.00</v>
      </c>
      <c r="D553" s="41">
        <f t="shared" ca="1" si="40"/>
        <v>755.98019999999997</v>
      </c>
      <c r="E553" s="29">
        <f t="shared" ca="1" si="41"/>
        <v>0</v>
      </c>
      <c r="F553" s="42">
        <f t="shared" ca="1" si="42"/>
        <v>30.277777777777779</v>
      </c>
      <c r="G553" s="29">
        <f t="shared" ca="1" si="43"/>
        <v>0</v>
      </c>
    </row>
    <row r="554" spans="1:7" x14ac:dyDescent="0.25">
      <c r="A554" s="11">
        <f t="shared" si="44"/>
        <v>44</v>
      </c>
      <c r="B554" t="str">
        <f ca="1">TEXT(DATE(YEAR(Invoer!$A$5),1,1)+INT((ROWS(B$2:B554)-1)/2),"jjjjmmdd")</f>
        <v>19331004</v>
      </c>
      <c r="C554" s="24" t="str">
        <f>INDEX(Data,2,2+MOD(ROWS(C$2:C554)-1,2))</f>
        <v>08.00</v>
      </c>
      <c r="D554" s="41">
        <f t="shared" ref="D554:D617" ca="1" si="45">IF(OR(ISBLANK(VLOOKUP(DATEVALUE(LEFT($B554,4)&amp;"-"&amp;MID($B554,5,2)&amp;"-"&amp;RIGHT($B554,2)),Data,MATCH(LEFT(VLOOKUP(D$1,Parameters,2,FALSE()),4)&amp;"*",OFFSET(Data,0,0,1),0)+MATCH($C554,OFFSET(Data,1,0,1),0)-2,FALSE())),ISTEXT(VLOOKUP(DATEVALUE(LEFT($B554,4)&amp;"-"&amp;MID($B554,5,2)&amp;"-"&amp;RIGHT($B554,2)),Data,MATCH(LEFT(VLOOKUP(D$1,Parameters,2,FALSE()),4)&amp;"*",OFFSET(Data,0,0,1),0)+MATCH($C554,OFFSET(Data,1,0,1),0)-2,FALSE()))),"—",0.0254*VLOOKUP(DATEVALUE(LEFT($B554,4)&amp;"-"&amp;MID($B554,5,2)&amp;"-"&amp;RIGHT($B554,2)),Data,MATCH(LEFT(VLOOKUP(D$1,Parameters,2,FALSE()),4)&amp;"*",OFFSET(Data,0,0,1),0)+MATCH($C554,OFFSET(Data,1,0,1),0)-2,FALSE()))</f>
        <v>758.69799999999998</v>
      </c>
      <c r="E554" s="29">
        <f t="shared" ref="E554:E617" ca="1" si="46">IF(OR(ISBLANK(VLOOKUP(DATEVALUE(LEFT($B554,4)&amp;"-"&amp;MID($B554,5,2)&amp;"-"&amp;RIGHT($B554,2)),Data,MATCH(LEFT(VLOOKUP(MID(E$1,2,LEN(E$1)-1),Parameters,2,FALSE()),4)&amp;"*",OFFSET(Data,0,0,1),0)+MATCH($C554,OFFSET(Data,1,0,1),0)-2,FALSE())),ISTEXT(VLOOKUP(DATEVALUE(LEFT($B554,4)&amp;"-"&amp;MID($B554,5,2)&amp;"-"&amp;RIGHT($B554,2)),Data,MATCH(LEFT(VLOOKUP(MID(E$1,2,LEN(E$1)-1),Parameters,2,FALSE()),4)&amp;"*",OFFSET(Data,0,0,1),0)+MATCH($C554,OFFSET(Data,1,0,1),0)-2,FALSE()))),Lacking,IF(ISNA(MATCH(DATEVALUE(LEFT($B554,4)&amp;"-"&amp;MID($B554,5,2)&amp;"-"&amp;RIGHT($B554,2)),OFFSET(Catalogus,0,0,,1),0)),Ok,VLOOKUP(DATEVALUE(LEFT($B554,4)&amp;"-"&amp;MID($B554,5,2)&amp;"-"&amp;RIGHT($B554,2)),Catalogus,MATCH(LEFT(VLOOKUP(MID(E$1,2,LEN(E$1)-1),Parameters,2,FALSE()),4)&amp;"*",OFFSET(Catalogus,0,0,1),0)+MATCH($C554,OFFSET(Catalogus,1,0,1),0)-2,FALSE())))</f>
        <v>0</v>
      </c>
      <c r="F554" s="42">
        <f t="shared" ref="F554:F617" ca="1" si="47">IF(OR(ISBLANK(VLOOKUP(DATEVALUE(LEFT($B554,4)&amp;"-"&amp;MID($B554,5,2)&amp;"-"&amp;RIGHT($B554,2)),Data,MATCH(LEFT(VLOOKUP(F$1,Parameters,2,FALSE()),4)&amp;"*",OFFSET(Data,0,0,1),0)+MATCH($C554,OFFSET(Data,1,0,1),0)-2,FALSE())),ISTEXT(VLOOKUP(DATEVALUE(LEFT($B554,4)&amp;"-"&amp;MID($B554,5,2)&amp;"-"&amp;RIGHT($B554,2)),Data,MATCH(LEFT(VLOOKUP(F$1,Parameters,2,FALSE()),4)&amp;"*",OFFSET(Data,0,0,1),0)+MATCH($C554,OFFSET(Data,1,0,1),0)-2,FALSE()))),"—",5*(VLOOKUP(DATEVALUE(LEFT($B554,4)&amp;"-"&amp;MID($B554,5,2)&amp;"-"&amp;RIGHT($B554,2)),Data,MATCH(LEFT(VLOOKUP(F$1,Parameters,2,FALSE()),4)&amp;"*",OFFSET(Data,0,0,1),0)+MATCH($C554,OFFSET(Data,1,0,1),0)-2,FALSE())-320)/90)</f>
        <v>28.888888888888889</v>
      </c>
      <c r="G554" s="29">
        <f t="shared" ref="G554:G617" ca="1" si="48">IF(OR(ISBLANK(VLOOKUP(DATEVALUE(LEFT($B554,4)&amp;"-"&amp;MID($B554,5,2)&amp;"-"&amp;RIGHT($B554,2)),Data,MATCH(LEFT(VLOOKUP(MID(G$1,2,LEN(G$1)-1),Parameters,2,FALSE()),4)&amp;"*",OFFSET(Data,0,0,1),0)+MATCH($C554,OFFSET(Data,1,0,1),0)-2,FALSE())),ISTEXT(VLOOKUP(DATEVALUE(LEFT($B554,4)&amp;"-"&amp;MID($B554,5,2)&amp;"-"&amp;RIGHT($B554,2)),Data,MATCH(LEFT(VLOOKUP(MID(G$1,2,LEN(G$1)-1),Parameters,2,FALSE()),4)&amp;"*",OFFSET(Data,0,0,1),0)+MATCH($C554,OFFSET(Data,1,0,1),0)-2,FALSE()))),Lacking,IF(ISNA(MATCH(DATEVALUE(LEFT($B554,4)&amp;"-"&amp;MID($B554,5,2)&amp;"-"&amp;RIGHT($B554,2)),OFFSET(Catalogus,0,0,,1),0)),Ok,VLOOKUP(DATEVALUE(LEFT($B554,4)&amp;"-"&amp;MID($B554,5,2)&amp;"-"&amp;RIGHT($B554,2)),Catalogus,MATCH(LEFT(VLOOKUP(MID(G$1,2,LEN(G$1)-1),Parameters,2,FALSE()),4)&amp;"*",OFFSET(Catalogus,0,0,1),0)+MATCH($C554,OFFSET(Catalogus,1,0,1),0)-2,FALSE())))</f>
        <v>0</v>
      </c>
    </row>
    <row r="555" spans="1:7" x14ac:dyDescent="0.25">
      <c r="A555" s="11">
        <f t="shared" si="44"/>
        <v>44</v>
      </c>
      <c r="B555" t="str">
        <f ca="1">TEXT(DATE(YEAR(Invoer!$A$5),1,1)+INT((ROWS(B$2:B555)-1)/2),"jjjjmmdd")</f>
        <v>19331004</v>
      </c>
      <c r="C555" s="24" t="str">
        <f>INDEX(Data,2,2+MOD(ROWS(C$2:C555)-1,2))</f>
        <v>15.00</v>
      </c>
      <c r="D555" s="41">
        <f t="shared" ca="1" si="45"/>
        <v>756.99619999999993</v>
      </c>
      <c r="E555" s="29">
        <f t="shared" ca="1" si="46"/>
        <v>0</v>
      </c>
      <c r="F555" s="42">
        <f t="shared" ca="1" si="47"/>
        <v>30.277777777777779</v>
      </c>
      <c r="G555" s="29">
        <f t="shared" ca="1" si="48"/>
        <v>0</v>
      </c>
    </row>
    <row r="556" spans="1:7" x14ac:dyDescent="0.25">
      <c r="A556" s="11">
        <f t="shared" si="44"/>
        <v>44</v>
      </c>
      <c r="B556" t="str">
        <f ca="1">TEXT(DATE(YEAR(Invoer!$A$5),1,1)+INT((ROWS(B$2:B556)-1)/2),"jjjjmmdd")</f>
        <v>19331005</v>
      </c>
      <c r="C556" s="24" t="str">
        <f>INDEX(Data,2,2+MOD(ROWS(C$2:C556)-1,2))</f>
        <v>08.00</v>
      </c>
      <c r="D556" s="41">
        <f t="shared" ca="1" si="45"/>
        <v>759.45999999999992</v>
      </c>
      <c r="E556" s="29">
        <f t="shared" ca="1" si="46"/>
        <v>0</v>
      </c>
      <c r="F556" s="42">
        <f t="shared" ca="1" si="47"/>
        <v>28.611111111111111</v>
      </c>
      <c r="G556" s="29">
        <f t="shared" ca="1" si="48"/>
        <v>0</v>
      </c>
    </row>
    <row r="557" spans="1:7" x14ac:dyDescent="0.25">
      <c r="A557" s="11">
        <f t="shared" si="44"/>
        <v>44</v>
      </c>
      <c r="B557" t="str">
        <f ca="1">TEXT(DATE(YEAR(Invoer!$A$5),1,1)+INT((ROWS(B$2:B557)-1)/2),"jjjjmmdd")</f>
        <v>19331005</v>
      </c>
      <c r="C557" s="24" t="str">
        <f>INDEX(Data,2,2+MOD(ROWS(C$2:C557)-1,2))</f>
        <v>15.00</v>
      </c>
      <c r="D557" s="41">
        <f t="shared" ca="1" si="45"/>
        <v>757.50419999999997</v>
      </c>
      <c r="E557" s="29">
        <f t="shared" ca="1" si="46"/>
        <v>0</v>
      </c>
      <c r="F557" s="42">
        <f t="shared" ca="1" si="47"/>
        <v>30.277777777777779</v>
      </c>
      <c r="G557" s="29">
        <f t="shared" ca="1" si="48"/>
        <v>0</v>
      </c>
    </row>
    <row r="558" spans="1:7" x14ac:dyDescent="0.25">
      <c r="A558" s="11">
        <f t="shared" si="44"/>
        <v>44</v>
      </c>
      <c r="B558" t="str">
        <f ca="1">TEXT(DATE(YEAR(Invoer!$A$5),1,1)+INT((ROWS(B$2:B558)-1)/2),"jjjjmmdd")</f>
        <v>19331006</v>
      </c>
      <c r="C558" s="24" t="str">
        <f>INDEX(Data,2,2+MOD(ROWS(C$2:C558)-1,2))</f>
        <v>08.00</v>
      </c>
      <c r="D558" s="41">
        <f t="shared" ca="1" si="45"/>
        <v>758.18999999999994</v>
      </c>
      <c r="E558" s="29">
        <f t="shared" ca="1" si="46"/>
        <v>0</v>
      </c>
      <c r="F558" s="42">
        <f t="shared" ca="1" si="47"/>
        <v>28.888888888888889</v>
      </c>
      <c r="G558" s="29">
        <f t="shared" ca="1" si="48"/>
        <v>0</v>
      </c>
    </row>
    <row r="559" spans="1:7" x14ac:dyDescent="0.25">
      <c r="A559" s="11">
        <f t="shared" si="44"/>
        <v>44</v>
      </c>
      <c r="B559" t="str">
        <f ca="1">TEXT(DATE(YEAR(Invoer!$A$5),1,1)+INT((ROWS(B$2:B559)-1)/2),"jjjjmmdd")</f>
        <v>19331006</v>
      </c>
      <c r="C559" s="24" t="str">
        <f>INDEX(Data,2,2+MOD(ROWS(C$2:C559)-1,2))</f>
        <v>15.00</v>
      </c>
      <c r="D559" s="41">
        <f t="shared" ca="1" si="45"/>
        <v>759.12979999999993</v>
      </c>
      <c r="E559" s="29">
        <f t="shared" ca="1" si="46"/>
        <v>0</v>
      </c>
      <c r="F559" s="42">
        <f t="shared" ca="1" si="47"/>
        <v>29.444444444444443</v>
      </c>
      <c r="G559" s="29">
        <f t="shared" ca="1" si="48"/>
        <v>0</v>
      </c>
    </row>
    <row r="560" spans="1:7" x14ac:dyDescent="0.25">
      <c r="A560" s="11">
        <f t="shared" si="44"/>
        <v>44</v>
      </c>
      <c r="B560" t="str">
        <f ca="1">TEXT(DATE(YEAR(Invoer!$A$5),1,1)+INT((ROWS(B$2:B560)-1)/2),"jjjjmmdd")</f>
        <v>19331007</v>
      </c>
      <c r="C560" s="24" t="str">
        <f>INDEX(Data,2,2+MOD(ROWS(C$2:C560)-1,2))</f>
        <v>08.00</v>
      </c>
      <c r="D560" s="41">
        <f t="shared" ca="1" si="45"/>
        <v>761.28879999999992</v>
      </c>
      <c r="E560" s="29">
        <f t="shared" ca="1" si="46"/>
        <v>0</v>
      </c>
      <c r="F560" s="42">
        <f t="shared" ca="1" si="47"/>
        <v>28.333333333333332</v>
      </c>
      <c r="G560" s="29">
        <f t="shared" ca="1" si="48"/>
        <v>0</v>
      </c>
    </row>
    <row r="561" spans="1:7" x14ac:dyDescent="0.25">
      <c r="A561" s="11">
        <f t="shared" si="44"/>
        <v>44</v>
      </c>
      <c r="B561" t="str">
        <f ca="1">TEXT(DATE(YEAR(Invoer!$A$5),1,1)+INT((ROWS(B$2:B561)-1)/2),"jjjjmmdd")</f>
        <v>19331007</v>
      </c>
      <c r="C561" s="24" t="str">
        <f>INDEX(Data,2,2+MOD(ROWS(C$2:C561)-1,2))</f>
        <v>15.00</v>
      </c>
      <c r="D561" s="41">
        <f t="shared" ca="1" si="45"/>
        <v>758.85039999999992</v>
      </c>
      <c r="E561" s="29">
        <f t="shared" ca="1" si="46"/>
        <v>0</v>
      </c>
      <c r="F561" s="42">
        <f t="shared" ca="1" si="47"/>
        <v>29.722222222222221</v>
      </c>
      <c r="G561" s="29">
        <f t="shared" ca="1" si="48"/>
        <v>0</v>
      </c>
    </row>
    <row r="562" spans="1:7" x14ac:dyDescent="0.25">
      <c r="A562" s="11">
        <f t="shared" si="44"/>
        <v>44</v>
      </c>
      <c r="B562" t="str">
        <f ca="1">TEXT(DATE(YEAR(Invoer!$A$5),1,1)+INT((ROWS(B$2:B562)-1)/2),"jjjjmmdd")</f>
        <v>19331008</v>
      </c>
      <c r="C562" s="24" t="str">
        <f>INDEX(Data,2,2+MOD(ROWS(C$2:C562)-1,2))</f>
        <v>08.00</v>
      </c>
      <c r="D562" s="41">
        <f t="shared" ca="1" si="45"/>
        <v>760.85699999999997</v>
      </c>
      <c r="E562" s="29">
        <f t="shared" ca="1" si="46"/>
        <v>0</v>
      </c>
      <c r="F562" s="42">
        <f t="shared" ca="1" si="47"/>
        <v>27.777777777777779</v>
      </c>
      <c r="G562" s="29">
        <f t="shared" ca="1" si="48"/>
        <v>0</v>
      </c>
    </row>
    <row r="563" spans="1:7" x14ac:dyDescent="0.25">
      <c r="A563" s="11">
        <f t="shared" si="44"/>
        <v>44</v>
      </c>
      <c r="B563" t="str">
        <f ca="1">TEXT(DATE(YEAR(Invoer!$A$5),1,1)+INT((ROWS(B$2:B563)-1)/2),"jjjjmmdd")</f>
        <v>19331008</v>
      </c>
      <c r="C563" s="24" t="str">
        <f>INDEX(Data,2,2+MOD(ROWS(C$2:C563)-1,2))</f>
        <v>15.00</v>
      </c>
      <c r="D563" s="41">
        <f t="shared" ca="1" si="45"/>
        <v>758.36779999999999</v>
      </c>
      <c r="E563" s="29">
        <f t="shared" ca="1" si="46"/>
        <v>0</v>
      </c>
      <c r="F563" s="42">
        <f t="shared" ca="1" si="47"/>
        <v>29.444444444444443</v>
      </c>
      <c r="G563" s="29">
        <f t="shared" ca="1" si="48"/>
        <v>0</v>
      </c>
    </row>
    <row r="564" spans="1:7" x14ac:dyDescent="0.25">
      <c r="A564" s="11">
        <f t="shared" si="44"/>
        <v>44</v>
      </c>
      <c r="B564" t="str">
        <f ca="1">TEXT(DATE(YEAR(Invoer!$A$5),1,1)+INT((ROWS(B$2:B564)-1)/2),"jjjjmmdd")</f>
        <v>19331009</v>
      </c>
      <c r="C564" s="24" t="str">
        <f>INDEX(Data,2,2+MOD(ROWS(C$2:C564)-1,2))</f>
        <v>08.00</v>
      </c>
      <c r="D564" s="41">
        <f t="shared" ca="1" si="45"/>
        <v>759.96799999999996</v>
      </c>
      <c r="E564" s="29">
        <f t="shared" ca="1" si="46"/>
        <v>0</v>
      </c>
      <c r="F564" s="42">
        <f t="shared" ca="1" si="47"/>
        <v>28.888888888888889</v>
      </c>
      <c r="G564" s="29">
        <f t="shared" ca="1" si="48"/>
        <v>0</v>
      </c>
    </row>
    <row r="565" spans="1:7" x14ac:dyDescent="0.25">
      <c r="A565" s="11">
        <f t="shared" si="44"/>
        <v>44</v>
      </c>
      <c r="B565" t="str">
        <f ca="1">TEXT(DATE(YEAR(Invoer!$A$5),1,1)+INT((ROWS(B$2:B565)-1)/2),"jjjjmmdd")</f>
        <v>19331009</v>
      </c>
      <c r="C565" s="24" t="str">
        <f>INDEX(Data,2,2+MOD(ROWS(C$2:C565)-1,2))</f>
        <v>15.00</v>
      </c>
      <c r="D565" s="41">
        <f t="shared" ca="1" si="45"/>
        <v>758.57099999999991</v>
      </c>
      <c r="E565" s="29">
        <f t="shared" ca="1" si="46"/>
        <v>0</v>
      </c>
      <c r="F565" s="42">
        <f t="shared" ca="1" si="47"/>
        <v>30</v>
      </c>
      <c r="G565" s="29">
        <f t="shared" ca="1" si="48"/>
        <v>0</v>
      </c>
    </row>
    <row r="566" spans="1:7" x14ac:dyDescent="0.25">
      <c r="A566" s="11">
        <f t="shared" si="44"/>
        <v>44</v>
      </c>
      <c r="B566" t="str">
        <f ca="1">TEXT(DATE(YEAR(Invoer!$A$5),1,1)+INT((ROWS(B$2:B566)-1)/2),"jjjjmmdd")</f>
        <v>19331010</v>
      </c>
      <c r="C566" s="24" t="str">
        <f>INDEX(Data,2,2+MOD(ROWS(C$2:C566)-1,2))</f>
        <v>08.00</v>
      </c>
      <c r="D566" s="41">
        <f t="shared" ca="1" si="45"/>
        <v>760.476</v>
      </c>
      <c r="E566" s="29">
        <f t="shared" ca="1" si="46"/>
        <v>0</v>
      </c>
      <c r="F566" s="42">
        <f t="shared" ca="1" si="47"/>
        <v>28.888888888888889</v>
      </c>
      <c r="G566" s="29">
        <f t="shared" ca="1" si="48"/>
        <v>0</v>
      </c>
    </row>
    <row r="567" spans="1:7" x14ac:dyDescent="0.25">
      <c r="A567" s="11">
        <f t="shared" si="44"/>
        <v>44</v>
      </c>
      <c r="B567" t="str">
        <f ca="1">TEXT(DATE(YEAR(Invoer!$A$5),1,1)+INT((ROWS(B$2:B567)-1)/2),"jjjjmmdd")</f>
        <v>19331010</v>
      </c>
      <c r="C567" s="24" t="str">
        <f>INDEX(Data,2,2+MOD(ROWS(C$2:C567)-1,2))</f>
        <v>15.00</v>
      </c>
      <c r="D567" s="41">
        <f t="shared" ca="1" si="45"/>
        <v>758.26619999999991</v>
      </c>
      <c r="E567" s="29">
        <f t="shared" ca="1" si="46"/>
        <v>0</v>
      </c>
      <c r="F567" s="42">
        <f t="shared" ca="1" si="47"/>
        <v>28.333333333333332</v>
      </c>
      <c r="G567" s="29">
        <f t="shared" ca="1" si="48"/>
        <v>0</v>
      </c>
    </row>
    <row r="568" spans="1:7" x14ac:dyDescent="0.25">
      <c r="A568" s="11">
        <f t="shared" si="44"/>
        <v>44</v>
      </c>
      <c r="B568" t="str">
        <f ca="1">TEXT(DATE(YEAR(Invoer!$A$5),1,1)+INT((ROWS(B$2:B568)-1)/2),"jjjjmmdd")</f>
        <v>19331011</v>
      </c>
      <c r="C568" s="24" t="str">
        <f>INDEX(Data,2,2+MOD(ROWS(C$2:C568)-1,2))</f>
        <v>08.00</v>
      </c>
      <c r="D568" s="41">
        <f t="shared" ca="1" si="45"/>
        <v>760.65379999999993</v>
      </c>
      <c r="E568" s="29">
        <f t="shared" ca="1" si="46"/>
        <v>0</v>
      </c>
      <c r="F568" s="42">
        <f t="shared" ca="1" si="47"/>
        <v>29.444444444444443</v>
      </c>
      <c r="G568" s="29">
        <f t="shared" ca="1" si="48"/>
        <v>0</v>
      </c>
    </row>
    <row r="569" spans="1:7" x14ac:dyDescent="0.25">
      <c r="A569" s="11">
        <f t="shared" si="44"/>
        <v>44</v>
      </c>
      <c r="B569" t="str">
        <f ca="1">TEXT(DATE(YEAR(Invoer!$A$5),1,1)+INT((ROWS(B$2:B569)-1)/2),"jjjjmmdd")</f>
        <v>19331011</v>
      </c>
      <c r="C569" s="24" t="str">
        <f>INDEX(Data,2,2+MOD(ROWS(C$2:C569)-1,2))</f>
        <v>15.00</v>
      </c>
      <c r="D569" s="41">
        <f t="shared" ca="1" si="45"/>
        <v>758.82499999999993</v>
      </c>
      <c r="E569" s="29">
        <f t="shared" ca="1" si="46"/>
        <v>0</v>
      </c>
      <c r="F569" s="42">
        <f t="shared" ca="1" si="47"/>
        <v>30</v>
      </c>
      <c r="G569" s="29">
        <f t="shared" ca="1" si="48"/>
        <v>0</v>
      </c>
    </row>
    <row r="570" spans="1:7" x14ac:dyDescent="0.25">
      <c r="A570" s="11">
        <f t="shared" si="44"/>
        <v>44</v>
      </c>
      <c r="B570" t="str">
        <f ca="1">TEXT(DATE(YEAR(Invoer!$A$5),1,1)+INT((ROWS(B$2:B570)-1)/2),"jjjjmmdd")</f>
        <v>19331012</v>
      </c>
      <c r="C570" s="24" t="str">
        <f>INDEX(Data,2,2+MOD(ROWS(C$2:C570)-1,2))</f>
        <v>08.00</v>
      </c>
      <c r="D570" s="41">
        <f t="shared" ca="1" si="45"/>
        <v>760.45060000000001</v>
      </c>
      <c r="E570" s="29">
        <f t="shared" ca="1" si="46"/>
        <v>0</v>
      </c>
      <c r="F570" s="42">
        <f t="shared" ca="1" si="47"/>
        <v>29.166666666666668</v>
      </c>
      <c r="G570" s="29">
        <f t="shared" ca="1" si="48"/>
        <v>0</v>
      </c>
    </row>
    <row r="571" spans="1:7" x14ac:dyDescent="0.25">
      <c r="A571" s="11">
        <f t="shared" si="44"/>
        <v>44</v>
      </c>
      <c r="B571" t="str">
        <f ca="1">TEXT(DATE(YEAR(Invoer!$A$5),1,1)+INT((ROWS(B$2:B571)-1)/2),"jjjjmmdd")</f>
        <v>19331012</v>
      </c>
      <c r="C571" s="24" t="str">
        <f>INDEX(Data,2,2+MOD(ROWS(C$2:C571)-1,2))</f>
        <v>15.00</v>
      </c>
      <c r="D571" s="41">
        <f t="shared" ca="1" si="45"/>
        <v>758.01220000000001</v>
      </c>
      <c r="E571" s="29">
        <f t="shared" ca="1" si="46"/>
        <v>0</v>
      </c>
      <c r="F571" s="42">
        <f t="shared" ca="1" si="47"/>
        <v>30.277777777777779</v>
      </c>
      <c r="G571" s="29">
        <f t="shared" ca="1" si="48"/>
        <v>0</v>
      </c>
    </row>
    <row r="572" spans="1:7" x14ac:dyDescent="0.25">
      <c r="A572" s="11">
        <f t="shared" si="44"/>
        <v>44</v>
      </c>
      <c r="B572" t="str">
        <f ca="1">TEXT(DATE(YEAR(Invoer!$A$5),1,1)+INT((ROWS(B$2:B572)-1)/2),"jjjjmmdd")</f>
        <v>19331013</v>
      </c>
      <c r="C572" s="24" t="str">
        <f>INDEX(Data,2,2+MOD(ROWS(C$2:C572)-1,2))</f>
        <v>08.00</v>
      </c>
      <c r="D572" s="41">
        <f t="shared" ca="1" si="45"/>
        <v>759.96799999999996</v>
      </c>
      <c r="E572" s="29">
        <f t="shared" ca="1" si="46"/>
        <v>0</v>
      </c>
      <c r="F572" s="42">
        <f t="shared" ca="1" si="47"/>
        <v>28.888888888888889</v>
      </c>
      <c r="G572" s="29">
        <f t="shared" ca="1" si="48"/>
        <v>0</v>
      </c>
    </row>
    <row r="573" spans="1:7" x14ac:dyDescent="0.25">
      <c r="A573" s="11">
        <f t="shared" si="44"/>
        <v>44</v>
      </c>
      <c r="B573" t="str">
        <f ca="1">TEXT(DATE(YEAR(Invoer!$A$5),1,1)+INT((ROWS(B$2:B573)-1)/2),"jjjjmmdd")</f>
        <v>19331013</v>
      </c>
      <c r="C573" s="24" t="str">
        <f>INDEX(Data,2,2+MOD(ROWS(C$2:C573)-1,2))</f>
        <v>15.00</v>
      </c>
      <c r="D573" s="41">
        <f t="shared" ca="1" si="45"/>
        <v>756.97079999999994</v>
      </c>
      <c r="E573" s="29">
        <f t="shared" ca="1" si="46"/>
        <v>0</v>
      </c>
      <c r="F573" s="42">
        <f t="shared" ca="1" si="47"/>
        <v>30.555555555555557</v>
      </c>
      <c r="G573" s="29">
        <f t="shared" ca="1" si="48"/>
        <v>0</v>
      </c>
    </row>
    <row r="574" spans="1:7" x14ac:dyDescent="0.25">
      <c r="A574" s="11">
        <f t="shared" si="44"/>
        <v>44</v>
      </c>
      <c r="B574" t="str">
        <f ca="1">TEXT(DATE(YEAR(Invoer!$A$5),1,1)+INT((ROWS(B$2:B574)-1)/2),"jjjjmmdd")</f>
        <v>19331014</v>
      </c>
      <c r="C574" s="24" t="str">
        <f>INDEX(Data,2,2+MOD(ROWS(C$2:C574)-1,2))</f>
        <v>08.00</v>
      </c>
      <c r="D574" s="41">
        <f t="shared" ca="1" si="45"/>
        <v>759.96799999999996</v>
      </c>
      <c r="E574" s="29">
        <f t="shared" ca="1" si="46"/>
        <v>0</v>
      </c>
      <c r="F574" s="42">
        <f t="shared" ca="1" si="47"/>
        <v>28.888888888888889</v>
      </c>
      <c r="G574" s="29">
        <f t="shared" ca="1" si="48"/>
        <v>0</v>
      </c>
    </row>
    <row r="575" spans="1:7" x14ac:dyDescent="0.25">
      <c r="A575" s="11">
        <f t="shared" si="44"/>
        <v>44</v>
      </c>
      <c r="B575" t="str">
        <f ca="1">TEXT(DATE(YEAR(Invoer!$A$5),1,1)+INT((ROWS(B$2:B575)-1)/2),"jjjjmmdd")</f>
        <v>19331014</v>
      </c>
      <c r="C575" s="24" t="str">
        <f>INDEX(Data,2,2+MOD(ROWS(C$2:C575)-1,2))</f>
        <v>15.00</v>
      </c>
      <c r="D575" s="41">
        <f t="shared" ca="1" si="45"/>
        <v>757.55499999999995</v>
      </c>
      <c r="E575" s="29">
        <f t="shared" ca="1" si="46"/>
        <v>0</v>
      </c>
      <c r="F575" s="42">
        <f t="shared" ca="1" si="47"/>
        <v>30</v>
      </c>
      <c r="G575" s="29">
        <f t="shared" ca="1" si="48"/>
        <v>0</v>
      </c>
    </row>
    <row r="576" spans="1:7" x14ac:dyDescent="0.25">
      <c r="A576" s="11">
        <f t="shared" si="44"/>
        <v>44</v>
      </c>
      <c r="B576" t="str">
        <f ca="1">TEXT(DATE(YEAR(Invoer!$A$5),1,1)+INT((ROWS(B$2:B576)-1)/2),"jjjjmmdd")</f>
        <v>19331015</v>
      </c>
      <c r="C576" s="24" t="str">
        <f>INDEX(Data,2,2+MOD(ROWS(C$2:C576)-1,2))</f>
        <v>08.00</v>
      </c>
      <c r="D576" s="41">
        <f t="shared" ca="1" si="45"/>
        <v>760.70459999999991</v>
      </c>
      <c r="E576" s="29">
        <f t="shared" ca="1" si="46"/>
        <v>0</v>
      </c>
      <c r="F576" s="42">
        <f t="shared" ca="1" si="47"/>
        <v>29.166666666666668</v>
      </c>
      <c r="G576" s="29">
        <f t="shared" ca="1" si="48"/>
        <v>0</v>
      </c>
    </row>
    <row r="577" spans="1:7" x14ac:dyDescent="0.25">
      <c r="A577" s="11">
        <f t="shared" si="44"/>
        <v>44</v>
      </c>
      <c r="B577" t="str">
        <f ca="1">TEXT(DATE(YEAR(Invoer!$A$5),1,1)+INT((ROWS(B$2:B577)-1)/2),"jjjjmmdd")</f>
        <v>19331015</v>
      </c>
      <c r="C577" s="24" t="str">
        <f>INDEX(Data,2,2+MOD(ROWS(C$2:C577)-1,2))</f>
        <v>15.00</v>
      </c>
      <c r="D577" s="41">
        <f t="shared" ca="1" si="45"/>
        <v>758.36779999999999</v>
      </c>
      <c r="E577" s="29">
        <f t="shared" ca="1" si="46"/>
        <v>0</v>
      </c>
      <c r="F577" s="42">
        <f t="shared" ca="1" si="47"/>
        <v>29.444444444444443</v>
      </c>
      <c r="G577" s="29">
        <f t="shared" ca="1" si="48"/>
        <v>0</v>
      </c>
    </row>
    <row r="578" spans="1:7" x14ac:dyDescent="0.25">
      <c r="A578" s="11">
        <f t="shared" ref="A578:A641" si="49">INDEX(Stations,2,1)</f>
        <v>44</v>
      </c>
      <c r="B578" t="str">
        <f ca="1">TEXT(DATE(YEAR(Invoer!$A$5),1,1)+INT((ROWS(B$2:B578)-1)/2),"jjjjmmdd")</f>
        <v>19331016</v>
      </c>
      <c r="C578" s="24" t="str">
        <f>INDEX(Data,2,2+MOD(ROWS(C$2:C578)-1,2))</f>
        <v>08.00</v>
      </c>
      <c r="D578" s="41">
        <f t="shared" ca="1" si="45"/>
        <v>760.83159999999998</v>
      </c>
      <c r="E578" s="29">
        <f t="shared" ca="1" si="46"/>
        <v>0</v>
      </c>
      <c r="F578" s="42">
        <f t="shared" ca="1" si="47"/>
        <v>30</v>
      </c>
      <c r="G578" s="29">
        <f t="shared" ca="1" si="48"/>
        <v>0</v>
      </c>
    </row>
    <row r="579" spans="1:7" x14ac:dyDescent="0.25">
      <c r="A579" s="11">
        <f t="shared" si="49"/>
        <v>44</v>
      </c>
      <c r="B579" t="str">
        <f ca="1">TEXT(DATE(YEAR(Invoer!$A$5),1,1)+INT((ROWS(B$2:B579)-1)/2),"jjjjmmdd")</f>
        <v>19331016</v>
      </c>
      <c r="C579" s="24" t="str">
        <f>INDEX(Data,2,2+MOD(ROWS(C$2:C579)-1,2))</f>
        <v>15.00</v>
      </c>
      <c r="D579" s="41">
        <f t="shared" ca="1" si="45"/>
        <v>758.06299999999999</v>
      </c>
      <c r="E579" s="29">
        <f t="shared" ca="1" si="46"/>
        <v>0</v>
      </c>
      <c r="F579" s="42">
        <f t="shared" ca="1" si="47"/>
        <v>30</v>
      </c>
      <c r="G579" s="29">
        <f t="shared" ca="1" si="48"/>
        <v>0</v>
      </c>
    </row>
    <row r="580" spans="1:7" x14ac:dyDescent="0.25">
      <c r="A580" s="11">
        <f t="shared" si="49"/>
        <v>44</v>
      </c>
      <c r="B580" t="str">
        <f ca="1">TEXT(DATE(YEAR(Invoer!$A$5),1,1)+INT((ROWS(B$2:B580)-1)/2),"jjjjmmdd")</f>
        <v>19331017</v>
      </c>
      <c r="C580" s="24" t="str">
        <f>INDEX(Data,2,2+MOD(ROWS(C$2:C580)-1,2))</f>
        <v>08.00</v>
      </c>
      <c r="D580" s="41">
        <f t="shared" ca="1" si="45"/>
        <v>759.20600000000002</v>
      </c>
      <c r="E580" s="29">
        <f t="shared" ca="1" si="46"/>
        <v>0</v>
      </c>
      <c r="F580" s="42">
        <f t="shared" ca="1" si="47"/>
        <v>28.888888888888889</v>
      </c>
      <c r="G580" s="29">
        <f t="shared" ca="1" si="48"/>
        <v>0</v>
      </c>
    </row>
    <row r="581" spans="1:7" x14ac:dyDescent="0.25">
      <c r="A581" s="11">
        <f t="shared" si="49"/>
        <v>44</v>
      </c>
      <c r="B581" t="str">
        <f ca="1">TEXT(DATE(YEAR(Invoer!$A$5),1,1)+INT((ROWS(B$2:B581)-1)/2),"jjjjmmdd")</f>
        <v>19331017</v>
      </c>
      <c r="C581" s="24" t="str">
        <f>INDEX(Data,2,2+MOD(ROWS(C$2:C581)-1,2))</f>
        <v>15.00</v>
      </c>
      <c r="D581" s="41">
        <f t="shared" ca="1" si="45"/>
        <v>756.71679999999992</v>
      </c>
      <c r="E581" s="29">
        <f t="shared" ca="1" si="46"/>
        <v>0</v>
      </c>
      <c r="F581" s="42">
        <f t="shared" ca="1" si="47"/>
        <v>30.555555555555557</v>
      </c>
      <c r="G581" s="29">
        <f t="shared" ca="1" si="48"/>
        <v>0</v>
      </c>
    </row>
    <row r="582" spans="1:7" x14ac:dyDescent="0.25">
      <c r="A582" s="11">
        <f t="shared" si="49"/>
        <v>44</v>
      </c>
      <c r="B582" t="str">
        <f ca="1">TEXT(DATE(YEAR(Invoer!$A$5),1,1)+INT((ROWS(B$2:B582)-1)/2),"jjjjmmdd")</f>
        <v>19331018</v>
      </c>
      <c r="C582" s="24" t="str">
        <f>INDEX(Data,2,2+MOD(ROWS(C$2:C582)-1,2))</f>
        <v>08.00</v>
      </c>
      <c r="D582" s="41">
        <f t="shared" ca="1" si="45"/>
        <v>759.23140000000001</v>
      </c>
      <c r="E582" s="29">
        <f t="shared" ca="1" si="46"/>
        <v>0</v>
      </c>
      <c r="F582" s="42">
        <f t="shared" ca="1" si="47"/>
        <v>28.611111111111111</v>
      </c>
      <c r="G582" s="29">
        <f t="shared" ca="1" si="48"/>
        <v>0</v>
      </c>
    </row>
    <row r="583" spans="1:7" x14ac:dyDescent="0.25">
      <c r="A583" s="11">
        <f t="shared" si="49"/>
        <v>44</v>
      </c>
      <c r="B583" t="str">
        <f ca="1">TEXT(DATE(YEAR(Invoer!$A$5),1,1)+INT((ROWS(B$2:B583)-1)/2),"jjjjmmdd")</f>
        <v>19331018</v>
      </c>
      <c r="C583" s="24" t="str">
        <f>INDEX(Data,2,2+MOD(ROWS(C$2:C583)-1,2))</f>
        <v>15.00</v>
      </c>
      <c r="D583" s="41">
        <f t="shared" ca="1" si="45"/>
        <v>756.18340000000001</v>
      </c>
      <c r="E583" s="29">
        <f t="shared" ca="1" si="46"/>
        <v>0</v>
      </c>
      <c r="F583" s="42">
        <f t="shared" ca="1" si="47"/>
        <v>30.833333333333332</v>
      </c>
      <c r="G583" s="29">
        <f t="shared" ca="1" si="48"/>
        <v>0</v>
      </c>
    </row>
    <row r="584" spans="1:7" x14ac:dyDescent="0.25">
      <c r="A584" s="11">
        <f t="shared" si="49"/>
        <v>44</v>
      </c>
      <c r="B584" t="str">
        <f ca="1">TEXT(DATE(YEAR(Invoer!$A$5),1,1)+INT((ROWS(B$2:B584)-1)/2),"jjjjmmdd")</f>
        <v>19331019</v>
      </c>
      <c r="C584" s="24" t="str">
        <f>INDEX(Data,2,2+MOD(ROWS(C$2:C584)-1,2))</f>
        <v>08.00</v>
      </c>
      <c r="D584" s="41">
        <f t="shared" ca="1" si="45"/>
        <v>759.20600000000002</v>
      </c>
      <c r="E584" s="29">
        <f t="shared" ca="1" si="46"/>
        <v>0</v>
      </c>
      <c r="F584" s="42">
        <f t="shared" ca="1" si="47"/>
        <v>28.888888888888889</v>
      </c>
      <c r="G584" s="29">
        <f t="shared" ca="1" si="48"/>
        <v>0</v>
      </c>
    </row>
    <row r="585" spans="1:7" x14ac:dyDescent="0.25">
      <c r="A585" s="11">
        <f t="shared" si="49"/>
        <v>44</v>
      </c>
      <c r="B585" t="str">
        <f ca="1">TEXT(DATE(YEAR(Invoer!$A$5),1,1)+INT((ROWS(B$2:B585)-1)/2),"jjjjmmdd")</f>
        <v>19331019</v>
      </c>
      <c r="C585" s="24" t="str">
        <f>INDEX(Data,2,2+MOD(ROWS(C$2:C585)-1,2))</f>
        <v>15.00</v>
      </c>
      <c r="D585" s="41">
        <f t="shared" ca="1" si="45"/>
        <v>756.38659999999993</v>
      </c>
      <c r="E585" s="29">
        <f t="shared" ca="1" si="46"/>
        <v>0</v>
      </c>
      <c r="F585" s="42">
        <f t="shared" ca="1" si="47"/>
        <v>29.166666666666668</v>
      </c>
      <c r="G585" s="29">
        <f t="shared" ca="1" si="48"/>
        <v>0</v>
      </c>
    </row>
    <row r="586" spans="1:7" x14ac:dyDescent="0.25">
      <c r="A586" s="11">
        <f t="shared" si="49"/>
        <v>44</v>
      </c>
      <c r="B586" t="str">
        <f ca="1">TEXT(DATE(YEAR(Invoer!$A$5),1,1)+INT((ROWS(B$2:B586)-1)/2),"jjjjmmdd")</f>
        <v>19331020</v>
      </c>
      <c r="C586" s="24" t="str">
        <f>INDEX(Data,2,2+MOD(ROWS(C$2:C586)-1,2))</f>
        <v>08.00</v>
      </c>
      <c r="D586" s="41">
        <f t="shared" ca="1" si="45"/>
        <v>759.5616</v>
      </c>
      <c r="E586" s="29">
        <f t="shared" ca="1" si="46"/>
        <v>0</v>
      </c>
      <c r="F586" s="42">
        <f t="shared" ca="1" si="47"/>
        <v>28.055555555555557</v>
      </c>
      <c r="G586" s="29">
        <f t="shared" ca="1" si="48"/>
        <v>0</v>
      </c>
    </row>
    <row r="587" spans="1:7" x14ac:dyDescent="0.25">
      <c r="A587" s="11">
        <f t="shared" si="49"/>
        <v>44</v>
      </c>
      <c r="B587" t="str">
        <f ca="1">TEXT(DATE(YEAR(Invoer!$A$5),1,1)+INT((ROWS(B$2:B587)-1)/2),"jjjjmmdd")</f>
        <v>19331020</v>
      </c>
      <c r="C587" s="24" t="str">
        <f>INDEX(Data,2,2+MOD(ROWS(C$2:C587)-1,2))</f>
        <v>15.00</v>
      </c>
      <c r="D587" s="41">
        <f t="shared" ca="1" si="45"/>
        <v>758.16459999999995</v>
      </c>
      <c r="E587" s="29">
        <f t="shared" ca="1" si="46"/>
        <v>0</v>
      </c>
      <c r="F587" s="42">
        <f t="shared" ca="1" si="47"/>
        <v>29.166666666666668</v>
      </c>
      <c r="G587" s="29">
        <f t="shared" ca="1" si="48"/>
        <v>0</v>
      </c>
    </row>
    <row r="588" spans="1:7" x14ac:dyDescent="0.25">
      <c r="A588" s="11">
        <f t="shared" si="49"/>
        <v>44</v>
      </c>
      <c r="B588" t="str">
        <f ca="1">TEXT(DATE(YEAR(Invoer!$A$5),1,1)+INT((ROWS(B$2:B588)-1)/2),"jjjjmmdd")</f>
        <v>19331021</v>
      </c>
      <c r="C588" s="24" t="str">
        <f>INDEX(Data,2,2+MOD(ROWS(C$2:C588)-1,2))</f>
        <v>08.00</v>
      </c>
      <c r="D588" s="41">
        <f t="shared" ca="1" si="45"/>
        <v>759.79019999999991</v>
      </c>
      <c r="E588" s="29">
        <f t="shared" ca="1" si="46"/>
        <v>0</v>
      </c>
      <c r="F588" s="42">
        <f t="shared" ca="1" si="47"/>
        <v>28.333333333333332</v>
      </c>
      <c r="G588" s="29">
        <f t="shared" ca="1" si="48"/>
        <v>0</v>
      </c>
    </row>
    <row r="589" spans="1:7" x14ac:dyDescent="0.25">
      <c r="A589" s="11">
        <f t="shared" si="49"/>
        <v>44</v>
      </c>
      <c r="B589" t="str">
        <f ca="1">TEXT(DATE(YEAR(Invoer!$A$5),1,1)+INT((ROWS(B$2:B589)-1)/2),"jjjjmmdd")</f>
        <v>19331021</v>
      </c>
      <c r="C589" s="24" t="str">
        <f>INDEX(Data,2,2+MOD(ROWS(C$2:C589)-1,2))</f>
        <v>15.00</v>
      </c>
      <c r="D589" s="41">
        <f t="shared" ca="1" si="45"/>
        <v>756.8184</v>
      </c>
      <c r="E589" s="29">
        <f t="shared" ca="1" si="46"/>
        <v>0</v>
      </c>
      <c r="F589" s="42">
        <f t="shared" ca="1" si="47"/>
        <v>29.722222222222221</v>
      </c>
      <c r="G589" s="29">
        <f t="shared" ca="1" si="48"/>
        <v>0</v>
      </c>
    </row>
    <row r="590" spans="1:7" x14ac:dyDescent="0.25">
      <c r="A590" s="11">
        <f t="shared" si="49"/>
        <v>44</v>
      </c>
      <c r="B590" t="str">
        <f ca="1">TEXT(DATE(YEAR(Invoer!$A$5),1,1)+INT((ROWS(B$2:B590)-1)/2),"jjjjmmdd")</f>
        <v>19331022</v>
      </c>
      <c r="C590" s="24" t="str">
        <f>INDEX(Data,2,2+MOD(ROWS(C$2:C590)-1,2))</f>
        <v>08.00</v>
      </c>
      <c r="D590" s="41">
        <f t="shared" ca="1" si="45"/>
        <v>758.77419999999995</v>
      </c>
      <c r="E590" s="29">
        <f t="shared" ca="1" si="46"/>
        <v>0</v>
      </c>
      <c r="F590" s="42">
        <f t="shared" ca="1" si="47"/>
        <v>28.333333333333332</v>
      </c>
      <c r="G590" s="29">
        <f t="shared" ca="1" si="48"/>
        <v>0</v>
      </c>
    </row>
    <row r="591" spans="1:7" x14ac:dyDescent="0.25">
      <c r="A591" s="11">
        <f t="shared" si="49"/>
        <v>44</v>
      </c>
      <c r="B591" t="str">
        <f ca="1">TEXT(DATE(YEAR(Invoer!$A$5),1,1)+INT((ROWS(B$2:B591)-1)/2),"jjjjmmdd")</f>
        <v>19331022</v>
      </c>
      <c r="C591" s="24" t="str">
        <f>INDEX(Data,2,2+MOD(ROWS(C$2:C591)-1,2))</f>
        <v>15.00</v>
      </c>
      <c r="D591" s="41">
        <f t="shared" ca="1" si="45"/>
        <v>756.41199999999992</v>
      </c>
      <c r="E591" s="29">
        <f t="shared" ca="1" si="46"/>
        <v>0</v>
      </c>
      <c r="F591" s="42">
        <f t="shared" ca="1" si="47"/>
        <v>28.888888888888889</v>
      </c>
      <c r="G591" s="29">
        <f t="shared" ca="1" si="48"/>
        <v>0</v>
      </c>
    </row>
    <row r="592" spans="1:7" x14ac:dyDescent="0.25">
      <c r="A592" s="11">
        <f t="shared" si="49"/>
        <v>44</v>
      </c>
      <c r="B592" t="str">
        <f ca="1">TEXT(DATE(YEAR(Invoer!$A$5),1,1)+INT((ROWS(B$2:B592)-1)/2),"jjjjmmdd")</f>
        <v>19331023</v>
      </c>
      <c r="C592" s="24" t="str">
        <f>INDEX(Data,2,2+MOD(ROWS(C$2:C592)-1,2))</f>
        <v>08.00</v>
      </c>
      <c r="D592" s="41">
        <f t="shared" ca="1" si="45"/>
        <v>758.77419999999995</v>
      </c>
      <c r="E592" s="29">
        <f t="shared" ca="1" si="46"/>
        <v>0</v>
      </c>
      <c r="F592" s="42">
        <f t="shared" ca="1" si="47"/>
        <v>28.333333333333332</v>
      </c>
      <c r="G592" s="29">
        <f t="shared" ca="1" si="48"/>
        <v>0</v>
      </c>
    </row>
    <row r="593" spans="1:7" x14ac:dyDescent="0.25">
      <c r="A593" s="11">
        <f t="shared" si="49"/>
        <v>44</v>
      </c>
      <c r="B593" t="str">
        <f ca="1">TEXT(DATE(YEAR(Invoer!$A$5),1,1)+INT((ROWS(B$2:B593)-1)/2),"jjjjmmdd")</f>
        <v>19331023</v>
      </c>
      <c r="C593" s="24" t="str">
        <f>INDEX(Data,2,2+MOD(ROWS(C$2:C593)-1,2))</f>
        <v>15.00</v>
      </c>
      <c r="D593" s="41">
        <f t="shared" ca="1" si="45"/>
        <v>756.15800000000002</v>
      </c>
      <c r="E593" s="29">
        <f t="shared" ca="1" si="46"/>
        <v>0</v>
      </c>
      <c r="F593" s="42">
        <f t="shared" ca="1" si="47"/>
        <v>29.444444444444443</v>
      </c>
      <c r="G593" s="29">
        <f t="shared" ca="1" si="48"/>
        <v>0</v>
      </c>
    </row>
    <row r="594" spans="1:7" x14ac:dyDescent="0.25">
      <c r="A594" s="11">
        <f t="shared" si="49"/>
        <v>44</v>
      </c>
      <c r="B594" t="str">
        <f ca="1">TEXT(DATE(YEAR(Invoer!$A$5),1,1)+INT((ROWS(B$2:B594)-1)/2),"jjjjmmdd")</f>
        <v>19331024</v>
      </c>
      <c r="C594" s="24" t="str">
        <f>INDEX(Data,2,2+MOD(ROWS(C$2:C594)-1,2))</f>
        <v>08.00</v>
      </c>
      <c r="D594" s="41">
        <f t="shared" ca="1" si="45"/>
        <v>760.09499999999991</v>
      </c>
      <c r="E594" s="29">
        <f t="shared" ca="1" si="46"/>
        <v>0</v>
      </c>
      <c r="F594" s="42">
        <f t="shared" ca="1" si="47"/>
        <v>27.777777777777779</v>
      </c>
      <c r="G594" s="29">
        <f t="shared" ca="1" si="48"/>
        <v>0</v>
      </c>
    </row>
    <row r="595" spans="1:7" x14ac:dyDescent="0.25">
      <c r="A595" s="11">
        <f t="shared" si="49"/>
        <v>44</v>
      </c>
      <c r="B595" t="str">
        <f ca="1">TEXT(DATE(YEAR(Invoer!$A$5),1,1)+INT((ROWS(B$2:B595)-1)/2),"jjjjmmdd")</f>
        <v>19331024</v>
      </c>
      <c r="C595" s="24" t="str">
        <f>INDEX(Data,2,2+MOD(ROWS(C$2:C595)-1,2))</f>
        <v>15.00</v>
      </c>
      <c r="D595" s="41">
        <f t="shared" ca="1" si="45"/>
        <v>757.32639999999992</v>
      </c>
      <c r="E595" s="29">
        <f t="shared" ca="1" si="46"/>
        <v>0</v>
      </c>
      <c r="F595" s="42">
        <f t="shared" ca="1" si="47"/>
        <v>29.722222222222221</v>
      </c>
      <c r="G595" s="29">
        <f t="shared" ca="1" si="48"/>
        <v>0</v>
      </c>
    </row>
    <row r="596" spans="1:7" x14ac:dyDescent="0.25">
      <c r="A596" s="11">
        <f t="shared" si="49"/>
        <v>44</v>
      </c>
      <c r="B596" t="str">
        <f ca="1">TEXT(DATE(YEAR(Invoer!$A$5),1,1)+INT((ROWS(B$2:B596)-1)/2),"jjjjmmdd")</f>
        <v>19331025</v>
      </c>
      <c r="C596" s="24" t="str">
        <f>INDEX(Data,2,2+MOD(ROWS(C$2:C596)-1,2))</f>
        <v>08.00</v>
      </c>
      <c r="D596" s="41">
        <f t="shared" ca="1" si="45"/>
        <v>760.55219999999997</v>
      </c>
      <c r="E596" s="29">
        <f t="shared" ca="1" si="46"/>
        <v>0</v>
      </c>
      <c r="F596" s="42">
        <f t="shared" ca="1" si="47"/>
        <v>28.333333333333332</v>
      </c>
      <c r="G596" s="29">
        <f t="shared" ca="1" si="48"/>
        <v>0</v>
      </c>
    </row>
    <row r="597" spans="1:7" x14ac:dyDescent="0.25">
      <c r="A597" s="11">
        <f t="shared" si="49"/>
        <v>44</v>
      </c>
      <c r="B597" t="str">
        <f ca="1">TEXT(DATE(YEAR(Invoer!$A$5),1,1)+INT((ROWS(B$2:B597)-1)/2),"jjjjmmdd")</f>
        <v>19331025</v>
      </c>
      <c r="C597" s="24" t="str">
        <f>INDEX(Data,2,2+MOD(ROWS(C$2:C597)-1,2))</f>
        <v>15.00</v>
      </c>
      <c r="D597" s="41">
        <f t="shared" ca="1" si="45"/>
        <v>757.30099999999993</v>
      </c>
      <c r="E597" s="29">
        <f t="shared" ca="1" si="46"/>
        <v>0</v>
      </c>
      <c r="F597" s="42">
        <f t="shared" ca="1" si="47"/>
        <v>30</v>
      </c>
      <c r="G597" s="29">
        <f t="shared" ca="1" si="48"/>
        <v>0</v>
      </c>
    </row>
    <row r="598" spans="1:7" x14ac:dyDescent="0.25">
      <c r="A598" s="11">
        <f t="shared" si="49"/>
        <v>44</v>
      </c>
      <c r="B598" t="str">
        <f ca="1">TEXT(DATE(YEAR(Invoer!$A$5),1,1)+INT((ROWS(B$2:B598)-1)/2),"jjjjmmdd")</f>
        <v>19331026</v>
      </c>
      <c r="C598" s="24" t="str">
        <f>INDEX(Data,2,2+MOD(ROWS(C$2:C598)-1,2))</f>
        <v>08.00</v>
      </c>
      <c r="D598" s="41">
        <f t="shared" ca="1" si="45"/>
        <v>759.79019999999991</v>
      </c>
      <c r="E598" s="29">
        <f t="shared" ca="1" si="46"/>
        <v>0</v>
      </c>
      <c r="F598" s="42">
        <f t="shared" ca="1" si="47"/>
        <v>28.333333333333332</v>
      </c>
      <c r="G598" s="29">
        <f t="shared" ca="1" si="48"/>
        <v>0</v>
      </c>
    </row>
    <row r="599" spans="1:7" x14ac:dyDescent="0.25">
      <c r="A599" s="11">
        <f t="shared" si="49"/>
        <v>44</v>
      </c>
      <c r="B599" t="str">
        <f ca="1">TEXT(DATE(YEAR(Invoer!$A$5),1,1)+INT((ROWS(B$2:B599)-1)/2),"jjjjmmdd")</f>
        <v>19331026</v>
      </c>
      <c r="C599" s="24" t="str">
        <f>INDEX(Data,2,2+MOD(ROWS(C$2:C599)-1,2))</f>
        <v>15.00</v>
      </c>
      <c r="D599" s="41">
        <f t="shared" ca="1" si="45"/>
        <v>756.23419999999999</v>
      </c>
      <c r="E599" s="29">
        <f t="shared" ca="1" si="46"/>
        <v>0</v>
      </c>
      <c r="F599" s="42">
        <f t="shared" ca="1" si="47"/>
        <v>30.277777777777779</v>
      </c>
      <c r="G599" s="29">
        <f t="shared" ca="1" si="48"/>
        <v>0</v>
      </c>
    </row>
    <row r="600" spans="1:7" x14ac:dyDescent="0.25">
      <c r="A600" s="11">
        <f t="shared" si="49"/>
        <v>44</v>
      </c>
      <c r="B600" t="str">
        <f ca="1">TEXT(DATE(YEAR(Invoer!$A$5),1,1)+INT((ROWS(B$2:B600)-1)/2),"jjjjmmdd")</f>
        <v>19331027</v>
      </c>
      <c r="C600" s="24" t="str">
        <f>INDEX(Data,2,2+MOD(ROWS(C$2:C600)-1,2))</f>
        <v>08.00</v>
      </c>
      <c r="D600" s="41">
        <f t="shared" ca="1" si="45"/>
        <v>759.12979999999993</v>
      </c>
      <c r="E600" s="29">
        <f t="shared" ca="1" si="46"/>
        <v>0</v>
      </c>
      <c r="F600" s="42">
        <f t="shared" ca="1" si="47"/>
        <v>27.5</v>
      </c>
      <c r="G600" s="29">
        <f t="shared" ca="1" si="48"/>
        <v>0</v>
      </c>
    </row>
    <row r="601" spans="1:7" x14ac:dyDescent="0.25">
      <c r="A601" s="11">
        <f t="shared" si="49"/>
        <v>44</v>
      </c>
      <c r="B601" t="str">
        <f ca="1">TEXT(DATE(YEAR(Invoer!$A$5),1,1)+INT((ROWS(B$2:B601)-1)/2),"jjjjmmdd")</f>
        <v>19331027</v>
      </c>
      <c r="C601" s="24" t="str">
        <f>INDEX(Data,2,2+MOD(ROWS(C$2:C601)-1,2))</f>
        <v>15.00</v>
      </c>
      <c r="D601" s="41">
        <f t="shared" ca="1" si="45"/>
        <v>756.56439999999998</v>
      </c>
      <c r="E601" s="29">
        <f t="shared" ca="1" si="46"/>
        <v>0</v>
      </c>
      <c r="F601" s="42">
        <f t="shared" ca="1" si="47"/>
        <v>29.722222222222221</v>
      </c>
      <c r="G601" s="29">
        <f t="shared" ca="1" si="48"/>
        <v>0</v>
      </c>
    </row>
    <row r="602" spans="1:7" x14ac:dyDescent="0.25">
      <c r="A602" s="11">
        <f t="shared" si="49"/>
        <v>44</v>
      </c>
      <c r="B602" t="str">
        <f ca="1">TEXT(DATE(YEAR(Invoer!$A$5),1,1)+INT((ROWS(B$2:B602)-1)/2),"jjjjmmdd")</f>
        <v>19331028</v>
      </c>
      <c r="C602" s="24" t="str">
        <f>INDEX(Data,2,2+MOD(ROWS(C$2:C602)-1,2))</f>
        <v>08.00</v>
      </c>
      <c r="D602" s="41">
        <f t="shared" ca="1" si="45"/>
        <v>759.5616</v>
      </c>
      <c r="E602" s="29">
        <f t="shared" ca="1" si="46"/>
        <v>0</v>
      </c>
      <c r="F602" s="42">
        <f t="shared" ca="1" si="47"/>
        <v>28.055555555555557</v>
      </c>
      <c r="G602" s="29">
        <f t="shared" ca="1" si="48"/>
        <v>0</v>
      </c>
    </row>
    <row r="603" spans="1:7" x14ac:dyDescent="0.25">
      <c r="A603" s="11">
        <f t="shared" si="49"/>
        <v>44</v>
      </c>
      <c r="B603" t="str">
        <f ca="1">TEXT(DATE(YEAR(Invoer!$A$5),1,1)+INT((ROWS(B$2:B603)-1)/2),"jjjjmmdd")</f>
        <v>19331028</v>
      </c>
      <c r="C603" s="24" t="str">
        <f>INDEX(Data,2,2+MOD(ROWS(C$2:C603)-1,2))</f>
        <v>15.00</v>
      </c>
      <c r="D603" s="41">
        <f t="shared" ca="1" si="45"/>
        <v>757.04700000000003</v>
      </c>
      <c r="E603" s="29">
        <f t="shared" ca="1" si="46"/>
        <v>0</v>
      </c>
      <c r="F603" s="42">
        <f t="shared" ca="1" si="47"/>
        <v>30</v>
      </c>
      <c r="G603" s="29">
        <f t="shared" ca="1" si="48"/>
        <v>0</v>
      </c>
    </row>
    <row r="604" spans="1:7" x14ac:dyDescent="0.25">
      <c r="A604" s="11">
        <f t="shared" si="49"/>
        <v>44</v>
      </c>
      <c r="B604" t="str">
        <f ca="1">TEXT(DATE(YEAR(Invoer!$A$5),1,1)+INT((ROWS(B$2:B604)-1)/2),"jjjjmmdd")</f>
        <v>19331029</v>
      </c>
      <c r="C604" s="24" t="str">
        <f>INDEX(Data,2,2+MOD(ROWS(C$2:C604)-1,2))</f>
        <v>08.00</v>
      </c>
      <c r="D604" s="41">
        <f t="shared" ca="1" si="45"/>
        <v>759.63779999999997</v>
      </c>
      <c r="E604" s="29">
        <f t="shared" ca="1" si="46"/>
        <v>0</v>
      </c>
      <c r="F604" s="42">
        <f t="shared" ca="1" si="47"/>
        <v>27.5</v>
      </c>
      <c r="G604" s="29">
        <f t="shared" ca="1" si="48"/>
        <v>0</v>
      </c>
    </row>
    <row r="605" spans="1:7" x14ac:dyDescent="0.25">
      <c r="A605" s="11">
        <f t="shared" si="49"/>
        <v>44</v>
      </c>
      <c r="B605" t="str">
        <f ca="1">TEXT(DATE(YEAR(Invoer!$A$5),1,1)+INT((ROWS(B$2:B605)-1)/2),"jjjjmmdd")</f>
        <v>19331029</v>
      </c>
      <c r="C605" s="24" t="str">
        <f>INDEX(Data,2,2+MOD(ROWS(C$2:C605)-1,2))</f>
        <v>15.00</v>
      </c>
      <c r="D605" s="41">
        <f t="shared" ca="1" si="45"/>
        <v>757.50419999999997</v>
      </c>
      <c r="E605" s="29">
        <f t="shared" ca="1" si="46"/>
        <v>0</v>
      </c>
      <c r="F605" s="42">
        <f t="shared" ca="1" si="47"/>
        <v>28.333333333333332</v>
      </c>
      <c r="G605" s="29">
        <f t="shared" ca="1" si="48"/>
        <v>0</v>
      </c>
    </row>
    <row r="606" spans="1:7" x14ac:dyDescent="0.25">
      <c r="A606" s="11">
        <f t="shared" si="49"/>
        <v>44</v>
      </c>
      <c r="B606" t="str">
        <f ca="1">TEXT(DATE(YEAR(Invoer!$A$5),1,1)+INT((ROWS(B$2:B606)-1)/2),"jjjjmmdd")</f>
        <v>19331030</v>
      </c>
      <c r="C606" s="24" t="str">
        <f>INDEX(Data,2,2+MOD(ROWS(C$2:C606)-1,2))</f>
        <v>08.00</v>
      </c>
      <c r="D606" s="41">
        <f t="shared" ca="1" si="45"/>
        <v>759.58699999999999</v>
      </c>
      <c r="E606" s="29">
        <f t="shared" ca="1" si="46"/>
        <v>0</v>
      </c>
      <c r="F606" s="42">
        <f t="shared" ca="1" si="47"/>
        <v>27.777777777777779</v>
      </c>
      <c r="G606" s="29">
        <f t="shared" ca="1" si="48"/>
        <v>0</v>
      </c>
    </row>
    <row r="607" spans="1:7" x14ac:dyDescent="0.25">
      <c r="A607" s="11">
        <f t="shared" si="49"/>
        <v>44</v>
      </c>
      <c r="B607" t="str">
        <f ca="1">TEXT(DATE(YEAR(Invoer!$A$5),1,1)+INT((ROWS(B$2:B607)-1)/2),"jjjjmmdd")</f>
        <v>19331030</v>
      </c>
      <c r="C607" s="24" t="str">
        <f>INDEX(Data,2,2+MOD(ROWS(C$2:C607)-1,2))</f>
        <v>15.00</v>
      </c>
      <c r="D607" s="41">
        <f t="shared" ca="1" si="45"/>
        <v>756.43740000000003</v>
      </c>
      <c r="E607" s="29">
        <f t="shared" ca="1" si="46"/>
        <v>0</v>
      </c>
      <c r="F607" s="42">
        <f t="shared" ca="1" si="47"/>
        <v>28.611111111111111</v>
      </c>
      <c r="G607" s="29">
        <f t="shared" ca="1" si="48"/>
        <v>0</v>
      </c>
    </row>
    <row r="608" spans="1:7" x14ac:dyDescent="0.25">
      <c r="A608" s="11">
        <f t="shared" si="49"/>
        <v>44</v>
      </c>
      <c r="B608" t="str">
        <f ca="1">TEXT(DATE(YEAR(Invoer!$A$5),1,1)+INT((ROWS(B$2:B608)-1)/2),"jjjjmmdd")</f>
        <v>19331031</v>
      </c>
      <c r="C608" s="24" t="str">
        <f>INDEX(Data,2,2+MOD(ROWS(C$2:C608)-1,2))</f>
        <v>08.00</v>
      </c>
      <c r="D608" s="41">
        <f t="shared" ca="1" si="45"/>
        <v>758.41859999999997</v>
      </c>
      <c r="E608" s="29">
        <f t="shared" ca="1" si="46"/>
        <v>0</v>
      </c>
      <c r="F608" s="42">
        <f t="shared" ca="1" si="47"/>
        <v>26.944444444444443</v>
      </c>
      <c r="G608" s="29">
        <f t="shared" ca="1" si="48"/>
        <v>0</v>
      </c>
    </row>
    <row r="609" spans="1:7" x14ac:dyDescent="0.25">
      <c r="A609" s="11">
        <f t="shared" si="49"/>
        <v>44</v>
      </c>
      <c r="B609" t="str">
        <f ca="1">TEXT(DATE(YEAR(Invoer!$A$5),1,1)+INT((ROWS(B$2:B609)-1)/2),"jjjjmmdd")</f>
        <v>19331031</v>
      </c>
      <c r="C609" s="24" t="str">
        <f>INDEX(Data,2,2+MOD(ROWS(C$2:C609)-1,2))</f>
        <v>15.00</v>
      </c>
      <c r="D609" s="41">
        <f t="shared" ca="1" si="45"/>
        <v>756.18340000000001</v>
      </c>
      <c r="E609" s="29">
        <f t="shared" ca="1" si="46"/>
        <v>0</v>
      </c>
      <c r="F609" s="42">
        <f t="shared" ca="1" si="47"/>
        <v>28.611111111111111</v>
      </c>
      <c r="G609" s="29">
        <f t="shared" ca="1" si="48"/>
        <v>0</v>
      </c>
    </row>
    <row r="610" spans="1:7" x14ac:dyDescent="0.25">
      <c r="A610" s="11">
        <f t="shared" si="49"/>
        <v>44</v>
      </c>
      <c r="B610" t="str">
        <f ca="1">TEXT(DATE(YEAR(Invoer!$A$5),1,1)+INT((ROWS(B$2:B610)-1)/2),"jjjjmmdd")</f>
        <v>19331101</v>
      </c>
      <c r="C610" s="24" t="str">
        <f>INDEX(Data,2,2+MOD(ROWS(C$2:C610)-1,2))</f>
        <v>08.00</v>
      </c>
      <c r="D610" s="41">
        <f t="shared" ca="1" si="45"/>
        <v>757.88519999999994</v>
      </c>
      <c r="E610" s="29">
        <f t="shared" ca="1" si="46"/>
        <v>0</v>
      </c>
      <c r="F610" s="42">
        <f t="shared" ca="1" si="47"/>
        <v>27.222222222222221</v>
      </c>
      <c r="G610" s="29">
        <f t="shared" ca="1" si="48"/>
        <v>0</v>
      </c>
    </row>
    <row r="611" spans="1:7" x14ac:dyDescent="0.25">
      <c r="A611" s="11">
        <f t="shared" si="49"/>
        <v>44</v>
      </c>
      <c r="B611" t="str">
        <f ca="1">TEXT(DATE(YEAR(Invoer!$A$5),1,1)+INT((ROWS(B$2:B611)-1)/2),"jjjjmmdd")</f>
        <v>19331101</v>
      </c>
      <c r="C611" s="24" t="str">
        <f>INDEX(Data,2,2+MOD(ROWS(C$2:C611)-1,2))</f>
        <v>15.00</v>
      </c>
      <c r="D611" s="41">
        <f t="shared" ca="1" si="45"/>
        <v>756.33579999999995</v>
      </c>
      <c r="E611" s="29">
        <f t="shared" ca="1" si="46"/>
        <v>0</v>
      </c>
      <c r="F611" s="42">
        <f t="shared" ca="1" si="47"/>
        <v>29.444444444444443</v>
      </c>
      <c r="G611" s="29">
        <f t="shared" ca="1" si="48"/>
        <v>0</v>
      </c>
    </row>
    <row r="612" spans="1:7" x14ac:dyDescent="0.25">
      <c r="A612" s="11">
        <f t="shared" si="49"/>
        <v>44</v>
      </c>
      <c r="B612" t="str">
        <f ca="1">TEXT(DATE(YEAR(Invoer!$A$5),1,1)+INT((ROWS(B$2:B612)-1)/2),"jjjjmmdd")</f>
        <v>19331102</v>
      </c>
      <c r="C612" s="24" t="str">
        <f>INDEX(Data,2,2+MOD(ROWS(C$2:C612)-1,2))</f>
        <v>08.00</v>
      </c>
      <c r="D612" s="41">
        <f t="shared" ca="1" si="45"/>
        <v>758.87579999999991</v>
      </c>
      <c r="E612" s="29">
        <f t="shared" ca="1" si="46"/>
        <v>0</v>
      </c>
      <c r="F612" s="42">
        <f t="shared" ca="1" si="47"/>
        <v>27.5</v>
      </c>
      <c r="G612" s="29">
        <f t="shared" ca="1" si="48"/>
        <v>0</v>
      </c>
    </row>
    <row r="613" spans="1:7" x14ac:dyDescent="0.25">
      <c r="A613" s="11">
        <f t="shared" si="49"/>
        <v>44</v>
      </c>
      <c r="B613" t="str">
        <f ca="1">TEXT(DATE(YEAR(Invoer!$A$5),1,1)+INT((ROWS(B$2:B613)-1)/2),"jjjjmmdd")</f>
        <v>19331102</v>
      </c>
      <c r="C613" s="24" t="str">
        <f>INDEX(Data,2,2+MOD(ROWS(C$2:C613)-1,2))</f>
        <v>15.00</v>
      </c>
      <c r="D613" s="41">
        <f t="shared" ca="1" si="45"/>
        <v>757.19939999999997</v>
      </c>
      <c r="E613" s="29">
        <f t="shared" ca="1" si="46"/>
        <v>0</v>
      </c>
      <c r="F613" s="42">
        <f t="shared" ca="1" si="47"/>
        <v>28.611111111111111</v>
      </c>
      <c r="G613" s="29">
        <f t="shared" ca="1" si="48"/>
        <v>0</v>
      </c>
    </row>
    <row r="614" spans="1:7" x14ac:dyDescent="0.25">
      <c r="A614" s="11">
        <f t="shared" si="49"/>
        <v>44</v>
      </c>
      <c r="B614" t="str">
        <f ca="1">TEXT(DATE(YEAR(Invoer!$A$5),1,1)+INT((ROWS(B$2:B614)-1)/2),"jjjjmmdd")</f>
        <v>19331103</v>
      </c>
      <c r="C614" s="24" t="str">
        <f>INDEX(Data,2,2+MOD(ROWS(C$2:C614)-1,2))</f>
        <v>08.00</v>
      </c>
      <c r="D614" s="41">
        <f t="shared" ca="1" si="45"/>
        <v>759.89179999999999</v>
      </c>
      <c r="E614" s="29">
        <f t="shared" ca="1" si="46"/>
        <v>0</v>
      </c>
      <c r="F614" s="42">
        <f t="shared" ca="1" si="47"/>
        <v>27.5</v>
      </c>
      <c r="G614" s="29">
        <f t="shared" ca="1" si="48"/>
        <v>0</v>
      </c>
    </row>
    <row r="615" spans="1:7" x14ac:dyDescent="0.25">
      <c r="A615" s="11">
        <f t="shared" si="49"/>
        <v>44</v>
      </c>
      <c r="B615" t="str">
        <f ca="1">TEXT(DATE(YEAR(Invoer!$A$5),1,1)+INT((ROWS(B$2:B615)-1)/2),"jjjjmmdd")</f>
        <v>19331103</v>
      </c>
      <c r="C615" s="24" t="str">
        <f>INDEX(Data,2,2+MOD(ROWS(C$2:C615)-1,2))</f>
        <v>15.00</v>
      </c>
      <c r="D615" s="41">
        <f t="shared" ca="1" si="45"/>
        <v>757.17399999999998</v>
      </c>
      <c r="E615" s="29">
        <f t="shared" ca="1" si="46"/>
        <v>0</v>
      </c>
      <c r="F615" s="42">
        <f t="shared" ca="1" si="47"/>
        <v>28.888888888888889</v>
      </c>
      <c r="G615" s="29">
        <f t="shared" ca="1" si="48"/>
        <v>0</v>
      </c>
    </row>
    <row r="616" spans="1:7" x14ac:dyDescent="0.25">
      <c r="A616" s="11">
        <f t="shared" si="49"/>
        <v>44</v>
      </c>
      <c r="B616" t="str">
        <f ca="1">TEXT(DATE(YEAR(Invoer!$A$5),1,1)+INT((ROWS(B$2:B616)-1)/2),"jjjjmmdd")</f>
        <v>19331104</v>
      </c>
      <c r="C616" s="24" t="str">
        <f>INDEX(Data,2,2+MOD(ROWS(C$2:C616)-1,2))</f>
        <v>08.00</v>
      </c>
      <c r="D616" s="41">
        <f t="shared" ca="1" si="45"/>
        <v>759.15519999999992</v>
      </c>
      <c r="E616" s="29">
        <f t="shared" ca="1" si="46"/>
        <v>0</v>
      </c>
      <c r="F616" s="42">
        <f t="shared" ca="1" si="47"/>
        <v>27.222222222222221</v>
      </c>
      <c r="G616" s="29">
        <f t="shared" ca="1" si="48"/>
        <v>0</v>
      </c>
    </row>
    <row r="617" spans="1:7" x14ac:dyDescent="0.25">
      <c r="A617" s="11">
        <f t="shared" si="49"/>
        <v>44</v>
      </c>
      <c r="B617" t="str">
        <f ca="1">TEXT(DATE(YEAR(Invoer!$A$5),1,1)+INT((ROWS(B$2:B617)-1)/2),"jjjjmmdd")</f>
        <v>19331104</v>
      </c>
      <c r="C617" s="24" t="str">
        <f>INDEX(Data,2,2+MOD(ROWS(C$2:C617)-1,2))</f>
        <v>15.00</v>
      </c>
      <c r="D617" s="41">
        <f t="shared" ca="1" si="45"/>
        <v>756.48820000000001</v>
      </c>
      <c r="E617" s="29">
        <f t="shared" ca="1" si="46"/>
        <v>0</v>
      </c>
      <c r="F617" s="42">
        <f t="shared" ca="1" si="47"/>
        <v>28.333333333333332</v>
      </c>
      <c r="G617" s="29">
        <f t="shared" ca="1" si="48"/>
        <v>0</v>
      </c>
    </row>
    <row r="618" spans="1:7" x14ac:dyDescent="0.25">
      <c r="A618" s="11">
        <f t="shared" si="49"/>
        <v>44</v>
      </c>
      <c r="B618" t="str">
        <f ca="1">TEXT(DATE(YEAR(Invoer!$A$5),1,1)+INT((ROWS(B$2:B618)-1)/2),"jjjjmmdd")</f>
        <v>19331105</v>
      </c>
      <c r="C618" s="24" t="str">
        <f>INDEX(Data,2,2+MOD(ROWS(C$2:C618)-1,2))</f>
        <v>08.00</v>
      </c>
      <c r="D618" s="41">
        <f t="shared" ref="D618:D681" ca="1" si="50">IF(OR(ISBLANK(VLOOKUP(DATEVALUE(LEFT($B618,4)&amp;"-"&amp;MID($B618,5,2)&amp;"-"&amp;RIGHT($B618,2)),Data,MATCH(LEFT(VLOOKUP(D$1,Parameters,2,FALSE()),4)&amp;"*",OFFSET(Data,0,0,1),0)+MATCH($C618,OFFSET(Data,1,0,1),0)-2,FALSE())),ISTEXT(VLOOKUP(DATEVALUE(LEFT($B618,4)&amp;"-"&amp;MID($B618,5,2)&amp;"-"&amp;RIGHT($B618,2)),Data,MATCH(LEFT(VLOOKUP(D$1,Parameters,2,FALSE()),4)&amp;"*",OFFSET(Data,0,0,1),0)+MATCH($C618,OFFSET(Data,1,0,1),0)-2,FALSE()))),"—",0.0254*VLOOKUP(DATEVALUE(LEFT($B618,4)&amp;"-"&amp;MID($B618,5,2)&amp;"-"&amp;RIGHT($B618,2)),Data,MATCH(LEFT(VLOOKUP(D$1,Parameters,2,FALSE()),4)&amp;"*",OFFSET(Data,0,0,1),0)+MATCH($C618,OFFSET(Data,1,0,1),0)-2,FALSE()))</f>
        <v>758.39319999999998</v>
      </c>
      <c r="E618" s="29">
        <f t="shared" ref="E618:E681" ca="1" si="51">IF(OR(ISBLANK(VLOOKUP(DATEVALUE(LEFT($B618,4)&amp;"-"&amp;MID($B618,5,2)&amp;"-"&amp;RIGHT($B618,2)),Data,MATCH(LEFT(VLOOKUP(MID(E$1,2,LEN(E$1)-1),Parameters,2,FALSE()),4)&amp;"*",OFFSET(Data,0,0,1),0)+MATCH($C618,OFFSET(Data,1,0,1),0)-2,FALSE())),ISTEXT(VLOOKUP(DATEVALUE(LEFT($B618,4)&amp;"-"&amp;MID($B618,5,2)&amp;"-"&amp;RIGHT($B618,2)),Data,MATCH(LEFT(VLOOKUP(MID(E$1,2,LEN(E$1)-1),Parameters,2,FALSE()),4)&amp;"*",OFFSET(Data,0,0,1),0)+MATCH($C618,OFFSET(Data,1,0,1),0)-2,FALSE()))),Lacking,IF(ISNA(MATCH(DATEVALUE(LEFT($B618,4)&amp;"-"&amp;MID($B618,5,2)&amp;"-"&amp;RIGHT($B618,2)),OFFSET(Catalogus,0,0,,1),0)),Ok,VLOOKUP(DATEVALUE(LEFT($B618,4)&amp;"-"&amp;MID($B618,5,2)&amp;"-"&amp;RIGHT($B618,2)),Catalogus,MATCH(LEFT(VLOOKUP(MID(E$1,2,LEN(E$1)-1),Parameters,2,FALSE()),4)&amp;"*",OFFSET(Catalogus,0,0,1),0)+MATCH($C618,OFFSET(Catalogus,1,0,1),0)-2,FALSE())))</f>
        <v>0</v>
      </c>
      <c r="F618" s="42">
        <f t="shared" ref="F618:F681" ca="1" si="52">IF(OR(ISBLANK(VLOOKUP(DATEVALUE(LEFT($B618,4)&amp;"-"&amp;MID($B618,5,2)&amp;"-"&amp;RIGHT($B618,2)),Data,MATCH(LEFT(VLOOKUP(F$1,Parameters,2,FALSE()),4)&amp;"*",OFFSET(Data,0,0,1),0)+MATCH($C618,OFFSET(Data,1,0,1),0)-2,FALSE())),ISTEXT(VLOOKUP(DATEVALUE(LEFT($B618,4)&amp;"-"&amp;MID($B618,5,2)&amp;"-"&amp;RIGHT($B618,2)),Data,MATCH(LEFT(VLOOKUP(F$1,Parameters,2,FALSE()),4)&amp;"*",OFFSET(Data,0,0,1),0)+MATCH($C618,OFFSET(Data,1,0,1),0)-2,FALSE()))),"—",5*(VLOOKUP(DATEVALUE(LEFT($B618,4)&amp;"-"&amp;MID($B618,5,2)&amp;"-"&amp;RIGHT($B618,2)),Data,MATCH(LEFT(VLOOKUP(F$1,Parameters,2,FALSE()),4)&amp;"*",OFFSET(Data,0,0,1),0)+MATCH($C618,OFFSET(Data,1,0,1),0)-2,FALSE())-320)/90)</f>
        <v>27.222222222222221</v>
      </c>
      <c r="G618" s="29">
        <f t="shared" ref="G618:G681" ca="1" si="53">IF(OR(ISBLANK(VLOOKUP(DATEVALUE(LEFT($B618,4)&amp;"-"&amp;MID($B618,5,2)&amp;"-"&amp;RIGHT($B618,2)),Data,MATCH(LEFT(VLOOKUP(MID(G$1,2,LEN(G$1)-1),Parameters,2,FALSE()),4)&amp;"*",OFFSET(Data,0,0,1),0)+MATCH($C618,OFFSET(Data,1,0,1),0)-2,FALSE())),ISTEXT(VLOOKUP(DATEVALUE(LEFT($B618,4)&amp;"-"&amp;MID($B618,5,2)&amp;"-"&amp;RIGHT($B618,2)),Data,MATCH(LEFT(VLOOKUP(MID(G$1,2,LEN(G$1)-1),Parameters,2,FALSE()),4)&amp;"*",OFFSET(Data,0,0,1),0)+MATCH($C618,OFFSET(Data,1,0,1),0)-2,FALSE()))),Lacking,IF(ISNA(MATCH(DATEVALUE(LEFT($B618,4)&amp;"-"&amp;MID($B618,5,2)&amp;"-"&amp;RIGHT($B618,2)),OFFSET(Catalogus,0,0,,1),0)),Ok,VLOOKUP(DATEVALUE(LEFT($B618,4)&amp;"-"&amp;MID($B618,5,2)&amp;"-"&amp;RIGHT($B618,2)),Catalogus,MATCH(LEFT(VLOOKUP(MID(G$1,2,LEN(G$1)-1),Parameters,2,FALSE()),4)&amp;"*",OFFSET(Catalogus,0,0,1),0)+MATCH($C618,OFFSET(Catalogus,1,0,1),0)-2,FALSE())))</f>
        <v>0</v>
      </c>
    </row>
    <row r="619" spans="1:7" x14ac:dyDescent="0.25">
      <c r="A619" s="11">
        <f t="shared" si="49"/>
        <v>44</v>
      </c>
      <c r="B619" t="str">
        <f ca="1">TEXT(DATE(YEAR(Invoer!$A$5),1,1)+INT((ROWS(B$2:B619)-1)/2),"jjjjmmdd")</f>
        <v>19331105</v>
      </c>
      <c r="C619" s="24" t="str">
        <f>INDEX(Data,2,2+MOD(ROWS(C$2:C619)-1,2))</f>
        <v>15.00</v>
      </c>
      <c r="D619" s="41">
        <f t="shared" ca="1" si="50"/>
        <v>756.56439999999998</v>
      </c>
      <c r="E619" s="29">
        <f t="shared" ca="1" si="51"/>
        <v>0</v>
      </c>
      <c r="F619" s="42">
        <f t="shared" ca="1" si="52"/>
        <v>29.722222222222221</v>
      </c>
      <c r="G619" s="29">
        <f t="shared" ca="1" si="53"/>
        <v>0</v>
      </c>
    </row>
    <row r="620" spans="1:7" x14ac:dyDescent="0.25">
      <c r="A620" s="11">
        <f t="shared" si="49"/>
        <v>44</v>
      </c>
      <c r="B620" t="str">
        <f ca="1">TEXT(DATE(YEAR(Invoer!$A$5),1,1)+INT((ROWS(B$2:B620)-1)/2),"jjjjmmdd")</f>
        <v>19331106</v>
      </c>
      <c r="C620" s="24" t="str">
        <f>INDEX(Data,2,2+MOD(ROWS(C$2:C620)-1,2))</f>
        <v>08.00</v>
      </c>
      <c r="D620" s="41">
        <f t="shared" ca="1" si="50"/>
        <v>759.12979999999993</v>
      </c>
      <c r="E620" s="29">
        <f t="shared" ca="1" si="51"/>
        <v>0</v>
      </c>
      <c r="F620" s="42">
        <f t="shared" ca="1" si="52"/>
        <v>27.5</v>
      </c>
      <c r="G620" s="29">
        <f t="shared" ca="1" si="53"/>
        <v>0</v>
      </c>
    </row>
    <row r="621" spans="1:7" x14ac:dyDescent="0.25">
      <c r="A621" s="11">
        <f t="shared" si="49"/>
        <v>44</v>
      </c>
      <c r="B621" t="str">
        <f ca="1">TEXT(DATE(YEAR(Invoer!$A$5),1,1)+INT((ROWS(B$2:B621)-1)/2),"jjjjmmdd")</f>
        <v>19331106</v>
      </c>
      <c r="C621" s="24" t="str">
        <f>INDEX(Data,2,2+MOD(ROWS(C$2:C621)-1,2))</f>
        <v>15.00</v>
      </c>
      <c r="D621" s="41">
        <f t="shared" ca="1" si="50"/>
        <v>757.30099999999993</v>
      </c>
      <c r="E621" s="29">
        <f t="shared" ca="1" si="51"/>
        <v>0</v>
      </c>
      <c r="F621" s="42">
        <f t="shared" ca="1" si="52"/>
        <v>27.777777777777779</v>
      </c>
      <c r="G621" s="29">
        <f t="shared" ca="1" si="53"/>
        <v>0</v>
      </c>
    </row>
    <row r="622" spans="1:7" x14ac:dyDescent="0.25">
      <c r="A622" s="11">
        <f t="shared" si="49"/>
        <v>44</v>
      </c>
      <c r="B622" t="str">
        <f ca="1">TEXT(DATE(YEAR(Invoer!$A$5),1,1)+INT((ROWS(B$2:B622)-1)/2),"jjjjmmdd")</f>
        <v>19331107</v>
      </c>
      <c r="C622" s="24" t="str">
        <f>INDEX(Data,2,2+MOD(ROWS(C$2:C622)-1,2))</f>
        <v>08.00</v>
      </c>
      <c r="D622" s="41">
        <f t="shared" ca="1" si="50"/>
        <v>759.40919999999994</v>
      </c>
      <c r="E622" s="29">
        <f t="shared" ca="1" si="51"/>
        <v>0</v>
      </c>
      <c r="F622" s="42">
        <f t="shared" ca="1" si="52"/>
        <v>27.222222222222221</v>
      </c>
      <c r="G622" s="29">
        <f t="shared" ca="1" si="53"/>
        <v>0</v>
      </c>
    </row>
    <row r="623" spans="1:7" x14ac:dyDescent="0.25">
      <c r="A623" s="11">
        <f t="shared" si="49"/>
        <v>44</v>
      </c>
      <c r="B623" t="str">
        <f ca="1">TEXT(DATE(YEAR(Invoer!$A$5),1,1)+INT((ROWS(B$2:B623)-1)/2),"jjjjmmdd")</f>
        <v>19331107</v>
      </c>
      <c r="C623" s="24" t="str">
        <f>INDEX(Data,2,2+MOD(ROWS(C$2:C623)-1,2))</f>
        <v>15.00</v>
      </c>
      <c r="D623" s="41">
        <f t="shared" ca="1" si="50"/>
        <v>756.84379999999999</v>
      </c>
      <c r="E623" s="29">
        <f t="shared" ca="1" si="51"/>
        <v>0</v>
      </c>
      <c r="F623" s="42">
        <f t="shared" ca="1" si="52"/>
        <v>27.5</v>
      </c>
      <c r="G623" s="29">
        <f t="shared" ca="1" si="53"/>
        <v>0</v>
      </c>
    </row>
    <row r="624" spans="1:7" x14ac:dyDescent="0.25">
      <c r="A624" s="11">
        <f t="shared" si="49"/>
        <v>44</v>
      </c>
      <c r="B624" t="str">
        <f ca="1">TEXT(DATE(YEAR(Invoer!$A$5),1,1)+INT((ROWS(B$2:B624)-1)/2),"jjjjmmdd")</f>
        <v>19331108</v>
      </c>
      <c r="C624" s="24" t="str">
        <f>INDEX(Data,2,2+MOD(ROWS(C$2:C624)-1,2))</f>
        <v>08.00</v>
      </c>
      <c r="D624" s="41">
        <f t="shared" ca="1" si="50"/>
        <v>759.18059999999991</v>
      </c>
      <c r="E624" s="29">
        <f t="shared" ca="1" si="51"/>
        <v>0</v>
      </c>
      <c r="F624" s="42">
        <f t="shared" ca="1" si="52"/>
        <v>26.944444444444443</v>
      </c>
      <c r="G624" s="29">
        <f t="shared" ca="1" si="53"/>
        <v>0</v>
      </c>
    </row>
    <row r="625" spans="1:7" x14ac:dyDescent="0.25">
      <c r="A625" s="11">
        <f t="shared" si="49"/>
        <v>44</v>
      </c>
      <c r="B625" t="str">
        <f ca="1">TEXT(DATE(YEAR(Invoer!$A$5),1,1)+INT((ROWS(B$2:B625)-1)/2),"jjjjmmdd")</f>
        <v>19331108</v>
      </c>
      <c r="C625" s="24" t="str">
        <f>INDEX(Data,2,2+MOD(ROWS(C$2:C625)-1,2))</f>
        <v>15.00</v>
      </c>
      <c r="D625" s="41">
        <f t="shared" ca="1" si="50"/>
        <v>756.92</v>
      </c>
      <c r="E625" s="29">
        <f t="shared" ca="1" si="51"/>
        <v>0</v>
      </c>
      <c r="F625" s="42">
        <f t="shared" ca="1" si="52"/>
        <v>28.888888888888889</v>
      </c>
      <c r="G625" s="29">
        <f t="shared" ca="1" si="53"/>
        <v>0</v>
      </c>
    </row>
    <row r="626" spans="1:7" x14ac:dyDescent="0.25">
      <c r="A626" s="11">
        <f t="shared" si="49"/>
        <v>44</v>
      </c>
      <c r="B626" t="str">
        <f ca="1">TEXT(DATE(YEAR(Invoer!$A$5),1,1)+INT((ROWS(B$2:B626)-1)/2),"jjjjmmdd")</f>
        <v>19331109</v>
      </c>
      <c r="C626" s="24" t="str">
        <f>INDEX(Data,2,2+MOD(ROWS(C$2:C626)-1,2))</f>
        <v>08.00</v>
      </c>
      <c r="D626" s="41">
        <f t="shared" ca="1" si="50"/>
        <v>758.90120000000002</v>
      </c>
      <c r="E626" s="29">
        <f t="shared" ca="1" si="51"/>
        <v>0</v>
      </c>
      <c r="F626" s="42">
        <f t="shared" ca="1" si="52"/>
        <v>27.222222222222221</v>
      </c>
      <c r="G626" s="29">
        <f t="shared" ca="1" si="53"/>
        <v>0</v>
      </c>
    </row>
    <row r="627" spans="1:7" x14ac:dyDescent="0.25">
      <c r="A627" s="11">
        <f t="shared" si="49"/>
        <v>44</v>
      </c>
      <c r="B627" t="str">
        <f ca="1">TEXT(DATE(YEAR(Invoer!$A$5),1,1)+INT((ROWS(B$2:B627)-1)/2),"jjjjmmdd")</f>
        <v>19331109</v>
      </c>
      <c r="C627" s="24" t="str">
        <f>INDEX(Data,2,2+MOD(ROWS(C$2:C627)-1,2))</f>
        <v>15.00</v>
      </c>
      <c r="D627" s="41">
        <f t="shared" ca="1" si="50"/>
        <v>756.99619999999993</v>
      </c>
      <c r="E627" s="29">
        <f t="shared" ca="1" si="51"/>
        <v>0</v>
      </c>
      <c r="F627" s="42">
        <f t="shared" ca="1" si="52"/>
        <v>28.333333333333332</v>
      </c>
      <c r="G627" s="29">
        <f t="shared" ca="1" si="53"/>
        <v>0</v>
      </c>
    </row>
    <row r="628" spans="1:7" x14ac:dyDescent="0.25">
      <c r="A628" s="11">
        <f t="shared" si="49"/>
        <v>44</v>
      </c>
      <c r="B628" t="str">
        <f ca="1">TEXT(DATE(YEAR(Invoer!$A$5),1,1)+INT((ROWS(B$2:B628)-1)/2),"jjjjmmdd")</f>
        <v>19331110</v>
      </c>
      <c r="C628" s="24" t="str">
        <f>INDEX(Data,2,2+MOD(ROWS(C$2:C628)-1,2))</f>
        <v>08.00</v>
      </c>
      <c r="D628" s="41">
        <f t="shared" ca="1" si="50"/>
        <v>759.76479999999992</v>
      </c>
      <c r="E628" s="29">
        <f t="shared" ca="1" si="51"/>
        <v>0</v>
      </c>
      <c r="F628" s="42">
        <f t="shared" ca="1" si="52"/>
        <v>26.388888888888889</v>
      </c>
      <c r="G628" s="29">
        <f t="shared" ca="1" si="53"/>
        <v>0</v>
      </c>
    </row>
    <row r="629" spans="1:7" x14ac:dyDescent="0.25">
      <c r="A629" s="11">
        <f t="shared" si="49"/>
        <v>44</v>
      </c>
      <c r="B629" t="str">
        <f ca="1">TEXT(DATE(YEAR(Invoer!$A$5),1,1)+INT((ROWS(B$2:B629)-1)/2),"jjjjmmdd")</f>
        <v>19331110</v>
      </c>
      <c r="C629" s="24" t="str">
        <f>INDEX(Data,2,2+MOD(ROWS(C$2:C629)-1,2))</f>
        <v>15.00</v>
      </c>
      <c r="D629" s="41">
        <f t="shared" ca="1" si="50"/>
        <v>757.30099999999993</v>
      </c>
      <c r="E629" s="29">
        <f t="shared" ca="1" si="51"/>
        <v>0</v>
      </c>
      <c r="F629" s="42">
        <f t="shared" ca="1" si="52"/>
        <v>27.777777777777779</v>
      </c>
      <c r="G629" s="29">
        <f t="shared" ca="1" si="53"/>
        <v>0</v>
      </c>
    </row>
    <row r="630" spans="1:7" x14ac:dyDescent="0.25">
      <c r="A630" s="11">
        <f t="shared" si="49"/>
        <v>44</v>
      </c>
      <c r="B630" t="str">
        <f ca="1">TEXT(DATE(YEAR(Invoer!$A$5),1,1)+INT((ROWS(B$2:B630)-1)/2),"jjjjmmdd")</f>
        <v>19331111</v>
      </c>
      <c r="C630" s="24" t="str">
        <f>INDEX(Data,2,2+MOD(ROWS(C$2:C630)-1,2))</f>
        <v>08.00</v>
      </c>
      <c r="D630" s="41">
        <f t="shared" ca="1" si="50"/>
        <v>757.14859999999999</v>
      </c>
      <c r="E630" s="29">
        <f t="shared" ca="1" si="51"/>
        <v>0</v>
      </c>
      <c r="F630" s="42">
        <f t="shared" ca="1" si="52"/>
        <v>27.222222222222221</v>
      </c>
      <c r="G630" s="29">
        <f t="shared" ca="1" si="53"/>
        <v>0</v>
      </c>
    </row>
    <row r="631" spans="1:7" x14ac:dyDescent="0.25">
      <c r="A631" s="11">
        <f t="shared" si="49"/>
        <v>44</v>
      </c>
      <c r="B631" t="str">
        <f ca="1">TEXT(DATE(YEAR(Invoer!$A$5),1,1)+INT((ROWS(B$2:B631)-1)/2),"jjjjmmdd")</f>
        <v>19331111</v>
      </c>
      <c r="C631" s="24" t="str">
        <f>INDEX(Data,2,2+MOD(ROWS(C$2:C631)-1,2))</f>
        <v>15.00</v>
      </c>
      <c r="D631" s="41">
        <f t="shared" ca="1" si="50"/>
        <v>758.24079999999992</v>
      </c>
      <c r="E631" s="29">
        <f t="shared" ca="1" si="51"/>
        <v>0</v>
      </c>
      <c r="F631" s="42">
        <f t="shared" ca="1" si="52"/>
        <v>26.388888888888889</v>
      </c>
      <c r="G631" s="29">
        <f t="shared" ca="1" si="53"/>
        <v>0</v>
      </c>
    </row>
    <row r="632" spans="1:7" x14ac:dyDescent="0.25">
      <c r="A632" s="11">
        <f t="shared" si="49"/>
        <v>44</v>
      </c>
      <c r="B632" t="str">
        <f ca="1">TEXT(DATE(YEAR(Invoer!$A$5),1,1)+INT((ROWS(B$2:B632)-1)/2),"jjjjmmdd")</f>
        <v>19331112</v>
      </c>
      <c r="C632" s="24" t="str">
        <f>INDEX(Data,2,2+MOD(ROWS(C$2:C632)-1,2))</f>
        <v>08.00</v>
      </c>
      <c r="D632" s="41">
        <f t="shared" ca="1" si="50"/>
        <v>759.66319999999996</v>
      </c>
      <c r="E632" s="29">
        <f t="shared" ca="1" si="51"/>
        <v>0</v>
      </c>
      <c r="F632" s="42">
        <f t="shared" ca="1" si="52"/>
        <v>27.222222222222221</v>
      </c>
      <c r="G632" s="29">
        <f t="shared" ca="1" si="53"/>
        <v>0</v>
      </c>
    </row>
    <row r="633" spans="1:7" x14ac:dyDescent="0.25">
      <c r="A633" s="11">
        <f t="shared" si="49"/>
        <v>44</v>
      </c>
      <c r="B633" t="str">
        <f ca="1">TEXT(DATE(YEAR(Invoer!$A$5),1,1)+INT((ROWS(B$2:B633)-1)/2),"jjjjmmdd")</f>
        <v>19331112</v>
      </c>
      <c r="C633" s="24" t="str">
        <f>INDEX(Data,2,2+MOD(ROWS(C$2:C633)-1,2))</f>
        <v>15.00</v>
      </c>
      <c r="D633" s="41">
        <f t="shared" ca="1" si="50"/>
        <v>757.19939999999997</v>
      </c>
      <c r="E633" s="29">
        <f t="shared" ca="1" si="51"/>
        <v>0</v>
      </c>
      <c r="F633" s="42">
        <f t="shared" ca="1" si="52"/>
        <v>28.611111111111111</v>
      </c>
      <c r="G633" s="29">
        <f t="shared" ca="1" si="53"/>
        <v>0</v>
      </c>
    </row>
    <row r="634" spans="1:7" x14ac:dyDescent="0.25">
      <c r="A634" s="11">
        <f t="shared" si="49"/>
        <v>44</v>
      </c>
      <c r="B634" t="str">
        <f ca="1">TEXT(DATE(YEAR(Invoer!$A$5),1,1)+INT((ROWS(B$2:B634)-1)/2),"jjjjmmdd")</f>
        <v>19331113</v>
      </c>
      <c r="C634" s="24" t="str">
        <f>INDEX(Data,2,2+MOD(ROWS(C$2:C634)-1,2))</f>
        <v>08.00</v>
      </c>
      <c r="D634" s="41">
        <f t="shared" ca="1" si="50"/>
        <v>759.89179999999999</v>
      </c>
      <c r="E634" s="29">
        <f t="shared" ca="1" si="51"/>
        <v>0</v>
      </c>
      <c r="F634" s="42">
        <f t="shared" ca="1" si="52"/>
        <v>27.5</v>
      </c>
      <c r="G634" s="29">
        <f t="shared" ca="1" si="53"/>
        <v>0</v>
      </c>
    </row>
    <row r="635" spans="1:7" x14ac:dyDescent="0.25">
      <c r="A635" s="11">
        <f t="shared" si="49"/>
        <v>44</v>
      </c>
      <c r="B635" t="str">
        <f ca="1">TEXT(DATE(YEAR(Invoer!$A$5),1,1)+INT((ROWS(B$2:B635)-1)/2),"jjjjmmdd")</f>
        <v>19331113</v>
      </c>
      <c r="C635" s="24" t="str">
        <f>INDEX(Data,2,2+MOD(ROWS(C$2:C635)-1,2))</f>
        <v>15.00</v>
      </c>
      <c r="D635" s="41">
        <f t="shared" ca="1" si="50"/>
        <v>757.19939999999997</v>
      </c>
      <c r="E635" s="29">
        <f t="shared" ca="1" si="51"/>
        <v>0</v>
      </c>
      <c r="F635" s="42">
        <f t="shared" ca="1" si="52"/>
        <v>28.611111111111111</v>
      </c>
      <c r="G635" s="29">
        <f t="shared" ca="1" si="53"/>
        <v>0</v>
      </c>
    </row>
    <row r="636" spans="1:7" x14ac:dyDescent="0.25">
      <c r="A636" s="11">
        <f t="shared" si="49"/>
        <v>44</v>
      </c>
      <c r="B636" t="str">
        <f ca="1">TEXT(DATE(YEAR(Invoer!$A$5),1,1)+INT((ROWS(B$2:B636)-1)/2),"jjjjmmdd")</f>
        <v>19331114</v>
      </c>
      <c r="C636" s="24" t="str">
        <f>INDEX(Data,2,2+MOD(ROWS(C$2:C636)-1,2))</f>
        <v>08.00</v>
      </c>
      <c r="D636" s="41">
        <f t="shared" ca="1" si="50"/>
        <v>759.84100000000001</v>
      </c>
      <c r="E636" s="29">
        <f t="shared" ca="1" si="51"/>
        <v>0</v>
      </c>
      <c r="F636" s="42">
        <f t="shared" ca="1" si="52"/>
        <v>27.777777777777779</v>
      </c>
      <c r="G636" s="29">
        <f t="shared" ca="1" si="53"/>
        <v>0</v>
      </c>
    </row>
    <row r="637" spans="1:7" x14ac:dyDescent="0.25">
      <c r="A637" s="11">
        <f t="shared" si="49"/>
        <v>44</v>
      </c>
      <c r="B637" t="str">
        <f ca="1">TEXT(DATE(YEAR(Invoer!$A$5),1,1)+INT((ROWS(B$2:B637)-1)/2),"jjjjmmdd")</f>
        <v>19331114</v>
      </c>
      <c r="C637" s="24" t="str">
        <f>INDEX(Data,2,2+MOD(ROWS(C$2:C637)-1,2))</f>
        <v>15.00</v>
      </c>
      <c r="D637" s="41">
        <f t="shared" ca="1" si="50"/>
        <v>756.66599999999994</v>
      </c>
      <c r="E637" s="29">
        <f t="shared" ca="1" si="51"/>
        <v>0</v>
      </c>
      <c r="F637" s="42">
        <f t="shared" ca="1" si="52"/>
        <v>28.888888888888889</v>
      </c>
      <c r="G637" s="29">
        <f t="shared" ca="1" si="53"/>
        <v>0</v>
      </c>
    </row>
    <row r="638" spans="1:7" x14ac:dyDescent="0.25">
      <c r="A638" s="11">
        <f t="shared" si="49"/>
        <v>44</v>
      </c>
      <c r="B638" t="str">
        <f ca="1">TEXT(DATE(YEAR(Invoer!$A$5),1,1)+INT((ROWS(B$2:B638)-1)/2),"jjjjmmdd")</f>
        <v>19331115</v>
      </c>
      <c r="C638" s="24" t="str">
        <f>INDEX(Data,2,2+MOD(ROWS(C$2:C638)-1,2))</f>
        <v>08.00</v>
      </c>
      <c r="D638" s="41">
        <f t="shared" ca="1" si="50"/>
        <v>760.42520000000002</v>
      </c>
      <c r="E638" s="29">
        <f t="shared" ca="1" si="51"/>
        <v>0</v>
      </c>
      <c r="F638" s="42">
        <f t="shared" ca="1" si="52"/>
        <v>27.222222222222221</v>
      </c>
      <c r="G638" s="29">
        <f t="shared" ca="1" si="53"/>
        <v>0</v>
      </c>
    </row>
    <row r="639" spans="1:7" x14ac:dyDescent="0.25">
      <c r="A639" s="11">
        <f t="shared" si="49"/>
        <v>44</v>
      </c>
      <c r="B639" t="str">
        <f ca="1">TEXT(DATE(YEAR(Invoer!$A$5),1,1)+INT((ROWS(B$2:B639)-1)/2),"jjjjmmdd")</f>
        <v>19331115</v>
      </c>
      <c r="C639" s="24" t="str">
        <f>INDEX(Data,2,2+MOD(ROWS(C$2:C639)-1,2))</f>
        <v>15.00</v>
      </c>
      <c r="D639" s="41">
        <f t="shared" ca="1" si="50"/>
        <v>757.93599999999992</v>
      </c>
      <c r="E639" s="29">
        <f t="shared" ca="1" si="51"/>
        <v>0</v>
      </c>
      <c r="F639" s="42">
        <f t="shared" ca="1" si="52"/>
        <v>28.888888888888889</v>
      </c>
      <c r="G639" s="29">
        <f t="shared" ca="1" si="53"/>
        <v>0</v>
      </c>
    </row>
    <row r="640" spans="1:7" x14ac:dyDescent="0.25">
      <c r="A640" s="11">
        <f t="shared" si="49"/>
        <v>44</v>
      </c>
      <c r="B640" t="str">
        <f ca="1">TEXT(DATE(YEAR(Invoer!$A$5),1,1)+INT((ROWS(B$2:B640)-1)/2),"jjjjmmdd")</f>
        <v>19331116</v>
      </c>
      <c r="C640" s="24" t="str">
        <f>INDEX(Data,2,2+MOD(ROWS(C$2:C640)-1,2))</f>
        <v>08.00</v>
      </c>
      <c r="D640" s="41">
        <f t="shared" ca="1" si="50"/>
        <v>761.66980000000001</v>
      </c>
      <c r="E640" s="29">
        <f t="shared" ca="1" si="51"/>
        <v>0</v>
      </c>
      <c r="F640" s="42">
        <f t="shared" ca="1" si="52"/>
        <v>27.5</v>
      </c>
      <c r="G640" s="29">
        <f t="shared" ca="1" si="53"/>
        <v>0</v>
      </c>
    </row>
    <row r="641" spans="1:7" x14ac:dyDescent="0.25">
      <c r="A641" s="11">
        <f t="shared" si="49"/>
        <v>44</v>
      </c>
      <c r="B641" t="str">
        <f ca="1">TEXT(DATE(YEAR(Invoer!$A$5),1,1)+INT((ROWS(B$2:B641)-1)/2),"jjjjmmdd")</f>
        <v>19331116</v>
      </c>
      <c r="C641" s="24" t="str">
        <f>INDEX(Data,2,2+MOD(ROWS(C$2:C641)-1,2))</f>
        <v>15.00</v>
      </c>
      <c r="D641" s="41">
        <f t="shared" ca="1" si="50"/>
        <v>759.20600000000002</v>
      </c>
      <c r="E641" s="29">
        <f t="shared" ca="1" si="51"/>
        <v>0</v>
      </c>
      <c r="F641" s="42">
        <f t="shared" ca="1" si="52"/>
        <v>28.888888888888889</v>
      </c>
      <c r="G641" s="29">
        <f t="shared" ca="1" si="53"/>
        <v>0</v>
      </c>
    </row>
    <row r="642" spans="1:7" x14ac:dyDescent="0.25">
      <c r="A642" s="11">
        <f t="shared" ref="A642:A705" si="54">INDEX(Stations,2,1)</f>
        <v>44</v>
      </c>
      <c r="B642" t="str">
        <f ca="1">TEXT(DATE(YEAR(Invoer!$A$5),1,1)+INT((ROWS(B$2:B642)-1)/2),"jjjjmmdd")</f>
        <v>19331117</v>
      </c>
      <c r="C642" s="24" t="str">
        <f>INDEX(Data,2,2+MOD(ROWS(C$2:C642)-1,2))</f>
        <v>08.00</v>
      </c>
      <c r="D642" s="41">
        <f t="shared" ca="1" si="50"/>
        <v>761.16179999999997</v>
      </c>
      <c r="E642" s="29">
        <f t="shared" ca="1" si="51"/>
        <v>0</v>
      </c>
      <c r="F642" s="42">
        <f t="shared" ca="1" si="52"/>
        <v>27.5</v>
      </c>
      <c r="G642" s="29">
        <f t="shared" ca="1" si="53"/>
        <v>0</v>
      </c>
    </row>
    <row r="643" spans="1:7" x14ac:dyDescent="0.25">
      <c r="A643" s="11">
        <f t="shared" si="54"/>
        <v>44</v>
      </c>
      <c r="B643" t="str">
        <f ca="1">TEXT(DATE(YEAR(Invoer!$A$5),1,1)+INT((ROWS(B$2:B643)-1)/2),"jjjjmmdd")</f>
        <v>19331117</v>
      </c>
      <c r="C643" s="24" t="str">
        <f>INDEX(Data,2,2+MOD(ROWS(C$2:C643)-1,2))</f>
        <v>15.00</v>
      </c>
      <c r="D643" s="41">
        <f t="shared" ca="1" si="50"/>
        <v>759.23140000000001</v>
      </c>
      <c r="E643" s="29">
        <f t="shared" ca="1" si="51"/>
        <v>0</v>
      </c>
      <c r="F643" s="42">
        <f t="shared" ca="1" si="52"/>
        <v>28.611111111111111</v>
      </c>
      <c r="G643" s="29">
        <f t="shared" ca="1" si="53"/>
        <v>0</v>
      </c>
    </row>
    <row r="644" spans="1:7" x14ac:dyDescent="0.25">
      <c r="A644" s="11">
        <f t="shared" si="54"/>
        <v>44</v>
      </c>
      <c r="B644" t="str">
        <f ca="1">TEXT(DATE(YEAR(Invoer!$A$5),1,1)+INT((ROWS(B$2:B644)-1)/2),"jjjjmmdd")</f>
        <v>19331118</v>
      </c>
      <c r="C644" s="24" t="str">
        <f>INDEX(Data,2,2+MOD(ROWS(C$2:C644)-1,2))</f>
        <v>08.00</v>
      </c>
      <c r="D644" s="41">
        <f t="shared" ca="1" si="50"/>
        <v>759.66319999999996</v>
      </c>
      <c r="E644" s="29">
        <f t="shared" ca="1" si="51"/>
        <v>0</v>
      </c>
      <c r="F644" s="42">
        <f t="shared" ca="1" si="52"/>
        <v>27.222222222222221</v>
      </c>
      <c r="G644" s="29">
        <f t="shared" ca="1" si="53"/>
        <v>0</v>
      </c>
    </row>
    <row r="645" spans="1:7" x14ac:dyDescent="0.25">
      <c r="A645" s="11">
        <f t="shared" si="54"/>
        <v>44</v>
      </c>
      <c r="B645" t="str">
        <f ca="1">TEXT(DATE(YEAR(Invoer!$A$5),1,1)+INT((ROWS(B$2:B645)-1)/2),"jjjjmmdd")</f>
        <v>19331118</v>
      </c>
      <c r="C645" s="24" t="str">
        <f>INDEX(Data,2,2+MOD(ROWS(C$2:C645)-1,2))</f>
        <v>15.00</v>
      </c>
      <c r="D645" s="41">
        <f t="shared" ca="1" si="50"/>
        <v>759.58699999999999</v>
      </c>
      <c r="E645" s="29">
        <f t="shared" ca="1" si="51"/>
        <v>0</v>
      </c>
      <c r="F645" s="42">
        <f t="shared" ca="1" si="52"/>
        <v>27.777777777777779</v>
      </c>
      <c r="G645" s="29">
        <f t="shared" ca="1" si="53"/>
        <v>0</v>
      </c>
    </row>
    <row r="646" spans="1:7" x14ac:dyDescent="0.25">
      <c r="A646" s="11">
        <f t="shared" si="54"/>
        <v>44</v>
      </c>
      <c r="B646" t="str">
        <f ca="1">TEXT(DATE(YEAR(Invoer!$A$5),1,1)+INT((ROWS(B$2:B646)-1)/2),"jjjjmmdd")</f>
        <v>19331119</v>
      </c>
      <c r="C646" s="24" t="str">
        <f>INDEX(Data,2,2+MOD(ROWS(C$2:C646)-1,2))</f>
        <v>08.00</v>
      </c>
      <c r="D646" s="41">
        <f t="shared" ca="1" si="50"/>
        <v>759.15519999999992</v>
      </c>
      <c r="E646" s="29">
        <f t="shared" ca="1" si="51"/>
        <v>0</v>
      </c>
      <c r="F646" s="42">
        <f t="shared" ca="1" si="52"/>
        <v>27.222222222222221</v>
      </c>
      <c r="G646" s="29">
        <f t="shared" ca="1" si="53"/>
        <v>0</v>
      </c>
    </row>
    <row r="647" spans="1:7" x14ac:dyDescent="0.25">
      <c r="A647" s="11">
        <f t="shared" si="54"/>
        <v>44</v>
      </c>
      <c r="B647" t="str">
        <f ca="1">TEXT(DATE(YEAR(Invoer!$A$5),1,1)+INT((ROWS(B$2:B647)-1)/2),"jjjjmmdd")</f>
        <v>19331119</v>
      </c>
      <c r="C647" s="24" t="str">
        <f>INDEX(Data,2,2+MOD(ROWS(C$2:C647)-1,2))</f>
        <v>15.00</v>
      </c>
      <c r="D647" s="41">
        <f t="shared" ca="1" si="50"/>
        <v>756.99619999999993</v>
      </c>
      <c r="E647" s="29">
        <f t="shared" ca="1" si="51"/>
        <v>0</v>
      </c>
      <c r="F647" s="42">
        <f t="shared" ca="1" si="52"/>
        <v>28.333333333333332</v>
      </c>
      <c r="G647" s="29">
        <f t="shared" ca="1" si="53"/>
        <v>0</v>
      </c>
    </row>
    <row r="648" spans="1:7" x14ac:dyDescent="0.25">
      <c r="A648" s="11">
        <f t="shared" si="54"/>
        <v>44</v>
      </c>
      <c r="B648" t="str">
        <f ca="1">TEXT(DATE(YEAR(Invoer!$A$5),1,1)+INT((ROWS(B$2:B648)-1)/2),"jjjjmmdd")</f>
        <v>19331120</v>
      </c>
      <c r="C648" s="24" t="str">
        <f>INDEX(Data,2,2+MOD(ROWS(C$2:C648)-1,2))</f>
        <v>08.00</v>
      </c>
      <c r="D648" s="41">
        <f t="shared" ca="1" si="50"/>
        <v>760.93319999999994</v>
      </c>
      <c r="E648" s="29">
        <f t="shared" ca="1" si="51"/>
        <v>0</v>
      </c>
      <c r="F648" s="42">
        <f t="shared" ca="1" si="52"/>
        <v>27.222222222222221</v>
      </c>
      <c r="G648" s="29">
        <f t="shared" ca="1" si="53"/>
        <v>0</v>
      </c>
    </row>
    <row r="649" spans="1:7" x14ac:dyDescent="0.25">
      <c r="A649" s="11">
        <f t="shared" si="54"/>
        <v>44</v>
      </c>
      <c r="B649" t="str">
        <f ca="1">TEXT(DATE(YEAR(Invoer!$A$5),1,1)+INT((ROWS(B$2:B649)-1)/2),"jjjjmmdd")</f>
        <v>19331120</v>
      </c>
      <c r="C649" s="24" t="str">
        <f>INDEX(Data,2,2+MOD(ROWS(C$2:C649)-1,2))</f>
        <v>15.00</v>
      </c>
      <c r="D649" s="41">
        <f t="shared" ca="1" si="50"/>
        <v>758.31700000000001</v>
      </c>
      <c r="E649" s="29">
        <f t="shared" ca="1" si="51"/>
        <v>0</v>
      </c>
      <c r="F649" s="42">
        <f t="shared" ca="1" si="52"/>
        <v>27.777777777777779</v>
      </c>
      <c r="G649" s="29">
        <f t="shared" ca="1" si="53"/>
        <v>0</v>
      </c>
    </row>
    <row r="650" spans="1:7" x14ac:dyDescent="0.25">
      <c r="A650" s="11">
        <f t="shared" si="54"/>
        <v>44</v>
      </c>
      <c r="B650" t="str">
        <f ca="1">TEXT(DATE(YEAR(Invoer!$A$5),1,1)+INT((ROWS(B$2:B650)-1)/2),"jjjjmmdd")</f>
        <v>19331121</v>
      </c>
      <c r="C650" s="24" t="str">
        <f>INDEX(Data,2,2+MOD(ROWS(C$2:C650)-1,2))</f>
        <v>08.00</v>
      </c>
      <c r="D650" s="41">
        <f t="shared" ca="1" si="50"/>
        <v>760.1712</v>
      </c>
      <c r="E650" s="29">
        <f t="shared" ca="1" si="51"/>
        <v>0</v>
      </c>
      <c r="F650" s="42">
        <f t="shared" ca="1" si="52"/>
        <v>27.222222222222221</v>
      </c>
      <c r="G650" s="29">
        <f t="shared" ca="1" si="53"/>
        <v>0</v>
      </c>
    </row>
    <row r="651" spans="1:7" x14ac:dyDescent="0.25">
      <c r="A651" s="11">
        <f t="shared" si="54"/>
        <v>44</v>
      </c>
      <c r="B651" t="str">
        <f ca="1">TEXT(DATE(YEAR(Invoer!$A$5),1,1)+INT((ROWS(B$2:B651)-1)/2),"jjjjmmdd")</f>
        <v>19331121</v>
      </c>
      <c r="C651" s="24" t="str">
        <f>INDEX(Data,2,2+MOD(ROWS(C$2:C651)-1,2))</f>
        <v>15.00</v>
      </c>
      <c r="D651" s="41">
        <f t="shared" ca="1" si="50"/>
        <v>758.26619999999991</v>
      </c>
      <c r="E651" s="29">
        <f t="shared" ca="1" si="51"/>
        <v>0</v>
      </c>
      <c r="F651" s="42">
        <f t="shared" ca="1" si="52"/>
        <v>28.333333333333332</v>
      </c>
      <c r="G651" s="29">
        <f t="shared" ca="1" si="53"/>
        <v>0</v>
      </c>
    </row>
    <row r="652" spans="1:7" x14ac:dyDescent="0.25">
      <c r="A652" s="11">
        <f t="shared" si="54"/>
        <v>44</v>
      </c>
      <c r="B652" t="str">
        <f ca="1">TEXT(DATE(YEAR(Invoer!$A$5),1,1)+INT((ROWS(B$2:B652)-1)/2),"jjjjmmdd")</f>
        <v>19331122</v>
      </c>
      <c r="C652" s="24" t="str">
        <f>INDEX(Data,2,2+MOD(ROWS(C$2:C652)-1,2))</f>
        <v>08.00</v>
      </c>
      <c r="D652" s="41">
        <f t="shared" ca="1" si="50"/>
        <v>760.09499999999991</v>
      </c>
      <c r="E652" s="29">
        <f t="shared" ca="1" si="51"/>
        <v>0</v>
      </c>
      <c r="F652" s="42">
        <f t="shared" ca="1" si="52"/>
        <v>27.777777777777779</v>
      </c>
      <c r="G652" s="29">
        <f t="shared" ca="1" si="53"/>
        <v>0</v>
      </c>
    </row>
    <row r="653" spans="1:7" x14ac:dyDescent="0.25">
      <c r="A653" s="11">
        <f t="shared" si="54"/>
        <v>44</v>
      </c>
      <c r="B653" t="str">
        <f ca="1">TEXT(DATE(YEAR(Invoer!$A$5),1,1)+INT((ROWS(B$2:B653)-1)/2),"jjjjmmdd")</f>
        <v>19331122</v>
      </c>
      <c r="C653" s="24" t="str">
        <f>INDEX(Data,2,2+MOD(ROWS(C$2:C653)-1,2))</f>
        <v>15.00</v>
      </c>
      <c r="D653" s="41">
        <f t="shared" ca="1" si="50"/>
        <v>757.96139999999991</v>
      </c>
      <c r="E653" s="29">
        <f t="shared" ca="1" si="51"/>
        <v>0</v>
      </c>
      <c r="F653" s="42">
        <f t="shared" ca="1" si="52"/>
        <v>28.611111111111111</v>
      </c>
      <c r="G653" s="29">
        <f t="shared" ca="1" si="53"/>
        <v>0</v>
      </c>
    </row>
    <row r="654" spans="1:7" x14ac:dyDescent="0.25">
      <c r="A654" s="11">
        <f t="shared" si="54"/>
        <v>44</v>
      </c>
      <c r="B654" t="str">
        <f ca="1">TEXT(DATE(YEAR(Invoer!$A$5),1,1)+INT((ROWS(B$2:B654)-1)/2),"jjjjmmdd")</f>
        <v>19331123</v>
      </c>
      <c r="C654" s="24" t="str">
        <f>INDEX(Data,2,2+MOD(ROWS(C$2:C654)-1,2))</f>
        <v>08.00</v>
      </c>
      <c r="D654" s="41">
        <f t="shared" ca="1" si="50"/>
        <v>758.87579999999991</v>
      </c>
      <c r="E654" s="29">
        <f t="shared" ca="1" si="51"/>
        <v>0</v>
      </c>
      <c r="F654" s="42">
        <f t="shared" ca="1" si="52"/>
        <v>27.222222222222221</v>
      </c>
      <c r="G654" s="29">
        <f t="shared" ca="1" si="53"/>
        <v>0</v>
      </c>
    </row>
    <row r="655" spans="1:7" x14ac:dyDescent="0.25">
      <c r="A655" s="11">
        <f t="shared" si="54"/>
        <v>44</v>
      </c>
      <c r="B655" t="str">
        <f ca="1">TEXT(DATE(YEAR(Invoer!$A$5),1,1)+INT((ROWS(B$2:B655)-1)/2),"jjjjmmdd")</f>
        <v>19331123</v>
      </c>
      <c r="C655" s="24" t="str">
        <f>INDEX(Data,2,2+MOD(ROWS(C$2:C655)-1,2))</f>
        <v>15.00</v>
      </c>
      <c r="D655" s="41">
        <f t="shared" ca="1" si="50"/>
        <v>756.48820000000001</v>
      </c>
      <c r="E655" s="29">
        <f t="shared" ca="1" si="51"/>
        <v>0</v>
      </c>
      <c r="F655" s="42">
        <f t="shared" ca="1" si="52"/>
        <v>28.333333333333332</v>
      </c>
      <c r="G655" s="29">
        <f t="shared" ca="1" si="53"/>
        <v>0</v>
      </c>
    </row>
    <row r="656" spans="1:7" x14ac:dyDescent="0.25">
      <c r="A656" s="11">
        <f t="shared" si="54"/>
        <v>44</v>
      </c>
      <c r="B656" t="str">
        <f ca="1">TEXT(DATE(YEAR(Invoer!$A$5),1,1)+INT((ROWS(B$2:B656)-1)/2),"jjjjmmdd")</f>
        <v>19331124</v>
      </c>
      <c r="C656" s="24" t="str">
        <f>INDEX(Data,2,2+MOD(ROWS(C$2:C656)-1,2))</f>
        <v>08.00</v>
      </c>
      <c r="D656" s="41">
        <f t="shared" ca="1" si="50"/>
        <v>759.63779999999997</v>
      </c>
      <c r="E656" s="29">
        <f t="shared" ca="1" si="51"/>
        <v>0</v>
      </c>
      <c r="F656" s="42">
        <f t="shared" ca="1" si="52"/>
        <v>27.5</v>
      </c>
      <c r="G656" s="29">
        <f t="shared" ca="1" si="53"/>
        <v>0</v>
      </c>
    </row>
    <row r="657" spans="1:7" x14ac:dyDescent="0.25">
      <c r="A657" s="11">
        <f t="shared" si="54"/>
        <v>44</v>
      </c>
      <c r="B657" t="str">
        <f ca="1">TEXT(DATE(YEAR(Invoer!$A$5),1,1)+INT((ROWS(B$2:B657)-1)/2),"jjjjmmdd")</f>
        <v>19331124</v>
      </c>
      <c r="C657" s="24" t="str">
        <f>INDEX(Data,2,2+MOD(ROWS(C$2:C657)-1,2))</f>
        <v>15.00</v>
      </c>
      <c r="D657" s="41">
        <f t="shared" ca="1" si="50"/>
        <v>757.17399999999998</v>
      </c>
      <c r="E657" s="29">
        <f t="shared" ca="1" si="51"/>
        <v>0</v>
      </c>
      <c r="F657" s="42">
        <f t="shared" ca="1" si="52"/>
        <v>28.888888888888889</v>
      </c>
      <c r="G657" s="29">
        <f t="shared" ca="1" si="53"/>
        <v>0</v>
      </c>
    </row>
    <row r="658" spans="1:7" x14ac:dyDescent="0.25">
      <c r="A658" s="11">
        <f t="shared" si="54"/>
        <v>44</v>
      </c>
      <c r="B658" t="str">
        <f ca="1">TEXT(DATE(YEAR(Invoer!$A$5),1,1)+INT((ROWS(B$2:B658)-1)/2),"jjjjmmdd")</f>
        <v>19331125</v>
      </c>
      <c r="C658" s="24" t="str">
        <f>INDEX(Data,2,2+MOD(ROWS(C$2:C658)-1,2))</f>
        <v>08.00</v>
      </c>
      <c r="D658" s="41">
        <f t="shared" ca="1" si="50"/>
        <v>760.39979999999991</v>
      </c>
      <c r="E658" s="29">
        <f t="shared" ca="1" si="51"/>
        <v>0</v>
      </c>
      <c r="F658" s="42">
        <f t="shared" ca="1" si="52"/>
        <v>27.5</v>
      </c>
      <c r="G658" s="29">
        <f t="shared" ca="1" si="53"/>
        <v>0</v>
      </c>
    </row>
    <row r="659" spans="1:7" x14ac:dyDescent="0.25">
      <c r="A659" s="11">
        <f t="shared" si="54"/>
        <v>44</v>
      </c>
      <c r="B659" t="str">
        <f ca="1">TEXT(DATE(YEAR(Invoer!$A$5),1,1)+INT((ROWS(B$2:B659)-1)/2),"jjjjmmdd")</f>
        <v>19331125</v>
      </c>
      <c r="C659" s="24" t="str">
        <f>INDEX(Data,2,2+MOD(ROWS(C$2:C659)-1,2))</f>
        <v>15.00</v>
      </c>
      <c r="D659" s="41">
        <f t="shared" ca="1" si="50"/>
        <v>758.18999999999994</v>
      </c>
      <c r="E659" s="29">
        <f t="shared" ca="1" si="51"/>
        <v>0</v>
      </c>
      <c r="F659" s="42">
        <f t="shared" ca="1" si="52"/>
        <v>28.888888888888889</v>
      </c>
      <c r="G659" s="29">
        <f t="shared" ca="1" si="53"/>
        <v>0</v>
      </c>
    </row>
    <row r="660" spans="1:7" x14ac:dyDescent="0.25">
      <c r="A660" s="11">
        <f t="shared" si="54"/>
        <v>44</v>
      </c>
      <c r="B660" t="str">
        <f ca="1">TEXT(DATE(YEAR(Invoer!$A$5),1,1)+INT((ROWS(B$2:B660)-1)/2),"jjjjmmdd")</f>
        <v>19331126</v>
      </c>
      <c r="C660" s="24" t="str">
        <f>INDEX(Data,2,2+MOD(ROWS(C$2:C660)-1,2))</f>
        <v>08.00</v>
      </c>
      <c r="D660" s="41">
        <f t="shared" ca="1" si="50"/>
        <v>759.66319999999996</v>
      </c>
      <c r="E660" s="29">
        <f t="shared" ca="1" si="51"/>
        <v>0</v>
      </c>
      <c r="F660" s="42">
        <f t="shared" ca="1" si="52"/>
        <v>27.222222222222221</v>
      </c>
      <c r="G660" s="29">
        <f t="shared" ca="1" si="53"/>
        <v>0</v>
      </c>
    </row>
    <row r="661" spans="1:7" x14ac:dyDescent="0.25">
      <c r="A661" s="11">
        <f t="shared" si="54"/>
        <v>44</v>
      </c>
      <c r="B661" t="str">
        <f ca="1">TEXT(DATE(YEAR(Invoer!$A$5),1,1)+INT((ROWS(B$2:B661)-1)/2),"jjjjmmdd")</f>
        <v>19331126</v>
      </c>
      <c r="C661" s="24" t="str">
        <f>INDEX(Data,2,2+MOD(ROWS(C$2:C661)-1,2))</f>
        <v>15.00</v>
      </c>
      <c r="D661" s="41">
        <f t="shared" ca="1" si="50"/>
        <v>757.30099999999993</v>
      </c>
      <c r="E661" s="29">
        <f t="shared" ca="1" si="51"/>
        <v>0</v>
      </c>
      <c r="F661" s="42">
        <f t="shared" ca="1" si="52"/>
        <v>27.777777777777779</v>
      </c>
      <c r="G661" s="29">
        <f t="shared" ca="1" si="53"/>
        <v>0</v>
      </c>
    </row>
    <row r="662" spans="1:7" x14ac:dyDescent="0.25">
      <c r="A662" s="11">
        <f t="shared" si="54"/>
        <v>44</v>
      </c>
      <c r="B662" t="str">
        <f ca="1">TEXT(DATE(YEAR(Invoer!$A$5),1,1)+INT((ROWS(B$2:B662)-1)/2),"jjjjmmdd")</f>
        <v>19331127</v>
      </c>
      <c r="C662" s="24" t="str">
        <f>INDEX(Data,2,2+MOD(ROWS(C$2:C662)-1,2))</f>
        <v>08.00</v>
      </c>
      <c r="D662" s="41">
        <f t="shared" ca="1" si="50"/>
        <v>759.73939999999993</v>
      </c>
      <c r="E662" s="29">
        <f t="shared" ca="1" si="51"/>
        <v>0</v>
      </c>
      <c r="F662" s="42">
        <f t="shared" ca="1" si="52"/>
        <v>26.666666666666668</v>
      </c>
      <c r="G662" s="29">
        <f t="shared" ca="1" si="53"/>
        <v>0</v>
      </c>
    </row>
    <row r="663" spans="1:7" x14ac:dyDescent="0.25">
      <c r="A663" s="11">
        <f t="shared" si="54"/>
        <v>44</v>
      </c>
      <c r="B663" t="str">
        <f ca="1">TEXT(DATE(YEAR(Invoer!$A$5),1,1)+INT((ROWS(B$2:B663)-1)/2),"jjjjmmdd")</f>
        <v>19331127</v>
      </c>
      <c r="C663" s="24" t="str">
        <f>INDEX(Data,2,2+MOD(ROWS(C$2:C663)-1,2))</f>
        <v>15.00</v>
      </c>
      <c r="D663" s="41">
        <f t="shared" ca="1" si="50"/>
        <v>757.96139999999991</v>
      </c>
      <c r="E663" s="29">
        <f t="shared" ca="1" si="51"/>
        <v>0</v>
      </c>
      <c r="F663" s="42">
        <f t="shared" ca="1" si="52"/>
        <v>26.666666666666668</v>
      </c>
      <c r="G663" s="29">
        <f t="shared" ca="1" si="53"/>
        <v>0</v>
      </c>
    </row>
    <row r="664" spans="1:7" x14ac:dyDescent="0.25">
      <c r="A664" s="11">
        <f t="shared" si="54"/>
        <v>44</v>
      </c>
      <c r="B664" t="str">
        <f ca="1">TEXT(DATE(YEAR(Invoer!$A$5),1,1)+INT((ROWS(B$2:B664)-1)/2),"jjjjmmdd")</f>
        <v>19331128</v>
      </c>
      <c r="C664" s="24" t="str">
        <f>INDEX(Data,2,2+MOD(ROWS(C$2:C664)-1,2))</f>
        <v>08.00</v>
      </c>
      <c r="D664" s="41">
        <f t="shared" ca="1" si="50"/>
        <v>760.29819999999995</v>
      </c>
      <c r="E664" s="29">
        <f t="shared" ca="1" si="51"/>
        <v>0</v>
      </c>
      <c r="F664" s="42">
        <f t="shared" ca="1" si="52"/>
        <v>26.111111111111111</v>
      </c>
      <c r="G664" s="29">
        <f t="shared" ca="1" si="53"/>
        <v>0</v>
      </c>
    </row>
    <row r="665" spans="1:7" x14ac:dyDescent="0.25">
      <c r="A665" s="11">
        <f t="shared" si="54"/>
        <v>44</v>
      </c>
      <c r="B665" t="str">
        <f ca="1">TEXT(DATE(YEAR(Invoer!$A$5),1,1)+INT((ROWS(B$2:B665)-1)/2),"jjjjmmdd")</f>
        <v>19331128</v>
      </c>
      <c r="C665" s="24" t="str">
        <f>INDEX(Data,2,2+MOD(ROWS(C$2:C665)-1,2))</f>
        <v>15.00</v>
      </c>
      <c r="D665" s="41">
        <f t="shared" ca="1" si="50"/>
        <v>758.82499999999993</v>
      </c>
      <c r="E665" s="29">
        <f t="shared" ca="1" si="51"/>
        <v>0</v>
      </c>
      <c r="F665" s="42">
        <f t="shared" ca="1" si="52"/>
        <v>27.777777777777779</v>
      </c>
      <c r="G665" s="29">
        <f t="shared" ca="1" si="53"/>
        <v>0</v>
      </c>
    </row>
    <row r="666" spans="1:7" x14ac:dyDescent="0.25">
      <c r="A666" s="11">
        <f t="shared" si="54"/>
        <v>44</v>
      </c>
      <c r="B666" t="str">
        <f ca="1">TEXT(DATE(YEAR(Invoer!$A$5),1,1)+INT((ROWS(B$2:B666)-1)/2),"jjjjmmdd")</f>
        <v>19331129</v>
      </c>
      <c r="C666" s="24" t="str">
        <f>INDEX(Data,2,2+MOD(ROWS(C$2:C666)-1,2))</f>
        <v>08.00</v>
      </c>
      <c r="D666" s="41">
        <f t="shared" ca="1" si="50"/>
        <v>760.93319999999994</v>
      </c>
      <c r="E666" s="29">
        <f t="shared" ca="1" si="51"/>
        <v>0</v>
      </c>
      <c r="F666" s="42">
        <f t="shared" ca="1" si="52"/>
        <v>27.222222222222221</v>
      </c>
      <c r="G666" s="29">
        <f t="shared" ca="1" si="53"/>
        <v>0</v>
      </c>
    </row>
    <row r="667" spans="1:7" x14ac:dyDescent="0.25">
      <c r="A667" s="11">
        <f t="shared" si="54"/>
        <v>44</v>
      </c>
      <c r="B667" t="str">
        <f ca="1">TEXT(DATE(YEAR(Invoer!$A$5),1,1)+INT((ROWS(B$2:B667)-1)/2),"jjjjmmdd")</f>
        <v>19331129</v>
      </c>
      <c r="C667" s="24" t="str">
        <f>INDEX(Data,2,2+MOD(ROWS(C$2:C667)-1,2))</f>
        <v>15.00</v>
      </c>
      <c r="D667" s="41">
        <f t="shared" ca="1" si="50"/>
        <v>759.28219999999999</v>
      </c>
      <c r="E667" s="29">
        <f t="shared" ca="1" si="51"/>
        <v>0</v>
      </c>
      <c r="F667" s="42">
        <f t="shared" ca="1" si="52"/>
        <v>28.333333333333332</v>
      </c>
      <c r="G667" s="29">
        <f t="shared" ca="1" si="53"/>
        <v>0</v>
      </c>
    </row>
    <row r="668" spans="1:7" x14ac:dyDescent="0.25">
      <c r="A668" s="11">
        <f t="shared" si="54"/>
        <v>44</v>
      </c>
      <c r="B668" t="str">
        <f ca="1">TEXT(DATE(YEAR(Invoer!$A$5),1,1)+INT((ROWS(B$2:B668)-1)/2),"jjjjmmdd")</f>
        <v>19331130</v>
      </c>
      <c r="C668" s="24" t="str">
        <f>INDEX(Data,2,2+MOD(ROWS(C$2:C668)-1,2))</f>
        <v>08.00</v>
      </c>
      <c r="D668" s="41">
        <f t="shared" ca="1" si="50"/>
        <v>760.93319999999994</v>
      </c>
      <c r="E668" s="29">
        <f t="shared" ca="1" si="51"/>
        <v>0</v>
      </c>
      <c r="F668" s="42">
        <f t="shared" ca="1" si="52"/>
        <v>27.222222222222221</v>
      </c>
      <c r="G668" s="29">
        <f t="shared" ca="1" si="53"/>
        <v>0</v>
      </c>
    </row>
    <row r="669" spans="1:7" x14ac:dyDescent="0.25">
      <c r="A669" s="11">
        <f t="shared" si="54"/>
        <v>44</v>
      </c>
      <c r="B669" t="str">
        <f ca="1">TEXT(DATE(YEAR(Invoer!$A$5),1,1)+INT((ROWS(B$2:B669)-1)/2),"jjjjmmdd")</f>
        <v>19331130</v>
      </c>
      <c r="C669" s="24" t="str">
        <f>INDEX(Data,2,2+MOD(ROWS(C$2:C669)-1,2))</f>
        <v>15.00</v>
      </c>
      <c r="D669" s="41">
        <f t="shared" ca="1" si="50"/>
        <v>758.77419999999995</v>
      </c>
      <c r="E669" s="29">
        <f t="shared" ca="1" si="51"/>
        <v>0</v>
      </c>
      <c r="F669" s="42">
        <f t="shared" ca="1" si="52"/>
        <v>28.333333333333332</v>
      </c>
      <c r="G669" s="29">
        <f t="shared" ca="1" si="53"/>
        <v>0</v>
      </c>
    </row>
    <row r="670" spans="1:7" x14ac:dyDescent="0.25">
      <c r="A670" s="11">
        <f t="shared" si="54"/>
        <v>44</v>
      </c>
      <c r="B670" t="str">
        <f ca="1">TEXT(DATE(YEAR(Invoer!$A$5),1,1)+INT((ROWS(B$2:B670)-1)/2),"jjjjmmdd")</f>
        <v>19331201</v>
      </c>
      <c r="C670" s="24" t="str">
        <f>INDEX(Data,2,2+MOD(ROWS(C$2:C670)-1,2))</f>
        <v>08.00</v>
      </c>
      <c r="D670" s="41">
        <f t="shared" ca="1" si="50"/>
        <v>760.42520000000002</v>
      </c>
      <c r="E670" s="29">
        <f t="shared" ca="1" si="51"/>
        <v>0</v>
      </c>
      <c r="F670" s="42">
        <f t="shared" ca="1" si="52"/>
        <v>27.222222222222221</v>
      </c>
      <c r="G670" s="29">
        <f t="shared" ca="1" si="53"/>
        <v>0</v>
      </c>
    </row>
    <row r="671" spans="1:7" x14ac:dyDescent="0.25">
      <c r="A671" s="11">
        <f t="shared" si="54"/>
        <v>44</v>
      </c>
      <c r="B671" t="str">
        <f ca="1">TEXT(DATE(YEAR(Invoer!$A$5),1,1)+INT((ROWS(B$2:B671)-1)/2),"jjjjmmdd")</f>
        <v>19331201</v>
      </c>
      <c r="C671" s="24" t="str">
        <f>INDEX(Data,2,2+MOD(ROWS(C$2:C671)-1,2))</f>
        <v>15.00</v>
      </c>
      <c r="D671" s="41">
        <f t="shared" ca="1" si="50"/>
        <v>759.28219999999999</v>
      </c>
      <c r="E671" s="29">
        <f t="shared" ca="1" si="51"/>
        <v>0</v>
      </c>
      <c r="F671" s="42">
        <f t="shared" ca="1" si="52"/>
        <v>28.333333333333332</v>
      </c>
      <c r="G671" s="29">
        <f t="shared" ca="1" si="53"/>
        <v>0</v>
      </c>
    </row>
    <row r="672" spans="1:7" x14ac:dyDescent="0.25">
      <c r="A672" s="11">
        <f t="shared" si="54"/>
        <v>44</v>
      </c>
      <c r="B672" t="str">
        <f ca="1">TEXT(DATE(YEAR(Invoer!$A$5),1,1)+INT((ROWS(B$2:B672)-1)/2),"jjjjmmdd")</f>
        <v>19331202</v>
      </c>
      <c r="C672" s="24" t="str">
        <f>INDEX(Data,2,2+MOD(ROWS(C$2:C672)-1,2))</f>
        <v>08.00</v>
      </c>
      <c r="D672" s="41">
        <f t="shared" ca="1" si="50"/>
        <v>760.93319999999994</v>
      </c>
      <c r="E672" s="29">
        <f t="shared" ca="1" si="51"/>
        <v>0</v>
      </c>
      <c r="F672" s="42">
        <f t="shared" ca="1" si="52"/>
        <v>27.222222222222221</v>
      </c>
      <c r="G672" s="29">
        <f t="shared" ca="1" si="53"/>
        <v>0</v>
      </c>
    </row>
    <row r="673" spans="1:7" x14ac:dyDescent="0.25">
      <c r="A673" s="11">
        <f t="shared" si="54"/>
        <v>44</v>
      </c>
      <c r="B673" t="str">
        <f ca="1">TEXT(DATE(YEAR(Invoer!$A$5),1,1)+INT((ROWS(B$2:B673)-1)/2),"jjjjmmdd")</f>
        <v>19331202</v>
      </c>
      <c r="C673" s="24" t="str">
        <f>INDEX(Data,2,2+MOD(ROWS(C$2:C673)-1,2))</f>
        <v>15.00</v>
      </c>
      <c r="D673" s="41">
        <f t="shared" ca="1" si="50"/>
        <v>759.58699999999999</v>
      </c>
      <c r="E673" s="29">
        <f t="shared" ca="1" si="51"/>
        <v>0</v>
      </c>
      <c r="F673" s="42">
        <f t="shared" ca="1" si="52"/>
        <v>27.777777777777779</v>
      </c>
      <c r="G673" s="29">
        <f t="shared" ca="1" si="53"/>
        <v>0</v>
      </c>
    </row>
    <row r="674" spans="1:7" x14ac:dyDescent="0.25">
      <c r="A674" s="11">
        <f t="shared" si="54"/>
        <v>44</v>
      </c>
      <c r="B674" t="str">
        <f ca="1">TEXT(DATE(YEAR(Invoer!$A$5),1,1)+INT((ROWS(B$2:B674)-1)/2),"jjjjmmdd")</f>
        <v>19331203</v>
      </c>
      <c r="C674" s="24" t="str">
        <f>INDEX(Data,2,2+MOD(ROWS(C$2:C674)-1,2))</f>
        <v>08.00</v>
      </c>
      <c r="D674" s="41">
        <f t="shared" ca="1" si="50"/>
        <v>761.00939999999991</v>
      </c>
      <c r="E674" s="29">
        <f t="shared" ca="1" si="51"/>
        <v>0</v>
      </c>
      <c r="F674" s="42">
        <f t="shared" ca="1" si="52"/>
        <v>26.666666666666668</v>
      </c>
      <c r="G674" s="29">
        <f t="shared" ca="1" si="53"/>
        <v>0</v>
      </c>
    </row>
    <row r="675" spans="1:7" x14ac:dyDescent="0.25">
      <c r="A675" s="11">
        <f t="shared" si="54"/>
        <v>44</v>
      </c>
      <c r="B675" t="str">
        <f ca="1">TEXT(DATE(YEAR(Invoer!$A$5),1,1)+INT((ROWS(B$2:B675)-1)/2),"jjjjmmdd")</f>
        <v>19331203</v>
      </c>
      <c r="C675" s="24" t="str">
        <f>INDEX(Data,2,2+MOD(ROWS(C$2:C675)-1,2))</f>
        <v>15.00</v>
      </c>
      <c r="D675" s="41">
        <f t="shared" ca="1" si="50"/>
        <v>759.40919999999994</v>
      </c>
      <c r="E675" s="29">
        <f t="shared" ca="1" si="51"/>
        <v>0</v>
      </c>
      <c r="F675" s="42">
        <f t="shared" ca="1" si="52"/>
        <v>27.222222222222221</v>
      </c>
      <c r="G675" s="29">
        <f t="shared" ca="1" si="53"/>
        <v>0</v>
      </c>
    </row>
    <row r="676" spans="1:7" x14ac:dyDescent="0.25">
      <c r="A676" s="11">
        <f t="shared" si="54"/>
        <v>44</v>
      </c>
      <c r="B676" t="str">
        <f ca="1">TEXT(DATE(YEAR(Invoer!$A$5),1,1)+INT((ROWS(B$2:B676)-1)/2),"jjjjmmdd")</f>
        <v>19331204</v>
      </c>
      <c r="C676" s="24" t="str">
        <f>INDEX(Data,2,2+MOD(ROWS(C$2:C676)-1,2))</f>
        <v>08.00</v>
      </c>
      <c r="D676" s="41">
        <f t="shared" ca="1" si="50"/>
        <v>761.00939999999991</v>
      </c>
      <c r="E676" s="29">
        <f t="shared" ca="1" si="51"/>
        <v>0</v>
      </c>
      <c r="F676" s="42">
        <f t="shared" ca="1" si="52"/>
        <v>26.666666666666668</v>
      </c>
      <c r="G676" s="29">
        <f t="shared" ca="1" si="53"/>
        <v>0</v>
      </c>
    </row>
    <row r="677" spans="1:7" x14ac:dyDescent="0.25">
      <c r="A677" s="11">
        <f t="shared" si="54"/>
        <v>44</v>
      </c>
      <c r="B677" t="str">
        <f ca="1">TEXT(DATE(YEAR(Invoer!$A$5),1,1)+INT((ROWS(B$2:B677)-1)/2),"jjjjmmdd")</f>
        <v>19331204</v>
      </c>
      <c r="C677" s="24" t="str">
        <f>INDEX(Data,2,2+MOD(ROWS(C$2:C677)-1,2))</f>
        <v>15.00</v>
      </c>
      <c r="D677" s="41">
        <f t="shared" ca="1" si="50"/>
        <v>759.53620000000001</v>
      </c>
      <c r="E677" s="29">
        <f t="shared" ca="1" si="51"/>
        <v>0</v>
      </c>
      <c r="F677" s="42">
        <f t="shared" ca="1" si="52"/>
        <v>28.333333333333332</v>
      </c>
      <c r="G677" s="29">
        <f t="shared" ca="1" si="53"/>
        <v>0</v>
      </c>
    </row>
    <row r="678" spans="1:7" x14ac:dyDescent="0.25">
      <c r="A678" s="11">
        <f t="shared" si="54"/>
        <v>44</v>
      </c>
      <c r="B678" t="str">
        <f ca="1">TEXT(DATE(YEAR(Invoer!$A$5),1,1)+INT((ROWS(B$2:B678)-1)/2),"jjjjmmdd")</f>
        <v>19331205</v>
      </c>
      <c r="C678" s="24" t="str">
        <f>INDEX(Data,2,2+MOD(ROWS(C$2:C678)-1,2))</f>
        <v>08.00</v>
      </c>
      <c r="D678" s="41">
        <f t="shared" ca="1" si="50"/>
        <v>760.42520000000002</v>
      </c>
      <c r="E678" s="29">
        <f t="shared" ca="1" si="51"/>
        <v>0</v>
      </c>
      <c r="F678" s="42">
        <f t="shared" ca="1" si="52"/>
        <v>27.222222222222221</v>
      </c>
      <c r="G678" s="29">
        <f t="shared" ca="1" si="53"/>
        <v>0</v>
      </c>
    </row>
    <row r="679" spans="1:7" x14ac:dyDescent="0.25">
      <c r="A679" s="11">
        <f t="shared" si="54"/>
        <v>44</v>
      </c>
      <c r="B679" t="str">
        <f ca="1">TEXT(DATE(YEAR(Invoer!$A$5),1,1)+INT((ROWS(B$2:B679)-1)/2),"jjjjmmdd")</f>
        <v>19331205</v>
      </c>
      <c r="C679" s="24" t="str">
        <f>INDEX(Data,2,2+MOD(ROWS(C$2:C679)-1,2))</f>
        <v>15.00</v>
      </c>
      <c r="D679" s="41">
        <f t="shared" ca="1" si="50"/>
        <v>758.77419999999995</v>
      </c>
      <c r="E679" s="29">
        <f t="shared" ca="1" si="51"/>
        <v>0</v>
      </c>
      <c r="F679" s="42">
        <f t="shared" ca="1" si="52"/>
        <v>28.333333333333332</v>
      </c>
      <c r="G679" s="29">
        <f t="shared" ca="1" si="53"/>
        <v>0</v>
      </c>
    </row>
    <row r="680" spans="1:7" x14ac:dyDescent="0.25">
      <c r="A680" s="11">
        <f t="shared" si="54"/>
        <v>44</v>
      </c>
      <c r="B680" t="str">
        <f ca="1">TEXT(DATE(YEAR(Invoer!$A$5),1,1)+INT((ROWS(B$2:B680)-1)/2),"jjjjmmdd")</f>
        <v>19331206</v>
      </c>
      <c r="C680" s="24" t="str">
        <f>INDEX(Data,2,2+MOD(ROWS(C$2:C680)-1,2))</f>
        <v>08.00</v>
      </c>
      <c r="D680" s="41">
        <f t="shared" ca="1" si="50"/>
        <v>760.24739999999997</v>
      </c>
      <c r="E680" s="29">
        <f t="shared" ca="1" si="51"/>
        <v>0</v>
      </c>
      <c r="F680" s="42">
        <f t="shared" ca="1" si="52"/>
        <v>26.666666666666668</v>
      </c>
      <c r="G680" s="29">
        <f t="shared" ca="1" si="53"/>
        <v>0</v>
      </c>
    </row>
    <row r="681" spans="1:7" x14ac:dyDescent="0.25">
      <c r="A681" s="11">
        <f t="shared" si="54"/>
        <v>44</v>
      </c>
      <c r="B681" t="str">
        <f ca="1">TEXT(DATE(YEAR(Invoer!$A$5),1,1)+INT((ROWS(B$2:B681)-1)/2),"jjjjmmdd")</f>
        <v>19331206</v>
      </c>
      <c r="C681" s="24" t="str">
        <f>INDEX(Data,2,2+MOD(ROWS(C$2:C681)-1,2))</f>
        <v>15.00</v>
      </c>
      <c r="D681" s="41">
        <f t="shared" ca="1" si="50"/>
        <v>758.26619999999991</v>
      </c>
      <c r="E681" s="29">
        <f t="shared" ca="1" si="51"/>
        <v>0</v>
      </c>
      <c r="F681" s="42">
        <f t="shared" ca="1" si="52"/>
        <v>28.333333333333332</v>
      </c>
      <c r="G681" s="29">
        <f t="shared" ca="1" si="53"/>
        <v>0</v>
      </c>
    </row>
    <row r="682" spans="1:7" x14ac:dyDescent="0.25">
      <c r="A682" s="11">
        <f t="shared" si="54"/>
        <v>44</v>
      </c>
      <c r="B682" t="str">
        <f ca="1">TEXT(DATE(YEAR(Invoer!$A$5),1,1)+INT((ROWS(B$2:B682)-1)/2),"jjjjmmdd")</f>
        <v>19331207</v>
      </c>
      <c r="C682" s="24" t="str">
        <f>INDEX(Data,2,2+MOD(ROWS(C$2:C682)-1,2))</f>
        <v>08.00</v>
      </c>
      <c r="D682" s="41">
        <f t="shared" ref="D682:D731" ca="1" si="55">IF(OR(ISBLANK(VLOOKUP(DATEVALUE(LEFT($B682,4)&amp;"-"&amp;MID($B682,5,2)&amp;"-"&amp;RIGHT($B682,2)),Data,MATCH(LEFT(VLOOKUP(D$1,Parameters,2,FALSE()),4)&amp;"*",OFFSET(Data,0,0,1),0)+MATCH($C682,OFFSET(Data,1,0,1),0)-2,FALSE())),ISTEXT(VLOOKUP(DATEVALUE(LEFT($B682,4)&amp;"-"&amp;MID($B682,5,2)&amp;"-"&amp;RIGHT($B682,2)),Data,MATCH(LEFT(VLOOKUP(D$1,Parameters,2,FALSE()),4)&amp;"*",OFFSET(Data,0,0,1),0)+MATCH($C682,OFFSET(Data,1,0,1),0)-2,FALSE()))),"—",0.0254*VLOOKUP(DATEVALUE(LEFT($B682,4)&amp;"-"&amp;MID($B682,5,2)&amp;"-"&amp;RIGHT($B682,2)),Data,MATCH(LEFT(VLOOKUP(D$1,Parameters,2,FALSE()),4)&amp;"*",OFFSET(Data,0,0,1),0)+MATCH($C682,OFFSET(Data,1,0,1),0)-2,FALSE()))</f>
        <v>760.42520000000002</v>
      </c>
      <c r="E682" s="29">
        <f t="shared" ref="E682:E731" ca="1" si="56">IF(OR(ISBLANK(VLOOKUP(DATEVALUE(LEFT($B682,4)&amp;"-"&amp;MID($B682,5,2)&amp;"-"&amp;RIGHT($B682,2)),Data,MATCH(LEFT(VLOOKUP(MID(E$1,2,LEN(E$1)-1),Parameters,2,FALSE()),4)&amp;"*",OFFSET(Data,0,0,1),0)+MATCH($C682,OFFSET(Data,1,0,1),0)-2,FALSE())),ISTEXT(VLOOKUP(DATEVALUE(LEFT($B682,4)&amp;"-"&amp;MID($B682,5,2)&amp;"-"&amp;RIGHT($B682,2)),Data,MATCH(LEFT(VLOOKUP(MID(E$1,2,LEN(E$1)-1),Parameters,2,FALSE()),4)&amp;"*",OFFSET(Data,0,0,1),0)+MATCH($C682,OFFSET(Data,1,0,1),0)-2,FALSE()))),Lacking,IF(ISNA(MATCH(DATEVALUE(LEFT($B682,4)&amp;"-"&amp;MID($B682,5,2)&amp;"-"&amp;RIGHT($B682,2)),OFFSET(Catalogus,0,0,,1),0)),Ok,VLOOKUP(DATEVALUE(LEFT($B682,4)&amp;"-"&amp;MID($B682,5,2)&amp;"-"&amp;RIGHT($B682,2)),Catalogus,MATCH(LEFT(VLOOKUP(MID(E$1,2,LEN(E$1)-1),Parameters,2,FALSE()),4)&amp;"*",OFFSET(Catalogus,0,0,1),0)+MATCH($C682,OFFSET(Catalogus,1,0,1),0)-2,FALSE())))</f>
        <v>0</v>
      </c>
      <c r="F682" s="42">
        <f t="shared" ref="F682:F731" ca="1" si="57">IF(OR(ISBLANK(VLOOKUP(DATEVALUE(LEFT($B682,4)&amp;"-"&amp;MID($B682,5,2)&amp;"-"&amp;RIGHT($B682,2)),Data,MATCH(LEFT(VLOOKUP(F$1,Parameters,2,FALSE()),4)&amp;"*",OFFSET(Data,0,0,1),0)+MATCH($C682,OFFSET(Data,1,0,1),0)-2,FALSE())),ISTEXT(VLOOKUP(DATEVALUE(LEFT($B682,4)&amp;"-"&amp;MID($B682,5,2)&amp;"-"&amp;RIGHT($B682,2)),Data,MATCH(LEFT(VLOOKUP(F$1,Parameters,2,FALSE()),4)&amp;"*",OFFSET(Data,0,0,1),0)+MATCH($C682,OFFSET(Data,1,0,1),0)-2,FALSE()))),"—",5*(VLOOKUP(DATEVALUE(LEFT($B682,4)&amp;"-"&amp;MID($B682,5,2)&amp;"-"&amp;RIGHT($B682,2)),Data,MATCH(LEFT(VLOOKUP(F$1,Parameters,2,FALSE()),4)&amp;"*",OFFSET(Data,0,0,1),0)+MATCH($C682,OFFSET(Data,1,0,1),0)-2,FALSE())-320)/90)</f>
        <v>27.222222222222221</v>
      </c>
      <c r="G682" s="29">
        <f t="shared" ref="G682:G731" ca="1" si="58">IF(OR(ISBLANK(VLOOKUP(DATEVALUE(LEFT($B682,4)&amp;"-"&amp;MID($B682,5,2)&amp;"-"&amp;RIGHT($B682,2)),Data,MATCH(LEFT(VLOOKUP(MID(G$1,2,LEN(G$1)-1),Parameters,2,FALSE()),4)&amp;"*",OFFSET(Data,0,0,1),0)+MATCH($C682,OFFSET(Data,1,0,1),0)-2,FALSE())),ISTEXT(VLOOKUP(DATEVALUE(LEFT($B682,4)&amp;"-"&amp;MID($B682,5,2)&amp;"-"&amp;RIGHT($B682,2)),Data,MATCH(LEFT(VLOOKUP(MID(G$1,2,LEN(G$1)-1),Parameters,2,FALSE()),4)&amp;"*",OFFSET(Data,0,0,1),0)+MATCH($C682,OFFSET(Data,1,0,1),0)-2,FALSE()))),Lacking,IF(ISNA(MATCH(DATEVALUE(LEFT($B682,4)&amp;"-"&amp;MID($B682,5,2)&amp;"-"&amp;RIGHT($B682,2)),OFFSET(Catalogus,0,0,,1),0)),Ok,VLOOKUP(DATEVALUE(LEFT($B682,4)&amp;"-"&amp;MID($B682,5,2)&amp;"-"&amp;RIGHT($B682,2)),Catalogus,MATCH(LEFT(VLOOKUP(MID(G$1,2,LEN(G$1)-1),Parameters,2,FALSE()),4)&amp;"*",OFFSET(Catalogus,0,0,1),0)+MATCH($C682,OFFSET(Catalogus,1,0,1),0)-2,FALSE())))</f>
        <v>0</v>
      </c>
    </row>
    <row r="683" spans="1:7" x14ac:dyDescent="0.25">
      <c r="A683" s="11">
        <f t="shared" si="54"/>
        <v>44</v>
      </c>
      <c r="B683" t="str">
        <f ca="1">TEXT(DATE(YEAR(Invoer!$A$5),1,1)+INT((ROWS(B$2:B683)-1)/2),"jjjjmmdd")</f>
        <v>19331207</v>
      </c>
      <c r="C683" s="24" t="str">
        <f>INDEX(Data,2,2+MOD(ROWS(C$2:C683)-1,2))</f>
        <v>15.00</v>
      </c>
      <c r="D683" s="41">
        <f t="shared" ca="1" si="55"/>
        <v>758.77419999999995</v>
      </c>
      <c r="E683" s="29">
        <f t="shared" ca="1" si="56"/>
        <v>0</v>
      </c>
      <c r="F683" s="42">
        <f t="shared" ca="1" si="57"/>
        <v>28.333333333333332</v>
      </c>
      <c r="G683" s="29">
        <f t="shared" ca="1" si="58"/>
        <v>0</v>
      </c>
    </row>
    <row r="684" spans="1:7" x14ac:dyDescent="0.25">
      <c r="A684" s="11">
        <f t="shared" si="54"/>
        <v>44</v>
      </c>
      <c r="B684" t="str">
        <f ca="1">TEXT(DATE(YEAR(Invoer!$A$5),1,1)+INT((ROWS(B$2:B684)-1)/2),"jjjjmmdd")</f>
        <v>19331208</v>
      </c>
      <c r="C684" s="24" t="str">
        <f>INDEX(Data,2,2+MOD(ROWS(C$2:C684)-1,2))</f>
        <v>08.00</v>
      </c>
      <c r="D684" s="41">
        <f t="shared" ca="1" si="55"/>
        <v>760.50139999999999</v>
      </c>
      <c r="E684" s="29">
        <f t="shared" ca="1" si="56"/>
        <v>0</v>
      </c>
      <c r="F684" s="42">
        <f t="shared" ca="1" si="57"/>
        <v>26.666666666666668</v>
      </c>
      <c r="G684" s="29">
        <f t="shared" ca="1" si="58"/>
        <v>0</v>
      </c>
    </row>
    <row r="685" spans="1:7" x14ac:dyDescent="0.25">
      <c r="A685" s="11">
        <f t="shared" si="54"/>
        <v>44</v>
      </c>
      <c r="B685" t="str">
        <f ca="1">TEXT(DATE(YEAR(Invoer!$A$5),1,1)+INT((ROWS(B$2:B685)-1)/2),"jjjjmmdd")</f>
        <v>19331208</v>
      </c>
      <c r="C685" s="24" t="str">
        <f>INDEX(Data,2,2+MOD(ROWS(C$2:C685)-1,2))</f>
        <v>15.00</v>
      </c>
      <c r="D685" s="41">
        <f t="shared" ca="1" si="55"/>
        <v>758.77419999999995</v>
      </c>
      <c r="E685" s="29">
        <f t="shared" ca="1" si="56"/>
        <v>0</v>
      </c>
      <c r="F685" s="42">
        <f t="shared" ca="1" si="57"/>
        <v>28.333333333333332</v>
      </c>
      <c r="G685" s="29">
        <f t="shared" ca="1" si="58"/>
        <v>0</v>
      </c>
    </row>
    <row r="686" spans="1:7" x14ac:dyDescent="0.25">
      <c r="A686" s="11">
        <f t="shared" si="54"/>
        <v>44</v>
      </c>
      <c r="B686" t="str">
        <f ca="1">TEXT(DATE(YEAR(Invoer!$A$5),1,1)+INT((ROWS(B$2:B686)-1)/2),"jjjjmmdd")</f>
        <v>19331209</v>
      </c>
      <c r="C686" s="24" t="str">
        <f>INDEX(Data,2,2+MOD(ROWS(C$2:C686)-1,2))</f>
        <v>08.00</v>
      </c>
      <c r="D686" s="41">
        <f t="shared" ca="1" si="55"/>
        <v>760.45060000000001</v>
      </c>
      <c r="E686" s="29">
        <f t="shared" ca="1" si="56"/>
        <v>0</v>
      </c>
      <c r="F686" s="42">
        <f t="shared" ca="1" si="57"/>
        <v>26.944444444444443</v>
      </c>
      <c r="G686" s="29">
        <f t="shared" ca="1" si="58"/>
        <v>0</v>
      </c>
    </row>
    <row r="687" spans="1:7" x14ac:dyDescent="0.25">
      <c r="A687" s="11">
        <f t="shared" si="54"/>
        <v>44</v>
      </c>
      <c r="B687" t="str">
        <f ca="1">TEXT(DATE(YEAR(Invoer!$A$5),1,1)+INT((ROWS(B$2:B687)-1)/2),"jjjjmmdd")</f>
        <v>19331209</v>
      </c>
      <c r="C687" s="24" t="str">
        <f>INDEX(Data,2,2+MOD(ROWS(C$2:C687)-1,2))</f>
        <v>15.00</v>
      </c>
      <c r="D687" s="41">
        <f t="shared" ca="1" si="55"/>
        <v>758.26619999999991</v>
      </c>
      <c r="E687" s="29">
        <f t="shared" ca="1" si="56"/>
        <v>0</v>
      </c>
      <c r="F687" s="42">
        <f t="shared" ca="1" si="57"/>
        <v>28.333333333333332</v>
      </c>
      <c r="G687" s="29">
        <f t="shared" ca="1" si="58"/>
        <v>0</v>
      </c>
    </row>
    <row r="688" spans="1:7" x14ac:dyDescent="0.25">
      <c r="A688" s="11">
        <f t="shared" si="54"/>
        <v>44</v>
      </c>
      <c r="B688" t="str">
        <f ca="1">TEXT(DATE(YEAR(Invoer!$A$5),1,1)+INT((ROWS(B$2:B688)-1)/2),"jjjjmmdd")</f>
        <v>19331210</v>
      </c>
      <c r="C688" s="24" t="str">
        <f>INDEX(Data,2,2+MOD(ROWS(C$2:C688)-1,2))</f>
        <v>08.00</v>
      </c>
      <c r="D688" s="41">
        <f t="shared" ca="1" si="55"/>
        <v>760.55219999999997</v>
      </c>
      <c r="E688" s="29">
        <f t="shared" ca="1" si="56"/>
        <v>0</v>
      </c>
      <c r="F688" s="42">
        <f t="shared" ca="1" si="57"/>
        <v>26.111111111111111</v>
      </c>
      <c r="G688" s="29">
        <f t="shared" ca="1" si="58"/>
        <v>0</v>
      </c>
    </row>
    <row r="689" spans="1:7" x14ac:dyDescent="0.25">
      <c r="A689" s="11">
        <f t="shared" si="54"/>
        <v>44</v>
      </c>
      <c r="B689" t="str">
        <f ca="1">TEXT(DATE(YEAR(Invoer!$A$5),1,1)+INT((ROWS(B$2:B689)-1)/2),"jjjjmmdd")</f>
        <v>19331210</v>
      </c>
      <c r="C689" s="24" t="str">
        <f>INDEX(Data,2,2+MOD(ROWS(C$2:C689)-1,2))</f>
        <v>15.00</v>
      </c>
      <c r="D689" s="41">
        <f t="shared" ca="1" si="55"/>
        <v>759.07899999999995</v>
      </c>
      <c r="E689" s="29">
        <f t="shared" ca="1" si="56"/>
        <v>0</v>
      </c>
      <c r="F689" s="42">
        <f t="shared" ca="1" si="57"/>
        <v>27.777777777777779</v>
      </c>
      <c r="G689" s="29">
        <f t="shared" ca="1" si="58"/>
        <v>0</v>
      </c>
    </row>
    <row r="690" spans="1:7" x14ac:dyDescent="0.25">
      <c r="A690" s="11">
        <f t="shared" si="54"/>
        <v>44</v>
      </c>
      <c r="B690" t="str">
        <f ca="1">TEXT(DATE(YEAR(Invoer!$A$5),1,1)+INT((ROWS(B$2:B690)-1)/2),"jjjjmmdd")</f>
        <v>19331211</v>
      </c>
      <c r="C690" s="24" t="str">
        <f>INDEX(Data,2,2+MOD(ROWS(C$2:C690)-1,2))</f>
        <v>08.00</v>
      </c>
      <c r="D690" s="41">
        <f t="shared" ca="1" si="55"/>
        <v>759.79019999999991</v>
      </c>
      <c r="E690" s="29">
        <f t="shared" ca="1" si="56"/>
        <v>0</v>
      </c>
      <c r="F690" s="42">
        <f t="shared" ca="1" si="57"/>
        <v>26.111111111111111</v>
      </c>
      <c r="G690" s="29">
        <f t="shared" ca="1" si="58"/>
        <v>0</v>
      </c>
    </row>
    <row r="691" spans="1:7" x14ac:dyDescent="0.25">
      <c r="A691" s="11">
        <f t="shared" si="54"/>
        <v>44</v>
      </c>
      <c r="B691" t="str">
        <f ca="1">TEXT(DATE(YEAR(Invoer!$A$5),1,1)+INT((ROWS(B$2:B691)-1)/2),"jjjjmmdd")</f>
        <v>19331211</v>
      </c>
      <c r="C691" s="24" t="str">
        <f>INDEX(Data,2,2+MOD(ROWS(C$2:C691)-1,2))</f>
        <v>15.00</v>
      </c>
      <c r="D691" s="41">
        <f t="shared" ca="1" si="55"/>
        <v>760.04419999999993</v>
      </c>
      <c r="E691" s="29">
        <f t="shared" ca="1" si="56"/>
        <v>0</v>
      </c>
      <c r="F691" s="42">
        <f t="shared" ca="1" si="57"/>
        <v>28.333333333333332</v>
      </c>
      <c r="G691" s="29">
        <f t="shared" ca="1" si="58"/>
        <v>0</v>
      </c>
    </row>
    <row r="692" spans="1:7" x14ac:dyDescent="0.25">
      <c r="A692" s="11">
        <f t="shared" si="54"/>
        <v>44</v>
      </c>
      <c r="B692" t="str">
        <f ca="1">TEXT(DATE(YEAR(Invoer!$A$5),1,1)+INT((ROWS(B$2:B692)-1)/2),"jjjjmmdd")</f>
        <v>19331212</v>
      </c>
      <c r="C692" s="24" t="str">
        <f>INDEX(Data,2,2+MOD(ROWS(C$2:C692)-1,2))</f>
        <v>08.00</v>
      </c>
      <c r="D692" s="41">
        <f t="shared" ca="1" si="55"/>
        <v>762.20319999999992</v>
      </c>
      <c r="E692" s="29">
        <f t="shared" ca="1" si="56"/>
        <v>0</v>
      </c>
      <c r="F692" s="42">
        <f t="shared" ca="1" si="57"/>
        <v>26.944444444444443</v>
      </c>
      <c r="G692" s="29">
        <f t="shared" ca="1" si="58"/>
        <v>0</v>
      </c>
    </row>
    <row r="693" spans="1:7" x14ac:dyDescent="0.25">
      <c r="A693" s="11">
        <f t="shared" si="54"/>
        <v>44</v>
      </c>
      <c r="B693" t="str">
        <f ca="1">TEXT(DATE(YEAR(Invoer!$A$5),1,1)+INT((ROWS(B$2:B693)-1)/2),"jjjjmmdd")</f>
        <v>19331212</v>
      </c>
      <c r="C693" s="24" t="str">
        <f>INDEX(Data,2,2+MOD(ROWS(C$2:C693)-1,2))</f>
        <v>15.00</v>
      </c>
      <c r="D693" s="41">
        <f t="shared" ca="1" si="55"/>
        <v>761.44119999999998</v>
      </c>
      <c r="E693" s="29">
        <f t="shared" ca="1" si="56"/>
        <v>0</v>
      </c>
      <c r="F693" s="42">
        <f t="shared" ca="1" si="57"/>
        <v>26.944444444444443</v>
      </c>
      <c r="G693" s="29">
        <f t="shared" ca="1" si="58"/>
        <v>0</v>
      </c>
    </row>
    <row r="694" spans="1:7" x14ac:dyDescent="0.25">
      <c r="A694" s="11">
        <f t="shared" si="54"/>
        <v>44</v>
      </c>
      <c r="B694" t="str">
        <f ca="1">TEXT(DATE(YEAR(Invoer!$A$5),1,1)+INT((ROWS(B$2:B694)-1)/2),"jjjjmmdd")</f>
        <v>19331213</v>
      </c>
      <c r="C694" s="24" t="str">
        <f>INDEX(Data,2,2+MOD(ROWS(C$2:C694)-1,2))</f>
        <v>08.00</v>
      </c>
      <c r="D694" s="41">
        <f t="shared" ca="1" si="55"/>
        <v>762.33019999999999</v>
      </c>
      <c r="E694" s="29">
        <f t="shared" ca="1" si="56"/>
        <v>0</v>
      </c>
      <c r="F694" s="42">
        <f t="shared" ca="1" si="57"/>
        <v>26.111111111111111</v>
      </c>
      <c r="G694" s="29">
        <f t="shared" ca="1" si="58"/>
        <v>0</v>
      </c>
    </row>
    <row r="695" spans="1:7" x14ac:dyDescent="0.25">
      <c r="A695" s="11">
        <f t="shared" si="54"/>
        <v>44</v>
      </c>
      <c r="B695" t="str">
        <f ca="1">TEXT(DATE(YEAR(Invoer!$A$5),1,1)+INT((ROWS(B$2:B695)-1)/2),"jjjjmmdd")</f>
        <v>19331213</v>
      </c>
      <c r="C695" s="24" t="str">
        <f>INDEX(Data,2,2+MOD(ROWS(C$2:C695)-1,2))</f>
        <v>15.00</v>
      </c>
      <c r="D695" s="41">
        <f t="shared" ca="1" si="55"/>
        <v>759.73939999999993</v>
      </c>
      <c r="E695" s="29">
        <f t="shared" ca="1" si="56"/>
        <v>0</v>
      </c>
      <c r="F695" s="42">
        <f t="shared" ca="1" si="57"/>
        <v>26.666666666666668</v>
      </c>
      <c r="G695" s="29">
        <f t="shared" ca="1" si="58"/>
        <v>0</v>
      </c>
    </row>
    <row r="696" spans="1:7" x14ac:dyDescent="0.25">
      <c r="A696" s="11">
        <f t="shared" si="54"/>
        <v>44</v>
      </c>
      <c r="B696" t="str">
        <f ca="1">TEXT(DATE(YEAR(Invoer!$A$5),1,1)+INT((ROWS(B$2:B696)-1)/2),"jjjjmmdd")</f>
        <v>19331214</v>
      </c>
      <c r="C696" s="24" t="str">
        <f>INDEX(Data,2,2+MOD(ROWS(C$2:C696)-1,2))</f>
        <v>08.00</v>
      </c>
      <c r="D696" s="41">
        <f t="shared" ca="1" si="55"/>
        <v>761.49199999999996</v>
      </c>
      <c r="E696" s="29">
        <f t="shared" ca="1" si="56"/>
        <v>0</v>
      </c>
      <c r="F696" s="42">
        <f t="shared" ca="1" si="57"/>
        <v>26.666666666666668</v>
      </c>
      <c r="G696" s="29">
        <f t="shared" ca="1" si="58"/>
        <v>0</v>
      </c>
    </row>
    <row r="697" spans="1:7" x14ac:dyDescent="0.25">
      <c r="A697" s="11">
        <f t="shared" si="54"/>
        <v>44</v>
      </c>
      <c r="B697" t="str">
        <f ca="1">TEXT(DATE(YEAR(Invoer!$A$5),1,1)+INT((ROWS(B$2:B697)-1)/2),"jjjjmmdd")</f>
        <v>19331214</v>
      </c>
      <c r="C697" s="24" t="str">
        <f>INDEX(Data,2,2+MOD(ROWS(C$2:C697)-1,2))</f>
        <v>15.00</v>
      </c>
      <c r="D697" s="41">
        <f t="shared" ca="1" si="55"/>
        <v>759.28219999999999</v>
      </c>
      <c r="E697" s="29">
        <f t="shared" ca="1" si="56"/>
        <v>0</v>
      </c>
      <c r="F697" s="42">
        <f t="shared" ca="1" si="57"/>
        <v>28.333333333333332</v>
      </c>
      <c r="G697" s="29">
        <f t="shared" ca="1" si="58"/>
        <v>0</v>
      </c>
    </row>
    <row r="698" spans="1:7" x14ac:dyDescent="0.25">
      <c r="A698" s="11">
        <f t="shared" si="54"/>
        <v>44</v>
      </c>
      <c r="B698" t="str">
        <f ca="1">TEXT(DATE(YEAR(Invoer!$A$5),1,1)+INT((ROWS(B$2:B698)-1)/2),"jjjjmmdd")</f>
        <v>19331215</v>
      </c>
      <c r="C698" s="24" t="str">
        <f>INDEX(Data,2,2+MOD(ROWS(C$2:C698)-1,2))</f>
        <v>08.00</v>
      </c>
      <c r="D698" s="41">
        <f t="shared" ca="1" si="55"/>
        <v>761.56819999999993</v>
      </c>
      <c r="E698" s="29">
        <f t="shared" ca="1" si="56"/>
        <v>0</v>
      </c>
      <c r="F698" s="42">
        <f t="shared" ca="1" si="57"/>
        <v>26.111111111111111</v>
      </c>
      <c r="G698" s="29">
        <f t="shared" ca="1" si="58"/>
        <v>0</v>
      </c>
    </row>
    <row r="699" spans="1:7" x14ac:dyDescent="0.25">
      <c r="A699" s="11">
        <f t="shared" si="54"/>
        <v>44</v>
      </c>
      <c r="B699" t="str">
        <f ca="1">TEXT(DATE(YEAR(Invoer!$A$5),1,1)+INT((ROWS(B$2:B699)-1)/2),"jjjjmmdd")</f>
        <v>19331215</v>
      </c>
      <c r="C699" s="24" t="str">
        <f>INDEX(Data,2,2+MOD(ROWS(C$2:C699)-1,2))</f>
        <v>15.00</v>
      </c>
      <c r="D699" s="41">
        <f t="shared" ca="1" si="55"/>
        <v>759.84100000000001</v>
      </c>
      <c r="E699" s="29">
        <f t="shared" ca="1" si="56"/>
        <v>0</v>
      </c>
      <c r="F699" s="42">
        <f t="shared" ca="1" si="57"/>
        <v>27.777777777777779</v>
      </c>
      <c r="G699" s="29">
        <f t="shared" ca="1" si="58"/>
        <v>0</v>
      </c>
    </row>
    <row r="700" spans="1:7" x14ac:dyDescent="0.25">
      <c r="A700" s="11">
        <f t="shared" si="54"/>
        <v>44</v>
      </c>
      <c r="B700" t="str">
        <f ca="1">TEXT(DATE(YEAR(Invoer!$A$5),1,1)+INT((ROWS(B$2:B700)-1)/2),"jjjjmmdd")</f>
        <v>19331216</v>
      </c>
      <c r="C700" s="24" t="str">
        <f>INDEX(Data,2,2+MOD(ROWS(C$2:C700)-1,2))</f>
        <v>08.00</v>
      </c>
      <c r="D700" s="41">
        <f t="shared" ca="1" si="55"/>
        <v>761.51739999999995</v>
      </c>
      <c r="E700" s="29">
        <f t="shared" ca="1" si="56"/>
        <v>0</v>
      </c>
      <c r="F700" s="42">
        <f t="shared" ca="1" si="57"/>
        <v>26.388888888888889</v>
      </c>
      <c r="G700" s="29">
        <f t="shared" ca="1" si="58"/>
        <v>0</v>
      </c>
    </row>
    <row r="701" spans="1:7" x14ac:dyDescent="0.25">
      <c r="A701" s="11">
        <f t="shared" si="54"/>
        <v>44</v>
      </c>
      <c r="B701" t="str">
        <f ca="1">TEXT(DATE(YEAR(Invoer!$A$5),1,1)+INT((ROWS(B$2:B701)-1)/2),"jjjjmmdd")</f>
        <v>19331216</v>
      </c>
      <c r="C701" s="24" t="str">
        <f>INDEX(Data,2,2+MOD(ROWS(C$2:C701)-1,2))</f>
        <v>15.00</v>
      </c>
      <c r="D701" s="41">
        <f t="shared" ca="1" si="55"/>
        <v>760.06959999999992</v>
      </c>
      <c r="E701" s="29">
        <f t="shared" ca="1" si="56"/>
        <v>0</v>
      </c>
      <c r="F701" s="42">
        <f t="shared" ca="1" si="57"/>
        <v>27.777777777777779</v>
      </c>
      <c r="G701" s="29">
        <f t="shared" ca="1" si="58"/>
        <v>0</v>
      </c>
    </row>
    <row r="702" spans="1:7" x14ac:dyDescent="0.25">
      <c r="A702" s="11">
        <f t="shared" si="54"/>
        <v>44</v>
      </c>
      <c r="B702" t="str">
        <f ca="1">TEXT(DATE(YEAR(Invoer!$A$5),1,1)+INT((ROWS(B$2:B702)-1)/2),"jjjjmmdd")</f>
        <v>19331217</v>
      </c>
      <c r="C702" s="24" t="str">
        <f>INDEX(Data,2,2+MOD(ROWS(C$2:C702)-1,2))</f>
        <v>08.00</v>
      </c>
      <c r="D702" s="41">
        <f t="shared" ca="1" si="55"/>
        <v>761.82219999999995</v>
      </c>
      <c r="E702" s="29">
        <f t="shared" ca="1" si="56"/>
        <v>0</v>
      </c>
      <c r="F702" s="42">
        <f t="shared" ca="1" si="57"/>
        <v>26.111111111111111</v>
      </c>
      <c r="G702" s="29">
        <f t="shared" ca="1" si="58"/>
        <v>0</v>
      </c>
    </row>
    <row r="703" spans="1:7" x14ac:dyDescent="0.25">
      <c r="A703" s="11">
        <f t="shared" si="54"/>
        <v>44</v>
      </c>
      <c r="B703" t="str">
        <f ca="1">TEXT(DATE(YEAR(Invoer!$A$5),1,1)+INT((ROWS(B$2:B703)-1)/2),"jjjjmmdd")</f>
        <v>19331217</v>
      </c>
      <c r="C703" s="24" t="str">
        <f>INDEX(Data,2,2+MOD(ROWS(C$2:C703)-1,2))</f>
        <v>15.00</v>
      </c>
      <c r="D703" s="41">
        <f t="shared" ca="1" si="55"/>
        <v>760.09499999999991</v>
      </c>
      <c r="E703" s="29">
        <f t="shared" ca="1" si="56"/>
        <v>0</v>
      </c>
      <c r="F703" s="42">
        <f t="shared" ca="1" si="57"/>
        <v>27.777777777777779</v>
      </c>
      <c r="G703" s="29">
        <f t="shared" ca="1" si="58"/>
        <v>0</v>
      </c>
    </row>
    <row r="704" spans="1:7" x14ac:dyDescent="0.25">
      <c r="A704" s="11">
        <f t="shared" si="54"/>
        <v>44</v>
      </c>
      <c r="B704" t="str">
        <f ca="1">TEXT(DATE(YEAR(Invoer!$A$5),1,1)+INT((ROWS(B$2:B704)-1)/2),"jjjjmmdd")</f>
        <v>19331218</v>
      </c>
      <c r="C704" s="24" t="str">
        <f>INDEX(Data,2,2+MOD(ROWS(C$2:C704)-1,2))</f>
        <v>08.00</v>
      </c>
      <c r="D704" s="41">
        <f t="shared" ca="1" si="55"/>
        <v>762.78739999999993</v>
      </c>
      <c r="E704" s="29">
        <f t="shared" ca="1" si="56"/>
        <v>0</v>
      </c>
      <c r="F704" s="42">
        <f t="shared" ca="1" si="57"/>
        <v>26.388888888888889</v>
      </c>
      <c r="G704" s="29">
        <f t="shared" ca="1" si="58"/>
        <v>0</v>
      </c>
    </row>
    <row r="705" spans="1:7" x14ac:dyDescent="0.25">
      <c r="A705" s="11">
        <f t="shared" si="54"/>
        <v>44</v>
      </c>
      <c r="B705" t="str">
        <f ca="1">TEXT(DATE(YEAR(Invoer!$A$5),1,1)+INT((ROWS(B$2:B705)-1)/2),"jjjjmmdd")</f>
        <v>19331218</v>
      </c>
      <c r="C705" s="24" t="str">
        <f>INDEX(Data,2,2+MOD(ROWS(C$2:C705)-1,2))</f>
        <v>15.00</v>
      </c>
      <c r="D705" s="41">
        <f t="shared" ca="1" si="55"/>
        <v>761.59359999999992</v>
      </c>
      <c r="E705" s="29">
        <f t="shared" ca="1" si="56"/>
        <v>0</v>
      </c>
      <c r="F705" s="42">
        <f t="shared" ca="1" si="57"/>
        <v>27.777777777777779</v>
      </c>
      <c r="G705" s="29">
        <f t="shared" ca="1" si="58"/>
        <v>0</v>
      </c>
    </row>
    <row r="706" spans="1:7" x14ac:dyDescent="0.25">
      <c r="A706" s="11">
        <f t="shared" ref="A706:A731" si="59">INDEX(Stations,2,1)</f>
        <v>44</v>
      </c>
      <c r="B706" t="str">
        <f ca="1">TEXT(DATE(YEAR(Invoer!$A$5),1,1)+INT((ROWS(B$2:B706)-1)/2),"jjjjmmdd")</f>
        <v>19331219</v>
      </c>
      <c r="C706" s="24" t="str">
        <f>INDEX(Data,2,2+MOD(ROWS(C$2:C706)-1,2))</f>
        <v>08.00</v>
      </c>
      <c r="D706" s="41">
        <f t="shared" ca="1" si="55"/>
        <v>763.85419999999999</v>
      </c>
      <c r="E706" s="29">
        <f t="shared" ca="1" si="56"/>
        <v>0</v>
      </c>
      <c r="F706" s="42">
        <f t="shared" ca="1" si="57"/>
        <v>26.111111111111111</v>
      </c>
      <c r="G706" s="29">
        <f t="shared" ca="1" si="58"/>
        <v>0</v>
      </c>
    </row>
    <row r="707" spans="1:7" x14ac:dyDescent="0.25">
      <c r="A707" s="11">
        <f t="shared" si="59"/>
        <v>44</v>
      </c>
      <c r="B707" t="str">
        <f ca="1">TEXT(DATE(YEAR(Invoer!$A$5),1,1)+INT((ROWS(B$2:B707)-1)/2),"jjjjmmdd")</f>
        <v>19331219</v>
      </c>
      <c r="C707" s="24" t="str">
        <f>INDEX(Data,2,2+MOD(ROWS(C$2:C707)-1,2))</f>
        <v>15.00</v>
      </c>
      <c r="D707" s="41">
        <f t="shared" ca="1" si="55"/>
        <v>761.3904</v>
      </c>
      <c r="E707" s="29">
        <f t="shared" ca="1" si="56"/>
        <v>0</v>
      </c>
      <c r="F707" s="42">
        <f t="shared" ca="1" si="57"/>
        <v>27.5</v>
      </c>
      <c r="G707" s="29">
        <f t="shared" ca="1" si="58"/>
        <v>0</v>
      </c>
    </row>
    <row r="708" spans="1:7" x14ac:dyDescent="0.25">
      <c r="A708" s="11">
        <f t="shared" si="59"/>
        <v>44</v>
      </c>
      <c r="B708" t="str">
        <f ca="1">TEXT(DATE(YEAR(Invoer!$A$5),1,1)+INT((ROWS(B$2:B708)-1)/2),"jjjjmmdd")</f>
        <v>19331220</v>
      </c>
      <c r="C708" s="24" t="str">
        <f>INDEX(Data,2,2+MOD(ROWS(C$2:C708)-1,2))</f>
        <v>08.00</v>
      </c>
      <c r="D708" s="41">
        <f t="shared" ca="1" si="55"/>
        <v>763.11759999999992</v>
      </c>
      <c r="E708" s="29">
        <f t="shared" ca="1" si="56"/>
        <v>0</v>
      </c>
      <c r="F708" s="42">
        <f t="shared" ca="1" si="57"/>
        <v>25.833333333333332</v>
      </c>
      <c r="G708" s="29">
        <f t="shared" ca="1" si="58"/>
        <v>0</v>
      </c>
    </row>
    <row r="709" spans="1:7" x14ac:dyDescent="0.25">
      <c r="A709" s="11">
        <f t="shared" si="59"/>
        <v>44</v>
      </c>
      <c r="B709" t="str">
        <f ca="1">TEXT(DATE(YEAR(Invoer!$A$5),1,1)+INT((ROWS(B$2:B709)-1)/2),"jjjjmmdd")</f>
        <v>19331220</v>
      </c>
      <c r="C709" s="24" t="str">
        <f>INDEX(Data,2,2+MOD(ROWS(C$2:C709)-1,2))</f>
        <v>15.00</v>
      </c>
      <c r="D709" s="41">
        <f t="shared" ca="1" si="55"/>
        <v>761.33960000000002</v>
      </c>
      <c r="E709" s="29">
        <f t="shared" ca="1" si="56"/>
        <v>0</v>
      </c>
      <c r="F709" s="42">
        <f t="shared" ca="1" si="57"/>
        <v>27.777777777777779</v>
      </c>
      <c r="G709" s="29">
        <f t="shared" ca="1" si="58"/>
        <v>0</v>
      </c>
    </row>
    <row r="710" spans="1:7" x14ac:dyDescent="0.25">
      <c r="A710" s="11">
        <f t="shared" si="59"/>
        <v>44</v>
      </c>
      <c r="B710" t="str">
        <f ca="1">TEXT(DATE(YEAR(Invoer!$A$5),1,1)+INT((ROWS(B$2:B710)-1)/2),"jjjjmmdd")</f>
        <v>19331221</v>
      </c>
      <c r="C710" s="24" t="str">
        <f>INDEX(Data,2,2+MOD(ROWS(C$2:C710)-1,2))</f>
        <v>08.00</v>
      </c>
      <c r="D710" s="41">
        <f t="shared" ca="1" si="55"/>
        <v>762.12699999999995</v>
      </c>
      <c r="E710" s="29">
        <f t="shared" ca="1" si="56"/>
        <v>0</v>
      </c>
      <c r="F710" s="42">
        <f t="shared" ca="1" si="57"/>
        <v>25.555555555555557</v>
      </c>
      <c r="G710" s="29">
        <f t="shared" ca="1" si="58"/>
        <v>0</v>
      </c>
    </row>
    <row r="711" spans="1:7" x14ac:dyDescent="0.25">
      <c r="A711" s="11">
        <f t="shared" si="59"/>
        <v>44</v>
      </c>
      <c r="B711" t="str">
        <f ca="1">TEXT(DATE(YEAR(Invoer!$A$5),1,1)+INT((ROWS(B$2:B711)-1)/2),"jjjjmmdd")</f>
        <v>19331221</v>
      </c>
      <c r="C711" s="24" t="str">
        <f>INDEX(Data,2,2+MOD(ROWS(C$2:C711)-1,2))</f>
        <v>15.00</v>
      </c>
      <c r="D711" s="41">
        <f t="shared" ca="1" si="55"/>
        <v>759.84100000000001</v>
      </c>
      <c r="E711" s="29">
        <f t="shared" ca="1" si="56"/>
        <v>0</v>
      </c>
      <c r="F711" s="42">
        <f t="shared" ca="1" si="57"/>
        <v>27.777777777777779</v>
      </c>
      <c r="G711" s="29">
        <f t="shared" ca="1" si="58"/>
        <v>0</v>
      </c>
    </row>
    <row r="712" spans="1:7" x14ac:dyDescent="0.25">
      <c r="A712" s="11">
        <f t="shared" si="59"/>
        <v>44</v>
      </c>
      <c r="B712" t="str">
        <f ca="1">TEXT(DATE(YEAR(Invoer!$A$5),1,1)+INT((ROWS(B$2:B712)-1)/2),"jjjjmmdd")</f>
        <v>19331222</v>
      </c>
      <c r="C712" s="24" t="str">
        <f>INDEX(Data,2,2+MOD(ROWS(C$2:C712)-1,2))</f>
        <v>08.00</v>
      </c>
      <c r="D712" s="41">
        <f t="shared" ca="1" si="55"/>
        <v>762.07619999999997</v>
      </c>
      <c r="E712" s="29">
        <f t="shared" ca="1" si="56"/>
        <v>0</v>
      </c>
      <c r="F712" s="42">
        <f t="shared" ca="1" si="57"/>
        <v>26.111111111111111</v>
      </c>
      <c r="G712" s="29">
        <f t="shared" ca="1" si="58"/>
        <v>0</v>
      </c>
    </row>
    <row r="713" spans="1:7" x14ac:dyDescent="0.25">
      <c r="A713" s="11">
        <f t="shared" si="59"/>
        <v>44</v>
      </c>
      <c r="B713" t="str">
        <f ca="1">TEXT(DATE(YEAR(Invoer!$A$5),1,1)+INT((ROWS(B$2:B713)-1)/2),"jjjjmmdd")</f>
        <v>19331222</v>
      </c>
      <c r="C713" s="24" t="str">
        <f>INDEX(Data,2,2+MOD(ROWS(C$2:C713)-1,2))</f>
        <v>15.00</v>
      </c>
      <c r="D713" s="41">
        <f t="shared" ca="1" si="55"/>
        <v>759.8664</v>
      </c>
      <c r="E713" s="29">
        <f t="shared" ca="1" si="56"/>
        <v>0</v>
      </c>
      <c r="F713" s="42">
        <f t="shared" ca="1" si="57"/>
        <v>27.5</v>
      </c>
      <c r="G713" s="29">
        <f t="shared" ca="1" si="58"/>
        <v>0</v>
      </c>
    </row>
    <row r="714" spans="1:7" x14ac:dyDescent="0.25">
      <c r="A714" s="11">
        <f t="shared" si="59"/>
        <v>44</v>
      </c>
      <c r="B714" t="str">
        <f ca="1">TEXT(DATE(YEAR(Invoer!$A$5),1,1)+INT((ROWS(B$2:B714)-1)/2),"jjjjmmdd")</f>
        <v>19331223</v>
      </c>
      <c r="C714" s="24" t="str">
        <f>INDEX(Data,2,2+MOD(ROWS(C$2:C714)-1,2))</f>
        <v>08.00</v>
      </c>
      <c r="D714" s="41">
        <f t="shared" ca="1" si="55"/>
        <v>838.45399999999995</v>
      </c>
      <c r="E714" s="29">
        <f t="shared" ca="1" si="56"/>
        <v>0</v>
      </c>
      <c r="F714" s="42">
        <f t="shared" ca="1" si="57"/>
        <v>26.666666666666668</v>
      </c>
      <c r="G714" s="29">
        <f t="shared" ca="1" si="58"/>
        <v>0</v>
      </c>
    </row>
    <row r="715" spans="1:7" x14ac:dyDescent="0.25">
      <c r="A715" s="11">
        <f t="shared" si="59"/>
        <v>44</v>
      </c>
      <c r="B715" t="str">
        <f ca="1">TEXT(DATE(YEAR(Invoer!$A$5),1,1)+INT((ROWS(B$2:B715)-1)/2),"jjjjmmdd")</f>
        <v>19331223</v>
      </c>
      <c r="C715" s="24" t="str">
        <f>INDEX(Data,2,2+MOD(ROWS(C$2:C715)-1,2))</f>
        <v>15.00</v>
      </c>
      <c r="D715" s="41">
        <f t="shared" ca="1" si="55"/>
        <v>760.06959999999992</v>
      </c>
      <c r="E715" s="29">
        <f t="shared" ca="1" si="56"/>
        <v>0</v>
      </c>
      <c r="F715" s="42">
        <f t="shared" ca="1" si="57"/>
        <v>27.777777777777779</v>
      </c>
      <c r="G715" s="29">
        <f t="shared" ca="1" si="58"/>
        <v>0</v>
      </c>
    </row>
    <row r="716" spans="1:7" x14ac:dyDescent="0.25">
      <c r="A716" s="11">
        <f t="shared" si="59"/>
        <v>44</v>
      </c>
      <c r="B716" t="str">
        <f ca="1">TEXT(DATE(YEAR(Invoer!$A$5),1,1)+INT((ROWS(B$2:B716)-1)/2),"jjjjmmdd")</f>
        <v>19331224</v>
      </c>
      <c r="C716" s="24" t="str">
        <f>INDEX(Data,2,2+MOD(ROWS(C$2:C716)-1,2))</f>
        <v>08.00</v>
      </c>
      <c r="D716" s="41">
        <f t="shared" ca="1" si="55"/>
        <v>761.59359999999992</v>
      </c>
      <c r="E716" s="29">
        <f t="shared" ca="1" si="56"/>
        <v>0</v>
      </c>
      <c r="F716" s="42">
        <f t="shared" ca="1" si="57"/>
        <v>25.555555555555557</v>
      </c>
      <c r="G716" s="29">
        <f t="shared" ca="1" si="58"/>
        <v>0</v>
      </c>
    </row>
    <row r="717" spans="1:7" x14ac:dyDescent="0.25">
      <c r="A717" s="11">
        <f t="shared" si="59"/>
        <v>44</v>
      </c>
      <c r="B717" t="str">
        <f ca="1">TEXT(DATE(YEAR(Invoer!$A$5),1,1)+INT((ROWS(B$2:B717)-1)/2),"jjjjmmdd")</f>
        <v>19331224</v>
      </c>
      <c r="C717" s="24" t="str">
        <f>INDEX(Data,2,2+MOD(ROWS(C$2:C717)-1,2))</f>
        <v>15.00</v>
      </c>
      <c r="D717" s="41">
        <f t="shared" ca="1" si="55"/>
        <v>759.40919999999994</v>
      </c>
      <c r="E717" s="29">
        <f t="shared" ca="1" si="56"/>
        <v>0</v>
      </c>
      <c r="F717" s="42">
        <f t="shared" ca="1" si="57"/>
        <v>26.944444444444443</v>
      </c>
      <c r="G717" s="29">
        <f t="shared" ca="1" si="58"/>
        <v>0</v>
      </c>
    </row>
    <row r="718" spans="1:7" x14ac:dyDescent="0.25">
      <c r="A718" s="11">
        <f t="shared" si="59"/>
        <v>44</v>
      </c>
      <c r="B718" t="str">
        <f ca="1">TEXT(DATE(YEAR(Invoer!$A$5),1,1)+INT((ROWS(B$2:B718)-1)/2),"jjjjmmdd")</f>
        <v>19331225</v>
      </c>
      <c r="C718" s="24" t="str">
        <f>INDEX(Data,2,2+MOD(ROWS(C$2:C718)-1,2))</f>
        <v>08.00</v>
      </c>
      <c r="D718" s="41">
        <f t="shared" ca="1" si="55"/>
        <v>761.82219999999995</v>
      </c>
      <c r="E718" s="29">
        <f t="shared" ca="1" si="56"/>
        <v>0</v>
      </c>
      <c r="F718" s="42">
        <f t="shared" ca="1" si="57"/>
        <v>26.111111111111111</v>
      </c>
      <c r="G718" s="29">
        <f t="shared" ca="1" si="58"/>
        <v>0</v>
      </c>
    </row>
    <row r="719" spans="1:7" x14ac:dyDescent="0.25">
      <c r="A719" s="11">
        <f t="shared" si="59"/>
        <v>44</v>
      </c>
      <c r="B719" t="str">
        <f ca="1">TEXT(DATE(YEAR(Invoer!$A$5),1,1)+INT((ROWS(B$2:B719)-1)/2),"jjjjmmdd")</f>
        <v>19331225</v>
      </c>
      <c r="C719" s="24" t="str">
        <f>INDEX(Data,2,2+MOD(ROWS(C$2:C719)-1,2))</f>
        <v>15.00</v>
      </c>
      <c r="D719" s="41">
        <f t="shared" ca="1" si="55"/>
        <v>759.96799999999996</v>
      </c>
      <c r="E719" s="29">
        <f t="shared" ca="1" si="56"/>
        <v>0</v>
      </c>
      <c r="F719" s="42">
        <f t="shared" ca="1" si="57"/>
        <v>26.666666666666668</v>
      </c>
      <c r="G719" s="29">
        <f t="shared" ca="1" si="58"/>
        <v>0</v>
      </c>
    </row>
    <row r="720" spans="1:7" x14ac:dyDescent="0.25">
      <c r="A720" s="11">
        <f t="shared" si="59"/>
        <v>44</v>
      </c>
      <c r="B720" t="str">
        <f ca="1">TEXT(DATE(YEAR(Invoer!$A$5),1,1)+INT((ROWS(B$2:B720)-1)/2),"jjjjmmdd")</f>
        <v>19331226</v>
      </c>
      <c r="C720" s="24" t="str">
        <f>INDEX(Data,2,2+MOD(ROWS(C$2:C720)-1,2))</f>
        <v>08.00</v>
      </c>
      <c r="D720" s="41">
        <f t="shared" ca="1" si="55"/>
        <v>760.80619999999999</v>
      </c>
      <c r="E720" s="29">
        <f t="shared" ca="1" si="56"/>
        <v>0</v>
      </c>
      <c r="F720" s="42">
        <f t="shared" ca="1" si="57"/>
        <v>26.111111111111111</v>
      </c>
      <c r="G720" s="29">
        <f t="shared" ca="1" si="58"/>
        <v>0</v>
      </c>
    </row>
    <row r="721" spans="1:7" x14ac:dyDescent="0.25">
      <c r="A721" s="11">
        <f t="shared" si="59"/>
        <v>44</v>
      </c>
      <c r="B721" t="str">
        <f ca="1">TEXT(DATE(YEAR(Invoer!$A$5),1,1)+INT((ROWS(B$2:B721)-1)/2),"jjjjmmdd")</f>
        <v>19331226</v>
      </c>
      <c r="C721" s="24" t="str">
        <f>INDEX(Data,2,2+MOD(ROWS(C$2:C721)-1,2))</f>
        <v>15.00</v>
      </c>
      <c r="D721" s="41">
        <f t="shared" ca="1" si="55"/>
        <v>758.82499999999993</v>
      </c>
      <c r="E721" s="29">
        <f t="shared" ca="1" si="56"/>
        <v>0</v>
      </c>
      <c r="F721" s="42">
        <f t="shared" ca="1" si="57"/>
        <v>27.777777777777779</v>
      </c>
      <c r="G721" s="29">
        <f t="shared" ca="1" si="58"/>
        <v>0</v>
      </c>
    </row>
    <row r="722" spans="1:7" x14ac:dyDescent="0.25">
      <c r="A722" s="11">
        <f t="shared" si="59"/>
        <v>44</v>
      </c>
      <c r="B722" t="str">
        <f ca="1">TEXT(DATE(YEAR(Invoer!$A$5),1,1)+INT((ROWS(B$2:B722)-1)/2),"jjjjmmdd")</f>
        <v>19331227</v>
      </c>
      <c r="C722" s="24" t="str">
        <f>INDEX(Data,2,2+MOD(ROWS(C$2:C722)-1,2))</f>
        <v>08.00</v>
      </c>
      <c r="D722" s="41">
        <f t="shared" ca="1" si="55"/>
        <v>761.18719999999996</v>
      </c>
      <c r="E722" s="29">
        <f t="shared" ca="1" si="56"/>
        <v>0</v>
      </c>
      <c r="F722" s="42">
        <f t="shared" ca="1" si="57"/>
        <v>25</v>
      </c>
      <c r="G722" s="29">
        <f t="shared" ca="1" si="58"/>
        <v>0</v>
      </c>
    </row>
    <row r="723" spans="1:7" x14ac:dyDescent="0.25">
      <c r="A723" s="11">
        <f t="shared" si="59"/>
        <v>44</v>
      </c>
      <c r="B723" t="str">
        <f ca="1">TEXT(DATE(YEAR(Invoer!$A$5),1,1)+INT((ROWS(B$2:B723)-1)/2),"jjjjmmdd")</f>
        <v>19331227</v>
      </c>
      <c r="C723" s="24" t="str">
        <f>INDEX(Data,2,2+MOD(ROWS(C$2:C723)-1,2))</f>
        <v>15.00</v>
      </c>
      <c r="D723" s="41">
        <f t="shared" ca="1" si="55"/>
        <v>759.48539999999991</v>
      </c>
      <c r="E723" s="29">
        <f t="shared" ca="1" si="56"/>
        <v>0</v>
      </c>
      <c r="F723" s="42">
        <f t="shared" ca="1" si="57"/>
        <v>26.666666666666668</v>
      </c>
      <c r="G723" s="29">
        <f t="shared" ca="1" si="58"/>
        <v>0</v>
      </c>
    </row>
    <row r="724" spans="1:7" x14ac:dyDescent="0.25">
      <c r="A724" s="11">
        <f t="shared" si="59"/>
        <v>44</v>
      </c>
      <c r="B724" t="str">
        <f ca="1">TEXT(DATE(YEAR(Invoer!$A$5),1,1)+INT((ROWS(B$2:B724)-1)/2),"jjjjmmdd")</f>
        <v>19331228</v>
      </c>
      <c r="C724" s="24" t="str">
        <f>INDEX(Data,2,2+MOD(ROWS(C$2:C724)-1,2))</f>
        <v>08.00</v>
      </c>
      <c r="D724" s="41">
        <f t="shared" ca="1" si="55"/>
        <v>761.59359999999992</v>
      </c>
      <c r="E724" s="29">
        <f t="shared" ca="1" si="56"/>
        <v>0</v>
      </c>
      <c r="F724" s="42">
        <f t="shared" ca="1" si="57"/>
        <v>25.555555555555557</v>
      </c>
      <c r="G724" s="29">
        <f t="shared" ca="1" si="58"/>
        <v>0</v>
      </c>
    </row>
    <row r="725" spans="1:7" x14ac:dyDescent="0.25">
      <c r="A725" s="11">
        <f t="shared" si="59"/>
        <v>44</v>
      </c>
      <c r="B725" t="str">
        <f ca="1">TEXT(DATE(YEAR(Invoer!$A$5),1,1)+INT((ROWS(B$2:B725)-1)/2),"jjjjmmdd")</f>
        <v>19331228</v>
      </c>
      <c r="C725" s="24" t="str">
        <f>INDEX(Data,2,2+MOD(ROWS(C$2:C725)-1,2))</f>
        <v>15.00</v>
      </c>
      <c r="D725" s="41">
        <f t="shared" ca="1" si="55"/>
        <v>759.99339999999995</v>
      </c>
      <c r="E725" s="29">
        <f t="shared" ca="1" si="56"/>
        <v>0</v>
      </c>
      <c r="F725" s="42">
        <f t="shared" ca="1" si="57"/>
        <v>26.666666666666668</v>
      </c>
      <c r="G725" s="29">
        <f t="shared" ca="1" si="58"/>
        <v>0</v>
      </c>
    </row>
    <row r="726" spans="1:7" x14ac:dyDescent="0.25">
      <c r="A726" s="11">
        <f t="shared" si="59"/>
        <v>44</v>
      </c>
      <c r="B726" t="str">
        <f ca="1">TEXT(DATE(YEAR(Invoer!$A$5),1,1)+INT((ROWS(B$2:B726)-1)/2),"jjjjmmdd")</f>
        <v>19331229</v>
      </c>
      <c r="C726" s="24" t="str">
        <f>INDEX(Data,2,2+MOD(ROWS(C$2:C726)-1,2))</f>
        <v>08.00</v>
      </c>
      <c r="D726" s="41">
        <f t="shared" ca="1" si="55"/>
        <v>761.13639999999998</v>
      </c>
      <c r="E726" s="29">
        <f t="shared" ca="1" si="56"/>
        <v>0</v>
      </c>
      <c r="F726" s="42">
        <f t="shared" ca="1" si="57"/>
        <v>25.555555555555557</v>
      </c>
      <c r="G726" s="29">
        <f t="shared" ca="1" si="58"/>
        <v>0</v>
      </c>
    </row>
    <row r="727" spans="1:7" x14ac:dyDescent="0.25">
      <c r="A727" s="11">
        <f t="shared" si="59"/>
        <v>44</v>
      </c>
      <c r="B727" t="str">
        <f ca="1">TEXT(DATE(YEAR(Invoer!$A$5),1,1)+INT((ROWS(B$2:B727)-1)/2),"jjjjmmdd")</f>
        <v>19331229</v>
      </c>
      <c r="C727" s="24" t="str">
        <f>INDEX(Data,2,2+MOD(ROWS(C$2:C727)-1,2))</f>
        <v>15.00</v>
      </c>
      <c r="D727" s="41">
        <f t="shared" ca="1" si="55"/>
        <v>759.40919999999994</v>
      </c>
      <c r="E727" s="29">
        <f t="shared" ca="1" si="56"/>
        <v>0</v>
      </c>
      <c r="F727" s="42">
        <f t="shared" ca="1" si="57"/>
        <v>27.222222222222221</v>
      </c>
      <c r="G727" s="29">
        <f t="shared" ca="1" si="58"/>
        <v>0</v>
      </c>
    </row>
    <row r="728" spans="1:7" x14ac:dyDescent="0.25">
      <c r="A728" s="11">
        <f t="shared" si="59"/>
        <v>44</v>
      </c>
      <c r="B728" t="str">
        <f ca="1">TEXT(DATE(YEAR(Invoer!$A$5),1,1)+INT((ROWS(B$2:B728)-1)/2),"jjjjmmdd")</f>
        <v>19331230</v>
      </c>
      <c r="C728" s="24" t="str">
        <f>INDEX(Data,2,2+MOD(ROWS(C$2:C728)-1,2))</f>
        <v>08.00</v>
      </c>
      <c r="D728" s="41">
        <f t="shared" ca="1" si="55"/>
        <v>760.55219999999997</v>
      </c>
      <c r="E728" s="29">
        <f t="shared" ca="1" si="56"/>
        <v>0</v>
      </c>
      <c r="F728" s="42">
        <f t="shared" ca="1" si="57"/>
        <v>26.111111111111111</v>
      </c>
      <c r="G728" s="29">
        <f t="shared" ca="1" si="58"/>
        <v>0</v>
      </c>
    </row>
    <row r="729" spans="1:7" x14ac:dyDescent="0.25">
      <c r="A729" s="11">
        <f t="shared" si="59"/>
        <v>44</v>
      </c>
      <c r="B729" t="str">
        <f ca="1">TEXT(DATE(YEAR(Invoer!$A$5),1,1)+INT((ROWS(B$2:B729)-1)/2),"jjjjmmdd")</f>
        <v>19331230</v>
      </c>
      <c r="C729" s="24" t="str">
        <f>INDEX(Data,2,2+MOD(ROWS(C$2:C729)-1,2))</f>
        <v>15.00</v>
      </c>
      <c r="D729" s="41">
        <f t="shared" ca="1" si="55"/>
        <v>758.72339999999997</v>
      </c>
      <c r="E729" s="29">
        <f t="shared" ca="1" si="56"/>
        <v>0</v>
      </c>
      <c r="F729" s="42">
        <f t="shared" ca="1" si="57"/>
        <v>26.666666666666668</v>
      </c>
      <c r="G729" s="29">
        <f t="shared" ca="1" si="58"/>
        <v>0</v>
      </c>
    </row>
    <row r="730" spans="1:7" x14ac:dyDescent="0.25">
      <c r="A730" s="11">
        <f t="shared" si="59"/>
        <v>44</v>
      </c>
      <c r="B730" t="str">
        <f ca="1">TEXT(DATE(YEAR(Invoer!$A$5),1,1)+INT((ROWS(B$2:B730)-1)/2),"jjjjmmdd")</f>
        <v>19331231</v>
      </c>
      <c r="C730" s="24" t="str">
        <f>INDEX(Data,2,2+MOD(ROWS(C$2:C730)-1,2))</f>
        <v>08.00</v>
      </c>
      <c r="D730" s="41">
        <f t="shared" ca="1" si="55"/>
        <v>761.23799999999994</v>
      </c>
      <c r="E730" s="29">
        <f t="shared" ca="1" si="56"/>
        <v>0</v>
      </c>
      <c r="F730" s="42">
        <f t="shared" ca="1" si="57"/>
        <v>26.666666666666668</v>
      </c>
      <c r="G730" s="29">
        <f t="shared" ca="1" si="58"/>
        <v>0</v>
      </c>
    </row>
    <row r="731" spans="1:7" x14ac:dyDescent="0.25">
      <c r="A731" s="11">
        <f t="shared" si="59"/>
        <v>44</v>
      </c>
      <c r="B731" t="str">
        <f ca="1">TEXT(DATE(YEAR(Invoer!$A$5),1,1)+INT((ROWS(B$2:B731)-1)/2),"jjjjmmdd")</f>
        <v>19331231</v>
      </c>
      <c r="C731" s="24" t="str">
        <f>INDEX(Data,2,2+MOD(ROWS(C$2:C731)-1,2))</f>
        <v>15.00</v>
      </c>
      <c r="D731" s="41">
        <f t="shared" ca="1" si="55"/>
        <v>759.40919999999994</v>
      </c>
      <c r="E731" s="29">
        <f t="shared" ca="1" si="56"/>
        <v>0</v>
      </c>
      <c r="F731" s="42">
        <f t="shared" ca="1" si="57"/>
        <v>27.222222222222221</v>
      </c>
      <c r="G731" s="29">
        <f t="shared" ca="1" si="58"/>
        <v>0</v>
      </c>
    </row>
  </sheetData>
  <pageMargins left="0.7" right="0.7" top="0.75" bottom="0.75" header="0.3" footer="0.3"/>
  <pageSetup paperSize="9" orientation="portrait" r:id="rId1"/>
  <ignoredErrors>
    <ignoredError sqref="E2 F2 E3:E425 F3:F425 F426 F427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044, 19330101, 1,   50, 00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044, 19330102, 1,    0, 00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044, 19330103, 1,   30, 00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044, 19330104, 1,    0, 00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044, 19330105, 1,    0, 00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044, 19330106, 1,   40, 00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044, 19330107, 1,  110, 00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044, 19330108, 1,    0, 00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044, 19330109, 1,    0, 00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044, 19330110, 1,   41, 00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044, 19330111, 1,   40, 00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044, 19330112, 1,   70, 00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044, 19330113, 1,    0, 00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044, 19330114, 1,  220, 00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044, 19330115, 1,   80, 00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044, 19330116, 1,   40, 00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044, 19330117, 1,    0, 00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044, 19330118, 1,  145, 00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044, 19330119, 1,    0, 00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044, 19330120, 1,    0, 00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044, 19330121, 1,   22, 00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044, 19330122, 1,    0, 00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044, 19330123, 1,    0, 00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044, 19330124, 1,    0, 00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044, 19330125, 1,    0, 00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044, 19330126, 1,    0, 00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044, 19330127, 1,   11, 00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044, 19330128, 1,    0, 00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044, 19330129, 1,    0, 00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044, 19330130, 1,    0, 00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044, 19330131, 1,   11, 00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044, 19330201, 1,    0, 00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044, 19330202, 1,    0, 00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044, 19330203, 1,    0, 00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044, 19330204, 1,    0, 00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044, 19330205, 1,    0, 00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044, 19330206, 1,    0, 00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044, 19330207, 1,    0, 00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044, 19330208, 1,    0, 00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044, 19330209, 1,   96, 00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044, 19330210, 1,   53, 00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044, 19330211, 1,   88, 00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044, 19330212, 1,    0, 00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044, 19330213, 1,   60, 00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044, 19330214, 1,   14, 00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044, 19330215, 1,    0, 00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044, 19330216, 1,   47, 00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044, 19330217, 1,    0, 00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044, 19330218, 1,   20, 00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044, 19330219, 1,   60, 00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044, 19330220, 1,    0, 00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044, 19330221, 1,   15, 00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044, 19330222, 1,    0, 00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044, 19330223, 1,    0, 00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044, 19330224, 1,    0, 00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044, 19330225, 1,   20, 00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044, 19330226, 1,    0, 00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044, 19330227, 1,    0, 00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044, 19330228, 1,    0, 00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044, 19330301, 1,    0, 00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044, 19330302, 1,    0, 00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044, 19330303, 1,    0, 00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044, 19330304, 1,   30, 00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044, 19330305, 1,    0, 00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044, 19330306, 1,    0, 00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044, 19330307, 1,    0, 00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044, 19330308, 1,    0, 00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044, 19330309, 1,    0, 00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044, 19330310, 1,    0, 00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044, 19330311, 1,    0, 00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044, 19330312, 1,   10, 00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044, 19330313, 1,    0, 00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044, 19330314, 1,    0, 00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044, 19330315, 1,    0, 00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044, 19330316, 1,    0, 00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044, 19330317, 1,    0, 00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044, 19330318, 1,    0, 00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044, 19330319, 1,    0, 00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044, 19330320, 1,    0, 00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044, 19330321, 1,    0, 00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044, 19330322, 1,    0, 00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044, 19330323, 1,    0, 00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044, 19330324, 1,    0, 00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044, 19330325, 1,    0, 00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044, 19330326, 1,    0, 00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044, 19330327, 1,   20, 00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044, 19330328, 1,    0, 00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044, 19330329, 1,    0, 00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044, 19330330, 1,   60, 00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044, 19330331, 1,   10, 00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044, 19330401, 1,    0, 00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044, 19330402, 1,    0, 00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044, 19330403, 1,    0, 00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044, 19330404, 1,    0, 00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044, 19330405, 1,    0, 00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044, 19330406, 1,   51, 00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044, 19330407, 1,    0, 00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044, 19330408, 1,    0, 00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044, 19330409, 1,    0, 00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044, 19330410, 1,    0, 00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044, 19330411, 1,    0, 00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044, 19330412, 1,    0, 00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044, 19330413, 1,    0, 00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044, 19330414, 1,    0, 00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044, 19330415, 1,    0, 00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044, 19330416, 1,    0, 00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044, 19330417, 1,    0, 00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044, 19330418, 1,    0, 00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044, 19330419, 1,    0, 00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044, 19330420, 1,    0, 00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044, 19330421, 1,    0, 00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044, 19330422, 1,    0, 00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044, 19330423, 1,    0, 00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044, 19330424, 1,    0, 00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044, 19330425, 1,    0, 00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044, 19330426, 1,    0, 00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044, 19330427, 1,    0, 00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044, 19330428, 1,    0, 00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044, 19330429, 1,    0, 00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044, 19330430, 1,    0, 00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044, 19330501, 1,    0, 00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044, 19330502, 1,    0, 00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044, 19330503, 1,    0, 00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044, 19330504, 1,    0, 00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044, 19330505, 1,    0, 00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044, 19330506, 1,    0, 00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044, 19330507, 1,    0, 00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044, 19330508, 1,    0, 00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044, 19330509, 1,    0, 00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044, 19330510, 1,    0, 00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044, 19330511, 1,    0, 00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044, 19330512, 1,    0, 00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044, 19330513, 1,   21, 00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044, 19330514, 1,    0, 00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044, 19330515, 1,    0, 00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044, 19330516, 1,    0, 00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044, 19330517, 1,    0, 00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044, 19330518, 1,    0, 00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044, 19330519, 1,    0, 00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044, 19330520, 1,    0, 00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044, 19330521, 1,    0, 00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044, 19330522, 1,    0, 00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044, 19330523, 1,    0, 00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044, 19330524, 1,    0, 00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044, 19330525, 1,    0, 00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044, 19330526, 1,    0, 00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044, 19330527, 1,    0, 00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044, 19330528, 1,    0, 00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044, 19330529, 1,    0, 00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044, 19330530, 1,    0, 00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044, 19330531, 1,    0, 00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044, 19330601, 1,    0, 00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044, 19330602, 1,    3, 00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044, 19330603, 1,    0, 00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044, 19330604, 1,    0, 00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044, 19330605, 1,    0, 00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044, 19330606, 1,    0, 00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044, 19330607, 1,    0, 00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044, 19330608, 1,    0, 00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044, 19330609, 1,   58, 00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044, 19330610, 1,    0, 00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044, 19330611, 1,    0, 00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044, 19330612, 1,    0, 00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044, 19330613, 1,   23, 00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044, 19330614, 1,   23, 00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044, 19330615, 1,    0, 00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044, 19330616, 1,   17, 00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044, 19330617, 1,    0, 00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044, 19330618, 1,    0, 00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044, 19330619, 1,    0, 00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044, 19330620, 1,    0, 00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044, 19330621, 1,    0, 00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044, 19330622, 1,    0, 00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044, 19330623, 1,    0, 00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044, 19330624, 1,    0, 00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044, 19330625, 1,    0, 00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044, 19330626, 1,    0, 00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044, 19330627, 1,   23, 00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044, 19330628, 1,   42, 00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044, 19330629, 1,  352, 00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044, 19330630, 1,    0, 00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044, 19330701, 1,    0, 00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044, 19330702, 1,    0, 00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044, 19330703, 1,    0, 00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044, 19330704, 1,    0, 00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044, 19330705, 1,    0, 00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044, 19330706, 1,    0, 00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044, 19330707, 1,    0, 00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044, 19330708, 1,    0, 00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044, 19330709, 1,    0, 00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044, 19330710, 1,   18, 00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044, 19330711, 1,   10, 00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044, 19330712, 1,   11, 00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044, 19330713, 1,    8, 00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044, 19330714, 1,    0, 00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044, 19330715, 1,    0, 00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044, 19330716, 1,    0, 00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044, 19330717, 1,    0, 00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044, 19330718, 1,    0, 00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044, 19330719, 1,    0, 00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044, 19330720, 1,   12, 00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044, 19330721, 1,    0, 00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044, 19330722, 1,   29, 00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044, 19330723, 1,    0, 00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044, 19330724, 1,  145, 00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044, 19330725, 1,    0, 00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044, 19330726, 1,    0, 00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044, 19330727, 1,    0, 00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044, 19330728, 1,    0, 00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044, 19330729, 1,    0, 00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044, 19330730, 1,   40, 00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044, 19330731, 1,    0, 00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044, 19330801, 1,   13, 00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044, 19330802, 1,   63, 00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044, 19330803, 1,    0, 00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044, 19330804, 1,    0, 00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044, 19330805, 1,    0, 00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044, 19330806, 1,    0, 00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044, 19330807, 1,    0, 00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044, 19330808, 1,    0, 00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044, 19330809, 1,    0, 00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044, 19330810, 1,    0, 00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044, 19330811, 1,    0, 00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044, 19330812, 1,    0, 00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044, 19330813, 1,    0, 00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044, 19330814, 1,    0, 00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044, 19330815, 1,    0, 00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044, 19330816, 1,    0, 00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044, 19330817, 1,  105, 00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044, 19330818, 1,    0, 00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044, 19330819, 1,    0, 00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044, 19330820, 1,    0, 00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044, 19330821, 1,    0, 00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044, 19330822, 1,    0, 00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044, 19330823, 1,    0, 00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044, 19330824, 1,    0, 00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044, 19330825, 1,   61, 00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044, 19330826, 1,    0, 00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044, 19330827, 1,    0, 00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044, 19330828, 1,    0, 00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044, 19330829, 1,    0, 00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044, 19330830, 1,   40, 00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044, 19330831, 1,    0, 00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044, 19330901, 1,    0, 00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044, 19330902, 1,    0, 00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044, 19330903, 1,    0, 00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044, 19330904, 1,    0, 00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044, 19330905, 1,    0, 00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044, 19330906, 1,    0, 00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044, 19330907, 1,  107, 00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044, 19330908, 1,    0, 00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044, 19330909, 1,    0, 00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044, 19330910, 1,  134, 00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044, 19330911, 1,    0, 00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044, 19330912, 1,    0, 00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044, 19330913, 1,    0, 00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044, 19330914, 1,    0, 00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044, 19330915, 1,   45, 00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044, 19330916, 1,    0, 00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044, 19330917, 1,   17, 00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044, 19330918, 1,  966, 00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044, 19330919, 1,    0, 00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044, 19330920, 1,    0, 00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044, 19330921, 1,    0, 00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044, 19330922, 1,    0, 00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044, 19330923, 1,    0, 00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044, 19330924, 1,    0, 00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044, 19330925, 1,    0, 00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044, 19330926, 1,    0, 00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044, 19330927, 1,    0, 00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044, 19330928, 1,   38, 00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044, 19330929, 1,    0, 00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044, 19330930, 1,  440, 00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044, 19331001, 1,    0, 00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044, 19331002, 1,    0, 00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044, 19331003, 1,    0, 00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044, 19331004, 1,    0, 00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044, 19331005, 1,    0, 00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044, 19331006, 1,   46, 00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044, 19331007, 1,    0, 00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044, 19331008, 1,    0, 00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044, 19331009, 1,    0, 00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044, 19331010, 1,    0, 00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044, 19331011, 1,   64, 00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044, 19331012, 1,    0, 00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044, 19331013, 1,    0, 00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044, 19331014, 1,  200, 00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044, 19331015, 1,    0, 00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044, 19331016, 1,    0, 00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044, 19331017, 1,    0, 00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044, 19331018, 1,    0, 00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044, 19331019, 1,  215, 00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044, 19331020, 1,    0, 00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044, 19331021, 1,    0, 00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044, 19331022, 1,    0, 00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044, 19331023, 1,    0, 00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044, 19331024, 1,  103, 00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044, 19331025, 1,    0, 00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044, 19331026, 1,    0, 00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044, 19331027, 1,    0, 00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044, 19331028, 1,    0, 00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044, 19331029, 1,  161, 00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044, 19331030, 1,   38, 00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044, 19331031, 1,    0, 00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044, 19331101, 1,    0, 00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044, 19331102, 1,    0, 00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044, 19331103, 1,    0, 00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044, 19331104, 1,    0, 00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044, 19331105, 1,   64, 00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044, 19331106, 1,   43, 00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044, 19331107, 1,    0, 00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044, 19331108, 1,   57, 00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044, 19331109, 1,   53, 00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044, 19331110, 1,  220, 00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044, 19331111, 1,  450, 00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044, 19331112, 1,    0, 00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044, 19331113, 1,   54, 00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044, 19331114, 1,    0, 00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044, 19331115, 1,    0, 00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044, 19331116, 1,   52, 00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044, 19331117, 1,    0, 00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044, 19331118, 1,  102, 00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044, 19331119, 1,    0, 00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044, 19331120, 1,    0, 00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044, 19331121, 1,    0, 00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044, 19331122, 1,    0, 00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044, 19331123, 1,  100, 00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044, 19331124, 1,  110, 00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044, 19331125, 1,    0, 00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044, 19331126, 1,   95, 00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044, 19331127, 1,    0, 00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044, 19331128, 1,    0, 00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044, 19331129, 1,   70, 00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19331130, 1, ////, 07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044, 19331201, 1,    0, 00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044, 19331202, 1,  131, 00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044, 19331203, 1,   95, 00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044, 19331204, 1,   90, 00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044, 19331205, 1,    0, 00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044, 19331206, 1,    0, 00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044, 19331207, 1,    0, 00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044, 19331208, 1,   60, 00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044, 19331209, 1,    0, 00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044, 19331210, 1,    0, 00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044, 19331211, 1,   60, 00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044, 19331212, 1,   47, 00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044, 19331213, 1,  115, 00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044, 19331214, 1,   77, 00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044, 19331215, 1,   46, 00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044, 19331216, 1,   80, 00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044, 19331217, 1,   75, 00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044, 19331218, 1,    0, 00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044, 19331219, 1,   60, 00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044, 19331220, 1,   60, 00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044, 19331221, 1,    0, 00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044, 19331222, 1,    0, 00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044, 19331223, 1,   60, 00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044, 19331224, 1,  130, 00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044, 19331225, 1,   25, 00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044, 19331226, 1,    0, 00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044, 19331227, 1,   90, 00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044, 19331228, 1,    0, 00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044, 19331229, 1,    0, 00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044, 19331230, 1,    0, 00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044, 19331231, 1,  187, 00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042, 19330101, 1,  170, 00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042, 19330102, 1,    0, 00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042, 19330103, 1,    0, 00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042, 19330104, 1,    0, 00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042, 19330105, 1,    0, 00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042, 19330106, 1,   40, 00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042, 19330107, 1,   33, 00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042, 19330108, 1,   45, 00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042, 19330109, 1,   12, 00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042, 19330110, 1,   24, 00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042, 19330111, 1,  134, 00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042, 19330112, 1,   32, 00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042, 19330113, 1,    0, 00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042, 19330114, 1,  208, 00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042, 19330115, 1,   54, 00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042, 19330116, 1,  445, 00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042, 19330117, 1,  174, 00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042, 19330118, 1,   62, 00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042, 19330119, 1,    0, 00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042, 19330120, 1,    0, 00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042, 19330121, 1,    0, 00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042, 19330122, 1,    0, 00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042, 19330123, 1,    0, 00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042, 19330124, 1,   30, 00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042, 19330125, 1,   15, 00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042, 19330126, 1,    0, 00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042, 19330127, 1,    0, 00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042, 19330128, 1,    0, 00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042, 19330129, 1,    0, 00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042, 19330130, 1,    0, 00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042, 19330131, 1,    0, 00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042, 19330201, 1,    0, 00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042, 19330202, 1,    0, 00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042, 19330203, 1,    0, 00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042, 19330204, 1,    0, 00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042, 19330205, 1,    0, 00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042, 19330206, 1,    0, 00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042, 19330207, 1,    0, 00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042, 19330208, 1,    0, 00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042, 19330209, 1,   51, 00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042, 19330210, 1,   95, 00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042, 19330211, 1,  133, 00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042, 19330212, 1,    0, 00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042, 19330213, 1,    0, 00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042, 19330214, 1,   20, 00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042, 19330215, 1,   12, 00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042, 19330216, 1,    0, 00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042, 19330217, 1,   45, 00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042, 19330218, 1,    0, 00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042, 19330219, 1,   32, 00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042, 19330220, 1,   13, 00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042, 19330221, 1,    0, 00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042, 19330222, 1,    0, 00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042, 19330223, 1,    0, 00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042, 19330224, 1,    0, 00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042, 19330225, 1,    0, 00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042, 19330226, 1,    0, 00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042, 19330227, 1,    0, 00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042, 19330228, 1,    0, 00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042, 19330301, 1,    0, 00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042, 19330302, 1,    0, 00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042, 19330303, 1,    0, 00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042, 19330304, 1,    0, 00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042, 19330305, 1,    0, 00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042, 19330306, 1,   23, 00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042, 19330307, 1,   45, 00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042, 19330308, 1,    0, 00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042, 19330309, 1,    0, 00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042, 19330310, 1,    0, 00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042, 19330311, 1,    0, 00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042, 19330312, 1,    0, 00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042, 19330313, 1,    0, 00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042, 19330314, 1,    0, 00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042, 19330315, 1,    0, 00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042, 19330316, 1,    0, 00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042, 19330317, 1,    0, 00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042, 19330318, 1,    0, 00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042, 19330319, 1,    0, 00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042, 19330320, 1,    0, 00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042, 19330321, 1,    0, 00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042, 19330322, 1,    0, 00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042, 19330323, 1,    0, 00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042, 19330324, 1,    0, 00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042, 19330325, 1,    0, 00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042, 19330326, 1,    0, 00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042, 19330327, 1,    0, 00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042, 19330328, 1,    0, 00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042, 19330329, 1,    0, 00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042, 19330330, 1,    0, 00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042, 19330331, 1,    0, 00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042, 19330401, 1,    0, 00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042, 19330402, 1,    0, 00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042, 19330403, 1,    0, 00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042, 19330404, 1,   27, 00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042, 19330405, 1,   20, 00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042, 19330406, 1,    0, 00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042, 19330407, 1,   23, 00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042, 19330408, 1,    0, 00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042, 19330409, 1,    0, 00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042, 19330410, 1,    0, 00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042, 19330411, 1,    0, 00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042, 19330412, 1,    0, 00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042, 19330413, 1,    0, 00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042, 19330414, 1,    0, 00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042, 19330415, 1,    0, 00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042, 19330416, 1,    0, 00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042, 19330417, 1,    0, 00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042, 19330418, 1,    0, 00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042, 19330419, 1,    0, 00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042, 19330420, 1,    0, 00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042, 19330421, 1,    0, 00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042, 19330422, 1,    0, 00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042, 19330423, 1,    0, 00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042, 19330424, 1,    0, 00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042, 19330425, 1,    0, 00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042, 19330426, 1,    0, 00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042, 19330427, 1,    0, 00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042, 19330428, 1,    0, 00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042, 19330429, 1,    0, 00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042, 19330430, 1,    0, 00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042, 19330501, 1,    0, 00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042, 19330502, 1,    0, 00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042, 19330503, 1,    0, 00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042, 19330504, 1,    0, 00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042, 19330505, 1,    0, 00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042, 19330506, 1,    0, 00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042, 19330507, 1,    0, 00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042, 19330508, 1,    0, 00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042, 19330509, 1,    0, 00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042, 19330510, 1,    0, 00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042, 19330511, 1,    0, 00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042, 19330512, 1,    0, 00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042, 19330513, 1,    0, 00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042, 19330514, 1,    0, 00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042, 19330515, 1,    0, 00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042, 19330516, 1,    0, 00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042, 19330517, 1,    0, 00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042, 19330518, 1,    0, 00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042, 19330519, 1,    0, 00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042, 19330520, 1,    0, 00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042, 19330521, 1,    0, 00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042, 19330522, 1,    0, 00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042, 19330523, 1,    0, 00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042, 19330524, 1,    0, 00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042, 19330525, 1,    0, 00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042, 19330526, 1,    0, 00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042, 19330527, 1,    0, 00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042, 19330528, 1,    0, 00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042, 19330529, 1,    0, 00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042, 19330530, 1,    0, 00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042, 19330531, 1,    0, 00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042, 19330601, 1,    0, 00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042, 19330602, 1,    0, 00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042, 19330603, 1,    0, 00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042, 19330604, 1,   10, 00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042, 19330605, 1,    0, 00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042, 19330606, 1,    0, 00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042, 19330607, 1,    0, 00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042, 19330608, 1,    0, 00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042, 19330609, 1,  131, 00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042, 19330610, 1,    0, 00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042, 19330611, 1,    0, 00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042, 19330612, 1,    0, 00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042, 19330613, 1,    0, 00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042, 19330614, 1,    0, 00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042, 19330615, 1,    0, 00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042, 19330616, 1,    0, 00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042, 19330617, 1,    0, 00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042, 19330618, 1,    0, 00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042, 19330619, 1,    0, 00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042, 19330620, 1,    0, 00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042, 19330621, 1,    0, 00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042, 19330622, 1,    0, 00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042, 19330623, 1,    0, 00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042, 19330624, 1,    0, 00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042, 19330625, 1,    0, 00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042, 19330626, 1,    0, 00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042, 19330627, 1,    0, 00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042, 19330628, 1,  165, 00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042, 19330629, 1,  220, 00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042, 19330630, 1,    0, 00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042, 19330701, 1,    0, 00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042, 19330702, 1,    0, 00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042, 19330703, 1,    0, 00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042, 19330704, 1,    0, 00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042, 19330705, 1,   16, 00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042, 19330706, 1,    0, 00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042, 19330707, 1,    0, 00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042, 19330708, 1,    0, 00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042, 19330709, 1,    0, 00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042, 19330710, 1,   93, 00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042, 19330711, 1,   33, 00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042, 19330712, 1,    0, 00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042, 19330713, 1,    0, 00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042, 19330714, 1,    0, 00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042, 19330715, 1,    0, 00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042, 19330716, 1,    0, 00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042, 19330717, 1,   28, 00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042, 19330718, 1,    0, 00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042, 19330719, 1,    0, 00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042, 19330720, 1,    0, 00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042, 19330721, 1,    0, 00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042, 19330722, 1,   19, 00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042, 19330723, 1,    0, 00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042, 19330724, 1,  122, 00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042, 19330725, 1,    0, 00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042, 19330726, 1,    0, 00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042, 19330727, 1,    0, 00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042, 19330728, 1,    0, 00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042, 19330729, 1,    0, 00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042, 19330730, 1,    0, 00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042, 19330731, 1,    0, 00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042, 19330801, 1,    0, 00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042, 19330802, 1,   60, 00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042, 19330803, 1,    0, 00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042, 19330804, 1,    0, 00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042, 19330805, 1,    0, 00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042, 19330806, 1,    0, 00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042, 19330807, 1,    0, 00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042, 19330808, 1,    0, 00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042, 19330809, 1,    0, 00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042, 19330810, 1,    0, 00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042, 19330811, 1,    0, 00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042, 19330812, 1,    0, 00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042, 19330813, 1,    0, 00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042, 19330814, 1,   80, 00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042, 19330815, 1,    0, 00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042, 19330816, 1,    0, 00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042, 19330817, 1,   87, 00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042, 19330818, 1,    0, 00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042, 19330819, 1,    0, 00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042, 19330820, 1,    0, 00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042, 19330821, 1,    0, 00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042, 19330822, 1,    0, 00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042, 19330823, 1,    0, 00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042, 19330824, 1,    0, 00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042, 19330825, 1,   50, 00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042, 19330826, 1,    0, 00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042, 19330827, 1,    0, 00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042, 19330828, 1,   53, 00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042, 19330829, 1,  205, 00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042, 19330830, 1,    0, 00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042, 19330831, 1,    0, 00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042, 19330901, 1,    0, 00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042, 19330902, 1,    0, 00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042, 19330903, 1,    0, 00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042, 19330904, 1,    0, 00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042, 19330905, 1,   47, 00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042, 19330906, 1,    0, 00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042, 19330907, 1,    0, 00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042, 19330908, 1,    0, 00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042, 19330909, 1,    0, 00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042, 19330910, 1,    0, 00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042, 19330911, 1,    0, 00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042, 19330912, 1,    0, 00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042, 19330913, 1,    0, 00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042, 19330914, 1,    0, 00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042, 19330915, 1,    0, 00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042, 19330916, 1,    0, 00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042, 19330917, 1,    0, 00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042, 19330918, 1, 1235, 00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042, 19330919, 1,    0, 00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042, 19330920, 1,    0, 00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042, 19330921, 1,    0, 00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042, 19330922, 1,    0, 00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042, 19330923, 1,    0, 00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042, 19330924, 1,    0, 00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042, 19330925, 1,    0, 00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042, 19330926, 1,    0, 00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042, 19330927, 1,    0, 00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042, 19330928, 1,    0, 00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042, 19330929, 1,   28, 00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042, 19330930, 1,   90, 00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042, 19331001, 1,    0, 00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042, 19331002, 1,    0, 00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042, 19331003, 1,    0, 00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042, 19331004, 1,    0, 00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042, 19331005, 1,   40, 00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042, 19331006, 1,    0, 00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042, 19331007, 1,  100, 00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042, 19331008, 1,    0, 00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042, 19331009, 1,    0, 00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042, 19331010, 1,    0, 00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042, 19331011, 1,    0, 00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042, 19331012, 1,    0, 00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042, 19331013, 1,    0, 00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042, 19331014, 1,    0, 00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042, 19331015, 1,    0, 00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042, 19331016, 1,    0, 00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042, 19331017, 1,   27, 00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042, 19331018, 1,    0, 00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042, 19331019, 1,  105, 00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042, 19331020, 1,   82, 00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042, 19331021, 1,    0, 00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042, 19331022, 1,    0, 00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042, 19331023, 1,  159, 00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042, 19331024, 1,  192, 00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042, 19331025, 1,   35, 00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042, 19331026, 1,    0, 00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042, 19331027, 1,   25, 00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042, 19331028, 1,    0, 00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042, 19331029, 1,  105, 00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042, 19331030, 1,    0, 00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042, 19331031, 1,    0, 00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042, 19331101, 1,    0, 00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042, 19331102, 1,    0, 00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042, 19331103, 1,    0, 00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042, 19331104, 1,  180, 00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042, 19331105, 1,   60, 00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042, 19331106, 1,    0, 00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042, 19331107, 1,   78, 00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042, 19331108, 1,   55, 00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042, 19331109, 1,    0, 00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042, 19331110, 1,  332, 00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042, 19331111, 1,  152, 00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042, 19331112, 1,    0, 00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042, 19331113, 1,   67, 00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042, 19331114, 1,    0, 00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042, 19331115, 1,  102, 00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042, 19331116, 1,   72, 00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042, 19331117, 1,   34, 00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042, 19331118, 1,   23, 00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042, 19331119, 1,  127, 00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042, 19331120, 1,    0, 00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042, 19331121, 1,    0, 00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042, 19331122, 1,   93, 00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042, 19331123, 1,    0, 00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042, 19331124, 1,   34, 00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042, 19331125, 1,    0, 00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042, 19331126, 1,  180, 00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042, 19331127, 1,    0, 00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042, 19331128, 1,    0, 00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042, 19331129, 1,   90, 00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042, 19331130, 1,   50, 00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042, 19331201, 1,    0, 00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042, 19331202, 1,  180, 00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042, 19331203, 1,  250, 00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042, 19331204, 1,   70, 00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042, 19331205, 1,   45, 00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042, 19331206, 1,    0, 00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042, 19331207, 1,    0, 00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042, 19331208, 1,    0, 00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042, 19331209, 1,    0, 00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042, 19331210, 1,    0, 00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042, 19331211, 1,    0, 00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042, 19331212, 1,   99, 00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042, 19331213, 1,   53, 00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042, 19331214, 1,  106, 00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042, 19331215, 1,   60, 00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042, 19331216, 1,   80, 00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042, 19331217, 1,   45, 00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042, 19331218, 1,  110, 00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042, 19331219, 1,    0, 00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042, 19331220, 1,  224, 00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042, 19331221, 1,    0, 00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042, 19331222, 1,    0, 00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042, 19331223, 1,    0, 00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042, 19331224, 1,   90, 00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042, 19331225, 1,   77, 00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042, 19331226, 1,    0, 00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042, 19331227, 1,  134, 00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042, 19331228, 1,   85, 00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042, 19331229, 1,   21, 00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042, 19331230, 1,   54, 00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042, 19331231, 1,    0, 00</v>
      </c>
    </row>
    <row r="732" spans="1:1" x14ac:dyDescent="0.25">
      <c r="A732" s="19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049, 19330101, 2, ////, 07</v>
      </c>
    </row>
    <row r="733" spans="1:1" x14ac:dyDescent="0.25">
      <c r="A733" s="19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049, 19330102, 3, ////, 07</v>
      </c>
    </row>
    <row r="734" spans="1:1" x14ac:dyDescent="0.25">
      <c r="A734" s="19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19330103, 4, ////, 07</v>
      </c>
    </row>
    <row r="735" spans="1:1" x14ac:dyDescent="0.25">
      <c r="A735" s="19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19330104, 5, ////, 07</v>
      </c>
    </row>
    <row r="736" spans="1:1" x14ac:dyDescent="0.25">
      <c r="A736" s="19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19330105, 6, ////, 07</v>
      </c>
    </row>
    <row r="737" spans="1:1" x14ac:dyDescent="0.25">
      <c r="A737" s="19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19330106, 7, ////, 07</v>
      </c>
    </row>
    <row r="738" spans="1:1" x14ac:dyDescent="0.25">
      <c r="A738" s="19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19330107, 8, ////, 07</v>
      </c>
    </row>
    <row r="739" spans="1:1" x14ac:dyDescent="0.25">
      <c r="A739" s="19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19330108, 9, ////, 07</v>
      </c>
    </row>
    <row r="740" spans="1:1" x14ac:dyDescent="0.25">
      <c r="A740" s="19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19330109, 9, ////, 07</v>
      </c>
    </row>
    <row r="741" spans="1:1" x14ac:dyDescent="0.25">
      <c r="A741" s="19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19330110, 9, ////, 07</v>
      </c>
    </row>
    <row r="742" spans="1:1" x14ac:dyDescent="0.25">
      <c r="A742" s="19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19330111, 9, ////, 07</v>
      </c>
    </row>
    <row r="743" spans="1:1" x14ac:dyDescent="0.25">
      <c r="A743" s="19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19330112, 9, ////, 07</v>
      </c>
    </row>
    <row r="744" spans="1:1" x14ac:dyDescent="0.25">
      <c r="A744" s="19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19330113, 9, ////, 07</v>
      </c>
    </row>
    <row r="745" spans="1:1" x14ac:dyDescent="0.25">
      <c r="A745" s="19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19330114, 9, ////, 07</v>
      </c>
    </row>
    <row r="746" spans="1:1" x14ac:dyDescent="0.25">
      <c r="A746" s="19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19330115, 9, ////, 07</v>
      </c>
    </row>
    <row r="747" spans="1:1" x14ac:dyDescent="0.25">
      <c r="A747" s="19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19330116, 9, ////, 07</v>
      </c>
    </row>
    <row r="748" spans="1:1" x14ac:dyDescent="0.25">
      <c r="A748" s="19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19330117, 9, ////, 07</v>
      </c>
    </row>
    <row r="749" spans="1:1" x14ac:dyDescent="0.25">
      <c r="A749" s="19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19330118, 9, ////, 07</v>
      </c>
    </row>
    <row r="750" spans="1:1" x14ac:dyDescent="0.25">
      <c r="A750" s="19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19330119, 9, ////, 07</v>
      </c>
    </row>
    <row r="751" spans="1:1" x14ac:dyDescent="0.25">
      <c r="A751" s="19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19330120, 9, ////, 07</v>
      </c>
    </row>
    <row r="752" spans="1:1" x14ac:dyDescent="0.25">
      <c r="A752" s="19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19330121, 9, ////, 07</v>
      </c>
    </row>
    <row r="753" spans="1:1" x14ac:dyDescent="0.25">
      <c r="A753" s="19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19330122, 9, ////, 07</v>
      </c>
    </row>
    <row r="754" spans="1:1" x14ac:dyDescent="0.25">
      <c r="A754" s="19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19330123, 9, ////, 07</v>
      </c>
    </row>
    <row r="755" spans="1:1" x14ac:dyDescent="0.25">
      <c r="A755" s="19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19330124, 9, ////, 07</v>
      </c>
    </row>
    <row r="756" spans="1:1" x14ac:dyDescent="0.25">
      <c r="A756" s="19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19330125, 9, ////, 07</v>
      </c>
    </row>
    <row r="757" spans="1:1" x14ac:dyDescent="0.25">
      <c r="A757" s="19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19330126, 9, ////, 07</v>
      </c>
    </row>
    <row r="758" spans="1:1" x14ac:dyDescent="0.25">
      <c r="A758" s="19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19330127, 9, ////, 07</v>
      </c>
    </row>
    <row r="759" spans="1:1" x14ac:dyDescent="0.25">
      <c r="A759" s="19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19330128, 9, ////, 07</v>
      </c>
    </row>
    <row r="760" spans="1:1" x14ac:dyDescent="0.25">
      <c r="A760" s="19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19330129, 9, ////, 07</v>
      </c>
    </row>
    <row r="761" spans="1:1" x14ac:dyDescent="0.25">
      <c r="A761" s="19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19330130, 9, ////, 07</v>
      </c>
    </row>
    <row r="762" spans="1:1" x14ac:dyDescent="0.25">
      <c r="A762" s="19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19330131, 9, ////, 07</v>
      </c>
    </row>
    <row r="763" spans="1:1" x14ac:dyDescent="0.25">
      <c r="A763" s="19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19330201, 9, ////, 07</v>
      </c>
    </row>
    <row r="764" spans="1:1" x14ac:dyDescent="0.25">
      <c r="A764" s="19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19330202, 9, ////, 07</v>
      </c>
    </row>
    <row r="765" spans="1:1" x14ac:dyDescent="0.25">
      <c r="A765" s="19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19330203, 9, ////, 07</v>
      </c>
    </row>
    <row r="766" spans="1:1" x14ac:dyDescent="0.25">
      <c r="A766" s="19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19330204, 9, ////, 07</v>
      </c>
    </row>
    <row r="767" spans="1:1" x14ac:dyDescent="0.25">
      <c r="A767" s="19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19330205, 9, ////, 07</v>
      </c>
    </row>
    <row r="768" spans="1:1" x14ac:dyDescent="0.25">
      <c r="A768" s="19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19330206, 9, ////, 07</v>
      </c>
    </row>
    <row r="769" spans="1:1" x14ac:dyDescent="0.25">
      <c r="A769" s="19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19330207, 9, ////, 07</v>
      </c>
    </row>
    <row r="770" spans="1:1" x14ac:dyDescent="0.25">
      <c r="A770" s="19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19330208, 9, ////, 07</v>
      </c>
    </row>
    <row r="771" spans="1:1" x14ac:dyDescent="0.25">
      <c r="A771" s="19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19330209, 9, ////, 07</v>
      </c>
    </row>
    <row r="772" spans="1:1" x14ac:dyDescent="0.25">
      <c r="A772" s="19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19330210, 9, ////, 07</v>
      </c>
    </row>
    <row r="773" spans="1:1" x14ac:dyDescent="0.25">
      <c r="A773" s="19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19330211, 9, ////, 07</v>
      </c>
    </row>
    <row r="774" spans="1:1" x14ac:dyDescent="0.25">
      <c r="A774" s="19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19330212, 9, ////, 07</v>
      </c>
    </row>
    <row r="775" spans="1:1" x14ac:dyDescent="0.25">
      <c r="A775" s="19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19330213, 9, ////, 07</v>
      </c>
    </row>
    <row r="776" spans="1:1" x14ac:dyDescent="0.25">
      <c r="A776" s="19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19330214, 9, ////, 07</v>
      </c>
    </row>
    <row r="777" spans="1:1" x14ac:dyDescent="0.25">
      <c r="A777" s="19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19330215, 9, ////, 07</v>
      </c>
    </row>
    <row r="778" spans="1:1" x14ac:dyDescent="0.25">
      <c r="A778" s="19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19330216, 9, ////, 07</v>
      </c>
    </row>
    <row r="779" spans="1:1" x14ac:dyDescent="0.25">
      <c r="A779" s="19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19330217, 9, ////, 07</v>
      </c>
    </row>
    <row r="780" spans="1:1" x14ac:dyDescent="0.25">
      <c r="A780" s="19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19330218, 9, ////, 07</v>
      </c>
    </row>
    <row r="781" spans="1:1" x14ac:dyDescent="0.25">
      <c r="A781" s="19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19330219, 9, ////, 07</v>
      </c>
    </row>
    <row r="782" spans="1:1" x14ac:dyDescent="0.25">
      <c r="A782" s="19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19330220, 9, ////, 07</v>
      </c>
    </row>
    <row r="783" spans="1:1" x14ac:dyDescent="0.25">
      <c r="A783" s="19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19330221, 9, ////, 07</v>
      </c>
    </row>
    <row r="784" spans="1:1" x14ac:dyDescent="0.25">
      <c r="A784" s="19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19330222, 9, ////, 07</v>
      </c>
    </row>
    <row r="785" spans="1:1" x14ac:dyDescent="0.25">
      <c r="A785" s="19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19330223, 9, ////, 07</v>
      </c>
    </row>
    <row r="786" spans="1:1" x14ac:dyDescent="0.25">
      <c r="A786" s="19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19330224, 9, ////, 07</v>
      </c>
    </row>
    <row r="787" spans="1:1" x14ac:dyDescent="0.25">
      <c r="A787" s="19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19330225, 9, ////, 07</v>
      </c>
    </row>
    <row r="788" spans="1:1" x14ac:dyDescent="0.25">
      <c r="A788" s="19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19330226, 9, ////, 07</v>
      </c>
    </row>
    <row r="789" spans="1:1" x14ac:dyDescent="0.25">
      <c r="A789" s="19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19330227, 9, ////, 07</v>
      </c>
    </row>
    <row r="790" spans="1:1" x14ac:dyDescent="0.25">
      <c r="A790" s="19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19330228, 9, ////, 07</v>
      </c>
    </row>
    <row r="791" spans="1:1" x14ac:dyDescent="0.25">
      <c r="A791" s="19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19330301, 9, ////, 07</v>
      </c>
    </row>
    <row r="792" spans="1:1" x14ac:dyDescent="0.25">
      <c r="A792" s="19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19330302, 9, ////, 07</v>
      </c>
    </row>
    <row r="793" spans="1:1" x14ac:dyDescent="0.25">
      <c r="A793" s="19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19330303, 9, ////, 07</v>
      </c>
    </row>
    <row r="794" spans="1:1" x14ac:dyDescent="0.25">
      <c r="A794" s="19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19330304, 9, ////, 07</v>
      </c>
    </row>
    <row r="795" spans="1:1" x14ac:dyDescent="0.25">
      <c r="A795" s="19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19330305, 9, ////, 07</v>
      </c>
    </row>
    <row r="796" spans="1:1" x14ac:dyDescent="0.25">
      <c r="A796" s="19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19330306, 9, ////, 07</v>
      </c>
    </row>
    <row r="797" spans="1:1" x14ac:dyDescent="0.25">
      <c r="A797" s="19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19330307, 9, ////, 07</v>
      </c>
    </row>
    <row r="798" spans="1:1" x14ac:dyDescent="0.25">
      <c r="A798" s="19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19330308, 9, ////, 07</v>
      </c>
    </row>
    <row r="799" spans="1:1" x14ac:dyDescent="0.25">
      <c r="A799" s="19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19330309, 9, ////, 07</v>
      </c>
    </row>
    <row r="800" spans="1:1" x14ac:dyDescent="0.25">
      <c r="A800" s="19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19330310, 9, ////, 07</v>
      </c>
    </row>
    <row r="801" spans="1:1" x14ac:dyDescent="0.25">
      <c r="A801" s="19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19330311, 9, ////, 07</v>
      </c>
    </row>
    <row r="802" spans="1:1" x14ac:dyDescent="0.25">
      <c r="A802" s="19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19330312, 9, ////, 07</v>
      </c>
    </row>
    <row r="803" spans="1:1" x14ac:dyDescent="0.25">
      <c r="A803" s="19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19330313, 9, ////, 07</v>
      </c>
    </row>
    <row r="804" spans="1:1" x14ac:dyDescent="0.25">
      <c r="A804" s="19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19330314, 9, ////, 07</v>
      </c>
    </row>
    <row r="805" spans="1:1" x14ac:dyDescent="0.25">
      <c r="A805" s="19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19330315, 9, ////, 07</v>
      </c>
    </row>
    <row r="806" spans="1:1" x14ac:dyDescent="0.25">
      <c r="A806" s="19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19330316, 9, ////, 07</v>
      </c>
    </row>
    <row r="807" spans="1:1" x14ac:dyDescent="0.25">
      <c r="A807" s="19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19330317, 9, ////, 07</v>
      </c>
    </row>
    <row r="808" spans="1:1" x14ac:dyDescent="0.25">
      <c r="A808" s="19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19330318, 9, ////, 07</v>
      </c>
    </row>
    <row r="809" spans="1:1" x14ac:dyDescent="0.25">
      <c r="A809" s="19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19330319, 9, ////, 07</v>
      </c>
    </row>
    <row r="810" spans="1:1" x14ac:dyDescent="0.25">
      <c r="A810" s="19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19330320, 9, ////, 07</v>
      </c>
    </row>
    <row r="811" spans="1:1" x14ac:dyDescent="0.25">
      <c r="A811" s="19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19330321, 9, ////, 07</v>
      </c>
    </row>
    <row r="812" spans="1:1" x14ac:dyDescent="0.25">
      <c r="A812" s="19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19330322, 9, ////, 07</v>
      </c>
    </row>
    <row r="813" spans="1:1" x14ac:dyDescent="0.25">
      <c r="A813" s="19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19330323, 9, ////, 07</v>
      </c>
    </row>
    <row r="814" spans="1:1" x14ac:dyDescent="0.25">
      <c r="A814" s="19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19330324, 9, ////, 07</v>
      </c>
    </row>
    <row r="815" spans="1:1" x14ac:dyDescent="0.25">
      <c r="A815" s="19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19330325, 9, ////, 07</v>
      </c>
    </row>
    <row r="816" spans="1:1" x14ac:dyDescent="0.25">
      <c r="A816" s="19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19330326, 9, ////, 07</v>
      </c>
    </row>
    <row r="817" spans="1:1" x14ac:dyDescent="0.25">
      <c r="A817" s="19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19330327, 9, ////, 07</v>
      </c>
    </row>
    <row r="818" spans="1:1" x14ac:dyDescent="0.25">
      <c r="A818" s="19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19330328, 9, ////, 07</v>
      </c>
    </row>
    <row r="819" spans="1:1" x14ac:dyDescent="0.25">
      <c r="A819" s="19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19330329, 9, ////, 07</v>
      </c>
    </row>
    <row r="820" spans="1:1" x14ac:dyDescent="0.25">
      <c r="A820" s="19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19330330, 9, ////, 07</v>
      </c>
    </row>
    <row r="821" spans="1:1" x14ac:dyDescent="0.25">
      <c r="A821" s="19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19330331, 9, ////, 07</v>
      </c>
    </row>
    <row r="822" spans="1:1" x14ac:dyDescent="0.25">
      <c r="A822" s="19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19330401, 9, ////, 07</v>
      </c>
    </row>
    <row r="823" spans="1:1" x14ac:dyDescent="0.25">
      <c r="A823" s="19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19330402, 9, ////, 07</v>
      </c>
    </row>
    <row r="824" spans="1:1" x14ac:dyDescent="0.25">
      <c r="A824" s="19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19330403, 9, ////, 07</v>
      </c>
    </row>
    <row r="825" spans="1:1" x14ac:dyDescent="0.25">
      <c r="A825" s="19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19330404, 9, ////, 07</v>
      </c>
    </row>
    <row r="826" spans="1:1" x14ac:dyDescent="0.25">
      <c r="A826" s="19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19330405, 9, ////, 07</v>
      </c>
    </row>
    <row r="827" spans="1:1" x14ac:dyDescent="0.25">
      <c r="A827" s="19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19330406, 9, ////, 07</v>
      </c>
    </row>
    <row r="828" spans="1:1" x14ac:dyDescent="0.25">
      <c r="A828" s="19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19330407, 9, ////, 07</v>
      </c>
    </row>
    <row r="829" spans="1:1" x14ac:dyDescent="0.25">
      <c r="A829" s="19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19330408, 9, ////, 07</v>
      </c>
    </row>
    <row r="830" spans="1:1" x14ac:dyDescent="0.25">
      <c r="A830" s="19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19330409, 9, ////, 07</v>
      </c>
    </row>
    <row r="831" spans="1:1" x14ac:dyDescent="0.25">
      <c r="A831" s="19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19330410, 9, ////, 07</v>
      </c>
    </row>
    <row r="832" spans="1:1" x14ac:dyDescent="0.25">
      <c r="A832" s="19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19330411, 9, ////, 07</v>
      </c>
    </row>
    <row r="833" spans="1:1" x14ac:dyDescent="0.25">
      <c r="A833" s="19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19330412, 9, ////, 07</v>
      </c>
    </row>
    <row r="834" spans="1:1" x14ac:dyDescent="0.25">
      <c r="A834" s="19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19330413, 9, ////, 07</v>
      </c>
    </row>
    <row r="835" spans="1:1" x14ac:dyDescent="0.25">
      <c r="A835" s="19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19330414, 9, ////, 07</v>
      </c>
    </row>
    <row r="836" spans="1:1" x14ac:dyDescent="0.25">
      <c r="A836" s="19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19330415, 9, ////, 07</v>
      </c>
    </row>
    <row r="837" spans="1:1" x14ac:dyDescent="0.25">
      <c r="A837" s="19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19330416, 9, ////, 07</v>
      </c>
    </row>
    <row r="838" spans="1:1" x14ac:dyDescent="0.25">
      <c r="A838" s="19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19330417, 9, ////, 07</v>
      </c>
    </row>
    <row r="839" spans="1:1" x14ac:dyDescent="0.25">
      <c r="A839" s="19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19330418, 9, ////, 07</v>
      </c>
    </row>
    <row r="840" spans="1:1" x14ac:dyDescent="0.25">
      <c r="A840" s="19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19330419, 9, ////, 07</v>
      </c>
    </row>
    <row r="841" spans="1:1" x14ac:dyDescent="0.25">
      <c r="A841" s="19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19330420, 9, ////, 07</v>
      </c>
    </row>
    <row r="842" spans="1:1" x14ac:dyDescent="0.25">
      <c r="A842" s="19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19330421, 9, ////, 07</v>
      </c>
    </row>
    <row r="843" spans="1:1" x14ac:dyDescent="0.25">
      <c r="A843" s="19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19330422, 9, ////, 07</v>
      </c>
    </row>
    <row r="844" spans="1:1" x14ac:dyDescent="0.25">
      <c r="A844" s="19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19330423, 9, ////, 07</v>
      </c>
    </row>
    <row r="845" spans="1:1" x14ac:dyDescent="0.25">
      <c r="A845" s="19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19330424, 9, ////, 07</v>
      </c>
    </row>
    <row r="846" spans="1:1" x14ac:dyDescent="0.25">
      <c r="A846" s="19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19330425, 9, ////, 07</v>
      </c>
    </row>
    <row r="847" spans="1:1" x14ac:dyDescent="0.25">
      <c r="A847" s="19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19330426, 9, ////, 07</v>
      </c>
    </row>
    <row r="848" spans="1:1" x14ac:dyDescent="0.25">
      <c r="A848" s="19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19330427, 9, ////, 07</v>
      </c>
    </row>
    <row r="849" spans="1:1" x14ac:dyDescent="0.25">
      <c r="A849" s="19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19330428, 9, ////, 07</v>
      </c>
    </row>
    <row r="850" spans="1:1" x14ac:dyDescent="0.25">
      <c r="A850" s="19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19330429, 9, ////, 07</v>
      </c>
    </row>
    <row r="851" spans="1:1" x14ac:dyDescent="0.25">
      <c r="A851" s="19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19330430, 9, ////, 07</v>
      </c>
    </row>
    <row r="852" spans="1:1" x14ac:dyDescent="0.25">
      <c r="A852" s="19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19330501, 9, ////, 07</v>
      </c>
    </row>
    <row r="853" spans="1:1" x14ac:dyDescent="0.25">
      <c r="A853" s="19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19330502, 9, ////, 07</v>
      </c>
    </row>
    <row r="854" spans="1:1" x14ac:dyDescent="0.25">
      <c r="A854" s="19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19330503, 9, ////, 07</v>
      </c>
    </row>
    <row r="855" spans="1:1" x14ac:dyDescent="0.25">
      <c r="A855" s="19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19330504, 9, ////, 07</v>
      </c>
    </row>
    <row r="856" spans="1:1" x14ac:dyDescent="0.25">
      <c r="A856" s="19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19330505, 9, ////, 07</v>
      </c>
    </row>
    <row r="857" spans="1:1" x14ac:dyDescent="0.25">
      <c r="A857" s="19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19330506, 9, ////, 07</v>
      </c>
    </row>
    <row r="858" spans="1:1" x14ac:dyDescent="0.25">
      <c r="A858" s="19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19330507, 9, ////, 07</v>
      </c>
    </row>
    <row r="859" spans="1:1" x14ac:dyDescent="0.25">
      <c r="A859" s="19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19330508, 9, ////, 07</v>
      </c>
    </row>
    <row r="860" spans="1:1" x14ac:dyDescent="0.25">
      <c r="A860" s="19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19330509, 9, ////, 07</v>
      </c>
    </row>
    <row r="861" spans="1:1" x14ac:dyDescent="0.25">
      <c r="A861" s="19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19330510, 9, ////, 07</v>
      </c>
    </row>
    <row r="862" spans="1:1" x14ac:dyDescent="0.25">
      <c r="A862" s="19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19330511, 9, ////, 07</v>
      </c>
    </row>
    <row r="863" spans="1:1" x14ac:dyDescent="0.25">
      <c r="A863" s="19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19330512, 9, ////, 07</v>
      </c>
    </row>
    <row r="864" spans="1:1" x14ac:dyDescent="0.25">
      <c r="A864" s="19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19330513, 9, ////, 07</v>
      </c>
    </row>
    <row r="865" spans="1:1" x14ac:dyDescent="0.25">
      <c r="A865" s="19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19330514, 9, ////, 07</v>
      </c>
    </row>
    <row r="866" spans="1:1" x14ac:dyDescent="0.25">
      <c r="A866" s="19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19330515, 9, ////, 07</v>
      </c>
    </row>
    <row r="867" spans="1:1" x14ac:dyDescent="0.25">
      <c r="A867" s="19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19330516, 9, ////, 07</v>
      </c>
    </row>
    <row r="868" spans="1:1" x14ac:dyDescent="0.25">
      <c r="A868" s="19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19330517, 9, ////, 07</v>
      </c>
    </row>
    <row r="869" spans="1:1" x14ac:dyDescent="0.25">
      <c r="A869" s="19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19330518, 9, ////, 07</v>
      </c>
    </row>
    <row r="870" spans="1:1" x14ac:dyDescent="0.25">
      <c r="A870" s="19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19330519, 9, ////, 07</v>
      </c>
    </row>
    <row r="871" spans="1:1" x14ac:dyDescent="0.25">
      <c r="A871" s="19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19330520, 9, ////, 07</v>
      </c>
    </row>
    <row r="872" spans="1:1" x14ac:dyDescent="0.25">
      <c r="A872" s="19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19330521, 9, ////, 07</v>
      </c>
    </row>
    <row r="873" spans="1:1" x14ac:dyDescent="0.25">
      <c r="A873" s="19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19330522, 9, ////, 07</v>
      </c>
    </row>
    <row r="874" spans="1:1" x14ac:dyDescent="0.25">
      <c r="A874" s="19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19330523, 9, ////, 07</v>
      </c>
    </row>
    <row r="875" spans="1:1" x14ac:dyDescent="0.25">
      <c r="A875" s="19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19330524, 9, ////, 07</v>
      </c>
    </row>
    <row r="876" spans="1:1" x14ac:dyDescent="0.25">
      <c r="A876" s="19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19330525, 9, ////, 07</v>
      </c>
    </row>
    <row r="877" spans="1:1" x14ac:dyDescent="0.25">
      <c r="A877" s="19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19330526, 9, ////, 07</v>
      </c>
    </row>
    <row r="878" spans="1:1" x14ac:dyDescent="0.25">
      <c r="A878" s="19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19330527, 9, ////, 07</v>
      </c>
    </row>
    <row r="879" spans="1:1" x14ac:dyDescent="0.25">
      <c r="A879" s="19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19330528, 9, ////, 07</v>
      </c>
    </row>
    <row r="880" spans="1:1" x14ac:dyDescent="0.25">
      <c r="A880" s="19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19330529, 9, ////, 07</v>
      </c>
    </row>
    <row r="881" spans="1:1" x14ac:dyDescent="0.25">
      <c r="A881" s="19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19330530, 9, ////, 07</v>
      </c>
    </row>
    <row r="882" spans="1:1" x14ac:dyDescent="0.25">
      <c r="A882" s="19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19330531, 9, ////, 07</v>
      </c>
    </row>
    <row r="883" spans="1:1" x14ac:dyDescent="0.25">
      <c r="A883" s="19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19330601, 9, ////, 07</v>
      </c>
    </row>
    <row r="884" spans="1:1" x14ac:dyDescent="0.25">
      <c r="A884" s="19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19330602, 9, ////, 07</v>
      </c>
    </row>
    <row r="885" spans="1:1" x14ac:dyDescent="0.25">
      <c r="A885" s="19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19330603, 9, ////, 07</v>
      </c>
    </row>
    <row r="886" spans="1:1" x14ac:dyDescent="0.25">
      <c r="A886" s="19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19330604, 9, ////, 07</v>
      </c>
    </row>
    <row r="887" spans="1:1" x14ac:dyDescent="0.25">
      <c r="A887" s="19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19330605, 9, ////, 07</v>
      </c>
    </row>
    <row r="888" spans="1:1" x14ac:dyDescent="0.25">
      <c r="A888" s="19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19330606, 9, ////, 07</v>
      </c>
    </row>
    <row r="889" spans="1:1" x14ac:dyDescent="0.25">
      <c r="A889" s="19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19330607, 9, ////, 07</v>
      </c>
    </row>
    <row r="890" spans="1:1" x14ac:dyDescent="0.25">
      <c r="A890" s="19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19330608, 9, ////, 07</v>
      </c>
    </row>
    <row r="891" spans="1:1" x14ac:dyDescent="0.25">
      <c r="A891" s="19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19330609, 9, ////, 07</v>
      </c>
    </row>
    <row r="892" spans="1:1" x14ac:dyDescent="0.25">
      <c r="A892" s="19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19330610, 9, ////, 07</v>
      </c>
    </row>
    <row r="893" spans="1:1" x14ac:dyDescent="0.25">
      <c r="A893" s="19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19330611, 9, ////, 07</v>
      </c>
    </row>
    <row r="894" spans="1:1" x14ac:dyDescent="0.25">
      <c r="A894" s="19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19330612, 9, ////, 07</v>
      </c>
    </row>
    <row r="895" spans="1:1" x14ac:dyDescent="0.25">
      <c r="A895" s="19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19330613, 9, ////, 07</v>
      </c>
    </row>
    <row r="896" spans="1:1" x14ac:dyDescent="0.25">
      <c r="A896" s="19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19330614, 9, ////, 07</v>
      </c>
    </row>
    <row r="897" spans="1:1" x14ac:dyDescent="0.25">
      <c r="A897" s="19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19330615, 9, ////, 07</v>
      </c>
    </row>
    <row r="898" spans="1:1" x14ac:dyDescent="0.25">
      <c r="A898" s="19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19330616, 9, ////, 07</v>
      </c>
    </row>
    <row r="899" spans="1:1" x14ac:dyDescent="0.25">
      <c r="A899" s="19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19330617, 9, ////, 07</v>
      </c>
    </row>
    <row r="900" spans="1:1" x14ac:dyDescent="0.25">
      <c r="A900" s="19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19330618, 9, ////, 07</v>
      </c>
    </row>
    <row r="901" spans="1:1" x14ac:dyDescent="0.25">
      <c r="A901" s="19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19330619, 9, ////, 07</v>
      </c>
    </row>
    <row r="902" spans="1:1" x14ac:dyDescent="0.25">
      <c r="A902" s="19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19330620, 9, ////, 07</v>
      </c>
    </row>
    <row r="903" spans="1:1" x14ac:dyDescent="0.25">
      <c r="A903" s="19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19330621, 9, ////, 07</v>
      </c>
    </row>
    <row r="904" spans="1:1" x14ac:dyDescent="0.25">
      <c r="A904" s="19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19330622, 9, ////, 07</v>
      </c>
    </row>
    <row r="905" spans="1:1" x14ac:dyDescent="0.25">
      <c r="A905" s="19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19330623, 9, ////, 07</v>
      </c>
    </row>
    <row r="906" spans="1:1" x14ac:dyDescent="0.25">
      <c r="A906" s="19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19330624, 9, ////, 07</v>
      </c>
    </row>
    <row r="907" spans="1:1" x14ac:dyDescent="0.25">
      <c r="A907" s="19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19330625, 9, ////, 07</v>
      </c>
    </row>
    <row r="908" spans="1:1" x14ac:dyDescent="0.25">
      <c r="A908" s="19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19330626, 9, ////, 07</v>
      </c>
    </row>
    <row r="909" spans="1:1" x14ac:dyDescent="0.25">
      <c r="A909" s="19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19330627, 9, ////, 07</v>
      </c>
    </row>
    <row r="910" spans="1:1" x14ac:dyDescent="0.25">
      <c r="A910" s="19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19330628, 9, ////, 07</v>
      </c>
    </row>
    <row r="911" spans="1:1" x14ac:dyDescent="0.25">
      <c r="A911" s="19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19330629, 9, ////, 07</v>
      </c>
    </row>
    <row r="912" spans="1:1" x14ac:dyDescent="0.25">
      <c r="A912" s="19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19330630, 9, ////, 07</v>
      </c>
    </row>
    <row r="913" spans="1:1" x14ac:dyDescent="0.25">
      <c r="A913" s="19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19330701, 9, ////, 07</v>
      </c>
    </row>
    <row r="914" spans="1:1" x14ac:dyDescent="0.25">
      <c r="A914" s="19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19330702, 9, ////, 07</v>
      </c>
    </row>
    <row r="915" spans="1:1" x14ac:dyDescent="0.25">
      <c r="A915" s="19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19330703, 9, ////, 07</v>
      </c>
    </row>
    <row r="916" spans="1:1" x14ac:dyDescent="0.25">
      <c r="A916" s="19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19330704, 9, ////, 07</v>
      </c>
    </row>
    <row r="917" spans="1:1" x14ac:dyDescent="0.25">
      <c r="A917" s="19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19330705, 9, ////, 07</v>
      </c>
    </row>
    <row r="918" spans="1:1" x14ac:dyDescent="0.25">
      <c r="A918" s="19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19330706, 9, ////, 07</v>
      </c>
    </row>
    <row r="919" spans="1:1" x14ac:dyDescent="0.25">
      <c r="A919" s="19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19330707, 9, ////, 07</v>
      </c>
    </row>
    <row r="920" spans="1:1" x14ac:dyDescent="0.25">
      <c r="A920" s="19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19330708, 9, ////, 07</v>
      </c>
    </row>
    <row r="921" spans="1:1" x14ac:dyDescent="0.25">
      <c r="A921" s="19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19330709, 9, ////, 07</v>
      </c>
    </row>
    <row r="922" spans="1:1" x14ac:dyDescent="0.25">
      <c r="A922" s="19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19330710, 9, ////, 07</v>
      </c>
    </row>
    <row r="923" spans="1:1" x14ac:dyDescent="0.25">
      <c r="A923" s="19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19330711, 9, ////, 07</v>
      </c>
    </row>
    <row r="924" spans="1:1" x14ac:dyDescent="0.25">
      <c r="A924" s="19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19330712, 9, ////, 07</v>
      </c>
    </row>
    <row r="925" spans="1:1" x14ac:dyDescent="0.25">
      <c r="A925" s="19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19330713, 9, ////, 07</v>
      </c>
    </row>
    <row r="926" spans="1:1" x14ac:dyDescent="0.25">
      <c r="A926" s="19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19330714, 9, ////, 07</v>
      </c>
    </row>
    <row r="927" spans="1:1" x14ac:dyDescent="0.25">
      <c r="A927" s="19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19330715, 9, ////, 07</v>
      </c>
    </row>
    <row r="928" spans="1:1" x14ac:dyDescent="0.25">
      <c r="A928" s="19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19330716, 9, ////, 07</v>
      </c>
    </row>
    <row r="929" spans="1:1" x14ac:dyDescent="0.25">
      <c r="A929" s="19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19330717, 9, ////, 07</v>
      </c>
    </row>
    <row r="930" spans="1:1" x14ac:dyDescent="0.25">
      <c r="A930" s="19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19330718, 9, ////, 07</v>
      </c>
    </row>
    <row r="931" spans="1:1" x14ac:dyDescent="0.25">
      <c r="A931" s="19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19330719, 9, ////, 07</v>
      </c>
    </row>
    <row r="932" spans="1:1" x14ac:dyDescent="0.25">
      <c r="A932" s="19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19330720, 9, ////, 07</v>
      </c>
    </row>
    <row r="933" spans="1:1" x14ac:dyDescent="0.25">
      <c r="A933" s="19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19330721, 9, ////, 07</v>
      </c>
    </row>
    <row r="934" spans="1:1" x14ac:dyDescent="0.25">
      <c r="A934" s="19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19330722, 9, ////, 07</v>
      </c>
    </row>
    <row r="935" spans="1:1" x14ac:dyDescent="0.25">
      <c r="A935" s="19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19330723, 9, ////, 07</v>
      </c>
    </row>
    <row r="936" spans="1:1" x14ac:dyDescent="0.25">
      <c r="A936" s="19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19330724, 9, ////, 07</v>
      </c>
    </row>
    <row r="937" spans="1:1" x14ac:dyDescent="0.25">
      <c r="A937" s="19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19330725, 9, ////, 07</v>
      </c>
    </row>
    <row r="938" spans="1:1" x14ac:dyDescent="0.25">
      <c r="A938" s="19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19330726, 9, ////, 07</v>
      </c>
    </row>
    <row r="939" spans="1:1" x14ac:dyDescent="0.25">
      <c r="A939" s="19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19330727, 9, ////, 07</v>
      </c>
    </row>
    <row r="940" spans="1:1" x14ac:dyDescent="0.25">
      <c r="A940" s="19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19330728, 9, ////, 07</v>
      </c>
    </row>
    <row r="941" spans="1:1" x14ac:dyDescent="0.25">
      <c r="A941" s="19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19330729, 9, ////, 07</v>
      </c>
    </row>
    <row r="942" spans="1:1" x14ac:dyDescent="0.25">
      <c r="A942" s="19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19330730, 9, ////, 07</v>
      </c>
    </row>
    <row r="943" spans="1:1" x14ac:dyDescent="0.25">
      <c r="A943" s="19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19330731, 9, ////, 07</v>
      </c>
    </row>
    <row r="944" spans="1:1" x14ac:dyDescent="0.25">
      <c r="A944" s="19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19330801, 9, ////, 07</v>
      </c>
    </row>
    <row r="945" spans="1:1" x14ac:dyDescent="0.25">
      <c r="A945" s="19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19330802, 9, ////, 07</v>
      </c>
    </row>
    <row r="946" spans="1:1" x14ac:dyDescent="0.25">
      <c r="A946" s="19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19330803, 9, ////, 07</v>
      </c>
    </row>
    <row r="947" spans="1:1" x14ac:dyDescent="0.25">
      <c r="A947" s="19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19330804, 9, ////, 07</v>
      </c>
    </row>
    <row r="948" spans="1:1" x14ac:dyDescent="0.25">
      <c r="A948" s="19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19330805, 9, ////, 07</v>
      </c>
    </row>
    <row r="949" spans="1:1" x14ac:dyDescent="0.25">
      <c r="A949" s="19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19330806, 9, ////, 07</v>
      </c>
    </row>
    <row r="950" spans="1:1" x14ac:dyDescent="0.25">
      <c r="A950" s="19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19330807, 9, ////, 07</v>
      </c>
    </row>
    <row r="951" spans="1:1" x14ac:dyDescent="0.25">
      <c r="A951" s="19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19330808, 9, ////, 07</v>
      </c>
    </row>
    <row r="952" spans="1:1" x14ac:dyDescent="0.25">
      <c r="A952" s="19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19330809, 9, ////, 07</v>
      </c>
    </row>
    <row r="953" spans="1:1" x14ac:dyDescent="0.25">
      <c r="A953" s="19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19330810, 9, ////, 07</v>
      </c>
    </row>
    <row r="954" spans="1:1" x14ac:dyDescent="0.25">
      <c r="A954" s="19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19330811, 9, ////, 07</v>
      </c>
    </row>
    <row r="955" spans="1:1" x14ac:dyDescent="0.25">
      <c r="A955" s="19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19330812, 9, ////, 07</v>
      </c>
    </row>
    <row r="956" spans="1:1" x14ac:dyDescent="0.25">
      <c r="A956" s="19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19330813, 9, ////, 07</v>
      </c>
    </row>
    <row r="957" spans="1:1" x14ac:dyDescent="0.25">
      <c r="A957" s="19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19330814, 9, ////, 07</v>
      </c>
    </row>
    <row r="958" spans="1:1" x14ac:dyDescent="0.25">
      <c r="A958" s="19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19330815, 9, ////, 07</v>
      </c>
    </row>
    <row r="959" spans="1:1" x14ac:dyDescent="0.25">
      <c r="A959" s="19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19330816, 9, ////, 07</v>
      </c>
    </row>
    <row r="960" spans="1:1" x14ac:dyDescent="0.25">
      <c r="A960" s="19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19330817, 9, ////, 07</v>
      </c>
    </row>
    <row r="961" spans="1:1" x14ac:dyDescent="0.25">
      <c r="A961" s="19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19330818, 9, ////, 07</v>
      </c>
    </row>
    <row r="962" spans="1:1" x14ac:dyDescent="0.25">
      <c r="A962" s="19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19330819, 9, ////, 07</v>
      </c>
    </row>
    <row r="963" spans="1:1" x14ac:dyDescent="0.25">
      <c r="A963" s="19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19330820, 9, ////, 07</v>
      </c>
    </row>
    <row r="964" spans="1:1" x14ac:dyDescent="0.25">
      <c r="A964" s="19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19330821, 9, ////, 07</v>
      </c>
    </row>
    <row r="965" spans="1:1" x14ac:dyDescent="0.25">
      <c r="A965" s="19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19330822, 9, ////, 07</v>
      </c>
    </row>
    <row r="966" spans="1:1" x14ac:dyDescent="0.25">
      <c r="A966" s="19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19330823, 9, ////, 07</v>
      </c>
    </row>
    <row r="967" spans="1:1" x14ac:dyDescent="0.25">
      <c r="A967" s="19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19330824, 9, ////, 07</v>
      </c>
    </row>
    <row r="968" spans="1:1" x14ac:dyDescent="0.25">
      <c r="A968" s="19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19330825, 9, ////, 07</v>
      </c>
    </row>
    <row r="969" spans="1:1" x14ac:dyDescent="0.25">
      <c r="A969" s="19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19330826, 9, ////, 07</v>
      </c>
    </row>
    <row r="970" spans="1:1" x14ac:dyDescent="0.25">
      <c r="A970" s="19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19330827, 9, ////, 07</v>
      </c>
    </row>
    <row r="971" spans="1:1" x14ac:dyDescent="0.25">
      <c r="A971" s="19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19330828, 9, ////, 07</v>
      </c>
    </row>
    <row r="972" spans="1:1" x14ac:dyDescent="0.25">
      <c r="A972" s="19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19330829, 9, ////, 07</v>
      </c>
    </row>
    <row r="973" spans="1:1" x14ac:dyDescent="0.25">
      <c r="A973" s="19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19330830, 9, ////, 07</v>
      </c>
    </row>
    <row r="974" spans="1:1" x14ac:dyDescent="0.25">
      <c r="A974" s="19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19330831, 9, ////, 07</v>
      </c>
    </row>
    <row r="975" spans="1:1" x14ac:dyDescent="0.25">
      <c r="A975" s="19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19330901, 9, ////, 07</v>
      </c>
    </row>
    <row r="976" spans="1:1" x14ac:dyDescent="0.25">
      <c r="A976" s="19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19330902, 9, ////, 07</v>
      </c>
    </row>
    <row r="977" spans="1:1" x14ac:dyDescent="0.25">
      <c r="A977" s="19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19330903, 9, ////, 07</v>
      </c>
    </row>
    <row r="978" spans="1:1" x14ac:dyDescent="0.25">
      <c r="A978" s="19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19330904, 9, ////, 07</v>
      </c>
    </row>
    <row r="979" spans="1:1" x14ac:dyDescent="0.25">
      <c r="A979" s="19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19330905, 9, ////, 07</v>
      </c>
    </row>
    <row r="980" spans="1:1" x14ac:dyDescent="0.25">
      <c r="A980" s="19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19330906, 9, ////, 07</v>
      </c>
    </row>
    <row r="981" spans="1:1" x14ac:dyDescent="0.25">
      <c r="A981" s="19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19330907, 9, ////, 07</v>
      </c>
    </row>
    <row r="982" spans="1:1" x14ac:dyDescent="0.25">
      <c r="A982" s="19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19330908, 9, ////, 07</v>
      </c>
    </row>
    <row r="983" spans="1:1" x14ac:dyDescent="0.25">
      <c r="A983" s="19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19330909, 9, ////, 07</v>
      </c>
    </row>
    <row r="984" spans="1:1" x14ac:dyDescent="0.25">
      <c r="A984" s="19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19330910, 9, ////, 07</v>
      </c>
    </row>
    <row r="985" spans="1:1" x14ac:dyDescent="0.25">
      <c r="A985" s="19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19330911, 9, ////, 07</v>
      </c>
    </row>
    <row r="986" spans="1:1" x14ac:dyDescent="0.25">
      <c r="A986" s="19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19330912, 9, ////, 07</v>
      </c>
    </row>
    <row r="987" spans="1:1" x14ac:dyDescent="0.25">
      <c r="A987" s="19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19330913, 9, ////, 07</v>
      </c>
    </row>
    <row r="988" spans="1:1" x14ac:dyDescent="0.25">
      <c r="A988" s="19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19330914, 9, ////, 07</v>
      </c>
    </row>
    <row r="989" spans="1:1" x14ac:dyDescent="0.25">
      <c r="A989" s="19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19330915, 9, ////, 07</v>
      </c>
    </row>
    <row r="990" spans="1:1" x14ac:dyDescent="0.25">
      <c r="A990" s="19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19330916, 9, ////, 07</v>
      </c>
    </row>
    <row r="991" spans="1:1" x14ac:dyDescent="0.25">
      <c r="A991" s="19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19330917, 9, ////, 07</v>
      </c>
    </row>
    <row r="992" spans="1:1" x14ac:dyDescent="0.25">
      <c r="A992" s="19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19330918, 9, ////, 07</v>
      </c>
    </row>
    <row r="993" spans="1:1" x14ac:dyDescent="0.25">
      <c r="A993" s="19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19330919, 9, ////, 07</v>
      </c>
    </row>
    <row r="994" spans="1:1" x14ac:dyDescent="0.25">
      <c r="A994" s="19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19330920, 9, ////, 07</v>
      </c>
    </row>
    <row r="995" spans="1:1" x14ac:dyDescent="0.25">
      <c r="A995" s="19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19330921, 9, ////, 07</v>
      </c>
    </row>
    <row r="996" spans="1:1" x14ac:dyDescent="0.25">
      <c r="A996" s="19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19330922, 9, ////, 07</v>
      </c>
    </row>
    <row r="997" spans="1:1" x14ac:dyDescent="0.25">
      <c r="A997" s="19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19330923, 9, ////, 07</v>
      </c>
    </row>
    <row r="998" spans="1:1" x14ac:dyDescent="0.25">
      <c r="A998" s="19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19330924, 9, ////, 07</v>
      </c>
    </row>
    <row r="999" spans="1:1" x14ac:dyDescent="0.25">
      <c r="A999" s="19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19330925, 9, ////, 07</v>
      </c>
    </row>
    <row r="1000" spans="1:1" x14ac:dyDescent="0.25">
      <c r="A1000" s="19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19330926, 9, ////, 07</v>
      </c>
    </row>
    <row r="1001" spans="1:1" x14ac:dyDescent="0.25">
      <c r="A1001" s="19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19330927, 9, ////, 07</v>
      </c>
    </row>
    <row r="1002" spans="1:1" x14ac:dyDescent="0.25">
      <c r="A1002" s="19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19330928, 9, ////, 07</v>
      </c>
    </row>
    <row r="1003" spans="1:1" x14ac:dyDescent="0.25">
      <c r="A1003" s="19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19330929, 9, ////, 07</v>
      </c>
    </row>
    <row r="1004" spans="1:1" x14ac:dyDescent="0.25">
      <c r="A1004" s="19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19330930, 9, ////, 07</v>
      </c>
    </row>
    <row r="1005" spans="1:1" x14ac:dyDescent="0.25">
      <c r="A1005" s="19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19331001, 9, ////, 07</v>
      </c>
    </row>
    <row r="1006" spans="1:1" x14ac:dyDescent="0.25">
      <c r="A1006" s="19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19331002, 9, ////, 07</v>
      </c>
    </row>
    <row r="1007" spans="1:1" x14ac:dyDescent="0.25">
      <c r="A1007" s="19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19331003, 9, ////, 07</v>
      </c>
    </row>
    <row r="1008" spans="1:1" x14ac:dyDescent="0.25">
      <c r="A1008" s="19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19331004, 9, ////, 07</v>
      </c>
    </row>
    <row r="1009" spans="1:1" x14ac:dyDescent="0.25">
      <c r="A1009" s="19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19331005, 9, ////, 07</v>
      </c>
    </row>
    <row r="1010" spans="1:1" x14ac:dyDescent="0.25">
      <c r="A1010" s="19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19331006, 9, ////, 07</v>
      </c>
    </row>
    <row r="1011" spans="1:1" x14ac:dyDescent="0.25">
      <c r="A1011" s="19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19331007, 9, ////, 07</v>
      </c>
    </row>
    <row r="1012" spans="1:1" x14ac:dyDescent="0.25">
      <c r="A1012" s="19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19331008, 9, ////, 07</v>
      </c>
    </row>
    <row r="1013" spans="1:1" x14ac:dyDescent="0.25">
      <c r="A1013" s="19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19331009, 9, ////, 07</v>
      </c>
    </row>
    <row r="1014" spans="1:1" x14ac:dyDescent="0.25">
      <c r="A1014" s="19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19331010, 9, ////, 07</v>
      </c>
    </row>
    <row r="1015" spans="1:1" x14ac:dyDescent="0.25">
      <c r="A1015" s="19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19331011, 9, ////, 07</v>
      </c>
    </row>
    <row r="1016" spans="1:1" x14ac:dyDescent="0.25">
      <c r="A1016" s="19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19331012, 9, ////, 07</v>
      </c>
    </row>
    <row r="1017" spans="1:1" x14ac:dyDescent="0.25">
      <c r="A1017" s="19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19331013, 9, ////, 07</v>
      </c>
    </row>
    <row r="1018" spans="1:1" x14ac:dyDescent="0.25">
      <c r="A1018" s="19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19331014, 9, ////, 07</v>
      </c>
    </row>
    <row r="1019" spans="1:1" x14ac:dyDescent="0.25">
      <c r="A1019" s="19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19331015, 9, ////, 07</v>
      </c>
    </row>
    <row r="1020" spans="1:1" x14ac:dyDescent="0.25">
      <c r="A1020" s="19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19331016, 9, ////, 07</v>
      </c>
    </row>
    <row r="1021" spans="1:1" x14ac:dyDescent="0.25">
      <c r="A1021" s="19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19331017, 9, ////, 07</v>
      </c>
    </row>
    <row r="1022" spans="1:1" x14ac:dyDescent="0.25">
      <c r="A1022" s="19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19331018, 9, ////, 07</v>
      </c>
    </row>
    <row r="1023" spans="1:1" x14ac:dyDescent="0.25">
      <c r="A1023" s="19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19331019, 9, ////, 07</v>
      </c>
    </row>
    <row r="1024" spans="1:1" x14ac:dyDescent="0.25">
      <c r="A1024" s="19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19331020, 9, ////, 07</v>
      </c>
    </row>
    <row r="1025" spans="1:1" x14ac:dyDescent="0.25">
      <c r="A1025" s="19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19331021, 9, ////, 07</v>
      </c>
    </row>
    <row r="1026" spans="1:1" x14ac:dyDescent="0.25">
      <c r="A1026" s="19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19331022, 9, ////, 07</v>
      </c>
    </row>
    <row r="1027" spans="1:1" x14ac:dyDescent="0.25">
      <c r="A1027" s="19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19331023, 9, ////, 07</v>
      </c>
    </row>
    <row r="1028" spans="1:1" x14ac:dyDescent="0.25">
      <c r="A1028" s="19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19331024, 9, ////, 07</v>
      </c>
    </row>
    <row r="1029" spans="1:1" x14ac:dyDescent="0.25">
      <c r="A1029" s="19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19331025, 9, ////, 07</v>
      </c>
    </row>
    <row r="1030" spans="1:1" x14ac:dyDescent="0.25">
      <c r="A1030" s="19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19331026, 9, ////, 07</v>
      </c>
    </row>
    <row r="1031" spans="1:1" x14ac:dyDescent="0.25">
      <c r="A1031" s="19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19331027, 9, ////, 07</v>
      </c>
    </row>
    <row r="1032" spans="1:1" x14ac:dyDescent="0.25">
      <c r="A1032" s="19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19331028, 9, ////, 07</v>
      </c>
    </row>
    <row r="1033" spans="1:1" x14ac:dyDescent="0.25">
      <c r="A1033" s="19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19331029, 9, ////, 07</v>
      </c>
    </row>
    <row r="1034" spans="1:1" x14ac:dyDescent="0.25">
      <c r="A1034" s="19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19331030, 9, ////, 07</v>
      </c>
    </row>
    <row r="1035" spans="1:1" x14ac:dyDescent="0.25">
      <c r="A1035" s="19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19331031, 9, ////, 07</v>
      </c>
    </row>
    <row r="1036" spans="1:1" x14ac:dyDescent="0.25">
      <c r="A1036" s="19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049, 19331101, 9,    0, 00</v>
      </c>
    </row>
    <row r="1037" spans="1:1" x14ac:dyDescent="0.25">
      <c r="A1037" s="19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049, 19331102, 9,    0, 00</v>
      </c>
    </row>
    <row r="1038" spans="1:1" x14ac:dyDescent="0.25">
      <c r="A1038" s="19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049, 19331103, 9,    0, 00</v>
      </c>
    </row>
    <row r="1039" spans="1:1" x14ac:dyDescent="0.25">
      <c r="A1039" s="19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049, 19331104, 9,    0, 00</v>
      </c>
    </row>
    <row r="1040" spans="1:1" x14ac:dyDescent="0.25">
      <c r="A1040" s="19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049, 19331105, 9,    0, 00</v>
      </c>
    </row>
    <row r="1041" spans="1:1" x14ac:dyDescent="0.25">
      <c r="A1041" s="19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049, 19331106, 9,    0, 00</v>
      </c>
    </row>
    <row r="1042" spans="1:1" x14ac:dyDescent="0.25">
      <c r="A1042" s="19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049, 19331107, 9,  340, 00</v>
      </c>
    </row>
    <row r="1043" spans="1:1" x14ac:dyDescent="0.25">
      <c r="A1043" s="19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049, 19331108, 9,    0, 00</v>
      </c>
    </row>
    <row r="1044" spans="1:1" x14ac:dyDescent="0.25">
      <c r="A1044" s="19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049, 19331109, 9,  100, 00</v>
      </c>
    </row>
    <row r="1045" spans="1:1" x14ac:dyDescent="0.25">
      <c r="A1045" s="19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049, 19331110, 9,  220, 00</v>
      </c>
    </row>
    <row r="1046" spans="1:1" x14ac:dyDescent="0.25">
      <c r="A1046" s="19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049, 19331111, 9,  100, 00</v>
      </c>
    </row>
    <row r="1047" spans="1:1" x14ac:dyDescent="0.25">
      <c r="A1047" s="19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049, 19331112, 9,    0, 00</v>
      </c>
    </row>
    <row r="1048" spans="1:1" x14ac:dyDescent="0.25">
      <c r="A1048" s="19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049, 19331113, 9,    0, 00</v>
      </c>
    </row>
    <row r="1049" spans="1:1" x14ac:dyDescent="0.25">
      <c r="A1049" s="19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049, 19331114, 9,    0, 00</v>
      </c>
    </row>
    <row r="1050" spans="1:1" x14ac:dyDescent="0.25">
      <c r="A1050" s="19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049, 19331115, 9,   80, 00</v>
      </c>
    </row>
    <row r="1051" spans="1:1" x14ac:dyDescent="0.25">
      <c r="A1051" s="19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049, 19331116, 9,   60, 00</v>
      </c>
    </row>
    <row r="1052" spans="1:1" x14ac:dyDescent="0.25">
      <c r="A1052" s="19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049, 19331117, 9,    0, 00</v>
      </c>
    </row>
    <row r="1053" spans="1:1" x14ac:dyDescent="0.25">
      <c r="A1053" s="19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049, 19331118, 9,    0, 00</v>
      </c>
    </row>
    <row r="1054" spans="1:1" x14ac:dyDescent="0.25">
      <c r="A1054" s="19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049, 19331119, 9,    0, 00</v>
      </c>
    </row>
    <row r="1055" spans="1:1" x14ac:dyDescent="0.25">
      <c r="A1055" s="19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049, 19331120, 9,    0, 00</v>
      </c>
    </row>
    <row r="1056" spans="1:1" x14ac:dyDescent="0.25">
      <c r="A1056" s="19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049, 19331121, 9,    0, 00</v>
      </c>
    </row>
    <row r="1057" spans="1:1" x14ac:dyDescent="0.25">
      <c r="A1057" s="19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049, 19331122, 9,    0, 00</v>
      </c>
    </row>
    <row r="1058" spans="1:1" x14ac:dyDescent="0.25">
      <c r="A1058" s="19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049, 19331123, 9,    0, 00</v>
      </c>
    </row>
    <row r="1059" spans="1:1" x14ac:dyDescent="0.25">
      <c r="A1059" s="19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049, 19331124, 9,   30, 00</v>
      </c>
    </row>
    <row r="1060" spans="1:1" x14ac:dyDescent="0.25">
      <c r="A1060" s="19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049, 19331125, 9,    0, 00</v>
      </c>
    </row>
    <row r="1061" spans="1:1" x14ac:dyDescent="0.25">
      <c r="A1061" s="19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049, 19331126, 9,   90, 00</v>
      </c>
    </row>
    <row r="1062" spans="1:1" x14ac:dyDescent="0.25">
      <c r="A1062" s="19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049, 19331127, 9,   60, 00</v>
      </c>
    </row>
    <row r="1063" spans="1:1" x14ac:dyDescent="0.25">
      <c r="A1063" s="19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049, 19331128, 9,    0, 00</v>
      </c>
    </row>
    <row r="1064" spans="1:1" x14ac:dyDescent="0.25">
      <c r="A1064" s="19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049, 19331129, 9,    0, 00</v>
      </c>
    </row>
    <row r="1065" spans="1:1" x14ac:dyDescent="0.25">
      <c r="A1065" s="19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049, 19331130, 9,    0, 00</v>
      </c>
    </row>
    <row r="1066" spans="1:1" x14ac:dyDescent="0.25">
      <c r="A1066" s="19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19331201, 9, ////, 07</v>
      </c>
    </row>
    <row r="1067" spans="1:1" x14ac:dyDescent="0.25">
      <c r="A1067" s="19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19331202, 9, ////, 07</v>
      </c>
    </row>
    <row r="1068" spans="1:1" x14ac:dyDescent="0.25">
      <c r="A1068" s="19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19331203, 9, ////, 07</v>
      </c>
    </row>
    <row r="1069" spans="1:1" x14ac:dyDescent="0.25">
      <c r="A1069" s="19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19331204, 9, ////, 07</v>
      </c>
    </row>
    <row r="1070" spans="1:1" x14ac:dyDescent="0.25">
      <c r="A1070" s="19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19331205, 9, ////, 07</v>
      </c>
    </row>
    <row r="1071" spans="1:1" x14ac:dyDescent="0.25">
      <c r="A1071" s="19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19331206, 9, ////, 07</v>
      </c>
    </row>
    <row r="1072" spans="1:1" x14ac:dyDescent="0.25">
      <c r="A1072" s="19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19331207, 9, ////, 07</v>
      </c>
    </row>
    <row r="1073" spans="1:1" x14ac:dyDescent="0.25">
      <c r="A1073" s="19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19331208, 9, ////, 07</v>
      </c>
    </row>
    <row r="1074" spans="1:1" x14ac:dyDescent="0.25">
      <c r="A1074" s="19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19331209, 9, ////, 07</v>
      </c>
    </row>
    <row r="1075" spans="1:1" x14ac:dyDescent="0.25">
      <c r="A1075" s="19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19331210, 9, ////, 07</v>
      </c>
    </row>
    <row r="1076" spans="1:1" x14ac:dyDescent="0.25">
      <c r="A1076" s="19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19331211, 9, ////, 07</v>
      </c>
    </row>
    <row r="1077" spans="1:1" x14ac:dyDescent="0.25">
      <c r="A1077" s="19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19331212, 9, ////, 07</v>
      </c>
    </row>
    <row r="1078" spans="1:1" x14ac:dyDescent="0.25">
      <c r="A1078" s="19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19331213, 9, ////, 07</v>
      </c>
    </row>
    <row r="1079" spans="1:1" x14ac:dyDescent="0.25">
      <c r="A1079" s="19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19331214, 9, ////, 07</v>
      </c>
    </row>
    <row r="1080" spans="1:1" x14ac:dyDescent="0.25">
      <c r="A1080" s="19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19331215, 9, ////, 07</v>
      </c>
    </row>
    <row r="1081" spans="1:1" x14ac:dyDescent="0.25">
      <c r="A1081" s="19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19331216, 9, ////, 07</v>
      </c>
    </row>
    <row r="1082" spans="1:1" x14ac:dyDescent="0.25">
      <c r="A1082" s="19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19331217, 9, ////, 07</v>
      </c>
    </row>
    <row r="1083" spans="1:1" x14ac:dyDescent="0.25">
      <c r="A1083" s="19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19331218, 9, ////, 07</v>
      </c>
    </row>
    <row r="1084" spans="1:1" x14ac:dyDescent="0.25">
      <c r="A1084" s="19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19331219, 9, ////, 07</v>
      </c>
    </row>
    <row r="1085" spans="1:1" x14ac:dyDescent="0.25">
      <c r="A1085" s="19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19331220, 9, ////, 07</v>
      </c>
    </row>
    <row r="1086" spans="1:1" x14ac:dyDescent="0.25">
      <c r="A1086" s="19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19331221, 9, ////, 07</v>
      </c>
    </row>
    <row r="1087" spans="1:1" x14ac:dyDescent="0.25">
      <c r="A1087" s="19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19331222, 9, ////, 07</v>
      </c>
    </row>
    <row r="1088" spans="1:1" x14ac:dyDescent="0.25">
      <c r="A1088" s="19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19331223, 9, ////, 07</v>
      </c>
    </row>
    <row r="1089" spans="1:1" x14ac:dyDescent="0.25">
      <c r="A1089" s="19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19331224, 9, ////, 07</v>
      </c>
    </row>
    <row r="1090" spans="1:1" x14ac:dyDescent="0.25">
      <c r="A1090" s="19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19331225, 9, ////, 07</v>
      </c>
    </row>
    <row r="1091" spans="1:1" x14ac:dyDescent="0.25">
      <c r="A1091" s="19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19331226, 9, ////, 07</v>
      </c>
    </row>
    <row r="1092" spans="1:1" x14ac:dyDescent="0.25">
      <c r="A1092" s="19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19331227, 9, ////, 07</v>
      </c>
    </row>
    <row r="1093" spans="1:1" x14ac:dyDescent="0.25">
      <c r="A1093" s="19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19331228, 9, ////, 07</v>
      </c>
    </row>
    <row r="1094" spans="1:1" x14ac:dyDescent="0.25">
      <c r="A1094" s="19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19331229, 9, ////, 07</v>
      </c>
    </row>
    <row r="1095" spans="1:1" x14ac:dyDescent="0.25">
      <c r="A1095" s="19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19331230, 9, ////, 07</v>
      </c>
    </row>
    <row r="1096" spans="1:1" x14ac:dyDescent="0.25">
      <c r="A1096" s="19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19331231, 9,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044, 19330101, 08.00, 7590, 00,  280, 00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044, 19330101, 15.00, 7590, 00,  285, 00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044, 19330102, 08.00, 7590, 00,  285, 00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044, 19330102, 15.00, 7590, 00,  285, 00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044, 19330103, 08.00, 7590, 00,  280, 00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044, 19330103, 15.00, 7590, 00,  285, 00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044, 19330104, 08.00, 7590, 00,  280, 00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044, 19330104, 15.00, 7590, 00,  285, 00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044, 19330105, 08.00, 7590, 00,  280, 00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044, 19330105, 15.00, 7590, 00,  285, 00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044, 19330106, 08.00, 7590, 00,  280, 00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044, 19330106, 15.00, 7590, 00,  285, 00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044, 19330107, 08.00, 7590, 00,  275, 00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044, 19330107, 15.00, 7580, 00,  285, 00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044, 19330108, 08.00, 7590, 00,  280, 00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044, 19330108, 15.00, 7590, 00,  280, 00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044, 19330109, 08.00, 7590, 00,  280, 00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044, 19330109, 15.00, 7590, 00,  290, 00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044, 19330110, 08.00, 7590, 00,  270, 00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044, 19330110, 15.00, 7590, 00,  285, 00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044, 19330111, 08.00, 7590, 00,  270, 00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044, 19330111, 15.00, 7590, 00,  280, 00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044, 19330112, 08.00, 7590, 00,  270, 00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044, 19330112, 15.00, 7590, 00,  280, 00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044, 19330113, 08.00, 7590, 00,  280, 00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044, 19330113, 15.00, 7590, 00,  280, 00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044, 19330114, 08.00, 7590, 00,  260, 00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044, 19330114, 15.00, 7590, 00,  265, 00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044, 19330115, 08.00, 7590, 00,  265, 00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044, 19330115, 15.00, 7590, 00,  270, 00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044, 19330116, 08.00, 7590, 00,  265, 00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044, 19330116, 15.00, 7590, 00,  270, 00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044, 19330117, 08.00, 7590, 00,  250, 00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044, 19330117, 15.00, 7590, 00,  270, 00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044, 19330118, 08.00, 7590, 00,  270, 00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044, 19330118, 15.00, 7590, 00,  265, 00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044, 19330119, 08.00, 7590, 00,  265, 00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044, 19330119, 15.00, 7590, 00,  270, 00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044, 19330120, 08.00, 7590, 00,  270, 00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044, 19330120, 15.00, 7590, 00,  270, 00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044, 19330121, 08.00, 7590, 00,  270, 00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044, 19330121, 15.00, 7590, 00,  270, 00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044, 19330122, 08.00, 7590, 00,  270, 00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044, 19330122, 15.00, 7590, 00,  270, 00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044, 19330123, 08.00, 7590, 00,  270, 00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044, 19330123, 15.00, 7590, 00,  280, 00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044, 19330124, 08.00, 7590, 00,  270, 00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044, 19330124, 15.00, 7590, 00,  280, 00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044, 19330125, 08.00, 7590, 00,  265, 00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044, 19330125, 15.00, 7590, 00,  280, 00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044, 19330126, 08.00, 7590, 00,  265, 00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044, 19330126, 15.00, 7590, 00,  280, 00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044, 19330127, 08.00, 7590, 00,  270, 00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044, 19330127, 15.00, 7590, 00,  280, 00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044, 19330128, 08.00, 7590, 00,  265, 00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044, 19330128, 15.00, 7590, 00,  280, 00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044, 19330129, 08.00, 7590, 00,  270, 00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044, 19330129, 15.00, 7590, 00,  280, 00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044, 19330130, 08.00, 7590, 00,  280, 00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044, 19330130, 15.00, 7590, 00,  280, 00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044, 19330131, 08.00, 7590, 00,  280, 00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044, 19330131, 15.00, 7590, 00,  290, 00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044, 19330201, 08.00, 7590, 00,  280, 00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044, 19330201, 15.00, 7590, 00,  290, 00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044, 19330202, 08.00, 7590, 00,  275, 00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044, 19330202, 15.00, 7590, 00,  285, 00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044, 19330203, 08.00, 7590, 00,  275, 00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044, 19330203, 15.00, 7590, 00,  280, 00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044, 19330204, 08.00, 7590, 00,  285, 00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044, 19330204, 15.00, 7590, 00,  290, 00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044, 19330205, 08.00, 7590, 00,  285, 00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044, 19330205, 15.00, 7590, 00,  295, 00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044, 19330206, 08.00, 7590, 00,  285, 00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044, 19330206, 15.00, 7590, 00,  295, 00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044, 19330207, 08.00, 7590, 00,  280, 00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044, 19330207, 15.00, 7590, 00,  280, 00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044, 19330208, 08.00, 7590, 00,  280, 00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044, 19330208, 15.00, 7590, 00,  280, 00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044, 19330209, 08.00, 7590, 00,  270, 00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044, 19330209, 15.00, 7590, 00,  270, 00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044, 19330210, 08.00, 7590, 00,  270, 00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044, 19330210, 15.00, 7590, 00,  280, 00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044, 19330211, 08.00, 7590, 00,  270, 00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044, 19330211, 15.00, 7590, 00,  270, 00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044, 19330212, 08.00, 7590, 00,  270, 00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044, 19330212, 15.00, 7590, 00,  270, 00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044, 19330213, 08.00, 7590, 00,  270, 00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044, 19330213, 15.00, 7590, 00,  280, 00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044, 19330214, 08.00, 7590, 00,  280, 00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044, 19330214, 15.00, 7590, 00,  280, 00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044, 19330215, 08.00, 7595, 00,  260, 00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044, 19330215, 15.00, 7590, 00,  270, 00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044, 19330216, 08.00, 7595, 00,  265, 00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044, 19330216, 15.00, 7590, 00,  280, 00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044, 19330217, 08.00, 7590, 00,  270, 00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044, 19330217, 15.00, 7590, 00,  270, 00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044, 19330218, 08.00, 7590, 00,  270, 00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044, 19330218, 15.00, 7590, 00,  280, 00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044, 19330219, 08.00, 7590, 00,  270, 00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044, 19330219, 15.00, 7590, 00,  280, 00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044, 19330220, 08.00, 7590, 00,  260, 00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044, 19330220, 15.00, 7590, 00,  275, 00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044, 19330221, 08.00, 7590, 00,  265, 00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044, 19330221, 15.00, 7595, 00,  270, 00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044, 19330222, 08.00, 7595, 00,  270, 00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044, 19330222, 15.00, 7595, 00,  280, 00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044, 19330223, 08.00, 7595, 00,  270, 00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044, 19330223, 15.00, 7595, 00,  280, 00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044, 19330224, 08.00, 7595, 00,  270, 00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044, 19330224, 15.00, 7595, 00,  280, 00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044, 19330225, 08.00, 7595, 00,  270, 00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044, 19330225, 15.00, 7595, 00,  280, 00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044, 19330226, 08.00, 7590, 00,  270, 00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044, 19330226, 15.00, 7590, 00,  280, 00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044, 19330227, 08.00, 7590, 00,  270, 00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044, 19330227, 15.00, 7590, 00,  280, 00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044, 19330228, 08.00, 7590, 00,  280, 00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044, 19330228, 15.00, 7590, 00,  280, 00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044, 19330301, 08.00, 7590, 00,  275, 00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044, 19330301, 15.00, 7590, 00,  280, 00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044, 19330302, 08.00, 7590, 00,  270, 00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044, 19330302, 15.00, 7575, 00,  295, 00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044, 19330303, 08.00, 7590, 00,  280, 00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044, 19330303, 15.00, 7580, 00,  290, 00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044, 19330304, 08.00, 7590, 00,  290, 00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044, 19330304, 15.00, 7580, 00,  290, 00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044, 19330305, 08.00, 7590, 00,  290, 00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044, 19330305, 15.00, 7580, 00,  290, 00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044, 19330306, 08.00, 7590, 00,  270, 00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044, 19330306, 15.00, 7590, 00,  270, 00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044, 19330307, 08.00, 7590, 00,  270, 00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044, 19330307, 15.00, 7590, 00,  280, 00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044, 19330308, 08.00, 7590, 00,  290, 00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044, 19330308, 15.00, 7590, 00,  290, 00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044, 19330309, 08.00, 7590, 00,  280, 00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044, 19330309, 15.00, 7590, 00,  290, 00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044, 19330310, 08.00, 7590, 00,  280, 00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044, 19330310, 15.00, 7590, 00,  290, 00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044, 19330311, 08.00, 7590, 00,  280, 00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044, 19330311, 15.00, 7590, 00,  290, 00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044, 19330312, 08.00, 7590, 00,  280, 00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044, 19330312, 15.00, 7590, 00,  290, 00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044, 19330313, 08.00, 7590, 00,  275, 00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044, 19330313, 15.00, 7590, 00,  290, 00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044, 19330314, 08.00, 7590, 00,  280, 00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044, 19330314, 15.00, 7590, 00,  290, 00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044, 19330315, 08.00, 7590, 00,  280, 00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044, 19330315, 15.00, 7590, 00,  290, 00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044, 19330316, 08.00, 7590, 00,  285, 00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044, 19330316, 15.00, 7585, 00,  290, 00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044, 19330317, 08.00, 7590, 00,  285, 00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044, 19330317, 15.00, 7590, 00,  290, 00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044, 19330318, 08.00, 7580, 00,  280, 00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044, 19330318, 15.00, 7590, 00,  290, 00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044, 19330319, 08.00, 7590, 00,  280, 00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044, 19330319, 15.00, 7595, 00,  290, 00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044, 19330320, 08.00, 7590, 00,  280, 00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044, 19330320, 15.00, 7595, 00,  290, 00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044, 19330321, 08.00, 7590, 00,  285, 00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044, 19330321, 15.00, 7595, 00,  290, 00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044, 19330322, 08.00, 7590, 00,  280, 00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044, 19330322, 15.00, 7590, 00,  290, 00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044, 19330323, 08.00, 7590, 00,  280, 00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044, 19330323, 15.00, 7590, 00,  290, 00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044, 19330324, 08.00, 7590, 00,  280, 00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044, 19330324, 15.00, 7590, 00,  290, 00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044, 19330325, 08.00, 7590, 00,  280, 00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044, 19330325, 15.00, 7590, 00,  290, 00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044, 19330326, 08.00, 7590, 00,  280, 00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044, 19330326, 15.00, 7590, 00,  290, 00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044, 19330327, 08.00, 7590, 00,  280, 00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044, 19330327, 15.00, 7590, 00,  290, 00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044, 19330328, 08.00, 7590, 00,  280, 00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044, 19330328, 15.00, 7590, 00,  290, 00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044, 19330329, 08.00, 7590, 00,  280, 00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044, 19330329, 15.00, 7590, 00,  290, 00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044, 19330330, 08.00, 7590, 00,  280, 00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044, 19330330, 15.00, 7590, 00,  290, 00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044, 19330331, 08.00, 7590, 00,  280, 00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044, 19330331, 15.00, 7590, 00,  290, 00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044, 19330401, 08.00, 7590, 00,  280, 00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044, 19330401, 15.00, 7590, 00,  290, 00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044, 19330402, 08.00, 7590, 00,  280, 00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044, 19330402, 15.00, 7595, 00,  290, 00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044, 19330403, 08.00, 7590, 00,  280, 00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044, 19330403, 15.00, 7590, 00,  290, 00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044, 19330404, 08.00, 7590, 00,  280, 00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044, 19330404, 15.00, 7590, 00,  290, 00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044, 19330405, 08.00, 7585, 00,  285, 00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044, 19330405, 15.00, 7590, 00,  290, 00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044, 19330406, 08.00, 7590, 00,  280, 00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044, 19330406, 15.00, 7590, 00,  290, 00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044, 19330407, 08.00, 7590, 00,  280, 00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044, 19330407, 15.00, 7590, 00,  290, 00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044, 19330408, 08.00, 7590, 00,  280, 00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044, 19330408, 15.00, 7590, 00,  290, 00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044, 19330409, 08.00, 7585, 00,  280, 00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044, 19330409, 15.00, 7590, 00,  290, 00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044, 19330410, 08.00, 7585, 00,  280, 00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044, 19330410, 15.00, 7590, 00,  290, 00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044, 19330411, 08.00, 7590, 00,  285, 00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044, 19330411, 15.00, 7590, 00,  290, 00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044, 19330412, 08.00, 7590, 00,  285, 00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044, 19330412, 15.00, 7590, 00,  290, 00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044, 19330413, 08.00, 7590, 00,  280, 00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044, 19330413, 15.00, 7590, 00,  290, 00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044, 19330414, 08.00, 7590, 00,  280, 00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044, 19330414, 15.00, 7590, 00,  290, 00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044, 19330415, 08.00, 7590, 00,  280, 00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044, 19330415, 15.00, 7590, 00,  290, 00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044, 19330416, 08.00, 7590, 00,  280, 00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044, 19330416, 15.00, 7590, 00,  290, 00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044, 19330417, 08.00, 7590, 00,  285, 00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044, 19330417, 15.00, 7590, 00,  290, 00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044, 19330418, 08.00, 7590, 00,  280, 00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044, 19330418, 15.00, 7590, 00,  290, 00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044, 19330419, 08.00, 7585, 00,  280, 00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044, 19330419, 15.00, 7590, 00,  290, 00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044, 19330420, 08.00, 7590, 00,  280, 00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044, 19330420, 15.00, 7590, 00,  290, 00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044, 19330421, 08.00, 7590, 00,  285, 00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044, 19330421, 15.00, 7590, 00,  290, 00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044, 19330422, 08.00, 7590, 00,  280, 00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044, 19330422, 15.00, 7590, 00,  290, 00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044, 19330423, 08.00, 7590, 00,  280, 00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044, 19330423, 15.00, 7590, 00,  290, 00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044, 19330424, 08.00, 7590, 00,  280, 00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044, 19330424, 15.00, 7590, 00,  290, 00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044, 19330425, 08.00, 7590, 00,  280, 00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044, 19330425, 15.00, 7590, 00,  290, 00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044, 19330426, 08.00, 7590, 00,  275, 00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044, 19330426, 15.00, 7590, 00,  285, 00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044, 19330427, 08.00, 7580, 00,  280, 00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044, 19330427, 15.00, 7585, 00,  290, 00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044, 19330428, 08.00, 7580, 00,  290, 00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044, 19330428, 15.00, 7580, 00,  300, 00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044, 19330429, 08.00, 7580, 00,  290, 00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044, 19330429, 15.00, 7580, 00,  300, 00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044, 19330430, 08.00, 7585, 00,  290, 00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044, 19330430, 15.00, 7570, 00,  310, 00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044, 19330501, 08.00, 7585, 00,  290, 00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044, 19330501, 15.00, 7570, 00,  315, 00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044, 19330502, 08.00, 7585, 00,  295, 00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044, 19330502, 15.00, 7570, 00,  315, 00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044, 19330503, 08.00, 7585, 00,  305, 00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044, 19330503, 15.00, 7575, 00,  315, 00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044, 19330504, 08.00, 7585, 00,  295, 00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044, 19330504, 15.00, 7575, 00,  310, 00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044, 19330505, 08.00, 7590, 00,  295, 00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044, 19330505, 15.00, 7585, 00,  310, 00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044, 19330506, 08.00, 7590, 00,  300, 00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044, 19330506, 15.00, 7585, 00,  310, 00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044, 19330507, 08.00, 7590, 00,  300, 00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044, 19330507, 15.00, 7590, 00,  310, 00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044, 19330508, 08.00, 7590, 00,  300, 00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044, 19330508, 15.00, 7590, 00,  310, 00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044, 19330509, 08.00, 7580, 00,  290, 00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044, 19330509, 15.00, 7590, 00,  300, 00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044, 19330510, 08.00, 7580, 00,  290, 00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044, 19330510, 15.00, 7590, 00,  300, 00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044, 19330511, 08.00, 7580, 00,  300, 00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044, 19330511, 15.00, 7590, 00,  310, 00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044, 19330512, 08.00, 7585, 00,  300, 00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044, 19330512, 15.00, 7590, 00,  310, 00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044, 19330513, 08.00, 7585, 00,  290, 00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044, 19330513, 15.00, 7590, 00,  300, 00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044, 19330514, 08.00, 7590, 00,  290, 00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044, 19330514, 15.00, 7590, 00,  300, 00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044, 19330515, 08.00, 7590, 00,  290, 00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044, 19330515, 15.00, 7590, 00,  300, 00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044, 19330516, 08.00, 7590, 00,  295, 00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044, 19330516, 15.00, 7590, 00,  300, 00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044, 19330517, 08.00, 7590, 00,  295, 00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044, 19330517, 15.00, 7590, 00,  300, 00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044, 19330518, 08.00, 7585, 00,  295, 00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044, 19330518, 15.00, 7590, 00,  300, 00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044, 19330519, 08.00, 7585, 00,  295, 00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044, 19330519, 15.00, 7590, 00,  310, 00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044, 19330520, 08.00, 7590, 00,  295, 00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044, 19330520, 15.00, 7590, 00,  310, 00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044, 19330521, 08.00, 7590, 00,  295, 00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044, 19330521, 15.00, 7590, 00,  310, 00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044, 19330522, 08.00, 7590, 00,  300, 00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044, 19330522, 15.00, 7590, 00,  310, 00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044, 19330523, 08.00, 7590, 00,  300, 00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044, 19330523, 15.00, 7590, 00,  310, 00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044, 19330524, 08.00, 7590, 00,  300, 00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044, 19330524, 15.00, 7590, 00,  310, 00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044, 19330525, 08.00, 7590, 00,  300, 00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044, 19330525, 15.00, 7590, 00,  310, 00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044, 19330526, 08.00, 7585, 00,  300, 00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044, 19330526, 15.00, 7590, 00,  310, 00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044, 19330527, 08.00, 7585, 00,  300, 00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044, 19330527, 15.00, 7590, 00,  310, 00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044, 19330528, 08.00, 7585, 00,  300, 00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044, 19330528, 15.00, 7590, 00,  315, 00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044, 19330529, 08.00, 7585, 00,  305, 00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044, 19330529, 15.00, 7590, 00,  315, 00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044, 19330530, 08.00, 7580, 00,  315, 00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044, 19330530, 15.00, 7580, 00,  320, 00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044, 19330531, 08.00, 7580, 00,  310, 00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044, 19330531, 15.00, 7575, 00,  320, 00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044, 19330601, 08.00, 7580, 00,  315, 00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044, 19330601, 15.00, 7575, 00,  320, 00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044, 19330602, 08.00, 7585, 00,  305, 00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044, 19330602, 15.00, 7585, 00,  320, 00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044, 19330603, 08.00, 7585, 00,  305, 00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044, 19330603, 15.00, 7585, 00,  320, 00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044, 19330604, 08.00, 7590, 00,  300, 00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044, 19330604, 15.00, 7590, 00,  310, 00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044, 19330605, 08.00, 7590, 00,  300, 00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044, 19330605, 15.00, 7590, 00,  310, 00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044, 19330606, 08.00, 7590, 00,  300, 00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044, 19330606, 15.00, 7590, 00,  310, 00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044, 19330607, 08.00, 7590, 00,  300, 00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044, 19330607, 15.00, 7590, 00,  310, 00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044, 19330608, 08.00, 7585, 00,  305, 00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044, 19330608, 15.00, 7585, 00,  310, 00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044, 19330609, 08.00, 7585, 00,  305, 00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044, 19330609, 15.00, 7585, 00,  310, 00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044, 19330610, 08.00, 7590, 00,  300, 00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044, 19330610, 15.00, 7590, 00,  310, 00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044, 19330611, 08.00, 7590, 00,  290, 00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044, 19330611, 15.00, 7590, 00,  300, 00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044, 19330612, 08.00, 7590, 00,  290, 00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044, 19330612, 15.00, 7590, 00,  300, 00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044, 19330613, 08.00, 7590, 00,  290, 00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044, 19330613, 15.00, 7590, 00,  310, 00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044, 19330614, 08.00, 7590, 00,  290, 00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044, 19330614, 15.00, 7590, 00,  310, 00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044, 19330615, 08.00, 7590, 00,  300, 00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044, 19330615, 15.00, 7585, 00,  310, 00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044, 19330616, 08.00, 7590, 00,  290, 00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044, 19330616, 15.00, 7580, 00,  315, 00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044, 19330617, 08.00, 7590, 00,  300, 00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044, 19330617, 15.00, 7580, 00,  315, 00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044, 19330618, 08.00, 7590, 00,  310, 00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044, 19330618, 15.00, 7590, 00,  315, 00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044, 19330619, 08.00, 7590, 00,  310, 00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044, 19330619, 15.00, 7590, 00,  315, 00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044, 19330620, 08.00, 7590, 00,  305, 00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044, 19330620, 15.00, 7585, 00,  320, 00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044, 19330621, 08.00, 7590, 00,  305, 00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044, 19330621, 15.00, 7580, 00,  325, 00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044, 19330622, 08.00, 7590, 00,  305, 00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044, 19330622, 15.00, 7580, 00,  320, 00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044, 19330623, 08.00, 7590, 00,  305, 00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044, 19330623, 15.00, 7580, 00,  320, 00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044, 19330624, 08.00, 7590, 00,  300, 00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044, 19330624, 15.00, 7585, 00,  320, 00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044, 19330625, 08.00, 7590, 00,  300, 00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044, 19330625, 15.00, 7585, 00,  320, 00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044, 19330626, 08.00, 7585, 00,  305, 00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044, 19330626, 15.00, 7580, 00,  315, 00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044, 19330627, 08.00, 7580, 00,  305, 00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044, 19330627, 15.00, 7580, 00,  315, 00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044, 19330628, 08.00, 7580, 00,  295, 00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044, 19330628, 15.00, 7580, 00,  310, 00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044, 19330629, 08.00, 7590, 00,  280, 00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044, 19330629, 15.00, 7580, 00,  310, 00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044, 19330630, 08.00, 7590, 00,  295, 00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044, 19330630, 15.00, 7590, 00,  305, 00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044, 19330701, 08.00, 7590, 00,  295, 00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044, 19330701, 15.00, 7590, 00,  300, 00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044, 19330702, 08.00, 7590, 00,  295, 00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044, 19330702, 15.00, 7590, 00,  300, 00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044, 19330703, 08.00, 7590, 00,  295, 00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044, 19330703, 15.00, 7590, 00,  305, 00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044, 19330704, 08.00, 7590, 00,  295, 00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044, 19330704, 15.00, 7590, 00,  305, 00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044, 19330705, 08.00, 7590, 00,  295, 00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044, 19330705, 15.00, 7590, 00,  305, 00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044, 19330706, 08.00, 7590, 00,  300, 00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044, 19330706, 15.00, 7590, 00,  310, 00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044, 19330707, 08.00, 7585, 00,  295, 00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044, 19330707, 15.00, 7575, 00,  310, 00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044, 19330708, 08.00, 7590, 00,  300, 00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044, 19330708, 15.00, 7585, 00,  315, 00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044, 19330709, 08.00, 7590, 00,  300, 00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044, 19330709, 15.00, 7590, 00,  310, 00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044, 19330710, 08.00, 7590, 00,  305, 00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044, 19330710, 15.00, 7585, 00,  305, 00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044, 19330711, 08.00, 7585, 00,  300, 00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044, 19330711, 15.00, 7585, 00,  305, 00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044, 19330712, 08.00, 7590, 00,  300, 00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044, 19330712, 15.00, 7590, 00,  310, 00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044, 19330713, 08.00, 7590, 00,  300, 00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044, 19330713, 15.00, 7590, 00,  310, 00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044, 19330714, 08.00, 7590, 00,  295, 00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044, 19330714, 15.00, 7585, 00,  305, 00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044, 19330715, 08.00, 7585, 00,  300, 00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044, 19330715, 15.00, 7580, 00,  315, 00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044, 19330716, 08.00, 7605, 00,  310, 00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044, 19330716, 15.00, 7590, 00,  310, 00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044, 19330717, 08.00, 7590, 00,  300, 00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044, 19330717, 15.00, 7585, 00,  295, 00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044, 19330718, 08.00, 7585, 00,  300, 00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044, 19330718, 15.00, 7585, 00,  310, 00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044, 19330719, 08.00, 7590, 00,  300, 00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044, 19330719, 15.00, 7590, 00,  310, 00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044, 19330720, 08.00, 7590, 00,  300, 00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044, 19330720, 15.00, 7585, 00,  310, 00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044, 19330721, 08.00, 7585, 00,  305, 00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044, 19330721, 15.00, 7585, 00,  310, 00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044, 19330722, 08.00, 7585, 00,  290, 00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044, 19330722, 15.00, 7585, 00,  305, 00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044, 19330723, 08.00, 7590, 00,  300, 00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044, 19330723, 15.00, 7590, 00,  310, 00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044, 19330724, 08.00, 7615, 00,  300, 00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044, 19330724, 15.00, 7605, 00,  305, 00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044, 19330725, 08.00, 7585, 00,  310, 00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044, 19330725, 15.00, 7575, 00,  300, 00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044, 19330726, 08.00, 7595, 00,  300, 00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044, 19330726, 15.00, 7575, 00,  320, 00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044, 19330727, 08.00, 7590, 00,  310, 00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044, 19330727, 15.00, 7585, 00,  315, 00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044, 19330728, 08.00, 7590, 00,  300, 00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044, 19330728, 15.00, 7590, 00,  310, 00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044, 19330729, 08.00, 7590, 00,  305, 00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044, 19330729, 15.00, 7590, 00,  305, 00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044, 19330730, 08.00, 7590, 00,  300, 00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044, 19330730, 15.00, 7585, 00,  310, 00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044, 19330731, 08.00, 7595, 00,  300, 00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044, 19330731, 15.00, 7590, 00,  315, 00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044, 19330801, 08.00, 7620, 00,  289, 00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044, 19330801, 15.00, 7595, 00,  306, 00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044, 19330802, 08.00, 7623, 00,  286, 00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044, 19330802, 15.00, 7597, 00,  283, 00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044, 19330803, 08.00, 7617, 00,  275, 00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044, 19330803, 15.00, 7595, 00,  294, 00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044, 19330804, 08.00, 7607, 00,  289, 00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044, 19330804, 15.00, 7597, 00,  308, 00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044, 19330805, 08.00, 7612, 00,  294, 00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044, 19330805, 15.00, 7595, 00,  306, 00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044, 19330806, 08.00, 7615, 00,  289, 00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044, 19330806, 15.00, 7595, 00,  306, 00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044, 19330807, 08.00, 7625, 00,  294, 00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044, 19330807, 15.00, 7605, 00,  308, 00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044, 19330808, 08.00, 7612, 00,  292, 00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044, 19330808, 15.00, 7597, 00,  306, 00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044, 19330809, 08.00, 7605, 00,  294, 00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044, 19330809, 15.00, 7597, 00,  306, 00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044, 19330810, 08.00, 7628, 00,  292, 00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044, 19330810, 15.00, 7607, 00,  306, 00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044, 19330811, 08.00, 7628, 00,  286, 00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044, 19330811, 15.00, 7607, 00,  289, 00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044, 19330812, 08.00, 7620, 00,  289, 00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044, 19330812, 15.00, 7600, 00,  300, 00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044, 19330813, 08.00, 7607, 00,  289, 00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044, 19330813, 15.00, 7595, 00,  303, 00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044, 19330814, 08.00, 7605, 00,  289, 00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044, 19330814, 15.00, 7587, 00,  308, 00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044, 19330815, 08.00, 7612, 00,  294, 00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044, 19330815, 15.00, 7602, 00,  306, 00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044, 19330816, 08.00, 7612, 00,  289, 00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044, 19330816, 15.00, 7592, 00,  306, 00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044, 19330817, 08.00, 7597, 00,  286, 00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044, 19330817, 15.00, 7577, 00,  289, 00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044, 19330818, 08.00, 7595, 00,  281, 00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044, 19330818, 15.00, 7579, 00,  306, 00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044, 19330819, 08.00, 7607, 00,  289, 00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044, 19330819, 15.00, 7592, 00,  294, 00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044, 19330820, 08.00, 7607, 00,  289, 00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044, 19330820, 15.00, 7592, 00,  297, 00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044, 19330821, 08.00, 7607, 00,  292, 00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044, 19330821, 15.00, 7587, 00,  308, 00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044, 19330822, 08.00, 7600, 00,  289, 00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044, 19330822, 15.00, 7582, 00,  308, 00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044, 19330823, 08.00, 7602, 00,  289, 00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044, 19330823, 15.00, 7577, 00,  300, 00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044, 19330824, 08.00, 7595, 00,  289, 00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044, 19330824, 15.00, 7569, 00,  306, 00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044, 19330825, 08.00, 7590, 00,  294, 00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044, 19330825, 15.00, 7595, 00,  294, 00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044, 19330826, 08.00, 7610, 00,  286, 00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044, 19330826, 15.00, 7595, 00,  306, 00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044, 19330827, 08.00, 7607, 00,  289, 00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044, 19330827, 15.00, 7592, 00,  297, 00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044, 19330828, 08.00, 7605, 00,  292, 00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044, 19330828, 15.00, 7582, 00,  294, 00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044, 19330829, 08.00, 7597, 00,  292, 00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044, 19330829, 15.00, 7590, 00,  292, 00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044, 19330830, 08.00, 7612, 00,  283, 00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044, 19330830, 15.00, 7587, 00,  306, 00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044, 19330831, 08.00, 7615, 00,  289, 00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044, 19330831, 15.00, 7595, 00,  306, 00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044, 19330901, 08.00, 7607, 00,  292, 00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044, 19330901, 15.00, 7587, 00,  311, 00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044, 19330902, 08.00, 7605, 00,  292, 00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044, 19330902, 15.00, 7582, 00,  308, 00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044, 19330903, 08.00, 7610, 00,  289, 00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044, 19330903, 15.00, 7594, 00,  294, 00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044, 19330904, 08.00, 7607, 00,  294, 00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044, 19330904, 15.00, 7585, 00,  308, 00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044, 19330905, 08.00, 7601, 00,  297, 00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044, 19330905, 15.00, 7577, 00,  311, 00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044, 19330906, 08.00, 7596, 00,  297, 00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044, 19330906, 15.00, 7577, 00,  311, 00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044, 19330907, 08.00, 7602, 00,  289, 00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044, 19330907, 15.00, 7581, 00,  300, 00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044, 19330908, 08.00, 7614, 00,  294, 00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044, 19330908, 15.00, 7590, 00,  306, 00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044, 19330909, 08.00, 7614, 00,  294, 00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044, 19330909, 15.00, 7585, 00,  308, 00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044, 19330910, 08.00, 7614, 00,  294, 00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044, 19330910, 15.00, 7601, 00,  294, 00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044, 19330911, 08.00, 7597, 00,  292, 00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044, 19330911, 15.00, 7572, 00,  306, 00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044, 19330912, 08.00, 7604, 00,  297, 00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044, 19330912, 15.00, 7577, 00,  311, 00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044, 19330913, 08.00, 7608, 00,  300, 00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044, 19330913, 15.00, 7589, 00,  311, 00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044, 19330914, 08.00, 7604, 00,  294, 00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044, 19330914, 15.00, 7585, 00,  308, 00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044, 19330915, 08.00, 7602, 00,  292, 00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044, 19330915, 15.00, 7585, 00,  306, 00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044, 19330916, 08.00, 7609, 00,  294, 00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044, 19330916, 15.00, 7590, 00,  306, 00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044, 19330917, 08.00, 7610, 00,  289, 00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044, 19330917, 15.00, 7580, 00,  306, 00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044, 19330918, 08.00, 7613, 00,  281, 00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044, 19330918, 15.00, 7596, 00,  294, 00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044, 19330919, 08.00, 7605, 00,  286, 00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044, 19330919, 15.00, 7586, 00,  294, 00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044, 19330920, 08.00, 7605, 00,  286, 00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044, 19330920, 15.00, 7588, 00,  300, 00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044, 19330921, 08.00, 7608, 00,  286, 00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044, 19330921, 15.00, 7588, 00,  303, 00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044, 19330922, 08.00, 7607, 00,  289, 00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044, 19330922, 15.00, 7589, 00,  294, 00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044, 19330923, 08.00, 7610, 00,  289, 00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044, 19330923, 15.00, 7588, 00,  300, 00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044, 19330924, 08.00, 7615, 00,  286, 00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044, 19330924, 15.00, 7586, 00,  294, 00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044, 19330925, 08.00, 7602, 00,  289, 00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044, 19330925, 15.00, 7578, 00,  303, 00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044, 19330926, 08.00, 7599, 00,  292, 00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044, 19330926, 15.00, 7579, 00,  314, 00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044, 19330927, 08.00, 7605, 00,  286, 00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044, 19330927, 15.00, 7580, 00,  303, 00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044, 19330928, 08.00, 7601, 00,  278, 00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044, 19330928, 15.00, 7582, 00,  292, 00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044, 19330929, 08.00, 7596, 00,  281, 00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044, 19330929, 15.00, 7563, 00,  297, 00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044, 19330930, 08.00, 7596, 00,  275, 00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044, 19330930, 15.00, 7559, 00,  289, 00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044, 19331001, 08.00, 7588, 00,  283, 00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044, 19331001, 15.00, 7563, 00,  300, 00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044, 19331002, 08.00, 7585, 00,  286, 00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044, 19331002, 15.00, 7563, 00,  297, 00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044, 19331003, 08.00, 7582, 00,  286, 00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044, 19331003, 15.00, 7560, 00,  303, 00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044, 19331004, 08.00, 7587, 00,  289, 00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044, 19331004, 15.00, 7570, 00,  303, 00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044, 19331005, 08.00, 7595, 00,  286, 00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044, 19331005, 15.00, 7575, 00,  303, 00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044, 19331006, 08.00, 7582, 00,  289, 00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044, 19331006, 15.00, 7591, 00,  294, 00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044, 19331007, 08.00, 7613, 00,  283, 00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044, 19331007, 15.00, 7589, 00,  297, 00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044, 19331008, 08.00, 7609, 00,  278, 00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044, 19331008, 15.00, 7584, 00,  294, 00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044, 19331009, 08.00, 7600, 00,  289, 00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044, 19331009, 15.00, 7586, 00,  300, 00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044, 19331010, 08.00, 7605, 00,  289, 00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044, 19331010, 15.00, 7583, 00,  283, 00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044, 19331011, 08.00, 7607, 00,  294, 00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044, 19331011, 15.00, 7588, 00,  300, 00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044, 19331012, 08.00, 7605, 00,  292, 00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044, 19331012, 15.00, 7580, 00,  303, 00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044, 19331013, 08.00, 7600, 00,  289, 00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044, 19331013, 15.00, 7570, 00,  306, 00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044, 19331014, 08.00, 7600, 00,  289, 00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044, 19331014, 15.00, 7576, 00,  300, 00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044, 19331015, 08.00, 7607, 00,  292, 00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044, 19331015, 15.00, 7584, 00,  294, 00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044, 19331016, 08.00, 7608, 00,  300, 00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044, 19331016, 15.00, 7581, 00,  300, 00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044, 19331017, 08.00, 7592, 00,  289, 00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044, 19331017, 15.00, 7567, 00,  306, 00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044, 19331018, 08.00, 7592, 00,  286, 00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044, 19331018, 15.00, 7562, 00,  308, 00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044, 19331019, 08.00, 7592, 00,  289, 00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044, 19331019, 15.00, 7564, 00,  292, 00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044, 19331020, 08.00, 7596, 00,  281, 00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044, 19331020, 15.00, 7582, 00,  292, 00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044, 19331021, 08.00, 7598, 00,  283, 00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044, 19331021, 15.00, 7568, 00,  297, 00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044, 19331022, 08.00, 7588, 00,  283, 00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044, 19331022, 15.00, 7564, 00,  289, 00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044, 19331023, 08.00, 7588, 00,  283, 00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044, 19331023, 15.00, 7562, 00,  294, 00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044, 19331024, 08.00, 7601, 00,  278, 00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044, 19331024, 15.00, 7573, 00,  297, 00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044, 19331025, 08.00, 7606, 00,  283, 00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044, 19331025, 15.00, 7573, 00,  300, 00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044, 19331026, 08.00, 7598, 00,  283, 00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044, 19331026, 15.00, 7562, 00,  303, 00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044, 19331027, 08.00, 7591, 00,  275, 00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044, 19331027, 15.00, 7566, 00,  297, 00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044, 19331028, 08.00, 7596, 00,  281, 00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044, 19331028, 15.00, 7570, 00,  300, 00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044, 19331029, 08.00, 7596, 00,  275, 00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044, 19331029, 15.00, 7575, 00,  283, 00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044, 19331030, 08.00, 7596, 00,  278, 00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044, 19331030, 15.00, 7564, 00,  286, 00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044, 19331031, 08.00, 7584, 00,  269, 00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044, 19331031, 15.00, 7562, 00,  286, 00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044, 19331101, 08.00, 7579, 00,  272, 00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044, 19331101, 15.00, 7563, 00,  294, 00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044, 19331102, 08.00, 7589, 00,  275, 00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044, 19331102, 15.00, 7572, 00,  286, 00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044, 19331103, 08.00, 7599, 00,  275, 00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044, 19331103, 15.00, 7572, 00,  289, 00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044, 19331104, 08.00, 7592, 00,  272, 00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044, 19331104, 15.00, 7565, 00,  283, 00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044, 19331105, 08.00, 7584, 00,  272, 00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044, 19331105, 15.00, 7566, 00,  297, 00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044, 19331106, 08.00, 7591, 00,  275, 00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044, 19331106, 15.00, 7573, 00,  278, 00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044, 19331107, 08.00, 7594, 00,  272, 00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044, 19331107, 15.00, 7568, 00,  275, 00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044, 19331108, 08.00, 7592, 00,  269, 00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044, 19331108, 15.00, 7569, 00,  289, 00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044, 19331109, 08.00, 7589, 00,  272, 00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044, 19331109, 15.00, 7570, 00,  283, 00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044, 19331110, 08.00, 7598, 00,  264, 00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044, 19331110, 15.00, 7573, 00,  278, 00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044, 19331111, 08.00, 7571, 00,  272, 00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044, 19331111, 15.00, 7582, 00,  264, 00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044, 19331112, 08.00, 7597, 00,  272, 00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044, 19331112, 15.00, 7572, 00,  286, 00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044, 19331113, 08.00, 7599, 00,  275, 00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044, 19331113, 15.00, 7572, 00,  286, 00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044, 19331114, 08.00, 7598, 00,  278, 00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044, 19331114, 15.00, 7567, 00,  289, 00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044, 19331115, 08.00, 7604, 00,  272, 00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044, 19331115, 15.00, 7579, 00,  289, 00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044, 19331116, 08.00, 7617, 00,  275, 00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044, 19331116, 15.00, 7592, 00,  289, 00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044, 19331117, 08.00, 7612, 00,  275, 00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044, 19331117, 15.00, 7592, 00,  286, 00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044, 19331118, 08.00, 7597, 00,  272, 00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044, 19331118, 15.00, 7596, 00,  278, 00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044, 19331119, 08.00, 7592, 00,  272, 00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044, 19331119, 15.00, 7570, 00,  283, 00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044, 19331120, 08.00, 7609, 00,  272, 00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044, 19331120, 15.00, 7583, 00,  278, 00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044, 19331121, 08.00, 7602, 00,  272, 00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044, 19331121, 15.00, 7583, 00,  283, 00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044, 19331122, 08.00, 7601, 00,  278, 00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044, 19331122, 15.00, 7580, 00,  286, 00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044, 19331123, 08.00, 7589, 00,  272, 00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044, 19331123, 15.00, 7565, 00,  283, 00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044, 19331124, 08.00, 7596, 00,  275, 00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044, 19331124, 15.00, 7572, 00,  289, 00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044, 19331125, 08.00, 7604, 00,  275, 00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044, 19331125, 15.00, 7582, 00,  289, 00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044, 19331126, 08.00, 7597, 00,  272, 00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044, 19331126, 15.00, 7573, 00,  278, 00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044, 19331127, 08.00, 7597, 00,  267, 00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044, 19331127, 15.00, 7580, 00,  267, 00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044, 19331128, 08.00, 7603, 00,  261, 00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044, 19331128, 15.00, 7588, 00,  278, 00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044, 19331129, 08.00, 7609, 00,  272, 00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044, 19331129, 15.00, 7593, 00,  283, 00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044, 19331130, 08.00, 7609, 00,  272, 00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044, 19331130, 15.00, 7588, 00,  283, 00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044, 19331201, 08.00, 7604, 00,  272, 00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044, 19331201, 15.00, 7593, 00,  283, 00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044, 19331202, 08.00, 7609, 00,  272, 00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044, 19331202, 15.00, 7596, 00,  278, 00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044, 19331203, 08.00, 7610, 00,  267, 00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044, 19331203, 15.00, 7594, 00,  272, 00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044, 19331204, 08.00, 7610, 00,  267, 00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044, 19331204, 15.00, 7595, 00,  283, 00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044, 19331205, 08.00, 7604, 00,  272, 00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044, 19331205, 15.00, 7588, 00,  283, 00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044, 19331206, 08.00, 7602, 00,  267, 00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044, 19331206, 15.00, 7583, 00,  283, 00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044, 19331207, 08.00, 7604, 00,  272, 00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044, 19331207, 15.00, 7588, 00,  283, 00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044, 19331208, 08.00, 7605, 00,  267, 00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044, 19331208, 15.00, 7588, 00,  283, 00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044, 19331209, 08.00, 7605, 00,  269, 00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044, 19331209, 15.00, 7583, 00,  283, 00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044, 19331210, 08.00, 7606, 00,  261, 00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044, 19331210, 15.00, 7591, 00,  278, 00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044, 19331211, 08.00, 7598, 00,  261, 00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044, 19331211, 15.00, 7600, 00,  283, 00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044, 19331212, 08.00, 7622, 00,  269, 00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044, 19331212, 15.00, 7614, 00,  269, 00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044, 19331213, 08.00, 7623, 00,  261, 00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044, 19331213, 15.00, 7597, 00,  267, 00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044, 19331214, 08.00, 7615, 00,  267, 00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044, 19331214, 15.00, 7593, 00,  283, 00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044, 19331215, 08.00, 7616, 00,  261, 00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044, 19331215, 15.00, 7598, 00,  278, 00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044, 19331216, 08.00, 7615, 00,  264, 00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044, 19331216, 15.00, 7601, 00,  278, 00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044, 19331217, 08.00, 7618, 00,  261, 00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044, 19331217, 15.00, 7601, 00,  278, 00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044, 19331218, 08.00, 7628, 00,  264, 00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044, 19331218, 15.00, 7616, 00,  278, 00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044, 19331219, 08.00, 7639, 00,  261, 00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044, 19331219, 15.00, 7614, 00,  275, 00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044, 19331220, 08.00, 7631, 00,  258, 00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044, 19331220, 15.00, 7613, 00,  278, 00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044, 19331221, 08.00, 7621, 00,  256, 00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044, 19331221, 15.00, 7598, 00,  278, 00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044, 19331222, 08.00, 7621, 00,  261, 00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044, 19331222, 15.00, 7599, 00,  275, 00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044, 19331223, 08.00, 8385, 00,  267, 00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044, 19331223, 15.00, 7601, 00,  278, 00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044, 19331224, 08.00, 7616, 00,  256, 00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044, 19331224, 15.00, 7594, 00,  269, 00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044, 19331225, 08.00, 7618, 00,  261, 00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044, 19331225, 15.00, 7600, 00,  267, 00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044, 19331226, 08.00, 7608, 00,  261, 00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044, 19331226, 15.00, 7588, 00,  278, 00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044, 19331227, 08.00, 7612, 00,  250, 00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044, 19331227, 15.00, 7595, 00,  267, 00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044, 19331228, 08.00, 7616, 00,  256, 00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044, 19331228, 15.00, 7600, 00,  267, 00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044, 19331229, 08.00, 7611, 00,  256, 00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044, 19331229, 15.00, 7594, 00,  272, 00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044, 19331230, 08.00, 7606, 00,  261, 00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044, 19331230, 15.00, 7587, 00,  267, 00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044, 19331231, 08.00, 7612, 00,  267, 00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044, 19331231, 15.00, 7594, 00,  272, 00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2015-10-09T12:46:16Z</dcterms:modified>
</cp:coreProperties>
</file>