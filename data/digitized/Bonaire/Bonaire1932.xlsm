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Invoer!$A$2:$G$382</definedName>
    <definedName name="Catalogus">Info!$J$3:$P$4</definedName>
    <definedName name="Data">Invoer!$A$3:$G$382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732" i="3" l="1"/>
  <c r="C732" i="3"/>
  <c r="A733" i="3"/>
  <c r="C733" i="3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2" i="1" l="1"/>
  <c r="D382" i="1"/>
  <c r="C382" i="1"/>
  <c r="B382" i="1"/>
  <c r="E350" i="1"/>
  <c r="D350" i="1"/>
  <c r="C350" i="1"/>
  <c r="B350" i="1"/>
  <c r="E319" i="1"/>
  <c r="D319" i="1"/>
  <c r="C319" i="1"/>
  <c r="B319" i="1"/>
  <c r="E287" i="1"/>
  <c r="D287" i="1"/>
  <c r="C287" i="1"/>
  <c r="B287" i="1"/>
  <c r="E256" i="1"/>
  <c r="D256" i="1"/>
  <c r="C256" i="1"/>
  <c r="B256" i="1"/>
  <c r="E224" i="1"/>
  <c r="D224" i="1"/>
  <c r="C224" i="1"/>
  <c r="B224" i="1"/>
  <c r="E192" i="1"/>
  <c r="D192" i="1"/>
  <c r="C192" i="1"/>
  <c r="B192" i="1"/>
  <c r="E161" i="1"/>
  <c r="D161" i="1"/>
  <c r="C161" i="1"/>
  <c r="B161" i="1"/>
  <c r="E129" i="1"/>
  <c r="D129" i="1"/>
  <c r="C129" i="1"/>
  <c r="B129" i="1"/>
  <c r="E98" i="1"/>
  <c r="D98" i="1"/>
  <c r="C98" i="1"/>
  <c r="B98" i="1"/>
  <c r="E66" i="1"/>
  <c r="D66" i="1"/>
  <c r="C66" i="1"/>
  <c r="B66" i="1"/>
  <c r="E36" i="1"/>
  <c r="D36" i="1"/>
  <c r="C36" i="1"/>
  <c r="B36" i="1"/>
  <c r="A1" i="6" l="1"/>
  <c r="A2" i="3" l="1"/>
  <c r="G382" i="1" l="1"/>
  <c r="F382" i="1"/>
  <c r="G350" i="1"/>
  <c r="F350" i="1"/>
  <c r="G319" i="1"/>
  <c r="F319" i="1"/>
  <c r="G287" i="1"/>
  <c r="F287" i="1"/>
  <c r="G256" i="1"/>
  <c r="F256" i="1"/>
  <c r="G224" i="1"/>
  <c r="F224" i="1"/>
  <c r="G192" i="1"/>
  <c r="F192" i="1"/>
  <c r="G161" i="1"/>
  <c r="F161" i="1"/>
  <c r="G129" i="1"/>
  <c r="F129" i="1"/>
  <c r="G98" i="1"/>
  <c r="F98" i="1"/>
  <c r="G66" i="1"/>
  <c r="F66" i="1"/>
  <c r="G36" i="1"/>
  <c r="F36" i="1"/>
  <c r="A1" i="5" l="1"/>
  <c r="A5" i="1" l="1"/>
  <c r="B732" i="3" l="1"/>
  <c r="B733" i="3"/>
  <c r="B732" i="2"/>
  <c r="B733" i="2"/>
  <c r="A732" i="2"/>
  <c r="A733" i="2"/>
  <c r="B2" i="3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E733" i="3" l="1"/>
  <c r="G733" i="3"/>
  <c r="D733" i="3"/>
  <c r="F733" i="3"/>
  <c r="G732" i="3"/>
  <c r="D732" i="3"/>
  <c r="F732" i="3"/>
  <c r="E732" i="3"/>
  <c r="E733" i="2"/>
  <c r="D733" i="2"/>
  <c r="E732" i="2"/>
  <c r="D732" i="2"/>
  <c r="E5" i="3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D3" i="2"/>
  <c r="E3" i="2"/>
  <c r="E2" i="2"/>
  <c r="E368" i="2"/>
  <c r="D368" i="2"/>
  <c r="D2" i="2"/>
  <c r="A733" i="6" l="1"/>
  <c r="A732" i="5"/>
  <c r="A733" i="5"/>
  <c r="A732" i="6"/>
  <c r="E6" i="3"/>
  <c r="D7" i="3"/>
  <c r="G6" i="3"/>
  <c r="F6" i="3"/>
  <c r="F7" i="3"/>
  <c r="G7" i="3"/>
  <c r="D6" i="3"/>
  <c r="E7" i="3"/>
  <c r="A5" i="6"/>
  <c r="A3" i="6"/>
  <c r="A4" i="6"/>
  <c r="A2" i="6"/>
  <c r="A368" i="5"/>
  <c r="A3" i="5"/>
  <c r="E369" i="2"/>
  <c r="D369" i="2"/>
  <c r="E4" i="2"/>
  <c r="D4" i="2"/>
  <c r="A2" i="5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3" i="6" l="1"/>
  <c r="A12" i="6"/>
  <c r="A372" i="5"/>
  <c r="A7" i="5"/>
  <c r="E367" i="2" l="1"/>
  <c r="D367" i="2"/>
  <c r="F577" i="3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A217" i="6" s="1"/>
  <c r="E169" i="3"/>
  <c r="D290" i="3"/>
  <c r="D258" i="3"/>
  <c r="D226" i="3"/>
  <c r="E187" i="3"/>
  <c r="E138" i="3"/>
  <c r="D176" i="3"/>
  <c r="D144" i="3"/>
  <c r="E117" i="3"/>
  <c r="E85" i="3"/>
  <c r="A85" i="6" s="1"/>
  <c r="D108" i="3"/>
  <c r="E74" i="3"/>
  <c r="A74" i="6" s="1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A19" i="6" s="1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A251" i="6" s="1"/>
  <c r="F313" i="3"/>
  <c r="F345" i="3"/>
  <c r="A345" i="6" s="1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A523" i="6" s="1"/>
  <c r="G555" i="3"/>
  <c r="G587" i="3"/>
  <c r="G619" i="3"/>
  <c r="G651" i="3"/>
  <c r="F680" i="3"/>
  <c r="F712" i="3"/>
  <c r="A712" i="6" s="1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G668" i="3"/>
  <c r="F435" i="3"/>
  <c r="F467" i="3"/>
  <c r="A467" i="6" s="1"/>
  <c r="F499" i="3"/>
  <c r="F531" i="3"/>
  <c r="F563" i="3"/>
  <c r="F595" i="3"/>
  <c r="F627" i="3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A287" i="6" s="1"/>
  <c r="E225" i="3"/>
  <c r="E185" i="3"/>
  <c r="A185" i="6" s="1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A24" i="6" s="1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A661" i="6" s="1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G525" i="3"/>
  <c r="A57" i="6"/>
  <c r="A592" i="6"/>
  <c r="A194" i="6"/>
  <c r="A258" i="6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253" i="6" l="1"/>
  <c r="A157" i="6"/>
  <c r="A175" i="6"/>
  <c r="A472" i="6"/>
  <c r="A252" i="6"/>
  <c r="A45" i="6"/>
  <c r="A244" i="6"/>
  <c r="A176" i="6"/>
  <c r="A469" i="6"/>
  <c r="A128" i="6"/>
  <c r="A313" i="6"/>
  <c r="A367" i="6"/>
  <c r="A193" i="6"/>
  <c r="A188" i="6"/>
  <c r="A129" i="6"/>
  <c r="A120" i="6"/>
  <c r="A48" i="6"/>
  <c r="A627" i="6"/>
  <c r="A563" i="6"/>
  <c r="A499" i="6"/>
  <c r="A435" i="6"/>
  <c r="A636" i="6"/>
  <c r="A134" i="6"/>
  <c r="A680" i="6"/>
  <c r="A461" i="6"/>
  <c r="A470" i="6"/>
  <c r="A153" i="6"/>
  <c r="A43" i="6"/>
  <c r="A189" i="6"/>
  <c r="A365" i="6"/>
  <c r="A316" i="6"/>
  <c r="A262" i="5"/>
  <c r="A507" i="6"/>
  <c r="A234" i="6"/>
  <c r="A126" i="6"/>
  <c r="A317" i="6"/>
  <c r="A315" i="6"/>
  <c r="A475" i="6"/>
  <c r="A150" i="6"/>
  <c r="A495" i="6"/>
  <c r="A623" i="6"/>
  <c r="A673" i="6"/>
  <c r="A629" i="6"/>
  <c r="A58" i="6"/>
  <c r="A326" i="6"/>
  <c r="A450" i="6"/>
  <c r="A578" i="6"/>
  <c r="A642" i="6"/>
  <c r="A677" i="6"/>
  <c r="A110" i="6"/>
  <c r="A497" i="6"/>
  <c r="A686" i="6"/>
  <c r="A374" i="6"/>
  <c r="A205" i="6"/>
  <c r="A719" i="6"/>
  <c r="A502" i="6"/>
  <c r="A667" i="6"/>
  <c r="A296" i="6"/>
  <c r="A696" i="6"/>
  <c r="A672" i="6"/>
  <c r="A106" i="6"/>
  <c r="A270" i="5"/>
  <c r="A638" i="5"/>
  <c r="A121" i="6"/>
  <c r="A279" i="6"/>
  <c r="A359" i="6"/>
  <c r="A418" i="6"/>
  <c r="A610" i="6"/>
  <c r="A409" i="6"/>
  <c r="A227" i="6"/>
  <c r="A247" i="6"/>
  <c r="A17" i="6"/>
  <c r="A254" i="6"/>
  <c r="A263" i="6"/>
  <c r="A350" i="6"/>
  <c r="A538" i="6"/>
  <c r="A465" i="6"/>
  <c r="A657" i="6"/>
  <c r="A639" i="6"/>
  <c r="A511" i="6"/>
  <c r="A333" i="6"/>
  <c r="A18" i="6"/>
  <c r="A293" i="6"/>
  <c r="A693" i="6"/>
  <c r="A408" i="5"/>
  <c r="A278" i="5"/>
  <c r="A45" i="5"/>
  <c r="A35" i="5"/>
  <c r="A220" i="5"/>
  <c r="A608" i="5"/>
  <c r="A611" i="5"/>
  <c r="A223" i="5"/>
  <c r="A708" i="5"/>
  <c r="A197" i="5"/>
  <c r="A69" i="5"/>
  <c r="A239" i="6"/>
  <c r="A674" i="5"/>
  <c r="A654" i="5"/>
  <c r="A382" i="6"/>
  <c r="A675" i="6"/>
  <c r="A53" i="6"/>
  <c r="A133" i="6"/>
  <c r="A517" i="6"/>
  <c r="A462" i="6"/>
  <c r="A260" i="6"/>
  <c r="A433" i="5"/>
  <c r="A731" i="5"/>
  <c r="A678" i="5"/>
  <c r="A456" i="5"/>
  <c r="A60" i="5"/>
  <c r="A188" i="5"/>
  <c r="A705" i="5"/>
  <c r="A677" i="5"/>
  <c r="A494" i="6"/>
  <c r="A483" i="6"/>
  <c r="A715" i="5"/>
  <c r="A508" i="5"/>
  <c r="A381" i="5"/>
  <c r="A596" i="5"/>
  <c r="A468" i="5"/>
  <c r="A335" i="5"/>
  <c r="A425" i="5"/>
  <c r="A162" i="5"/>
  <c r="A529" i="5"/>
  <c r="A336" i="6"/>
  <c r="A692" i="6"/>
  <c r="A576" i="6"/>
  <c r="A389" i="6"/>
  <c r="A547" i="6"/>
  <c r="A535" i="6"/>
  <c r="A725" i="6"/>
  <c r="A682" i="5"/>
  <c r="A254" i="5"/>
  <c r="A577" i="5"/>
  <c r="A442" i="6"/>
  <c r="A655" i="5"/>
  <c r="A138" i="5"/>
  <c r="A11" i="5"/>
  <c r="A306" i="5"/>
  <c r="A469" i="5"/>
  <c r="A597" i="5"/>
  <c r="A13" i="5"/>
  <c r="A52" i="5"/>
  <c r="A180" i="5"/>
  <c r="A697" i="5"/>
  <c r="A117" i="5"/>
  <c r="A244" i="5"/>
  <c r="A632" i="5"/>
  <c r="A610" i="5"/>
  <c r="A367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<sst xmlns="http://schemas.openxmlformats.org/spreadsheetml/2006/main" count="67" uniqueCount="47">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</sst>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1" sqref="B381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11689</v>
      </c>
      <c r="B5" s="32">
        <v>7580</v>
      </c>
      <c r="C5" s="33">
        <v>7555</v>
      </c>
      <c r="D5" s="34">
        <v>280</v>
      </c>
      <c r="E5" s="35">
        <v>290</v>
      </c>
      <c r="F5" s="5">
        <v>0</v>
      </c>
      <c r="G5" s="6">
        <v>0</v>
      </c>
    </row>
    <row r="6" spans="1:7" x14ac:dyDescent="0.25">
      <c r="A6" s="1">
        <f ca="1">IF(ISTEXT(A5),A4+1,IF(MONTH(A5+1)=MONTH(A5),A5+1,"Totaal"))</f>
        <v>11690</v>
      </c>
      <c r="B6" s="32">
        <v>7560</v>
      </c>
      <c r="C6" s="33">
        <v>7550</v>
      </c>
      <c r="D6" s="34">
        <v>275</v>
      </c>
      <c r="E6" s="35">
        <v>300</v>
      </c>
      <c r="F6" s="7">
        <v>0</v>
      </c>
      <c r="G6" s="6">
        <v>0</v>
      </c>
    </row>
    <row r="7" spans="1:7" x14ac:dyDescent="0.25">
      <c r="A7" s="1">
        <f t="shared" ref="A7:A70" ca="1" si="0">IF(ISTEXT(A6),A5+1,IF(MONTH(A6+1)=MONTH(A6),A6+1,"Totaal"))</f>
        <v>11691</v>
      </c>
      <c r="B7" s="32">
        <v>7575</v>
      </c>
      <c r="C7" s="33">
        <v>7555</v>
      </c>
      <c r="D7" s="36">
        <v>280</v>
      </c>
      <c r="E7" s="35">
        <v>290</v>
      </c>
      <c r="F7" s="8">
        <v>0</v>
      </c>
      <c r="G7" s="6">
        <v>0</v>
      </c>
    </row>
    <row r="8" spans="1:7" x14ac:dyDescent="0.25">
      <c r="A8" s="1">
        <f t="shared" ca="1" si="0"/>
        <v>11692</v>
      </c>
      <c r="B8" s="32">
        <v>7560</v>
      </c>
      <c r="C8" s="33">
        <v>7550</v>
      </c>
      <c r="D8" s="34">
        <v>285</v>
      </c>
      <c r="E8" s="35">
        <v>300</v>
      </c>
      <c r="F8" s="5">
        <v>0</v>
      </c>
      <c r="G8" s="6">
        <v>0</v>
      </c>
    </row>
    <row r="9" spans="1:7" x14ac:dyDescent="0.25">
      <c r="A9" s="1">
        <f t="shared" ca="1" si="0"/>
        <v>11693</v>
      </c>
      <c r="B9" s="32">
        <v>7570</v>
      </c>
      <c r="C9" s="33">
        <v>7545</v>
      </c>
      <c r="D9" s="34">
        <v>280</v>
      </c>
      <c r="E9" s="35">
        <v>295</v>
      </c>
      <c r="F9" s="5">
        <v>0</v>
      </c>
      <c r="G9" s="6">
        <v>0</v>
      </c>
    </row>
    <row r="10" spans="1:7" x14ac:dyDescent="0.25">
      <c r="A10" s="1">
        <f t="shared" ca="1" si="0"/>
        <v>11694</v>
      </c>
      <c r="B10" s="32">
        <v>7575</v>
      </c>
      <c r="C10" s="33">
        <v>7560</v>
      </c>
      <c r="D10" s="34">
        <v>270</v>
      </c>
      <c r="E10" s="35">
        <v>280</v>
      </c>
      <c r="F10" s="5">
        <v>30</v>
      </c>
      <c r="G10" s="6">
        <v>0</v>
      </c>
    </row>
    <row r="11" spans="1:7" x14ac:dyDescent="0.25">
      <c r="A11" s="1">
        <f t="shared" ca="1" si="0"/>
        <v>11695</v>
      </c>
      <c r="B11" s="32">
        <v>7580</v>
      </c>
      <c r="C11" s="33">
        <v>7545</v>
      </c>
      <c r="D11" s="34">
        <v>280</v>
      </c>
      <c r="E11" s="35">
        <v>295</v>
      </c>
      <c r="F11" s="5">
        <v>0</v>
      </c>
      <c r="G11" s="6">
        <v>0</v>
      </c>
    </row>
    <row r="12" spans="1:7" x14ac:dyDescent="0.25">
      <c r="A12" s="1">
        <f t="shared" ca="1" si="0"/>
        <v>11696</v>
      </c>
      <c r="B12" s="32">
        <v>7570</v>
      </c>
      <c r="C12" s="33">
        <v>7550</v>
      </c>
      <c r="D12" s="34">
        <v>260</v>
      </c>
      <c r="E12" s="35">
        <v>285</v>
      </c>
      <c r="F12" s="5">
        <v>0</v>
      </c>
      <c r="G12" s="6">
        <v>0</v>
      </c>
    </row>
    <row r="13" spans="1:7" x14ac:dyDescent="0.25">
      <c r="A13" s="1">
        <f t="shared" ca="1" si="0"/>
        <v>11697</v>
      </c>
      <c r="B13" s="32">
        <v>7575</v>
      </c>
      <c r="C13" s="33">
        <v>7545</v>
      </c>
      <c r="D13" s="34">
        <v>260</v>
      </c>
      <c r="E13" s="35">
        <v>280</v>
      </c>
      <c r="F13" s="5">
        <v>0</v>
      </c>
      <c r="G13" s="6">
        <v>0</v>
      </c>
    </row>
    <row r="14" spans="1:7" x14ac:dyDescent="0.25">
      <c r="A14" s="1">
        <f t="shared" ca="1" si="0"/>
        <v>11698</v>
      </c>
      <c r="B14" s="32">
        <v>7570</v>
      </c>
      <c r="C14" s="33">
        <v>7550</v>
      </c>
      <c r="D14" s="34">
        <v>280</v>
      </c>
      <c r="E14" s="35">
        <v>295</v>
      </c>
      <c r="F14" s="5">
        <v>0</v>
      </c>
      <c r="G14" s="6">
        <v>0</v>
      </c>
    </row>
    <row r="15" spans="1:7" x14ac:dyDescent="0.25">
      <c r="A15" s="1">
        <f t="shared" ca="1" si="0"/>
        <v>11699</v>
      </c>
      <c r="B15" s="32">
        <v>7585</v>
      </c>
      <c r="C15" s="33">
        <v>7570</v>
      </c>
      <c r="D15" s="34">
        <v>280</v>
      </c>
      <c r="E15" s="35">
        <v>290</v>
      </c>
      <c r="F15" s="5">
        <v>0</v>
      </c>
      <c r="G15" s="6">
        <v>25</v>
      </c>
    </row>
    <row r="16" spans="1:7" x14ac:dyDescent="0.25">
      <c r="A16" s="1">
        <f t="shared" ca="1" si="0"/>
        <v>11700</v>
      </c>
      <c r="B16" s="32">
        <v>7590</v>
      </c>
      <c r="C16" s="33">
        <v>7550</v>
      </c>
      <c r="D16" s="34">
        <v>280</v>
      </c>
      <c r="E16" s="35">
        <v>295</v>
      </c>
      <c r="F16" s="5">
        <v>0</v>
      </c>
      <c r="G16" s="6">
        <v>0</v>
      </c>
    </row>
    <row r="17" spans="1:7" x14ac:dyDescent="0.25">
      <c r="A17" s="1">
        <f t="shared" ca="1" si="0"/>
        <v>11701</v>
      </c>
      <c r="B17" s="32">
        <v>7585</v>
      </c>
      <c r="C17" s="33">
        <v>7560</v>
      </c>
      <c r="D17" s="34">
        <v>275</v>
      </c>
      <c r="E17" s="35">
        <v>290</v>
      </c>
      <c r="F17" s="5">
        <v>30</v>
      </c>
      <c r="G17" s="6">
        <v>28</v>
      </c>
    </row>
    <row r="18" spans="1:7" x14ac:dyDescent="0.25">
      <c r="A18" s="1">
        <f t="shared" ca="1" si="0"/>
        <v>11702</v>
      </c>
      <c r="B18" s="32">
        <v>7575</v>
      </c>
      <c r="C18" s="33">
        <v>7555</v>
      </c>
      <c r="D18" s="34">
        <v>275</v>
      </c>
      <c r="E18" s="35">
        <v>285</v>
      </c>
      <c r="F18" s="5">
        <v>53</v>
      </c>
      <c r="G18" s="6">
        <v>0</v>
      </c>
    </row>
    <row r="19" spans="1:7" x14ac:dyDescent="0.25">
      <c r="A19" s="1">
        <f t="shared" ca="1" si="0"/>
        <v>11703</v>
      </c>
      <c r="B19" s="32">
        <v>7565</v>
      </c>
      <c r="C19" s="33">
        <v>7550</v>
      </c>
      <c r="D19" s="34">
        <v>265</v>
      </c>
      <c r="E19" s="35">
        <v>275</v>
      </c>
      <c r="F19" s="5">
        <v>25</v>
      </c>
      <c r="G19" s="6">
        <v>0</v>
      </c>
    </row>
    <row r="20" spans="1:7" x14ac:dyDescent="0.25">
      <c r="A20" s="1">
        <f t="shared" ca="1" si="0"/>
        <v>11704</v>
      </c>
      <c r="B20" s="32">
        <v>7565</v>
      </c>
      <c r="C20" s="33">
        <v>7550</v>
      </c>
      <c r="D20" s="34">
        <v>265</v>
      </c>
      <c r="E20" s="35">
        <v>280</v>
      </c>
      <c r="F20" s="5">
        <v>0</v>
      </c>
      <c r="G20" s="6">
        <v>0</v>
      </c>
    </row>
    <row r="21" spans="1:7" x14ac:dyDescent="0.25">
      <c r="A21" s="1">
        <f t="shared" ca="1" si="0"/>
        <v>11705</v>
      </c>
      <c r="B21" s="32">
        <v>7570</v>
      </c>
      <c r="C21" s="33">
        <v>7560</v>
      </c>
      <c r="D21" s="34">
        <v>270</v>
      </c>
      <c r="E21" s="35">
        <v>290</v>
      </c>
      <c r="F21" s="5">
        <v>2</v>
      </c>
      <c r="G21" s="6">
        <v>0</v>
      </c>
    </row>
    <row r="22" spans="1:7" x14ac:dyDescent="0.25">
      <c r="A22" s="1">
        <f t="shared" ca="1" si="0"/>
        <v>11706</v>
      </c>
      <c r="B22" s="32">
        <v>7575</v>
      </c>
      <c r="C22" s="33">
        <v>7555</v>
      </c>
      <c r="D22" s="34">
        <v>275</v>
      </c>
      <c r="E22" s="35">
        <v>290</v>
      </c>
      <c r="F22" s="5">
        <v>5</v>
      </c>
      <c r="G22" s="6">
        <v>0</v>
      </c>
    </row>
    <row r="23" spans="1:7" x14ac:dyDescent="0.25">
      <c r="A23" s="1">
        <f t="shared" ca="1" si="0"/>
        <v>11707</v>
      </c>
      <c r="B23" s="32">
        <v>7575</v>
      </c>
      <c r="C23" s="33">
        <v>7560</v>
      </c>
      <c r="D23" s="34">
        <v>280</v>
      </c>
      <c r="E23" s="35">
        <v>285</v>
      </c>
      <c r="F23" s="5">
        <v>0</v>
      </c>
      <c r="G23" s="6">
        <v>0</v>
      </c>
    </row>
    <row r="24" spans="1:7" x14ac:dyDescent="0.25">
      <c r="A24" s="1">
        <f t="shared" ca="1" si="0"/>
        <v>11708</v>
      </c>
      <c r="B24" s="32">
        <v>7580</v>
      </c>
      <c r="C24" s="33">
        <v>7555</v>
      </c>
      <c r="D24" s="34">
        <v>275</v>
      </c>
      <c r="E24" s="35">
        <v>290</v>
      </c>
      <c r="F24" s="5">
        <v>0</v>
      </c>
      <c r="G24" s="6">
        <v>0</v>
      </c>
    </row>
    <row r="25" spans="1:7" x14ac:dyDescent="0.25">
      <c r="A25" s="1">
        <f t="shared" ca="1" si="0"/>
        <v>11709</v>
      </c>
      <c r="B25" s="32">
        <v>7575</v>
      </c>
      <c r="C25" s="33">
        <v>7560</v>
      </c>
      <c r="D25" s="34">
        <v>275</v>
      </c>
      <c r="E25" s="35">
        <v>290</v>
      </c>
      <c r="F25" s="5">
        <v>0</v>
      </c>
      <c r="G25" s="6">
        <v>0</v>
      </c>
    </row>
    <row r="26" spans="1:7" x14ac:dyDescent="0.25">
      <c r="A26" s="1">
        <f t="shared" ca="1" si="0"/>
        <v>11710</v>
      </c>
      <c r="B26" s="32">
        <v>7565</v>
      </c>
      <c r="C26" s="33">
        <v>7560</v>
      </c>
      <c r="D26" s="34">
        <v>265</v>
      </c>
      <c r="E26" s="35">
        <v>270</v>
      </c>
      <c r="F26" s="5">
        <v>126</v>
      </c>
      <c r="G26" s="6">
        <v>80</v>
      </c>
    </row>
    <row r="27" spans="1:7" x14ac:dyDescent="0.25">
      <c r="A27" s="1">
        <f t="shared" ca="1" si="0"/>
        <v>11711</v>
      </c>
      <c r="B27" s="32">
        <v>7565</v>
      </c>
      <c r="C27" s="33">
        <v>7555</v>
      </c>
      <c r="D27" s="34">
        <v>265</v>
      </c>
      <c r="E27" s="35">
        <v>270</v>
      </c>
      <c r="F27" s="5">
        <v>282</v>
      </c>
      <c r="G27" s="6">
        <v>275</v>
      </c>
    </row>
    <row r="28" spans="1:7" x14ac:dyDescent="0.25">
      <c r="A28" s="1">
        <f t="shared" ca="1" si="0"/>
        <v>11712</v>
      </c>
      <c r="B28" s="32">
        <v>7575</v>
      </c>
      <c r="C28" s="33">
        <v>7560</v>
      </c>
      <c r="D28" s="34">
        <v>270</v>
      </c>
      <c r="E28" s="35">
        <v>280</v>
      </c>
      <c r="F28" s="5">
        <v>54</v>
      </c>
      <c r="G28" s="6">
        <v>137</v>
      </c>
    </row>
    <row r="29" spans="1:7" x14ac:dyDescent="0.25">
      <c r="A29" s="1">
        <f t="shared" ca="1" si="0"/>
        <v>11713</v>
      </c>
      <c r="B29" s="32">
        <v>7580</v>
      </c>
      <c r="C29" s="33">
        <v>7565</v>
      </c>
      <c r="D29" s="34">
        <v>265</v>
      </c>
      <c r="E29" s="35">
        <v>275</v>
      </c>
      <c r="F29" s="5">
        <v>8</v>
      </c>
      <c r="G29" s="6">
        <v>50</v>
      </c>
    </row>
    <row r="30" spans="1:7" x14ac:dyDescent="0.25">
      <c r="A30" s="1">
        <f t="shared" ca="1" si="0"/>
        <v>11714</v>
      </c>
      <c r="B30" s="32">
        <v>7585</v>
      </c>
      <c r="C30" s="33">
        <v>7570</v>
      </c>
      <c r="D30" s="34">
        <v>260</v>
      </c>
      <c r="E30" s="35">
        <v>280</v>
      </c>
      <c r="F30" s="5">
        <v>47</v>
      </c>
      <c r="G30" s="6">
        <v>40</v>
      </c>
    </row>
    <row r="31" spans="1:7" x14ac:dyDescent="0.25">
      <c r="A31" s="1">
        <f t="shared" ca="1" si="0"/>
        <v>11715</v>
      </c>
      <c r="B31" s="32">
        <v>7580</v>
      </c>
      <c r="C31" s="33">
        <v>7565</v>
      </c>
      <c r="D31" s="34">
        <v>260</v>
      </c>
      <c r="E31" s="35">
        <v>280</v>
      </c>
      <c r="F31" s="5">
        <v>45</v>
      </c>
      <c r="G31" s="6">
        <v>0</v>
      </c>
    </row>
    <row r="32" spans="1:7" x14ac:dyDescent="0.25">
      <c r="A32" s="1">
        <f t="shared" ca="1" si="0"/>
        <v>11716</v>
      </c>
      <c r="B32" s="32">
        <v>7580</v>
      </c>
      <c r="C32" s="33">
        <v>7555</v>
      </c>
      <c r="D32" s="34">
        <v>260</v>
      </c>
      <c r="E32" s="35">
        <v>270</v>
      </c>
      <c r="F32" s="5">
        <v>49</v>
      </c>
      <c r="G32" s="6">
        <v>60</v>
      </c>
    </row>
    <row r="33" spans="1:7" x14ac:dyDescent="0.25">
      <c r="A33" s="1">
        <f t="shared" ca="1" si="0"/>
        <v>11717</v>
      </c>
      <c r="B33" s="32">
        <v>7575</v>
      </c>
      <c r="C33" s="33">
        <v>7560</v>
      </c>
      <c r="D33" s="34">
        <v>260</v>
      </c>
      <c r="E33" s="35">
        <v>280</v>
      </c>
      <c r="F33" s="5">
        <v>8</v>
      </c>
      <c r="G33" s="6">
        <v>0</v>
      </c>
    </row>
    <row r="34" spans="1:7" x14ac:dyDescent="0.25">
      <c r="A34" s="1">
        <f t="shared" ca="1" si="0"/>
        <v>11718</v>
      </c>
      <c r="B34" s="32">
        <v>7580</v>
      </c>
      <c r="C34" s="33">
        <v>7570</v>
      </c>
      <c r="D34" s="34">
        <v>265</v>
      </c>
      <c r="E34" s="35">
        <v>280</v>
      </c>
      <c r="F34" s="5">
        <v>0</v>
      </c>
      <c r="G34" s="6">
        <v>0</v>
      </c>
    </row>
    <row r="35" spans="1:7" x14ac:dyDescent="0.25">
      <c r="A35" s="1">
        <f t="shared" ca="1" si="0"/>
        <v>11719</v>
      </c>
      <c r="B35" s="32">
        <v>7590</v>
      </c>
      <c r="C35" s="33">
        <v>7565</v>
      </c>
      <c r="D35" s="34">
        <v>265</v>
      </c>
      <c r="E35" s="35">
        <v>280</v>
      </c>
      <c r="F35" s="5">
        <v>0</v>
      </c>
      <c r="G35" s="6">
        <v>0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757.51612903225805</v>
      </c>
      <c r="C36" s="21">
        <f>IF(COUNT(C5:C35)&gt;0,AVERAGE(C5:C35)/10,"")</f>
        <v>755.66129032258073</v>
      </c>
      <c r="D36" s="22">
        <f>IF(COUNT(D5:D35)&gt;0,AVERAGE(D5:D35)/10,"")</f>
        <v>27.096774193548384</v>
      </c>
      <c r="E36" s="23">
        <f>IF(COUNT(E5:E35)&gt;0,AVERAGE(E5:E35)/10,"")</f>
        <v>28.5</v>
      </c>
      <c r="F36" s="24">
        <f>SUM(F5:F35)/10</f>
        <v>76.400000000000006</v>
      </c>
      <c r="G36" s="25">
        <f>SUM(G5:G35)/10</f>
        <v>69.5</v>
      </c>
    </row>
    <row r="37" spans="1:7" x14ac:dyDescent="0.25">
      <c r="A37" s="1">
        <f t="shared" ca="1" si="0"/>
        <v>11720</v>
      </c>
      <c r="B37" s="32">
        <v>7580</v>
      </c>
      <c r="C37" s="33">
        <v>7575</v>
      </c>
      <c r="D37" s="34">
        <v>270</v>
      </c>
      <c r="E37" s="35">
        <v>275</v>
      </c>
      <c r="F37" s="5">
        <v>0</v>
      </c>
      <c r="G37" s="6">
        <v>0</v>
      </c>
    </row>
    <row r="38" spans="1:7" x14ac:dyDescent="0.25">
      <c r="A38" s="1">
        <f t="shared" ca="1" si="0"/>
        <v>11721</v>
      </c>
      <c r="B38" s="32">
        <v>7590</v>
      </c>
      <c r="C38" s="33">
        <v>7565</v>
      </c>
      <c r="D38" s="34">
        <v>265</v>
      </c>
      <c r="E38" s="35">
        <v>280</v>
      </c>
      <c r="F38" s="5">
        <v>0</v>
      </c>
      <c r="G38" s="6">
        <v>0</v>
      </c>
    </row>
    <row r="39" spans="1:7" x14ac:dyDescent="0.25">
      <c r="A39" s="1">
        <f t="shared" ca="1" si="0"/>
        <v>11722</v>
      </c>
      <c r="B39" s="32">
        <v>7585</v>
      </c>
      <c r="C39" s="33">
        <v>7565</v>
      </c>
      <c r="D39" s="34">
        <v>270</v>
      </c>
      <c r="E39" s="35">
        <v>285</v>
      </c>
      <c r="F39" s="5">
        <v>0</v>
      </c>
      <c r="G39" s="6">
        <v>23</v>
      </c>
    </row>
    <row r="40" spans="1:7" x14ac:dyDescent="0.25">
      <c r="A40" s="1">
        <f t="shared" ca="1" si="0"/>
        <v>11723</v>
      </c>
      <c r="B40" s="32">
        <v>7590</v>
      </c>
      <c r="C40" s="33">
        <v>7580</v>
      </c>
      <c r="D40" s="34">
        <v>270</v>
      </c>
      <c r="E40" s="35">
        <v>280</v>
      </c>
      <c r="F40" s="5">
        <v>32</v>
      </c>
      <c r="G40" s="6">
        <v>0</v>
      </c>
    </row>
    <row r="41" spans="1:7" x14ac:dyDescent="0.25">
      <c r="A41" s="1">
        <f t="shared" ca="1" si="0"/>
        <v>11724</v>
      </c>
      <c r="B41" s="32">
        <v>7590</v>
      </c>
      <c r="C41" s="33">
        <v>7580</v>
      </c>
      <c r="D41" s="34">
        <v>270</v>
      </c>
      <c r="E41" s="35">
        <v>285</v>
      </c>
      <c r="F41" s="5">
        <v>0</v>
      </c>
      <c r="G41" s="6">
        <v>0</v>
      </c>
    </row>
    <row r="42" spans="1:7" x14ac:dyDescent="0.25">
      <c r="A42" s="1">
        <f t="shared" ca="1" si="0"/>
        <v>11725</v>
      </c>
      <c r="B42" s="32">
        <v>7585</v>
      </c>
      <c r="C42" s="33">
        <v>7570</v>
      </c>
      <c r="D42" s="34">
        <v>285</v>
      </c>
      <c r="E42" s="35">
        <v>285</v>
      </c>
      <c r="F42" s="5">
        <v>0</v>
      </c>
      <c r="G42" s="6">
        <v>0</v>
      </c>
    </row>
    <row r="43" spans="1:7" x14ac:dyDescent="0.25">
      <c r="A43" s="1">
        <f t="shared" ca="1" si="0"/>
        <v>11726</v>
      </c>
      <c r="B43" s="32">
        <v>7585</v>
      </c>
      <c r="C43" s="33">
        <v>7560</v>
      </c>
      <c r="D43" s="34">
        <v>280</v>
      </c>
      <c r="E43" s="35">
        <v>290</v>
      </c>
      <c r="F43" s="5">
        <v>0</v>
      </c>
      <c r="G43" s="6">
        <v>0</v>
      </c>
    </row>
    <row r="44" spans="1:7" x14ac:dyDescent="0.25">
      <c r="A44" s="1">
        <f t="shared" ca="1" si="0"/>
        <v>11727</v>
      </c>
      <c r="B44" s="32">
        <v>7585</v>
      </c>
      <c r="C44" s="33">
        <v>7565</v>
      </c>
      <c r="D44" s="34">
        <v>270</v>
      </c>
      <c r="E44" s="35">
        <v>290</v>
      </c>
      <c r="F44" s="5">
        <v>0</v>
      </c>
      <c r="G44" s="6">
        <v>0</v>
      </c>
    </row>
    <row r="45" spans="1:7" x14ac:dyDescent="0.25">
      <c r="A45" s="1">
        <f t="shared" ca="1" si="0"/>
        <v>11728</v>
      </c>
      <c r="B45" s="32">
        <v>7585</v>
      </c>
      <c r="C45" s="33">
        <v>7570</v>
      </c>
      <c r="D45" s="34">
        <v>270</v>
      </c>
      <c r="E45" s="35">
        <v>290</v>
      </c>
      <c r="F45" s="5">
        <v>0</v>
      </c>
      <c r="G45" s="6">
        <v>0</v>
      </c>
    </row>
    <row r="46" spans="1:7" x14ac:dyDescent="0.25">
      <c r="A46" s="1">
        <f t="shared" ca="1" si="0"/>
        <v>11729</v>
      </c>
      <c r="B46" s="32">
        <v>7575</v>
      </c>
      <c r="C46" s="33">
        <v>7555</v>
      </c>
      <c r="D46" s="34">
        <v>270</v>
      </c>
      <c r="E46" s="35">
        <v>285</v>
      </c>
      <c r="F46" s="5">
        <v>60</v>
      </c>
      <c r="G46" s="6">
        <v>0</v>
      </c>
    </row>
    <row r="47" spans="1:7" x14ac:dyDescent="0.25">
      <c r="A47" s="1">
        <f t="shared" ca="1" si="0"/>
        <v>11730</v>
      </c>
      <c r="B47" s="32">
        <v>7570</v>
      </c>
      <c r="C47" s="33">
        <v>7550</v>
      </c>
      <c r="D47" s="34">
        <v>270</v>
      </c>
      <c r="E47" s="35">
        <v>280</v>
      </c>
      <c r="F47" s="5">
        <v>0</v>
      </c>
      <c r="G47" s="6">
        <v>0</v>
      </c>
    </row>
    <row r="48" spans="1:7" x14ac:dyDescent="0.25">
      <c r="A48" s="1">
        <f t="shared" ca="1" si="0"/>
        <v>11731</v>
      </c>
      <c r="B48" s="32">
        <v>7565</v>
      </c>
      <c r="C48" s="33">
        <v>7550</v>
      </c>
      <c r="D48" s="34">
        <v>270</v>
      </c>
      <c r="E48" s="35">
        <v>290</v>
      </c>
      <c r="F48" s="5">
        <v>0</v>
      </c>
      <c r="G48" s="6">
        <v>0</v>
      </c>
    </row>
    <row r="49" spans="1:7" x14ac:dyDescent="0.25">
      <c r="A49" s="1">
        <f t="shared" ca="1" si="0"/>
        <v>11732</v>
      </c>
      <c r="B49" s="32">
        <v>7580</v>
      </c>
      <c r="C49" s="33">
        <v>7555</v>
      </c>
      <c r="D49" s="34">
        <v>270</v>
      </c>
      <c r="E49" s="35">
        <v>270</v>
      </c>
      <c r="F49" s="5">
        <v>185</v>
      </c>
      <c r="G49" s="6">
        <v>25</v>
      </c>
    </row>
    <row r="50" spans="1:7" x14ac:dyDescent="0.25">
      <c r="A50" s="1">
        <f t="shared" ca="1" si="0"/>
        <v>11733</v>
      </c>
      <c r="B50" s="32">
        <v>7580</v>
      </c>
      <c r="C50" s="33">
        <v>7560</v>
      </c>
      <c r="D50" s="34">
        <v>275</v>
      </c>
      <c r="E50" s="35">
        <v>285</v>
      </c>
      <c r="F50" s="5">
        <v>0</v>
      </c>
      <c r="G50" s="6">
        <v>0</v>
      </c>
    </row>
    <row r="51" spans="1:7" x14ac:dyDescent="0.25">
      <c r="A51" s="1">
        <f t="shared" ca="1" si="0"/>
        <v>11734</v>
      </c>
      <c r="B51" s="32">
        <v>7575</v>
      </c>
      <c r="C51" s="33">
        <v>7555</v>
      </c>
      <c r="D51" s="34">
        <v>265</v>
      </c>
      <c r="E51" s="35">
        <v>280</v>
      </c>
      <c r="F51" s="5">
        <v>84</v>
      </c>
      <c r="G51" s="6">
        <v>0</v>
      </c>
    </row>
    <row r="52" spans="1:7" x14ac:dyDescent="0.25">
      <c r="A52" s="1">
        <f t="shared" ca="1" si="0"/>
        <v>11735</v>
      </c>
      <c r="B52" s="32">
        <v>7575</v>
      </c>
      <c r="C52" s="33">
        <v>7555</v>
      </c>
      <c r="D52" s="34">
        <v>265</v>
      </c>
      <c r="E52" s="35">
        <v>280</v>
      </c>
      <c r="F52" s="5">
        <v>0</v>
      </c>
      <c r="G52" s="6">
        <v>0</v>
      </c>
    </row>
    <row r="53" spans="1:7" x14ac:dyDescent="0.25">
      <c r="A53" s="1">
        <f t="shared" ca="1" si="0"/>
        <v>11736</v>
      </c>
      <c r="B53" s="32">
        <v>7580</v>
      </c>
      <c r="C53" s="33">
        <v>7565</v>
      </c>
      <c r="D53" s="34">
        <v>270</v>
      </c>
      <c r="E53" s="35">
        <v>280</v>
      </c>
      <c r="F53" s="5">
        <v>0</v>
      </c>
      <c r="G53" s="6">
        <v>0</v>
      </c>
    </row>
    <row r="54" spans="1:7" x14ac:dyDescent="0.25">
      <c r="A54" s="1">
        <f t="shared" ca="1" si="0"/>
        <v>11737</v>
      </c>
      <c r="B54" s="32">
        <v>7580</v>
      </c>
      <c r="C54" s="33">
        <v>7560</v>
      </c>
      <c r="D54" s="34">
        <v>270</v>
      </c>
      <c r="E54" s="35">
        <v>285</v>
      </c>
      <c r="F54" s="5">
        <v>0</v>
      </c>
      <c r="G54" s="6">
        <v>0</v>
      </c>
    </row>
    <row r="55" spans="1:7" x14ac:dyDescent="0.25">
      <c r="A55" s="1">
        <f t="shared" ca="1" si="0"/>
        <v>11738</v>
      </c>
      <c r="B55" s="32">
        <v>7585</v>
      </c>
      <c r="C55" s="33">
        <v>7570</v>
      </c>
      <c r="D55" s="34">
        <v>265</v>
      </c>
      <c r="E55" s="35">
        <v>285</v>
      </c>
      <c r="F55" s="5">
        <v>0</v>
      </c>
      <c r="G55" s="6">
        <v>0</v>
      </c>
    </row>
    <row r="56" spans="1:7" x14ac:dyDescent="0.25">
      <c r="A56" s="1">
        <f t="shared" ca="1" si="0"/>
        <v>11739</v>
      </c>
      <c r="B56" s="32">
        <v>7585</v>
      </c>
      <c r="C56" s="33">
        <v>7560</v>
      </c>
      <c r="D56" s="34">
        <v>270</v>
      </c>
      <c r="E56" s="35">
        <v>280</v>
      </c>
      <c r="F56" s="5">
        <v>0</v>
      </c>
      <c r="G56" s="6">
        <v>0</v>
      </c>
    </row>
    <row r="57" spans="1:7" x14ac:dyDescent="0.25">
      <c r="A57" s="1">
        <f t="shared" ca="1" si="0"/>
        <v>11740</v>
      </c>
      <c r="B57" s="32">
        <v>7580</v>
      </c>
      <c r="C57" s="33">
        <v>7565</v>
      </c>
      <c r="D57" s="34">
        <v>275</v>
      </c>
      <c r="E57" s="35">
        <v>285</v>
      </c>
      <c r="F57" s="5">
        <v>0</v>
      </c>
      <c r="G57" s="6">
        <v>0</v>
      </c>
    </row>
    <row r="58" spans="1:7" x14ac:dyDescent="0.25">
      <c r="A58" s="1">
        <f t="shared" ca="1" si="0"/>
        <v>11741</v>
      </c>
      <c r="B58" s="32">
        <v>7575</v>
      </c>
      <c r="C58" s="33">
        <v>7565</v>
      </c>
      <c r="D58" s="34">
        <v>270</v>
      </c>
      <c r="E58" s="35">
        <v>290</v>
      </c>
      <c r="F58" s="5">
        <v>0</v>
      </c>
      <c r="G58" s="6">
        <v>0</v>
      </c>
    </row>
    <row r="59" spans="1:7" x14ac:dyDescent="0.25">
      <c r="A59" s="1">
        <f t="shared" ca="1" si="0"/>
        <v>11742</v>
      </c>
      <c r="B59" s="32">
        <v>7580</v>
      </c>
      <c r="C59" s="33">
        <v>7570</v>
      </c>
      <c r="D59" s="34">
        <v>270</v>
      </c>
      <c r="E59" s="35">
        <v>290</v>
      </c>
      <c r="F59" s="5">
        <v>0</v>
      </c>
      <c r="G59" s="6">
        <v>0</v>
      </c>
    </row>
    <row r="60" spans="1:7" x14ac:dyDescent="0.25">
      <c r="A60" s="1">
        <f t="shared" ca="1" si="0"/>
        <v>11743</v>
      </c>
      <c r="B60" s="32">
        <v>7585</v>
      </c>
      <c r="C60" s="33">
        <v>7570</v>
      </c>
      <c r="D60" s="34">
        <v>270</v>
      </c>
      <c r="E60" s="35">
        <v>290</v>
      </c>
      <c r="F60" s="5">
        <v>0</v>
      </c>
      <c r="G60" s="6">
        <v>0</v>
      </c>
    </row>
    <row r="61" spans="1:7" x14ac:dyDescent="0.25">
      <c r="A61" s="1">
        <f t="shared" ca="1" si="0"/>
        <v>11744</v>
      </c>
      <c r="B61" s="32">
        <v>7585</v>
      </c>
      <c r="C61" s="33">
        <v>7565</v>
      </c>
      <c r="D61" s="34">
        <v>270</v>
      </c>
      <c r="E61" s="35">
        <v>290</v>
      </c>
      <c r="F61" s="5">
        <v>0</v>
      </c>
      <c r="G61" s="6">
        <v>0</v>
      </c>
    </row>
    <row r="62" spans="1:7" x14ac:dyDescent="0.25">
      <c r="A62" s="1">
        <f t="shared" ca="1" si="0"/>
        <v>11745</v>
      </c>
      <c r="B62" s="32">
        <v>7570</v>
      </c>
      <c r="C62" s="33">
        <v>7555</v>
      </c>
      <c r="D62" s="34">
        <v>270</v>
      </c>
      <c r="E62" s="35">
        <v>290</v>
      </c>
      <c r="F62" s="5">
        <v>0</v>
      </c>
      <c r="G62" s="6">
        <v>0</v>
      </c>
    </row>
    <row r="63" spans="1:7" x14ac:dyDescent="0.25">
      <c r="A63" s="1">
        <f t="shared" ca="1" si="0"/>
        <v>11746</v>
      </c>
      <c r="B63" s="32">
        <v>7565</v>
      </c>
      <c r="C63" s="33">
        <v>7545</v>
      </c>
      <c r="D63" s="34">
        <v>275</v>
      </c>
      <c r="E63" s="35">
        <v>290</v>
      </c>
      <c r="F63" s="5">
        <v>0</v>
      </c>
      <c r="G63" s="6">
        <v>0</v>
      </c>
    </row>
    <row r="64" spans="1:7" x14ac:dyDescent="0.25">
      <c r="A64" s="1">
        <f t="shared" ca="1" si="0"/>
        <v>11747</v>
      </c>
      <c r="B64" s="32">
        <v>7570</v>
      </c>
      <c r="C64" s="33">
        <v>7560</v>
      </c>
      <c r="D64" s="34">
        <v>280</v>
      </c>
      <c r="E64" s="35">
        <v>290</v>
      </c>
      <c r="F64" s="5">
        <v>0</v>
      </c>
      <c r="G64" s="6">
        <v>0</v>
      </c>
    </row>
    <row r="65" spans="1:7" x14ac:dyDescent="0.25">
      <c r="A65" s="1">
        <f t="shared" ca="1" si="0"/>
        <v>11748</v>
      </c>
      <c r="B65" s="32">
        <v>7570</v>
      </c>
      <c r="C65" s="33">
        <v>7560</v>
      </c>
      <c r="D65" s="34">
        <v>280</v>
      </c>
      <c r="E65" s="35">
        <v>290</v>
      </c>
      <c r="F65" s="5">
        <v>0</v>
      </c>
      <c r="G65" s="6">
        <v>0</v>
      </c>
    </row>
    <row r="66" spans="1:7" x14ac:dyDescent="0.25">
      <c r="A66" s="1" t="str">
        <f t="shared" ca="1" si="0"/>
        <v>Totaal</v>
      </c>
      <c r="B66" s="20">
        <f>IF(COUNT(B37:B65)&gt;0,AVERAGE(B37:B65)/10,"")</f>
        <v>757.94827586206895</v>
      </c>
      <c r="C66" s="21">
        <f>IF(COUNT(C37:C65)&gt;0,AVERAGE(C37:C65)/10,"")</f>
        <v>756.27586206896547</v>
      </c>
      <c r="D66" s="22">
        <f>IF(COUNT(D37:D65)&gt;0,AVERAGE(D37:D65)/10,"")</f>
        <v>27.137931034482754</v>
      </c>
      <c r="E66" s="23">
        <f>IF(COUNT(E37:E65)&gt;0,AVERAGE(E37:E65)/10,"")</f>
        <v>28.5</v>
      </c>
      <c r="F66" s="24">
        <f>SUM(F37:F65)/10</f>
        <v>36.1</v>
      </c>
      <c r="G66" s="25">
        <f>SUM(G37:G65)/10</f>
        <v>4.8</v>
      </c>
    </row>
    <row r="67" spans="1:7" x14ac:dyDescent="0.25">
      <c r="A67" s="1">
        <f t="shared" ca="1" si="0"/>
        <v>11749</v>
      </c>
      <c r="B67" s="32">
        <v>7565</v>
      </c>
      <c r="C67" s="33">
        <v>7535</v>
      </c>
      <c r="D67" s="34">
        <v>270</v>
      </c>
      <c r="E67" s="35">
        <v>290</v>
      </c>
      <c r="F67" s="5">
        <v>24</v>
      </c>
      <c r="G67" s="6">
        <v>0</v>
      </c>
    </row>
    <row r="68" spans="1:7" x14ac:dyDescent="0.25">
      <c r="A68" s="1">
        <f t="shared" ca="1" si="0"/>
        <v>11750</v>
      </c>
      <c r="B68" s="32">
        <v>7555</v>
      </c>
      <c r="C68" s="33">
        <v>7540</v>
      </c>
      <c r="D68" s="34">
        <v>275</v>
      </c>
      <c r="E68" s="35">
        <v>290</v>
      </c>
      <c r="F68" s="5">
        <v>0</v>
      </c>
      <c r="G68" s="6">
        <v>0</v>
      </c>
    </row>
    <row r="69" spans="1:7" x14ac:dyDescent="0.25">
      <c r="A69" s="1">
        <f t="shared" ca="1" si="0"/>
        <v>11751</v>
      </c>
      <c r="B69" s="32">
        <v>7560</v>
      </c>
      <c r="C69" s="33">
        <v>7540</v>
      </c>
      <c r="D69" s="34">
        <v>280</v>
      </c>
      <c r="E69" s="35">
        <v>290</v>
      </c>
      <c r="F69" s="5">
        <v>0</v>
      </c>
      <c r="G69" s="6">
        <v>0</v>
      </c>
    </row>
    <row r="70" spans="1:7" x14ac:dyDescent="0.25">
      <c r="A70" s="1">
        <f t="shared" ca="1" si="0"/>
        <v>11752</v>
      </c>
      <c r="B70" s="32">
        <v>7560</v>
      </c>
      <c r="C70" s="33">
        <v>7540</v>
      </c>
      <c r="D70" s="34">
        <v>275</v>
      </c>
      <c r="E70" s="35">
        <v>290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11753</v>
      </c>
      <c r="B71" s="32">
        <v>7550</v>
      </c>
      <c r="C71" s="33">
        <v>7535</v>
      </c>
      <c r="D71" s="34">
        <v>275</v>
      </c>
      <c r="E71" s="35">
        <v>295</v>
      </c>
      <c r="F71" s="5">
        <v>0</v>
      </c>
      <c r="G71" s="6">
        <v>0</v>
      </c>
    </row>
    <row r="72" spans="1:7" x14ac:dyDescent="0.25">
      <c r="A72" s="1">
        <f t="shared" ca="1" si="1"/>
        <v>11754</v>
      </c>
      <c r="B72" s="32">
        <v>7560</v>
      </c>
      <c r="C72" s="33">
        <v>7540</v>
      </c>
      <c r="D72" s="34">
        <v>275</v>
      </c>
      <c r="E72" s="35">
        <v>290</v>
      </c>
      <c r="F72" s="5">
        <v>0</v>
      </c>
      <c r="G72" s="6">
        <v>0</v>
      </c>
    </row>
    <row r="73" spans="1:7" x14ac:dyDescent="0.25">
      <c r="A73" s="1">
        <f t="shared" ca="1" si="1"/>
        <v>11755</v>
      </c>
      <c r="B73" s="32">
        <v>7565</v>
      </c>
      <c r="C73" s="33">
        <v>7540</v>
      </c>
      <c r="D73" s="34">
        <v>285</v>
      </c>
      <c r="E73" s="35">
        <v>300</v>
      </c>
      <c r="F73" s="5">
        <v>0</v>
      </c>
      <c r="G73" s="6">
        <v>0</v>
      </c>
    </row>
    <row r="74" spans="1:7" x14ac:dyDescent="0.25">
      <c r="A74" s="1">
        <f t="shared" ca="1" si="1"/>
        <v>11756</v>
      </c>
      <c r="B74" s="32">
        <v>7565</v>
      </c>
      <c r="C74" s="33">
        <v>7550</v>
      </c>
      <c r="D74" s="34">
        <v>280</v>
      </c>
      <c r="E74" s="35">
        <v>295</v>
      </c>
      <c r="F74" s="5">
        <v>124</v>
      </c>
      <c r="G74" s="6">
        <v>150</v>
      </c>
    </row>
    <row r="75" spans="1:7" x14ac:dyDescent="0.25">
      <c r="A75" s="1">
        <f t="shared" ca="1" si="1"/>
        <v>11757</v>
      </c>
      <c r="B75" s="32">
        <v>7565</v>
      </c>
      <c r="C75" s="33">
        <v>7550</v>
      </c>
      <c r="D75" s="34">
        <v>280</v>
      </c>
      <c r="E75" s="35">
        <v>300</v>
      </c>
      <c r="F75" s="5">
        <v>0</v>
      </c>
      <c r="G75" s="6">
        <v>0</v>
      </c>
    </row>
    <row r="76" spans="1:7" x14ac:dyDescent="0.25">
      <c r="A76" s="1">
        <f t="shared" ca="1" si="1"/>
        <v>11758</v>
      </c>
      <c r="B76" s="32">
        <v>7570</v>
      </c>
      <c r="C76" s="33">
        <v>7555</v>
      </c>
      <c r="D76" s="34">
        <v>280</v>
      </c>
      <c r="E76" s="35">
        <v>295</v>
      </c>
      <c r="F76" s="5">
        <v>0</v>
      </c>
      <c r="G76" s="6">
        <v>0</v>
      </c>
    </row>
    <row r="77" spans="1:7" x14ac:dyDescent="0.25">
      <c r="A77" s="1">
        <f t="shared" ca="1" si="1"/>
        <v>11759</v>
      </c>
      <c r="B77" s="32">
        <v>7580</v>
      </c>
      <c r="C77" s="33">
        <v>7555</v>
      </c>
      <c r="D77" s="34">
        <v>280</v>
      </c>
      <c r="E77" s="35">
        <v>300</v>
      </c>
      <c r="F77" s="5">
        <v>0</v>
      </c>
      <c r="G77" s="6">
        <v>0</v>
      </c>
    </row>
    <row r="78" spans="1:7" x14ac:dyDescent="0.25">
      <c r="A78" s="1">
        <f t="shared" ca="1" si="1"/>
        <v>11760</v>
      </c>
      <c r="B78" s="32">
        <v>7575</v>
      </c>
      <c r="C78" s="33">
        <v>7555</v>
      </c>
      <c r="D78" s="34">
        <v>280</v>
      </c>
      <c r="E78" s="35">
        <v>300</v>
      </c>
      <c r="F78" s="5">
        <v>0</v>
      </c>
      <c r="G78" s="6">
        <v>0</v>
      </c>
    </row>
    <row r="79" spans="1:7" x14ac:dyDescent="0.25">
      <c r="A79" s="1">
        <f t="shared" ca="1" si="1"/>
        <v>11761</v>
      </c>
      <c r="B79" s="32">
        <v>7580</v>
      </c>
      <c r="C79" s="33">
        <v>7550</v>
      </c>
      <c r="D79" s="34">
        <v>290</v>
      </c>
      <c r="E79" s="35">
        <v>300</v>
      </c>
      <c r="F79" s="5">
        <v>0</v>
      </c>
      <c r="G79" s="6">
        <v>14</v>
      </c>
    </row>
    <row r="80" spans="1:7" x14ac:dyDescent="0.25">
      <c r="A80" s="1">
        <f t="shared" ca="1" si="1"/>
        <v>11762</v>
      </c>
      <c r="B80" s="32">
        <v>7565</v>
      </c>
      <c r="C80" s="33">
        <v>7540</v>
      </c>
      <c r="D80" s="34">
        <v>280</v>
      </c>
      <c r="E80" s="35">
        <v>300</v>
      </c>
      <c r="F80" s="5">
        <v>0</v>
      </c>
      <c r="G80" s="6">
        <v>0</v>
      </c>
    </row>
    <row r="81" spans="1:7" x14ac:dyDescent="0.25">
      <c r="A81" s="1">
        <f t="shared" ca="1" si="1"/>
        <v>11763</v>
      </c>
      <c r="B81" s="32">
        <v>7575</v>
      </c>
      <c r="C81" s="33">
        <v>7555</v>
      </c>
      <c r="D81" s="34">
        <v>280</v>
      </c>
      <c r="E81" s="35">
        <v>300</v>
      </c>
      <c r="F81" s="5">
        <v>0</v>
      </c>
      <c r="G81" s="6">
        <v>0</v>
      </c>
    </row>
    <row r="82" spans="1:7" x14ac:dyDescent="0.25">
      <c r="A82" s="1">
        <f t="shared" ca="1" si="1"/>
        <v>11764</v>
      </c>
      <c r="B82" s="32">
        <v>7575</v>
      </c>
      <c r="C82" s="33">
        <v>7555</v>
      </c>
      <c r="D82" s="34">
        <v>280</v>
      </c>
      <c r="E82" s="35">
        <v>295</v>
      </c>
      <c r="F82" s="5">
        <v>0</v>
      </c>
      <c r="G82" s="6">
        <v>0</v>
      </c>
    </row>
    <row r="83" spans="1:7" x14ac:dyDescent="0.25">
      <c r="A83" s="1">
        <f t="shared" ca="1" si="1"/>
        <v>11765</v>
      </c>
      <c r="B83" s="32">
        <v>7575</v>
      </c>
      <c r="C83" s="33">
        <v>7555</v>
      </c>
      <c r="D83" s="34">
        <v>280</v>
      </c>
      <c r="E83" s="35">
        <v>290</v>
      </c>
      <c r="F83" s="5">
        <v>12</v>
      </c>
      <c r="G83" s="6">
        <v>0</v>
      </c>
    </row>
    <row r="84" spans="1:7" x14ac:dyDescent="0.25">
      <c r="A84" s="1">
        <f t="shared" ca="1" si="1"/>
        <v>11766</v>
      </c>
      <c r="B84" s="32">
        <v>7565</v>
      </c>
      <c r="C84" s="33">
        <v>7550</v>
      </c>
      <c r="D84" s="34">
        <v>280</v>
      </c>
      <c r="E84" s="35">
        <v>295</v>
      </c>
      <c r="F84" s="5">
        <v>0</v>
      </c>
      <c r="G84" s="6">
        <v>0</v>
      </c>
    </row>
    <row r="85" spans="1:7" x14ac:dyDescent="0.25">
      <c r="A85" s="1">
        <f t="shared" ca="1" si="1"/>
        <v>11767</v>
      </c>
      <c r="B85" s="32">
        <v>7575</v>
      </c>
      <c r="C85" s="33">
        <v>7555</v>
      </c>
      <c r="D85" s="34">
        <v>285</v>
      </c>
      <c r="E85" s="35">
        <v>300</v>
      </c>
      <c r="F85" s="5">
        <v>0</v>
      </c>
      <c r="G85" s="6">
        <v>0</v>
      </c>
    </row>
    <row r="86" spans="1:7" x14ac:dyDescent="0.25">
      <c r="A86" s="1">
        <f t="shared" ca="1" si="1"/>
        <v>11768</v>
      </c>
      <c r="B86" s="32">
        <v>7570</v>
      </c>
      <c r="C86" s="33">
        <v>7550</v>
      </c>
      <c r="D86" s="34">
        <v>290</v>
      </c>
      <c r="E86" s="35">
        <v>300</v>
      </c>
      <c r="F86" s="5">
        <v>0</v>
      </c>
      <c r="G86" s="6">
        <v>0</v>
      </c>
    </row>
    <row r="87" spans="1:7" x14ac:dyDescent="0.25">
      <c r="A87" s="1">
        <f t="shared" ca="1" si="1"/>
        <v>11769</v>
      </c>
      <c r="B87" s="32">
        <v>7580</v>
      </c>
      <c r="C87" s="33">
        <v>7560</v>
      </c>
      <c r="D87" s="34">
        <v>280</v>
      </c>
      <c r="E87" s="35">
        <v>300</v>
      </c>
      <c r="F87" s="5">
        <v>0</v>
      </c>
      <c r="G87" s="6">
        <v>0</v>
      </c>
    </row>
    <row r="88" spans="1:7" x14ac:dyDescent="0.25">
      <c r="A88" s="1">
        <f t="shared" ca="1" si="1"/>
        <v>11770</v>
      </c>
      <c r="B88" s="32">
        <v>7575</v>
      </c>
      <c r="C88" s="33">
        <v>7555</v>
      </c>
      <c r="D88" s="34">
        <v>280</v>
      </c>
      <c r="E88" s="35">
        <v>300</v>
      </c>
      <c r="F88" s="5">
        <v>0</v>
      </c>
      <c r="G88" s="6">
        <v>0</v>
      </c>
    </row>
    <row r="89" spans="1:7" x14ac:dyDescent="0.25">
      <c r="A89" s="1">
        <f t="shared" ca="1" si="1"/>
        <v>11771</v>
      </c>
      <c r="B89" s="32">
        <v>7585</v>
      </c>
      <c r="C89" s="33">
        <v>7570</v>
      </c>
      <c r="D89" s="34">
        <v>280</v>
      </c>
      <c r="E89" s="35">
        <v>300</v>
      </c>
      <c r="F89" s="5">
        <v>0</v>
      </c>
      <c r="G89" s="6">
        <v>0</v>
      </c>
    </row>
    <row r="90" spans="1:7" x14ac:dyDescent="0.25">
      <c r="A90" s="1">
        <f t="shared" ca="1" si="1"/>
        <v>11772</v>
      </c>
      <c r="B90" s="32">
        <v>7585</v>
      </c>
      <c r="C90" s="33">
        <v>7570</v>
      </c>
      <c r="D90" s="34">
        <v>280</v>
      </c>
      <c r="E90" s="35">
        <v>300</v>
      </c>
      <c r="F90" s="5">
        <v>0</v>
      </c>
      <c r="G90" s="6">
        <v>0</v>
      </c>
    </row>
    <row r="91" spans="1:7" x14ac:dyDescent="0.25">
      <c r="A91" s="1">
        <f t="shared" ca="1" si="1"/>
        <v>11773</v>
      </c>
      <c r="B91" s="32">
        <v>7575</v>
      </c>
      <c r="C91" s="33">
        <v>7560</v>
      </c>
      <c r="D91" s="34">
        <v>290</v>
      </c>
      <c r="E91" s="35">
        <v>300</v>
      </c>
      <c r="F91" s="5">
        <v>0</v>
      </c>
      <c r="G91" s="6">
        <v>0</v>
      </c>
    </row>
    <row r="92" spans="1:7" x14ac:dyDescent="0.25">
      <c r="A92" s="1">
        <f t="shared" ca="1" si="1"/>
        <v>11774</v>
      </c>
      <c r="B92" s="32">
        <v>7585</v>
      </c>
      <c r="C92" s="33">
        <v>7560</v>
      </c>
      <c r="D92" s="34">
        <v>280</v>
      </c>
      <c r="E92" s="35">
        <v>295</v>
      </c>
      <c r="F92" s="5">
        <v>0</v>
      </c>
      <c r="G92" s="6">
        <v>0</v>
      </c>
    </row>
    <row r="93" spans="1:7" x14ac:dyDescent="0.25">
      <c r="A93" s="1">
        <f t="shared" ca="1" si="1"/>
        <v>11775</v>
      </c>
      <c r="B93" s="32">
        <v>7570</v>
      </c>
      <c r="C93" s="33">
        <v>7555</v>
      </c>
      <c r="D93" s="34">
        <v>280</v>
      </c>
      <c r="E93" s="35">
        <v>290</v>
      </c>
      <c r="F93" s="5">
        <v>0</v>
      </c>
      <c r="G93" s="6">
        <v>0</v>
      </c>
    </row>
    <row r="94" spans="1:7" x14ac:dyDescent="0.25">
      <c r="A94" s="1">
        <f t="shared" ca="1" si="1"/>
        <v>11776</v>
      </c>
      <c r="B94" s="32">
        <v>7580</v>
      </c>
      <c r="C94" s="33">
        <v>7560</v>
      </c>
      <c r="D94" s="34">
        <v>285</v>
      </c>
      <c r="E94" s="35">
        <v>300</v>
      </c>
      <c r="F94" s="5">
        <v>0</v>
      </c>
      <c r="G94" s="6">
        <v>0</v>
      </c>
    </row>
    <row r="95" spans="1:7" x14ac:dyDescent="0.25">
      <c r="A95" s="1">
        <f t="shared" ca="1" si="1"/>
        <v>11777</v>
      </c>
      <c r="B95" s="32">
        <v>7585</v>
      </c>
      <c r="C95" s="33">
        <v>7560</v>
      </c>
      <c r="D95" s="34">
        <v>290</v>
      </c>
      <c r="E95" s="35">
        <v>290</v>
      </c>
      <c r="F95" s="5">
        <v>0</v>
      </c>
      <c r="G95" s="6">
        <v>0</v>
      </c>
    </row>
    <row r="96" spans="1:7" x14ac:dyDescent="0.25">
      <c r="A96" s="1">
        <f t="shared" ca="1" si="1"/>
        <v>11778</v>
      </c>
      <c r="B96" s="32">
        <v>7585</v>
      </c>
      <c r="C96" s="33">
        <v>7555</v>
      </c>
      <c r="D96" s="34">
        <v>285</v>
      </c>
      <c r="E96" s="35">
        <v>300</v>
      </c>
      <c r="F96" s="5">
        <v>0</v>
      </c>
      <c r="G96" s="6">
        <v>0</v>
      </c>
    </row>
    <row r="97" spans="1:7" x14ac:dyDescent="0.25">
      <c r="A97" s="1">
        <f t="shared" ca="1" si="1"/>
        <v>11779</v>
      </c>
      <c r="B97" s="32">
        <v>7575</v>
      </c>
      <c r="C97" s="33">
        <v>7555</v>
      </c>
      <c r="D97" s="34">
        <v>280</v>
      </c>
      <c r="E97" s="35">
        <v>300</v>
      </c>
      <c r="F97" s="5">
        <v>0</v>
      </c>
      <c r="G97" s="6">
        <v>0</v>
      </c>
    </row>
    <row r="98" spans="1:7" x14ac:dyDescent="0.25">
      <c r="A98" s="1" t="str">
        <f t="shared" ca="1" si="1"/>
        <v>Totaal</v>
      </c>
      <c r="B98" s="20">
        <f>IF(COUNT(B67:B97)&gt;0,AVERAGE(B67:B97)/10,"")</f>
        <v>757.19354838709683</v>
      </c>
      <c r="C98" s="21">
        <f>IF(COUNT(C67:C97)&gt;0,AVERAGE(C67:C97)/10,"")</f>
        <v>755.17741935483878</v>
      </c>
      <c r="D98" s="22">
        <f>IF(COUNT(D67:D97)&gt;0,AVERAGE(D67:D97)/10,"")</f>
        <v>28.096774193548384</v>
      </c>
      <c r="E98" s="23">
        <f>IF(COUNT(E67:E97)&gt;0,AVERAGE(E67:E97)/10,"")</f>
        <v>29.64516129032258</v>
      </c>
      <c r="F98" s="24">
        <f>SUM(F67:F97)/10</f>
        <v>16</v>
      </c>
      <c r="G98" s="25">
        <f>SUM(G67:G97)/10</f>
        <v>16.399999999999999</v>
      </c>
    </row>
    <row r="99" spans="1:7" x14ac:dyDescent="0.25">
      <c r="A99" s="1">
        <f t="shared" ca="1" si="1"/>
        <v>11780</v>
      </c>
      <c r="B99" s="32">
        <v>7575</v>
      </c>
      <c r="C99" s="33">
        <v>7550</v>
      </c>
      <c r="D99" s="34">
        <v>280</v>
      </c>
      <c r="E99" s="35">
        <v>300</v>
      </c>
      <c r="F99" s="5">
        <v>10</v>
      </c>
      <c r="G99" s="6">
        <v>0</v>
      </c>
    </row>
    <row r="100" spans="1:7" x14ac:dyDescent="0.25">
      <c r="A100" s="1">
        <f t="shared" ca="1" si="1"/>
        <v>11781</v>
      </c>
      <c r="B100" s="32">
        <v>7570</v>
      </c>
      <c r="C100" s="33">
        <v>7555</v>
      </c>
      <c r="D100" s="34">
        <v>280</v>
      </c>
      <c r="E100" s="35">
        <v>290</v>
      </c>
      <c r="F100" s="5">
        <v>0</v>
      </c>
      <c r="G100" s="6">
        <v>0</v>
      </c>
    </row>
    <row r="101" spans="1:7" x14ac:dyDescent="0.25">
      <c r="A101" s="1">
        <f t="shared" ca="1" si="1"/>
        <v>11782</v>
      </c>
      <c r="B101" s="32">
        <v>7565</v>
      </c>
      <c r="C101" s="33">
        <v>7545</v>
      </c>
      <c r="D101" s="34">
        <v>285</v>
      </c>
      <c r="E101" s="35">
        <v>300</v>
      </c>
      <c r="F101" s="5">
        <v>0</v>
      </c>
      <c r="G101" s="6">
        <v>0</v>
      </c>
    </row>
    <row r="102" spans="1:7" x14ac:dyDescent="0.25">
      <c r="A102" s="1">
        <f t="shared" ca="1" si="1"/>
        <v>11783</v>
      </c>
      <c r="B102" s="32">
        <v>7570</v>
      </c>
      <c r="C102" s="33">
        <v>7555</v>
      </c>
      <c r="D102" s="34">
        <v>285</v>
      </c>
      <c r="E102" s="35">
        <v>300</v>
      </c>
      <c r="F102" s="5">
        <v>0</v>
      </c>
      <c r="G102" s="6">
        <v>0</v>
      </c>
    </row>
    <row r="103" spans="1:7" x14ac:dyDescent="0.25">
      <c r="A103" s="1">
        <f t="shared" ca="1" si="1"/>
        <v>11784</v>
      </c>
      <c r="B103" s="32">
        <v>7570</v>
      </c>
      <c r="C103" s="33">
        <v>7545</v>
      </c>
      <c r="D103" s="34">
        <v>285</v>
      </c>
      <c r="E103" s="35">
        <v>300</v>
      </c>
      <c r="F103" s="5">
        <v>0</v>
      </c>
      <c r="G103" s="6">
        <v>0</v>
      </c>
    </row>
    <row r="104" spans="1:7" x14ac:dyDescent="0.25">
      <c r="A104" s="1">
        <f t="shared" ca="1" si="1"/>
        <v>11785</v>
      </c>
      <c r="B104" s="32">
        <v>7560</v>
      </c>
      <c r="C104" s="33">
        <v>7540</v>
      </c>
      <c r="D104" s="34">
        <v>285</v>
      </c>
      <c r="E104" s="35">
        <v>295</v>
      </c>
      <c r="F104" s="5">
        <v>0</v>
      </c>
      <c r="G104" s="6">
        <v>10</v>
      </c>
    </row>
    <row r="105" spans="1:7" x14ac:dyDescent="0.25">
      <c r="A105" s="1">
        <f t="shared" ca="1" si="1"/>
        <v>11786</v>
      </c>
      <c r="B105" s="32">
        <v>7555</v>
      </c>
      <c r="C105" s="33">
        <v>7535</v>
      </c>
      <c r="D105" s="34">
        <v>290</v>
      </c>
      <c r="E105" s="35">
        <v>300</v>
      </c>
      <c r="F105" s="5">
        <v>0</v>
      </c>
      <c r="G105" s="6">
        <v>0</v>
      </c>
    </row>
    <row r="106" spans="1:7" x14ac:dyDescent="0.25">
      <c r="A106" s="1">
        <f t="shared" ca="1" si="1"/>
        <v>11787</v>
      </c>
      <c r="B106" s="32">
        <v>7555</v>
      </c>
      <c r="C106" s="33">
        <v>7535</v>
      </c>
      <c r="D106" s="34">
        <v>290</v>
      </c>
      <c r="E106" s="35">
        <v>305</v>
      </c>
      <c r="F106" s="5">
        <v>0</v>
      </c>
      <c r="G106" s="6">
        <v>15</v>
      </c>
    </row>
    <row r="107" spans="1:7" x14ac:dyDescent="0.25">
      <c r="A107" s="1">
        <f t="shared" ca="1" si="1"/>
        <v>11788</v>
      </c>
      <c r="B107" s="32">
        <v>7545</v>
      </c>
      <c r="C107" s="33">
        <v>7525</v>
      </c>
      <c r="D107" s="34">
        <v>290</v>
      </c>
      <c r="E107" s="35">
        <v>300</v>
      </c>
      <c r="F107" s="5">
        <v>0</v>
      </c>
      <c r="G107" s="6">
        <v>0</v>
      </c>
    </row>
    <row r="108" spans="1:7" x14ac:dyDescent="0.25">
      <c r="A108" s="1">
        <f t="shared" ca="1" si="1"/>
        <v>11789</v>
      </c>
      <c r="B108" s="32">
        <v>7560</v>
      </c>
      <c r="C108" s="33">
        <v>7540</v>
      </c>
      <c r="D108" s="34">
        <v>285</v>
      </c>
      <c r="E108" s="35">
        <v>295</v>
      </c>
      <c r="F108" s="5">
        <v>0</v>
      </c>
      <c r="G108" s="6">
        <v>0</v>
      </c>
    </row>
    <row r="109" spans="1:7" x14ac:dyDescent="0.25">
      <c r="A109" s="1">
        <f t="shared" ca="1" si="1"/>
        <v>11790</v>
      </c>
      <c r="B109" s="32">
        <v>7555</v>
      </c>
      <c r="C109" s="33">
        <v>7535</v>
      </c>
      <c r="D109" s="34">
        <v>290</v>
      </c>
      <c r="E109" s="35">
        <v>305</v>
      </c>
      <c r="F109" s="5">
        <v>0</v>
      </c>
      <c r="G109" s="6">
        <v>0</v>
      </c>
    </row>
    <row r="110" spans="1:7" x14ac:dyDescent="0.25">
      <c r="A110" s="1">
        <f t="shared" ca="1" si="1"/>
        <v>11791</v>
      </c>
      <c r="B110" s="32">
        <v>7560</v>
      </c>
      <c r="C110" s="33">
        <v>7535</v>
      </c>
      <c r="D110" s="34">
        <v>290</v>
      </c>
      <c r="E110" s="35">
        <v>305</v>
      </c>
      <c r="F110" s="5">
        <v>0</v>
      </c>
      <c r="G110" s="6">
        <v>0</v>
      </c>
    </row>
    <row r="111" spans="1:7" x14ac:dyDescent="0.25">
      <c r="A111" s="1">
        <f t="shared" ca="1" si="1"/>
        <v>11792</v>
      </c>
      <c r="B111" s="32">
        <v>7565</v>
      </c>
      <c r="C111" s="33">
        <v>7545</v>
      </c>
      <c r="D111" s="34">
        <v>290</v>
      </c>
      <c r="E111" s="35">
        <v>300</v>
      </c>
      <c r="F111" s="5">
        <v>0</v>
      </c>
      <c r="G111" s="6">
        <v>0</v>
      </c>
    </row>
    <row r="112" spans="1:7" x14ac:dyDescent="0.25">
      <c r="A112" s="1">
        <f t="shared" ca="1" si="1"/>
        <v>11793</v>
      </c>
      <c r="B112" s="32">
        <v>7570</v>
      </c>
      <c r="C112" s="33">
        <v>7550</v>
      </c>
      <c r="D112" s="34">
        <v>285</v>
      </c>
      <c r="E112" s="35">
        <v>305</v>
      </c>
      <c r="F112" s="5">
        <v>0</v>
      </c>
      <c r="G112" s="6">
        <v>0</v>
      </c>
    </row>
    <row r="113" spans="1:7" x14ac:dyDescent="0.25">
      <c r="A113" s="1">
        <f t="shared" ca="1" si="1"/>
        <v>11794</v>
      </c>
      <c r="B113" s="32">
        <v>7575</v>
      </c>
      <c r="C113" s="33">
        <v>7550</v>
      </c>
      <c r="D113" s="34">
        <v>290</v>
      </c>
      <c r="E113" s="35">
        <v>300</v>
      </c>
      <c r="F113" s="5">
        <v>0</v>
      </c>
      <c r="G113" s="6">
        <v>0</v>
      </c>
    </row>
    <row r="114" spans="1:7" x14ac:dyDescent="0.25">
      <c r="A114" s="1">
        <f t="shared" ca="1" si="1"/>
        <v>11795</v>
      </c>
      <c r="B114" s="32">
        <v>7565</v>
      </c>
      <c r="C114" s="33">
        <v>7535</v>
      </c>
      <c r="D114" s="34">
        <v>290</v>
      </c>
      <c r="E114" s="35">
        <v>300</v>
      </c>
      <c r="F114" s="5">
        <v>0</v>
      </c>
      <c r="G114" s="6">
        <v>0</v>
      </c>
    </row>
    <row r="115" spans="1:7" x14ac:dyDescent="0.25">
      <c r="A115" s="1">
        <f t="shared" ca="1" si="1"/>
        <v>11796</v>
      </c>
      <c r="B115" s="32">
        <v>7560</v>
      </c>
      <c r="C115" s="33">
        <v>7540</v>
      </c>
      <c r="D115" s="34">
        <v>295</v>
      </c>
      <c r="E115" s="35">
        <v>300</v>
      </c>
      <c r="F115" s="5">
        <v>0</v>
      </c>
      <c r="G115" s="6">
        <v>0</v>
      </c>
    </row>
    <row r="116" spans="1:7" x14ac:dyDescent="0.25">
      <c r="A116" s="1">
        <f t="shared" ca="1" si="1"/>
        <v>11797</v>
      </c>
      <c r="B116" s="32">
        <v>7550</v>
      </c>
      <c r="C116" s="33">
        <v>7575</v>
      </c>
      <c r="D116" s="34">
        <v>290</v>
      </c>
      <c r="E116" s="35">
        <v>305</v>
      </c>
      <c r="F116" s="5">
        <v>0</v>
      </c>
      <c r="G116" s="6">
        <v>0</v>
      </c>
    </row>
    <row r="117" spans="1:7" x14ac:dyDescent="0.25">
      <c r="A117" s="1">
        <f t="shared" ca="1" si="1"/>
        <v>11798</v>
      </c>
      <c r="B117" s="32">
        <v>7550</v>
      </c>
      <c r="C117" s="33">
        <v>7540</v>
      </c>
      <c r="D117" s="34">
        <v>295</v>
      </c>
      <c r="E117" s="35">
        <v>295</v>
      </c>
      <c r="F117" s="5">
        <v>0</v>
      </c>
      <c r="G117" s="6">
        <v>0</v>
      </c>
    </row>
    <row r="118" spans="1:7" x14ac:dyDescent="0.25">
      <c r="A118" s="1">
        <f t="shared" ca="1" si="1"/>
        <v>11799</v>
      </c>
      <c r="B118" s="32">
        <v>7560</v>
      </c>
      <c r="C118" s="33">
        <v>7535</v>
      </c>
      <c r="D118" s="34">
        <v>290</v>
      </c>
      <c r="E118" s="35">
        <v>310</v>
      </c>
      <c r="F118" s="5">
        <v>0</v>
      </c>
      <c r="G118" s="6">
        <v>0</v>
      </c>
    </row>
    <row r="119" spans="1:7" x14ac:dyDescent="0.25">
      <c r="A119" s="1">
        <f t="shared" ca="1" si="1"/>
        <v>11800</v>
      </c>
      <c r="B119" s="32">
        <v>7545</v>
      </c>
      <c r="C119" s="33">
        <v>7515</v>
      </c>
      <c r="D119" s="34">
        <v>290</v>
      </c>
      <c r="E119" s="35">
        <v>310</v>
      </c>
      <c r="F119" s="5">
        <v>0</v>
      </c>
      <c r="G119" s="6">
        <v>0</v>
      </c>
    </row>
    <row r="120" spans="1:7" x14ac:dyDescent="0.25">
      <c r="A120" s="1">
        <f t="shared" ca="1" si="1"/>
        <v>11801</v>
      </c>
      <c r="B120" s="32">
        <v>7535</v>
      </c>
      <c r="C120" s="33">
        <v>7500</v>
      </c>
      <c r="D120" s="34">
        <v>290</v>
      </c>
      <c r="E120" s="35">
        <v>310</v>
      </c>
      <c r="F120" s="5">
        <v>0</v>
      </c>
      <c r="G120" s="6">
        <v>0</v>
      </c>
    </row>
    <row r="121" spans="1:7" x14ac:dyDescent="0.25">
      <c r="A121" s="1">
        <f t="shared" ca="1" si="1"/>
        <v>11802</v>
      </c>
      <c r="B121" s="32">
        <v>7530</v>
      </c>
      <c r="C121" s="33">
        <v>7510</v>
      </c>
      <c r="D121" s="34">
        <v>295</v>
      </c>
      <c r="E121" s="35">
        <v>320</v>
      </c>
      <c r="F121" s="5">
        <v>0</v>
      </c>
      <c r="G121" s="6">
        <v>0</v>
      </c>
    </row>
    <row r="122" spans="1:7" x14ac:dyDescent="0.25">
      <c r="A122" s="1">
        <f t="shared" ca="1" si="1"/>
        <v>11803</v>
      </c>
      <c r="B122" s="32">
        <v>7545</v>
      </c>
      <c r="C122" s="33">
        <v>7520</v>
      </c>
      <c r="D122" s="34">
        <v>295</v>
      </c>
      <c r="E122" s="35">
        <v>310</v>
      </c>
      <c r="F122" s="5">
        <v>0</v>
      </c>
      <c r="G122" s="6">
        <v>0</v>
      </c>
    </row>
    <row r="123" spans="1:7" x14ac:dyDescent="0.25">
      <c r="A123" s="1">
        <f t="shared" ca="1" si="1"/>
        <v>11804</v>
      </c>
      <c r="B123" s="32">
        <v>7550</v>
      </c>
      <c r="C123" s="33">
        <v>7530</v>
      </c>
      <c r="D123" s="34">
        <v>290</v>
      </c>
      <c r="E123" s="35">
        <v>305</v>
      </c>
      <c r="F123" s="5">
        <v>0</v>
      </c>
      <c r="G123" s="6">
        <v>0</v>
      </c>
    </row>
    <row r="124" spans="1:7" x14ac:dyDescent="0.25">
      <c r="A124" s="1">
        <f t="shared" ca="1" si="1"/>
        <v>11805</v>
      </c>
      <c r="B124" s="32">
        <v>7565</v>
      </c>
      <c r="C124" s="33">
        <v>7540</v>
      </c>
      <c r="D124" s="34">
        <v>290</v>
      </c>
      <c r="E124" s="35">
        <v>305</v>
      </c>
      <c r="F124" s="5">
        <v>0</v>
      </c>
      <c r="G124" s="6">
        <v>0</v>
      </c>
    </row>
    <row r="125" spans="1:7" x14ac:dyDescent="0.25">
      <c r="A125" s="1">
        <f t="shared" ca="1" si="1"/>
        <v>11806</v>
      </c>
      <c r="B125" s="32">
        <v>7560</v>
      </c>
      <c r="C125" s="33">
        <v>7535</v>
      </c>
      <c r="D125" s="34">
        <v>295</v>
      </c>
      <c r="E125" s="35">
        <v>305</v>
      </c>
      <c r="F125" s="5">
        <v>0</v>
      </c>
      <c r="G125" s="6">
        <v>0</v>
      </c>
    </row>
    <row r="126" spans="1:7" x14ac:dyDescent="0.25">
      <c r="A126" s="1">
        <f t="shared" ca="1" si="1"/>
        <v>11807</v>
      </c>
      <c r="B126" s="32">
        <v>7560</v>
      </c>
      <c r="C126" s="33">
        <v>7540</v>
      </c>
      <c r="D126" s="34">
        <v>290</v>
      </c>
      <c r="E126" s="35">
        <v>305</v>
      </c>
      <c r="F126" s="5">
        <v>0</v>
      </c>
      <c r="G126" s="6">
        <v>0</v>
      </c>
    </row>
    <row r="127" spans="1:7" x14ac:dyDescent="0.25">
      <c r="A127" s="1">
        <f t="shared" ca="1" si="1"/>
        <v>11808</v>
      </c>
      <c r="B127" s="32">
        <v>7560</v>
      </c>
      <c r="C127" s="33">
        <v>7535</v>
      </c>
      <c r="D127" s="34">
        <v>290</v>
      </c>
      <c r="E127" s="35">
        <v>310</v>
      </c>
      <c r="F127" s="5">
        <v>0</v>
      </c>
      <c r="G127" s="6">
        <v>0</v>
      </c>
    </row>
    <row r="128" spans="1:7" x14ac:dyDescent="0.25">
      <c r="A128" s="1">
        <f t="shared" ca="1" si="1"/>
        <v>11809</v>
      </c>
      <c r="B128" s="32">
        <v>7560</v>
      </c>
      <c r="C128" s="33">
        <v>7535</v>
      </c>
      <c r="D128" s="34">
        <v>290</v>
      </c>
      <c r="E128" s="35">
        <v>300</v>
      </c>
      <c r="F128" s="5">
        <v>0</v>
      </c>
      <c r="G128" s="6">
        <v>0</v>
      </c>
    </row>
    <row r="129" spans="1:7" x14ac:dyDescent="0.25">
      <c r="A129" s="1" t="str">
        <f t="shared" ca="1" si="1"/>
        <v>Totaal</v>
      </c>
      <c r="B129" s="20">
        <f>IF(COUNT(B99:B128)&gt;0,AVERAGE(B99:B128)/10,"")</f>
        <v>755.81666666666672</v>
      </c>
      <c r="C129" s="21">
        <f>IF(COUNT(C99:C128)&gt;0,AVERAGE(C99:C128)/10,"")</f>
        <v>753.75</v>
      </c>
      <c r="D129" s="22">
        <f>IF(COUNT(D99:D128)&gt;0,AVERAGE(D99:D128)/10,"")</f>
        <v>28.916666666666668</v>
      </c>
      <c r="E129" s="23">
        <f>IF(COUNT(E99:E128)&gt;0,AVERAGE(E99:E128)/10,"")</f>
        <v>30.3</v>
      </c>
      <c r="F129" s="24">
        <f>SUM(F99:F128)/10</f>
        <v>1</v>
      </c>
      <c r="G129" s="25">
        <f>SUM(G99:G128)/10</f>
        <v>2.5</v>
      </c>
    </row>
    <row r="130" spans="1:7" x14ac:dyDescent="0.25">
      <c r="A130" s="1">
        <f t="shared" ca="1" si="1"/>
        <v>11810</v>
      </c>
      <c r="B130" s="32">
        <v>7560</v>
      </c>
      <c r="C130" s="33">
        <v>7540</v>
      </c>
      <c r="D130" s="34">
        <v>290</v>
      </c>
      <c r="E130" s="35">
        <v>305</v>
      </c>
      <c r="F130" s="5">
        <v>0</v>
      </c>
      <c r="G130" s="6">
        <v>0</v>
      </c>
    </row>
    <row r="131" spans="1:7" x14ac:dyDescent="0.25">
      <c r="A131" s="1">
        <f t="shared" ca="1" si="1"/>
        <v>11811</v>
      </c>
      <c r="B131" s="32">
        <v>7555</v>
      </c>
      <c r="C131" s="33">
        <v>7535</v>
      </c>
      <c r="D131" s="34">
        <v>285</v>
      </c>
      <c r="E131" s="35">
        <v>300</v>
      </c>
      <c r="F131" s="5">
        <v>0</v>
      </c>
      <c r="G131" s="6">
        <v>0</v>
      </c>
    </row>
    <row r="132" spans="1:7" x14ac:dyDescent="0.25">
      <c r="A132" s="1">
        <f t="shared" ca="1" si="1"/>
        <v>11812</v>
      </c>
      <c r="B132" s="32">
        <v>7565</v>
      </c>
      <c r="C132" s="33">
        <v>7540</v>
      </c>
      <c r="D132" s="34">
        <v>290</v>
      </c>
      <c r="E132" s="35">
        <v>310</v>
      </c>
      <c r="F132" s="5">
        <v>0</v>
      </c>
      <c r="G132" s="6">
        <v>0</v>
      </c>
    </row>
    <row r="133" spans="1:7" x14ac:dyDescent="0.25">
      <c r="A133" s="1">
        <f t="shared" ca="1" si="1"/>
        <v>11813</v>
      </c>
      <c r="B133" s="32">
        <v>7565</v>
      </c>
      <c r="C133" s="33">
        <v>7540</v>
      </c>
      <c r="D133" s="34">
        <v>290</v>
      </c>
      <c r="E133" s="35">
        <v>310</v>
      </c>
      <c r="F133" s="5">
        <v>0</v>
      </c>
      <c r="G133" s="6">
        <v>0</v>
      </c>
    </row>
    <row r="134" spans="1:7" x14ac:dyDescent="0.25">
      <c r="A134" s="1">
        <f t="shared" ca="1" si="1"/>
        <v>11814</v>
      </c>
      <c r="B134" s="32">
        <v>7555</v>
      </c>
      <c r="C134" s="33">
        <v>7535</v>
      </c>
      <c r="D134" s="34">
        <v>290</v>
      </c>
      <c r="E134" s="35">
        <v>305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11815</v>
      </c>
      <c r="B135" s="32">
        <v>7530</v>
      </c>
      <c r="C135" s="33">
        <v>7505</v>
      </c>
      <c r="D135" s="34">
        <v>300</v>
      </c>
      <c r="E135" s="35">
        <v>315</v>
      </c>
      <c r="F135" s="5">
        <v>0</v>
      </c>
      <c r="G135" s="6">
        <v>0</v>
      </c>
    </row>
    <row r="136" spans="1:7" x14ac:dyDescent="0.25">
      <c r="A136" s="1">
        <f t="shared" ca="1" si="2"/>
        <v>11816</v>
      </c>
      <c r="B136" s="32">
        <v>7530</v>
      </c>
      <c r="C136" s="33">
        <v>7530</v>
      </c>
      <c r="D136" s="34">
        <v>295</v>
      </c>
      <c r="E136" s="35">
        <v>310</v>
      </c>
      <c r="F136" s="5">
        <v>100</v>
      </c>
      <c r="G136" s="6">
        <v>147</v>
      </c>
    </row>
    <row r="137" spans="1:7" x14ac:dyDescent="0.25">
      <c r="A137" s="1">
        <f t="shared" ca="1" si="2"/>
        <v>11817</v>
      </c>
      <c r="B137" s="32">
        <v>7535</v>
      </c>
      <c r="C137" s="33">
        <v>7530</v>
      </c>
      <c r="D137" s="34">
        <v>300</v>
      </c>
      <c r="E137" s="35">
        <v>315</v>
      </c>
      <c r="F137" s="5">
        <v>0</v>
      </c>
      <c r="G137" s="6">
        <v>0</v>
      </c>
    </row>
    <row r="138" spans="1:7" x14ac:dyDescent="0.25">
      <c r="A138" s="1">
        <f t="shared" ca="1" si="2"/>
        <v>11818</v>
      </c>
      <c r="B138" s="32">
        <v>7545</v>
      </c>
      <c r="C138" s="33">
        <v>7525</v>
      </c>
      <c r="D138" s="34">
        <v>295</v>
      </c>
      <c r="E138" s="35">
        <v>310</v>
      </c>
      <c r="F138" s="5">
        <v>36</v>
      </c>
      <c r="G138" s="6">
        <v>0</v>
      </c>
    </row>
    <row r="139" spans="1:7" x14ac:dyDescent="0.25">
      <c r="A139" s="1">
        <f t="shared" ca="1" si="2"/>
        <v>11819</v>
      </c>
      <c r="B139" s="32">
        <v>7550</v>
      </c>
      <c r="C139" s="33">
        <v>7530</v>
      </c>
      <c r="D139" s="34">
        <v>300</v>
      </c>
      <c r="E139" s="35">
        <v>310</v>
      </c>
      <c r="F139" s="5">
        <v>57</v>
      </c>
      <c r="G139" s="6">
        <v>1680</v>
      </c>
    </row>
    <row r="140" spans="1:7" x14ac:dyDescent="0.25">
      <c r="A140" s="1">
        <f t="shared" ca="1" si="2"/>
        <v>11820</v>
      </c>
      <c r="B140" s="32">
        <v>7550</v>
      </c>
      <c r="C140" s="33">
        <v>7540</v>
      </c>
      <c r="D140" s="34">
        <v>295</v>
      </c>
      <c r="E140" s="35">
        <v>310</v>
      </c>
      <c r="F140" s="5">
        <v>0</v>
      </c>
      <c r="G140" s="6">
        <v>90</v>
      </c>
    </row>
    <row r="141" spans="1:7" x14ac:dyDescent="0.25">
      <c r="A141" s="1">
        <f t="shared" ca="1" si="2"/>
        <v>11821</v>
      </c>
      <c r="B141" s="32">
        <v>7550</v>
      </c>
      <c r="C141" s="33">
        <v>7560</v>
      </c>
      <c r="D141" s="34">
        <v>295</v>
      </c>
      <c r="E141" s="35">
        <v>310</v>
      </c>
      <c r="F141" s="5">
        <v>0</v>
      </c>
      <c r="G141" s="6">
        <v>0</v>
      </c>
    </row>
    <row r="142" spans="1:7" x14ac:dyDescent="0.25">
      <c r="A142" s="1">
        <f t="shared" ca="1" si="2"/>
        <v>11822</v>
      </c>
      <c r="B142" s="32">
        <v>7575</v>
      </c>
      <c r="C142" s="33">
        <v>7550</v>
      </c>
      <c r="D142" s="34">
        <v>295</v>
      </c>
      <c r="E142" s="35">
        <v>310</v>
      </c>
      <c r="F142" s="5">
        <v>0</v>
      </c>
      <c r="G142" s="6">
        <v>0</v>
      </c>
    </row>
    <row r="143" spans="1:7" x14ac:dyDescent="0.25">
      <c r="A143" s="1">
        <f t="shared" ca="1" si="2"/>
        <v>11823</v>
      </c>
      <c r="B143" s="32">
        <v>7570</v>
      </c>
      <c r="C143" s="33">
        <v>7540</v>
      </c>
      <c r="D143" s="34">
        <v>300</v>
      </c>
      <c r="E143" s="35">
        <v>310</v>
      </c>
      <c r="F143" s="5">
        <v>0</v>
      </c>
      <c r="G143" s="6">
        <v>0</v>
      </c>
    </row>
    <row r="144" spans="1:7" x14ac:dyDescent="0.25">
      <c r="A144" s="1">
        <f t="shared" ca="1" si="2"/>
        <v>11824</v>
      </c>
      <c r="B144" s="32">
        <v>7550</v>
      </c>
      <c r="C144" s="33">
        <v>7540</v>
      </c>
      <c r="D144" s="34">
        <v>300</v>
      </c>
      <c r="E144" s="35">
        <v>305</v>
      </c>
      <c r="F144" s="5">
        <v>625</v>
      </c>
      <c r="G144" s="6">
        <v>555</v>
      </c>
    </row>
    <row r="145" spans="1:7" x14ac:dyDescent="0.25">
      <c r="A145" s="1">
        <f t="shared" ca="1" si="2"/>
        <v>11825</v>
      </c>
      <c r="B145" s="32">
        <v>7570</v>
      </c>
      <c r="C145" s="33">
        <v>7550</v>
      </c>
      <c r="D145" s="34">
        <v>295</v>
      </c>
      <c r="E145" s="35">
        <v>310</v>
      </c>
      <c r="F145" s="5">
        <v>0</v>
      </c>
      <c r="G145" s="6">
        <v>0</v>
      </c>
    </row>
    <row r="146" spans="1:7" x14ac:dyDescent="0.25">
      <c r="A146" s="1">
        <f t="shared" ca="1" si="2"/>
        <v>11826</v>
      </c>
      <c r="B146" s="32">
        <v>7575</v>
      </c>
      <c r="C146" s="33">
        <v>7555</v>
      </c>
      <c r="D146" s="34">
        <v>290</v>
      </c>
      <c r="E146" s="35">
        <v>305</v>
      </c>
      <c r="F146" s="5">
        <v>0</v>
      </c>
      <c r="G146" s="6">
        <v>0</v>
      </c>
    </row>
    <row r="147" spans="1:7" x14ac:dyDescent="0.25">
      <c r="A147" s="1">
        <f t="shared" ca="1" si="2"/>
        <v>11827</v>
      </c>
      <c r="B147" s="32">
        <v>7575</v>
      </c>
      <c r="C147" s="33">
        <v>7555</v>
      </c>
      <c r="D147" s="34">
        <v>290</v>
      </c>
      <c r="E147" s="35">
        <v>305</v>
      </c>
      <c r="F147" s="5">
        <v>0</v>
      </c>
      <c r="G147" s="6">
        <v>0</v>
      </c>
    </row>
    <row r="148" spans="1:7" x14ac:dyDescent="0.25">
      <c r="A148" s="1">
        <f t="shared" ca="1" si="2"/>
        <v>11828</v>
      </c>
      <c r="B148" s="32">
        <v>7575</v>
      </c>
      <c r="C148" s="33">
        <v>7550</v>
      </c>
      <c r="D148" s="34">
        <v>290</v>
      </c>
      <c r="E148" s="35">
        <v>310</v>
      </c>
      <c r="F148" s="5">
        <v>0</v>
      </c>
      <c r="G148" s="6">
        <v>0</v>
      </c>
    </row>
    <row r="149" spans="1:7" x14ac:dyDescent="0.25">
      <c r="A149" s="1">
        <f t="shared" ca="1" si="2"/>
        <v>11829</v>
      </c>
      <c r="B149" s="32">
        <v>7565</v>
      </c>
      <c r="C149" s="33">
        <v>7545</v>
      </c>
      <c r="D149" s="34">
        <v>295</v>
      </c>
      <c r="E149" s="35">
        <v>310</v>
      </c>
      <c r="F149" s="5">
        <v>0</v>
      </c>
      <c r="G149" s="6">
        <v>0</v>
      </c>
    </row>
    <row r="150" spans="1:7" x14ac:dyDescent="0.25">
      <c r="A150" s="1">
        <f t="shared" ca="1" si="2"/>
        <v>11830</v>
      </c>
      <c r="B150" s="32">
        <v>7570</v>
      </c>
      <c r="C150" s="33">
        <v>7545</v>
      </c>
      <c r="D150" s="34">
        <v>295</v>
      </c>
      <c r="E150" s="35">
        <v>310</v>
      </c>
      <c r="F150" s="5">
        <v>0</v>
      </c>
      <c r="G150" s="6">
        <v>0</v>
      </c>
    </row>
    <row r="151" spans="1:7" x14ac:dyDescent="0.25">
      <c r="A151" s="1">
        <f t="shared" ca="1" si="2"/>
        <v>11831</v>
      </c>
      <c r="B151" s="32">
        <v>7575</v>
      </c>
      <c r="C151" s="33">
        <v>7550</v>
      </c>
      <c r="D151" s="34">
        <v>290</v>
      </c>
      <c r="E151" s="35">
        <v>310</v>
      </c>
      <c r="F151" s="5">
        <v>0</v>
      </c>
      <c r="G151" s="6">
        <v>0</v>
      </c>
    </row>
    <row r="152" spans="1:7" x14ac:dyDescent="0.25">
      <c r="A152" s="1">
        <f t="shared" ca="1" si="2"/>
        <v>11832</v>
      </c>
      <c r="B152" s="32">
        <v>7565</v>
      </c>
      <c r="C152" s="33">
        <v>7550</v>
      </c>
      <c r="D152" s="34">
        <v>300</v>
      </c>
      <c r="E152" s="35">
        <v>305</v>
      </c>
      <c r="F152" s="5">
        <v>0</v>
      </c>
      <c r="G152" s="6">
        <v>0</v>
      </c>
    </row>
    <row r="153" spans="1:7" x14ac:dyDescent="0.25">
      <c r="A153" s="1">
        <f t="shared" ca="1" si="2"/>
        <v>11833</v>
      </c>
      <c r="B153" s="32">
        <v>7575</v>
      </c>
      <c r="C153" s="33">
        <v>7550</v>
      </c>
      <c r="D153" s="34">
        <v>290</v>
      </c>
      <c r="E153" s="35">
        <v>310</v>
      </c>
      <c r="F153" s="5">
        <v>0</v>
      </c>
      <c r="G153" s="6">
        <v>0</v>
      </c>
    </row>
    <row r="154" spans="1:7" x14ac:dyDescent="0.25">
      <c r="A154" s="1">
        <f t="shared" ca="1" si="2"/>
        <v>11834</v>
      </c>
      <c r="B154" s="32">
        <v>7570</v>
      </c>
      <c r="C154" s="33">
        <v>7550</v>
      </c>
      <c r="D154" s="34">
        <v>300</v>
      </c>
      <c r="E154" s="35">
        <v>310</v>
      </c>
      <c r="F154" s="5">
        <v>17</v>
      </c>
      <c r="G154" s="6">
        <v>0</v>
      </c>
    </row>
    <row r="155" spans="1:7" x14ac:dyDescent="0.25">
      <c r="A155" s="1">
        <f t="shared" ca="1" si="2"/>
        <v>11835</v>
      </c>
      <c r="B155" s="32">
        <v>7560</v>
      </c>
      <c r="C155" s="33">
        <v>7550</v>
      </c>
      <c r="D155" s="34">
        <v>295</v>
      </c>
      <c r="E155" s="35">
        <v>310</v>
      </c>
      <c r="F155" s="5">
        <v>0</v>
      </c>
      <c r="G155" s="6">
        <v>0</v>
      </c>
    </row>
    <row r="156" spans="1:7" x14ac:dyDescent="0.25">
      <c r="A156" s="1">
        <f t="shared" ca="1" si="2"/>
        <v>11836</v>
      </c>
      <c r="B156" s="32">
        <v>7570</v>
      </c>
      <c r="C156" s="33">
        <v>7545</v>
      </c>
      <c r="D156" s="34">
        <v>295</v>
      </c>
      <c r="E156" s="35">
        <v>305</v>
      </c>
      <c r="F156" s="5">
        <v>0</v>
      </c>
      <c r="G156" s="6">
        <v>0</v>
      </c>
    </row>
    <row r="157" spans="1:7" x14ac:dyDescent="0.25">
      <c r="A157" s="1">
        <f t="shared" ca="1" si="2"/>
        <v>11837</v>
      </c>
      <c r="B157" s="32">
        <v>7570</v>
      </c>
      <c r="C157" s="33">
        <v>7545</v>
      </c>
      <c r="D157" s="34">
        <v>290</v>
      </c>
      <c r="E157" s="35">
        <v>305</v>
      </c>
      <c r="F157" s="5">
        <v>0</v>
      </c>
      <c r="G157" s="6">
        <v>0</v>
      </c>
    </row>
    <row r="158" spans="1:7" x14ac:dyDescent="0.25">
      <c r="A158" s="1">
        <f t="shared" ca="1" si="2"/>
        <v>11838</v>
      </c>
      <c r="B158" s="32">
        <v>7565</v>
      </c>
      <c r="C158" s="33">
        <v>7545</v>
      </c>
      <c r="D158" s="34">
        <v>290</v>
      </c>
      <c r="E158" s="35">
        <v>300</v>
      </c>
      <c r="F158" s="5">
        <v>0</v>
      </c>
      <c r="G158" s="6">
        <v>0</v>
      </c>
    </row>
    <row r="159" spans="1:7" x14ac:dyDescent="0.25">
      <c r="A159" s="1">
        <f t="shared" ca="1" si="2"/>
        <v>11839</v>
      </c>
      <c r="B159" s="32">
        <v>7570</v>
      </c>
      <c r="C159" s="33">
        <v>7550</v>
      </c>
      <c r="D159" s="34">
        <v>295</v>
      </c>
      <c r="E159" s="35">
        <v>315</v>
      </c>
      <c r="F159" s="5">
        <v>0</v>
      </c>
      <c r="G159" s="6">
        <v>0</v>
      </c>
    </row>
    <row r="160" spans="1:7" x14ac:dyDescent="0.25">
      <c r="A160" s="1">
        <f t="shared" ca="1" si="2"/>
        <v>11840</v>
      </c>
      <c r="B160" s="32">
        <v>7565</v>
      </c>
      <c r="C160" s="33">
        <v>7545</v>
      </c>
      <c r="D160" s="34">
        <v>300</v>
      </c>
      <c r="E160" s="35">
        <v>315</v>
      </c>
      <c r="F160" s="5">
        <v>0</v>
      </c>
      <c r="G160" s="6">
        <v>0</v>
      </c>
    </row>
    <row r="161" spans="1:7" x14ac:dyDescent="0.25">
      <c r="A161" s="1" t="str">
        <f t="shared" ca="1" si="2"/>
        <v>Totaal</v>
      </c>
      <c r="B161" s="20">
        <f>IF(COUNT(B130:B160)&gt;0,AVERAGE(B130:B160)/10,"")</f>
        <v>756.12903225806451</v>
      </c>
      <c r="C161" s="21">
        <f>IF(COUNT(C130:C160)&gt;0,AVERAGE(C130:C160)/10,"")</f>
        <v>754.25806451612902</v>
      </c>
      <c r="D161" s="22">
        <f>IF(COUNT(D130:D160)&gt;0,AVERAGE(D130:D160)/10,"")</f>
        <v>29.419354838709676</v>
      </c>
      <c r="E161" s="23">
        <f>IF(COUNT(E130:E160)&gt;0,AVERAGE(E130:E160)/10,"")</f>
        <v>30.87096774193548</v>
      </c>
      <c r="F161" s="24">
        <f>SUM(F130:F160)/10</f>
        <v>83.5</v>
      </c>
      <c r="G161" s="25">
        <f>SUM(G130:G160)/10</f>
        <v>247.2</v>
      </c>
    </row>
    <row r="162" spans="1:7" x14ac:dyDescent="0.25">
      <c r="A162" s="1">
        <f t="shared" ca="1" si="2"/>
        <v>11841</v>
      </c>
      <c r="B162" s="32">
        <v>7555</v>
      </c>
      <c r="C162" s="33">
        <v>7535</v>
      </c>
      <c r="D162" s="34">
        <v>300</v>
      </c>
      <c r="E162" s="35">
        <v>330</v>
      </c>
      <c r="F162" s="5">
        <v>0</v>
      </c>
      <c r="G162" s="6">
        <v>0</v>
      </c>
    </row>
    <row r="163" spans="1:7" x14ac:dyDescent="0.25">
      <c r="A163" s="1">
        <f t="shared" ca="1" si="2"/>
        <v>11842</v>
      </c>
      <c r="B163" s="32">
        <v>7560</v>
      </c>
      <c r="C163" s="33">
        <v>7535</v>
      </c>
      <c r="D163" s="34">
        <v>305</v>
      </c>
      <c r="E163" s="35">
        <v>315</v>
      </c>
      <c r="F163" s="5">
        <v>0</v>
      </c>
      <c r="G163" s="6">
        <v>0</v>
      </c>
    </row>
    <row r="164" spans="1:7" x14ac:dyDescent="0.25">
      <c r="A164" s="1">
        <f t="shared" ca="1" si="2"/>
        <v>11843</v>
      </c>
      <c r="B164" s="32">
        <v>7565</v>
      </c>
      <c r="C164" s="33">
        <v>7545</v>
      </c>
      <c r="D164" s="34">
        <v>300</v>
      </c>
      <c r="E164" s="35">
        <v>310</v>
      </c>
      <c r="F164" s="5">
        <v>0</v>
      </c>
      <c r="G164" s="6">
        <v>0</v>
      </c>
    </row>
    <row r="165" spans="1:7" x14ac:dyDescent="0.25">
      <c r="A165" s="1">
        <f t="shared" ca="1" si="2"/>
        <v>11844</v>
      </c>
      <c r="B165" s="32">
        <v>7570</v>
      </c>
      <c r="C165" s="33">
        <v>7540</v>
      </c>
      <c r="D165" s="34">
        <v>300</v>
      </c>
      <c r="E165" s="35">
        <v>310</v>
      </c>
      <c r="F165" s="5">
        <v>0</v>
      </c>
      <c r="G165" s="6">
        <v>0</v>
      </c>
    </row>
    <row r="166" spans="1:7" x14ac:dyDescent="0.25">
      <c r="A166" s="1">
        <f t="shared" ca="1" si="2"/>
        <v>11845</v>
      </c>
      <c r="B166" s="32">
        <v>7565</v>
      </c>
      <c r="C166" s="33">
        <v>7550</v>
      </c>
      <c r="D166" s="34">
        <v>295</v>
      </c>
      <c r="E166" s="35">
        <v>310</v>
      </c>
      <c r="F166" s="5">
        <v>0</v>
      </c>
      <c r="G166" s="6">
        <v>0</v>
      </c>
    </row>
    <row r="167" spans="1:7" x14ac:dyDescent="0.25">
      <c r="A167" s="1">
        <f t="shared" ca="1" si="2"/>
        <v>11846</v>
      </c>
      <c r="B167" s="32">
        <v>7555</v>
      </c>
      <c r="C167" s="33">
        <v>7540</v>
      </c>
      <c r="D167" s="34">
        <v>300</v>
      </c>
      <c r="E167" s="35">
        <v>315</v>
      </c>
      <c r="F167" s="5">
        <v>0</v>
      </c>
      <c r="G167" s="6">
        <v>0</v>
      </c>
    </row>
    <row r="168" spans="1:7" x14ac:dyDescent="0.25">
      <c r="A168" s="1">
        <f t="shared" ca="1" si="2"/>
        <v>11847</v>
      </c>
      <c r="B168" s="32">
        <v>7555</v>
      </c>
      <c r="C168" s="33">
        <v>7535</v>
      </c>
      <c r="D168" s="34">
        <v>300</v>
      </c>
      <c r="E168" s="35">
        <v>315</v>
      </c>
      <c r="F168" s="5">
        <v>0</v>
      </c>
      <c r="G168" s="6">
        <v>0</v>
      </c>
    </row>
    <row r="169" spans="1:7" x14ac:dyDescent="0.25">
      <c r="A169" s="1">
        <f t="shared" ca="1" si="2"/>
        <v>11848</v>
      </c>
      <c r="B169" s="32">
        <v>7565</v>
      </c>
      <c r="C169" s="33">
        <v>7550</v>
      </c>
      <c r="D169" s="34">
        <v>295</v>
      </c>
      <c r="E169" s="35">
        <v>315</v>
      </c>
      <c r="F169" s="5">
        <v>0</v>
      </c>
      <c r="G169" s="6">
        <v>0</v>
      </c>
    </row>
    <row r="170" spans="1:7" x14ac:dyDescent="0.25">
      <c r="A170" s="1">
        <f t="shared" ca="1" si="2"/>
        <v>11849</v>
      </c>
      <c r="B170" s="32">
        <v>7560</v>
      </c>
      <c r="C170" s="33">
        <v>7550</v>
      </c>
      <c r="D170" s="34">
        <v>300</v>
      </c>
      <c r="E170" s="35">
        <v>315</v>
      </c>
      <c r="F170" s="5">
        <v>0</v>
      </c>
      <c r="G170" s="6">
        <v>0</v>
      </c>
    </row>
    <row r="171" spans="1:7" x14ac:dyDescent="0.25">
      <c r="A171" s="1">
        <f t="shared" ca="1" si="2"/>
        <v>11850</v>
      </c>
      <c r="B171" s="32">
        <v>7565</v>
      </c>
      <c r="C171" s="33">
        <v>7555</v>
      </c>
      <c r="D171" s="34">
        <v>300</v>
      </c>
      <c r="E171" s="35">
        <v>315</v>
      </c>
      <c r="F171" s="5">
        <v>0</v>
      </c>
      <c r="G171" s="6">
        <v>40</v>
      </c>
    </row>
    <row r="172" spans="1:7" x14ac:dyDescent="0.25">
      <c r="A172" s="1">
        <f t="shared" ca="1" si="2"/>
        <v>11851</v>
      </c>
      <c r="B172" s="32">
        <v>7570</v>
      </c>
      <c r="C172" s="33">
        <v>7550</v>
      </c>
      <c r="D172" s="34">
        <v>300</v>
      </c>
      <c r="E172" s="35">
        <v>310</v>
      </c>
      <c r="F172" s="5">
        <v>0</v>
      </c>
      <c r="G172" s="6">
        <v>0</v>
      </c>
    </row>
    <row r="173" spans="1:7" x14ac:dyDescent="0.25">
      <c r="A173" s="1">
        <f t="shared" ca="1" si="2"/>
        <v>11852</v>
      </c>
      <c r="B173" s="32">
        <v>7565</v>
      </c>
      <c r="C173" s="33">
        <v>7545</v>
      </c>
      <c r="D173" s="34">
        <v>300</v>
      </c>
      <c r="E173" s="35">
        <v>310</v>
      </c>
      <c r="F173" s="5">
        <v>0</v>
      </c>
      <c r="G173" s="6">
        <v>0</v>
      </c>
    </row>
    <row r="174" spans="1:7" x14ac:dyDescent="0.25">
      <c r="A174" s="1">
        <f t="shared" ca="1" si="2"/>
        <v>11853</v>
      </c>
      <c r="B174" s="32">
        <v>7570</v>
      </c>
      <c r="C174" s="33">
        <v>7555</v>
      </c>
      <c r="D174" s="34">
        <v>300</v>
      </c>
      <c r="E174" s="35">
        <v>310</v>
      </c>
      <c r="F174" s="5">
        <v>0</v>
      </c>
      <c r="G174" s="6">
        <v>0</v>
      </c>
    </row>
    <row r="175" spans="1:7" x14ac:dyDescent="0.25">
      <c r="A175" s="1">
        <f t="shared" ca="1" si="2"/>
        <v>11854</v>
      </c>
      <c r="B175" s="32">
        <v>7575</v>
      </c>
      <c r="C175" s="33">
        <v>7555</v>
      </c>
      <c r="D175" s="34">
        <v>300</v>
      </c>
      <c r="E175" s="35">
        <v>315</v>
      </c>
      <c r="F175" s="5">
        <v>0</v>
      </c>
      <c r="G175" s="6">
        <v>0</v>
      </c>
    </row>
    <row r="176" spans="1:7" x14ac:dyDescent="0.25">
      <c r="A176" s="1">
        <f t="shared" ca="1" si="2"/>
        <v>11855</v>
      </c>
      <c r="B176" s="32">
        <v>7570</v>
      </c>
      <c r="C176" s="33">
        <v>7560</v>
      </c>
      <c r="D176" s="34">
        <v>295</v>
      </c>
      <c r="E176" s="35">
        <v>315</v>
      </c>
      <c r="F176" s="5">
        <v>0</v>
      </c>
      <c r="G176" s="6">
        <v>0</v>
      </c>
    </row>
    <row r="177" spans="1:7" x14ac:dyDescent="0.25">
      <c r="A177" s="1">
        <f t="shared" ca="1" si="2"/>
        <v>11856</v>
      </c>
      <c r="B177" s="32">
        <v>7570</v>
      </c>
      <c r="C177" s="33">
        <v>7550</v>
      </c>
      <c r="D177" s="34">
        <v>300</v>
      </c>
      <c r="E177" s="35">
        <v>320</v>
      </c>
      <c r="F177" s="5">
        <v>0</v>
      </c>
      <c r="G177" s="6">
        <v>0</v>
      </c>
    </row>
    <row r="178" spans="1:7" x14ac:dyDescent="0.25">
      <c r="A178" s="1">
        <f t="shared" ca="1" si="2"/>
        <v>11857</v>
      </c>
      <c r="B178" s="32">
        <v>7560</v>
      </c>
      <c r="C178" s="33">
        <v>7540</v>
      </c>
      <c r="D178" s="34">
        <v>300</v>
      </c>
      <c r="E178" s="35">
        <v>310</v>
      </c>
      <c r="F178" s="5">
        <v>35</v>
      </c>
      <c r="G178" s="6">
        <v>0</v>
      </c>
    </row>
    <row r="179" spans="1:7" x14ac:dyDescent="0.25">
      <c r="A179" s="1">
        <f t="shared" ca="1" si="2"/>
        <v>11858</v>
      </c>
      <c r="B179" s="32">
        <v>7565</v>
      </c>
      <c r="C179" s="33">
        <v>7545</v>
      </c>
      <c r="D179" s="34">
        <v>300</v>
      </c>
      <c r="E179" s="35">
        <v>315</v>
      </c>
      <c r="F179" s="5">
        <v>6</v>
      </c>
      <c r="G179" s="6">
        <v>10</v>
      </c>
    </row>
    <row r="180" spans="1:7" x14ac:dyDescent="0.25">
      <c r="A180" s="1">
        <f t="shared" ca="1" si="2"/>
        <v>11859</v>
      </c>
      <c r="B180" s="32">
        <v>7560</v>
      </c>
      <c r="C180" s="33">
        <v>7540</v>
      </c>
      <c r="D180" s="34">
        <v>300</v>
      </c>
      <c r="E180" s="35">
        <v>310</v>
      </c>
      <c r="F180" s="5">
        <v>0</v>
      </c>
      <c r="G180" s="6">
        <v>20</v>
      </c>
    </row>
    <row r="181" spans="1:7" x14ac:dyDescent="0.25">
      <c r="A181" s="1">
        <f t="shared" ca="1" si="2"/>
        <v>11860</v>
      </c>
      <c r="B181" s="32">
        <v>7550</v>
      </c>
      <c r="C181" s="33">
        <v>7545</v>
      </c>
      <c r="D181" s="34">
        <v>295</v>
      </c>
      <c r="E181" s="35">
        <v>310</v>
      </c>
      <c r="F181" s="5">
        <v>0</v>
      </c>
      <c r="G181" s="6">
        <v>0</v>
      </c>
    </row>
    <row r="182" spans="1:7" x14ac:dyDescent="0.25">
      <c r="A182" s="1">
        <f t="shared" ca="1" si="2"/>
        <v>11861</v>
      </c>
      <c r="B182" s="32">
        <v>7550</v>
      </c>
      <c r="C182" s="33">
        <v>7540</v>
      </c>
      <c r="D182" s="34">
        <v>300</v>
      </c>
      <c r="E182" s="35">
        <v>315</v>
      </c>
      <c r="F182" s="5">
        <v>0</v>
      </c>
      <c r="G182" s="6">
        <v>0</v>
      </c>
    </row>
    <row r="183" spans="1:7" x14ac:dyDescent="0.25">
      <c r="A183" s="1">
        <f t="shared" ca="1" si="2"/>
        <v>11862</v>
      </c>
      <c r="B183" s="32">
        <v>7560</v>
      </c>
      <c r="C183" s="33">
        <v>7545</v>
      </c>
      <c r="D183" s="34">
        <v>300</v>
      </c>
      <c r="E183" s="35">
        <v>310</v>
      </c>
      <c r="F183" s="5">
        <v>0</v>
      </c>
      <c r="G183" s="6">
        <v>33</v>
      </c>
    </row>
    <row r="184" spans="1:7" x14ac:dyDescent="0.25">
      <c r="A184" s="1">
        <f t="shared" ca="1" si="2"/>
        <v>11863</v>
      </c>
      <c r="B184" s="32">
        <v>7560</v>
      </c>
      <c r="C184" s="33">
        <v>7540</v>
      </c>
      <c r="D184" s="34">
        <v>300</v>
      </c>
      <c r="E184" s="35">
        <v>310</v>
      </c>
      <c r="F184" s="5">
        <v>0</v>
      </c>
      <c r="G184" s="6">
        <v>10</v>
      </c>
    </row>
    <row r="185" spans="1:7" x14ac:dyDescent="0.25">
      <c r="A185" s="1">
        <f t="shared" ca="1" si="2"/>
        <v>11864</v>
      </c>
      <c r="B185" s="32">
        <v>7560</v>
      </c>
      <c r="C185" s="33">
        <v>7545</v>
      </c>
      <c r="D185" s="34">
        <v>300</v>
      </c>
      <c r="E185" s="35">
        <v>315</v>
      </c>
      <c r="F185" s="5">
        <v>0</v>
      </c>
      <c r="G185" s="6">
        <v>0</v>
      </c>
    </row>
    <row r="186" spans="1:7" x14ac:dyDescent="0.25">
      <c r="A186" s="1">
        <f t="shared" ca="1" si="2"/>
        <v>11865</v>
      </c>
      <c r="B186" s="32">
        <v>7565</v>
      </c>
      <c r="C186" s="33">
        <v>7550</v>
      </c>
      <c r="D186" s="34">
        <v>300</v>
      </c>
      <c r="E186" s="35">
        <v>305</v>
      </c>
      <c r="F186" s="5">
        <v>49</v>
      </c>
      <c r="G186" s="6">
        <v>0</v>
      </c>
    </row>
    <row r="187" spans="1:7" x14ac:dyDescent="0.25">
      <c r="A187" s="1">
        <f t="shared" ca="1" si="2"/>
        <v>11866</v>
      </c>
      <c r="B187" s="32">
        <v>7560</v>
      </c>
      <c r="C187" s="33">
        <v>7540</v>
      </c>
      <c r="D187" s="34">
        <v>300</v>
      </c>
      <c r="E187" s="35">
        <v>310</v>
      </c>
      <c r="F187" s="5">
        <v>0</v>
      </c>
      <c r="G187" s="6">
        <v>80</v>
      </c>
    </row>
    <row r="188" spans="1:7" x14ac:dyDescent="0.25">
      <c r="A188" s="1">
        <f t="shared" ca="1" si="2"/>
        <v>11867</v>
      </c>
      <c r="B188" s="32">
        <v>7550</v>
      </c>
      <c r="C188" s="33">
        <v>7540</v>
      </c>
      <c r="D188" s="34">
        <v>295</v>
      </c>
      <c r="E188" s="35">
        <v>315</v>
      </c>
      <c r="F188" s="5">
        <v>8</v>
      </c>
      <c r="G188" s="6">
        <v>13</v>
      </c>
    </row>
    <row r="189" spans="1:7" x14ac:dyDescent="0.25">
      <c r="A189" s="1">
        <f t="shared" ca="1" si="2"/>
        <v>11868</v>
      </c>
      <c r="B189" s="32">
        <v>7560</v>
      </c>
      <c r="C189" s="33">
        <v>7550</v>
      </c>
      <c r="D189" s="34">
        <v>280</v>
      </c>
      <c r="E189" s="35">
        <v>305</v>
      </c>
      <c r="F189" s="5">
        <v>26</v>
      </c>
      <c r="G189" s="6">
        <v>136</v>
      </c>
    </row>
    <row r="190" spans="1:7" x14ac:dyDescent="0.25">
      <c r="A190" s="1">
        <f t="shared" ca="1" si="2"/>
        <v>11869</v>
      </c>
      <c r="B190" s="32">
        <v>7565</v>
      </c>
      <c r="C190" s="33">
        <v>7550</v>
      </c>
      <c r="D190" s="34">
        <v>290</v>
      </c>
      <c r="E190" s="35">
        <v>300</v>
      </c>
      <c r="F190" s="5">
        <v>185</v>
      </c>
      <c r="G190" s="6">
        <v>171</v>
      </c>
    </row>
    <row r="191" spans="1:7" x14ac:dyDescent="0.25">
      <c r="A191" s="1">
        <f t="shared" ca="1" si="2"/>
        <v>11870</v>
      </c>
      <c r="B191" s="32">
        <v>7570</v>
      </c>
      <c r="C191" s="33">
        <v>7555</v>
      </c>
      <c r="D191" s="34">
        <v>300</v>
      </c>
      <c r="E191" s="35">
        <v>310</v>
      </c>
      <c r="F191" s="5">
        <v>0</v>
      </c>
      <c r="G191" s="6">
        <v>0</v>
      </c>
    </row>
    <row r="192" spans="1:7" x14ac:dyDescent="0.25">
      <c r="A192" s="1" t="str">
        <f t="shared" ca="1" si="2"/>
        <v>Totaal</v>
      </c>
      <c r="B192" s="20">
        <f>IF(COUNT(B162:B191)&gt;0,AVERAGE(B162:B191)/10,"")</f>
        <v>756.23333333333335</v>
      </c>
      <c r="C192" s="21">
        <f>IF(COUNT(C162:C191)&gt;0,AVERAGE(C162:C191)/10,"")</f>
        <v>754.58333333333326</v>
      </c>
      <c r="D192" s="22">
        <f>IF(COUNT(D162:D191)&gt;0,AVERAGE(D162:D191)/10,"")</f>
        <v>29.833333333333332</v>
      </c>
      <c r="E192" s="23">
        <f>IF(COUNT(E162:E191)&gt;0,AVERAGE(E162:E191)/10,"")</f>
        <v>31.233333333333331</v>
      </c>
      <c r="F192" s="24">
        <f>SUM(F162:F191)/10</f>
        <v>30.9</v>
      </c>
      <c r="G192" s="25">
        <f>SUM(G162:G191)/10</f>
        <v>51.3</v>
      </c>
    </row>
    <row r="193" spans="1:7" x14ac:dyDescent="0.25">
      <c r="A193" s="1">
        <f t="shared" ca="1" si="2"/>
        <v>11871</v>
      </c>
      <c r="B193" s="32">
        <v>7575</v>
      </c>
      <c r="C193" s="33">
        <v>7555</v>
      </c>
      <c r="D193" s="34">
        <v>290</v>
      </c>
      <c r="E193" s="35">
        <v>310</v>
      </c>
      <c r="F193" s="5">
        <v>0</v>
      </c>
      <c r="G193" s="6">
        <v>0</v>
      </c>
    </row>
    <row r="194" spans="1:7" x14ac:dyDescent="0.25">
      <c r="A194" s="1">
        <f t="shared" ca="1" si="2"/>
        <v>11872</v>
      </c>
      <c r="B194" s="32">
        <v>7575</v>
      </c>
      <c r="C194" s="33">
        <v>7555</v>
      </c>
      <c r="D194" s="34">
        <v>295</v>
      </c>
      <c r="E194" s="35">
        <v>315</v>
      </c>
      <c r="F194" s="5">
        <v>0</v>
      </c>
      <c r="G194" s="6">
        <v>0</v>
      </c>
    </row>
    <row r="195" spans="1:7" x14ac:dyDescent="0.25">
      <c r="A195" s="1">
        <f t="shared" ca="1" si="2"/>
        <v>11873</v>
      </c>
      <c r="B195" s="32">
        <v>7570</v>
      </c>
      <c r="C195" s="33">
        <v>7550</v>
      </c>
      <c r="D195" s="34">
        <v>300</v>
      </c>
      <c r="E195" s="35">
        <v>310</v>
      </c>
      <c r="F195" s="5">
        <v>0</v>
      </c>
      <c r="G195" s="6">
        <v>0</v>
      </c>
    </row>
    <row r="196" spans="1:7" x14ac:dyDescent="0.25">
      <c r="A196" s="1">
        <f t="shared" ca="1" si="2"/>
        <v>11874</v>
      </c>
      <c r="B196" s="32">
        <v>7575</v>
      </c>
      <c r="C196" s="33">
        <v>7555</v>
      </c>
      <c r="D196" s="34">
        <v>290</v>
      </c>
      <c r="E196" s="35">
        <v>300</v>
      </c>
      <c r="F196" s="5">
        <v>0</v>
      </c>
      <c r="G196" s="6">
        <v>0</v>
      </c>
    </row>
    <row r="197" spans="1:7" x14ac:dyDescent="0.25">
      <c r="A197" s="1">
        <f t="shared" ca="1" si="2"/>
        <v>11875</v>
      </c>
      <c r="B197" s="32">
        <v>7575</v>
      </c>
      <c r="C197" s="33">
        <v>7560</v>
      </c>
      <c r="D197" s="34">
        <v>295</v>
      </c>
      <c r="E197" s="35">
        <v>310</v>
      </c>
      <c r="F197" s="5">
        <v>0</v>
      </c>
      <c r="G197" s="6">
        <v>0</v>
      </c>
    </row>
    <row r="198" spans="1:7" x14ac:dyDescent="0.25">
      <c r="A198" s="1">
        <f t="shared" ca="1" si="2"/>
        <v>11876</v>
      </c>
      <c r="B198" s="32">
        <v>7570</v>
      </c>
      <c r="C198" s="33">
        <v>7555</v>
      </c>
      <c r="D198" s="34">
        <v>290</v>
      </c>
      <c r="E198" s="35">
        <v>295</v>
      </c>
      <c r="F198" s="5">
        <v>0</v>
      </c>
      <c r="G198" s="6">
        <v>34</v>
      </c>
    </row>
    <row r="199" spans="1:7" x14ac:dyDescent="0.25">
      <c r="A199" s="1">
        <f t="shared" ref="A199:A262" ca="1" si="3">IF(ISTEXT(A198),A197+1,IF(MONTH(A198+1)=MONTH(A198),A198+1,"Totaal"))</f>
        <v>11877</v>
      </c>
      <c r="B199" s="32">
        <v>7565</v>
      </c>
      <c r="C199" s="33">
        <v>7550</v>
      </c>
      <c r="D199" s="34">
        <v>290</v>
      </c>
      <c r="E199" s="35">
        <v>305</v>
      </c>
      <c r="F199" s="5">
        <v>0</v>
      </c>
      <c r="G199" s="6">
        <v>0</v>
      </c>
    </row>
    <row r="200" spans="1:7" x14ac:dyDescent="0.25">
      <c r="A200" s="1">
        <f t="shared" ca="1" si="3"/>
        <v>11878</v>
      </c>
      <c r="B200" s="32">
        <v>7570</v>
      </c>
      <c r="C200" s="33">
        <v>7550</v>
      </c>
      <c r="D200" s="34">
        <v>295</v>
      </c>
      <c r="E200" s="35">
        <v>300</v>
      </c>
      <c r="F200" s="5">
        <v>0</v>
      </c>
      <c r="G200" s="6">
        <v>0</v>
      </c>
    </row>
    <row r="201" spans="1:7" x14ac:dyDescent="0.25">
      <c r="A201" s="1">
        <f t="shared" ca="1" si="3"/>
        <v>11879</v>
      </c>
      <c r="B201" s="32">
        <v>7565</v>
      </c>
      <c r="C201" s="33">
        <v>7550</v>
      </c>
      <c r="D201" s="34">
        <v>290</v>
      </c>
      <c r="E201" s="35">
        <v>310</v>
      </c>
      <c r="F201" s="5">
        <v>0</v>
      </c>
      <c r="G201" s="6">
        <v>0</v>
      </c>
    </row>
    <row r="202" spans="1:7" x14ac:dyDescent="0.25">
      <c r="A202" s="1">
        <f t="shared" ca="1" si="3"/>
        <v>11880</v>
      </c>
      <c r="B202" s="32">
        <v>7570</v>
      </c>
      <c r="C202" s="33">
        <v>7555</v>
      </c>
      <c r="D202" s="34">
        <v>290</v>
      </c>
      <c r="E202" s="35">
        <v>310</v>
      </c>
      <c r="F202" s="5">
        <v>0</v>
      </c>
      <c r="G202" s="6">
        <v>0</v>
      </c>
    </row>
    <row r="203" spans="1:7" x14ac:dyDescent="0.25">
      <c r="A203" s="1">
        <f t="shared" ca="1" si="3"/>
        <v>11881</v>
      </c>
      <c r="B203" s="32">
        <v>7565</v>
      </c>
      <c r="C203" s="33">
        <v>7550</v>
      </c>
      <c r="D203" s="34">
        <v>290</v>
      </c>
      <c r="E203" s="35">
        <v>310</v>
      </c>
      <c r="F203" s="5">
        <v>0</v>
      </c>
      <c r="G203" s="6">
        <v>0</v>
      </c>
    </row>
    <row r="204" spans="1:7" x14ac:dyDescent="0.25">
      <c r="A204" s="1">
        <f t="shared" ca="1" si="3"/>
        <v>11882</v>
      </c>
      <c r="B204" s="32">
        <v>7560</v>
      </c>
      <c r="C204" s="33">
        <v>7545</v>
      </c>
      <c r="D204" s="34">
        <v>290</v>
      </c>
      <c r="E204" s="35">
        <v>310</v>
      </c>
      <c r="F204" s="5">
        <v>38</v>
      </c>
      <c r="G204" s="6">
        <v>0</v>
      </c>
    </row>
    <row r="205" spans="1:7" x14ac:dyDescent="0.25">
      <c r="A205" s="1">
        <f t="shared" ca="1" si="3"/>
        <v>11883</v>
      </c>
      <c r="B205" s="32">
        <v>7575</v>
      </c>
      <c r="C205" s="33">
        <v>7555</v>
      </c>
      <c r="D205" s="34">
        <v>295</v>
      </c>
      <c r="E205" s="35">
        <v>310</v>
      </c>
      <c r="F205" s="5">
        <v>23</v>
      </c>
      <c r="G205" s="6">
        <v>0</v>
      </c>
    </row>
    <row r="206" spans="1:7" x14ac:dyDescent="0.25">
      <c r="A206" s="1">
        <f t="shared" ca="1" si="3"/>
        <v>11884</v>
      </c>
      <c r="B206" s="32">
        <v>7575</v>
      </c>
      <c r="C206" s="33">
        <v>7555</v>
      </c>
      <c r="D206" s="34">
        <v>295</v>
      </c>
      <c r="E206" s="35">
        <v>310</v>
      </c>
      <c r="F206" s="5">
        <v>0</v>
      </c>
      <c r="G206" s="6">
        <v>0</v>
      </c>
    </row>
    <row r="207" spans="1:7" x14ac:dyDescent="0.25">
      <c r="A207" s="1">
        <f t="shared" ca="1" si="3"/>
        <v>11885</v>
      </c>
      <c r="B207" s="32">
        <v>7555</v>
      </c>
      <c r="C207" s="33">
        <v>7540</v>
      </c>
      <c r="D207" s="34">
        <v>300</v>
      </c>
      <c r="E207" s="35">
        <v>305</v>
      </c>
      <c r="F207" s="5">
        <v>0</v>
      </c>
      <c r="G207" s="6">
        <v>0</v>
      </c>
    </row>
    <row r="208" spans="1:7" x14ac:dyDescent="0.25">
      <c r="A208" s="1">
        <f t="shared" ca="1" si="3"/>
        <v>11886</v>
      </c>
      <c r="B208" s="32">
        <v>7555</v>
      </c>
      <c r="C208" s="33">
        <v>7535</v>
      </c>
      <c r="D208" s="34">
        <v>300</v>
      </c>
      <c r="E208" s="35">
        <v>310</v>
      </c>
      <c r="F208" s="5">
        <v>0</v>
      </c>
      <c r="G208" s="6">
        <v>0</v>
      </c>
    </row>
    <row r="209" spans="1:7" x14ac:dyDescent="0.25">
      <c r="A209" s="1">
        <f t="shared" ca="1" si="3"/>
        <v>11887</v>
      </c>
      <c r="B209" s="32">
        <v>7565</v>
      </c>
      <c r="C209" s="33">
        <v>7545</v>
      </c>
      <c r="D209" s="34">
        <v>290</v>
      </c>
      <c r="E209" s="35">
        <v>305</v>
      </c>
      <c r="F209" s="5">
        <v>0</v>
      </c>
      <c r="G209" s="6">
        <v>0</v>
      </c>
    </row>
    <row r="210" spans="1:7" x14ac:dyDescent="0.25">
      <c r="A210" s="1">
        <f t="shared" ca="1" si="3"/>
        <v>11888</v>
      </c>
      <c r="B210" s="32">
        <v>7560</v>
      </c>
      <c r="C210" s="33">
        <v>7535</v>
      </c>
      <c r="D210" s="34">
        <v>300</v>
      </c>
      <c r="E210" s="35">
        <v>315</v>
      </c>
      <c r="F210" s="5">
        <v>0</v>
      </c>
      <c r="G210" s="6">
        <v>0</v>
      </c>
    </row>
    <row r="211" spans="1:7" x14ac:dyDescent="0.25">
      <c r="A211" s="1">
        <f t="shared" ca="1" si="3"/>
        <v>11889</v>
      </c>
      <c r="B211" s="32">
        <v>7570</v>
      </c>
      <c r="C211" s="33">
        <v>7555</v>
      </c>
      <c r="D211" s="34">
        <v>295</v>
      </c>
      <c r="E211" s="35">
        <v>310</v>
      </c>
      <c r="F211" s="5">
        <v>0</v>
      </c>
      <c r="G211" s="6">
        <v>0</v>
      </c>
    </row>
    <row r="212" spans="1:7" x14ac:dyDescent="0.25">
      <c r="A212" s="1">
        <f t="shared" ca="1" si="3"/>
        <v>11890</v>
      </c>
      <c r="B212" s="32">
        <v>7575</v>
      </c>
      <c r="C212" s="33">
        <v>7560</v>
      </c>
      <c r="D212" s="34">
        <v>295</v>
      </c>
      <c r="E212" s="35">
        <v>305</v>
      </c>
      <c r="F212" s="5">
        <v>14</v>
      </c>
      <c r="G212" s="6">
        <v>0</v>
      </c>
    </row>
    <row r="213" spans="1:7" x14ac:dyDescent="0.25">
      <c r="A213" s="1">
        <f t="shared" ca="1" si="3"/>
        <v>11891</v>
      </c>
      <c r="B213" s="32">
        <v>7570</v>
      </c>
      <c r="C213" s="33">
        <v>7560</v>
      </c>
      <c r="D213" s="34">
        <v>290</v>
      </c>
      <c r="E213" s="35">
        <v>310</v>
      </c>
      <c r="F213" s="5">
        <v>0</v>
      </c>
      <c r="G213" s="6">
        <v>0</v>
      </c>
    </row>
    <row r="214" spans="1:7" x14ac:dyDescent="0.25">
      <c r="A214" s="1">
        <f t="shared" ca="1" si="3"/>
        <v>11892</v>
      </c>
      <c r="B214" s="32">
        <v>7565</v>
      </c>
      <c r="C214" s="33">
        <v>7550</v>
      </c>
      <c r="D214" s="34">
        <v>295</v>
      </c>
      <c r="E214" s="35">
        <v>310</v>
      </c>
      <c r="F214" s="5">
        <v>0</v>
      </c>
      <c r="G214" s="6">
        <v>0</v>
      </c>
    </row>
    <row r="215" spans="1:7" x14ac:dyDescent="0.25">
      <c r="A215" s="1">
        <f t="shared" ca="1" si="3"/>
        <v>11893</v>
      </c>
      <c r="B215" s="32">
        <v>7565</v>
      </c>
      <c r="C215" s="33">
        <v>7545</v>
      </c>
      <c r="D215" s="34">
        <v>295</v>
      </c>
      <c r="E215" s="35">
        <v>305</v>
      </c>
      <c r="F215" s="5">
        <v>0</v>
      </c>
      <c r="G215" s="6">
        <v>0</v>
      </c>
    </row>
    <row r="216" spans="1:7" x14ac:dyDescent="0.25">
      <c r="A216" s="1">
        <f t="shared" ca="1" si="3"/>
        <v>11894</v>
      </c>
      <c r="B216" s="32">
        <v>7570</v>
      </c>
      <c r="C216" s="33">
        <v>7550</v>
      </c>
      <c r="D216" s="34">
        <v>295</v>
      </c>
      <c r="E216" s="35">
        <v>310</v>
      </c>
      <c r="F216" s="5">
        <v>0</v>
      </c>
      <c r="G216" s="6">
        <v>0</v>
      </c>
    </row>
    <row r="217" spans="1:7" x14ac:dyDescent="0.25">
      <c r="A217" s="1">
        <f t="shared" ca="1" si="3"/>
        <v>11895</v>
      </c>
      <c r="B217" s="32">
        <v>7570</v>
      </c>
      <c r="C217" s="33">
        <v>7550</v>
      </c>
      <c r="D217" s="34">
        <v>295</v>
      </c>
      <c r="E217" s="35">
        <v>315</v>
      </c>
      <c r="F217" s="5">
        <v>0</v>
      </c>
      <c r="G217" s="6">
        <v>0</v>
      </c>
    </row>
    <row r="218" spans="1:7" x14ac:dyDescent="0.25">
      <c r="A218" s="1">
        <f t="shared" ca="1" si="3"/>
        <v>11896</v>
      </c>
      <c r="B218" s="32">
        <v>7560</v>
      </c>
      <c r="C218" s="33">
        <v>7540</v>
      </c>
      <c r="D218" s="34">
        <v>300</v>
      </c>
      <c r="E218" s="35">
        <v>315</v>
      </c>
      <c r="F218" s="5">
        <v>0</v>
      </c>
      <c r="G218" s="6">
        <v>0</v>
      </c>
    </row>
    <row r="219" spans="1:7" x14ac:dyDescent="0.25">
      <c r="A219" s="1">
        <f t="shared" ca="1" si="3"/>
        <v>11897</v>
      </c>
      <c r="B219" s="32">
        <v>7550</v>
      </c>
      <c r="C219" s="33">
        <v>7535</v>
      </c>
      <c r="D219" s="34">
        <v>300</v>
      </c>
      <c r="E219" s="35">
        <v>320</v>
      </c>
      <c r="F219" s="5">
        <v>0</v>
      </c>
      <c r="G219" s="6">
        <v>0</v>
      </c>
    </row>
    <row r="220" spans="1:7" x14ac:dyDescent="0.25">
      <c r="A220" s="1">
        <f t="shared" ca="1" si="3"/>
        <v>11898</v>
      </c>
      <c r="B220" s="32">
        <v>7560</v>
      </c>
      <c r="C220" s="33">
        <v>7540</v>
      </c>
      <c r="D220" s="34">
        <v>300</v>
      </c>
      <c r="E220" s="35">
        <v>320</v>
      </c>
      <c r="F220" s="5">
        <v>0</v>
      </c>
      <c r="G220" s="6">
        <v>0</v>
      </c>
    </row>
    <row r="221" spans="1:7" x14ac:dyDescent="0.25">
      <c r="A221" s="1">
        <f t="shared" ca="1" si="3"/>
        <v>11899</v>
      </c>
      <c r="B221" s="32">
        <v>7555</v>
      </c>
      <c r="C221" s="33">
        <v>7540</v>
      </c>
      <c r="D221" s="34">
        <v>300</v>
      </c>
      <c r="E221" s="35">
        <v>315</v>
      </c>
      <c r="F221" s="5">
        <v>0</v>
      </c>
      <c r="G221" s="6">
        <v>0</v>
      </c>
    </row>
    <row r="222" spans="1:7" x14ac:dyDescent="0.25">
      <c r="A222" s="1">
        <f t="shared" ca="1" si="3"/>
        <v>11900</v>
      </c>
      <c r="B222" s="32">
        <v>7560</v>
      </c>
      <c r="C222" s="33">
        <v>7535</v>
      </c>
      <c r="D222" s="34">
        <v>300</v>
      </c>
      <c r="E222" s="35">
        <v>315</v>
      </c>
      <c r="F222" s="5">
        <v>0</v>
      </c>
      <c r="G222" s="6">
        <v>0</v>
      </c>
    </row>
    <row r="223" spans="1:7" x14ac:dyDescent="0.25">
      <c r="A223" s="1">
        <f t="shared" ca="1" si="3"/>
        <v>11901</v>
      </c>
      <c r="B223" s="32">
        <v>7555</v>
      </c>
      <c r="C223" s="33">
        <v>7540</v>
      </c>
      <c r="D223" s="34">
        <v>300</v>
      </c>
      <c r="E223" s="35">
        <v>320</v>
      </c>
      <c r="F223" s="5">
        <v>0</v>
      </c>
      <c r="G223" s="6">
        <v>0</v>
      </c>
    </row>
    <row r="224" spans="1:7" x14ac:dyDescent="0.25">
      <c r="A224" s="1" t="str">
        <f t="shared" ca="1" si="3"/>
        <v>Totaal</v>
      </c>
      <c r="B224" s="20">
        <f>IF(COUNT(B193:B223)&gt;0,AVERAGE(B193:B223)/10,"")</f>
        <v>756.59677419354841</v>
      </c>
      <c r="C224" s="21">
        <f>IF(COUNT(C193:C223)&gt;0,AVERAGE(C193:C223)/10,"")</f>
        <v>754.82258064516122</v>
      </c>
      <c r="D224" s="22">
        <f>IF(COUNT(D193:D223)&gt;0,AVERAGE(D193:D223)/10,"")</f>
        <v>29.5</v>
      </c>
      <c r="E224" s="23">
        <f>IF(COUNT(E193:E223)&gt;0,AVERAGE(E193:E223)/10,"")</f>
        <v>31</v>
      </c>
      <c r="F224" s="24">
        <f>SUM(F193:F223)/10</f>
        <v>7.5</v>
      </c>
      <c r="G224" s="25">
        <f>SUM(G193:G223)/10</f>
        <v>3.4</v>
      </c>
    </row>
    <row r="225" spans="1:7" x14ac:dyDescent="0.25">
      <c r="A225" s="1">
        <f t="shared" ca="1" si="3"/>
        <v>11902</v>
      </c>
      <c r="B225" s="32">
        <v>7570</v>
      </c>
      <c r="C225" s="33">
        <v>7555</v>
      </c>
      <c r="D225" s="34">
        <v>300</v>
      </c>
      <c r="E225" s="35">
        <v>315</v>
      </c>
      <c r="F225" s="5">
        <v>50</v>
      </c>
      <c r="G225" s="6">
        <v>70</v>
      </c>
    </row>
    <row r="226" spans="1:7" x14ac:dyDescent="0.25">
      <c r="A226" s="1">
        <f t="shared" ca="1" si="3"/>
        <v>11903</v>
      </c>
      <c r="B226" s="32">
        <v>7560</v>
      </c>
      <c r="C226" s="33">
        <v>7540</v>
      </c>
      <c r="D226" s="34">
        <v>295</v>
      </c>
      <c r="E226" s="35">
        <v>315</v>
      </c>
      <c r="F226" s="5">
        <v>25</v>
      </c>
      <c r="G226" s="6">
        <v>0</v>
      </c>
    </row>
    <row r="227" spans="1:7" x14ac:dyDescent="0.25">
      <c r="A227" s="1">
        <f t="shared" ca="1" si="3"/>
        <v>11904</v>
      </c>
      <c r="B227" s="32">
        <v>7555</v>
      </c>
      <c r="C227" s="33">
        <v>7545</v>
      </c>
      <c r="D227" s="34">
        <v>300</v>
      </c>
      <c r="E227" s="35">
        <v>310</v>
      </c>
      <c r="F227" s="5">
        <v>0</v>
      </c>
      <c r="G227" s="6">
        <v>50</v>
      </c>
    </row>
    <row r="228" spans="1:7" x14ac:dyDescent="0.25">
      <c r="A228" s="1">
        <f t="shared" ca="1" si="3"/>
        <v>11905</v>
      </c>
      <c r="B228" s="32">
        <v>7555</v>
      </c>
      <c r="C228" s="33">
        <v>7550</v>
      </c>
      <c r="D228" s="34">
        <v>300</v>
      </c>
      <c r="E228" s="35">
        <v>310</v>
      </c>
      <c r="F228" s="5">
        <v>0</v>
      </c>
      <c r="G228" s="6">
        <v>0</v>
      </c>
    </row>
    <row r="229" spans="1:7" x14ac:dyDescent="0.25">
      <c r="A229" s="1">
        <f t="shared" ca="1" si="3"/>
        <v>11906</v>
      </c>
      <c r="B229" s="32">
        <v>7560</v>
      </c>
      <c r="C229" s="33">
        <v>7545</v>
      </c>
      <c r="D229" s="34">
        <v>295</v>
      </c>
      <c r="E229" s="35">
        <v>310</v>
      </c>
      <c r="F229" s="5">
        <v>0</v>
      </c>
      <c r="G229" s="6">
        <v>15</v>
      </c>
    </row>
    <row r="230" spans="1:7" x14ac:dyDescent="0.25">
      <c r="A230" s="1">
        <f t="shared" ca="1" si="3"/>
        <v>11907</v>
      </c>
      <c r="B230" s="32">
        <v>7560</v>
      </c>
      <c r="C230" s="33">
        <v>7550</v>
      </c>
      <c r="D230" s="34">
        <v>300</v>
      </c>
      <c r="E230" s="35">
        <v>310</v>
      </c>
      <c r="F230" s="5">
        <v>0</v>
      </c>
      <c r="G230" s="6">
        <v>0</v>
      </c>
    </row>
    <row r="231" spans="1:7" x14ac:dyDescent="0.25">
      <c r="A231" s="1">
        <f t="shared" ca="1" si="3"/>
        <v>11908</v>
      </c>
      <c r="B231" s="32">
        <v>7560</v>
      </c>
      <c r="C231" s="33">
        <v>7550</v>
      </c>
      <c r="D231" s="34">
        <v>300</v>
      </c>
      <c r="E231" s="35">
        <v>310</v>
      </c>
      <c r="F231" s="5">
        <v>50</v>
      </c>
      <c r="G231" s="6">
        <v>0</v>
      </c>
    </row>
    <row r="232" spans="1:7" x14ac:dyDescent="0.25">
      <c r="A232" s="1">
        <f t="shared" ca="1" si="3"/>
        <v>11909</v>
      </c>
      <c r="B232" s="32">
        <v>7555</v>
      </c>
      <c r="C232" s="33">
        <v>7545</v>
      </c>
      <c r="D232" s="34">
        <v>295</v>
      </c>
      <c r="E232" s="35">
        <v>305</v>
      </c>
      <c r="F232" s="5">
        <v>0</v>
      </c>
      <c r="G232" s="6">
        <v>0</v>
      </c>
    </row>
    <row r="233" spans="1:7" x14ac:dyDescent="0.25">
      <c r="A233" s="1">
        <f t="shared" ca="1" si="3"/>
        <v>11910</v>
      </c>
      <c r="B233" s="32">
        <v>7560</v>
      </c>
      <c r="C233" s="33">
        <v>7550</v>
      </c>
      <c r="D233" s="34">
        <v>305</v>
      </c>
      <c r="E233" s="35">
        <v>310</v>
      </c>
      <c r="F233" s="5">
        <v>0</v>
      </c>
      <c r="G233" s="6">
        <v>0</v>
      </c>
    </row>
    <row r="234" spans="1:7" x14ac:dyDescent="0.25">
      <c r="A234" s="1">
        <f t="shared" ca="1" si="3"/>
        <v>11911</v>
      </c>
      <c r="B234" s="32">
        <v>7560</v>
      </c>
      <c r="C234" s="33">
        <v>7550</v>
      </c>
      <c r="D234" s="34">
        <v>300</v>
      </c>
      <c r="E234" s="35">
        <v>310</v>
      </c>
      <c r="F234" s="5">
        <v>0</v>
      </c>
      <c r="G234" s="6">
        <v>26</v>
      </c>
    </row>
    <row r="235" spans="1:7" x14ac:dyDescent="0.25">
      <c r="A235" s="1">
        <f t="shared" ca="1" si="3"/>
        <v>11912</v>
      </c>
      <c r="B235" s="32">
        <v>7560</v>
      </c>
      <c r="C235" s="33">
        <v>7550</v>
      </c>
      <c r="D235" s="34">
        <v>300</v>
      </c>
      <c r="E235" s="35">
        <v>310</v>
      </c>
      <c r="F235" s="5">
        <v>22</v>
      </c>
      <c r="G235" s="6">
        <v>0</v>
      </c>
    </row>
    <row r="236" spans="1:7" x14ac:dyDescent="0.25">
      <c r="A236" s="1">
        <f t="shared" ca="1" si="3"/>
        <v>11913</v>
      </c>
      <c r="B236" s="32">
        <v>7560</v>
      </c>
      <c r="C236" s="33">
        <v>7545</v>
      </c>
      <c r="D236" s="34">
        <v>300</v>
      </c>
      <c r="E236" s="35">
        <v>320</v>
      </c>
      <c r="F236" s="5">
        <v>0</v>
      </c>
      <c r="G236" s="6">
        <v>0</v>
      </c>
    </row>
    <row r="237" spans="1:7" x14ac:dyDescent="0.25">
      <c r="A237" s="1">
        <f t="shared" ca="1" si="3"/>
        <v>11914</v>
      </c>
      <c r="B237" s="32">
        <v>7555</v>
      </c>
      <c r="C237" s="33">
        <v>7535</v>
      </c>
      <c r="D237" s="34">
        <v>310</v>
      </c>
      <c r="E237" s="35">
        <v>320</v>
      </c>
      <c r="F237" s="5">
        <v>28</v>
      </c>
      <c r="G237" s="6">
        <v>0</v>
      </c>
    </row>
    <row r="238" spans="1:7" x14ac:dyDescent="0.25">
      <c r="A238" s="1">
        <f t="shared" ca="1" si="3"/>
        <v>11915</v>
      </c>
      <c r="B238" s="32">
        <v>7560</v>
      </c>
      <c r="C238" s="33">
        <v>7545</v>
      </c>
      <c r="D238" s="34">
        <v>300</v>
      </c>
      <c r="E238" s="35">
        <v>310</v>
      </c>
      <c r="F238" s="5">
        <v>0</v>
      </c>
      <c r="G238" s="6">
        <v>0</v>
      </c>
    </row>
    <row r="239" spans="1:7" x14ac:dyDescent="0.25">
      <c r="A239" s="1">
        <f t="shared" ca="1" si="3"/>
        <v>11916</v>
      </c>
      <c r="B239" s="32">
        <v>7560</v>
      </c>
      <c r="C239" s="33">
        <v>7545</v>
      </c>
      <c r="D239" s="34">
        <v>300</v>
      </c>
      <c r="E239" s="35">
        <v>310</v>
      </c>
      <c r="F239" s="5">
        <v>0</v>
      </c>
      <c r="G239" s="6">
        <v>0</v>
      </c>
    </row>
    <row r="240" spans="1:7" x14ac:dyDescent="0.25">
      <c r="A240" s="1">
        <f t="shared" ca="1" si="3"/>
        <v>11917</v>
      </c>
      <c r="B240" s="32">
        <v>7550</v>
      </c>
      <c r="C240" s="33">
        <v>7530</v>
      </c>
      <c r="D240" s="34">
        <v>300</v>
      </c>
      <c r="E240" s="35">
        <v>310</v>
      </c>
      <c r="F240" s="5">
        <v>0</v>
      </c>
      <c r="G240" s="6">
        <v>0</v>
      </c>
    </row>
    <row r="241" spans="1:7" x14ac:dyDescent="0.25">
      <c r="A241" s="1">
        <f t="shared" ca="1" si="3"/>
        <v>11918</v>
      </c>
      <c r="B241" s="32">
        <v>7560</v>
      </c>
      <c r="C241" s="33">
        <v>7545</v>
      </c>
      <c r="D241" s="34">
        <v>305</v>
      </c>
      <c r="E241" s="35">
        <v>310</v>
      </c>
      <c r="F241" s="5">
        <v>0</v>
      </c>
      <c r="G241" s="6">
        <v>0</v>
      </c>
    </row>
    <row r="242" spans="1:7" x14ac:dyDescent="0.25">
      <c r="A242" s="1">
        <f t="shared" ca="1" si="3"/>
        <v>11919</v>
      </c>
      <c r="B242" s="32">
        <v>7560</v>
      </c>
      <c r="C242" s="33">
        <v>7545</v>
      </c>
      <c r="D242" s="34">
        <v>300</v>
      </c>
      <c r="E242" s="35">
        <v>310</v>
      </c>
      <c r="F242" s="5">
        <v>5</v>
      </c>
      <c r="G242" s="6">
        <v>12</v>
      </c>
    </row>
    <row r="243" spans="1:7" x14ac:dyDescent="0.25">
      <c r="A243" s="1">
        <f t="shared" ca="1" si="3"/>
        <v>11920</v>
      </c>
      <c r="B243" s="32">
        <v>7550</v>
      </c>
      <c r="C243" s="33">
        <v>7540</v>
      </c>
      <c r="D243" s="34">
        <v>300</v>
      </c>
      <c r="E243" s="35">
        <v>310</v>
      </c>
      <c r="F243" s="5">
        <v>0</v>
      </c>
      <c r="G243" s="6">
        <v>0</v>
      </c>
    </row>
    <row r="244" spans="1:7" x14ac:dyDescent="0.25">
      <c r="A244" s="1">
        <f t="shared" ca="1" si="3"/>
        <v>11921</v>
      </c>
      <c r="B244" s="32">
        <v>7555</v>
      </c>
      <c r="C244" s="33">
        <v>7545</v>
      </c>
      <c r="D244" s="34">
        <v>300</v>
      </c>
      <c r="E244" s="35">
        <v>310</v>
      </c>
      <c r="F244" s="5">
        <v>0</v>
      </c>
      <c r="G244" s="6">
        <v>0</v>
      </c>
    </row>
    <row r="245" spans="1:7" x14ac:dyDescent="0.25">
      <c r="A245" s="1">
        <f t="shared" ca="1" si="3"/>
        <v>11922</v>
      </c>
      <c r="B245" s="32">
        <v>7550</v>
      </c>
      <c r="C245" s="33">
        <v>7540</v>
      </c>
      <c r="D245" s="34">
        <v>300</v>
      </c>
      <c r="E245" s="35">
        <v>310</v>
      </c>
      <c r="F245" s="5">
        <v>0</v>
      </c>
      <c r="G245" s="6">
        <v>0</v>
      </c>
    </row>
    <row r="246" spans="1:7" x14ac:dyDescent="0.25">
      <c r="A246" s="1">
        <f t="shared" ca="1" si="3"/>
        <v>11923</v>
      </c>
      <c r="B246" s="32">
        <v>7550</v>
      </c>
      <c r="C246" s="33">
        <v>7530</v>
      </c>
      <c r="D246" s="34">
        <v>300</v>
      </c>
      <c r="E246" s="35">
        <v>315</v>
      </c>
      <c r="F246" s="5">
        <v>0</v>
      </c>
      <c r="G246" s="6">
        <v>0</v>
      </c>
    </row>
    <row r="247" spans="1:7" x14ac:dyDescent="0.25">
      <c r="A247" s="1">
        <f t="shared" ca="1" si="3"/>
        <v>11924</v>
      </c>
      <c r="B247" s="32">
        <v>7555</v>
      </c>
      <c r="C247" s="33">
        <v>7535</v>
      </c>
      <c r="D247" s="34">
        <v>300</v>
      </c>
      <c r="E247" s="35">
        <v>320</v>
      </c>
      <c r="F247" s="5">
        <v>0</v>
      </c>
      <c r="G247" s="6">
        <v>0</v>
      </c>
    </row>
    <row r="248" spans="1:7" x14ac:dyDescent="0.25">
      <c r="A248" s="1">
        <f t="shared" ca="1" si="3"/>
        <v>11925</v>
      </c>
      <c r="B248" s="32">
        <v>7555</v>
      </c>
      <c r="C248" s="33">
        <v>7530</v>
      </c>
      <c r="D248" s="34">
        <v>305</v>
      </c>
      <c r="E248" s="35">
        <v>320</v>
      </c>
      <c r="F248" s="5">
        <v>0</v>
      </c>
      <c r="G248" s="6">
        <v>0</v>
      </c>
    </row>
    <row r="249" spans="1:7" x14ac:dyDescent="0.25">
      <c r="A249" s="1">
        <f t="shared" ca="1" si="3"/>
        <v>11926</v>
      </c>
      <c r="B249" s="32">
        <v>7550</v>
      </c>
      <c r="C249" s="33">
        <v>7530</v>
      </c>
      <c r="D249" s="34">
        <v>310</v>
      </c>
      <c r="E249" s="35">
        <v>320</v>
      </c>
      <c r="F249" s="5">
        <v>0</v>
      </c>
      <c r="G249" s="6">
        <v>0</v>
      </c>
    </row>
    <row r="250" spans="1:7" x14ac:dyDescent="0.25">
      <c r="A250" s="1">
        <f t="shared" ca="1" si="3"/>
        <v>11927</v>
      </c>
      <c r="B250" s="32">
        <v>7560</v>
      </c>
      <c r="C250" s="33">
        <v>7540</v>
      </c>
      <c r="D250" s="34">
        <v>320</v>
      </c>
      <c r="E250" s="35">
        <v>325</v>
      </c>
      <c r="F250" s="5">
        <v>0</v>
      </c>
      <c r="G250" s="6">
        <v>0</v>
      </c>
    </row>
    <row r="251" spans="1:7" x14ac:dyDescent="0.25">
      <c r="A251" s="1">
        <f t="shared" ca="1" si="3"/>
        <v>11928</v>
      </c>
      <c r="B251" s="32">
        <v>7565</v>
      </c>
      <c r="C251" s="33">
        <v>7540</v>
      </c>
      <c r="D251" s="34">
        <v>310</v>
      </c>
      <c r="E251" s="35">
        <v>320</v>
      </c>
      <c r="F251" s="5">
        <v>0</v>
      </c>
      <c r="G251" s="6">
        <v>0</v>
      </c>
    </row>
    <row r="252" spans="1:7" x14ac:dyDescent="0.25">
      <c r="A252" s="1">
        <f t="shared" ca="1" si="3"/>
        <v>11929</v>
      </c>
      <c r="B252" s="32">
        <v>7560</v>
      </c>
      <c r="C252" s="33">
        <v>7540</v>
      </c>
      <c r="D252" s="34">
        <v>310</v>
      </c>
      <c r="E252" s="35">
        <v>320</v>
      </c>
      <c r="F252" s="5">
        <v>0</v>
      </c>
      <c r="G252" s="6">
        <v>0</v>
      </c>
    </row>
    <row r="253" spans="1:7" x14ac:dyDescent="0.25">
      <c r="A253" s="1">
        <f t="shared" ca="1" si="3"/>
        <v>11930</v>
      </c>
      <c r="B253" s="32">
        <v>7560</v>
      </c>
      <c r="C253" s="33">
        <v>7540</v>
      </c>
      <c r="D253" s="34">
        <v>315</v>
      </c>
      <c r="E253" s="35">
        <v>325</v>
      </c>
      <c r="F253" s="5">
        <v>0</v>
      </c>
      <c r="G253" s="6">
        <v>0</v>
      </c>
    </row>
    <row r="254" spans="1:7" x14ac:dyDescent="0.25">
      <c r="A254" s="1">
        <f t="shared" ca="1" si="3"/>
        <v>11931</v>
      </c>
      <c r="B254" s="32">
        <v>7565</v>
      </c>
      <c r="C254" s="33">
        <v>7540</v>
      </c>
      <c r="D254" s="34">
        <v>310</v>
      </c>
      <c r="E254" s="35">
        <v>320</v>
      </c>
      <c r="F254" s="5">
        <v>0</v>
      </c>
      <c r="G254" s="6">
        <v>0</v>
      </c>
    </row>
    <row r="255" spans="1:7" x14ac:dyDescent="0.25">
      <c r="A255" s="1">
        <f t="shared" ca="1" si="3"/>
        <v>11932</v>
      </c>
      <c r="B255" s="32">
        <v>7560</v>
      </c>
      <c r="C255" s="33">
        <v>7540</v>
      </c>
      <c r="D255" s="34">
        <v>310</v>
      </c>
      <c r="E255" s="35">
        <v>320</v>
      </c>
      <c r="F255" s="5">
        <v>0</v>
      </c>
      <c r="G255" s="6">
        <v>0</v>
      </c>
    </row>
    <row r="256" spans="1:7" x14ac:dyDescent="0.25">
      <c r="A256" s="1" t="str">
        <f t="shared" ca="1" si="3"/>
        <v>Totaal</v>
      </c>
      <c r="B256" s="20">
        <f>IF(COUNT(B225:B255)&gt;0,AVERAGE(B225:B255)/10,"")</f>
        <v>755.79032258064512</v>
      </c>
      <c r="C256" s="21">
        <f>IF(COUNT(C225:C255)&gt;0,AVERAGE(C225:C255)/10,"")</f>
        <v>754.22580645161293</v>
      </c>
      <c r="D256" s="22">
        <f>IF(COUNT(D225:D255)&gt;0,AVERAGE(D225:D255)/10,"")</f>
        <v>30.306451612903224</v>
      </c>
      <c r="E256" s="23">
        <f>IF(COUNT(E225:E255)&gt;0,AVERAGE(E225:E255)/10,"")</f>
        <v>31.419354838709676</v>
      </c>
      <c r="F256" s="24">
        <f>SUM(F225:F255)/10</f>
        <v>18</v>
      </c>
      <c r="G256" s="25">
        <f>SUM(G225:G255)/10</f>
        <v>17.3</v>
      </c>
    </row>
    <row r="257" spans="1:7" x14ac:dyDescent="0.25">
      <c r="A257" s="1">
        <f t="shared" ca="1" si="3"/>
        <v>11933</v>
      </c>
      <c r="B257" s="32">
        <v>7560</v>
      </c>
      <c r="C257" s="33">
        <v>7535</v>
      </c>
      <c r="D257" s="34">
        <v>310</v>
      </c>
      <c r="E257" s="35">
        <v>330</v>
      </c>
      <c r="F257" s="5">
        <v>0</v>
      </c>
      <c r="G257" s="6">
        <v>0</v>
      </c>
    </row>
    <row r="258" spans="1:7" x14ac:dyDescent="0.25">
      <c r="A258" s="1">
        <f t="shared" ca="1" si="3"/>
        <v>11934</v>
      </c>
      <c r="B258" s="32">
        <v>7540</v>
      </c>
      <c r="C258" s="33">
        <v>7520</v>
      </c>
      <c r="D258" s="34">
        <v>320</v>
      </c>
      <c r="E258" s="35">
        <v>330</v>
      </c>
      <c r="F258" s="5">
        <v>0</v>
      </c>
      <c r="G258" s="6">
        <v>0</v>
      </c>
    </row>
    <row r="259" spans="1:7" x14ac:dyDescent="0.25">
      <c r="A259" s="1">
        <f t="shared" ca="1" si="3"/>
        <v>11935</v>
      </c>
      <c r="B259" s="32">
        <v>7550</v>
      </c>
      <c r="C259" s="33">
        <v>7520</v>
      </c>
      <c r="D259" s="34">
        <v>320</v>
      </c>
      <c r="E259" s="35">
        <v>330</v>
      </c>
      <c r="F259" s="5">
        <v>0</v>
      </c>
      <c r="G259" s="6">
        <v>0</v>
      </c>
    </row>
    <row r="260" spans="1:7" x14ac:dyDescent="0.25">
      <c r="A260" s="1">
        <f t="shared" ca="1" si="3"/>
        <v>11936</v>
      </c>
      <c r="B260" s="32">
        <v>7560</v>
      </c>
      <c r="C260" s="33">
        <v>7540</v>
      </c>
      <c r="D260" s="34">
        <v>320</v>
      </c>
      <c r="E260" s="35">
        <v>325</v>
      </c>
      <c r="F260" s="5">
        <v>0</v>
      </c>
      <c r="G260" s="6">
        <v>0</v>
      </c>
    </row>
    <row r="261" spans="1:7" x14ac:dyDescent="0.25">
      <c r="A261" s="1">
        <f t="shared" ca="1" si="3"/>
        <v>11937</v>
      </c>
      <c r="B261" s="32">
        <v>7560</v>
      </c>
      <c r="C261" s="33">
        <v>7540</v>
      </c>
      <c r="D261" s="34">
        <v>320</v>
      </c>
      <c r="E261" s="35">
        <v>330</v>
      </c>
      <c r="F261" s="5">
        <v>0</v>
      </c>
      <c r="G261" s="6">
        <v>0</v>
      </c>
    </row>
    <row r="262" spans="1:7" x14ac:dyDescent="0.25">
      <c r="A262" s="1">
        <f t="shared" ca="1" si="3"/>
        <v>11938</v>
      </c>
      <c r="B262" s="32">
        <v>7565</v>
      </c>
      <c r="C262" s="33">
        <v>7545</v>
      </c>
      <c r="D262" s="34">
        <v>310</v>
      </c>
      <c r="E262" s="35">
        <v>320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11939</v>
      </c>
      <c r="B263" s="32">
        <v>7560</v>
      </c>
      <c r="C263" s="33">
        <v>7540</v>
      </c>
      <c r="D263" s="34">
        <v>310</v>
      </c>
      <c r="E263" s="35">
        <v>320</v>
      </c>
      <c r="F263" s="5">
        <v>0</v>
      </c>
      <c r="G263" s="6">
        <v>0</v>
      </c>
    </row>
    <row r="264" spans="1:7" x14ac:dyDescent="0.25">
      <c r="A264" s="1">
        <f t="shared" ca="1" si="4"/>
        <v>11940</v>
      </c>
      <c r="B264" s="32">
        <v>7555</v>
      </c>
      <c r="C264" s="33">
        <v>7535</v>
      </c>
      <c r="D264" s="34">
        <v>315</v>
      </c>
      <c r="E264" s="35">
        <v>325</v>
      </c>
      <c r="F264" s="5">
        <v>0</v>
      </c>
      <c r="G264" s="6">
        <v>0</v>
      </c>
    </row>
    <row r="265" spans="1:7" x14ac:dyDescent="0.25">
      <c r="A265" s="1">
        <f t="shared" ca="1" si="4"/>
        <v>11941</v>
      </c>
      <c r="B265" s="32">
        <v>7570</v>
      </c>
      <c r="C265" s="33">
        <v>7540</v>
      </c>
      <c r="D265" s="34">
        <v>310</v>
      </c>
      <c r="E265" s="35">
        <v>320</v>
      </c>
      <c r="F265" s="5">
        <v>0</v>
      </c>
      <c r="G265" s="6">
        <v>305</v>
      </c>
    </row>
    <row r="266" spans="1:7" x14ac:dyDescent="0.25">
      <c r="A266" s="1">
        <f t="shared" ca="1" si="4"/>
        <v>11942</v>
      </c>
      <c r="B266" s="32">
        <v>7560</v>
      </c>
      <c r="C266" s="33">
        <v>7530</v>
      </c>
      <c r="D266" s="34">
        <v>310</v>
      </c>
      <c r="E266" s="35">
        <v>320</v>
      </c>
      <c r="F266" s="5">
        <v>0</v>
      </c>
      <c r="G266" s="6">
        <v>0</v>
      </c>
    </row>
    <row r="267" spans="1:7" x14ac:dyDescent="0.25">
      <c r="A267" s="1">
        <f t="shared" ca="1" si="4"/>
        <v>11943</v>
      </c>
      <c r="B267" s="32">
        <v>7560</v>
      </c>
      <c r="C267" s="33">
        <v>7540</v>
      </c>
      <c r="D267" s="34">
        <v>310</v>
      </c>
      <c r="E267" s="35">
        <v>320</v>
      </c>
      <c r="F267" s="5">
        <v>0</v>
      </c>
      <c r="G267" s="6">
        <v>0</v>
      </c>
    </row>
    <row r="268" spans="1:7" x14ac:dyDescent="0.25">
      <c r="A268" s="1">
        <f t="shared" ca="1" si="4"/>
        <v>11944</v>
      </c>
      <c r="B268" s="32">
        <v>7560</v>
      </c>
      <c r="C268" s="33">
        <v>7535</v>
      </c>
      <c r="D268" s="34">
        <v>310</v>
      </c>
      <c r="E268" s="35">
        <v>320</v>
      </c>
      <c r="F268" s="5">
        <v>0</v>
      </c>
      <c r="G268" s="6">
        <v>0</v>
      </c>
    </row>
    <row r="269" spans="1:7" x14ac:dyDescent="0.25">
      <c r="A269" s="1">
        <f t="shared" ca="1" si="4"/>
        <v>11945</v>
      </c>
      <c r="B269" s="32">
        <v>7555</v>
      </c>
      <c r="C269" s="33">
        <v>7535</v>
      </c>
      <c r="D269" s="34">
        <v>315</v>
      </c>
      <c r="E269" s="35">
        <v>325</v>
      </c>
      <c r="F269" s="5">
        <v>0</v>
      </c>
      <c r="G269" s="6">
        <v>0</v>
      </c>
    </row>
    <row r="270" spans="1:7" x14ac:dyDescent="0.25">
      <c r="A270" s="1">
        <f t="shared" ca="1" si="4"/>
        <v>11946</v>
      </c>
      <c r="B270" s="32">
        <v>7560</v>
      </c>
      <c r="C270" s="33">
        <v>7540</v>
      </c>
      <c r="D270" s="34">
        <v>315</v>
      </c>
      <c r="E270" s="35">
        <v>325</v>
      </c>
      <c r="F270" s="5">
        <v>0</v>
      </c>
      <c r="G270" s="6">
        <v>0</v>
      </c>
    </row>
    <row r="271" spans="1:7" x14ac:dyDescent="0.25">
      <c r="A271" s="1">
        <f t="shared" ca="1" si="4"/>
        <v>11947</v>
      </c>
      <c r="B271" s="32">
        <v>7560</v>
      </c>
      <c r="C271" s="33">
        <v>7540</v>
      </c>
      <c r="D271" s="34">
        <v>310</v>
      </c>
      <c r="E271" s="35">
        <v>320</v>
      </c>
      <c r="F271" s="5">
        <v>0</v>
      </c>
      <c r="G271" s="6">
        <v>0</v>
      </c>
    </row>
    <row r="272" spans="1:7" x14ac:dyDescent="0.25">
      <c r="A272" s="1">
        <f t="shared" ca="1" si="4"/>
        <v>11948</v>
      </c>
      <c r="B272" s="32">
        <v>7560</v>
      </c>
      <c r="C272" s="33">
        <v>7540</v>
      </c>
      <c r="D272" s="34">
        <v>310</v>
      </c>
      <c r="E272" s="35">
        <v>330</v>
      </c>
      <c r="F272" s="5">
        <v>0</v>
      </c>
      <c r="G272" s="6">
        <v>0</v>
      </c>
    </row>
    <row r="273" spans="1:7" x14ac:dyDescent="0.25">
      <c r="A273" s="1">
        <f t="shared" ca="1" si="4"/>
        <v>11949</v>
      </c>
      <c r="B273" s="32">
        <v>7560</v>
      </c>
      <c r="C273" s="33">
        <v>7540</v>
      </c>
      <c r="D273" s="34">
        <v>310</v>
      </c>
      <c r="E273" s="35">
        <v>320</v>
      </c>
      <c r="F273" s="5">
        <v>0</v>
      </c>
      <c r="G273" s="6">
        <v>0</v>
      </c>
    </row>
    <row r="274" spans="1:7" x14ac:dyDescent="0.25">
      <c r="A274" s="1">
        <f t="shared" ca="1" si="4"/>
        <v>11950</v>
      </c>
      <c r="B274" s="32">
        <v>7550</v>
      </c>
      <c r="C274" s="33">
        <v>7540</v>
      </c>
      <c r="D274" s="34">
        <v>310</v>
      </c>
      <c r="E274" s="35">
        <v>320</v>
      </c>
      <c r="F274" s="5">
        <v>0</v>
      </c>
      <c r="G274" s="6">
        <v>0</v>
      </c>
    </row>
    <row r="275" spans="1:7" x14ac:dyDescent="0.25">
      <c r="A275" s="1">
        <f t="shared" ca="1" si="4"/>
        <v>11951</v>
      </c>
      <c r="B275" s="32">
        <v>7560</v>
      </c>
      <c r="C275" s="33">
        <v>7525</v>
      </c>
      <c r="D275" s="34">
        <v>315</v>
      </c>
      <c r="E275" s="35">
        <v>325</v>
      </c>
      <c r="F275" s="5">
        <v>0</v>
      </c>
      <c r="G275" s="6">
        <v>0</v>
      </c>
    </row>
    <row r="276" spans="1:7" x14ac:dyDescent="0.25">
      <c r="A276" s="1">
        <f t="shared" ca="1" si="4"/>
        <v>11952</v>
      </c>
      <c r="B276" s="32">
        <v>7540</v>
      </c>
      <c r="C276" s="33">
        <v>7510</v>
      </c>
      <c r="D276" s="34">
        <v>320</v>
      </c>
      <c r="E276" s="35">
        <v>330</v>
      </c>
      <c r="F276" s="5">
        <v>0</v>
      </c>
      <c r="G276" s="6">
        <v>0</v>
      </c>
    </row>
    <row r="277" spans="1:7" x14ac:dyDescent="0.25">
      <c r="A277" s="1">
        <f t="shared" ca="1" si="4"/>
        <v>11953</v>
      </c>
      <c r="B277" s="32">
        <v>7545</v>
      </c>
      <c r="C277" s="33">
        <v>7520</v>
      </c>
      <c r="D277" s="34">
        <v>320</v>
      </c>
      <c r="E277" s="35">
        <v>325</v>
      </c>
      <c r="F277" s="5">
        <v>0</v>
      </c>
      <c r="G277" s="6">
        <v>0</v>
      </c>
    </row>
    <row r="278" spans="1:7" x14ac:dyDescent="0.25">
      <c r="A278" s="1">
        <f t="shared" ca="1" si="4"/>
        <v>11954</v>
      </c>
      <c r="B278" s="32">
        <v>7550</v>
      </c>
      <c r="C278" s="33">
        <v>7525</v>
      </c>
      <c r="D278" s="34">
        <v>320</v>
      </c>
      <c r="E278" s="35">
        <v>325</v>
      </c>
      <c r="F278" s="5">
        <v>0</v>
      </c>
      <c r="G278" s="6">
        <v>0</v>
      </c>
    </row>
    <row r="279" spans="1:7" x14ac:dyDescent="0.25">
      <c r="A279" s="1">
        <f t="shared" ca="1" si="4"/>
        <v>11955</v>
      </c>
      <c r="B279" s="32">
        <v>7550</v>
      </c>
      <c r="C279" s="33">
        <v>7530</v>
      </c>
      <c r="D279" s="34">
        <v>320</v>
      </c>
      <c r="E279" s="35">
        <v>330</v>
      </c>
      <c r="F279" s="5">
        <v>0</v>
      </c>
      <c r="G279" s="6">
        <v>0</v>
      </c>
    </row>
    <row r="280" spans="1:7" x14ac:dyDescent="0.25">
      <c r="A280" s="1">
        <f t="shared" ca="1" si="4"/>
        <v>11956</v>
      </c>
      <c r="B280" s="32">
        <v>7540</v>
      </c>
      <c r="C280" s="33">
        <v>7525</v>
      </c>
      <c r="D280" s="34">
        <v>320</v>
      </c>
      <c r="E280" s="35">
        <v>320</v>
      </c>
      <c r="F280" s="5">
        <v>0</v>
      </c>
      <c r="G280" s="6">
        <v>0</v>
      </c>
    </row>
    <row r="281" spans="1:7" x14ac:dyDescent="0.25">
      <c r="A281" s="1">
        <f t="shared" ca="1" si="4"/>
        <v>11957</v>
      </c>
      <c r="B281" s="32">
        <v>7540</v>
      </c>
      <c r="C281" s="33">
        <v>7520</v>
      </c>
      <c r="D281" s="34">
        <v>320</v>
      </c>
      <c r="E281" s="35">
        <v>325</v>
      </c>
      <c r="F281" s="5">
        <v>310</v>
      </c>
      <c r="G281" s="6">
        <v>173</v>
      </c>
    </row>
    <row r="282" spans="1:7" x14ac:dyDescent="0.25">
      <c r="A282" s="1">
        <f t="shared" ca="1" si="4"/>
        <v>11958</v>
      </c>
      <c r="B282" s="32">
        <v>7560</v>
      </c>
      <c r="C282" s="33">
        <v>7530</v>
      </c>
      <c r="D282" s="34">
        <v>310</v>
      </c>
      <c r="E282" s="35">
        <v>315</v>
      </c>
      <c r="F282" s="5">
        <v>0</v>
      </c>
      <c r="G282" s="6">
        <v>0</v>
      </c>
    </row>
    <row r="283" spans="1:7" x14ac:dyDescent="0.25">
      <c r="A283" s="1">
        <f t="shared" ca="1" si="4"/>
        <v>11959</v>
      </c>
      <c r="B283" s="32">
        <v>7570</v>
      </c>
      <c r="C283" s="33">
        <v>7525</v>
      </c>
      <c r="D283" s="34">
        <v>310</v>
      </c>
      <c r="E283" s="35">
        <v>320</v>
      </c>
      <c r="F283" s="5">
        <v>0</v>
      </c>
      <c r="G283" s="6">
        <v>0</v>
      </c>
    </row>
    <row r="284" spans="1:7" x14ac:dyDescent="0.25">
      <c r="A284" s="1">
        <f t="shared" ca="1" si="4"/>
        <v>11960</v>
      </c>
      <c r="B284" s="32">
        <v>7550</v>
      </c>
      <c r="C284" s="33">
        <v>7525</v>
      </c>
      <c r="D284" s="34">
        <v>315</v>
      </c>
      <c r="E284" s="35">
        <v>320</v>
      </c>
      <c r="F284" s="5">
        <v>0</v>
      </c>
      <c r="G284" s="6">
        <v>5</v>
      </c>
    </row>
    <row r="285" spans="1:7" x14ac:dyDescent="0.25">
      <c r="A285" s="1">
        <f t="shared" ca="1" si="4"/>
        <v>11961</v>
      </c>
      <c r="B285" s="32">
        <v>7545</v>
      </c>
      <c r="C285" s="33">
        <v>7520</v>
      </c>
      <c r="D285" s="34">
        <v>305</v>
      </c>
      <c r="E285" s="35">
        <v>310</v>
      </c>
      <c r="F285" s="5">
        <v>0</v>
      </c>
      <c r="G285" s="6">
        <v>0</v>
      </c>
    </row>
    <row r="286" spans="1:7" x14ac:dyDescent="0.25">
      <c r="A286" s="1">
        <f t="shared" ca="1" si="4"/>
        <v>11962</v>
      </c>
      <c r="B286" s="32">
        <v>7550</v>
      </c>
      <c r="C286" s="33">
        <v>7525</v>
      </c>
      <c r="D286" s="34">
        <v>310</v>
      </c>
      <c r="E286" s="35">
        <v>320</v>
      </c>
      <c r="F286" s="5"/>
      <c r="G286" s="6">
        <v>18</v>
      </c>
    </row>
    <row r="287" spans="1:7" x14ac:dyDescent="0.25">
      <c r="A287" s="1" t="str">
        <f t="shared" ca="1" si="4"/>
        <v>Totaal</v>
      </c>
      <c r="B287" s="20">
        <f>IF(COUNT(B257:B286)&gt;0,AVERAGE(B257:B286)/10,"")</f>
        <v>755.48333333333335</v>
      </c>
      <c r="C287" s="21">
        <f>IF(COUNT(C257:C286)&gt;0,AVERAGE(C257:C286)/10,"")</f>
        <v>753.11666666666667</v>
      </c>
      <c r="D287" s="22">
        <f>IF(COUNT(D257:D286)&gt;0,AVERAGE(D257:D286)/10,"")</f>
        <v>31.4</v>
      </c>
      <c r="E287" s="23">
        <f>IF(COUNT(E257:E286)&gt;0,AVERAGE(E257:E286)/10,"")</f>
        <v>32.31666666666667</v>
      </c>
      <c r="F287" s="24">
        <f>SUM(F257:F286)/10</f>
        <v>31</v>
      </c>
      <c r="G287" s="25">
        <f>SUM(G257:G286)/10</f>
        <v>50.1</v>
      </c>
    </row>
    <row r="288" spans="1:7" x14ac:dyDescent="0.25">
      <c r="A288" s="1">
        <f t="shared" ca="1" si="4"/>
        <v>11963</v>
      </c>
      <c r="B288" s="32">
        <v>7545</v>
      </c>
      <c r="C288" s="33">
        <v>7520</v>
      </c>
      <c r="D288" s="34">
        <v>315</v>
      </c>
      <c r="E288" s="35">
        <v>320</v>
      </c>
      <c r="F288" s="5">
        <v>0</v>
      </c>
      <c r="G288" s="6">
        <v>90</v>
      </c>
    </row>
    <row r="289" spans="1:7" x14ac:dyDescent="0.25">
      <c r="A289" s="1">
        <f t="shared" ca="1" si="4"/>
        <v>11964</v>
      </c>
      <c r="B289" s="32">
        <v>7545</v>
      </c>
      <c r="C289" s="33">
        <v>7525</v>
      </c>
      <c r="D289" s="34">
        <v>320</v>
      </c>
      <c r="E289" s="35">
        <v>325</v>
      </c>
      <c r="F289" s="5">
        <v>0</v>
      </c>
      <c r="G289" s="6">
        <v>160</v>
      </c>
    </row>
    <row r="290" spans="1:7" x14ac:dyDescent="0.25">
      <c r="A290" s="1">
        <f t="shared" ca="1" si="4"/>
        <v>11965</v>
      </c>
      <c r="B290" s="32">
        <v>7565</v>
      </c>
      <c r="C290" s="33">
        <v>7545</v>
      </c>
      <c r="D290" s="34">
        <v>305</v>
      </c>
      <c r="E290" s="35">
        <v>305</v>
      </c>
      <c r="F290" s="5">
        <v>40</v>
      </c>
      <c r="G290" s="6">
        <v>30</v>
      </c>
    </row>
    <row r="291" spans="1:7" x14ac:dyDescent="0.25">
      <c r="A291" s="1">
        <f t="shared" ca="1" si="4"/>
        <v>11966</v>
      </c>
      <c r="B291" s="32">
        <v>7565</v>
      </c>
      <c r="C291" s="33">
        <v>7535</v>
      </c>
      <c r="D291" s="34">
        <v>305</v>
      </c>
      <c r="E291" s="35">
        <v>300</v>
      </c>
      <c r="F291" s="5">
        <v>0</v>
      </c>
      <c r="G291" s="6">
        <v>90</v>
      </c>
    </row>
    <row r="292" spans="1:7" x14ac:dyDescent="0.25">
      <c r="A292" s="1">
        <f t="shared" ca="1" si="4"/>
        <v>11967</v>
      </c>
      <c r="B292" s="32">
        <v>7550</v>
      </c>
      <c r="C292" s="33">
        <v>7525</v>
      </c>
      <c r="D292" s="34">
        <v>300</v>
      </c>
      <c r="E292" s="35">
        <v>310</v>
      </c>
      <c r="F292" s="5">
        <v>96</v>
      </c>
      <c r="G292" s="6">
        <v>240</v>
      </c>
    </row>
    <row r="293" spans="1:7" x14ac:dyDescent="0.25">
      <c r="A293" s="1">
        <f t="shared" ca="1" si="4"/>
        <v>11968</v>
      </c>
      <c r="B293" s="32">
        <v>7550</v>
      </c>
      <c r="C293" s="33">
        <v>7525</v>
      </c>
      <c r="D293" s="34">
        <v>305</v>
      </c>
      <c r="E293" s="35">
        <v>315</v>
      </c>
      <c r="F293" s="5">
        <v>0</v>
      </c>
      <c r="G293" s="6">
        <v>0</v>
      </c>
    </row>
    <row r="294" spans="1:7" x14ac:dyDescent="0.25">
      <c r="A294" s="1">
        <f t="shared" ca="1" si="4"/>
        <v>11969</v>
      </c>
      <c r="B294" s="32">
        <v>7555</v>
      </c>
      <c r="C294" s="33">
        <v>7530</v>
      </c>
      <c r="D294" s="34">
        <v>305</v>
      </c>
      <c r="E294" s="35">
        <v>320</v>
      </c>
      <c r="F294" s="5">
        <v>0</v>
      </c>
      <c r="G294" s="6">
        <v>0</v>
      </c>
    </row>
    <row r="295" spans="1:7" x14ac:dyDescent="0.25">
      <c r="A295" s="1">
        <f t="shared" ca="1" si="4"/>
        <v>11970</v>
      </c>
      <c r="B295" s="32">
        <v>7555</v>
      </c>
      <c r="C295" s="33">
        <v>7530</v>
      </c>
      <c r="D295" s="34">
        <v>310</v>
      </c>
      <c r="E295" s="35">
        <v>320</v>
      </c>
      <c r="F295" s="5">
        <v>0</v>
      </c>
      <c r="G295" s="6">
        <v>0</v>
      </c>
    </row>
    <row r="296" spans="1:7" x14ac:dyDescent="0.25">
      <c r="A296" s="1">
        <f t="shared" ca="1" si="4"/>
        <v>11971</v>
      </c>
      <c r="B296" s="32">
        <v>7550</v>
      </c>
      <c r="C296" s="33">
        <v>7535</v>
      </c>
      <c r="D296" s="34">
        <v>310</v>
      </c>
      <c r="E296" s="35">
        <v>320</v>
      </c>
      <c r="F296" s="5">
        <v>0</v>
      </c>
      <c r="G296" s="6">
        <v>4</v>
      </c>
    </row>
    <row r="297" spans="1:7" x14ac:dyDescent="0.25">
      <c r="A297" s="1">
        <f t="shared" ca="1" si="4"/>
        <v>11972</v>
      </c>
      <c r="B297" s="32">
        <v>7540</v>
      </c>
      <c r="C297" s="33">
        <v>7520</v>
      </c>
      <c r="D297" s="34">
        <v>285</v>
      </c>
      <c r="E297" s="35">
        <v>310</v>
      </c>
      <c r="F297" s="5">
        <v>67</v>
      </c>
      <c r="G297" s="6">
        <v>120</v>
      </c>
    </row>
    <row r="298" spans="1:7" x14ac:dyDescent="0.25">
      <c r="A298" s="1">
        <f t="shared" ca="1" si="4"/>
        <v>11973</v>
      </c>
      <c r="B298" s="32">
        <v>7550</v>
      </c>
      <c r="C298" s="33">
        <v>7535</v>
      </c>
      <c r="D298" s="34">
        <v>300</v>
      </c>
      <c r="E298" s="35">
        <v>315</v>
      </c>
      <c r="F298" s="5">
        <v>0</v>
      </c>
      <c r="G298" s="6">
        <v>0</v>
      </c>
    </row>
    <row r="299" spans="1:7" x14ac:dyDescent="0.25">
      <c r="A299" s="1">
        <f t="shared" ca="1" si="4"/>
        <v>11974</v>
      </c>
      <c r="B299" s="32">
        <v>7570</v>
      </c>
      <c r="C299" s="33">
        <v>7550</v>
      </c>
      <c r="D299" s="34">
        <v>310</v>
      </c>
      <c r="E299" s="35">
        <v>320</v>
      </c>
      <c r="F299" s="5">
        <v>0</v>
      </c>
      <c r="G299" s="6">
        <v>0</v>
      </c>
    </row>
    <row r="300" spans="1:7" x14ac:dyDescent="0.25">
      <c r="A300" s="1">
        <f t="shared" ca="1" si="4"/>
        <v>11975</v>
      </c>
      <c r="B300" s="32">
        <v>7570</v>
      </c>
      <c r="C300" s="33">
        <v>7550</v>
      </c>
      <c r="D300" s="34">
        <v>310</v>
      </c>
      <c r="E300" s="35">
        <v>320</v>
      </c>
      <c r="F300" s="5">
        <v>0</v>
      </c>
      <c r="G300" s="6">
        <v>10</v>
      </c>
    </row>
    <row r="301" spans="1:7" x14ac:dyDescent="0.25">
      <c r="A301" s="1">
        <f t="shared" ca="1" si="4"/>
        <v>11976</v>
      </c>
      <c r="B301" s="32">
        <v>7590</v>
      </c>
      <c r="C301" s="33">
        <v>7565</v>
      </c>
      <c r="D301" s="34">
        <v>300</v>
      </c>
      <c r="E301" s="35">
        <v>300</v>
      </c>
      <c r="F301" s="5">
        <v>66</v>
      </c>
      <c r="G301" s="6">
        <v>0</v>
      </c>
    </row>
    <row r="302" spans="1:7" x14ac:dyDescent="0.25">
      <c r="A302" s="1">
        <f t="shared" ca="1" si="4"/>
        <v>11977</v>
      </c>
      <c r="B302" s="32">
        <v>7570</v>
      </c>
      <c r="C302" s="33">
        <v>7560</v>
      </c>
      <c r="D302" s="34">
        <v>290</v>
      </c>
      <c r="E302" s="35">
        <v>285</v>
      </c>
      <c r="F302" s="5">
        <v>250</v>
      </c>
      <c r="G302" s="6">
        <v>396</v>
      </c>
    </row>
    <row r="303" spans="1:7" x14ac:dyDescent="0.25">
      <c r="A303" s="1">
        <f t="shared" ca="1" si="4"/>
        <v>11978</v>
      </c>
      <c r="B303" s="32">
        <v>7570</v>
      </c>
      <c r="C303" s="33">
        <v>7560</v>
      </c>
      <c r="D303" s="34">
        <v>285</v>
      </c>
      <c r="E303" s="35">
        <v>280</v>
      </c>
      <c r="F303" s="5">
        <v>360</v>
      </c>
      <c r="G303" s="6">
        <v>185</v>
      </c>
    </row>
    <row r="304" spans="1:7" x14ac:dyDescent="0.25">
      <c r="A304" s="1">
        <f t="shared" ca="1" si="4"/>
        <v>11979</v>
      </c>
      <c r="B304" s="32">
        <v>7570</v>
      </c>
      <c r="C304" s="33">
        <v>7560</v>
      </c>
      <c r="D304" s="34">
        <v>280</v>
      </c>
      <c r="E304" s="35">
        <v>300</v>
      </c>
      <c r="F304" s="5">
        <v>0</v>
      </c>
      <c r="G304" s="6">
        <v>0</v>
      </c>
    </row>
    <row r="305" spans="1:7" x14ac:dyDescent="0.25">
      <c r="A305" s="1">
        <f t="shared" ca="1" si="4"/>
        <v>11980</v>
      </c>
      <c r="B305" s="32">
        <v>7570</v>
      </c>
      <c r="C305" s="33">
        <v>7560</v>
      </c>
      <c r="D305" s="34">
        <v>300</v>
      </c>
      <c r="E305" s="35">
        <v>310</v>
      </c>
      <c r="F305" s="5">
        <v>0</v>
      </c>
      <c r="G305" s="6">
        <v>0</v>
      </c>
    </row>
    <row r="306" spans="1:7" x14ac:dyDescent="0.25">
      <c r="A306" s="1">
        <f t="shared" ca="1" si="4"/>
        <v>11981</v>
      </c>
      <c r="B306" s="32">
        <v>7575</v>
      </c>
      <c r="C306" s="33">
        <v>7560</v>
      </c>
      <c r="D306" s="34">
        <v>305</v>
      </c>
      <c r="E306" s="35">
        <v>310</v>
      </c>
      <c r="F306" s="5">
        <v>0</v>
      </c>
      <c r="G306" s="6">
        <v>0</v>
      </c>
    </row>
    <row r="307" spans="1:7" x14ac:dyDescent="0.25">
      <c r="A307" s="1">
        <f t="shared" ca="1" si="4"/>
        <v>11982</v>
      </c>
      <c r="B307" s="32">
        <v>7560</v>
      </c>
      <c r="C307" s="33">
        <v>7565</v>
      </c>
      <c r="D307" s="34">
        <v>300</v>
      </c>
      <c r="E307" s="35">
        <v>310</v>
      </c>
      <c r="F307" s="5">
        <v>0</v>
      </c>
      <c r="G307" s="6">
        <v>0</v>
      </c>
    </row>
    <row r="308" spans="1:7" x14ac:dyDescent="0.25">
      <c r="A308" s="1">
        <f t="shared" ca="1" si="4"/>
        <v>11983</v>
      </c>
      <c r="B308" s="32">
        <v>7560</v>
      </c>
      <c r="C308" s="33">
        <v>7565</v>
      </c>
      <c r="D308" s="34">
        <v>300</v>
      </c>
      <c r="E308" s="35">
        <v>315</v>
      </c>
      <c r="F308" s="5">
        <v>0</v>
      </c>
      <c r="G308" s="6">
        <v>0</v>
      </c>
    </row>
    <row r="309" spans="1:7" x14ac:dyDescent="0.25">
      <c r="A309" s="1">
        <f t="shared" ca="1" si="4"/>
        <v>11984</v>
      </c>
      <c r="B309" s="32">
        <v>7575</v>
      </c>
      <c r="C309" s="33">
        <v>7570</v>
      </c>
      <c r="D309" s="34">
        <v>310</v>
      </c>
      <c r="E309" s="35">
        <v>315</v>
      </c>
      <c r="F309" s="5">
        <v>0</v>
      </c>
      <c r="G309" s="6">
        <v>0</v>
      </c>
    </row>
    <row r="310" spans="1:7" x14ac:dyDescent="0.25">
      <c r="A310" s="1">
        <f t="shared" ca="1" si="4"/>
        <v>11985</v>
      </c>
      <c r="B310" s="32">
        <v>7575</v>
      </c>
      <c r="C310" s="33">
        <v>7570</v>
      </c>
      <c r="D310" s="34">
        <v>310</v>
      </c>
      <c r="E310" s="35">
        <v>315</v>
      </c>
      <c r="F310" s="5">
        <v>0</v>
      </c>
      <c r="G310" s="6">
        <v>0</v>
      </c>
    </row>
    <row r="311" spans="1:7" x14ac:dyDescent="0.25">
      <c r="A311" s="1">
        <f t="shared" ca="1" si="4"/>
        <v>11986</v>
      </c>
      <c r="B311" s="32">
        <v>7580</v>
      </c>
      <c r="C311" s="33">
        <v>7575</v>
      </c>
      <c r="D311" s="34">
        <v>310</v>
      </c>
      <c r="E311" s="35">
        <v>310</v>
      </c>
      <c r="F311" s="5">
        <v>0</v>
      </c>
      <c r="G311" s="6">
        <v>0</v>
      </c>
    </row>
    <row r="312" spans="1:7" x14ac:dyDescent="0.25">
      <c r="A312" s="1">
        <f t="shared" ca="1" si="4"/>
        <v>11987</v>
      </c>
      <c r="B312" s="32">
        <v>7605</v>
      </c>
      <c r="C312" s="33">
        <v>7575</v>
      </c>
      <c r="D312" s="34">
        <v>305</v>
      </c>
      <c r="E312" s="35">
        <v>310</v>
      </c>
      <c r="F312" s="5">
        <v>33</v>
      </c>
      <c r="G312" s="6">
        <v>0</v>
      </c>
    </row>
    <row r="313" spans="1:7" x14ac:dyDescent="0.25">
      <c r="A313" s="1">
        <f t="shared" ca="1" si="4"/>
        <v>11988</v>
      </c>
      <c r="B313" s="32">
        <v>7600</v>
      </c>
      <c r="C313" s="33">
        <v>7570</v>
      </c>
      <c r="D313" s="34">
        <v>305</v>
      </c>
      <c r="E313" s="35">
        <v>310</v>
      </c>
      <c r="F313" s="5">
        <v>0</v>
      </c>
      <c r="G313" s="6">
        <v>0</v>
      </c>
    </row>
    <row r="314" spans="1:7" x14ac:dyDescent="0.25">
      <c r="A314" s="1">
        <f t="shared" ca="1" si="4"/>
        <v>11989</v>
      </c>
      <c r="B314" s="32">
        <v>7600</v>
      </c>
      <c r="C314" s="33">
        <v>7580</v>
      </c>
      <c r="D314" s="34">
        <v>305</v>
      </c>
      <c r="E314" s="35">
        <v>315</v>
      </c>
      <c r="F314" s="5">
        <v>0</v>
      </c>
      <c r="G314" s="6">
        <v>0</v>
      </c>
    </row>
    <row r="315" spans="1:7" x14ac:dyDescent="0.25">
      <c r="A315" s="1">
        <f t="shared" ca="1" si="4"/>
        <v>11990</v>
      </c>
      <c r="B315" s="32">
        <v>7600</v>
      </c>
      <c r="C315" s="33">
        <v>7590</v>
      </c>
      <c r="D315" s="34">
        <v>305</v>
      </c>
      <c r="E315" s="35">
        <v>300</v>
      </c>
      <c r="F315" s="5">
        <v>0</v>
      </c>
      <c r="G315" s="6">
        <v>0</v>
      </c>
    </row>
    <row r="316" spans="1:7" x14ac:dyDescent="0.25">
      <c r="A316" s="1">
        <f t="shared" ca="1" si="4"/>
        <v>11991</v>
      </c>
      <c r="B316" s="32">
        <v>7590</v>
      </c>
      <c r="C316" s="33">
        <v>7590</v>
      </c>
      <c r="D316" s="34">
        <v>305</v>
      </c>
      <c r="E316" s="35">
        <v>310</v>
      </c>
      <c r="F316" s="5">
        <v>0</v>
      </c>
      <c r="G316" s="6">
        <v>0</v>
      </c>
    </row>
    <row r="317" spans="1:7" x14ac:dyDescent="0.25">
      <c r="A317" s="1">
        <f t="shared" ca="1" si="4"/>
        <v>11992</v>
      </c>
      <c r="B317" s="32">
        <v>7590</v>
      </c>
      <c r="C317" s="33">
        <v>7580</v>
      </c>
      <c r="D317" s="34">
        <v>300</v>
      </c>
      <c r="E317" s="35">
        <v>310</v>
      </c>
      <c r="F317" s="5">
        <v>0</v>
      </c>
      <c r="G317" s="6">
        <v>0</v>
      </c>
    </row>
    <row r="318" spans="1:7" x14ac:dyDescent="0.25">
      <c r="A318" s="1">
        <f t="shared" ca="1" si="4"/>
        <v>11993</v>
      </c>
      <c r="B318" s="32">
        <v>7590</v>
      </c>
      <c r="C318" s="33">
        <v>7580</v>
      </c>
      <c r="D318" s="34">
        <v>295</v>
      </c>
      <c r="E318" s="35">
        <v>300</v>
      </c>
      <c r="F318" s="5">
        <v>60</v>
      </c>
      <c r="G318" s="6">
        <v>0</v>
      </c>
    </row>
    <row r="319" spans="1:7" x14ac:dyDescent="0.25">
      <c r="A319" s="1" t="str">
        <f t="shared" ca="1" si="4"/>
        <v>Totaal</v>
      </c>
      <c r="B319" s="20">
        <f>IF(COUNT(B288:B318)&gt;0,AVERAGE(B288:B318)/10,"")</f>
        <v>757.0322580645161</v>
      </c>
      <c r="C319" s="21">
        <f>IF(COUNT(C288:C318)&gt;0,AVERAGE(C288:C318)/10,"")</f>
        <v>755.48387096774195</v>
      </c>
      <c r="D319" s="22">
        <f>IF(COUNT(D288:D318)&gt;0,AVERAGE(D288:D318)/10,"")</f>
        <v>30.29032258064516</v>
      </c>
      <c r="E319" s="23">
        <f>IF(COUNT(E288:E318)&gt;0,AVERAGE(E288:E318)/10,"")</f>
        <v>30.983870967741932</v>
      </c>
      <c r="F319" s="24">
        <f>SUM(F288:F318)/10</f>
        <v>97.2</v>
      </c>
      <c r="G319" s="25">
        <f>SUM(G288:G318)/10</f>
        <v>132.5</v>
      </c>
    </row>
    <row r="320" spans="1:7" x14ac:dyDescent="0.25">
      <c r="A320" s="1">
        <f t="shared" ca="1" si="4"/>
        <v>11994</v>
      </c>
      <c r="B320" s="32">
        <v>7575</v>
      </c>
      <c r="C320" s="33">
        <v>7535</v>
      </c>
      <c r="D320" s="34">
        <v>295</v>
      </c>
      <c r="E320" s="35">
        <v>300</v>
      </c>
      <c r="F320" s="5">
        <v>900</v>
      </c>
      <c r="G320" s="6">
        <v>726</v>
      </c>
    </row>
    <row r="321" spans="1:7" x14ac:dyDescent="0.25">
      <c r="A321" s="1">
        <f t="shared" ca="1" si="4"/>
        <v>11995</v>
      </c>
      <c r="B321" s="32">
        <v>7555</v>
      </c>
      <c r="C321" s="33">
        <v>7540</v>
      </c>
      <c r="D321" s="34">
        <v>280</v>
      </c>
      <c r="E321" s="35">
        <v>285</v>
      </c>
      <c r="F321" s="5">
        <v>430</v>
      </c>
      <c r="G321" s="6">
        <v>1030</v>
      </c>
    </row>
    <row r="322" spans="1:7" x14ac:dyDescent="0.25">
      <c r="A322" s="1">
        <f t="shared" ca="1" si="4"/>
        <v>11996</v>
      </c>
      <c r="B322" s="32">
        <v>7565</v>
      </c>
      <c r="C322" s="33">
        <v>7550</v>
      </c>
      <c r="D322" s="34">
        <v>280</v>
      </c>
      <c r="E322" s="35">
        <v>285</v>
      </c>
      <c r="F322" s="5">
        <v>300</v>
      </c>
      <c r="G322" s="6">
        <v>236</v>
      </c>
    </row>
    <row r="323" spans="1:7" x14ac:dyDescent="0.25">
      <c r="A323" s="1">
        <f t="shared" ca="1" si="4"/>
        <v>11997</v>
      </c>
      <c r="B323" s="32">
        <v>7580</v>
      </c>
      <c r="C323" s="33">
        <v>7560</v>
      </c>
      <c r="D323" s="34">
        <v>280</v>
      </c>
      <c r="E323" s="35">
        <v>290</v>
      </c>
      <c r="F323" s="5">
        <v>30</v>
      </c>
      <c r="G323" s="6">
        <v>0</v>
      </c>
    </row>
    <row r="324" spans="1:7" x14ac:dyDescent="0.25">
      <c r="A324" s="1">
        <f t="shared" ca="1" si="4"/>
        <v>11998</v>
      </c>
      <c r="B324" s="32">
        <v>7565</v>
      </c>
      <c r="C324" s="33">
        <v>7560</v>
      </c>
      <c r="D324" s="34">
        <v>295</v>
      </c>
      <c r="E324" s="35">
        <v>300</v>
      </c>
      <c r="F324" s="5">
        <v>0</v>
      </c>
      <c r="G324" s="6">
        <v>0</v>
      </c>
    </row>
    <row r="325" spans="1:7" x14ac:dyDescent="0.25">
      <c r="A325" s="1">
        <f t="shared" ca="1" si="4"/>
        <v>11999</v>
      </c>
      <c r="B325" s="32">
        <v>7570</v>
      </c>
      <c r="C325" s="33">
        <v>7560</v>
      </c>
      <c r="D325" s="34">
        <v>295</v>
      </c>
      <c r="E325" s="35">
        <v>300</v>
      </c>
      <c r="F325" s="5">
        <v>50</v>
      </c>
      <c r="G325" s="6">
        <v>66</v>
      </c>
    </row>
    <row r="326" spans="1:7" x14ac:dyDescent="0.25">
      <c r="A326" s="1">
        <f t="shared" ca="1" si="4"/>
        <v>12000</v>
      </c>
      <c r="B326" s="32">
        <v>7570</v>
      </c>
      <c r="C326" s="33">
        <v>7560</v>
      </c>
      <c r="D326" s="34">
        <v>300</v>
      </c>
      <c r="E326" s="35">
        <v>300</v>
      </c>
      <c r="F326" s="5">
        <v>0</v>
      </c>
      <c r="G326" s="6">
        <v>0</v>
      </c>
    </row>
    <row r="327" spans="1:7" x14ac:dyDescent="0.25">
      <c r="A327" s="1">
        <f t="shared" ref="A327:A382" ca="1" si="5">IF(ISTEXT(A326),A325+1,IF(MONTH(A326+1)=MONTH(A326),A326+1,"Totaal"))</f>
        <v>12001</v>
      </c>
      <c r="B327" s="32">
        <v>7590</v>
      </c>
      <c r="C327" s="33">
        <v>7570</v>
      </c>
      <c r="D327" s="34">
        <v>300</v>
      </c>
      <c r="E327" s="35">
        <v>305</v>
      </c>
      <c r="F327" s="5">
        <v>0</v>
      </c>
      <c r="G327" s="6">
        <v>0</v>
      </c>
    </row>
    <row r="328" spans="1:7" x14ac:dyDescent="0.25">
      <c r="A328" s="1">
        <f t="shared" ca="1" si="5"/>
        <v>12002</v>
      </c>
      <c r="B328" s="32">
        <v>7590</v>
      </c>
      <c r="C328" s="33">
        <v>7570</v>
      </c>
      <c r="D328" s="34">
        <v>300</v>
      </c>
      <c r="E328" s="35">
        <v>305</v>
      </c>
      <c r="F328" s="5">
        <v>0</v>
      </c>
      <c r="G328" s="6">
        <v>0</v>
      </c>
    </row>
    <row r="329" spans="1:7" x14ac:dyDescent="0.25">
      <c r="A329" s="1">
        <f t="shared" ca="1" si="5"/>
        <v>12003</v>
      </c>
      <c r="B329" s="32">
        <v>7590</v>
      </c>
      <c r="C329" s="33">
        <v>7570</v>
      </c>
      <c r="D329" s="34">
        <v>300</v>
      </c>
      <c r="E329" s="35">
        <v>305</v>
      </c>
      <c r="F329" s="5">
        <v>0</v>
      </c>
      <c r="G329" s="6">
        <v>0</v>
      </c>
    </row>
    <row r="330" spans="1:7" x14ac:dyDescent="0.25">
      <c r="A330" s="1">
        <f t="shared" ca="1" si="5"/>
        <v>12004</v>
      </c>
      <c r="B330" s="32">
        <v>7590</v>
      </c>
      <c r="C330" s="33">
        <v>7580</v>
      </c>
      <c r="D330" s="34">
        <v>300</v>
      </c>
      <c r="E330" s="35">
        <v>305</v>
      </c>
      <c r="F330" s="5">
        <v>0</v>
      </c>
      <c r="G330" s="6">
        <v>0</v>
      </c>
    </row>
    <row r="331" spans="1:7" x14ac:dyDescent="0.25">
      <c r="A331" s="1">
        <f t="shared" ca="1" si="5"/>
        <v>12005</v>
      </c>
      <c r="B331" s="32">
        <v>7590</v>
      </c>
      <c r="C331" s="33">
        <v>7590</v>
      </c>
      <c r="D331" s="34">
        <v>300</v>
      </c>
      <c r="E331" s="35">
        <v>300</v>
      </c>
      <c r="F331" s="5">
        <v>0</v>
      </c>
      <c r="G331" s="6">
        <v>0</v>
      </c>
    </row>
    <row r="332" spans="1:7" x14ac:dyDescent="0.25">
      <c r="A332" s="1">
        <f t="shared" ca="1" si="5"/>
        <v>12006</v>
      </c>
      <c r="B332" s="32">
        <v>7585</v>
      </c>
      <c r="C332" s="33">
        <v>7580</v>
      </c>
      <c r="D332" s="34">
        <v>300</v>
      </c>
      <c r="E332" s="35">
        <v>300</v>
      </c>
      <c r="F332" s="5">
        <v>0</v>
      </c>
      <c r="G332" s="6">
        <v>63</v>
      </c>
    </row>
    <row r="333" spans="1:7" x14ac:dyDescent="0.25">
      <c r="A333" s="1">
        <f t="shared" ca="1" si="5"/>
        <v>12007</v>
      </c>
      <c r="B333" s="32">
        <v>7585</v>
      </c>
      <c r="C333" s="33">
        <v>7580</v>
      </c>
      <c r="D333" s="34">
        <v>300</v>
      </c>
      <c r="E333" s="35">
        <v>300</v>
      </c>
      <c r="F333" s="5">
        <v>110</v>
      </c>
      <c r="G333" s="6">
        <v>16</v>
      </c>
    </row>
    <row r="334" spans="1:7" x14ac:dyDescent="0.25">
      <c r="A334" s="1">
        <f t="shared" ca="1" si="5"/>
        <v>12008</v>
      </c>
      <c r="B334" s="32">
        <v>7590</v>
      </c>
      <c r="C334" s="33">
        <v>7580</v>
      </c>
      <c r="D334" s="34">
        <v>300</v>
      </c>
      <c r="E334" s="35">
        <v>300</v>
      </c>
      <c r="F334" s="5">
        <v>0</v>
      </c>
      <c r="G334" s="6">
        <v>0</v>
      </c>
    </row>
    <row r="335" spans="1:7" x14ac:dyDescent="0.25">
      <c r="A335" s="1">
        <f t="shared" ca="1" si="5"/>
        <v>12009</v>
      </c>
      <c r="B335" s="32">
        <v>7590</v>
      </c>
      <c r="C335" s="33">
        <v>7580</v>
      </c>
      <c r="D335" s="34">
        <v>295</v>
      </c>
      <c r="E335" s="35">
        <v>305</v>
      </c>
      <c r="F335" s="5">
        <v>0</v>
      </c>
      <c r="G335" s="6">
        <v>0</v>
      </c>
    </row>
    <row r="336" spans="1:7" x14ac:dyDescent="0.25">
      <c r="A336" s="1">
        <f t="shared" ca="1" si="5"/>
        <v>12010</v>
      </c>
      <c r="B336" s="32">
        <v>7585</v>
      </c>
      <c r="C336" s="33">
        <v>7570</v>
      </c>
      <c r="D336" s="34">
        <v>300</v>
      </c>
      <c r="E336" s="35">
        <v>305</v>
      </c>
      <c r="F336" s="5">
        <v>40</v>
      </c>
      <c r="G336" s="6">
        <v>40</v>
      </c>
    </row>
    <row r="337" spans="1:7" x14ac:dyDescent="0.25">
      <c r="A337" s="1">
        <f t="shared" ca="1" si="5"/>
        <v>12011</v>
      </c>
      <c r="B337" s="32">
        <v>7590</v>
      </c>
      <c r="C337" s="33">
        <v>7570</v>
      </c>
      <c r="D337" s="34">
        <v>300</v>
      </c>
      <c r="E337" s="35">
        <v>295</v>
      </c>
      <c r="F337" s="5">
        <v>106</v>
      </c>
      <c r="G337" s="6">
        <v>30</v>
      </c>
    </row>
    <row r="338" spans="1:7" x14ac:dyDescent="0.25">
      <c r="A338" s="1">
        <f t="shared" ca="1" si="5"/>
        <v>12012</v>
      </c>
      <c r="B338" s="32">
        <v>7575</v>
      </c>
      <c r="C338" s="33">
        <v>7570</v>
      </c>
      <c r="D338" s="34">
        <v>290</v>
      </c>
      <c r="E338" s="35">
        <v>300</v>
      </c>
      <c r="F338" s="5">
        <v>0</v>
      </c>
      <c r="G338" s="6">
        <v>50</v>
      </c>
    </row>
    <row r="339" spans="1:7" x14ac:dyDescent="0.25">
      <c r="A339" s="1">
        <f t="shared" ca="1" si="5"/>
        <v>12013</v>
      </c>
      <c r="B339" s="32">
        <v>7580</v>
      </c>
      <c r="C339" s="33">
        <v>7570</v>
      </c>
      <c r="D339" s="34">
        <v>290</v>
      </c>
      <c r="E339" s="35">
        <v>300</v>
      </c>
      <c r="F339" s="5">
        <v>60</v>
      </c>
      <c r="G339" s="6">
        <v>10</v>
      </c>
    </row>
    <row r="340" spans="1:7" x14ac:dyDescent="0.25">
      <c r="A340" s="1">
        <f t="shared" ca="1" si="5"/>
        <v>12014</v>
      </c>
      <c r="B340" s="32">
        <v>7585</v>
      </c>
      <c r="C340" s="33">
        <v>7570</v>
      </c>
      <c r="D340" s="34">
        <v>290</v>
      </c>
      <c r="E340" s="35">
        <v>290</v>
      </c>
      <c r="F340" s="5">
        <v>0</v>
      </c>
      <c r="G340" s="6">
        <v>26</v>
      </c>
    </row>
    <row r="341" spans="1:7" x14ac:dyDescent="0.25">
      <c r="A341" s="1">
        <f t="shared" ca="1" si="5"/>
        <v>12015</v>
      </c>
      <c r="B341" s="32">
        <v>7585</v>
      </c>
      <c r="C341" s="33">
        <v>7580</v>
      </c>
      <c r="D341" s="34">
        <v>270</v>
      </c>
      <c r="E341" s="35">
        <v>280</v>
      </c>
      <c r="F341" s="5">
        <v>50</v>
      </c>
      <c r="G341" s="6">
        <v>56</v>
      </c>
    </row>
    <row r="342" spans="1:7" x14ac:dyDescent="0.25">
      <c r="A342" s="1">
        <f t="shared" ca="1" si="5"/>
        <v>12016</v>
      </c>
      <c r="B342" s="32">
        <v>7585</v>
      </c>
      <c r="C342" s="33">
        <v>7570</v>
      </c>
      <c r="D342" s="34">
        <v>290</v>
      </c>
      <c r="E342" s="35">
        <v>300</v>
      </c>
      <c r="F342" s="5">
        <v>0</v>
      </c>
      <c r="G342" s="6">
        <v>0</v>
      </c>
    </row>
    <row r="343" spans="1:7" x14ac:dyDescent="0.25">
      <c r="A343" s="1">
        <f t="shared" ca="1" si="5"/>
        <v>12017</v>
      </c>
      <c r="B343" s="32">
        <v>7585</v>
      </c>
      <c r="C343" s="33">
        <v>7575</v>
      </c>
      <c r="D343" s="34">
        <v>295</v>
      </c>
      <c r="E343" s="35">
        <v>300</v>
      </c>
      <c r="F343" s="5">
        <v>0</v>
      </c>
      <c r="G343" s="6">
        <v>0</v>
      </c>
    </row>
    <row r="344" spans="1:7" x14ac:dyDescent="0.25">
      <c r="A344" s="1">
        <f t="shared" ca="1" si="5"/>
        <v>12018</v>
      </c>
      <c r="B344" s="32">
        <v>7585</v>
      </c>
      <c r="C344" s="33">
        <v>7575</v>
      </c>
      <c r="D344" s="34">
        <v>295</v>
      </c>
      <c r="E344" s="35">
        <v>300</v>
      </c>
      <c r="F344" s="5">
        <v>0</v>
      </c>
      <c r="G344" s="6">
        <v>0</v>
      </c>
    </row>
    <row r="345" spans="1:7" x14ac:dyDescent="0.25">
      <c r="A345" s="1">
        <f t="shared" ca="1" si="5"/>
        <v>12019</v>
      </c>
      <c r="B345" s="32">
        <v>7585</v>
      </c>
      <c r="C345" s="33">
        <v>7580</v>
      </c>
      <c r="D345" s="34">
        <v>295</v>
      </c>
      <c r="E345" s="35">
        <v>300</v>
      </c>
      <c r="F345" s="5">
        <v>0</v>
      </c>
      <c r="G345" s="6">
        <v>0</v>
      </c>
    </row>
    <row r="346" spans="1:7" x14ac:dyDescent="0.25">
      <c r="A346" s="1">
        <f t="shared" ca="1" si="5"/>
        <v>12020</v>
      </c>
      <c r="B346" s="32">
        <v>7585</v>
      </c>
      <c r="C346" s="33">
        <v>7580</v>
      </c>
      <c r="D346" s="34">
        <v>295</v>
      </c>
      <c r="E346" s="35">
        <v>300</v>
      </c>
      <c r="F346" s="5">
        <v>0</v>
      </c>
      <c r="G346" s="6">
        <v>12</v>
      </c>
    </row>
    <row r="347" spans="1:7" x14ac:dyDescent="0.25">
      <c r="A347" s="1">
        <f t="shared" ca="1" si="5"/>
        <v>12021</v>
      </c>
      <c r="B347" s="32">
        <v>7585</v>
      </c>
      <c r="C347" s="33">
        <v>7575</v>
      </c>
      <c r="D347" s="34">
        <v>285</v>
      </c>
      <c r="E347" s="35">
        <v>300</v>
      </c>
      <c r="F347" s="5">
        <v>0</v>
      </c>
      <c r="G347" s="6">
        <v>0</v>
      </c>
    </row>
    <row r="348" spans="1:7" x14ac:dyDescent="0.25">
      <c r="A348" s="1">
        <f t="shared" ca="1" si="5"/>
        <v>12022</v>
      </c>
      <c r="B348" s="32">
        <v>7590</v>
      </c>
      <c r="C348" s="33">
        <v>7575</v>
      </c>
      <c r="D348" s="34">
        <v>290</v>
      </c>
      <c r="E348" s="35">
        <v>270</v>
      </c>
      <c r="F348" s="5">
        <v>360</v>
      </c>
      <c r="G348" s="6">
        <v>425</v>
      </c>
    </row>
    <row r="349" spans="1:7" x14ac:dyDescent="0.25">
      <c r="A349" s="1">
        <f t="shared" ca="1" si="5"/>
        <v>12023</v>
      </c>
      <c r="B349" s="32">
        <v>7585</v>
      </c>
      <c r="C349" s="33">
        <v>7580</v>
      </c>
      <c r="D349" s="34">
        <v>290</v>
      </c>
      <c r="E349" s="35">
        <v>290</v>
      </c>
      <c r="F349" s="5">
        <v>20</v>
      </c>
      <c r="G349" s="6">
        <v>30</v>
      </c>
    </row>
    <row r="350" spans="1:7" x14ac:dyDescent="0.25">
      <c r="A350" s="1" t="str">
        <f t="shared" ca="1" si="5"/>
        <v>Totaal</v>
      </c>
      <c r="B350" s="20">
        <f>IF(COUNT(B320:B349)&gt;0,AVERAGE(B320:B349)/10,"")</f>
        <v>758.2166666666667</v>
      </c>
      <c r="C350" s="21">
        <f>IF(COUNT(C320:C349)&gt;0,AVERAGE(C320:C349)/10,"")</f>
        <v>757.01666666666665</v>
      </c>
      <c r="D350" s="22">
        <f>IF(COUNT(D320:D349)&gt;0,AVERAGE(D320:D349)/10,"")</f>
        <v>29.31666666666667</v>
      </c>
      <c r="E350" s="23">
        <f>IF(COUNT(E320:E349)&gt;0,AVERAGE(E320:E349)/10,"")</f>
        <v>29.716666666666669</v>
      </c>
      <c r="F350" s="24">
        <f>SUM(F320:F349)/10</f>
        <v>245.6</v>
      </c>
      <c r="G350" s="25">
        <f>SUM(G320:G349)/10</f>
        <v>281.60000000000002</v>
      </c>
    </row>
    <row r="351" spans="1:7" x14ac:dyDescent="0.25">
      <c r="A351" s="1">
        <f t="shared" ca="1" si="5"/>
        <v>12024</v>
      </c>
      <c r="B351" s="32">
        <v>7580</v>
      </c>
      <c r="C351" s="33">
        <v>7580</v>
      </c>
      <c r="D351" s="34">
        <v>295</v>
      </c>
      <c r="E351" s="35">
        <v>300</v>
      </c>
      <c r="F351" s="5">
        <v>0</v>
      </c>
      <c r="G351" s="6">
        <v>10</v>
      </c>
    </row>
    <row r="352" spans="1:7" x14ac:dyDescent="0.25">
      <c r="A352" s="1">
        <f t="shared" ca="1" si="5"/>
        <v>12025</v>
      </c>
      <c r="B352" s="32">
        <v>7590</v>
      </c>
      <c r="C352" s="33">
        <v>7580</v>
      </c>
      <c r="D352" s="34">
        <v>295</v>
      </c>
      <c r="E352" s="35">
        <v>300</v>
      </c>
      <c r="F352" s="5">
        <v>0</v>
      </c>
      <c r="G352" s="6">
        <v>0</v>
      </c>
    </row>
    <row r="353" spans="1:7" x14ac:dyDescent="0.25">
      <c r="A353" s="1">
        <f t="shared" ca="1" si="5"/>
        <v>12026</v>
      </c>
      <c r="B353" s="32">
        <v>7590</v>
      </c>
      <c r="C353" s="33">
        <v>7580</v>
      </c>
      <c r="D353" s="34">
        <v>285</v>
      </c>
      <c r="E353" s="35">
        <v>290</v>
      </c>
      <c r="F353" s="5">
        <v>0</v>
      </c>
      <c r="G353" s="6">
        <v>0</v>
      </c>
    </row>
    <row r="354" spans="1:7" x14ac:dyDescent="0.25">
      <c r="A354" s="1">
        <f t="shared" ca="1" si="5"/>
        <v>12027</v>
      </c>
      <c r="B354" s="32">
        <v>7590</v>
      </c>
      <c r="C354" s="33">
        <v>7580</v>
      </c>
      <c r="D354" s="34">
        <v>280</v>
      </c>
      <c r="E354" s="35">
        <v>290</v>
      </c>
      <c r="F354" s="5">
        <v>0</v>
      </c>
      <c r="G354" s="6">
        <v>0</v>
      </c>
    </row>
    <row r="355" spans="1:7" x14ac:dyDescent="0.25">
      <c r="A355" s="1">
        <f t="shared" ca="1" si="5"/>
        <v>12028</v>
      </c>
      <c r="B355" s="32">
        <v>7590</v>
      </c>
      <c r="C355" s="33">
        <v>7580</v>
      </c>
      <c r="D355" s="34">
        <v>290</v>
      </c>
      <c r="E355" s="35">
        <v>300</v>
      </c>
      <c r="F355" s="5">
        <v>0</v>
      </c>
      <c r="G355" s="6">
        <v>14</v>
      </c>
    </row>
    <row r="356" spans="1:7" x14ac:dyDescent="0.25">
      <c r="A356" s="1">
        <f t="shared" ca="1" si="5"/>
        <v>12029</v>
      </c>
      <c r="B356" s="32">
        <v>7590</v>
      </c>
      <c r="C356" s="33">
        <v>7580</v>
      </c>
      <c r="D356" s="34">
        <v>290</v>
      </c>
      <c r="E356" s="35">
        <v>295</v>
      </c>
      <c r="F356" s="5">
        <v>40</v>
      </c>
      <c r="G356" s="6">
        <v>81</v>
      </c>
    </row>
    <row r="357" spans="1:7" x14ac:dyDescent="0.25">
      <c r="A357" s="1">
        <f t="shared" ca="1" si="5"/>
        <v>12030</v>
      </c>
      <c r="B357" s="32">
        <v>7590</v>
      </c>
      <c r="C357" s="33">
        <v>7585</v>
      </c>
      <c r="D357" s="34">
        <v>280</v>
      </c>
      <c r="E357" s="35">
        <v>295</v>
      </c>
      <c r="F357" s="5">
        <v>190</v>
      </c>
      <c r="G357" s="6">
        <v>271</v>
      </c>
    </row>
    <row r="358" spans="1:7" x14ac:dyDescent="0.25">
      <c r="A358" s="1">
        <f t="shared" ca="1" si="5"/>
        <v>12031</v>
      </c>
      <c r="B358" s="32">
        <v>7590</v>
      </c>
      <c r="C358" s="33">
        <v>7580</v>
      </c>
      <c r="D358" s="34">
        <v>280</v>
      </c>
      <c r="E358" s="35">
        <v>290</v>
      </c>
      <c r="F358" s="5">
        <v>0</v>
      </c>
      <c r="G358" s="6">
        <v>0</v>
      </c>
    </row>
    <row r="359" spans="1:7" x14ac:dyDescent="0.25">
      <c r="A359" s="1">
        <f t="shared" ca="1" si="5"/>
        <v>12032</v>
      </c>
      <c r="B359" s="32">
        <v>7590</v>
      </c>
      <c r="C359" s="33">
        <v>7580</v>
      </c>
      <c r="D359" s="34">
        <v>285</v>
      </c>
      <c r="E359" s="35">
        <v>295</v>
      </c>
      <c r="F359" s="5">
        <v>0</v>
      </c>
      <c r="G359" s="6">
        <v>0</v>
      </c>
    </row>
    <row r="360" spans="1:7" x14ac:dyDescent="0.25">
      <c r="A360" s="1">
        <f t="shared" ca="1" si="5"/>
        <v>12033</v>
      </c>
      <c r="B360" s="32">
        <v>7590</v>
      </c>
      <c r="C360" s="33">
        <v>7575</v>
      </c>
      <c r="D360" s="34">
        <v>290</v>
      </c>
      <c r="E360" s="35">
        <v>205</v>
      </c>
      <c r="F360" s="5">
        <v>0</v>
      </c>
      <c r="G360" s="6">
        <v>9</v>
      </c>
    </row>
    <row r="361" spans="1:7" x14ac:dyDescent="0.25">
      <c r="A361" s="1">
        <f t="shared" ca="1" si="5"/>
        <v>12034</v>
      </c>
      <c r="B361" s="32">
        <v>7590</v>
      </c>
      <c r="C361" s="33">
        <v>7580</v>
      </c>
      <c r="D361" s="34">
        <v>280</v>
      </c>
      <c r="E361" s="35">
        <v>290</v>
      </c>
      <c r="F361" s="5">
        <v>0</v>
      </c>
      <c r="G361" s="6">
        <v>0</v>
      </c>
    </row>
    <row r="362" spans="1:7" x14ac:dyDescent="0.25">
      <c r="A362" s="1">
        <f t="shared" ca="1" si="5"/>
        <v>12035</v>
      </c>
      <c r="B362" s="32">
        <v>7590</v>
      </c>
      <c r="C362" s="33">
        <v>7585</v>
      </c>
      <c r="D362" s="34">
        <v>280</v>
      </c>
      <c r="E362" s="35">
        <v>290</v>
      </c>
      <c r="F362" s="5">
        <v>0</v>
      </c>
      <c r="G362" s="6">
        <v>0</v>
      </c>
    </row>
    <row r="363" spans="1:7" x14ac:dyDescent="0.25">
      <c r="A363" s="1">
        <f t="shared" ca="1" si="5"/>
        <v>12036</v>
      </c>
      <c r="B363" s="32">
        <v>7590</v>
      </c>
      <c r="C363" s="33">
        <v>7590</v>
      </c>
      <c r="D363" s="34">
        <v>280</v>
      </c>
      <c r="E363" s="35">
        <v>290</v>
      </c>
      <c r="F363" s="5">
        <v>30</v>
      </c>
      <c r="G363" s="6">
        <v>43</v>
      </c>
    </row>
    <row r="364" spans="1:7" x14ac:dyDescent="0.25">
      <c r="A364" s="1">
        <f t="shared" ca="1" si="5"/>
        <v>12037</v>
      </c>
      <c r="B364" s="32">
        <v>7590</v>
      </c>
      <c r="C364" s="33">
        <v>7590</v>
      </c>
      <c r="D364" s="34">
        <v>280</v>
      </c>
      <c r="E364" s="35">
        <v>290</v>
      </c>
      <c r="F364" s="5">
        <v>30</v>
      </c>
      <c r="G364" s="6">
        <v>56</v>
      </c>
    </row>
    <row r="365" spans="1:7" x14ac:dyDescent="0.25">
      <c r="A365" s="1">
        <f t="shared" ca="1" si="5"/>
        <v>12038</v>
      </c>
      <c r="B365" s="32">
        <v>7590</v>
      </c>
      <c r="C365" s="33">
        <v>7590</v>
      </c>
      <c r="D365" s="34">
        <v>280</v>
      </c>
      <c r="E365" s="35">
        <v>290</v>
      </c>
      <c r="F365" s="5">
        <v>80</v>
      </c>
      <c r="G365" s="6">
        <v>0</v>
      </c>
    </row>
    <row r="366" spans="1:7" x14ac:dyDescent="0.25">
      <c r="A366" s="1">
        <f t="shared" ca="1" si="5"/>
        <v>12039</v>
      </c>
      <c r="B366" s="32">
        <v>7590</v>
      </c>
      <c r="C366" s="33">
        <v>7590</v>
      </c>
      <c r="D366" s="34">
        <v>280</v>
      </c>
      <c r="E366" s="35">
        <v>290</v>
      </c>
      <c r="F366" s="5">
        <v>33</v>
      </c>
      <c r="G366" s="6">
        <v>0</v>
      </c>
    </row>
    <row r="367" spans="1:7" x14ac:dyDescent="0.25">
      <c r="A367" s="1">
        <f t="shared" ca="1" si="5"/>
        <v>12040</v>
      </c>
      <c r="B367" s="32">
        <v>7590</v>
      </c>
      <c r="C367" s="33">
        <v>7590</v>
      </c>
      <c r="D367" s="34">
        <v>280</v>
      </c>
      <c r="E367" s="35">
        <v>290</v>
      </c>
      <c r="F367" s="5">
        <v>10</v>
      </c>
      <c r="G367" s="6">
        <v>35</v>
      </c>
    </row>
    <row r="368" spans="1:7" x14ac:dyDescent="0.25">
      <c r="A368" s="1">
        <f t="shared" ca="1" si="5"/>
        <v>12041</v>
      </c>
      <c r="B368" s="32">
        <v>7590</v>
      </c>
      <c r="C368" s="33">
        <v>7590</v>
      </c>
      <c r="D368" s="34">
        <v>280</v>
      </c>
      <c r="E368" s="35">
        <v>290</v>
      </c>
      <c r="F368" s="5">
        <v>0</v>
      </c>
      <c r="G368" s="6">
        <v>0</v>
      </c>
    </row>
    <row r="369" spans="1:7" x14ac:dyDescent="0.25">
      <c r="A369" s="1">
        <f t="shared" ca="1" si="5"/>
        <v>12042</v>
      </c>
      <c r="B369" s="32">
        <v>7590</v>
      </c>
      <c r="C369" s="33">
        <v>7590</v>
      </c>
      <c r="D369" s="34">
        <v>280</v>
      </c>
      <c r="E369" s="35">
        <v>290</v>
      </c>
      <c r="F369" s="5">
        <v>33</v>
      </c>
      <c r="G369" s="6">
        <v>46</v>
      </c>
    </row>
    <row r="370" spans="1:7" x14ac:dyDescent="0.25">
      <c r="A370" s="1">
        <f t="shared" ca="1" si="5"/>
        <v>12043</v>
      </c>
      <c r="B370" s="32">
        <v>7590</v>
      </c>
      <c r="C370" s="33">
        <v>7590</v>
      </c>
      <c r="D370" s="34">
        <v>270</v>
      </c>
      <c r="E370" s="35">
        <v>290</v>
      </c>
      <c r="F370" s="5">
        <v>63</v>
      </c>
      <c r="G370" s="6">
        <v>30</v>
      </c>
    </row>
    <row r="371" spans="1:7" x14ac:dyDescent="0.25">
      <c r="A371" s="1">
        <f t="shared" ca="1" si="5"/>
        <v>12044</v>
      </c>
      <c r="B371" s="32">
        <v>7590</v>
      </c>
      <c r="C371" s="33">
        <v>7590</v>
      </c>
      <c r="D371" s="34">
        <v>280</v>
      </c>
      <c r="E371" s="35">
        <v>280</v>
      </c>
      <c r="F371" s="5">
        <v>62</v>
      </c>
      <c r="G371" s="6">
        <v>104</v>
      </c>
    </row>
    <row r="372" spans="1:7" x14ac:dyDescent="0.25">
      <c r="A372" s="1">
        <f t="shared" ca="1" si="5"/>
        <v>12045</v>
      </c>
      <c r="B372" s="32">
        <v>7590</v>
      </c>
      <c r="C372" s="33">
        <v>7590</v>
      </c>
      <c r="D372" s="34">
        <v>270</v>
      </c>
      <c r="E372" s="35">
        <v>270</v>
      </c>
      <c r="F372" s="5">
        <v>100</v>
      </c>
      <c r="G372" s="6">
        <v>46</v>
      </c>
    </row>
    <row r="373" spans="1:7" x14ac:dyDescent="0.25">
      <c r="A373" s="1">
        <f t="shared" ca="1" si="5"/>
        <v>12046</v>
      </c>
      <c r="B373" s="32">
        <v>7590</v>
      </c>
      <c r="C373" s="33">
        <v>7590</v>
      </c>
      <c r="D373" s="34">
        <v>280</v>
      </c>
      <c r="E373" s="35">
        <v>285</v>
      </c>
      <c r="F373" s="5">
        <v>0</v>
      </c>
      <c r="G373" s="6">
        <v>30</v>
      </c>
    </row>
    <row r="374" spans="1:7" x14ac:dyDescent="0.25">
      <c r="A374" s="1">
        <f t="shared" ca="1" si="5"/>
        <v>12047</v>
      </c>
      <c r="B374" s="32">
        <v>7590</v>
      </c>
      <c r="C374" s="33">
        <v>7590</v>
      </c>
      <c r="D374" s="34">
        <v>280</v>
      </c>
      <c r="E374" s="35">
        <v>285</v>
      </c>
      <c r="F374" s="5">
        <v>15</v>
      </c>
      <c r="G374" s="6">
        <v>30</v>
      </c>
    </row>
    <row r="375" spans="1:7" x14ac:dyDescent="0.25">
      <c r="A375" s="1">
        <f t="shared" ca="1" si="5"/>
        <v>12048</v>
      </c>
      <c r="B375" s="32">
        <v>7590</v>
      </c>
      <c r="C375" s="33">
        <v>7590</v>
      </c>
      <c r="D375" s="34">
        <v>280</v>
      </c>
      <c r="E375" s="35">
        <v>285</v>
      </c>
      <c r="F375" s="5">
        <v>0</v>
      </c>
      <c r="G375" s="6">
        <v>0</v>
      </c>
    </row>
    <row r="376" spans="1:7" x14ac:dyDescent="0.25">
      <c r="A376" s="1">
        <f t="shared" ca="1" si="5"/>
        <v>12049</v>
      </c>
      <c r="B376" s="32">
        <v>7590</v>
      </c>
      <c r="C376" s="33">
        <v>7590</v>
      </c>
      <c r="D376" s="34">
        <v>280</v>
      </c>
      <c r="E376" s="35">
        <v>285</v>
      </c>
      <c r="F376" s="5">
        <v>0</v>
      </c>
      <c r="G376" s="6">
        <v>0</v>
      </c>
    </row>
    <row r="377" spans="1:7" x14ac:dyDescent="0.25">
      <c r="A377" s="1">
        <f t="shared" ca="1" si="5"/>
        <v>12050</v>
      </c>
      <c r="B377" s="32">
        <v>7590</v>
      </c>
      <c r="C377" s="33">
        <v>7590</v>
      </c>
      <c r="D377" s="34">
        <v>265</v>
      </c>
      <c r="E377" s="35">
        <v>270</v>
      </c>
      <c r="F377" s="5">
        <v>316</v>
      </c>
      <c r="G377" s="6">
        <v>346</v>
      </c>
    </row>
    <row r="378" spans="1:7" x14ac:dyDescent="0.25">
      <c r="A378" s="1">
        <f t="shared" ca="1" si="5"/>
        <v>12051</v>
      </c>
      <c r="B378" s="32">
        <v>7590</v>
      </c>
      <c r="C378" s="33">
        <v>7590</v>
      </c>
      <c r="D378" s="34">
        <v>265</v>
      </c>
      <c r="E378" s="35">
        <v>280</v>
      </c>
      <c r="F378" s="5">
        <v>20</v>
      </c>
      <c r="G378" s="6">
        <v>154</v>
      </c>
    </row>
    <row r="379" spans="1:7" x14ac:dyDescent="0.25">
      <c r="A379" s="1">
        <f t="shared" ca="1" si="5"/>
        <v>12052</v>
      </c>
      <c r="B379" s="32">
        <v>7590</v>
      </c>
      <c r="C379" s="33">
        <v>7590</v>
      </c>
      <c r="D379" s="34">
        <v>270</v>
      </c>
      <c r="E379" s="35">
        <v>275</v>
      </c>
      <c r="F379" s="5">
        <v>0</v>
      </c>
      <c r="G379" s="6">
        <v>0</v>
      </c>
    </row>
    <row r="380" spans="1:7" x14ac:dyDescent="0.25">
      <c r="A380" s="1">
        <f t="shared" ca="1" si="5"/>
        <v>12053</v>
      </c>
      <c r="B380" s="32">
        <v>7590</v>
      </c>
      <c r="C380" s="33">
        <v>7590</v>
      </c>
      <c r="D380" s="34">
        <v>275</v>
      </c>
      <c r="E380" s="35">
        <v>280</v>
      </c>
      <c r="F380" s="5">
        <v>0</v>
      </c>
      <c r="G380" s="6">
        <v>0</v>
      </c>
    </row>
    <row r="381" spans="1:7" x14ac:dyDescent="0.25">
      <c r="A381" s="1">
        <f t="shared" ca="1" si="5"/>
        <v>12054</v>
      </c>
      <c r="B381" s="32">
        <v>7590</v>
      </c>
      <c r="C381" s="33">
        <v>7590</v>
      </c>
      <c r="D381" s="34">
        <v>280</v>
      </c>
      <c r="E381" s="35">
        <v>290</v>
      </c>
      <c r="F381" s="5">
        <v>0</v>
      </c>
      <c r="G381" s="6">
        <v>0</v>
      </c>
    </row>
    <row r="382" spans="1:7" x14ac:dyDescent="0.25">
      <c r="A382" s="1" t="str">
        <f t="shared" ca="1" si="5"/>
        <v>Totaal</v>
      </c>
      <c r="B382" s="20">
        <f>IF(COUNT(B351:B381)&gt;0,AVERAGE(B351:B381)/10,"")</f>
        <v>758.9677419354839</v>
      </c>
      <c r="C382" s="21">
        <f>IF(COUNT(C351:C381)&gt;0,AVERAGE(C351:C381)/10,"")</f>
        <v>758.62903225806451</v>
      </c>
      <c r="D382" s="22">
        <f>IF(COUNT(D351:D381)&gt;0,AVERAGE(D351:D381)/10,"")</f>
        <v>28.016129032258068</v>
      </c>
      <c r="E382" s="23">
        <f>IF(COUNT(E351:E381)&gt;0,AVERAGE(E351:E381)/10,"")</f>
        <v>28.532258064516128</v>
      </c>
      <c r="F382" s="24">
        <f>SUM(F351:F381)/10</f>
        <v>102.2</v>
      </c>
      <c r="G382" s="25">
        <f>SUM(G351:G381)/10</f>
        <v>130.5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3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19320101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19320102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19320103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19320104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19320105</v>
      </c>
      <c r="C6" s="12">
        <v>1</v>
      </c>
      <c r="D6" s="17">
        <f t="shared" ca="1" si="0"/>
        <v>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19320106</v>
      </c>
      <c r="C7" s="12">
        <v>1</v>
      </c>
      <c r="D7" s="17">
        <f t="shared" ca="1" si="0"/>
        <v>30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19320107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19320108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19320109</v>
      </c>
      <c r="C10" s="12">
        <v>1</v>
      </c>
      <c r="D10" s="17">
        <f t="shared" ca="1" si="0"/>
        <v>0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19320110</v>
      </c>
      <c r="C11" s="12">
        <v>1</v>
      </c>
      <c r="D11" s="17">
        <f t="shared" ca="1" si="0"/>
        <v>0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19320111</v>
      </c>
      <c r="C12" s="12">
        <v>1</v>
      </c>
      <c r="D12" s="17">
        <f t="shared" ca="1" si="0"/>
        <v>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19320112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19320113</v>
      </c>
      <c r="C14" s="12">
        <v>1</v>
      </c>
      <c r="D14" s="17">
        <f t="shared" ca="1" si="0"/>
        <v>30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19320114</v>
      </c>
      <c r="C15" s="12">
        <v>1</v>
      </c>
      <c r="D15" s="17">
        <f t="shared" ca="1" si="0"/>
        <v>53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19320115</v>
      </c>
      <c r="C16" s="12">
        <v>1</v>
      </c>
      <c r="D16" s="17">
        <f t="shared" ca="1" si="0"/>
        <v>25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19320116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19320117</v>
      </c>
      <c r="C18" s="12">
        <v>1</v>
      </c>
      <c r="D18" s="17">
        <f t="shared" ca="1" si="0"/>
        <v>2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19320118</v>
      </c>
      <c r="C19" s="12">
        <v>1</v>
      </c>
      <c r="D19" s="17">
        <f t="shared" ca="1" si="0"/>
        <v>5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19320119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19320120</v>
      </c>
      <c r="C21" s="12">
        <v>1</v>
      </c>
      <c r="D21" s="17">
        <f t="shared" ca="1" si="0"/>
        <v>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19320121</v>
      </c>
      <c r="C22" s="12">
        <v>1</v>
      </c>
      <c r="D22" s="17">
        <f t="shared" ca="1" si="0"/>
        <v>0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19320122</v>
      </c>
      <c r="C23" s="12">
        <v>1</v>
      </c>
      <c r="D23" s="17">
        <f t="shared" ca="1" si="0"/>
        <v>126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19320123</v>
      </c>
      <c r="C24" s="12">
        <v>1</v>
      </c>
      <c r="D24" s="17">
        <f t="shared" ca="1" si="0"/>
        <v>282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19320124</v>
      </c>
      <c r="C25" s="12">
        <v>1</v>
      </c>
      <c r="D25" s="17">
        <f t="shared" ca="1" si="0"/>
        <v>54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19320125</v>
      </c>
      <c r="C26" s="12">
        <v>1</v>
      </c>
      <c r="D26" s="17">
        <f t="shared" ca="1" si="0"/>
        <v>8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19320126</v>
      </c>
      <c r="C27" s="12">
        <v>1</v>
      </c>
      <c r="D27" s="17">
        <f t="shared" ca="1" si="0"/>
        <v>47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19320127</v>
      </c>
      <c r="C28" s="12">
        <v>1</v>
      </c>
      <c r="D28" s="17">
        <f t="shared" ca="1" si="0"/>
        <v>45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19320128</v>
      </c>
      <c r="C29" s="12">
        <v>1</v>
      </c>
      <c r="D29" s="17">
        <f t="shared" ca="1" si="0"/>
        <v>49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19320129</v>
      </c>
      <c r="C30" s="12">
        <v>1</v>
      </c>
      <c r="D30" s="17">
        <f t="shared" ca="1" si="0"/>
        <v>8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19320130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19320131</v>
      </c>
      <c r="C32" s="12">
        <v>1</v>
      </c>
      <c r="D32" s="17">
        <f t="shared" ca="1" si="0"/>
        <v>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19320201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19320202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19320203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19320204</v>
      </c>
      <c r="C36" s="12">
        <v>1</v>
      </c>
      <c r="D36" s="17">
        <f t="shared" ca="1" si="0"/>
        <v>32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19320205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19320206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19320207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19320208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19320209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19320210</v>
      </c>
      <c r="C42" s="12">
        <v>1</v>
      </c>
      <c r="D42" s="17">
        <f t="shared" ca="1" si="0"/>
        <v>60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19320211</v>
      </c>
      <c r="C43" s="12">
        <v>1</v>
      </c>
      <c r="D43" s="17">
        <f t="shared" ca="1" si="0"/>
        <v>0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19320212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19320213</v>
      </c>
      <c r="C45" s="12">
        <v>1</v>
      </c>
      <c r="D45" s="17">
        <f t="shared" ca="1" si="0"/>
        <v>185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19320214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19320215</v>
      </c>
      <c r="C47" s="12">
        <v>1</v>
      </c>
      <c r="D47" s="17">
        <f t="shared" ca="1" si="0"/>
        <v>84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19320216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19320217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19320218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19320219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19320220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19320221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19320222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19320223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19320224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19320225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19320226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19320227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19320228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19320229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19320301</v>
      </c>
      <c r="C62" s="12">
        <v>1</v>
      </c>
      <c r="D62" s="17">
        <f t="shared" ca="1" si="0"/>
        <v>24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19320302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19320303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19320304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19320305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19320306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19320307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19320308</v>
      </c>
      <c r="C69" s="12">
        <v>1</v>
      </c>
      <c r="D69" s="17">
        <f t="shared" ca="1" si="2"/>
        <v>124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19320309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19320310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19320311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19320312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19320313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19320314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19320315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19320316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19320317</v>
      </c>
      <c r="C78" s="12">
        <v>1</v>
      </c>
      <c r="D78" s="17">
        <f t="shared" ca="1" si="2"/>
        <v>12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19320318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19320319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19320320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19320321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19320322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19320323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19320324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19320325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19320326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19320327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19320328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19320329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19320330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19320331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19320401</v>
      </c>
      <c r="C93" s="12">
        <v>1</v>
      </c>
      <c r="D93" s="17">
        <f t="shared" ca="1" si="2"/>
        <v>10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19320402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19320403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19320404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19320405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19320406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19320407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19320408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19320409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19320410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19320411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19320412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19320413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19320414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19320415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19320416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19320417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19320418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19320419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19320420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19320421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19320422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19320423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19320424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19320425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19320426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19320427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19320428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19320429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19320430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19320501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19320502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19320503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19320504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19320505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19320506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19320507</v>
      </c>
      <c r="C129" s="12">
        <v>1</v>
      </c>
      <c r="D129" s="17">
        <f t="shared" ca="1" si="2"/>
        <v>100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19320508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19320509</v>
      </c>
      <c r="C131" s="12">
        <v>1</v>
      </c>
      <c r="D131" s="17">
        <f t="shared" ca="1" si="4"/>
        <v>36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19320510</v>
      </c>
      <c r="C132" s="12">
        <v>1</v>
      </c>
      <c r="D132" s="17">
        <f t="shared" ca="1" si="4"/>
        <v>57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19320511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19320512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19320513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19320514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19320515</v>
      </c>
      <c r="C137" s="12">
        <v>1</v>
      </c>
      <c r="D137" s="17">
        <f t="shared" ca="1" si="4"/>
        <v>625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19320516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19320517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19320518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19320519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19320520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19320521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19320522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19320523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19320524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19320525</v>
      </c>
      <c r="C147" s="12">
        <v>1</v>
      </c>
      <c r="D147" s="17">
        <f t="shared" ca="1" si="4"/>
        <v>17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19320526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19320527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19320528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19320529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19320530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19320531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19320601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19320602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19320603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19320604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19320605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19320606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19320607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19320608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19320609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19320610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19320611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19320612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19320613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19320614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19320615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19320616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19320617</v>
      </c>
      <c r="C170" s="12">
        <v>1</v>
      </c>
      <c r="D170" s="17">
        <f t="shared" ca="1" si="4"/>
        <v>35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19320618</v>
      </c>
      <c r="C171" s="12">
        <v>1</v>
      </c>
      <c r="D171" s="17">
        <f t="shared" ca="1" si="4"/>
        <v>6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19320619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19320620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19320621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19320622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19320623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19320624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19320625</v>
      </c>
      <c r="C178" s="12">
        <v>1</v>
      </c>
      <c r="D178" s="17">
        <f t="shared" ca="1" si="4"/>
        <v>49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19320626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19320627</v>
      </c>
      <c r="C180" s="12">
        <v>1</v>
      </c>
      <c r="D180" s="17">
        <f t="shared" ca="1" si="4"/>
        <v>8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19320628</v>
      </c>
      <c r="C181" s="12">
        <v>1</v>
      </c>
      <c r="D181" s="17">
        <f t="shared" ca="1" si="4"/>
        <v>26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19320629</v>
      </c>
      <c r="C182" s="12">
        <v>1</v>
      </c>
      <c r="D182" s="17">
        <f t="shared" ca="1" si="4"/>
        <v>185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19320630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19320701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19320702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19320703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19320704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19320705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19320706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19320707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19320708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19320709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19320710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19320711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19320712</v>
      </c>
      <c r="C195" s="12">
        <v>1</v>
      </c>
      <c r="D195" s="17">
        <f t="shared" ca="1" si="6"/>
        <v>38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19320713</v>
      </c>
      <c r="C196" s="12">
        <v>1</v>
      </c>
      <c r="D196" s="17">
        <f t="shared" ca="1" si="6"/>
        <v>23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19320714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19320715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19320716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19320717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19320718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19320719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19320720</v>
      </c>
      <c r="C203" s="12">
        <v>1</v>
      </c>
      <c r="D203" s="17">
        <f t="shared" ca="1" si="6"/>
        <v>14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19320721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19320722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19320723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19320724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19320725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19320726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19320727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19320728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19320729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19320730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19320731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19320801</v>
      </c>
      <c r="C215" s="12">
        <v>1</v>
      </c>
      <c r="D215" s="17">
        <f t="shared" ca="1" si="6"/>
        <v>50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19320802</v>
      </c>
      <c r="C216" s="12">
        <v>1</v>
      </c>
      <c r="D216" s="17">
        <f t="shared" ca="1" si="6"/>
        <v>25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19320803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19320804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19320805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19320806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19320807</v>
      </c>
      <c r="C221" s="12">
        <v>1</v>
      </c>
      <c r="D221" s="17">
        <f t="shared" ca="1" si="6"/>
        <v>50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19320808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19320809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19320810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19320811</v>
      </c>
      <c r="C225" s="12">
        <v>1</v>
      </c>
      <c r="D225" s="17">
        <f t="shared" ca="1" si="6"/>
        <v>22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19320812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19320813</v>
      </c>
      <c r="C227" s="12">
        <v>1</v>
      </c>
      <c r="D227" s="17">
        <f t="shared" ca="1" si="6"/>
        <v>28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19320814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19320815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19320816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19320817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19320818</v>
      </c>
      <c r="C232" s="12">
        <v>1</v>
      </c>
      <c r="D232" s="17">
        <f t="shared" ca="1" si="6"/>
        <v>5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19320819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19320820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19320821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19320822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19320823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19320824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19320825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19320826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19320827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19320828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19320829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19320830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19320831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19320901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19320902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19320903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19320904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19320905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19320906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19320907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19320908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19320909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19320910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19320911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19320912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19320913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19320914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19320915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19320916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19320917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19320918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19320919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19320920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19320921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19320922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19320923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19320924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19320925</v>
      </c>
      <c r="C270" s="12">
        <v>1</v>
      </c>
      <c r="D270" s="17">
        <f t="shared" ca="1" si="8"/>
        <v>310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19320926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19320927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19320928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19320929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19320930</v>
      </c>
      <c r="C275" s="12">
        <v>1</v>
      </c>
      <c r="D275" s="17" t="str">
        <f t="shared" ca="1" si="8"/>
        <v>—</v>
      </c>
      <c r="E275" s="18">
        <f t="shared" ca="1" si="9"/>
        <v>7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19321001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19321002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19321003</v>
      </c>
      <c r="C278" s="12">
        <v>1</v>
      </c>
      <c r="D278" s="17">
        <f t="shared" ca="1" si="8"/>
        <v>40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19321004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19321005</v>
      </c>
      <c r="C280" s="12">
        <v>1</v>
      </c>
      <c r="D280" s="17">
        <f t="shared" ca="1" si="8"/>
        <v>96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19321006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19321007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19321008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19321009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19321010</v>
      </c>
      <c r="C285" s="12">
        <v>1</v>
      </c>
      <c r="D285" s="17">
        <f t="shared" ca="1" si="8"/>
        <v>67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19321011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19321012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19321013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19321014</v>
      </c>
      <c r="C289" s="12">
        <v>1</v>
      </c>
      <c r="D289" s="17">
        <f t="shared" ca="1" si="8"/>
        <v>66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19321015</v>
      </c>
      <c r="C290" s="12">
        <v>1</v>
      </c>
      <c r="D290" s="17">
        <f t="shared" ca="1" si="8"/>
        <v>250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19321016</v>
      </c>
      <c r="C291" s="12">
        <v>1</v>
      </c>
      <c r="D291" s="17">
        <f t="shared" ca="1" si="8"/>
        <v>360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19321017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19321018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19321019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19321020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19321021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19321022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19321023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19321024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19321025</v>
      </c>
      <c r="C300" s="12">
        <v>1</v>
      </c>
      <c r="D300" s="17">
        <f t="shared" ca="1" si="8"/>
        <v>33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19321026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19321027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19321028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19321029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19321030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19321031</v>
      </c>
      <c r="C306" s="12">
        <v>1</v>
      </c>
      <c r="D306" s="17">
        <f t="shared" ca="1" si="8"/>
        <v>60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19321101</v>
      </c>
      <c r="C307" s="12">
        <v>1</v>
      </c>
      <c r="D307" s="17">
        <f t="shared" ca="1" si="8"/>
        <v>900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19321102</v>
      </c>
      <c r="C308" s="12">
        <v>1</v>
      </c>
      <c r="D308" s="17">
        <f t="shared" ca="1" si="8"/>
        <v>430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19321103</v>
      </c>
      <c r="C309" s="12">
        <v>1</v>
      </c>
      <c r="D309" s="17">
        <f t="shared" ca="1" si="8"/>
        <v>300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19321104</v>
      </c>
      <c r="C310" s="12">
        <v>1</v>
      </c>
      <c r="D310" s="17">
        <f t="shared" ca="1" si="8"/>
        <v>30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19321105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19321106</v>
      </c>
      <c r="C312" s="12">
        <v>1</v>
      </c>
      <c r="D312" s="17">
        <f t="shared" ca="1" si="8"/>
        <v>50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19321107</v>
      </c>
      <c r="C313" s="12">
        <v>1</v>
      </c>
      <c r="D313" s="17">
        <f t="shared" ca="1" si="8"/>
        <v>0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19321108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19321109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19321110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19321111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19321112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19321113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19321114</v>
      </c>
      <c r="C320" s="12">
        <v>1</v>
      </c>
      <c r="D320" s="17">
        <f t="shared" ca="1" si="8"/>
        <v>110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19321115</v>
      </c>
      <c r="C321" s="12">
        <v>1</v>
      </c>
      <c r="D321" s="17">
        <f t="shared" ca="1" si="8"/>
        <v>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19321116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19321117</v>
      </c>
      <c r="C323" s="12">
        <v>1</v>
      </c>
      <c r="D323" s="17">
        <f t="shared" ca="1" si="10"/>
        <v>40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19321118</v>
      </c>
      <c r="C324" s="12">
        <v>1</v>
      </c>
      <c r="D324" s="17">
        <f t="shared" ca="1" si="10"/>
        <v>106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19321119</v>
      </c>
      <c r="C325" s="12">
        <v>1</v>
      </c>
      <c r="D325" s="17">
        <f t="shared" ca="1" si="10"/>
        <v>0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19321120</v>
      </c>
      <c r="C326" s="12">
        <v>1</v>
      </c>
      <c r="D326" s="17">
        <f t="shared" ca="1" si="10"/>
        <v>60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19321121</v>
      </c>
      <c r="C327" s="12">
        <v>1</v>
      </c>
      <c r="D327" s="17">
        <f t="shared" ca="1" si="10"/>
        <v>0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19321122</v>
      </c>
      <c r="C328" s="12">
        <v>1</v>
      </c>
      <c r="D328" s="17">
        <f t="shared" ca="1" si="10"/>
        <v>50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19321123</v>
      </c>
      <c r="C329" s="12">
        <v>1</v>
      </c>
      <c r="D329" s="17">
        <f t="shared" ca="1" si="10"/>
        <v>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19321124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19321125</v>
      </c>
      <c r="C331" s="12">
        <v>1</v>
      </c>
      <c r="D331" s="17">
        <f t="shared" ca="1" si="10"/>
        <v>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19321126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19321127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19321128</v>
      </c>
      <c r="C334" s="12">
        <v>1</v>
      </c>
      <c r="D334" s="17">
        <f t="shared" ca="1" si="10"/>
        <v>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19321129</v>
      </c>
      <c r="C335" s="12">
        <v>1</v>
      </c>
      <c r="D335" s="17">
        <f t="shared" ca="1" si="10"/>
        <v>360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19321130</v>
      </c>
      <c r="C336" s="12">
        <v>1</v>
      </c>
      <c r="D336" s="17">
        <f t="shared" ca="1" si="10"/>
        <v>20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19321201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19321202</v>
      </c>
      <c r="C338" s="12">
        <v>1</v>
      </c>
      <c r="D338" s="17">
        <f t="shared" ca="1" si="10"/>
        <v>0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19321203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19321204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19321205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19321206</v>
      </c>
      <c r="C342" s="12">
        <v>1</v>
      </c>
      <c r="D342" s="17">
        <f t="shared" ca="1" si="10"/>
        <v>40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19321207</v>
      </c>
      <c r="C343" s="12">
        <v>1</v>
      </c>
      <c r="D343" s="17">
        <f t="shared" ca="1" si="10"/>
        <v>190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19321208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19321209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19321210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19321211</v>
      </c>
      <c r="C347" s="12">
        <v>1</v>
      </c>
      <c r="D347" s="17">
        <f t="shared" ca="1" si="10"/>
        <v>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19321212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19321213</v>
      </c>
      <c r="C349" s="12">
        <v>1</v>
      </c>
      <c r="D349" s="17">
        <f t="shared" ca="1" si="10"/>
        <v>30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19321214</v>
      </c>
      <c r="C350" s="12">
        <v>1</v>
      </c>
      <c r="D350" s="17">
        <f t="shared" ca="1" si="10"/>
        <v>30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19321215</v>
      </c>
      <c r="C351" s="12">
        <v>1</v>
      </c>
      <c r="D351" s="17">
        <f t="shared" ca="1" si="10"/>
        <v>80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19321216</v>
      </c>
      <c r="C352" s="12">
        <v>1</v>
      </c>
      <c r="D352" s="17">
        <f t="shared" ca="1" si="10"/>
        <v>33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19321217</v>
      </c>
      <c r="C353" s="12">
        <v>1</v>
      </c>
      <c r="D353" s="17">
        <f t="shared" ca="1" si="10"/>
        <v>10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19321218</v>
      </c>
      <c r="C354" s="12">
        <v>1</v>
      </c>
      <c r="D354" s="17">
        <f t="shared" ca="1" si="10"/>
        <v>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19321219</v>
      </c>
      <c r="C355" s="12">
        <v>1</v>
      </c>
      <c r="D355" s="17">
        <f t="shared" ca="1" si="10"/>
        <v>33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19321220</v>
      </c>
      <c r="C356" s="12">
        <v>1</v>
      </c>
      <c r="D356" s="17">
        <f t="shared" ca="1" si="10"/>
        <v>63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19321221</v>
      </c>
      <c r="C357" s="12">
        <v>1</v>
      </c>
      <c r="D357" s="17">
        <f t="shared" ca="1" si="10"/>
        <v>62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19321222</v>
      </c>
      <c r="C358" s="12">
        <v>1</v>
      </c>
      <c r="D358" s="17">
        <f t="shared" ca="1" si="10"/>
        <v>100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19321223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19321224</v>
      </c>
      <c r="C360" s="12">
        <v>1</v>
      </c>
      <c r="D360" s="17">
        <f t="shared" ca="1" si="10"/>
        <v>15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19321225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19321226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19321227</v>
      </c>
      <c r="C363" s="12">
        <v>1</v>
      </c>
      <c r="D363" s="17">
        <f t="shared" ca="1" si="10"/>
        <v>316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19321228</v>
      </c>
      <c r="C364" s="12">
        <v>1</v>
      </c>
      <c r="D364" s="17">
        <f t="shared" ca="1" si="10"/>
        <v>20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19321229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19321230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44</v>
      </c>
      <c r="B367" t="str">
        <f ca="1">TEXT(DATE(YEAR(Invoer!$A$5),1,1)+MOD(ROWS(B$2:B367)-1,DATE(YEAR(Invoer!$A$5),12,31)-DATE(YEAR(Invoer!$A$5),1,1)+1),"jjjjmmdd")</f>
        <v>19321231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19320101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19320102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19320103</v>
      </c>
      <c r="C370" s="12">
        <v>1</v>
      </c>
      <c r="D370" s="17">
        <f t="shared" ca="1" si="10"/>
        <v>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19320104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19320105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19320106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19320107</v>
      </c>
      <c r="C374" s="12">
        <v>1</v>
      </c>
      <c r="D374" s="17">
        <f t="shared" ca="1" si="10"/>
        <v>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19320108</v>
      </c>
      <c r="C375" s="12">
        <v>1</v>
      </c>
      <c r="D375" s="17">
        <f t="shared" ca="1" si="10"/>
        <v>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19320109</v>
      </c>
      <c r="C376" s="12">
        <v>1</v>
      </c>
      <c r="D376" s="17">
        <f t="shared" ca="1" si="10"/>
        <v>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19320110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19320111</v>
      </c>
      <c r="C378" s="12">
        <v>1</v>
      </c>
      <c r="D378" s="17">
        <f t="shared" ca="1" si="10"/>
        <v>25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19320112</v>
      </c>
      <c r="C379" s="12">
        <v>1</v>
      </c>
      <c r="D379" s="17">
        <f t="shared" ca="1" si="10"/>
        <v>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19320113</v>
      </c>
      <c r="C380" s="12">
        <v>1</v>
      </c>
      <c r="D380" s="17">
        <f t="shared" ca="1" si="10"/>
        <v>28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19320114</v>
      </c>
      <c r="C381" s="12">
        <v>1</v>
      </c>
      <c r="D381" s="17">
        <f t="shared" ca="1" si="10"/>
        <v>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19320115</v>
      </c>
      <c r="C382" s="12">
        <v>1</v>
      </c>
      <c r="D382" s="17">
        <f t="shared" ca="1" si="10"/>
        <v>0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19320116</v>
      </c>
      <c r="C383" s="12">
        <v>1</v>
      </c>
      <c r="D383" s="17">
        <f t="shared" ca="1" si="10"/>
        <v>0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19320117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19320118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19320119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19320120</v>
      </c>
      <c r="C387" s="12">
        <v>1</v>
      </c>
      <c r="D387" s="17">
        <f t="shared" ca="1" si="12"/>
        <v>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19320121</v>
      </c>
      <c r="C388" s="12">
        <v>1</v>
      </c>
      <c r="D388" s="17">
        <f t="shared" ca="1" si="12"/>
        <v>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19320122</v>
      </c>
      <c r="C389" s="12">
        <v>1</v>
      </c>
      <c r="D389" s="17">
        <f t="shared" ca="1" si="12"/>
        <v>80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19320123</v>
      </c>
      <c r="C390" s="12">
        <v>1</v>
      </c>
      <c r="D390" s="17">
        <f t="shared" ca="1" si="12"/>
        <v>275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19320124</v>
      </c>
      <c r="C391" s="12">
        <v>1</v>
      </c>
      <c r="D391" s="17">
        <f t="shared" ca="1" si="12"/>
        <v>137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19320125</v>
      </c>
      <c r="C392" s="12">
        <v>1</v>
      </c>
      <c r="D392" s="17">
        <f t="shared" ca="1" si="12"/>
        <v>50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19320126</v>
      </c>
      <c r="C393" s="12">
        <v>1</v>
      </c>
      <c r="D393" s="17">
        <f t="shared" ca="1" si="12"/>
        <v>40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19320127</v>
      </c>
      <c r="C394" s="12">
        <v>1</v>
      </c>
      <c r="D394" s="17">
        <f t="shared" ca="1" si="12"/>
        <v>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19320128</v>
      </c>
      <c r="C395" s="12">
        <v>1</v>
      </c>
      <c r="D395" s="17">
        <f t="shared" ca="1" si="12"/>
        <v>60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19320129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19320130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19320131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19320201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19320202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19320203</v>
      </c>
      <c r="C401" s="12">
        <v>1</v>
      </c>
      <c r="D401" s="17">
        <f t="shared" ca="1" si="12"/>
        <v>23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19320204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19320205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19320206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19320207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19320208</v>
      </c>
      <c r="C406" s="12">
        <v>1</v>
      </c>
      <c r="D406" s="17">
        <f t="shared" ca="1" si="12"/>
        <v>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19320209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19320210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19320211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19320212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19320213</v>
      </c>
      <c r="C411" s="12">
        <v>1</v>
      </c>
      <c r="D411" s="17">
        <f t="shared" ca="1" si="12"/>
        <v>25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19320214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19320215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19320216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19320217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19320218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19320219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19320220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19320221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19320222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19320223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19320224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19320225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19320226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19320227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19320228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19320229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19320301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19320302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19320303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19320304</v>
      </c>
      <c r="C431" s="12">
        <v>1</v>
      </c>
      <c r="D431" s="17">
        <f t="shared" ca="1" si="12"/>
        <v>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19320305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19320306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19320307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19320308</v>
      </c>
      <c r="C435" s="12">
        <v>1</v>
      </c>
      <c r="D435" s="17">
        <f t="shared" ca="1" si="12"/>
        <v>150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19320309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19320310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19320311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19320312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19320313</v>
      </c>
      <c r="C440" s="12">
        <v>1</v>
      </c>
      <c r="D440" s="17">
        <f t="shared" ca="1" si="12"/>
        <v>14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19320314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19320315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19320316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19320317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19320318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19320319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19320320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19320321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19320322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19320323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19320324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19320325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19320326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19320327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19320328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19320329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19320330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19320331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19320401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19320402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19320403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19320404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19320405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19320406</v>
      </c>
      <c r="C464" s="12">
        <v>1</v>
      </c>
      <c r="D464" s="17">
        <f t="shared" ca="1" si="14"/>
        <v>10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19320407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19320408</v>
      </c>
      <c r="C466" s="12">
        <v>1</v>
      </c>
      <c r="D466" s="17">
        <f t="shared" ca="1" si="14"/>
        <v>15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19320409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19320410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19320411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19320412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19320413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19320414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19320415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19320416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19320417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19320418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19320419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19320420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19320421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19320422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19320423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19320424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19320425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19320426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19320427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19320428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19320429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19320430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19320501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19320502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19320503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19320504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19320505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19320506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19320507</v>
      </c>
      <c r="C495" s="12">
        <v>1</v>
      </c>
      <c r="D495" s="17">
        <f t="shared" ca="1" si="14"/>
        <v>147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19320508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19320509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19320510</v>
      </c>
      <c r="C498" s="12">
        <v>1</v>
      </c>
      <c r="D498" s="17">
        <f t="shared" ca="1" si="14"/>
        <v>1680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19320511</v>
      </c>
      <c r="C499" s="12">
        <v>1</v>
      </c>
      <c r="D499" s="17">
        <f t="shared" ca="1" si="14"/>
        <v>90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19320512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19320513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19320514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19320515</v>
      </c>
      <c r="C503" s="12">
        <v>1</v>
      </c>
      <c r="D503" s="17">
        <f t="shared" ca="1" si="14"/>
        <v>555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19320516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19320517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19320518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19320519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19320520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19320521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19320522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19320523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19320524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19320525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19320526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19320527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19320528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19320529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19320530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19320531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19320601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19320602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19320603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19320604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19320605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19320606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19320607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19320608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19320609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19320610</v>
      </c>
      <c r="C529" s="12">
        <v>1</v>
      </c>
      <c r="D529" s="17">
        <f t="shared" ca="1" si="16"/>
        <v>40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19320611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19320612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19320613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19320614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19320615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19320616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19320617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19320618</v>
      </c>
      <c r="C537" s="12">
        <v>1</v>
      </c>
      <c r="D537" s="17">
        <f t="shared" ca="1" si="16"/>
        <v>10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19320619</v>
      </c>
      <c r="C538" s="12">
        <v>1</v>
      </c>
      <c r="D538" s="17">
        <f t="shared" ca="1" si="16"/>
        <v>20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19320620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19320621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19320622</v>
      </c>
      <c r="C541" s="12">
        <v>1</v>
      </c>
      <c r="D541" s="17">
        <f t="shared" ca="1" si="16"/>
        <v>33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19320623</v>
      </c>
      <c r="C542" s="12">
        <v>1</v>
      </c>
      <c r="D542" s="17">
        <f t="shared" ca="1" si="16"/>
        <v>10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19320624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19320625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19320626</v>
      </c>
      <c r="C545" s="12">
        <v>1</v>
      </c>
      <c r="D545" s="17">
        <f t="shared" ca="1" si="16"/>
        <v>80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19320627</v>
      </c>
      <c r="C546" s="12">
        <v>1</v>
      </c>
      <c r="D546" s="17">
        <f t="shared" ca="1" si="16"/>
        <v>13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19320628</v>
      </c>
      <c r="C547" s="12">
        <v>1</v>
      </c>
      <c r="D547" s="17">
        <f t="shared" ca="1" si="16"/>
        <v>136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19320629</v>
      </c>
      <c r="C548" s="12">
        <v>1</v>
      </c>
      <c r="D548" s="17">
        <f t="shared" ca="1" si="16"/>
        <v>171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19320630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19320701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19320702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19320703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19320704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19320705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19320706</v>
      </c>
      <c r="C555" s="12">
        <v>1</v>
      </c>
      <c r="D555" s="17">
        <f t="shared" ca="1" si="16"/>
        <v>34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19320707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19320708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19320709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19320710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19320711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19320712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19320713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19320714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19320715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19320716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19320717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19320718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19320719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19320720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19320721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19320722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19320723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19320724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19320725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19320726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19320727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19320728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19320729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19320730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19320731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19320801</v>
      </c>
      <c r="C581" s="12">
        <v>1</v>
      </c>
      <c r="D581" s="17">
        <f t="shared" ca="1" si="18"/>
        <v>70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19320802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19320803</v>
      </c>
      <c r="C583" s="12">
        <v>1</v>
      </c>
      <c r="D583" s="17">
        <f t="shared" ca="1" si="18"/>
        <v>50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19320804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19320805</v>
      </c>
      <c r="C585" s="12">
        <v>1</v>
      </c>
      <c r="D585" s="17">
        <f t="shared" ca="1" si="18"/>
        <v>15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19320806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19320807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19320808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19320809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19320810</v>
      </c>
      <c r="C590" s="12">
        <v>1</v>
      </c>
      <c r="D590" s="17">
        <f t="shared" ca="1" si="18"/>
        <v>26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19320811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19320812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19320813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19320814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19320815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19320816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19320817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19320818</v>
      </c>
      <c r="C598" s="12">
        <v>1</v>
      </c>
      <c r="D598" s="17">
        <f t="shared" ca="1" si="18"/>
        <v>12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19320819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19320820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19320821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19320822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19320823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19320824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19320825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19320826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19320827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19320828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19320829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19320830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19320831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19320901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19320902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19320903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19320904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19320905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19320906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19320907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19320908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19320909</v>
      </c>
      <c r="C620" s="12">
        <v>1</v>
      </c>
      <c r="D620" s="17">
        <f t="shared" ca="1" si="18"/>
        <v>305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19320910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19320911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19320912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19320913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19320914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19320915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19320916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19320917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19320918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19320919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19320920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19320921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19320922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19320923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19320924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19320925</v>
      </c>
      <c r="C636" s="12">
        <v>1</v>
      </c>
      <c r="D636" s="17">
        <f t="shared" ca="1" si="18"/>
        <v>173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19320926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19320927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19320928</v>
      </c>
      <c r="C639" s="12">
        <v>1</v>
      </c>
      <c r="D639" s="17">
        <f t="shared" ca="1" si="18"/>
        <v>5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19320929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19320930</v>
      </c>
      <c r="C641" s="12">
        <v>1</v>
      </c>
      <c r="D641" s="17">
        <f t="shared" ca="1" si="18"/>
        <v>18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19321001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90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19321002</v>
      </c>
      <c r="C643" s="12">
        <v>1</v>
      </c>
      <c r="D643" s="17">
        <f t="shared" ca="1" si="20"/>
        <v>160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19321003</v>
      </c>
      <c r="C644" s="12">
        <v>1</v>
      </c>
      <c r="D644" s="17">
        <f t="shared" ca="1" si="20"/>
        <v>30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19321004</v>
      </c>
      <c r="C645" s="12">
        <v>1</v>
      </c>
      <c r="D645" s="17">
        <f t="shared" ca="1" si="20"/>
        <v>90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19321005</v>
      </c>
      <c r="C646" s="12">
        <v>1</v>
      </c>
      <c r="D646" s="17">
        <f t="shared" ca="1" si="20"/>
        <v>240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19321006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19321007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19321008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19321009</v>
      </c>
      <c r="C650" s="12">
        <v>1</v>
      </c>
      <c r="D650" s="17">
        <f t="shared" ca="1" si="20"/>
        <v>4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19321010</v>
      </c>
      <c r="C651" s="12">
        <v>1</v>
      </c>
      <c r="D651" s="17">
        <f t="shared" ca="1" si="20"/>
        <v>120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19321011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19321012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19321013</v>
      </c>
      <c r="C654" s="12">
        <v>1</v>
      </c>
      <c r="D654" s="17">
        <f t="shared" ca="1" si="20"/>
        <v>10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19321014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19321015</v>
      </c>
      <c r="C656" s="12">
        <v>1</v>
      </c>
      <c r="D656" s="17">
        <f t="shared" ca="1" si="20"/>
        <v>396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19321016</v>
      </c>
      <c r="C657" s="12">
        <v>1</v>
      </c>
      <c r="D657" s="17">
        <f t="shared" ca="1" si="20"/>
        <v>185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19321017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19321018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19321019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19321020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19321021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19321022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19321023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19321024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19321025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19321026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19321027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19321028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19321029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19321030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19321031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19321101</v>
      </c>
      <c r="C673" s="12">
        <v>1</v>
      </c>
      <c r="D673" s="17">
        <f t="shared" ca="1" si="20"/>
        <v>726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19321102</v>
      </c>
      <c r="C674" s="12">
        <v>1</v>
      </c>
      <c r="D674" s="17">
        <f t="shared" ca="1" si="20"/>
        <v>1030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19321103</v>
      </c>
      <c r="C675" s="12">
        <v>1</v>
      </c>
      <c r="D675" s="17">
        <f t="shared" ca="1" si="20"/>
        <v>236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19321104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19321105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19321106</v>
      </c>
      <c r="C678" s="12">
        <v>1</v>
      </c>
      <c r="D678" s="17">
        <f t="shared" ca="1" si="20"/>
        <v>66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19321107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19321108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19321109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19321110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19321111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19321112</v>
      </c>
      <c r="C684" s="12">
        <v>1</v>
      </c>
      <c r="D684" s="17">
        <f t="shared" ca="1" si="20"/>
        <v>0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19321113</v>
      </c>
      <c r="C685" s="12">
        <v>1</v>
      </c>
      <c r="D685" s="17">
        <f t="shared" ca="1" si="20"/>
        <v>63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19321114</v>
      </c>
      <c r="C686" s="12">
        <v>1</v>
      </c>
      <c r="D686" s="17">
        <f t="shared" ca="1" si="20"/>
        <v>16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19321115</v>
      </c>
      <c r="C687" s="12">
        <v>1</v>
      </c>
      <c r="D687" s="17">
        <f t="shared" ca="1" si="20"/>
        <v>0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19321116</v>
      </c>
      <c r="C688" s="12">
        <v>1</v>
      </c>
      <c r="D688" s="17">
        <f t="shared" ca="1" si="20"/>
        <v>0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19321117</v>
      </c>
      <c r="C689" s="12">
        <v>1</v>
      </c>
      <c r="D689" s="17">
        <f t="shared" ca="1" si="20"/>
        <v>40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19321118</v>
      </c>
      <c r="C690" s="12">
        <v>1</v>
      </c>
      <c r="D690" s="17">
        <f t="shared" ca="1" si="20"/>
        <v>30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19321119</v>
      </c>
      <c r="C691" s="12">
        <v>1</v>
      </c>
      <c r="D691" s="17">
        <f t="shared" ca="1" si="20"/>
        <v>50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19321120</v>
      </c>
      <c r="C692" s="12">
        <v>1</v>
      </c>
      <c r="D692" s="17">
        <f t="shared" ca="1" si="20"/>
        <v>10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19321121</v>
      </c>
      <c r="C693" s="12">
        <v>1</v>
      </c>
      <c r="D693" s="17">
        <f t="shared" ca="1" si="20"/>
        <v>26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19321122</v>
      </c>
      <c r="C694" s="12">
        <v>1</v>
      </c>
      <c r="D694" s="17">
        <f t="shared" ca="1" si="20"/>
        <v>56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19321123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19321124</v>
      </c>
      <c r="C696" s="12">
        <v>1</v>
      </c>
      <c r="D696" s="17">
        <f t="shared" ca="1" si="20"/>
        <v>0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19321125</v>
      </c>
      <c r="C697" s="12">
        <v>1</v>
      </c>
      <c r="D697" s="17">
        <f t="shared" ca="1" si="20"/>
        <v>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19321126</v>
      </c>
      <c r="C698" s="12">
        <v>1</v>
      </c>
      <c r="D698" s="17">
        <f t="shared" ca="1" si="20"/>
        <v>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19321127</v>
      </c>
      <c r="C699" s="12">
        <v>1</v>
      </c>
      <c r="D699" s="17">
        <f t="shared" ca="1" si="20"/>
        <v>12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19321128</v>
      </c>
      <c r="C700" s="12">
        <v>1</v>
      </c>
      <c r="D700" s="17">
        <f t="shared" ca="1" si="20"/>
        <v>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19321129</v>
      </c>
      <c r="C701" s="12">
        <v>1</v>
      </c>
      <c r="D701" s="17">
        <f t="shared" ca="1" si="20"/>
        <v>425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19321130</v>
      </c>
      <c r="C702" s="12">
        <v>1</v>
      </c>
      <c r="D702" s="17">
        <f t="shared" ca="1" si="20"/>
        <v>30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19321201</v>
      </c>
      <c r="C703" s="12">
        <v>1</v>
      </c>
      <c r="D703" s="17">
        <f t="shared" ca="1" si="20"/>
        <v>10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19321202</v>
      </c>
      <c r="C704" s="12">
        <v>1</v>
      </c>
      <c r="D704" s="17">
        <f t="shared" ca="1" si="20"/>
        <v>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19321203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19321204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19321205</v>
      </c>
      <c r="C707" s="12">
        <v>1</v>
      </c>
      <c r="D707" s="17">
        <f t="shared" ca="1" si="22"/>
        <v>14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19321206</v>
      </c>
      <c r="C708" s="12">
        <v>1</v>
      </c>
      <c r="D708" s="17">
        <f t="shared" ca="1" si="22"/>
        <v>81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19321207</v>
      </c>
      <c r="C709" s="12">
        <v>1</v>
      </c>
      <c r="D709" s="17">
        <f t="shared" ca="1" si="22"/>
        <v>271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19321208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19321209</v>
      </c>
      <c r="C711" s="12">
        <v>1</v>
      </c>
      <c r="D711" s="17">
        <f t="shared" ca="1" si="22"/>
        <v>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19321210</v>
      </c>
      <c r="C712" s="12">
        <v>1</v>
      </c>
      <c r="D712" s="17">
        <f t="shared" ca="1" si="22"/>
        <v>9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19321211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19321212</v>
      </c>
      <c r="C714" s="12">
        <v>1</v>
      </c>
      <c r="D714" s="17">
        <f t="shared" ca="1" si="22"/>
        <v>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19321213</v>
      </c>
      <c r="C715" s="12">
        <v>1</v>
      </c>
      <c r="D715" s="17">
        <f t="shared" ca="1" si="22"/>
        <v>43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19321214</v>
      </c>
      <c r="C716" s="12">
        <v>1</v>
      </c>
      <c r="D716" s="17">
        <f t="shared" ca="1" si="22"/>
        <v>56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19321215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19321216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19321217</v>
      </c>
      <c r="C719" s="12">
        <v>1</v>
      </c>
      <c r="D719" s="17">
        <f t="shared" ca="1" si="22"/>
        <v>35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19321218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19321219</v>
      </c>
      <c r="C721" s="12">
        <v>1</v>
      </c>
      <c r="D721" s="17">
        <f t="shared" ca="1" si="22"/>
        <v>46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19321220</v>
      </c>
      <c r="C722" s="12">
        <v>1</v>
      </c>
      <c r="D722" s="17">
        <f t="shared" ca="1" si="22"/>
        <v>30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19321221</v>
      </c>
      <c r="C723" s="12">
        <v>1</v>
      </c>
      <c r="D723" s="17">
        <f t="shared" ca="1" si="22"/>
        <v>104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19321222</v>
      </c>
      <c r="C724" s="12">
        <v>1</v>
      </c>
      <c r="D724" s="17">
        <f t="shared" ca="1" si="22"/>
        <v>46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19321223</v>
      </c>
      <c r="C725" s="12">
        <v>1</v>
      </c>
      <c r="D725" s="17">
        <f t="shared" ca="1" si="22"/>
        <v>30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19321224</v>
      </c>
      <c r="C726" s="12">
        <v>1</v>
      </c>
      <c r="D726" s="17">
        <f t="shared" ca="1" si="22"/>
        <v>30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19321225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19321226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19321227</v>
      </c>
      <c r="C729" s="12">
        <v>1</v>
      </c>
      <c r="D729" s="17">
        <f t="shared" ca="1" si="22"/>
        <v>346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19321228</v>
      </c>
      <c r="C730" s="12">
        <v>1</v>
      </c>
      <c r="D730" s="17">
        <f t="shared" ca="1" si="22"/>
        <v>154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19321229</v>
      </c>
      <c r="C731" s="12">
        <v>1</v>
      </c>
      <c r="D731" s="17">
        <f t="shared" ca="1" si="22"/>
        <v>0</v>
      </c>
      <c r="E731" s="18">
        <f t="shared" ca="1" si="23"/>
        <v>0</v>
      </c>
    </row>
    <row r="732" spans="1:5" x14ac:dyDescent="0.25">
      <c r="A732" s="11">
        <f ca="1">INDEX(Stations,INT((ROWS(A$2:A732)-1)/(DATE(YEAR(Invoer!$A$5),12,31)-DATE(YEAR(Invoer!$A$5),1,1)+1))+2,1)</f>
        <v>42</v>
      </c>
      <c r="B732" t="str">
        <f ca="1">TEXT(DATE(YEAR(Invoer!$A$5),1,1)+MOD(ROWS(B$2:B732)-1,DATE(YEAR(Invoer!$A$5),12,31)-DATE(YEAR(Invoer!$A$5),1,1)+1),"jjjjmmdd")</f>
        <v>19321230</v>
      </c>
      <c r="C732" s="12">
        <v>1</v>
      </c>
      <c r="D732" s="17">
        <f t="shared" ref="D732:D733" ca="1" si="24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"—",VLOOKUP(DATEVALUE(LEFT(B732,4)&amp;"-"&amp;MID(B732,5,2)&amp;"-"&amp;RIGHT(B732,2)),Data,MATCH(VLOOKUP(A732,Stations,2,FALSE()),OFFSET(Data,1,0,1),0),FALSE()))</f>
        <v>0</v>
      </c>
      <c r="E732" s="18">
        <f t="shared" ref="E732:E733" ca="1" si="25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Lacking,IF(ISNA(MATCH(DATEVALUE(LEFT(B732,4)&amp;"-"&amp;MID(B732,5,2)&amp;"-"&amp;RIGHT(B732,2)),OFFSET(Catalogus,0,0,,1),0)),Ok,VLOOKUP(DATEVALUE(LEFT(B732,4)&amp;"-"&amp;MID(B732,5,2)&amp;"-"&amp;RIGHT(B732,2)),Catalogus,MATCH(VLOOKUP(A732,Stations,2,FALSE()),OFFSET(Catalogus,1,0,1),0),FALSE())))</f>
        <v>0</v>
      </c>
    </row>
    <row r="733" spans="1:5" x14ac:dyDescent="0.25">
      <c r="A733" s="11">
        <f ca="1">INDEX(Stations,INT((ROWS(A$2:A733)-1)/(DATE(YEAR(Invoer!$A$5),12,31)-DATE(YEAR(Invoer!$A$5),1,1)+1))+2,1)</f>
        <v>42</v>
      </c>
      <c r="B733" t="str">
        <f ca="1">TEXT(DATE(YEAR(Invoer!$A$5),1,1)+MOD(ROWS(B$2:B733)-1,DATE(YEAR(Invoer!$A$5),12,31)-DATE(YEAR(Invoer!$A$5),1,1)+1),"jjjjmmdd")</f>
        <v>19321231</v>
      </c>
      <c r="C733" s="12">
        <v>1</v>
      </c>
      <c r="D733" s="17">
        <f t="shared" ca="1" si="24"/>
        <v>0</v>
      </c>
      <c r="E733" s="18">
        <f t="shared" ca="1" si="2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3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19320101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758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28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19320101</v>
      </c>
      <c r="C3" s="26" t="str">
        <f>INDEX(Data,2,2+MOD(ROWS(C$2:C3)-1,2))</f>
        <v>15.00</v>
      </c>
      <c r="D3" s="39">
        <f t="shared" ca="1" si="1"/>
        <v>755.5</v>
      </c>
      <c r="E3" s="31">
        <f t="shared" ca="1" si="2"/>
        <v>0</v>
      </c>
      <c r="F3" s="40">
        <f t="shared" ca="1" si="3"/>
        <v>29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19320102</v>
      </c>
      <c r="C4" s="26" t="str">
        <f>INDEX(Data,2,2+MOD(ROWS(C$2:C4)-1,2))</f>
        <v>08.00</v>
      </c>
      <c r="D4" s="39">
        <f t="shared" ca="1" si="1"/>
        <v>756</v>
      </c>
      <c r="E4" s="31">
        <f t="shared" ca="1" si="2"/>
        <v>0</v>
      </c>
      <c r="F4" s="40">
        <f t="shared" ca="1" si="3"/>
        <v>27.5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19320102</v>
      </c>
      <c r="C5" s="26" t="str">
        <f>INDEX(Data,2,2+MOD(ROWS(C$2:C5)-1,2))</f>
        <v>15.00</v>
      </c>
      <c r="D5" s="39">
        <f t="shared" ca="1" si="1"/>
        <v>755</v>
      </c>
      <c r="E5" s="31">
        <f t="shared" ca="1" si="2"/>
        <v>0</v>
      </c>
      <c r="F5" s="40">
        <f t="shared" ca="1" si="3"/>
        <v>30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19320103</v>
      </c>
      <c r="C6" s="26" t="str">
        <f>INDEX(Data,2,2+MOD(ROWS(C$2:C6)-1,2))</f>
        <v>08.00</v>
      </c>
      <c r="D6" s="39">
        <f t="shared" ca="1" si="1"/>
        <v>757.5</v>
      </c>
      <c r="E6" s="31">
        <f t="shared" ca="1" si="2"/>
        <v>0</v>
      </c>
      <c r="F6" s="40">
        <f t="shared" ca="1" si="3"/>
        <v>28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19320103</v>
      </c>
      <c r="C7" s="26" t="str">
        <f>INDEX(Data,2,2+MOD(ROWS(C$2:C7)-1,2))</f>
        <v>15.00</v>
      </c>
      <c r="D7" s="39">
        <f t="shared" ca="1" si="1"/>
        <v>755.5</v>
      </c>
      <c r="E7" s="31">
        <f t="shared" ca="1" si="2"/>
        <v>0</v>
      </c>
      <c r="F7" s="40">
        <f t="shared" ca="1" si="3"/>
        <v>29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19320104</v>
      </c>
      <c r="C8" s="26" t="str">
        <f>INDEX(Data,2,2+MOD(ROWS(C$2:C8)-1,2))</f>
        <v>08.00</v>
      </c>
      <c r="D8" s="39">
        <f t="shared" ca="1" si="1"/>
        <v>756</v>
      </c>
      <c r="E8" s="31">
        <f t="shared" ca="1" si="2"/>
        <v>0</v>
      </c>
      <c r="F8" s="40">
        <f t="shared" ca="1" si="3"/>
        <v>28.5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19320104</v>
      </c>
      <c r="C9" s="26" t="str">
        <f>INDEX(Data,2,2+MOD(ROWS(C$2:C9)-1,2))</f>
        <v>15.00</v>
      </c>
      <c r="D9" s="39">
        <f t="shared" ca="1" si="1"/>
        <v>755</v>
      </c>
      <c r="E9" s="31">
        <f t="shared" ca="1" si="2"/>
        <v>0</v>
      </c>
      <c r="F9" s="40">
        <f t="shared" ca="1" si="3"/>
        <v>30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19320105</v>
      </c>
      <c r="C10" s="26" t="str">
        <f>INDEX(Data,2,2+MOD(ROWS(C$2:C10)-1,2))</f>
        <v>08.00</v>
      </c>
      <c r="D10" s="39">
        <f t="shared" ca="1" si="1"/>
        <v>757</v>
      </c>
      <c r="E10" s="31">
        <f t="shared" ca="1" si="2"/>
        <v>0</v>
      </c>
      <c r="F10" s="40">
        <f t="shared" ca="1" si="3"/>
        <v>28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19320105</v>
      </c>
      <c r="C11" s="26" t="str">
        <f>INDEX(Data,2,2+MOD(ROWS(C$2:C11)-1,2))</f>
        <v>15.00</v>
      </c>
      <c r="D11" s="39">
        <f t="shared" ca="1" si="1"/>
        <v>754.5</v>
      </c>
      <c r="E11" s="31">
        <f t="shared" ca="1" si="2"/>
        <v>0</v>
      </c>
      <c r="F11" s="40">
        <f t="shared" ca="1" si="3"/>
        <v>29.5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19320106</v>
      </c>
      <c r="C12" s="26" t="str">
        <f>INDEX(Data,2,2+MOD(ROWS(C$2:C12)-1,2))</f>
        <v>08.00</v>
      </c>
      <c r="D12" s="39">
        <f t="shared" ca="1" si="1"/>
        <v>757.5</v>
      </c>
      <c r="E12" s="31">
        <f t="shared" ca="1" si="2"/>
        <v>0</v>
      </c>
      <c r="F12" s="40">
        <f t="shared" ca="1" si="3"/>
        <v>27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19320106</v>
      </c>
      <c r="C13" s="26" t="str">
        <f>INDEX(Data,2,2+MOD(ROWS(C$2:C13)-1,2))</f>
        <v>15.00</v>
      </c>
      <c r="D13" s="39">
        <f t="shared" ca="1" si="1"/>
        <v>756</v>
      </c>
      <c r="E13" s="31">
        <f t="shared" ca="1" si="2"/>
        <v>0</v>
      </c>
      <c r="F13" s="40">
        <f t="shared" ca="1" si="3"/>
        <v>28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19320107</v>
      </c>
      <c r="C14" s="26" t="str">
        <f>INDEX(Data,2,2+MOD(ROWS(C$2:C14)-1,2))</f>
        <v>08.00</v>
      </c>
      <c r="D14" s="39">
        <f t="shared" ca="1" si="1"/>
        <v>758</v>
      </c>
      <c r="E14" s="31">
        <f t="shared" ca="1" si="2"/>
        <v>0</v>
      </c>
      <c r="F14" s="40">
        <f t="shared" ca="1" si="3"/>
        <v>28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19320107</v>
      </c>
      <c r="C15" s="26" t="str">
        <f>INDEX(Data,2,2+MOD(ROWS(C$2:C15)-1,2))</f>
        <v>15.00</v>
      </c>
      <c r="D15" s="39">
        <f t="shared" ca="1" si="1"/>
        <v>754.5</v>
      </c>
      <c r="E15" s="31">
        <f t="shared" ca="1" si="2"/>
        <v>0</v>
      </c>
      <c r="F15" s="40">
        <f t="shared" ca="1" si="3"/>
        <v>29.5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19320108</v>
      </c>
      <c r="C16" s="26" t="str">
        <f>INDEX(Data,2,2+MOD(ROWS(C$2:C16)-1,2))</f>
        <v>08.00</v>
      </c>
      <c r="D16" s="39">
        <f t="shared" ca="1" si="1"/>
        <v>757</v>
      </c>
      <c r="E16" s="31">
        <f t="shared" ca="1" si="2"/>
        <v>0</v>
      </c>
      <c r="F16" s="40">
        <f t="shared" ca="1" si="3"/>
        <v>26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19320108</v>
      </c>
      <c r="C17" s="26" t="str">
        <f>INDEX(Data,2,2+MOD(ROWS(C$2:C17)-1,2))</f>
        <v>15.00</v>
      </c>
      <c r="D17" s="39">
        <f t="shared" ca="1" si="1"/>
        <v>755</v>
      </c>
      <c r="E17" s="31">
        <f t="shared" ca="1" si="2"/>
        <v>0</v>
      </c>
      <c r="F17" s="40">
        <f t="shared" ca="1" si="3"/>
        <v>28.5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19320109</v>
      </c>
      <c r="C18" s="26" t="str">
        <f>INDEX(Data,2,2+MOD(ROWS(C$2:C18)-1,2))</f>
        <v>08.00</v>
      </c>
      <c r="D18" s="39">
        <f t="shared" ca="1" si="1"/>
        <v>757.5</v>
      </c>
      <c r="E18" s="31">
        <f t="shared" ca="1" si="2"/>
        <v>0</v>
      </c>
      <c r="F18" s="40">
        <f t="shared" ca="1" si="3"/>
        <v>26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19320109</v>
      </c>
      <c r="C19" s="26" t="str">
        <f>INDEX(Data,2,2+MOD(ROWS(C$2:C19)-1,2))</f>
        <v>15.00</v>
      </c>
      <c r="D19" s="39">
        <f t="shared" ca="1" si="1"/>
        <v>754.5</v>
      </c>
      <c r="E19" s="31">
        <f t="shared" ca="1" si="2"/>
        <v>0</v>
      </c>
      <c r="F19" s="40">
        <f t="shared" ca="1" si="3"/>
        <v>28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19320110</v>
      </c>
      <c r="C20" s="26" t="str">
        <f>INDEX(Data,2,2+MOD(ROWS(C$2:C20)-1,2))</f>
        <v>08.00</v>
      </c>
      <c r="D20" s="39">
        <f t="shared" ca="1" si="1"/>
        <v>757</v>
      </c>
      <c r="E20" s="31">
        <f t="shared" ca="1" si="2"/>
        <v>0</v>
      </c>
      <c r="F20" s="40">
        <f t="shared" ca="1" si="3"/>
        <v>28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19320110</v>
      </c>
      <c r="C21" s="26" t="str">
        <f>INDEX(Data,2,2+MOD(ROWS(C$2:C21)-1,2))</f>
        <v>15.00</v>
      </c>
      <c r="D21" s="39">
        <f t="shared" ca="1" si="1"/>
        <v>755</v>
      </c>
      <c r="E21" s="31">
        <f t="shared" ca="1" si="2"/>
        <v>0</v>
      </c>
      <c r="F21" s="40">
        <f t="shared" ca="1" si="3"/>
        <v>29.5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19320111</v>
      </c>
      <c r="C22" s="26" t="str">
        <f>INDEX(Data,2,2+MOD(ROWS(C$2:C22)-1,2))</f>
        <v>08.00</v>
      </c>
      <c r="D22" s="39">
        <f t="shared" ca="1" si="1"/>
        <v>758.5</v>
      </c>
      <c r="E22" s="31">
        <f t="shared" ca="1" si="2"/>
        <v>0</v>
      </c>
      <c r="F22" s="40">
        <f t="shared" ca="1" si="3"/>
        <v>28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19320111</v>
      </c>
      <c r="C23" s="26" t="str">
        <f>INDEX(Data,2,2+MOD(ROWS(C$2:C23)-1,2))</f>
        <v>15.00</v>
      </c>
      <c r="D23" s="39">
        <f t="shared" ca="1" si="1"/>
        <v>757</v>
      </c>
      <c r="E23" s="31">
        <f t="shared" ca="1" si="2"/>
        <v>0</v>
      </c>
      <c r="F23" s="40">
        <f t="shared" ca="1" si="3"/>
        <v>29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19320112</v>
      </c>
      <c r="C24" s="26" t="str">
        <f>INDEX(Data,2,2+MOD(ROWS(C$2:C24)-1,2))</f>
        <v>08.00</v>
      </c>
      <c r="D24" s="39">
        <f t="shared" ca="1" si="1"/>
        <v>759</v>
      </c>
      <c r="E24" s="31">
        <f t="shared" ca="1" si="2"/>
        <v>0</v>
      </c>
      <c r="F24" s="40">
        <f t="shared" ca="1" si="3"/>
        <v>28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19320112</v>
      </c>
      <c r="C25" s="26" t="str">
        <f>INDEX(Data,2,2+MOD(ROWS(C$2:C25)-1,2))</f>
        <v>15.00</v>
      </c>
      <c r="D25" s="39">
        <f t="shared" ca="1" si="1"/>
        <v>755</v>
      </c>
      <c r="E25" s="31">
        <f t="shared" ca="1" si="2"/>
        <v>0</v>
      </c>
      <c r="F25" s="40">
        <f t="shared" ca="1" si="3"/>
        <v>29.5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19320113</v>
      </c>
      <c r="C26" s="26" t="str">
        <f>INDEX(Data,2,2+MOD(ROWS(C$2:C26)-1,2))</f>
        <v>08.00</v>
      </c>
      <c r="D26" s="39">
        <f t="shared" ca="1" si="1"/>
        <v>758.5</v>
      </c>
      <c r="E26" s="31">
        <f t="shared" ca="1" si="2"/>
        <v>0</v>
      </c>
      <c r="F26" s="40">
        <f t="shared" ca="1" si="3"/>
        <v>27.5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19320113</v>
      </c>
      <c r="C27" s="26" t="str">
        <f>INDEX(Data,2,2+MOD(ROWS(C$2:C27)-1,2))</f>
        <v>15.00</v>
      </c>
      <c r="D27" s="39">
        <f t="shared" ca="1" si="1"/>
        <v>756</v>
      </c>
      <c r="E27" s="31">
        <f t="shared" ca="1" si="2"/>
        <v>0</v>
      </c>
      <c r="F27" s="40">
        <f t="shared" ca="1" si="3"/>
        <v>29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19320114</v>
      </c>
      <c r="C28" s="26" t="str">
        <f>INDEX(Data,2,2+MOD(ROWS(C$2:C28)-1,2))</f>
        <v>08.00</v>
      </c>
      <c r="D28" s="39">
        <f t="shared" ca="1" si="1"/>
        <v>757.5</v>
      </c>
      <c r="E28" s="31">
        <f t="shared" ca="1" si="2"/>
        <v>0</v>
      </c>
      <c r="F28" s="40">
        <f t="shared" ca="1" si="3"/>
        <v>27.5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19320114</v>
      </c>
      <c r="C29" s="26" t="str">
        <f>INDEX(Data,2,2+MOD(ROWS(C$2:C29)-1,2))</f>
        <v>15.00</v>
      </c>
      <c r="D29" s="39">
        <f t="shared" ca="1" si="1"/>
        <v>755.5</v>
      </c>
      <c r="E29" s="31">
        <f t="shared" ca="1" si="2"/>
        <v>0</v>
      </c>
      <c r="F29" s="40">
        <f t="shared" ca="1" si="3"/>
        <v>28.5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19320115</v>
      </c>
      <c r="C30" s="26" t="str">
        <f>INDEX(Data,2,2+MOD(ROWS(C$2:C30)-1,2))</f>
        <v>08.00</v>
      </c>
      <c r="D30" s="39">
        <f t="shared" ca="1" si="1"/>
        <v>756.5</v>
      </c>
      <c r="E30" s="31">
        <f t="shared" ca="1" si="2"/>
        <v>0</v>
      </c>
      <c r="F30" s="40">
        <f t="shared" ca="1" si="3"/>
        <v>26.5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19320115</v>
      </c>
      <c r="C31" s="26" t="str">
        <f>INDEX(Data,2,2+MOD(ROWS(C$2:C31)-1,2))</f>
        <v>15.00</v>
      </c>
      <c r="D31" s="39">
        <f t="shared" ca="1" si="1"/>
        <v>755</v>
      </c>
      <c r="E31" s="31">
        <f t="shared" ca="1" si="2"/>
        <v>0</v>
      </c>
      <c r="F31" s="40">
        <f t="shared" ca="1" si="3"/>
        <v>27.5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19320116</v>
      </c>
      <c r="C32" s="26" t="str">
        <f>INDEX(Data,2,2+MOD(ROWS(C$2:C32)-1,2))</f>
        <v>08.00</v>
      </c>
      <c r="D32" s="39">
        <f t="shared" ca="1" si="1"/>
        <v>756.5</v>
      </c>
      <c r="E32" s="31">
        <f t="shared" ca="1" si="2"/>
        <v>0</v>
      </c>
      <c r="F32" s="40">
        <f t="shared" ca="1" si="3"/>
        <v>26.5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19320116</v>
      </c>
      <c r="C33" s="26" t="str">
        <f>INDEX(Data,2,2+MOD(ROWS(C$2:C33)-1,2))</f>
        <v>15.00</v>
      </c>
      <c r="D33" s="39">
        <f t="shared" ca="1" si="1"/>
        <v>755</v>
      </c>
      <c r="E33" s="31">
        <f t="shared" ca="1" si="2"/>
        <v>0</v>
      </c>
      <c r="F33" s="40">
        <f t="shared" ca="1" si="3"/>
        <v>28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19320117</v>
      </c>
      <c r="C34" s="26" t="str">
        <f>INDEX(Data,2,2+MOD(ROWS(C$2:C34)-1,2))</f>
        <v>08.00</v>
      </c>
      <c r="D34" s="39">
        <f t="shared" ca="1" si="1"/>
        <v>757</v>
      </c>
      <c r="E34" s="31">
        <f t="shared" ca="1" si="2"/>
        <v>0</v>
      </c>
      <c r="F34" s="40">
        <f t="shared" ca="1" si="3"/>
        <v>27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19320117</v>
      </c>
      <c r="C35" s="26" t="str">
        <f>INDEX(Data,2,2+MOD(ROWS(C$2:C35)-1,2))</f>
        <v>15.00</v>
      </c>
      <c r="D35" s="39">
        <f t="shared" ca="1" si="1"/>
        <v>756</v>
      </c>
      <c r="E35" s="31">
        <f t="shared" ca="1" si="2"/>
        <v>0</v>
      </c>
      <c r="F35" s="40">
        <f t="shared" ca="1" si="3"/>
        <v>29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19320118</v>
      </c>
      <c r="C36" s="26" t="str">
        <f>INDEX(Data,2,2+MOD(ROWS(C$2:C36)-1,2))</f>
        <v>08.00</v>
      </c>
      <c r="D36" s="39">
        <f t="shared" ca="1" si="1"/>
        <v>757.5</v>
      </c>
      <c r="E36" s="31">
        <f t="shared" ca="1" si="2"/>
        <v>0</v>
      </c>
      <c r="F36" s="40">
        <f t="shared" ca="1" si="3"/>
        <v>27.5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19320118</v>
      </c>
      <c r="C37" s="26" t="str">
        <f>INDEX(Data,2,2+MOD(ROWS(C$2:C37)-1,2))</f>
        <v>15.00</v>
      </c>
      <c r="D37" s="39">
        <f t="shared" ca="1" si="1"/>
        <v>755.5</v>
      </c>
      <c r="E37" s="31">
        <f t="shared" ca="1" si="2"/>
        <v>0</v>
      </c>
      <c r="F37" s="40">
        <f t="shared" ca="1" si="3"/>
        <v>29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19320119</v>
      </c>
      <c r="C38" s="26" t="str">
        <f>INDEX(Data,2,2+MOD(ROWS(C$2:C38)-1,2))</f>
        <v>08.00</v>
      </c>
      <c r="D38" s="39">
        <f t="shared" ca="1" si="1"/>
        <v>757.5</v>
      </c>
      <c r="E38" s="31">
        <f t="shared" ca="1" si="2"/>
        <v>0</v>
      </c>
      <c r="F38" s="40">
        <f t="shared" ca="1" si="3"/>
        <v>28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19320119</v>
      </c>
      <c r="C39" s="26" t="str">
        <f>INDEX(Data,2,2+MOD(ROWS(C$2:C39)-1,2))</f>
        <v>15.00</v>
      </c>
      <c r="D39" s="39">
        <f t="shared" ca="1" si="1"/>
        <v>756</v>
      </c>
      <c r="E39" s="31">
        <f t="shared" ca="1" si="2"/>
        <v>0</v>
      </c>
      <c r="F39" s="40">
        <f t="shared" ca="1" si="3"/>
        <v>28.5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19320120</v>
      </c>
      <c r="C40" s="26" t="str">
        <f>INDEX(Data,2,2+MOD(ROWS(C$2:C40)-1,2))</f>
        <v>08.00</v>
      </c>
      <c r="D40" s="39">
        <f t="shared" ca="1" si="1"/>
        <v>758</v>
      </c>
      <c r="E40" s="31">
        <f t="shared" ca="1" si="2"/>
        <v>0</v>
      </c>
      <c r="F40" s="40">
        <f t="shared" ca="1" si="3"/>
        <v>27.5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19320120</v>
      </c>
      <c r="C41" s="26" t="str">
        <f>INDEX(Data,2,2+MOD(ROWS(C$2:C41)-1,2))</f>
        <v>15.00</v>
      </c>
      <c r="D41" s="39">
        <f t="shared" ca="1" si="1"/>
        <v>755.5</v>
      </c>
      <c r="E41" s="31">
        <f t="shared" ca="1" si="2"/>
        <v>0</v>
      </c>
      <c r="F41" s="40">
        <f t="shared" ca="1" si="3"/>
        <v>29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19320121</v>
      </c>
      <c r="C42" s="26" t="str">
        <f>INDEX(Data,2,2+MOD(ROWS(C$2:C42)-1,2))</f>
        <v>08.00</v>
      </c>
      <c r="D42" s="39">
        <f t="shared" ca="1" si="1"/>
        <v>757.5</v>
      </c>
      <c r="E42" s="31">
        <f t="shared" ca="1" si="2"/>
        <v>0</v>
      </c>
      <c r="F42" s="40">
        <f t="shared" ca="1" si="3"/>
        <v>27.5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19320121</v>
      </c>
      <c r="C43" s="26" t="str">
        <f>INDEX(Data,2,2+MOD(ROWS(C$2:C43)-1,2))</f>
        <v>15.00</v>
      </c>
      <c r="D43" s="39">
        <f t="shared" ca="1" si="1"/>
        <v>756</v>
      </c>
      <c r="E43" s="31">
        <f t="shared" ca="1" si="2"/>
        <v>0</v>
      </c>
      <c r="F43" s="40">
        <f t="shared" ca="1" si="3"/>
        <v>29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19320122</v>
      </c>
      <c r="C44" s="26" t="str">
        <f>INDEX(Data,2,2+MOD(ROWS(C$2:C44)-1,2))</f>
        <v>08.00</v>
      </c>
      <c r="D44" s="39">
        <f t="shared" ca="1" si="1"/>
        <v>756.5</v>
      </c>
      <c r="E44" s="31">
        <f t="shared" ca="1" si="2"/>
        <v>0</v>
      </c>
      <c r="F44" s="40">
        <f t="shared" ca="1" si="3"/>
        <v>26.5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19320122</v>
      </c>
      <c r="C45" s="26" t="str">
        <f>INDEX(Data,2,2+MOD(ROWS(C$2:C45)-1,2))</f>
        <v>15.00</v>
      </c>
      <c r="D45" s="39">
        <f t="shared" ca="1" si="1"/>
        <v>756</v>
      </c>
      <c r="E45" s="31">
        <f t="shared" ca="1" si="2"/>
        <v>0</v>
      </c>
      <c r="F45" s="40">
        <f t="shared" ca="1" si="3"/>
        <v>27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19320123</v>
      </c>
      <c r="C46" s="26" t="str">
        <f>INDEX(Data,2,2+MOD(ROWS(C$2:C46)-1,2))</f>
        <v>08.00</v>
      </c>
      <c r="D46" s="39">
        <f t="shared" ca="1" si="1"/>
        <v>756.5</v>
      </c>
      <c r="E46" s="31">
        <f t="shared" ca="1" si="2"/>
        <v>0</v>
      </c>
      <c r="F46" s="40">
        <f t="shared" ca="1" si="3"/>
        <v>26.5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19320123</v>
      </c>
      <c r="C47" s="26" t="str">
        <f>INDEX(Data,2,2+MOD(ROWS(C$2:C47)-1,2))</f>
        <v>15.00</v>
      </c>
      <c r="D47" s="39">
        <f t="shared" ca="1" si="1"/>
        <v>755.5</v>
      </c>
      <c r="E47" s="31">
        <f t="shared" ca="1" si="2"/>
        <v>0</v>
      </c>
      <c r="F47" s="40">
        <f t="shared" ca="1" si="3"/>
        <v>27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19320124</v>
      </c>
      <c r="C48" s="26" t="str">
        <f>INDEX(Data,2,2+MOD(ROWS(C$2:C48)-1,2))</f>
        <v>08.00</v>
      </c>
      <c r="D48" s="39">
        <f t="shared" ca="1" si="1"/>
        <v>757.5</v>
      </c>
      <c r="E48" s="31">
        <f t="shared" ca="1" si="2"/>
        <v>0</v>
      </c>
      <c r="F48" s="40">
        <f t="shared" ca="1" si="3"/>
        <v>27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19320124</v>
      </c>
      <c r="C49" s="26" t="str">
        <f>INDEX(Data,2,2+MOD(ROWS(C$2:C49)-1,2))</f>
        <v>15.00</v>
      </c>
      <c r="D49" s="39">
        <f t="shared" ca="1" si="1"/>
        <v>756</v>
      </c>
      <c r="E49" s="31">
        <f t="shared" ca="1" si="2"/>
        <v>0</v>
      </c>
      <c r="F49" s="40">
        <f t="shared" ca="1" si="3"/>
        <v>28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19320125</v>
      </c>
      <c r="C50" s="26" t="str">
        <f>INDEX(Data,2,2+MOD(ROWS(C$2:C50)-1,2))</f>
        <v>08.00</v>
      </c>
      <c r="D50" s="39">
        <f t="shared" ca="1" si="1"/>
        <v>758</v>
      </c>
      <c r="E50" s="31">
        <f t="shared" ca="1" si="2"/>
        <v>0</v>
      </c>
      <c r="F50" s="40">
        <f t="shared" ca="1" si="3"/>
        <v>26.5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19320125</v>
      </c>
      <c r="C51" s="26" t="str">
        <f>INDEX(Data,2,2+MOD(ROWS(C$2:C51)-1,2))</f>
        <v>15.00</v>
      </c>
      <c r="D51" s="39">
        <f t="shared" ca="1" si="1"/>
        <v>756.5</v>
      </c>
      <c r="E51" s="31">
        <f t="shared" ca="1" si="2"/>
        <v>0</v>
      </c>
      <c r="F51" s="40">
        <f t="shared" ca="1" si="3"/>
        <v>27.5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19320126</v>
      </c>
      <c r="C52" s="26" t="str">
        <f>INDEX(Data,2,2+MOD(ROWS(C$2:C52)-1,2))</f>
        <v>08.00</v>
      </c>
      <c r="D52" s="39">
        <f t="shared" ca="1" si="1"/>
        <v>758.5</v>
      </c>
      <c r="E52" s="31">
        <f t="shared" ca="1" si="2"/>
        <v>0</v>
      </c>
      <c r="F52" s="40">
        <f t="shared" ca="1" si="3"/>
        <v>26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19320126</v>
      </c>
      <c r="C53" s="26" t="str">
        <f>INDEX(Data,2,2+MOD(ROWS(C$2:C53)-1,2))</f>
        <v>15.00</v>
      </c>
      <c r="D53" s="39">
        <f t="shared" ca="1" si="1"/>
        <v>757</v>
      </c>
      <c r="E53" s="31">
        <f t="shared" ca="1" si="2"/>
        <v>0</v>
      </c>
      <c r="F53" s="40">
        <f t="shared" ca="1" si="3"/>
        <v>28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19320127</v>
      </c>
      <c r="C54" s="26" t="str">
        <f>INDEX(Data,2,2+MOD(ROWS(C$2:C54)-1,2))</f>
        <v>08.00</v>
      </c>
      <c r="D54" s="39">
        <f t="shared" ca="1" si="1"/>
        <v>758</v>
      </c>
      <c r="E54" s="31">
        <f t="shared" ca="1" si="2"/>
        <v>0</v>
      </c>
      <c r="F54" s="40">
        <f t="shared" ca="1" si="3"/>
        <v>26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19320127</v>
      </c>
      <c r="C55" s="26" t="str">
        <f>INDEX(Data,2,2+MOD(ROWS(C$2:C55)-1,2))</f>
        <v>15.00</v>
      </c>
      <c r="D55" s="39">
        <f t="shared" ca="1" si="1"/>
        <v>756.5</v>
      </c>
      <c r="E55" s="31">
        <f t="shared" ca="1" si="2"/>
        <v>0</v>
      </c>
      <c r="F55" s="40">
        <f t="shared" ca="1" si="3"/>
        <v>28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19320128</v>
      </c>
      <c r="C56" s="26" t="str">
        <f>INDEX(Data,2,2+MOD(ROWS(C$2:C56)-1,2))</f>
        <v>08.00</v>
      </c>
      <c r="D56" s="39">
        <f t="shared" ca="1" si="1"/>
        <v>758</v>
      </c>
      <c r="E56" s="31">
        <f t="shared" ca="1" si="2"/>
        <v>0</v>
      </c>
      <c r="F56" s="40">
        <f t="shared" ca="1" si="3"/>
        <v>26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19320128</v>
      </c>
      <c r="C57" s="26" t="str">
        <f>INDEX(Data,2,2+MOD(ROWS(C$2:C57)-1,2))</f>
        <v>15.00</v>
      </c>
      <c r="D57" s="39">
        <f t="shared" ca="1" si="1"/>
        <v>755.5</v>
      </c>
      <c r="E57" s="31">
        <f t="shared" ca="1" si="2"/>
        <v>0</v>
      </c>
      <c r="F57" s="40">
        <f t="shared" ca="1" si="3"/>
        <v>27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19320129</v>
      </c>
      <c r="C58" s="26" t="str">
        <f>INDEX(Data,2,2+MOD(ROWS(C$2:C58)-1,2))</f>
        <v>08.00</v>
      </c>
      <c r="D58" s="39">
        <f t="shared" ca="1" si="1"/>
        <v>757.5</v>
      </c>
      <c r="E58" s="31">
        <f t="shared" ca="1" si="2"/>
        <v>0</v>
      </c>
      <c r="F58" s="40">
        <f t="shared" ca="1" si="3"/>
        <v>26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19320129</v>
      </c>
      <c r="C59" s="26" t="str">
        <f>INDEX(Data,2,2+MOD(ROWS(C$2:C59)-1,2))</f>
        <v>15.00</v>
      </c>
      <c r="D59" s="39">
        <f t="shared" ca="1" si="1"/>
        <v>756</v>
      </c>
      <c r="E59" s="31">
        <f t="shared" ca="1" si="2"/>
        <v>0</v>
      </c>
      <c r="F59" s="40">
        <f t="shared" ca="1" si="3"/>
        <v>28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19320130</v>
      </c>
      <c r="C60" s="26" t="str">
        <f>INDEX(Data,2,2+MOD(ROWS(C$2:C60)-1,2))</f>
        <v>08.00</v>
      </c>
      <c r="D60" s="39">
        <f t="shared" ca="1" si="1"/>
        <v>758</v>
      </c>
      <c r="E60" s="31">
        <f t="shared" ca="1" si="2"/>
        <v>0</v>
      </c>
      <c r="F60" s="40">
        <f t="shared" ca="1" si="3"/>
        <v>26.5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19320130</v>
      </c>
      <c r="C61" s="26" t="str">
        <f>INDEX(Data,2,2+MOD(ROWS(C$2:C61)-1,2))</f>
        <v>15.00</v>
      </c>
      <c r="D61" s="39">
        <f t="shared" ca="1" si="1"/>
        <v>757</v>
      </c>
      <c r="E61" s="31">
        <f t="shared" ca="1" si="2"/>
        <v>0</v>
      </c>
      <c r="F61" s="40">
        <f t="shared" ca="1" si="3"/>
        <v>28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19320131</v>
      </c>
      <c r="C62" s="26" t="str">
        <f>INDEX(Data,2,2+MOD(ROWS(C$2:C62)-1,2))</f>
        <v>08.00</v>
      </c>
      <c r="D62" s="39">
        <f t="shared" ca="1" si="1"/>
        <v>759</v>
      </c>
      <c r="E62" s="31">
        <f t="shared" ca="1" si="2"/>
        <v>0</v>
      </c>
      <c r="F62" s="40">
        <f t="shared" ca="1" si="3"/>
        <v>26.5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19320131</v>
      </c>
      <c r="C63" s="26" t="str">
        <f>INDEX(Data,2,2+MOD(ROWS(C$2:C63)-1,2))</f>
        <v>15.00</v>
      </c>
      <c r="D63" s="39">
        <f t="shared" ca="1" si="1"/>
        <v>756.5</v>
      </c>
      <c r="E63" s="31">
        <f t="shared" ca="1" si="2"/>
        <v>0</v>
      </c>
      <c r="F63" s="40">
        <f t="shared" ca="1" si="3"/>
        <v>28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19320201</v>
      </c>
      <c r="C64" s="26" t="str">
        <f>INDEX(Data,2,2+MOD(ROWS(C$2:C64)-1,2))</f>
        <v>08.00</v>
      </c>
      <c r="D64" s="39">
        <f t="shared" ca="1" si="1"/>
        <v>758</v>
      </c>
      <c r="E64" s="31">
        <f t="shared" ca="1" si="2"/>
        <v>0</v>
      </c>
      <c r="F64" s="40">
        <f t="shared" ca="1" si="3"/>
        <v>27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19320201</v>
      </c>
      <c r="C65" s="26" t="str">
        <f>INDEX(Data,2,2+MOD(ROWS(C$2:C65)-1,2))</f>
        <v>15.00</v>
      </c>
      <c r="D65" s="39">
        <f t="shared" ca="1" si="1"/>
        <v>757.5</v>
      </c>
      <c r="E65" s="31">
        <f t="shared" ca="1" si="2"/>
        <v>0</v>
      </c>
      <c r="F65" s="40">
        <f t="shared" ca="1" si="3"/>
        <v>27.5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19320202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759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26.5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19320202</v>
      </c>
      <c r="C67" s="26" t="str">
        <f>INDEX(Data,2,2+MOD(ROWS(C$2:C67)-1,2))</f>
        <v>15.00</v>
      </c>
      <c r="D67" s="39">
        <f t="shared" ca="1" si="6"/>
        <v>756.5</v>
      </c>
      <c r="E67" s="31">
        <f t="shared" ca="1" si="7"/>
        <v>0</v>
      </c>
      <c r="F67" s="40">
        <f t="shared" ca="1" si="8"/>
        <v>28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19320203</v>
      </c>
      <c r="C68" s="26" t="str">
        <f>INDEX(Data,2,2+MOD(ROWS(C$2:C68)-1,2))</f>
        <v>08.00</v>
      </c>
      <c r="D68" s="39">
        <f t="shared" ca="1" si="6"/>
        <v>758.5</v>
      </c>
      <c r="E68" s="31">
        <f t="shared" ca="1" si="7"/>
        <v>0</v>
      </c>
      <c r="F68" s="40">
        <f t="shared" ca="1" si="8"/>
        <v>27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19320203</v>
      </c>
      <c r="C69" s="26" t="str">
        <f>INDEX(Data,2,2+MOD(ROWS(C$2:C69)-1,2))</f>
        <v>15.00</v>
      </c>
      <c r="D69" s="39">
        <f t="shared" ca="1" si="6"/>
        <v>756.5</v>
      </c>
      <c r="E69" s="31">
        <f t="shared" ca="1" si="7"/>
        <v>0</v>
      </c>
      <c r="F69" s="40">
        <f t="shared" ca="1" si="8"/>
        <v>28.5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19320204</v>
      </c>
      <c r="C70" s="26" t="str">
        <f>INDEX(Data,2,2+MOD(ROWS(C$2:C70)-1,2))</f>
        <v>08.00</v>
      </c>
      <c r="D70" s="39">
        <f t="shared" ca="1" si="6"/>
        <v>759</v>
      </c>
      <c r="E70" s="31">
        <f t="shared" ca="1" si="7"/>
        <v>0</v>
      </c>
      <c r="F70" s="40">
        <f t="shared" ca="1" si="8"/>
        <v>27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19320204</v>
      </c>
      <c r="C71" s="26" t="str">
        <f>INDEX(Data,2,2+MOD(ROWS(C$2:C71)-1,2))</f>
        <v>15.00</v>
      </c>
      <c r="D71" s="39">
        <f t="shared" ca="1" si="6"/>
        <v>758</v>
      </c>
      <c r="E71" s="31">
        <f t="shared" ca="1" si="7"/>
        <v>0</v>
      </c>
      <c r="F71" s="40">
        <f t="shared" ca="1" si="8"/>
        <v>28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19320205</v>
      </c>
      <c r="C72" s="26" t="str">
        <f>INDEX(Data,2,2+MOD(ROWS(C$2:C72)-1,2))</f>
        <v>08.00</v>
      </c>
      <c r="D72" s="39">
        <f t="shared" ca="1" si="6"/>
        <v>759</v>
      </c>
      <c r="E72" s="31">
        <f t="shared" ca="1" si="7"/>
        <v>0</v>
      </c>
      <c r="F72" s="40">
        <f t="shared" ca="1" si="8"/>
        <v>27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19320205</v>
      </c>
      <c r="C73" s="26" t="str">
        <f>INDEX(Data,2,2+MOD(ROWS(C$2:C73)-1,2))</f>
        <v>15.00</v>
      </c>
      <c r="D73" s="39">
        <f t="shared" ca="1" si="6"/>
        <v>758</v>
      </c>
      <c r="E73" s="31">
        <f t="shared" ca="1" si="7"/>
        <v>0</v>
      </c>
      <c r="F73" s="40">
        <f t="shared" ca="1" si="8"/>
        <v>28.5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19320206</v>
      </c>
      <c r="C74" s="26" t="str">
        <f>INDEX(Data,2,2+MOD(ROWS(C$2:C74)-1,2))</f>
        <v>08.00</v>
      </c>
      <c r="D74" s="39">
        <f t="shared" ca="1" si="6"/>
        <v>758.5</v>
      </c>
      <c r="E74" s="31">
        <f t="shared" ca="1" si="7"/>
        <v>0</v>
      </c>
      <c r="F74" s="40">
        <f t="shared" ca="1" si="8"/>
        <v>28.5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19320206</v>
      </c>
      <c r="C75" s="26" t="str">
        <f>INDEX(Data,2,2+MOD(ROWS(C$2:C75)-1,2))</f>
        <v>15.00</v>
      </c>
      <c r="D75" s="39">
        <f t="shared" ca="1" si="6"/>
        <v>757</v>
      </c>
      <c r="E75" s="31">
        <f t="shared" ca="1" si="7"/>
        <v>0</v>
      </c>
      <c r="F75" s="40">
        <f t="shared" ca="1" si="8"/>
        <v>28.5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19320207</v>
      </c>
      <c r="C76" s="26" t="str">
        <f>INDEX(Data,2,2+MOD(ROWS(C$2:C76)-1,2))</f>
        <v>08.00</v>
      </c>
      <c r="D76" s="39">
        <f t="shared" ca="1" si="6"/>
        <v>758.5</v>
      </c>
      <c r="E76" s="31">
        <f t="shared" ca="1" si="7"/>
        <v>0</v>
      </c>
      <c r="F76" s="40">
        <f t="shared" ca="1" si="8"/>
        <v>28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19320207</v>
      </c>
      <c r="C77" s="26" t="str">
        <f>INDEX(Data,2,2+MOD(ROWS(C$2:C77)-1,2))</f>
        <v>15.00</v>
      </c>
      <c r="D77" s="39">
        <f t="shared" ca="1" si="6"/>
        <v>756</v>
      </c>
      <c r="E77" s="31">
        <f t="shared" ca="1" si="7"/>
        <v>0</v>
      </c>
      <c r="F77" s="40">
        <f t="shared" ca="1" si="8"/>
        <v>29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19320208</v>
      </c>
      <c r="C78" s="26" t="str">
        <f>INDEX(Data,2,2+MOD(ROWS(C$2:C78)-1,2))</f>
        <v>08.00</v>
      </c>
      <c r="D78" s="39">
        <f t="shared" ca="1" si="6"/>
        <v>758.5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19320208</v>
      </c>
      <c r="C79" s="26" t="str">
        <f>INDEX(Data,2,2+MOD(ROWS(C$2:C79)-1,2))</f>
        <v>15.00</v>
      </c>
      <c r="D79" s="39">
        <f t="shared" ca="1" si="6"/>
        <v>756.5</v>
      </c>
      <c r="E79" s="31">
        <f t="shared" ca="1" si="7"/>
        <v>0</v>
      </c>
      <c r="F79" s="40">
        <f t="shared" ca="1" si="8"/>
        <v>29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19320209</v>
      </c>
      <c r="C80" s="26" t="str">
        <f>INDEX(Data,2,2+MOD(ROWS(C$2:C80)-1,2))</f>
        <v>08.00</v>
      </c>
      <c r="D80" s="39">
        <f t="shared" ca="1" si="6"/>
        <v>758.5</v>
      </c>
      <c r="E80" s="31">
        <f t="shared" ca="1" si="7"/>
        <v>0</v>
      </c>
      <c r="F80" s="40">
        <f t="shared" ca="1" si="8"/>
        <v>27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19320209</v>
      </c>
      <c r="C81" s="26" t="str">
        <f>INDEX(Data,2,2+MOD(ROWS(C$2:C81)-1,2))</f>
        <v>15.00</v>
      </c>
      <c r="D81" s="39">
        <f t="shared" ca="1" si="6"/>
        <v>757</v>
      </c>
      <c r="E81" s="31">
        <f t="shared" ca="1" si="7"/>
        <v>0</v>
      </c>
      <c r="F81" s="40">
        <f t="shared" ca="1" si="8"/>
        <v>29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19320210</v>
      </c>
      <c r="C82" s="26" t="str">
        <f>INDEX(Data,2,2+MOD(ROWS(C$2:C82)-1,2))</f>
        <v>08.00</v>
      </c>
      <c r="D82" s="39">
        <f t="shared" ca="1" si="6"/>
        <v>757.5</v>
      </c>
      <c r="E82" s="31">
        <f t="shared" ca="1" si="7"/>
        <v>0</v>
      </c>
      <c r="F82" s="40">
        <f t="shared" ca="1" si="8"/>
        <v>27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19320210</v>
      </c>
      <c r="C83" s="26" t="str">
        <f>INDEX(Data,2,2+MOD(ROWS(C$2:C83)-1,2))</f>
        <v>15.00</v>
      </c>
      <c r="D83" s="39">
        <f t="shared" ca="1" si="6"/>
        <v>755.5</v>
      </c>
      <c r="E83" s="31">
        <f t="shared" ca="1" si="7"/>
        <v>0</v>
      </c>
      <c r="F83" s="40">
        <f t="shared" ca="1" si="8"/>
        <v>28.5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19320211</v>
      </c>
      <c r="C84" s="26" t="str">
        <f>INDEX(Data,2,2+MOD(ROWS(C$2:C84)-1,2))</f>
        <v>08.00</v>
      </c>
      <c r="D84" s="39">
        <f t="shared" ca="1" si="6"/>
        <v>757</v>
      </c>
      <c r="E84" s="31">
        <f t="shared" ca="1" si="7"/>
        <v>0</v>
      </c>
      <c r="F84" s="40">
        <f t="shared" ca="1" si="8"/>
        <v>27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19320211</v>
      </c>
      <c r="C85" s="26" t="str">
        <f>INDEX(Data,2,2+MOD(ROWS(C$2:C85)-1,2))</f>
        <v>15.00</v>
      </c>
      <c r="D85" s="39">
        <f t="shared" ca="1" si="6"/>
        <v>755</v>
      </c>
      <c r="E85" s="31">
        <f t="shared" ca="1" si="7"/>
        <v>0</v>
      </c>
      <c r="F85" s="40">
        <f t="shared" ca="1" si="8"/>
        <v>28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19320212</v>
      </c>
      <c r="C86" s="26" t="str">
        <f>INDEX(Data,2,2+MOD(ROWS(C$2:C86)-1,2))</f>
        <v>08.00</v>
      </c>
      <c r="D86" s="39">
        <f t="shared" ca="1" si="6"/>
        <v>756.5</v>
      </c>
      <c r="E86" s="31">
        <f t="shared" ca="1" si="7"/>
        <v>0</v>
      </c>
      <c r="F86" s="40">
        <f t="shared" ca="1" si="8"/>
        <v>27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19320212</v>
      </c>
      <c r="C87" s="26" t="str">
        <f>INDEX(Data,2,2+MOD(ROWS(C$2:C87)-1,2))</f>
        <v>15.00</v>
      </c>
      <c r="D87" s="39">
        <f t="shared" ca="1" si="6"/>
        <v>755</v>
      </c>
      <c r="E87" s="31">
        <f t="shared" ca="1" si="7"/>
        <v>0</v>
      </c>
      <c r="F87" s="40">
        <f t="shared" ca="1" si="8"/>
        <v>29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19320213</v>
      </c>
      <c r="C88" s="26" t="str">
        <f>INDEX(Data,2,2+MOD(ROWS(C$2:C88)-1,2))</f>
        <v>08.00</v>
      </c>
      <c r="D88" s="39">
        <f t="shared" ca="1" si="6"/>
        <v>758</v>
      </c>
      <c r="E88" s="31">
        <f t="shared" ca="1" si="7"/>
        <v>0</v>
      </c>
      <c r="F88" s="40">
        <f t="shared" ca="1" si="8"/>
        <v>27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19320213</v>
      </c>
      <c r="C89" s="26" t="str">
        <f>INDEX(Data,2,2+MOD(ROWS(C$2:C89)-1,2))</f>
        <v>15.00</v>
      </c>
      <c r="D89" s="39">
        <f t="shared" ca="1" si="6"/>
        <v>755.5</v>
      </c>
      <c r="E89" s="31">
        <f t="shared" ca="1" si="7"/>
        <v>0</v>
      </c>
      <c r="F89" s="40">
        <f t="shared" ca="1" si="8"/>
        <v>27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19320214</v>
      </c>
      <c r="C90" s="26" t="str">
        <f>INDEX(Data,2,2+MOD(ROWS(C$2:C90)-1,2))</f>
        <v>08.00</v>
      </c>
      <c r="D90" s="39">
        <f t="shared" ca="1" si="6"/>
        <v>758</v>
      </c>
      <c r="E90" s="31">
        <f t="shared" ca="1" si="7"/>
        <v>0</v>
      </c>
      <c r="F90" s="40">
        <f t="shared" ca="1" si="8"/>
        <v>27.5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19320214</v>
      </c>
      <c r="C91" s="26" t="str">
        <f>INDEX(Data,2,2+MOD(ROWS(C$2:C91)-1,2))</f>
        <v>15.00</v>
      </c>
      <c r="D91" s="39">
        <f t="shared" ca="1" si="6"/>
        <v>756</v>
      </c>
      <c r="E91" s="31">
        <f t="shared" ca="1" si="7"/>
        <v>0</v>
      </c>
      <c r="F91" s="40">
        <f t="shared" ca="1" si="8"/>
        <v>28.5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19320215</v>
      </c>
      <c r="C92" s="26" t="str">
        <f>INDEX(Data,2,2+MOD(ROWS(C$2:C92)-1,2))</f>
        <v>08.00</v>
      </c>
      <c r="D92" s="39">
        <f t="shared" ca="1" si="6"/>
        <v>757.5</v>
      </c>
      <c r="E92" s="31">
        <f t="shared" ca="1" si="7"/>
        <v>0</v>
      </c>
      <c r="F92" s="40">
        <f t="shared" ca="1" si="8"/>
        <v>26.5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19320215</v>
      </c>
      <c r="C93" s="26" t="str">
        <f>INDEX(Data,2,2+MOD(ROWS(C$2:C93)-1,2))</f>
        <v>15.00</v>
      </c>
      <c r="D93" s="39">
        <f t="shared" ca="1" si="6"/>
        <v>755.5</v>
      </c>
      <c r="E93" s="31">
        <f t="shared" ca="1" si="7"/>
        <v>0</v>
      </c>
      <c r="F93" s="40">
        <f t="shared" ca="1" si="8"/>
        <v>28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19320216</v>
      </c>
      <c r="C94" s="26" t="str">
        <f>INDEX(Data,2,2+MOD(ROWS(C$2:C94)-1,2))</f>
        <v>08.00</v>
      </c>
      <c r="D94" s="39">
        <f t="shared" ca="1" si="6"/>
        <v>757.5</v>
      </c>
      <c r="E94" s="31">
        <f t="shared" ca="1" si="7"/>
        <v>0</v>
      </c>
      <c r="F94" s="40">
        <f t="shared" ca="1" si="8"/>
        <v>26.5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19320216</v>
      </c>
      <c r="C95" s="26" t="str">
        <f>INDEX(Data,2,2+MOD(ROWS(C$2:C95)-1,2))</f>
        <v>15.00</v>
      </c>
      <c r="D95" s="39">
        <f t="shared" ca="1" si="6"/>
        <v>755.5</v>
      </c>
      <c r="E95" s="31">
        <f t="shared" ca="1" si="7"/>
        <v>0</v>
      </c>
      <c r="F95" s="40">
        <f t="shared" ca="1" si="8"/>
        <v>28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19320217</v>
      </c>
      <c r="C96" s="26" t="str">
        <f>INDEX(Data,2,2+MOD(ROWS(C$2:C96)-1,2))</f>
        <v>08.00</v>
      </c>
      <c r="D96" s="39">
        <f t="shared" ca="1" si="6"/>
        <v>758</v>
      </c>
      <c r="E96" s="31">
        <f t="shared" ca="1" si="7"/>
        <v>0</v>
      </c>
      <c r="F96" s="40">
        <f t="shared" ca="1" si="8"/>
        <v>27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19320217</v>
      </c>
      <c r="C97" s="26" t="str">
        <f>INDEX(Data,2,2+MOD(ROWS(C$2:C97)-1,2))</f>
        <v>15.00</v>
      </c>
      <c r="D97" s="39">
        <f t="shared" ca="1" si="6"/>
        <v>756.5</v>
      </c>
      <c r="E97" s="31">
        <f t="shared" ca="1" si="7"/>
        <v>0</v>
      </c>
      <c r="F97" s="40">
        <f t="shared" ca="1" si="8"/>
        <v>28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19320218</v>
      </c>
      <c r="C98" s="26" t="str">
        <f>INDEX(Data,2,2+MOD(ROWS(C$2:C98)-1,2))</f>
        <v>08.00</v>
      </c>
      <c r="D98" s="39">
        <f t="shared" ca="1" si="6"/>
        <v>758</v>
      </c>
      <c r="E98" s="31">
        <f t="shared" ca="1" si="7"/>
        <v>0</v>
      </c>
      <c r="F98" s="40">
        <f t="shared" ca="1" si="8"/>
        <v>27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19320218</v>
      </c>
      <c r="C99" s="26" t="str">
        <f>INDEX(Data,2,2+MOD(ROWS(C$2:C99)-1,2))</f>
        <v>15.00</v>
      </c>
      <c r="D99" s="39">
        <f t="shared" ca="1" si="6"/>
        <v>756</v>
      </c>
      <c r="E99" s="31">
        <f t="shared" ca="1" si="7"/>
        <v>0</v>
      </c>
      <c r="F99" s="40">
        <f t="shared" ca="1" si="8"/>
        <v>28.5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19320219</v>
      </c>
      <c r="C100" s="26" t="str">
        <f>INDEX(Data,2,2+MOD(ROWS(C$2:C100)-1,2))</f>
        <v>08.00</v>
      </c>
      <c r="D100" s="39">
        <f t="shared" ca="1" si="6"/>
        <v>758.5</v>
      </c>
      <c r="E100" s="31">
        <f t="shared" ca="1" si="7"/>
        <v>0</v>
      </c>
      <c r="F100" s="40">
        <f t="shared" ca="1" si="8"/>
        <v>26.5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19320219</v>
      </c>
      <c r="C101" s="26" t="str">
        <f>INDEX(Data,2,2+MOD(ROWS(C$2:C101)-1,2))</f>
        <v>15.00</v>
      </c>
      <c r="D101" s="39">
        <f t="shared" ca="1" si="6"/>
        <v>757</v>
      </c>
      <c r="E101" s="31">
        <f t="shared" ca="1" si="7"/>
        <v>0</v>
      </c>
      <c r="F101" s="40">
        <f t="shared" ca="1" si="8"/>
        <v>28.5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19320220</v>
      </c>
      <c r="C102" s="26" t="str">
        <f>INDEX(Data,2,2+MOD(ROWS(C$2:C102)-1,2))</f>
        <v>08.00</v>
      </c>
      <c r="D102" s="39">
        <f t="shared" ca="1" si="6"/>
        <v>758.5</v>
      </c>
      <c r="E102" s="31">
        <f t="shared" ca="1" si="7"/>
        <v>0</v>
      </c>
      <c r="F102" s="40">
        <f t="shared" ca="1" si="8"/>
        <v>27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19320220</v>
      </c>
      <c r="C103" s="26" t="str">
        <f>INDEX(Data,2,2+MOD(ROWS(C$2:C103)-1,2))</f>
        <v>15.00</v>
      </c>
      <c r="D103" s="39">
        <f t="shared" ca="1" si="6"/>
        <v>756</v>
      </c>
      <c r="E103" s="31">
        <f t="shared" ca="1" si="7"/>
        <v>0</v>
      </c>
      <c r="F103" s="40">
        <f t="shared" ca="1" si="8"/>
        <v>28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19320221</v>
      </c>
      <c r="C104" s="26" t="str">
        <f>INDEX(Data,2,2+MOD(ROWS(C$2:C104)-1,2))</f>
        <v>08.00</v>
      </c>
      <c r="D104" s="39">
        <f t="shared" ca="1" si="6"/>
        <v>758</v>
      </c>
      <c r="E104" s="31">
        <f t="shared" ca="1" si="7"/>
        <v>0</v>
      </c>
      <c r="F104" s="40">
        <f t="shared" ca="1" si="8"/>
        <v>27.5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19320221</v>
      </c>
      <c r="C105" s="26" t="str">
        <f>INDEX(Data,2,2+MOD(ROWS(C$2:C105)-1,2))</f>
        <v>15.00</v>
      </c>
      <c r="D105" s="39">
        <f t="shared" ca="1" si="6"/>
        <v>756.5</v>
      </c>
      <c r="E105" s="31">
        <f t="shared" ca="1" si="7"/>
        <v>0</v>
      </c>
      <c r="F105" s="40">
        <f t="shared" ca="1" si="8"/>
        <v>28.5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19320222</v>
      </c>
      <c r="C106" s="26" t="str">
        <f>INDEX(Data,2,2+MOD(ROWS(C$2:C106)-1,2))</f>
        <v>08.00</v>
      </c>
      <c r="D106" s="39">
        <f t="shared" ca="1" si="6"/>
        <v>757.5</v>
      </c>
      <c r="E106" s="31">
        <f t="shared" ca="1" si="7"/>
        <v>0</v>
      </c>
      <c r="F106" s="40">
        <f t="shared" ca="1" si="8"/>
        <v>27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19320222</v>
      </c>
      <c r="C107" s="26" t="str">
        <f>INDEX(Data,2,2+MOD(ROWS(C$2:C107)-1,2))</f>
        <v>15.00</v>
      </c>
      <c r="D107" s="39">
        <f t="shared" ca="1" si="6"/>
        <v>756.5</v>
      </c>
      <c r="E107" s="31">
        <f t="shared" ca="1" si="7"/>
        <v>0</v>
      </c>
      <c r="F107" s="40">
        <f t="shared" ca="1" si="8"/>
        <v>29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19320223</v>
      </c>
      <c r="C108" s="26" t="str">
        <f>INDEX(Data,2,2+MOD(ROWS(C$2:C108)-1,2))</f>
        <v>08.00</v>
      </c>
      <c r="D108" s="39">
        <f t="shared" ca="1" si="6"/>
        <v>758</v>
      </c>
      <c r="E108" s="31">
        <f t="shared" ca="1" si="7"/>
        <v>0</v>
      </c>
      <c r="F108" s="40">
        <f t="shared" ca="1" si="8"/>
        <v>27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19320223</v>
      </c>
      <c r="C109" s="26" t="str">
        <f>INDEX(Data,2,2+MOD(ROWS(C$2:C109)-1,2))</f>
        <v>15.00</v>
      </c>
      <c r="D109" s="39">
        <f t="shared" ca="1" si="6"/>
        <v>757</v>
      </c>
      <c r="E109" s="31">
        <f t="shared" ca="1" si="7"/>
        <v>0</v>
      </c>
      <c r="F109" s="40">
        <f t="shared" ca="1" si="8"/>
        <v>29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19320224</v>
      </c>
      <c r="C110" s="26" t="str">
        <f>INDEX(Data,2,2+MOD(ROWS(C$2:C110)-1,2))</f>
        <v>08.00</v>
      </c>
      <c r="D110" s="39">
        <f t="shared" ca="1" si="6"/>
        <v>758.5</v>
      </c>
      <c r="E110" s="31">
        <f t="shared" ca="1" si="7"/>
        <v>0</v>
      </c>
      <c r="F110" s="40">
        <f t="shared" ca="1" si="8"/>
        <v>27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19320224</v>
      </c>
      <c r="C111" s="26" t="str">
        <f>INDEX(Data,2,2+MOD(ROWS(C$2:C111)-1,2))</f>
        <v>15.00</v>
      </c>
      <c r="D111" s="39">
        <f t="shared" ca="1" si="6"/>
        <v>757</v>
      </c>
      <c r="E111" s="31">
        <f t="shared" ca="1" si="7"/>
        <v>0</v>
      </c>
      <c r="F111" s="40">
        <f t="shared" ca="1" si="8"/>
        <v>29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19320225</v>
      </c>
      <c r="C112" s="26" t="str">
        <f>INDEX(Data,2,2+MOD(ROWS(C$2:C112)-1,2))</f>
        <v>08.00</v>
      </c>
      <c r="D112" s="39">
        <f t="shared" ca="1" si="6"/>
        <v>758.5</v>
      </c>
      <c r="E112" s="31">
        <f t="shared" ca="1" si="7"/>
        <v>0</v>
      </c>
      <c r="F112" s="40">
        <f t="shared" ca="1" si="8"/>
        <v>27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19320225</v>
      </c>
      <c r="C113" s="26" t="str">
        <f>INDEX(Data,2,2+MOD(ROWS(C$2:C113)-1,2))</f>
        <v>15.00</v>
      </c>
      <c r="D113" s="39">
        <f t="shared" ca="1" si="6"/>
        <v>756.5</v>
      </c>
      <c r="E113" s="31">
        <f t="shared" ca="1" si="7"/>
        <v>0</v>
      </c>
      <c r="F113" s="40">
        <f t="shared" ca="1" si="8"/>
        <v>29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19320226</v>
      </c>
      <c r="C114" s="26" t="str">
        <f>INDEX(Data,2,2+MOD(ROWS(C$2:C114)-1,2))</f>
        <v>08.00</v>
      </c>
      <c r="D114" s="39">
        <f t="shared" ca="1" si="6"/>
        <v>757</v>
      </c>
      <c r="E114" s="31">
        <f t="shared" ca="1" si="7"/>
        <v>0</v>
      </c>
      <c r="F114" s="40">
        <f t="shared" ca="1" si="8"/>
        <v>27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19320226</v>
      </c>
      <c r="C115" s="26" t="str">
        <f>INDEX(Data,2,2+MOD(ROWS(C$2:C115)-1,2))</f>
        <v>15.00</v>
      </c>
      <c r="D115" s="39">
        <f t="shared" ca="1" si="6"/>
        <v>755.5</v>
      </c>
      <c r="E115" s="31">
        <f t="shared" ca="1" si="7"/>
        <v>0</v>
      </c>
      <c r="F115" s="40">
        <f t="shared" ca="1" si="8"/>
        <v>29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19320227</v>
      </c>
      <c r="C116" s="26" t="str">
        <f>INDEX(Data,2,2+MOD(ROWS(C$2:C116)-1,2))</f>
        <v>08.00</v>
      </c>
      <c r="D116" s="39">
        <f t="shared" ca="1" si="6"/>
        <v>756.5</v>
      </c>
      <c r="E116" s="31">
        <f t="shared" ca="1" si="7"/>
        <v>0</v>
      </c>
      <c r="F116" s="40">
        <f t="shared" ca="1" si="8"/>
        <v>27.5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19320227</v>
      </c>
      <c r="C117" s="26" t="str">
        <f>INDEX(Data,2,2+MOD(ROWS(C$2:C117)-1,2))</f>
        <v>15.00</v>
      </c>
      <c r="D117" s="39">
        <f t="shared" ca="1" si="6"/>
        <v>754.5</v>
      </c>
      <c r="E117" s="31">
        <f t="shared" ca="1" si="7"/>
        <v>0</v>
      </c>
      <c r="F117" s="40">
        <f t="shared" ca="1" si="8"/>
        <v>29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19320228</v>
      </c>
      <c r="C118" s="26" t="str">
        <f>INDEX(Data,2,2+MOD(ROWS(C$2:C118)-1,2))</f>
        <v>08.00</v>
      </c>
      <c r="D118" s="39">
        <f t="shared" ca="1" si="6"/>
        <v>757</v>
      </c>
      <c r="E118" s="31">
        <f t="shared" ca="1" si="7"/>
        <v>0</v>
      </c>
      <c r="F118" s="40">
        <f t="shared" ca="1" si="8"/>
        <v>28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19320228</v>
      </c>
      <c r="C119" s="26" t="str">
        <f>INDEX(Data,2,2+MOD(ROWS(C$2:C119)-1,2))</f>
        <v>15.00</v>
      </c>
      <c r="D119" s="39">
        <f t="shared" ca="1" si="6"/>
        <v>756</v>
      </c>
      <c r="E119" s="31">
        <f t="shared" ca="1" si="7"/>
        <v>0</v>
      </c>
      <c r="F119" s="40">
        <f t="shared" ca="1" si="8"/>
        <v>29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19320229</v>
      </c>
      <c r="C120" s="26" t="str">
        <f>INDEX(Data,2,2+MOD(ROWS(C$2:C120)-1,2))</f>
        <v>08.00</v>
      </c>
      <c r="D120" s="39">
        <f t="shared" ca="1" si="6"/>
        <v>757</v>
      </c>
      <c r="E120" s="31">
        <f t="shared" ca="1" si="7"/>
        <v>0</v>
      </c>
      <c r="F120" s="40">
        <f t="shared" ca="1" si="8"/>
        <v>28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19320229</v>
      </c>
      <c r="C121" s="26" t="str">
        <f>INDEX(Data,2,2+MOD(ROWS(C$2:C121)-1,2))</f>
        <v>15.00</v>
      </c>
      <c r="D121" s="39">
        <f t="shared" ca="1" si="6"/>
        <v>756</v>
      </c>
      <c r="E121" s="31">
        <f t="shared" ca="1" si="7"/>
        <v>0</v>
      </c>
      <c r="F121" s="40">
        <f t="shared" ca="1" si="8"/>
        <v>29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19320301</v>
      </c>
      <c r="C122" s="26" t="str">
        <f>INDEX(Data,2,2+MOD(ROWS(C$2:C122)-1,2))</f>
        <v>08.00</v>
      </c>
      <c r="D122" s="39">
        <f t="shared" ca="1" si="6"/>
        <v>756.5</v>
      </c>
      <c r="E122" s="31">
        <f t="shared" ca="1" si="7"/>
        <v>0</v>
      </c>
      <c r="F122" s="40">
        <f t="shared" ca="1" si="8"/>
        <v>27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19320301</v>
      </c>
      <c r="C123" s="26" t="str">
        <f>INDEX(Data,2,2+MOD(ROWS(C$2:C123)-1,2))</f>
        <v>15.00</v>
      </c>
      <c r="D123" s="39">
        <f t="shared" ca="1" si="6"/>
        <v>753.5</v>
      </c>
      <c r="E123" s="31">
        <f t="shared" ca="1" si="7"/>
        <v>0</v>
      </c>
      <c r="F123" s="40">
        <f t="shared" ca="1" si="8"/>
        <v>29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19320302</v>
      </c>
      <c r="C124" s="26" t="str">
        <f>INDEX(Data,2,2+MOD(ROWS(C$2:C124)-1,2))</f>
        <v>08.00</v>
      </c>
      <c r="D124" s="39">
        <f t="shared" ca="1" si="6"/>
        <v>755.5</v>
      </c>
      <c r="E124" s="31">
        <f t="shared" ca="1" si="7"/>
        <v>0</v>
      </c>
      <c r="F124" s="40">
        <f t="shared" ca="1" si="8"/>
        <v>27.5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19320302</v>
      </c>
      <c r="C125" s="26" t="str">
        <f>INDEX(Data,2,2+MOD(ROWS(C$2:C125)-1,2))</f>
        <v>15.00</v>
      </c>
      <c r="D125" s="39">
        <f t="shared" ca="1" si="6"/>
        <v>754</v>
      </c>
      <c r="E125" s="31">
        <f t="shared" ca="1" si="7"/>
        <v>0</v>
      </c>
      <c r="F125" s="40">
        <f t="shared" ca="1" si="8"/>
        <v>29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19320303</v>
      </c>
      <c r="C126" s="26" t="str">
        <f>INDEX(Data,2,2+MOD(ROWS(C$2:C126)-1,2))</f>
        <v>08.00</v>
      </c>
      <c r="D126" s="39">
        <f t="shared" ca="1" si="6"/>
        <v>756</v>
      </c>
      <c r="E126" s="31">
        <f t="shared" ca="1" si="7"/>
        <v>0</v>
      </c>
      <c r="F126" s="40">
        <f t="shared" ca="1" si="8"/>
        <v>28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19320303</v>
      </c>
      <c r="C127" s="26" t="str">
        <f>INDEX(Data,2,2+MOD(ROWS(C$2:C127)-1,2))</f>
        <v>15.00</v>
      </c>
      <c r="D127" s="39">
        <f t="shared" ca="1" si="6"/>
        <v>754</v>
      </c>
      <c r="E127" s="31">
        <f t="shared" ca="1" si="7"/>
        <v>0</v>
      </c>
      <c r="F127" s="40">
        <f t="shared" ca="1" si="8"/>
        <v>29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19320304</v>
      </c>
      <c r="C128" s="26" t="str">
        <f>INDEX(Data,2,2+MOD(ROWS(C$2:C128)-1,2))</f>
        <v>08.00</v>
      </c>
      <c r="D128" s="39">
        <f t="shared" ca="1" si="6"/>
        <v>756</v>
      </c>
      <c r="E128" s="31">
        <f t="shared" ca="1" si="7"/>
        <v>0</v>
      </c>
      <c r="F128" s="40">
        <f t="shared" ca="1" si="8"/>
        <v>27.5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19320304</v>
      </c>
      <c r="C129" s="26" t="str">
        <f>INDEX(Data,2,2+MOD(ROWS(C$2:C129)-1,2))</f>
        <v>15.00</v>
      </c>
      <c r="D129" s="39">
        <f t="shared" ca="1" si="6"/>
        <v>754</v>
      </c>
      <c r="E129" s="31">
        <f t="shared" ca="1" si="7"/>
        <v>0</v>
      </c>
      <c r="F129" s="40">
        <f t="shared" ca="1" si="8"/>
        <v>29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19320305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755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27.5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19320305</v>
      </c>
      <c r="C131" s="26" t="str">
        <f>INDEX(Data,2,2+MOD(ROWS(C$2:C131)-1,2))</f>
        <v>15.00</v>
      </c>
      <c r="D131" s="39">
        <f t="shared" ca="1" si="11"/>
        <v>753.5</v>
      </c>
      <c r="E131" s="31">
        <f t="shared" ca="1" si="12"/>
        <v>0</v>
      </c>
      <c r="F131" s="40">
        <f t="shared" ca="1" si="13"/>
        <v>29.5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19320306</v>
      </c>
      <c r="C132" s="26" t="str">
        <f>INDEX(Data,2,2+MOD(ROWS(C$2:C132)-1,2))</f>
        <v>08.00</v>
      </c>
      <c r="D132" s="39">
        <f t="shared" ca="1" si="11"/>
        <v>756</v>
      </c>
      <c r="E132" s="31">
        <f t="shared" ca="1" si="12"/>
        <v>0</v>
      </c>
      <c r="F132" s="40">
        <f t="shared" ca="1" si="13"/>
        <v>27.5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19320306</v>
      </c>
      <c r="C133" s="26" t="str">
        <f>INDEX(Data,2,2+MOD(ROWS(C$2:C133)-1,2))</f>
        <v>15.00</v>
      </c>
      <c r="D133" s="39">
        <f t="shared" ca="1" si="11"/>
        <v>754</v>
      </c>
      <c r="E133" s="31">
        <f t="shared" ca="1" si="12"/>
        <v>0</v>
      </c>
      <c r="F133" s="40">
        <f t="shared" ca="1" si="13"/>
        <v>29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19320307</v>
      </c>
      <c r="C134" s="26" t="str">
        <f>INDEX(Data,2,2+MOD(ROWS(C$2:C134)-1,2))</f>
        <v>08.00</v>
      </c>
      <c r="D134" s="39">
        <f t="shared" ca="1" si="11"/>
        <v>756.5</v>
      </c>
      <c r="E134" s="31">
        <f t="shared" ca="1" si="12"/>
        <v>0</v>
      </c>
      <c r="F134" s="40">
        <f t="shared" ca="1" si="13"/>
        <v>28.5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19320307</v>
      </c>
      <c r="C135" s="26" t="str">
        <f>INDEX(Data,2,2+MOD(ROWS(C$2:C135)-1,2))</f>
        <v>15.00</v>
      </c>
      <c r="D135" s="39">
        <f t="shared" ca="1" si="11"/>
        <v>754</v>
      </c>
      <c r="E135" s="31">
        <f t="shared" ca="1" si="12"/>
        <v>0</v>
      </c>
      <c r="F135" s="40">
        <f t="shared" ca="1" si="13"/>
        <v>30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19320308</v>
      </c>
      <c r="C136" s="26" t="str">
        <f>INDEX(Data,2,2+MOD(ROWS(C$2:C136)-1,2))</f>
        <v>08.00</v>
      </c>
      <c r="D136" s="39">
        <f t="shared" ca="1" si="11"/>
        <v>756.5</v>
      </c>
      <c r="E136" s="31">
        <f t="shared" ca="1" si="12"/>
        <v>0</v>
      </c>
      <c r="F136" s="40">
        <f t="shared" ca="1" si="13"/>
        <v>28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19320308</v>
      </c>
      <c r="C137" s="26" t="str">
        <f>INDEX(Data,2,2+MOD(ROWS(C$2:C137)-1,2))</f>
        <v>15.00</v>
      </c>
      <c r="D137" s="39">
        <f t="shared" ca="1" si="11"/>
        <v>755</v>
      </c>
      <c r="E137" s="31">
        <f t="shared" ca="1" si="12"/>
        <v>0</v>
      </c>
      <c r="F137" s="40">
        <f t="shared" ca="1" si="13"/>
        <v>29.5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19320309</v>
      </c>
      <c r="C138" s="26" t="str">
        <f>INDEX(Data,2,2+MOD(ROWS(C$2:C138)-1,2))</f>
        <v>08.00</v>
      </c>
      <c r="D138" s="39">
        <f t="shared" ca="1" si="11"/>
        <v>756.5</v>
      </c>
      <c r="E138" s="31">
        <f t="shared" ca="1" si="12"/>
        <v>0</v>
      </c>
      <c r="F138" s="40">
        <f t="shared" ca="1" si="13"/>
        <v>28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19320309</v>
      </c>
      <c r="C139" s="26" t="str">
        <f>INDEX(Data,2,2+MOD(ROWS(C$2:C139)-1,2))</f>
        <v>15.00</v>
      </c>
      <c r="D139" s="39">
        <f t="shared" ca="1" si="11"/>
        <v>755</v>
      </c>
      <c r="E139" s="31">
        <f t="shared" ca="1" si="12"/>
        <v>0</v>
      </c>
      <c r="F139" s="40">
        <f t="shared" ca="1" si="13"/>
        <v>30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19320310</v>
      </c>
      <c r="C140" s="26" t="str">
        <f>INDEX(Data,2,2+MOD(ROWS(C$2:C140)-1,2))</f>
        <v>08.00</v>
      </c>
      <c r="D140" s="39">
        <f t="shared" ca="1" si="11"/>
        <v>757</v>
      </c>
      <c r="E140" s="31">
        <f t="shared" ca="1" si="12"/>
        <v>0</v>
      </c>
      <c r="F140" s="40">
        <f t="shared" ca="1" si="13"/>
        <v>28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19320310</v>
      </c>
      <c r="C141" s="26" t="str">
        <f>INDEX(Data,2,2+MOD(ROWS(C$2:C141)-1,2))</f>
        <v>15.00</v>
      </c>
      <c r="D141" s="39">
        <f t="shared" ca="1" si="11"/>
        <v>755.5</v>
      </c>
      <c r="E141" s="31">
        <f t="shared" ca="1" si="12"/>
        <v>0</v>
      </c>
      <c r="F141" s="40">
        <f t="shared" ca="1" si="13"/>
        <v>29.5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19320311</v>
      </c>
      <c r="C142" s="26" t="str">
        <f>INDEX(Data,2,2+MOD(ROWS(C$2:C142)-1,2))</f>
        <v>08.00</v>
      </c>
      <c r="D142" s="39">
        <f t="shared" ca="1" si="11"/>
        <v>758</v>
      </c>
      <c r="E142" s="31">
        <f t="shared" ca="1" si="12"/>
        <v>0</v>
      </c>
      <c r="F142" s="40">
        <f t="shared" ca="1" si="13"/>
        <v>28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19320311</v>
      </c>
      <c r="C143" s="26" t="str">
        <f>INDEX(Data,2,2+MOD(ROWS(C$2:C143)-1,2))</f>
        <v>15.00</v>
      </c>
      <c r="D143" s="39">
        <f t="shared" ca="1" si="11"/>
        <v>755.5</v>
      </c>
      <c r="E143" s="31">
        <f t="shared" ca="1" si="12"/>
        <v>0</v>
      </c>
      <c r="F143" s="40">
        <f t="shared" ca="1" si="13"/>
        <v>30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19320312</v>
      </c>
      <c r="C144" s="26" t="str">
        <f>INDEX(Data,2,2+MOD(ROWS(C$2:C144)-1,2))</f>
        <v>08.00</v>
      </c>
      <c r="D144" s="39">
        <f t="shared" ca="1" si="11"/>
        <v>757.5</v>
      </c>
      <c r="E144" s="31">
        <f t="shared" ca="1" si="12"/>
        <v>0</v>
      </c>
      <c r="F144" s="40">
        <f t="shared" ca="1" si="13"/>
        <v>28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19320312</v>
      </c>
      <c r="C145" s="26" t="str">
        <f>INDEX(Data,2,2+MOD(ROWS(C$2:C145)-1,2))</f>
        <v>15.00</v>
      </c>
      <c r="D145" s="39">
        <f t="shared" ca="1" si="11"/>
        <v>755.5</v>
      </c>
      <c r="E145" s="31">
        <f t="shared" ca="1" si="12"/>
        <v>0</v>
      </c>
      <c r="F145" s="40">
        <f t="shared" ca="1" si="13"/>
        <v>30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19320313</v>
      </c>
      <c r="C146" s="26" t="str">
        <f>INDEX(Data,2,2+MOD(ROWS(C$2:C146)-1,2))</f>
        <v>08.00</v>
      </c>
      <c r="D146" s="39">
        <f t="shared" ca="1" si="11"/>
        <v>758</v>
      </c>
      <c r="E146" s="31">
        <f t="shared" ca="1" si="12"/>
        <v>0</v>
      </c>
      <c r="F146" s="40">
        <f t="shared" ca="1" si="13"/>
        <v>29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19320313</v>
      </c>
      <c r="C147" s="26" t="str">
        <f>INDEX(Data,2,2+MOD(ROWS(C$2:C147)-1,2))</f>
        <v>15.00</v>
      </c>
      <c r="D147" s="39">
        <f t="shared" ca="1" si="11"/>
        <v>755</v>
      </c>
      <c r="E147" s="31">
        <f t="shared" ca="1" si="12"/>
        <v>0</v>
      </c>
      <c r="F147" s="40">
        <f t="shared" ca="1" si="13"/>
        <v>30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19320314</v>
      </c>
      <c r="C148" s="26" t="str">
        <f>INDEX(Data,2,2+MOD(ROWS(C$2:C148)-1,2))</f>
        <v>08.00</v>
      </c>
      <c r="D148" s="39">
        <f t="shared" ca="1" si="11"/>
        <v>756.5</v>
      </c>
      <c r="E148" s="31">
        <f t="shared" ca="1" si="12"/>
        <v>0</v>
      </c>
      <c r="F148" s="40">
        <f t="shared" ca="1" si="13"/>
        <v>28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19320314</v>
      </c>
      <c r="C149" s="26" t="str">
        <f>INDEX(Data,2,2+MOD(ROWS(C$2:C149)-1,2))</f>
        <v>15.00</v>
      </c>
      <c r="D149" s="39">
        <f t="shared" ca="1" si="11"/>
        <v>754</v>
      </c>
      <c r="E149" s="31">
        <f t="shared" ca="1" si="12"/>
        <v>0</v>
      </c>
      <c r="F149" s="40">
        <f t="shared" ca="1" si="13"/>
        <v>30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19320315</v>
      </c>
      <c r="C150" s="26" t="str">
        <f>INDEX(Data,2,2+MOD(ROWS(C$2:C150)-1,2))</f>
        <v>08.00</v>
      </c>
      <c r="D150" s="39">
        <f t="shared" ca="1" si="11"/>
        <v>757.5</v>
      </c>
      <c r="E150" s="31">
        <f t="shared" ca="1" si="12"/>
        <v>0</v>
      </c>
      <c r="F150" s="40">
        <f t="shared" ca="1" si="13"/>
        <v>28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19320315</v>
      </c>
      <c r="C151" s="26" t="str">
        <f>INDEX(Data,2,2+MOD(ROWS(C$2:C151)-1,2))</f>
        <v>15.00</v>
      </c>
      <c r="D151" s="39">
        <f t="shared" ca="1" si="11"/>
        <v>755.5</v>
      </c>
      <c r="E151" s="31">
        <f t="shared" ca="1" si="12"/>
        <v>0</v>
      </c>
      <c r="F151" s="40">
        <f t="shared" ca="1" si="13"/>
        <v>30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19320316</v>
      </c>
      <c r="C152" s="26" t="str">
        <f>INDEX(Data,2,2+MOD(ROWS(C$2:C152)-1,2))</f>
        <v>08.00</v>
      </c>
      <c r="D152" s="39">
        <f t="shared" ca="1" si="11"/>
        <v>757.5</v>
      </c>
      <c r="E152" s="31">
        <f t="shared" ca="1" si="12"/>
        <v>0</v>
      </c>
      <c r="F152" s="40">
        <f t="shared" ca="1" si="13"/>
        <v>28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19320316</v>
      </c>
      <c r="C153" s="26" t="str">
        <f>INDEX(Data,2,2+MOD(ROWS(C$2:C153)-1,2))</f>
        <v>15.00</v>
      </c>
      <c r="D153" s="39">
        <f t="shared" ca="1" si="11"/>
        <v>755.5</v>
      </c>
      <c r="E153" s="31">
        <f t="shared" ca="1" si="12"/>
        <v>0</v>
      </c>
      <c r="F153" s="40">
        <f t="shared" ca="1" si="13"/>
        <v>29.5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19320317</v>
      </c>
      <c r="C154" s="26" t="str">
        <f>INDEX(Data,2,2+MOD(ROWS(C$2:C154)-1,2))</f>
        <v>08.00</v>
      </c>
      <c r="D154" s="39">
        <f t="shared" ca="1" si="11"/>
        <v>757.5</v>
      </c>
      <c r="E154" s="31">
        <f t="shared" ca="1" si="12"/>
        <v>0</v>
      </c>
      <c r="F154" s="40">
        <f t="shared" ca="1" si="13"/>
        <v>28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19320317</v>
      </c>
      <c r="C155" s="26" t="str">
        <f>INDEX(Data,2,2+MOD(ROWS(C$2:C155)-1,2))</f>
        <v>15.00</v>
      </c>
      <c r="D155" s="39">
        <f t="shared" ca="1" si="11"/>
        <v>755.5</v>
      </c>
      <c r="E155" s="31">
        <f t="shared" ca="1" si="12"/>
        <v>0</v>
      </c>
      <c r="F155" s="40">
        <f t="shared" ca="1" si="13"/>
        <v>29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19320318</v>
      </c>
      <c r="C156" s="26" t="str">
        <f>INDEX(Data,2,2+MOD(ROWS(C$2:C156)-1,2))</f>
        <v>08.00</v>
      </c>
      <c r="D156" s="39">
        <f t="shared" ca="1" si="11"/>
        <v>756.5</v>
      </c>
      <c r="E156" s="31">
        <f t="shared" ca="1" si="12"/>
        <v>0</v>
      </c>
      <c r="F156" s="40">
        <f t="shared" ca="1" si="13"/>
        <v>28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19320318</v>
      </c>
      <c r="C157" s="26" t="str">
        <f>INDEX(Data,2,2+MOD(ROWS(C$2:C157)-1,2))</f>
        <v>15.00</v>
      </c>
      <c r="D157" s="39">
        <f t="shared" ca="1" si="11"/>
        <v>755</v>
      </c>
      <c r="E157" s="31">
        <f t="shared" ca="1" si="12"/>
        <v>0</v>
      </c>
      <c r="F157" s="40">
        <f t="shared" ca="1" si="13"/>
        <v>29.5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19320319</v>
      </c>
      <c r="C158" s="26" t="str">
        <f>INDEX(Data,2,2+MOD(ROWS(C$2:C158)-1,2))</f>
        <v>08.00</v>
      </c>
      <c r="D158" s="39">
        <f t="shared" ca="1" si="11"/>
        <v>757.5</v>
      </c>
      <c r="E158" s="31">
        <f t="shared" ca="1" si="12"/>
        <v>0</v>
      </c>
      <c r="F158" s="40">
        <f t="shared" ca="1" si="13"/>
        <v>28.5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19320319</v>
      </c>
      <c r="C159" s="26" t="str">
        <f>INDEX(Data,2,2+MOD(ROWS(C$2:C159)-1,2))</f>
        <v>15.00</v>
      </c>
      <c r="D159" s="39">
        <f t="shared" ca="1" si="11"/>
        <v>755.5</v>
      </c>
      <c r="E159" s="31">
        <f t="shared" ca="1" si="12"/>
        <v>0</v>
      </c>
      <c r="F159" s="40">
        <f t="shared" ca="1" si="13"/>
        <v>30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19320320</v>
      </c>
      <c r="C160" s="26" t="str">
        <f>INDEX(Data,2,2+MOD(ROWS(C$2:C160)-1,2))</f>
        <v>08.00</v>
      </c>
      <c r="D160" s="39">
        <f t="shared" ca="1" si="11"/>
        <v>757</v>
      </c>
      <c r="E160" s="31">
        <f t="shared" ca="1" si="12"/>
        <v>0</v>
      </c>
      <c r="F160" s="40">
        <f t="shared" ca="1" si="13"/>
        <v>29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19320320</v>
      </c>
      <c r="C161" s="26" t="str">
        <f>INDEX(Data,2,2+MOD(ROWS(C$2:C161)-1,2))</f>
        <v>15.00</v>
      </c>
      <c r="D161" s="39">
        <f t="shared" ca="1" si="11"/>
        <v>755</v>
      </c>
      <c r="E161" s="31">
        <f t="shared" ca="1" si="12"/>
        <v>0</v>
      </c>
      <c r="F161" s="40">
        <f t="shared" ca="1" si="13"/>
        <v>30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19320321</v>
      </c>
      <c r="C162" s="26" t="str">
        <f>INDEX(Data,2,2+MOD(ROWS(C$2:C162)-1,2))</f>
        <v>08.00</v>
      </c>
      <c r="D162" s="39">
        <f t="shared" ca="1" si="11"/>
        <v>758</v>
      </c>
      <c r="E162" s="31">
        <f t="shared" ca="1" si="12"/>
        <v>0</v>
      </c>
      <c r="F162" s="40">
        <f t="shared" ca="1" si="13"/>
        <v>28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19320321</v>
      </c>
      <c r="C163" s="26" t="str">
        <f>INDEX(Data,2,2+MOD(ROWS(C$2:C163)-1,2))</f>
        <v>15.00</v>
      </c>
      <c r="D163" s="39">
        <f t="shared" ca="1" si="11"/>
        <v>756</v>
      </c>
      <c r="E163" s="31">
        <f t="shared" ca="1" si="12"/>
        <v>0</v>
      </c>
      <c r="F163" s="40">
        <f t="shared" ca="1" si="13"/>
        <v>30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19320322</v>
      </c>
      <c r="C164" s="26" t="str">
        <f>INDEX(Data,2,2+MOD(ROWS(C$2:C164)-1,2))</f>
        <v>08.00</v>
      </c>
      <c r="D164" s="39">
        <f t="shared" ca="1" si="11"/>
        <v>757.5</v>
      </c>
      <c r="E164" s="31">
        <f t="shared" ca="1" si="12"/>
        <v>0</v>
      </c>
      <c r="F164" s="40">
        <f t="shared" ca="1" si="13"/>
        <v>28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19320322</v>
      </c>
      <c r="C165" s="26" t="str">
        <f>INDEX(Data,2,2+MOD(ROWS(C$2:C165)-1,2))</f>
        <v>15.00</v>
      </c>
      <c r="D165" s="39">
        <f t="shared" ca="1" si="11"/>
        <v>755.5</v>
      </c>
      <c r="E165" s="31">
        <f t="shared" ca="1" si="12"/>
        <v>0</v>
      </c>
      <c r="F165" s="40">
        <f t="shared" ca="1" si="13"/>
        <v>30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19320323</v>
      </c>
      <c r="C166" s="26" t="str">
        <f>INDEX(Data,2,2+MOD(ROWS(C$2:C166)-1,2))</f>
        <v>08.00</v>
      </c>
      <c r="D166" s="39">
        <f t="shared" ca="1" si="11"/>
        <v>758.5</v>
      </c>
      <c r="E166" s="31">
        <f t="shared" ca="1" si="12"/>
        <v>0</v>
      </c>
      <c r="F166" s="40">
        <f t="shared" ca="1" si="13"/>
        <v>28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19320323</v>
      </c>
      <c r="C167" s="26" t="str">
        <f>INDEX(Data,2,2+MOD(ROWS(C$2:C167)-1,2))</f>
        <v>15.00</v>
      </c>
      <c r="D167" s="39">
        <f t="shared" ca="1" si="11"/>
        <v>757</v>
      </c>
      <c r="E167" s="31">
        <f t="shared" ca="1" si="12"/>
        <v>0</v>
      </c>
      <c r="F167" s="40">
        <f t="shared" ca="1" si="13"/>
        <v>30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19320324</v>
      </c>
      <c r="C168" s="26" t="str">
        <f>INDEX(Data,2,2+MOD(ROWS(C$2:C168)-1,2))</f>
        <v>08.00</v>
      </c>
      <c r="D168" s="39">
        <f t="shared" ca="1" si="11"/>
        <v>758.5</v>
      </c>
      <c r="E168" s="31">
        <f t="shared" ca="1" si="12"/>
        <v>0</v>
      </c>
      <c r="F168" s="40">
        <f t="shared" ca="1" si="13"/>
        <v>28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19320324</v>
      </c>
      <c r="C169" s="26" t="str">
        <f>INDEX(Data,2,2+MOD(ROWS(C$2:C169)-1,2))</f>
        <v>15.00</v>
      </c>
      <c r="D169" s="39">
        <f t="shared" ca="1" si="11"/>
        <v>757</v>
      </c>
      <c r="E169" s="31">
        <f t="shared" ca="1" si="12"/>
        <v>0</v>
      </c>
      <c r="F169" s="40">
        <f t="shared" ca="1" si="13"/>
        <v>30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19320325</v>
      </c>
      <c r="C170" s="26" t="str">
        <f>INDEX(Data,2,2+MOD(ROWS(C$2:C170)-1,2))</f>
        <v>08.00</v>
      </c>
      <c r="D170" s="39">
        <f t="shared" ca="1" si="11"/>
        <v>757.5</v>
      </c>
      <c r="E170" s="31">
        <f t="shared" ca="1" si="12"/>
        <v>0</v>
      </c>
      <c r="F170" s="40">
        <f t="shared" ca="1" si="13"/>
        <v>29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19320325</v>
      </c>
      <c r="C171" s="26" t="str">
        <f>INDEX(Data,2,2+MOD(ROWS(C$2:C171)-1,2))</f>
        <v>15.00</v>
      </c>
      <c r="D171" s="39">
        <f t="shared" ca="1" si="11"/>
        <v>756</v>
      </c>
      <c r="E171" s="31">
        <f t="shared" ca="1" si="12"/>
        <v>0</v>
      </c>
      <c r="F171" s="40">
        <f t="shared" ca="1" si="13"/>
        <v>30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19320326</v>
      </c>
      <c r="C172" s="26" t="str">
        <f>INDEX(Data,2,2+MOD(ROWS(C$2:C172)-1,2))</f>
        <v>08.00</v>
      </c>
      <c r="D172" s="39">
        <f t="shared" ca="1" si="11"/>
        <v>758.5</v>
      </c>
      <c r="E172" s="31">
        <f t="shared" ca="1" si="12"/>
        <v>0</v>
      </c>
      <c r="F172" s="40">
        <f t="shared" ca="1" si="13"/>
        <v>28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19320326</v>
      </c>
      <c r="C173" s="26" t="str">
        <f>INDEX(Data,2,2+MOD(ROWS(C$2:C173)-1,2))</f>
        <v>15.00</v>
      </c>
      <c r="D173" s="39">
        <f t="shared" ca="1" si="11"/>
        <v>756</v>
      </c>
      <c r="E173" s="31">
        <f t="shared" ca="1" si="12"/>
        <v>0</v>
      </c>
      <c r="F173" s="40">
        <f t="shared" ca="1" si="13"/>
        <v>29.5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19320327</v>
      </c>
      <c r="C174" s="26" t="str">
        <f>INDEX(Data,2,2+MOD(ROWS(C$2:C174)-1,2))</f>
        <v>08.00</v>
      </c>
      <c r="D174" s="39">
        <f t="shared" ca="1" si="11"/>
        <v>757</v>
      </c>
      <c r="E174" s="31">
        <f t="shared" ca="1" si="12"/>
        <v>0</v>
      </c>
      <c r="F174" s="40">
        <f t="shared" ca="1" si="13"/>
        <v>28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19320327</v>
      </c>
      <c r="C175" s="26" t="str">
        <f>INDEX(Data,2,2+MOD(ROWS(C$2:C175)-1,2))</f>
        <v>15.00</v>
      </c>
      <c r="D175" s="39">
        <f t="shared" ca="1" si="11"/>
        <v>755.5</v>
      </c>
      <c r="E175" s="31">
        <f t="shared" ca="1" si="12"/>
        <v>0</v>
      </c>
      <c r="F175" s="40">
        <f t="shared" ca="1" si="13"/>
        <v>29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19320328</v>
      </c>
      <c r="C176" s="26" t="str">
        <f>INDEX(Data,2,2+MOD(ROWS(C$2:C176)-1,2))</f>
        <v>08.00</v>
      </c>
      <c r="D176" s="39">
        <f t="shared" ca="1" si="11"/>
        <v>758</v>
      </c>
      <c r="E176" s="31">
        <f t="shared" ca="1" si="12"/>
        <v>0</v>
      </c>
      <c r="F176" s="40">
        <f t="shared" ca="1" si="13"/>
        <v>28.5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19320328</v>
      </c>
      <c r="C177" s="26" t="str">
        <f>INDEX(Data,2,2+MOD(ROWS(C$2:C177)-1,2))</f>
        <v>15.00</v>
      </c>
      <c r="D177" s="39">
        <f t="shared" ca="1" si="11"/>
        <v>756</v>
      </c>
      <c r="E177" s="31">
        <f t="shared" ca="1" si="12"/>
        <v>0</v>
      </c>
      <c r="F177" s="40">
        <f t="shared" ca="1" si="13"/>
        <v>30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19320329</v>
      </c>
      <c r="C178" s="26" t="str">
        <f>INDEX(Data,2,2+MOD(ROWS(C$2:C178)-1,2))</f>
        <v>08.00</v>
      </c>
      <c r="D178" s="39">
        <f t="shared" ca="1" si="11"/>
        <v>758.5</v>
      </c>
      <c r="E178" s="31">
        <f t="shared" ca="1" si="12"/>
        <v>0</v>
      </c>
      <c r="F178" s="40">
        <f t="shared" ca="1" si="13"/>
        <v>29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19320329</v>
      </c>
      <c r="C179" s="26" t="str">
        <f>INDEX(Data,2,2+MOD(ROWS(C$2:C179)-1,2))</f>
        <v>15.00</v>
      </c>
      <c r="D179" s="39">
        <f t="shared" ca="1" si="11"/>
        <v>756</v>
      </c>
      <c r="E179" s="31">
        <f t="shared" ca="1" si="12"/>
        <v>0</v>
      </c>
      <c r="F179" s="40">
        <f t="shared" ca="1" si="13"/>
        <v>29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19320330</v>
      </c>
      <c r="C180" s="26" t="str">
        <f>INDEX(Data,2,2+MOD(ROWS(C$2:C180)-1,2))</f>
        <v>08.00</v>
      </c>
      <c r="D180" s="39">
        <f t="shared" ca="1" si="11"/>
        <v>758.5</v>
      </c>
      <c r="E180" s="31">
        <f t="shared" ca="1" si="12"/>
        <v>0</v>
      </c>
      <c r="F180" s="40">
        <f t="shared" ca="1" si="13"/>
        <v>28.5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19320330</v>
      </c>
      <c r="C181" s="26" t="str">
        <f>INDEX(Data,2,2+MOD(ROWS(C$2:C181)-1,2))</f>
        <v>15.00</v>
      </c>
      <c r="D181" s="39">
        <f t="shared" ca="1" si="11"/>
        <v>755.5</v>
      </c>
      <c r="E181" s="31">
        <f t="shared" ca="1" si="12"/>
        <v>0</v>
      </c>
      <c r="F181" s="40">
        <f t="shared" ca="1" si="13"/>
        <v>30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19320331</v>
      </c>
      <c r="C182" s="26" t="str">
        <f>INDEX(Data,2,2+MOD(ROWS(C$2:C182)-1,2))</f>
        <v>08.00</v>
      </c>
      <c r="D182" s="39">
        <f t="shared" ca="1" si="11"/>
        <v>757.5</v>
      </c>
      <c r="E182" s="31">
        <f t="shared" ca="1" si="12"/>
        <v>0</v>
      </c>
      <c r="F182" s="40">
        <f t="shared" ca="1" si="13"/>
        <v>28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19320331</v>
      </c>
      <c r="C183" s="26" t="str">
        <f>INDEX(Data,2,2+MOD(ROWS(C$2:C183)-1,2))</f>
        <v>15.00</v>
      </c>
      <c r="D183" s="39">
        <f t="shared" ca="1" si="11"/>
        <v>755.5</v>
      </c>
      <c r="E183" s="31">
        <f t="shared" ca="1" si="12"/>
        <v>0</v>
      </c>
      <c r="F183" s="40">
        <f t="shared" ca="1" si="13"/>
        <v>30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19320401</v>
      </c>
      <c r="C184" s="26" t="str">
        <f>INDEX(Data,2,2+MOD(ROWS(C$2:C184)-1,2))</f>
        <v>08.00</v>
      </c>
      <c r="D184" s="39">
        <f t="shared" ca="1" si="11"/>
        <v>757.5</v>
      </c>
      <c r="E184" s="31">
        <f t="shared" ca="1" si="12"/>
        <v>0</v>
      </c>
      <c r="F184" s="40">
        <f t="shared" ca="1" si="13"/>
        <v>28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19320401</v>
      </c>
      <c r="C185" s="26" t="str">
        <f>INDEX(Data,2,2+MOD(ROWS(C$2:C185)-1,2))</f>
        <v>15.00</v>
      </c>
      <c r="D185" s="39">
        <f t="shared" ca="1" si="11"/>
        <v>755</v>
      </c>
      <c r="E185" s="31">
        <f t="shared" ca="1" si="12"/>
        <v>0</v>
      </c>
      <c r="F185" s="40">
        <f t="shared" ca="1" si="13"/>
        <v>30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19320402</v>
      </c>
      <c r="C186" s="26" t="str">
        <f>INDEX(Data,2,2+MOD(ROWS(C$2:C186)-1,2))</f>
        <v>08.00</v>
      </c>
      <c r="D186" s="39">
        <f t="shared" ca="1" si="11"/>
        <v>757</v>
      </c>
      <c r="E186" s="31">
        <f t="shared" ca="1" si="12"/>
        <v>0</v>
      </c>
      <c r="F186" s="40">
        <f t="shared" ca="1" si="13"/>
        <v>28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19320402</v>
      </c>
      <c r="C187" s="26" t="str">
        <f>INDEX(Data,2,2+MOD(ROWS(C$2:C187)-1,2))</f>
        <v>15.00</v>
      </c>
      <c r="D187" s="39">
        <f t="shared" ca="1" si="11"/>
        <v>755.5</v>
      </c>
      <c r="E187" s="31">
        <f t="shared" ca="1" si="12"/>
        <v>0</v>
      </c>
      <c r="F187" s="40">
        <f t="shared" ca="1" si="13"/>
        <v>29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19320403</v>
      </c>
      <c r="C188" s="26" t="str">
        <f>INDEX(Data,2,2+MOD(ROWS(C$2:C188)-1,2))</f>
        <v>08.00</v>
      </c>
      <c r="D188" s="39">
        <f t="shared" ca="1" si="11"/>
        <v>756.5</v>
      </c>
      <c r="E188" s="31">
        <f t="shared" ca="1" si="12"/>
        <v>0</v>
      </c>
      <c r="F188" s="40">
        <f t="shared" ca="1" si="13"/>
        <v>28.5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19320403</v>
      </c>
      <c r="C189" s="26" t="str">
        <f>INDEX(Data,2,2+MOD(ROWS(C$2:C189)-1,2))</f>
        <v>15.00</v>
      </c>
      <c r="D189" s="39">
        <f t="shared" ca="1" si="11"/>
        <v>754.5</v>
      </c>
      <c r="E189" s="31">
        <f t="shared" ca="1" si="12"/>
        <v>0</v>
      </c>
      <c r="F189" s="40">
        <f t="shared" ca="1" si="13"/>
        <v>30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19320404</v>
      </c>
      <c r="C190" s="26" t="str">
        <f>INDEX(Data,2,2+MOD(ROWS(C$2:C190)-1,2))</f>
        <v>08.00</v>
      </c>
      <c r="D190" s="39">
        <f t="shared" ca="1" si="11"/>
        <v>757</v>
      </c>
      <c r="E190" s="31">
        <f t="shared" ca="1" si="12"/>
        <v>0</v>
      </c>
      <c r="F190" s="40">
        <f t="shared" ca="1" si="13"/>
        <v>28.5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19320404</v>
      </c>
      <c r="C191" s="26" t="str">
        <f>INDEX(Data,2,2+MOD(ROWS(C$2:C191)-1,2))</f>
        <v>15.00</v>
      </c>
      <c r="D191" s="39">
        <f t="shared" ca="1" si="11"/>
        <v>755.5</v>
      </c>
      <c r="E191" s="31">
        <f t="shared" ca="1" si="12"/>
        <v>0</v>
      </c>
      <c r="F191" s="40">
        <f t="shared" ca="1" si="13"/>
        <v>30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19320405</v>
      </c>
      <c r="C192" s="26" t="str">
        <f>INDEX(Data,2,2+MOD(ROWS(C$2:C192)-1,2))</f>
        <v>08.00</v>
      </c>
      <c r="D192" s="39">
        <f t="shared" ca="1" si="11"/>
        <v>757</v>
      </c>
      <c r="E192" s="31">
        <f t="shared" ca="1" si="12"/>
        <v>0</v>
      </c>
      <c r="F192" s="40">
        <f t="shared" ca="1" si="13"/>
        <v>28.5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19320405</v>
      </c>
      <c r="C193" s="26" t="str">
        <f>INDEX(Data,2,2+MOD(ROWS(C$2:C193)-1,2))</f>
        <v>15.00</v>
      </c>
      <c r="D193" s="39">
        <f t="shared" ca="1" si="11"/>
        <v>754.5</v>
      </c>
      <c r="E193" s="31">
        <f t="shared" ca="1" si="12"/>
        <v>0</v>
      </c>
      <c r="F193" s="40">
        <f t="shared" ca="1" si="13"/>
        <v>30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19320406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756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28.5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19320406</v>
      </c>
      <c r="C195" s="26" t="str">
        <f>INDEX(Data,2,2+MOD(ROWS(C$2:C195)-1,2))</f>
        <v>15.00</v>
      </c>
      <c r="D195" s="39">
        <f t="shared" ca="1" si="16"/>
        <v>754</v>
      </c>
      <c r="E195" s="31">
        <f t="shared" ca="1" si="17"/>
        <v>0</v>
      </c>
      <c r="F195" s="40">
        <f t="shared" ca="1" si="18"/>
        <v>29.5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19320407</v>
      </c>
      <c r="C196" s="26" t="str">
        <f>INDEX(Data,2,2+MOD(ROWS(C$2:C196)-1,2))</f>
        <v>08.00</v>
      </c>
      <c r="D196" s="39">
        <f t="shared" ca="1" si="16"/>
        <v>755.5</v>
      </c>
      <c r="E196" s="31">
        <f t="shared" ca="1" si="17"/>
        <v>0</v>
      </c>
      <c r="F196" s="40">
        <f t="shared" ca="1" si="18"/>
        <v>29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19320407</v>
      </c>
      <c r="C197" s="26" t="str">
        <f>INDEX(Data,2,2+MOD(ROWS(C$2:C197)-1,2))</f>
        <v>15.00</v>
      </c>
      <c r="D197" s="39">
        <f t="shared" ca="1" si="16"/>
        <v>753.5</v>
      </c>
      <c r="E197" s="31">
        <f t="shared" ca="1" si="17"/>
        <v>0</v>
      </c>
      <c r="F197" s="40">
        <f t="shared" ca="1" si="18"/>
        <v>30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19320408</v>
      </c>
      <c r="C198" s="26" t="str">
        <f>INDEX(Data,2,2+MOD(ROWS(C$2:C198)-1,2))</f>
        <v>08.00</v>
      </c>
      <c r="D198" s="39">
        <f t="shared" ca="1" si="16"/>
        <v>755.5</v>
      </c>
      <c r="E198" s="31">
        <f t="shared" ca="1" si="17"/>
        <v>0</v>
      </c>
      <c r="F198" s="40">
        <f t="shared" ca="1" si="18"/>
        <v>29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19320408</v>
      </c>
      <c r="C199" s="26" t="str">
        <f>INDEX(Data,2,2+MOD(ROWS(C$2:C199)-1,2))</f>
        <v>15.00</v>
      </c>
      <c r="D199" s="39">
        <f t="shared" ca="1" si="16"/>
        <v>753.5</v>
      </c>
      <c r="E199" s="31">
        <f t="shared" ca="1" si="17"/>
        <v>0</v>
      </c>
      <c r="F199" s="40">
        <f t="shared" ca="1" si="18"/>
        <v>30.5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19320409</v>
      </c>
      <c r="C200" s="26" t="str">
        <f>INDEX(Data,2,2+MOD(ROWS(C$2:C200)-1,2))</f>
        <v>08.00</v>
      </c>
      <c r="D200" s="39">
        <f t="shared" ca="1" si="16"/>
        <v>754.5</v>
      </c>
      <c r="E200" s="31">
        <f t="shared" ca="1" si="17"/>
        <v>0</v>
      </c>
      <c r="F200" s="40">
        <f t="shared" ca="1" si="18"/>
        <v>29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19320409</v>
      </c>
      <c r="C201" s="26" t="str">
        <f>INDEX(Data,2,2+MOD(ROWS(C$2:C201)-1,2))</f>
        <v>15.00</v>
      </c>
      <c r="D201" s="39">
        <f t="shared" ca="1" si="16"/>
        <v>752.5</v>
      </c>
      <c r="E201" s="31">
        <f t="shared" ca="1" si="17"/>
        <v>0</v>
      </c>
      <c r="F201" s="40">
        <f t="shared" ca="1" si="18"/>
        <v>30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19320410</v>
      </c>
      <c r="C202" s="26" t="str">
        <f>INDEX(Data,2,2+MOD(ROWS(C$2:C202)-1,2))</f>
        <v>08.00</v>
      </c>
      <c r="D202" s="39">
        <f t="shared" ca="1" si="16"/>
        <v>756</v>
      </c>
      <c r="E202" s="31">
        <f t="shared" ca="1" si="17"/>
        <v>0</v>
      </c>
      <c r="F202" s="40">
        <f t="shared" ca="1" si="18"/>
        <v>28.5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19320410</v>
      </c>
      <c r="C203" s="26" t="str">
        <f>INDEX(Data,2,2+MOD(ROWS(C$2:C203)-1,2))</f>
        <v>15.00</v>
      </c>
      <c r="D203" s="39">
        <f t="shared" ca="1" si="16"/>
        <v>754</v>
      </c>
      <c r="E203" s="31">
        <f t="shared" ca="1" si="17"/>
        <v>0</v>
      </c>
      <c r="F203" s="40">
        <f t="shared" ca="1" si="18"/>
        <v>29.5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19320411</v>
      </c>
      <c r="C204" s="26" t="str">
        <f>INDEX(Data,2,2+MOD(ROWS(C$2:C204)-1,2))</f>
        <v>08.00</v>
      </c>
      <c r="D204" s="39">
        <f t="shared" ca="1" si="16"/>
        <v>755.5</v>
      </c>
      <c r="E204" s="31">
        <f t="shared" ca="1" si="17"/>
        <v>0</v>
      </c>
      <c r="F204" s="40">
        <f t="shared" ca="1" si="18"/>
        <v>29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19320411</v>
      </c>
      <c r="C205" s="26" t="str">
        <f>INDEX(Data,2,2+MOD(ROWS(C$2:C205)-1,2))</f>
        <v>15.00</v>
      </c>
      <c r="D205" s="39">
        <f t="shared" ca="1" si="16"/>
        <v>753.5</v>
      </c>
      <c r="E205" s="31">
        <f t="shared" ca="1" si="17"/>
        <v>0</v>
      </c>
      <c r="F205" s="40">
        <f t="shared" ca="1" si="18"/>
        <v>30.5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19320412</v>
      </c>
      <c r="C206" s="26" t="str">
        <f>INDEX(Data,2,2+MOD(ROWS(C$2:C206)-1,2))</f>
        <v>08.00</v>
      </c>
      <c r="D206" s="39">
        <f t="shared" ca="1" si="16"/>
        <v>756</v>
      </c>
      <c r="E206" s="31">
        <f t="shared" ca="1" si="17"/>
        <v>0</v>
      </c>
      <c r="F206" s="40">
        <f t="shared" ca="1" si="18"/>
        <v>29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19320412</v>
      </c>
      <c r="C207" s="26" t="str">
        <f>INDEX(Data,2,2+MOD(ROWS(C$2:C207)-1,2))</f>
        <v>15.00</v>
      </c>
      <c r="D207" s="39">
        <f t="shared" ca="1" si="16"/>
        <v>753.5</v>
      </c>
      <c r="E207" s="31">
        <f t="shared" ca="1" si="17"/>
        <v>0</v>
      </c>
      <c r="F207" s="40">
        <f t="shared" ca="1" si="18"/>
        <v>30.5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19320413</v>
      </c>
      <c r="C208" s="26" t="str">
        <f>INDEX(Data,2,2+MOD(ROWS(C$2:C208)-1,2))</f>
        <v>08.00</v>
      </c>
      <c r="D208" s="39">
        <f t="shared" ca="1" si="16"/>
        <v>756.5</v>
      </c>
      <c r="E208" s="31">
        <f t="shared" ca="1" si="17"/>
        <v>0</v>
      </c>
      <c r="F208" s="40">
        <f t="shared" ca="1" si="18"/>
        <v>29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19320413</v>
      </c>
      <c r="C209" s="26" t="str">
        <f>INDEX(Data,2,2+MOD(ROWS(C$2:C209)-1,2))</f>
        <v>15.00</v>
      </c>
      <c r="D209" s="39">
        <f t="shared" ca="1" si="16"/>
        <v>754.5</v>
      </c>
      <c r="E209" s="31">
        <f t="shared" ca="1" si="17"/>
        <v>0</v>
      </c>
      <c r="F209" s="40">
        <f t="shared" ca="1" si="18"/>
        <v>30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19320414</v>
      </c>
      <c r="C210" s="26" t="str">
        <f>INDEX(Data,2,2+MOD(ROWS(C$2:C210)-1,2))</f>
        <v>08.00</v>
      </c>
      <c r="D210" s="39">
        <f t="shared" ca="1" si="16"/>
        <v>757</v>
      </c>
      <c r="E210" s="31">
        <f t="shared" ca="1" si="17"/>
        <v>0</v>
      </c>
      <c r="F210" s="40">
        <f t="shared" ca="1" si="18"/>
        <v>28.5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19320414</v>
      </c>
      <c r="C211" s="26" t="str">
        <f>INDEX(Data,2,2+MOD(ROWS(C$2:C211)-1,2))</f>
        <v>15.00</v>
      </c>
      <c r="D211" s="39">
        <f t="shared" ca="1" si="16"/>
        <v>755</v>
      </c>
      <c r="E211" s="31">
        <f t="shared" ca="1" si="17"/>
        <v>0</v>
      </c>
      <c r="F211" s="40">
        <f t="shared" ca="1" si="18"/>
        <v>30.5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19320415</v>
      </c>
      <c r="C212" s="26" t="str">
        <f>INDEX(Data,2,2+MOD(ROWS(C$2:C212)-1,2))</f>
        <v>08.00</v>
      </c>
      <c r="D212" s="39">
        <f t="shared" ca="1" si="16"/>
        <v>757.5</v>
      </c>
      <c r="E212" s="31">
        <f t="shared" ca="1" si="17"/>
        <v>0</v>
      </c>
      <c r="F212" s="40">
        <f t="shared" ca="1" si="18"/>
        <v>29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19320415</v>
      </c>
      <c r="C213" s="26" t="str">
        <f>INDEX(Data,2,2+MOD(ROWS(C$2:C213)-1,2))</f>
        <v>15.00</v>
      </c>
      <c r="D213" s="39">
        <f t="shared" ca="1" si="16"/>
        <v>755</v>
      </c>
      <c r="E213" s="31">
        <f t="shared" ca="1" si="17"/>
        <v>0</v>
      </c>
      <c r="F213" s="40">
        <f t="shared" ca="1" si="18"/>
        <v>30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19320416</v>
      </c>
      <c r="C214" s="26" t="str">
        <f>INDEX(Data,2,2+MOD(ROWS(C$2:C214)-1,2))</f>
        <v>08.00</v>
      </c>
      <c r="D214" s="39">
        <f t="shared" ca="1" si="16"/>
        <v>756.5</v>
      </c>
      <c r="E214" s="31">
        <f t="shared" ca="1" si="17"/>
        <v>0</v>
      </c>
      <c r="F214" s="40">
        <f t="shared" ca="1" si="18"/>
        <v>29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19320416</v>
      </c>
      <c r="C215" s="26" t="str">
        <f>INDEX(Data,2,2+MOD(ROWS(C$2:C215)-1,2))</f>
        <v>15.00</v>
      </c>
      <c r="D215" s="39">
        <f t="shared" ca="1" si="16"/>
        <v>753.5</v>
      </c>
      <c r="E215" s="31">
        <f t="shared" ca="1" si="17"/>
        <v>0</v>
      </c>
      <c r="F215" s="40">
        <f t="shared" ca="1" si="18"/>
        <v>30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19320417</v>
      </c>
      <c r="C216" s="26" t="str">
        <f>INDEX(Data,2,2+MOD(ROWS(C$2:C216)-1,2))</f>
        <v>08.00</v>
      </c>
      <c r="D216" s="39">
        <f t="shared" ca="1" si="16"/>
        <v>756</v>
      </c>
      <c r="E216" s="31">
        <f t="shared" ca="1" si="17"/>
        <v>0</v>
      </c>
      <c r="F216" s="40">
        <f t="shared" ca="1" si="18"/>
        <v>29.5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19320417</v>
      </c>
      <c r="C217" s="26" t="str">
        <f>INDEX(Data,2,2+MOD(ROWS(C$2:C217)-1,2))</f>
        <v>15.00</v>
      </c>
      <c r="D217" s="39">
        <f t="shared" ca="1" si="16"/>
        <v>754</v>
      </c>
      <c r="E217" s="31">
        <f t="shared" ca="1" si="17"/>
        <v>0</v>
      </c>
      <c r="F217" s="40">
        <f t="shared" ca="1" si="18"/>
        <v>30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19320418</v>
      </c>
      <c r="C218" s="26" t="str">
        <f>INDEX(Data,2,2+MOD(ROWS(C$2:C218)-1,2))</f>
        <v>08.00</v>
      </c>
      <c r="D218" s="39">
        <f t="shared" ca="1" si="16"/>
        <v>755</v>
      </c>
      <c r="E218" s="31">
        <f t="shared" ca="1" si="17"/>
        <v>0</v>
      </c>
      <c r="F218" s="40">
        <f t="shared" ca="1" si="18"/>
        <v>29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19320418</v>
      </c>
      <c r="C219" s="26" t="str">
        <f>INDEX(Data,2,2+MOD(ROWS(C$2:C219)-1,2))</f>
        <v>15.00</v>
      </c>
      <c r="D219" s="39">
        <f t="shared" ca="1" si="16"/>
        <v>757.5</v>
      </c>
      <c r="E219" s="31">
        <f t="shared" ca="1" si="17"/>
        <v>0</v>
      </c>
      <c r="F219" s="40">
        <f t="shared" ca="1" si="18"/>
        <v>30.5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19320419</v>
      </c>
      <c r="C220" s="26" t="str">
        <f>INDEX(Data,2,2+MOD(ROWS(C$2:C220)-1,2))</f>
        <v>08.00</v>
      </c>
      <c r="D220" s="39">
        <f t="shared" ca="1" si="16"/>
        <v>755</v>
      </c>
      <c r="E220" s="31">
        <f t="shared" ca="1" si="17"/>
        <v>0</v>
      </c>
      <c r="F220" s="40">
        <f t="shared" ca="1" si="18"/>
        <v>29.5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19320419</v>
      </c>
      <c r="C221" s="26" t="str">
        <f>INDEX(Data,2,2+MOD(ROWS(C$2:C221)-1,2))</f>
        <v>15.00</v>
      </c>
      <c r="D221" s="39">
        <f t="shared" ca="1" si="16"/>
        <v>754</v>
      </c>
      <c r="E221" s="31">
        <f t="shared" ca="1" si="17"/>
        <v>0</v>
      </c>
      <c r="F221" s="40">
        <f t="shared" ca="1" si="18"/>
        <v>29.5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19320420</v>
      </c>
      <c r="C222" s="26" t="str">
        <f>INDEX(Data,2,2+MOD(ROWS(C$2:C222)-1,2))</f>
        <v>08.00</v>
      </c>
      <c r="D222" s="39">
        <f t="shared" ca="1" si="16"/>
        <v>756</v>
      </c>
      <c r="E222" s="31">
        <f t="shared" ca="1" si="17"/>
        <v>0</v>
      </c>
      <c r="F222" s="40">
        <f t="shared" ca="1" si="18"/>
        <v>29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19320420</v>
      </c>
      <c r="C223" s="26" t="str">
        <f>INDEX(Data,2,2+MOD(ROWS(C$2:C223)-1,2))</f>
        <v>15.00</v>
      </c>
      <c r="D223" s="39">
        <f t="shared" ca="1" si="16"/>
        <v>753.5</v>
      </c>
      <c r="E223" s="31">
        <f t="shared" ca="1" si="17"/>
        <v>0</v>
      </c>
      <c r="F223" s="40">
        <f t="shared" ca="1" si="18"/>
        <v>31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19320421</v>
      </c>
      <c r="C224" s="26" t="str">
        <f>INDEX(Data,2,2+MOD(ROWS(C$2:C224)-1,2))</f>
        <v>08.00</v>
      </c>
      <c r="D224" s="39">
        <f t="shared" ca="1" si="16"/>
        <v>754.5</v>
      </c>
      <c r="E224" s="31">
        <f t="shared" ca="1" si="17"/>
        <v>0</v>
      </c>
      <c r="F224" s="40">
        <f t="shared" ca="1" si="18"/>
        <v>29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19320421</v>
      </c>
      <c r="C225" s="26" t="str">
        <f>INDEX(Data,2,2+MOD(ROWS(C$2:C225)-1,2))</f>
        <v>15.00</v>
      </c>
      <c r="D225" s="39">
        <f t="shared" ca="1" si="16"/>
        <v>751.5</v>
      </c>
      <c r="E225" s="31">
        <f t="shared" ca="1" si="17"/>
        <v>0</v>
      </c>
      <c r="F225" s="40">
        <f t="shared" ca="1" si="18"/>
        <v>31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19320422</v>
      </c>
      <c r="C226" s="26" t="str">
        <f>INDEX(Data,2,2+MOD(ROWS(C$2:C226)-1,2))</f>
        <v>08.00</v>
      </c>
      <c r="D226" s="39">
        <f t="shared" ca="1" si="16"/>
        <v>753.5</v>
      </c>
      <c r="E226" s="31">
        <f t="shared" ca="1" si="17"/>
        <v>0</v>
      </c>
      <c r="F226" s="40">
        <f t="shared" ca="1" si="18"/>
        <v>29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19320422</v>
      </c>
      <c r="C227" s="26" t="str">
        <f>INDEX(Data,2,2+MOD(ROWS(C$2:C227)-1,2))</f>
        <v>15.00</v>
      </c>
      <c r="D227" s="39">
        <f t="shared" ca="1" si="16"/>
        <v>750</v>
      </c>
      <c r="E227" s="31">
        <f t="shared" ca="1" si="17"/>
        <v>0</v>
      </c>
      <c r="F227" s="40">
        <f t="shared" ca="1" si="18"/>
        <v>31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19320423</v>
      </c>
      <c r="C228" s="26" t="str">
        <f>INDEX(Data,2,2+MOD(ROWS(C$2:C228)-1,2))</f>
        <v>08.00</v>
      </c>
      <c r="D228" s="39">
        <f t="shared" ca="1" si="16"/>
        <v>753</v>
      </c>
      <c r="E228" s="31">
        <f t="shared" ca="1" si="17"/>
        <v>0</v>
      </c>
      <c r="F228" s="40">
        <f t="shared" ca="1" si="18"/>
        <v>29.5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19320423</v>
      </c>
      <c r="C229" s="26" t="str">
        <f>INDEX(Data,2,2+MOD(ROWS(C$2:C229)-1,2))</f>
        <v>15.00</v>
      </c>
      <c r="D229" s="39">
        <f t="shared" ca="1" si="16"/>
        <v>751</v>
      </c>
      <c r="E229" s="31">
        <f t="shared" ca="1" si="17"/>
        <v>0</v>
      </c>
      <c r="F229" s="40">
        <f t="shared" ca="1" si="18"/>
        <v>32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19320424</v>
      </c>
      <c r="C230" s="26" t="str">
        <f>INDEX(Data,2,2+MOD(ROWS(C$2:C230)-1,2))</f>
        <v>08.00</v>
      </c>
      <c r="D230" s="39">
        <f t="shared" ca="1" si="16"/>
        <v>754.5</v>
      </c>
      <c r="E230" s="31">
        <f t="shared" ca="1" si="17"/>
        <v>0</v>
      </c>
      <c r="F230" s="40">
        <f t="shared" ca="1" si="18"/>
        <v>29.5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19320424</v>
      </c>
      <c r="C231" s="26" t="str">
        <f>INDEX(Data,2,2+MOD(ROWS(C$2:C231)-1,2))</f>
        <v>15.00</v>
      </c>
      <c r="D231" s="39">
        <f t="shared" ca="1" si="16"/>
        <v>752</v>
      </c>
      <c r="E231" s="31">
        <f t="shared" ca="1" si="17"/>
        <v>0</v>
      </c>
      <c r="F231" s="40">
        <f t="shared" ca="1" si="18"/>
        <v>31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19320425</v>
      </c>
      <c r="C232" s="26" t="str">
        <f>INDEX(Data,2,2+MOD(ROWS(C$2:C232)-1,2))</f>
        <v>08.00</v>
      </c>
      <c r="D232" s="39">
        <f t="shared" ca="1" si="16"/>
        <v>755</v>
      </c>
      <c r="E232" s="31">
        <f t="shared" ca="1" si="17"/>
        <v>0</v>
      </c>
      <c r="F232" s="40">
        <f t="shared" ca="1" si="18"/>
        <v>29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19320425</v>
      </c>
      <c r="C233" s="26" t="str">
        <f>INDEX(Data,2,2+MOD(ROWS(C$2:C233)-1,2))</f>
        <v>15.00</v>
      </c>
      <c r="D233" s="39">
        <f t="shared" ca="1" si="16"/>
        <v>753</v>
      </c>
      <c r="E233" s="31">
        <f t="shared" ca="1" si="17"/>
        <v>0</v>
      </c>
      <c r="F233" s="40">
        <f t="shared" ca="1" si="18"/>
        <v>30.5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19320426</v>
      </c>
      <c r="C234" s="26" t="str">
        <f>INDEX(Data,2,2+MOD(ROWS(C$2:C234)-1,2))</f>
        <v>08.00</v>
      </c>
      <c r="D234" s="39">
        <f t="shared" ca="1" si="16"/>
        <v>756.5</v>
      </c>
      <c r="E234" s="31">
        <f t="shared" ca="1" si="17"/>
        <v>0</v>
      </c>
      <c r="F234" s="40">
        <f t="shared" ca="1" si="18"/>
        <v>29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19320426</v>
      </c>
      <c r="C235" s="26" t="str">
        <f>INDEX(Data,2,2+MOD(ROWS(C$2:C235)-1,2))</f>
        <v>15.00</v>
      </c>
      <c r="D235" s="39">
        <f t="shared" ca="1" si="16"/>
        <v>754</v>
      </c>
      <c r="E235" s="31">
        <f t="shared" ca="1" si="17"/>
        <v>0</v>
      </c>
      <c r="F235" s="40">
        <f t="shared" ca="1" si="18"/>
        <v>30.5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19320427</v>
      </c>
      <c r="C236" s="26" t="str">
        <f>INDEX(Data,2,2+MOD(ROWS(C$2:C236)-1,2))</f>
        <v>08.00</v>
      </c>
      <c r="D236" s="39">
        <f t="shared" ca="1" si="16"/>
        <v>756</v>
      </c>
      <c r="E236" s="31">
        <f t="shared" ca="1" si="17"/>
        <v>0</v>
      </c>
      <c r="F236" s="40">
        <f t="shared" ca="1" si="18"/>
        <v>29.5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19320427</v>
      </c>
      <c r="C237" s="26" t="str">
        <f>INDEX(Data,2,2+MOD(ROWS(C$2:C237)-1,2))</f>
        <v>15.00</v>
      </c>
      <c r="D237" s="39">
        <f t="shared" ca="1" si="16"/>
        <v>753.5</v>
      </c>
      <c r="E237" s="31">
        <f t="shared" ca="1" si="17"/>
        <v>0</v>
      </c>
      <c r="F237" s="40">
        <f t="shared" ca="1" si="18"/>
        <v>30.5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19320428</v>
      </c>
      <c r="C238" s="26" t="str">
        <f>INDEX(Data,2,2+MOD(ROWS(C$2:C238)-1,2))</f>
        <v>08.00</v>
      </c>
      <c r="D238" s="39">
        <f t="shared" ca="1" si="16"/>
        <v>756</v>
      </c>
      <c r="E238" s="31">
        <f t="shared" ca="1" si="17"/>
        <v>0</v>
      </c>
      <c r="F238" s="40">
        <f t="shared" ca="1" si="18"/>
        <v>29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19320428</v>
      </c>
      <c r="C239" s="26" t="str">
        <f>INDEX(Data,2,2+MOD(ROWS(C$2:C239)-1,2))</f>
        <v>15.00</v>
      </c>
      <c r="D239" s="39">
        <f t="shared" ca="1" si="16"/>
        <v>754</v>
      </c>
      <c r="E239" s="31">
        <f t="shared" ca="1" si="17"/>
        <v>0</v>
      </c>
      <c r="F239" s="40">
        <f t="shared" ca="1" si="18"/>
        <v>30.5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19320429</v>
      </c>
      <c r="C240" s="26" t="str">
        <f>INDEX(Data,2,2+MOD(ROWS(C$2:C240)-1,2))</f>
        <v>08.00</v>
      </c>
      <c r="D240" s="39">
        <f t="shared" ca="1" si="16"/>
        <v>756</v>
      </c>
      <c r="E240" s="31">
        <f t="shared" ca="1" si="17"/>
        <v>0</v>
      </c>
      <c r="F240" s="40">
        <f t="shared" ca="1" si="18"/>
        <v>29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19320429</v>
      </c>
      <c r="C241" s="26" t="str">
        <f>INDEX(Data,2,2+MOD(ROWS(C$2:C241)-1,2))</f>
        <v>15.00</v>
      </c>
      <c r="D241" s="39">
        <f t="shared" ca="1" si="16"/>
        <v>753.5</v>
      </c>
      <c r="E241" s="31">
        <f t="shared" ca="1" si="17"/>
        <v>0</v>
      </c>
      <c r="F241" s="40">
        <f t="shared" ca="1" si="18"/>
        <v>31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19320430</v>
      </c>
      <c r="C242" s="26" t="str">
        <f>INDEX(Data,2,2+MOD(ROWS(C$2:C242)-1,2))</f>
        <v>08.00</v>
      </c>
      <c r="D242" s="39">
        <f t="shared" ca="1" si="16"/>
        <v>756</v>
      </c>
      <c r="E242" s="31">
        <f t="shared" ca="1" si="17"/>
        <v>0</v>
      </c>
      <c r="F242" s="40">
        <f t="shared" ca="1" si="18"/>
        <v>29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19320430</v>
      </c>
      <c r="C243" s="26" t="str">
        <f>INDEX(Data,2,2+MOD(ROWS(C$2:C243)-1,2))</f>
        <v>15.00</v>
      </c>
      <c r="D243" s="39">
        <f t="shared" ca="1" si="16"/>
        <v>753.5</v>
      </c>
      <c r="E243" s="31">
        <f t="shared" ca="1" si="17"/>
        <v>0</v>
      </c>
      <c r="F243" s="40">
        <f t="shared" ca="1" si="18"/>
        <v>30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19320501</v>
      </c>
      <c r="C244" s="26" t="str">
        <f>INDEX(Data,2,2+MOD(ROWS(C$2:C244)-1,2))</f>
        <v>08.00</v>
      </c>
      <c r="D244" s="39">
        <f t="shared" ca="1" si="16"/>
        <v>756</v>
      </c>
      <c r="E244" s="31">
        <f t="shared" ca="1" si="17"/>
        <v>0</v>
      </c>
      <c r="F244" s="40">
        <f t="shared" ca="1" si="18"/>
        <v>29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19320501</v>
      </c>
      <c r="C245" s="26" t="str">
        <f>INDEX(Data,2,2+MOD(ROWS(C$2:C245)-1,2))</f>
        <v>15.00</v>
      </c>
      <c r="D245" s="39">
        <f t="shared" ca="1" si="16"/>
        <v>754</v>
      </c>
      <c r="E245" s="31">
        <f t="shared" ca="1" si="17"/>
        <v>0</v>
      </c>
      <c r="F245" s="40">
        <f t="shared" ca="1" si="18"/>
        <v>30.5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19320502</v>
      </c>
      <c r="C246" s="26" t="str">
        <f>INDEX(Data,2,2+MOD(ROWS(C$2:C246)-1,2))</f>
        <v>08.00</v>
      </c>
      <c r="D246" s="39">
        <f t="shared" ca="1" si="16"/>
        <v>755.5</v>
      </c>
      <c r="E246" s="31">
        <f t="shared" ca="1" si="17"/>
        <v>0</v>
      </c>
      <c r="F246" s="40">
        <f t="shared" ca="1" si="18"/>
        <v>28.5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19320502</v>
      </c>
      <c r="C247" s="26" t="str">
        <f>INDEX(Data,2,2+MOD(ROWS(C$2:C247)-1,2))</f>
        <v>15.00</v>
      </c>
      <c r="D247" s="39">
        <f t="shared" ca="1" si="16"/>
        <v>753.5</v>
      </c>
      <c r="E247" s="31">
        <f t="shared" ca="1" si="17"/>
        <v>0</v>
      </c>
      <c r="F247" s="40">
        <f t="shared" ca="1" si="18"/>
        <v>30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19320503</v>
      </c>
      <c r="C248" s="26" t="str">
        <f>INDEX(Data,2,2+MOD(ROWS(C$2:C248)-1,2))</f>
        <v>08.00</v>
      </c>
      <c r="D248" s="39">
        <f t="shared" ca="1" si="16"/>
        <v>756.5</v>
      </c>
      <c r="E248" s="31">
        <f t="shared" ca="1" si="17"/>
        <v>0</v>
      </c>
      <c r="F248" s="40">
        <f t="shared" ca="1" si="18"/>
        <v>29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19320503</v>
      </c>
      <c r="C249" s="26" t="str">
        <f>INDEX(Data,2,2+MOD(ROWS(C$2:C249)-1,2))</f>
        <v>15.00</v>
      </c>
      <c r="D249" s="39">
        <f t="shared" ca="1" si="16"/>
        <v>754</v>
      </c>
      <c r="E249" s="31">
        <f t="shared" ca="1" si="17"/>
        <v>0</v>
      </c>
      <c r="F249" s="40">
        <f t="shared" ca="1" si="18"/>
        <v>31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19320504</v>
      </c>
      <c r="C250" s="26" t="str">
        <f>INDEX(Data,2,2+MOD(ROWS(C$2:C250)-1,2))</f>
        <v>08.00</v>
      </c>
      <c r="D250" s="39">
        <f t="shared" ca="1" si="16"/>
        <v>756.5</v>
      </c>
      <c r="E250" s="31">
        <f t="shared" ca="1" si="17"/>
        <v>0</v>
      </c>
      <c r="F250" s="40">
        <f t="shared" ca="1" si="18"/>
        <v>29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19320504</v>
      </c>
      <c r="C251" s="26" t="str">
        <f>INDEX(Data,2,2+MOD(ROWS(C$2:C251)-1,2))</f>
        <v>15.00</v>
      </c>
      <c r="D251" s="39">
        <f t="shared" ca="1" si="16"/>
        <v>754</v>
      </c>
      <c r="E251" s="31">
        <f t="shared" ca="1" si="17"/>
        <v>0</v>
      </c>
      <c r="F251" s="40">
        <f t="shared" ca="1" si="18"/>
        <v>31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19320505</v>
      </c>
      <c r="C252" s="26" t="str">
        <f>INDEX(Data,2,2+MOD(ROWS(C$2:C252)-1,2))</f>
        <v>08.00</v>
      </c>
      <c r="D252" s="39">
        <f t="shared" ca="1" si="16"/>
        <v>755.5</v>
      </c>
      <c r="E252" s="31">
        <f t="shared" ca="1" si="17"/>
        <v>0</v>
      </c>
      <c r="F252" s="40">
        <f t="shared" ca="1" si="18"/>
        <v>29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19320505</v>
      </c>
      <c r="C253" s="26" t="str">
        <f>INDEX(Data,2,2+MOD(ROWS(C$2:C253)-1,2))</f>
        <v>15.00</v>
      </c>
      <c r="D253" s="39">
        <f t="shared" ca="1" si="16"/>
        <v>753.5</v>
      </c>
      <c r="E253" s="31">
        <f t="shared" ca="1" si="17"/>
        <v>0</v>
      </c>
      <c r="F253" s="40">
        <f t="shared" ca="1" si="18"/>
        <v>30.5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19320506</v>
      </c>
      <c r="C254" s="26" t="str">
        <f>INDEX(Data,2,2+MOD(ROWS(C$2:C254)-1,2))</f>
        <v>08.00</v>
      </c>
      <c r="D254" s="39">
        <f t="shared" ca="1" si="16"/>
        <v>753</v>
      </c>
      <c r="E254" s="31">
        <f t="shared" ca="1" si="17"/>
        <v>0</v>
      </c>
      <c r="F254" s="40">
        <f t="shared" ca="1" si="18"/>
        <v>30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19320506</v>
      </c>
      <c r="C255" s="26" t="str">
        <f>INDEX(Data,2,2+MOD(ROWS(C$2:C255)-1,2))</f>
        <v>15.00</v>
      </c>
      <c r="D255" s="39">
        <f t="shared" ca="1" si="16"/>
        <v>750.5</v>
      </c>
      <c r="E255" s="31">
        <f t="shared" ca="1" si="17"/>
        <v>0</v>
      </c>
      <c r="F255" s="40">
        <f t="shared" ca="1" si="18"/>
        <v>31.5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19320507</v>
      </c>
      <c r="C256" s="26" t="str">
        <f>INDEX(Data,2,2+MOD(ROWS(C$2:C256)-1,2))</f>
        <v>08.00</v>
      </c>
      <c r="D256" s="39">
        <f t="shared" ca="1" si="16"/>
        <v>753</v>
      </c>
      <c r="E256" s="31">
        <f t="shared" ca="1" si="17"/>
        <v>0</v>
      </c>
      <c r="F256" s="40">
        <f t="shared" ca="1" si="18"/>
        <v>29.5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19320507</v>
      </c>
      <c r="C257" s="26" t="str">
        <f>INDEX(Data,2,2+MOD(ROWS(C$2:C257)-1,2))</f>
        <v>15.00</v>
      </c>
      <c r="D257" s="39">
        <f t="shared" ca="1" si="16"/>
        <v>753</v>
      </c>
      <c r="E257" s="31">
        <f t="shared" ca="1" si="17"/>
        <v>0</v>
      </c>
      <c r="F257" s="40">
        <f t="shared" ca="1" si="18"/>
        <v>31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19320508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753.5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30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19320508</v>
      </c>
      <c r="C259" s="26" t="str">
        <f>INDEX(Data,2,2+MOD(ROWS(C$2:C259)-1,2))</f>
        <v>15.00</v>
      </c>
      <c r="D259" s="39">
        <f t="shared" ca="1" si="21"/>
        <v>753</v>
      </c>
      <c r="E259" s="31">
        <f t="shared" ca="1" si="22"/>
        <v>0</v>
      </c>
      <c r="F259" s="40">
        <f t="shared" ca="1" si="23"/>
        <v>31.5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19320509</v>
      </c>
      <c r="C260" s="26" t="str">
        <f>INDEX(Data,2,2+MOD(ROWS(C$2:C260)-1,2))</f>
        <v>08.00</v>
      </c>
      <c r="D260" s="39">
        <f t="shared" ca="1" si="21"/>
        <v>754.5</v>
      </c>
      <c r="E260" s="31">
        <f t="shared" ca="1" si="22"/>
        <v>0</v>
      </c>
      <c r="F260" s="40">
        <f t="shared" ca="1" si="23"/>
        <v>29.5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19320509</v>
      </c>
      <c r="C261" s="26" t="str">
        <f>INDEX(Data,2,2+MOD(ROWS(C$2:C261)-1,2))</f>
        <v>15.00</v>
      </c>
      <c r="D261" s="39">
        <f t="shared" ca="1" si="21"/>
        <v>752.5</v>
      </c>
      <c r="E261" s="31">
        <f t="shared" ca="1" si="22"/>
        <v>0</v>
      </c>
      <c r="F261" s="40">
        <f t="shared" ca="1" si="23"/>
        <v>31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19320510</v>
      </c>
      <c r="C262" s="26" t="str">
        <f>INDEX(Data,2,2+MOD(ROWS(C$2:C262)-1,2))</f>
        <v>08.00</v>
      </c>
      <c r="D262" s="39">
        <f t="shared" ca="1" si="21"/>
        <v>755</v>
      </c>
      <c r="E262" s="31">
        <f t="shared" ca="1" si="22"/>
        <v>0</v>
      </c>
      <c r="F262" s="40">
        <f t="shared" ca="1" si="23"/>
        <v>30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19320510</v>
      </c>
      <c r="C263" s="26" t="str">
        <f>INDEX(Data,2,2+MOD(ROWS(C$2:C263)-1,2))</f>
        <v>15.00</v>
      </c>
      <c r="D263" s="39">
        <f t="shared" ca="1" si="21"/>
        <v>753</v>
      </c>
      <c r="E263" s="31">
        <f t="shared" ca="1" si="22"/>
        <v>0</v>
      </c>
      <c r="F263" s="40">
        <f t="shared" ca="1" si="23"/>
        <v>31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19320511</v>
      </c>
      <c r="C264" s="26" t="str">
        <f>INDEX(Data,2,2+MOD(ROWS(C$2:C264)-1,2))</f>
        <v>08.00</v>
      </c>
      <c r="D264" s="39">
        <f t="shared" ca="1" si="21"/>
        <v>755</v>
      </c>
      <c r="E264" s="31">
        <f t="shared" ca="1" si="22"/>
        <v>0</v>
      </c>
      <c r="F264" s="40">
        <f t="shared" ca="1" si="23"/>
        <v>29.5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19320511</v>
      </c>
      <c r="C265" s="26" t="str">
        <f>INDEX(Data,2,2+MOD(ROWS(C$2:C265)-1,2))</f>
        <v>15.00</v>
      </c>
      <c r="D265" s="39">
        <f t="shared" ca="1" si="21"/>
        <v>754</v>
      </c>
      <c r="E265" s="31">
        <f t="shared" ca="1" si="22"/>
        <v>0</v>
      </c>
      <c r="F265" s="40">
        <f t="shared" ca="1" si="23"/>
        <v>31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19320512</v>
      </c>
      <c r="C266" s="26" t="str">
        <f>INDEX(Data,2,2+MOD(ROWS(C$2:C266)-1,2))</f>
        <v>08.00</v>
      </c>
      <c r="D266" s="39">
        <f t="shared" ca="1" si="21"/>
        <v>755</v>
      </c>
      <c r="E266" s="31">
        <f t="shared" ca="1" si="22"/>
        <v>0</v>
      </c>
      <c r="F266" s="40">
        <f t="shared" ca="1" si="23"/>
        <v>29.5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19320512</v>
      </c>
      <c r="C267" s="26" t="str">
        <f>INDEX(Data,2,2+MOD(ROWS(C$2:C267)-1,2))</f>
        <v>15.00</v>
      </c>
      <c r="D267" s="39">
        <f t="shared" ca="1" si="21"/>
        <v>756</v>
      </c>
      <c r="E267" s="31">
        <f t="shared" ca="1" si="22"/>
        <v>0</v>
      </c>
      <c r="F267" s="40">
        <f t="shared" ca="1" si="23"/>
        <v>31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19320513</v>
      </c>
      <c r="C268" s="26" t="str">
        <f>INDEX(Data,2,2+MOD(ROWS(C$2:C268)-1,2))</f>
        <v>08.00</v>
      </c>
      <c r="D268" s="39">
        <f t="shared" ca="1" si="21"/>
        <v>757.5</v>
      </c>
      <c r="E268" s="31">
        <f t="shared" ca="1" si="22"/>
        <v>0</v>
      </c>
      <c r="F268" s="40">
        <f t="shared" ca="1" si="23"/>
        <v>29.5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19320513</v>
      </c>
      <c r="C269" s="26" t="str">
        <f>INDEX(Data,2,2+MOD(ROWS(C$2:C269)-1,2))</f>
        <v>15.00</v>
      </c>
      <c r="D269" s="39">
        <f t="shared" ca="1" si="21"/>
        <v>755</v>
      </c>
      <c r="E269" s="31">
        <f t="shared" ca="1" si="22"/>
        <v>0</v>
      </c>
      <c r="F269" s="40">
        <f t="shared" ca="1" si="23"/>
        <v>31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19320514</v>
      </c>
      <c r="C270" s="26" t="str">
        <f>INDEX(Data,2,2+MOD(ROWS(C$2:C270)-1,2))</f>
        <v>08.00</v>
      </c>
      <c r="D270" s="39">
        <f t="shared" ca="1" si="21"/>
        <v>757</v>
      </c>
      <c r="E270" s="31">
        <f t="shared" ca="1" si="22"/>
        <v>0</v>
      </c>
      <c r="F270" s="40">
        <f t="shared" ca="1" si="23"/>
        <v>30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19320514</v>
      </c>
      <c r="C271" s="26" t="str">
        <f>INDEX(Data,2,2+MOD(ROWS(C$2:C271)-1,2))</f>
        <v>15.00</v>
      </c>
      <c r="D271" s="39">
        <f t="shared" ca="1" si="21"/>
        <v>754</v>
      </c>
      <c r="E271" s="31">
        <f t="shared" ca="1" si="22"/>
        <v>0</v>
      </c>
      <c r="F271" s="40">
        <f t="shared" ca="1" si="23"/>
        <v>31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19320515</v>
      </c>
      <c r="C272" s="26" t="str">
        <f>INDEX(Data,2,2+MOD(ROWS(C$2:C272)-1,2))</f>
        <v>08.00</v>
      </c>
      <c r="D272" s="39">
        <f t="shared" ca="1" si="21"/>
        <v>755</v>
      </c>
      <c r="E272" s="31">
        <f t="shared" ca="1" si="22"/>
        <v>0</v>
      </c>
      <c r="F272" s="40">
        <f t="shared" ca="1" si="23"/>
        <v>30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19320515</v>
      </c>
      <c r="C273" s="26" t="str">
        <f>INDEX(Data,2,2+MOD(ROWS(C$2:C273)-1,2))</f>
        <v>15.00</v>
      </c>
      <c r="D273" s="39">
        <f t="shared" ca="1" si="21"/>
        <v>754</v>
      </c>
      <c r="E273" s="31">
        <f t="shared" ca="1" si="22"/>
        <v>0</v>
      </c>
      <c r="F273" s="40">
        <f t="shared" ca="1" si="23"/>
        <v>30.5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19320516</v>
      </c>
      <c r="C274" s="26" t="str">
        <f>INDEX(Data,2,2+MOD(ROWS(C$2:C274)-1,2))</f>
        <v>08.00</v>
      </c>
      <c r="D274" s="39">
        <f t="shared" ca="1" si="21"/>
        <v>757</v>
      </c>
      <c r="E274" s="31">
        <f t="shared" ca="1" si="22"/>
        <v>0</v>
      </c>
      <c r="F274" s="40">
        <f t="shared" ca="1" si="23"/>
        <v>29.5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19320516</v>
      </c>
      <c r="C275" s="26" t="str">
        <f>INDEX(Data,2,2+MOD(ROWS(C$2:C275)-1,2))</f>
        <v>15.00</v>
      </c>
      <c r="D275" s="39">
        <f t="shared" ca="1" si="21"/>
        <v>755</v>
      </c>
      <c r="E275" s="31">
        <f t="shared" ca="1" si="22"/>
        <v>0</v>
      </c>
      <c r="F275" s="40">
        <f t="shared" ca="1" si="23"/>
        <v>31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19320517</v>
      </c>
      <c r="C276" s="26" t="str">
        <f>INDEX(Data,2,2+MOD(ROWS(C$2:C276)-1,2))</f>
        <v>08.00</v>
      </c>
      <c r="D276" s="39">
        <f t="shared" ca="1" si="21"/>
        <v>757.5</v>
      </c>
      <c r="E276" s="31">
        <f t="shared" ca="1" si="22"/>
        <v>0</v>
      </c>
      <c r="F276" s="40">
        <f t="shared" ca="1" si="23"/>
        <v>29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19320517</v>
      </c>
      <c r="C277" s="26" t="str">
        <f>INDEX(Data,2,2+MOD(ROWS(C$2:C277)-1,2))</f>
        <v>15.00</v>
      </c>
      <c r="D277" s="39">
        <f t="shared" ca="1" si="21"/>
        <v>755.5</v>
      </c>
      <c r="E277" s="31">
        <f t="shared" ca="1" si="22"/>
        <v>0</v>
      </c>
      <c r="F277" s="40">
        <f t="shared" ca="1" si="23"/>
        <v>30.5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19320518</v>
      </c>
      <c r="C278" s="26" t="str">
        <f>INDEX(Data,2,2+MOD(ROWS(C$2:C278)-1,2))</f>
        <v>08.00</v>
      </c>
      <c r="D278" s="39">
        <f t="shared" ca="1" si="21"/>
        <v>757.5</v>
      </c>
      <c r="E278" s="31">
        <f t="shared" ca="1" si="22"/>
        <v>0</v>
      </c>
      <c r="F278" s="40">
        <f t="shared" ca="1" si="23"/>
        <v>29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19320518</v>
      </c>
      <c r="C279" s="26" t="str">
        <f>INDEX(Data,2,2+MOD(ROWS(C$2:C279)-1,2))</f>
        <v>15.00</v>
      </c>
      <c r="D279" s="39">
        <f t="shared" ca="1" si="21"/>
        <v>755.5</v>
      </c>
      <c r="E279" s="31">
        <f t="shared" ca="1" si="22"/>
        <v>0</v>
      </c>
      <c r="F279" s="40">
        <f t="shared" ca="1" si="23"/>
        <v>30.5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19320519</v>
      </c>
      <c r="C280" s="26" t="str">
        <f>INDEX(Data,2,2+MOD(ROWS(C$2:C280)-1,2))</f>
        <v>08.00</v>
      </c>
      <c r="D280" s="39">
        <f t="shared" ca="1" si="21"/>
        <v>757.5</v>
      </c>
      <c r="E280" s="31">
        <f t="shared" ca="1" si="22"/>
        <v>0</v>
      </c>
      <c r="F280" s="40">
        <f t="shared" ca="1" si="23"/>
        <v>29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19320519</v>
      </c>
      <c r="C281" s="26" t="str">
        <f>INDEX(Data,2,2+MOD(ROWS(C$2:C281)-1,2))</f>
        <v>15.00</v>
      </c>
      <c r="D281" s="39">
        <f t="shared" ca="1" si="21"/>
        <v>755</v>
      </c>
      <c r="E281" s="31">
        <f t="shared" ca="1" si="22"/>
        <v>0</v>
      </c>
      <c r="F281" s="40">
        <f t="shared" ca="1" si="23"/>
        <v>31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19320520</v>
      </c>
      <c r="C282" s="26" t="str">
        <f>INDEX(Data,2,2+MOD(ROWS(C$2:C282)-1,2))</f>
        <v>08.00</v>
      </c>
      <c r="D282" s="39">
        <f t="shared" ca="1" si="21"/>
        <v>756.5</v>
      </c>
      <c r="E282" s="31">
        <f t="shared" ca="1" si="22"/>
        <v>0</v>
      </c>
      <c r="F282" s="40">
        <f t="shared" ca="1" si="23"/>
        <v>29.5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19320520</v>
      </c>
      <c r="C283" s="26" t="str">
        <f>INDEX(Data,2,2+MOD(ROWS(C$2:C283)-1,2))</f>
        <v>15.00</v>
      </c>
      <c r="D283" s="39">
        <f t="shared" ca="1" si="21"/>
        <v>754.5</v>
      </c>
      <c r="E283" s="31">
        <f t="shared" ca="1" si="22"/>
        <v>0</v>
      </c>
      <c r="F283" s="40">
        <f t="shared" ca="1" si="23"/>
        <v>31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19320521</v>
      </c>
      <c r="C284" s="26" t="str">
        <f>INDEX(Data,2,2+MOD(ROWS(C$2:C284)-1,2))</f>
        <v>08.00</v>
      </c>
      <c r="D284" s="39">
        <f t="shared" ca="1" si="21"/>
        <v>757</v>
      </c>
      <c r="E284" s="31">
        <f t="shared" ca="1" si="22"/>
        <v>0</v>
      </c>
      <c r="F284" s="40">
        <f t="shared" ca="1" si="23"/>
        <v>29.5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19320521</v>
      </c>
      <c r="C285" s="26" t="str">
        <f>INDEX(Data,2,2+MOD(ROWS(C$2:C285)-1,2))</f>
        <v>15.00</v>
      </c>
      <c r="D285" s="39">
        <f t="shared" ca="1" si="21"/>
        <v>754.5</v>
      </c>
      <c r="E285" s="31">
        <f t="shared" ca="1" si="22"/>
        <v>0</v>
      </c>
      <c r="F285" s="40">
        <f t="shared" ca="1" si="23"/>
        <v>31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19320522</v>
      </c>
      <c r="C286" s="26" t="str">
        <f>INDEX(Data,2,2+MOD(ROWS(C$2:C286)-1,2))</f>
        <v>08.00</v>
      </c>
      <c r="D286" s="39">
        <f t="shared" ca="1" si="21"/>
        <v>757.5</v>
      </c>
      <c r="E286" s="31">
        <f t="shared" ca="1" si="22"/>
        <v>0</v>
      </c>
      <c r="F286" s="40">
        <f t="shared" ca="1" si="23"/>
        <v>29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19320522</v>
      </c>
      <c r="C287" s="26" t="str">
        <f>INDEX(Data,2,2+MOD(ROWS(C$2:C287)-1,2))</f>
        <v>15.00</v>
      </c>
      <c r="D287" s="39">
        <f t="shared" ca="1" si="21"/>
        <v>755</v>
      </c>
      <c r="E287" s="31">
        <f t="shared" ca="1" si="22"/>
        <v>0</v>
      </c>
      <c r="F287" s="40">
        <f t="shared" ca="1" si="23"/>
        <v>31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19320523</v>
      </c>
      <c r="C288" s="26" t="str">
        <f>INDEX(Data,2,2+MOD(ROWS(C$2:C288)-1,2))</f>
        <v>08.00</v>
      </c>
      <c r="D288" s="39">
        <f t="shared" ca="1" si="21"/>
        <v>756.5</v>
      </c>
      <c r="E288" s="31">
        <f t="shared" ca="1" si="22"/>
        <v>0</v>
      </c>
      <c r="F288" s="40">
        <f t="shared" ca="1" si="23"/>
        <v>30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19320523</v>
      </c>
      <c r="C289" s="26" t="str">
        <f>INDEX(Data,2,2+MOD(ROWS(C$2:C289)-1,2))</f>
        <v>15.00</v>
      </c>
      <c r="D289" s="39">
        <f t="shared" ca="1" si="21"/>
        <v>755</v>
      </c>
      <c r="E289" s="31">
        <f t="shared" ca="1" si="22"/>
        <v>0</v>
      </c>
      <c r="F289" s="40">
        <f t="shared" ca="1" si="23"/>
        <v>30.5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19320524</v>
      </c>
      <c r="C290" s="26" t="str">
        <f>INDEX(Data,2,2+MOD(ROWS(C$2:C290)-1,2))</f>
        <v>08.00</v>
      </c>
      <c r="D290" s="39">
        <f t="shared" ca="1" si="21"/>
        <v>757.5</v>
      </c>
      <c r="E290" s="31">
        <f t="shared" ca="1" si="22"/>
        <v>0</v>
      </c>
      <c r="F290" s="40">
        <f t="shared" ca="1" si="23"/>
        <v>29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19320524</v>
      </c>
      <c r="C291" s="26" t="str">
        <f>INDEX(Data,2,2+MOD(ROWS(C$2:C291)-1,2))</f>
        <v>15.00</v>
      </c>
      <c r="D291" s="39">
        <f t="shared" ca="1" si="21"/>
        <v>755</v>
      </c>
      <c r="E291" s="31">
        <f t="shared" ca="1" si="22"/>
        <v>0</v>
      </c>
      <c r="F291" s="40">
        <f t="shared" ca="1" si="23"/>
        <v>31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19320525</v>
      </c>
      <c r="C292" s="26" t="str">
        <f>INDEX(Data,2,2+MOD(ROWS(C$2:C292)-1,2))</f>
        <v>08.00</v>
      </c>
      <c r="D292" s="39">
        <f t="shared" ca="1" si="21"/>
        <v>757</v>
      </c>
      <c r="E292" s="31">
        <f t="shared" ca="1" si="22"/>
        <v>0</v>
      </c>
      <c r="F292" s="40">
        <f t="shared" ca="1" si="23"/>
        <v>30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19320525</v>
      </c>
      <c r="C293" s="26" t="str">
        <f>INDEX(Data,2,2+MOD(ROWS(C$2:C293)-1,2))</f>
        <v>15.00</v>
      </c>
      <c r="D293" s="39">
        <f t="shared" ca="1" si="21"/>
        <v>755</v>
      </c>
      <c r="E293" s="31">
        <f t="shared" ca="1" si="22"/>
        <v>0</v>
      </c>
      <c r="F293" s="40">
        <f t="shared" ca="1" si="23"/>
        <v>31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19320526</v>
      </c>
      <c r="C294" s="26" t="str">
        <f>INDEX(Data,2,2+MOD(ROWS(C$2:C294)-1,2))</f>
        <v>08.00</v>
      </c>
      <c r="D294" s="39">
        <f t="shared" ca="1" si="21"/>
        <v>756</v>
      </c>
      <c r="E294" s="31">
        <f t="shared" ca="1" si="22"/>
        <v>0</v>
      </c>
      <c r="F294" s="40">
        <f t="shared" ca="1" si="23"/>
        <v>29.5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19320526</v>
      </c>
      <c r="C295" s="26" t="str">
        <f>INDEX(Data,2,2+MOD(ROWS(C$2:C295)-1,2))</f>
        <v>15.00</v>
      </c>
      <c r="D295" s="39">
        <f t="shared" ca="1" si="21"/>
        <v>755</v>
      </c>
      <c r="E295" s="31">
        <f t="shared" ca="1" si="22"/>
        <v>0</v>
      </c>
      <c r="F295" s="40">
        <f t="shared" ca="1" si="23"/>
        <v>31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19320527</v>
      </c>
      <c r="C296" s="26" t="str">
        <f>INDEX(Data,2,2+MOD(ROWS(C$2:C296)-1,2))</f>
        <v>08.00</v>
      </c>
      <c r="D296" s="39">
        <f t="shared" ca="1" si="21"/>
        <v>757</v>
      </c>
      <c r="E296" s="31">
        <f t="shared" ca="1" si="22"/>
        <v>0</v>
      </c>
      <c r="F296" s="40">
        <f t="shared" ca="1" si="23"/>
        <v>29.5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19320527</v>
      </c>
      <c r="C297" s="26" t="str">
        <f>INDEX(Data,2,2+MOD(ROWS(C$2:C297)-1,2))</f>
        <v>15.00</v>
      </c>
      <c r="D297" s="39">
        <f t="shared" ca="1" si="21"/>
        <v>754.5</v>
      </c>
      <c r="E297" s="31">
        <f t="shared" ca="1" si="22"/>
        <v>0</v>
      </c>
      <c r="F297" s="40">
        <f t="shared" ca="1" si="23"/>
        <v>30.5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19320528</v>
      </c>
      <c r="C298" s="26" t="str">
        <f>INDEX(Data,2,2+MOD(ROWS(C$2:C298)-1,2))</f>
        <v>08.00</v>
      </c>
      <c r="D298" s="39">
        <f t="shared" ca="1" si="21"/>
        <v>757</v>
      </c>
      <c r="E298" s="31">
        <f t="shared" ca="1" si="22"/>
        <v>0</v>
      </c>
      <c r="F298" s="40">
        <f t="shared" ca="1" si="23"/>
        <v>29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19320528</v>
      </c>
      <c r="C299" s="26" t="str">
        <f>INDEX(Data,2,2+MOD(ROWS(C$2:C299)-1,2))</f>
        <v>15.00</v>
      </c>
      <c r="D299" s="39">
        <f t="shared" ca="1" si="21"/>
        <v>754.5</v>
      </c>
      <c r="E299" s="31">
        <f t="shared" ca="1" si="22"/>
        <v>0</v>
      </c>
      <c r="F299" s="40">
        <f t="shared" ca="1" si="23"/>
        <v>30.5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19320529</v>
      </c>
      <c r="C300" s="26" t="str">
        <f>INDEX(Data,2,2+MOD(ROWS(C$2:C300)-1,2))</f>
        <v>08.00</v>
      </c>
      <c r="D300" s="39">
        <f t="shared" ca="1" si="21"/>
        <v>756.5</v>
      </c>
      <c r="E300" s="31">
        <f t="shared" ca="1" si="22"/>
        <v>0</v>
      </c>
      <c r="F300" s="40">
        <f t="shared" ca="1" si="23"/>
        <v>29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19320529</v>
      </c>
      <c r="C301" s="26" t="str">
        <f>INDEX(Data,2,2+MOD(ROWS(C$2:C301)-1,2))</f>
        <v>15.00</v>
      </c>
      <c r="D301" s="39">
        <f t="shared" ca="1" si="21"/>
        <v>754.5</v>
      </c>
      <c r="E301" s="31">
        <f t="shared" ca="1" si="22"/>
        <v>0</v>
      </c>
      <c r="F301" s="40">
        <f t="shared" ca="1" si="23"/>
        <v>30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19320530</v>
      </c>
      <c r="C302" s="26" t="str">
        <f>INDEX(Data,2,2+MOD(ROWS(C$2:C302)-1,2))</f>
        <v>08.00</v>
      </c>
      <c r="D302" s="39">
        <f t="shared" ca="1" si="21"/>
        <v>757</v>
      </c>
      <c r="E302" s="31">
        <f t="shared" ca="1" si="22"/>
        <v>0</v>
      </c>
      <c r="F302" s="40">
        <f t="shared" ca="1" si="23"/>
        <v>29.5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19320530</v>
      </c>
      <c r="C303" s="26" t="str">
        <f>INDEX(Data,2,2+MOD(ROWS(C$2:C303)-1,2))</f>
        <v>15.00</v>
      </c>
      <c r="D303" s="39">
        <f t="shared" ca="1" si="21"/>
        <v>755</v>
      </c>
      <c r="E303" s="31">
        <f t="shared" ca="1" si="22"/>
        <v>0</v>
      </c>
      <c r="F303" s="40">
        <f t="shared" ca="1" si="23"/>
        <v>31.5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19320531</v>
      </c>
      <c r="C304" s="26" t="str">
        <f>INDEX(Data,2,2+MOD(ROWS(C$2:C304)-1,2))</f>
        <v>08.00</v>
      </c>
      <c r="D304" s="39">
        <f t="shared" ca="1" si="21"/>
        <v>756.5</v>
      </c>
      <c r="E304" s="31">
        <f t="shared" ca="1" si="22"/>
        <v>0</v>
      </c>
      <c r="F304" s="40">
        <f t="shared" ca="1" si="23"/>
        <v>30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19320531</v>
      </c>
      <c r="C305" s="26" t="str">
        <f>INDEX(Data,2,2+MOD(ROWS(C$2:C305)-1,2))</f>
        <v>15.00</v>
      </c>
      <c r="D305" s="39">
        <f t="shared" ca="1" si="21"/>
        <v>754.5</v>
      </c>
      <c r="E305" s="31">
        <f t="shared" ca="1" si="22"/>
        <v>0</v>
      </c>
      <c r="F305" s="40">
        <f t="shared" ca="1" si="23"/>
        <v>31.5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19320601</v>
      </c>
      <c r="C306" s="26" t="str">
        <f>INDEX(Data,2,2+MOD(ROWS(C$2:C306)-1,2))</f>
        <v>08.00</v>
      </c>
      <c r="D306" s="39">
        <f t="shared" ca="1" si="21"/>
        <v>755.5</v>
      </c>
      <c r="E306" s="31">
        <f t="shared" ca="1" si="22"/>
        <v>0</v>
      </c>
      <c r="F306" s="40">
        <f t="shared" ca="1" si="23"/>
        <v>30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19320601</v>
      </c>
      <c r="C307" s="26" t="str">
        <f>INDEX(Data,2,2+MOD(ROWS(C$2:C307)-1,2))</f>
        <v>15.00</v>
      </c>
      <c r="D307" s="39">
        <f t="shared" ca="1" si="21"/>
        <v>753.5</v>
      </c>
      <c r="E307" s="31">
        <f t="shared" ca="1" si="22"/>
        <v>0</v>
      </c>
      <c r="F307" s="40">
        <f t="shared" ca="1" si="23"/>
        <v>33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19320602</v>
      </c>
      <c r="C308" s="26" t="str">
        <f>INDEX(Data,2,2+MOD(ROWS(C$2:C308)-1,2))</f>
        <v>08.00</v>
      </c>
      <c r="D308" s="39">
        <f t="shared" ca="1" si="21"/>
        <v>756</v>
      </c>
      <c r="E308" s="31">
        <f t="shared" ca="1" si="22"/>
        <v>0</v>
      </c>
      <c r="F308" s="40">
        <f t="shared" ca="1" si="23"/>
        <v>30.5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19320602</v>
      </c>
      <c r="C309" s="26" t="str">
        <f>INDEX(Data,2,2+MOD(ROWS(C$2:C309)-1,2))</f>
        <v>15.00</v>
      </c>
      <c r="D309" s="39">
        <f t="shared" ca="1" si="21"/>
        <v>753.5</v>
      </c>
      <c r="E309" s="31">
        <f t="shared" ca="1" si="22"/>
        <v>0</v>
      </c>
      <c r="F309" s="40">
        <f t="shared" ca="1" si="23"/>
        <v>31.5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19320603</v>
      </c>
      <c r="C310" s="26" t="str">
        <f>INDEX(Data,2,2+MOD(ROWS(C$2:C310)-1,2))</f>
        <v>08.00</v>
      </c>
      <c r="D310" s="39">
        <f t="shared" ca="1" si="21"/>
        <v>756.5</v>
      </c>
      <c r="E310" s="31">
        <f t="shared" ca="1" si="22"/>
        <v>0</v>
      </c>
      <c r="F310" s="40">
        <f t="shared" ca="1" si="23"/>
        <v>30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19320603</v>
      </c>
      <c r="C311" s="26" t="str">
        <f>INDEX(Data,2,2+MOD(ROWS(C$2:C311)-1,2))</f>
        <v>15.00</v>
      </c>
      <c r="D311" s="39">
        <f t="shared" ca="1" si="21"/>
        <v>754.5</v>
      </c>
      <c r="E311" s="31">
        <f t="shared" ca="1" si="22"/>
        <v>0</v>
      </c>
      <c r="F311" s="40">
        <f t="shared" ca="1" si="23"/>
        <v>31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19320604</v>
      </c>
      <c r="C312" s="26" t="str">
        <f>INDEX(Data,2,2+MOD(ROWS(C$2:C312)-1,2))</f>
        <v>08.00</v>
      </c>
      <c r="D312" s="39">
        <f t="shared" ca="1" si="21"/>
        <v>757</v>
      </c>
      <c r="E312" s="31">
        <f t="shared" ca="1" si="22"/>
        <v>0</v>
      </c>
      <c r="F312" s="40">
        <f t="shared" ca="1" si="23"/>
        <v>30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19320604</v>
      </c>
      <c r="C313" s="26" t="str">
        <f>INDEX(Data,2,2+MOD(ROWS(C$2:C313)-1,2))</f>
        <v>15.00</v>
      </c>
      <c r="D313" s="39">
        <f t="shared" ca="1" si="21"/>
        <v>754</v>
      </c>
      <c r="E313" s="31">
        <f t="shared" ca="1" si="22"/>
        <v>0</v>
      </c>
      <c r="F313" s="40">
        <f t="shared" ca="1" si="23"/>
        <v>31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19320605</v>
      </c>
      <c r="C314" s="26" t="str">
        <f>INDEX(Data,2,2+MOD(ROWS(C$2:C314)-1,2))</f>
        <v>08.00</v>
      </c>
      <c r="D314" s="39">
        <f t="shared" ca="1" si="21"/>
        <v>756.5</v>
      </c>
      <c r="E314" s="31">
        <f t="shared" ca="1" si="22"/>
        <v>0</v>
      </c>
      <c r="F314" s="40">
        <f t="shared" ca="1" si="23"/>
        <v>29.5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19320605</v>
      </c>
      <c r="C315" s="26" t="str">
        <f>INDEX(Data,2,2+MOD(ROWS(C$2:C315)-1,2))</f>
        <v>15.00</v>
      </c>
      <c r="D315" s="39">
        <f t="shared" ca="1" si="21"/>
        <v>755</v>
      </c>
      <c r="E315" s="31">
        <f t="shared" ca="1" si="22"/>
        <v>0</v>
      </c>
      <c r="F315" s="40">
        <f t="shared" ca="1" si="23"/>
        <v>31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19320606</v>
      </c>
      <c r="C316" s="26" t="str">
        <f>INDEX(Data,2,2+MOD(ROWS(C$2:C316)-1,2))</f>
        <v>08.00</v>
      </c>
      <c r="D316" s="39">
        <f t="shared" ca="1" si="21"/>
        <v>755.5</v>
      </c>
      <c r="E316" s="31">
        <f t="shared" ca="1" si="22"/>
        <v>0</v>
      </c>
      <c r="F316" s="40">
        <f t="shared" ca="1" si="23"/>
        <v>30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19320606</v>
      </c>
      <c r="C317" s="26" t="str">
        <f>INDEX(Data,2,2+MOD(ROWS(C$2:C317)-1,2))</f>
        <v>15.00</v>
      </c>
      <c r="D317" s="39">
        <f t="shared" ca="1" si="21"/>
        <v>754</v>
      </c>
      <c r="E317" s="31">
        <f t="shared" ca="1" si="22"/>
        <v>0</v>
      </c>
      <c r="F317" s="40">
        <f t="shared" ca="1" si="23"/>
        <v>31.5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19320607</v>
      </c>
      <c r="C318" s="26" t="str">
        <f>INDEX(Data,2,2+MOD(ROWS(C$2:C318)-1,2))</f>
        <v>08.00</v>
      </c>
      <c r="D318" s="39">
        <f t="shared" ca="1" si="21"/>
        <v>755.5</v>
      </c>
      <c r="E318" s="31">
        <f t="shared" ca="1" si="22"/>
        <v>0</v>
      </c>
      <c r="F318" s="40">
        <f t="shared" ca="1" si="23"/>
        <v>30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19320607</v>
      </c>
      <c r="C319" s="26" t="str">
        <f>INDEX(Data,2,2+MOD(ROWS(C$2:C319)-1,2))</f>
        <v>15.00</v>
      </c>
      <c r="D319" s="39">
        <f t="shared" ca="1" si="21"/>
        <v>753.5</v>
      </c>
      <c r="E319" s="31">
        <f t="shared" ca="1" si="22"/>
        <v>0</v>
      </c>
      <c r="F319" s="40">
        <f t="shared" ca="1" si="23"/>
        <v>31.5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19320608</v>
      </c>
      <c r="C320" s="26" t="str">
        <f>INDEX(Data,2,2+MOD(ROWS(C$2:C320)-1,2))</f>
        <v>08.00</v>
      </c>
      <c r="D320" s="39">
        <f t="shared" ca="1" si="21"/>
        <v>756.5</v>
      </c>
      <c r="E320" s="31">
        <f t="shared" ca="1" si="22"/>
        <v>0</v>
      </c>
      <c r="F320" s="40">
        <f t="shared" ca="1" si="23"/>
        <v>29.5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19320608</v>
      </c>
      <c r="C321" s="26" t="str">
        <f>INDEX(Data,2,2+MOD(ROWS(C$2:C321)-1,2))</f>
        <v>15.00</v>
      </c>
      <c r="D321" s="39">
        <f t="shared" ca="1" si="21"/>
        <v>755</v>
      </c>
      <c r="E321" s="31">
        <f t="shared" ca="1" si="22"/>
        <v>0</v>
      </c>
      <c r="F321" s="40">
        <f t="shared" ca="1" si="23"/>
        <v>31.5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19320609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756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30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19320609</v>
      </c>
      <c r="C323" s="26" t="str">
        <f>INDEX(Data,2,2+MOD(ROWS(C$2:C323)-1,2))</f>
        <v>15.00</v>
      </c>
      <c r="D323" s="39">
        <f t="shared" ca="1" si="26"/>
        <v>755</v>
      </c>
      <c r="E323" s="31">
        <f t="shared" ca="1" si="27"/>
        <v>0</v>
      </c>
      <c r="F323" s="40">
        <f t="shared" ca="1" si="28"/>
        <v>31.5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19320610</v>
      </c>
      <c r="C324" s="26" t="str">
        <f>INDEX(Data,2,2+MOD(ROWS(C$2:C324)-1,2))</f>
        <v>08.00</v>
      </c>
      <c r="D324" s="39">
        <f t="shared" ca="1" si="26"/>
        <v>756.5</v>
      </c>
      <c r="E324" s="31">
        <f t="shared" ca="1" si="27"/>
        <v>0</v>
      </c>
      <c r="F324" s="40">
        <f t="shared" ca="1" si="28"/>
        <v>30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19320610</v>
      </c>
      <c r="C325" s="26" t="str">
        <f>INDEX(Data,2,2+MOD(ROWS(C$2:C325)-1,2))</f>
        <v>15.00</v>
      </c>
      <c r="D325" s="39">
        <f t="shared" ca="1" si="26"/>
        <v>755.5</v>
      </c>
      <c r="E325" s="31">
        <f t="shared" ca="1" si="27"/>
        <v>0</v>
      </c>
      <c r="F325" s="40">
        <f t="shared" ca="1" si="28"/>
        <v>31.5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19320611</v>
      </c>
      <c r="C326" s="26" t="str">
        <f>INDEX(Data,2,2+MOD(ROWS(C$2:C326)-1,2))</f>
        <v>08.00</v>
      </c>
      <c r="D326" s="39">
        <f t="shared" ca="1" si="26"/>
        <v>757</v>
      </c>
      <c r="E326" s="31">
        <f t="shared" ca="1" si="27"/>
        <v>0</v>
      </c>
      <c r="F326" s="40">
        <f t="shared" ca="1" si="28"/>
        <v>30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19320611</v>
      </c>
      <c r="C327" s="26" t="str">
        <f>INDEX(Data,2,2+MOD(ROWS(C$2:C327)-1,2))</f>
        <v>15.00</v>
      </c>
      <c r="D327" s="39">
        <f t="shared" ca="1" si="26"/>
        <v>755</v>
      </c>
      <c r="E327" s="31">
        <f t="shared" ca="1" si="27"/>
        <v>0</v>
      </c>
      <c r="F327" s="40">
        <f t="shared" ca="1" si="28"/>
        <v>31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19320612</v>
      </c>
      <c r="C328" s="26" t="str">
        <f>INDEX(Data,2,2+MOD(ROWS(C$2:C328)-1,2))</f>
        <v>08.00</v>
      </c>
      <c r="D328" s="39">
        <f t="shared" ca="1" si="26"/>
        <v>756.5</v>
      </c>
      <c r="E328" s="31">
        <f t="shared" ca="1" si="27"/>
        <v>0</v>
      </c>
      <c r="F328" s="40">
        <f t="shared" ca="1" si="28"/>
        <v>30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19320612</v>
      </c>
      <c r="C329" s="26" t="str">
        <f>INDEX(Data,2,2+MOD(ROWS(C$2:C329)-1,2))</f>
        <v>15.00</v>
      </c>
      <c r="D329" s="39">
        <f t="shared" ca="1" si="26"/>
        <v>754.5</v>
      </c>
      <c r="E329" s="31">
        <f t="shared" ca="1" si="27"/>
        <v>0</v>
      </c>
      <c r="F329" s="40">
        <f t="shared" ca="1" si="28"/>
        <v>31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19320613</v>
      </c>
      <c r="C330" s="26" t="str">
        <f>INDEX(Data,2,2+MOD(ROWS(C$2:C330)-1,2))</f>
        <v>08.00</v>
      </c>
      <c r="D330" s="39">
        <f t="shared" ca="1" si="26"/>
        <v>757</v>
      </c>
      <c r="E330" s="31">
        <f t="shared" ca="1" si="27"/>
        <v>0</v>
      </c>
      <c r="F330" s="40">
        <f t="shared" ca="1" si="28"/>
        <v>30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19320613</v>
      </c>
      <c r="C331" s="26" t="str">
        <f>INDEX(Data,2,2+MOD(ROWS(C$2:C331)-1,2))</f>
        <v>15.00</v>
      </c>
      <c r="D331" s="39">
        <f t="shared" ca="1" si="26"/>
        <v>755.5</v>
      </c>
      <c r="E331" s="31">
        <f t="shared" ca="1" si="27"/>
        <v>0</v>
      </c>
      <c r="F331" s="40">
        <f t="shared" ca="1" si="28"/>
        <v>31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19320614</v>
      </c>
      <c r="C332" s="26" t="str">
        <f>INDEX(Data,2,2+MOD(ROWS(C$2:C332)-1,2))</f>
        <v>08.00</v>
      </c>
      <c r="D332" s="39">
        <f t="shared" ca="1" si="26"/>
        <v>757.5</v>
      </c>
      <c r="E332" s="31">
        <f t="shared" ca="1" si="27"/>
        <v>0</v>
      </c>
      <c r="F332" s="40">
        <f t="shared" ca="1" si="28"/>
        <v>30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19320614</v>
      </c>
      <c r="C333" s="26" t="str">
        <f>INDEX(Data,2,2+MOD(ROWS(C$2:C333)-1,2))</f>
        <v>15.00</v>
      </c>
      <c r="D333" s="39">
        <f t="shared" ca="1" si="26"/>
        <v>755.5</v>
      </c>
      <c r="E333" s="31">
        <f t="shared" ca="1" si="27"/>
        <v>0</v>
      </c>
      <c r="F333" s="40">
        <f t="shared" ca="1" si="28"/>
        <v>31.5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19320615</v>
      </c>
      <c r="C334" s="26" t="str">
        <f>INDEX(Data,2,2+MOD(ROWS(C$2:C334)-1,2))</f>
        <v>08.00</v>
      </c>
      <c r="D334" s="39">
        <f t="shared" ca="1" si="26"/>
        <v>757</v>
      </c>
      <c r="E334" s="31">
        <f t="shared" ca="1" si="27"/>
        <v>0</v>
      </c>
      <c r="F334" s="40">
        <f t="shared" ca="1" si="28"/>
        <v>29.5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19320615</v>
      </c>
      <c r="C335" s="26" t="str">
        <f>INDEX(Data,2,2+MOD(ROWS(C$2:C335)-1,2))</f>
        <v>15.00</v>
      </c>
      <c r="D335" s="39">
        <f t="shared" ca="1" si="26"/>
        <v>756</v>
      </c>
      <c r="E335" s="31">
        <f t="shared" ca="1" si="27"/>
        <v>0</v>
      </c>
      <c r="F335" s="40">
        <f t="shared" ca="1" si="28"/>
        <v>31.5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19320616</v>
      </c>
      <c r="C336" s="26" t="str">
        <f>INDEX(Data,2,2+MOD(ROWS(C$2:C336)-1,2))</f>
        <v>08.00</v>
      </c>
      <c r="D336" s="39">
        <f t="shared" ca="1" si="26"/>
        <v>757</v>
      </c>
      <c r="E336" s="31">
        <f t="shared" ca="1" si="27"/>
        <v>0</v>
      </c>
      <c r="F336" s="40">
        <f t="shared" ca="1" si="28"/>
        <v>30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19320616</v>
      </c>
      <c r="C337" s="26" t="str">
        <f>INDEX(Data,2,2+MOD(ROWS(C$2:C337)-1,2))</f>
        <v>15.00</v>
      </c>
      <c r="D337" s="39">
        <f t="shared" ca="1" si="26"/>
        <v>755</v>
      </c>
      <c r="E337" s="31">
        <f t="shared" ca="1" si="27"/>
        <v>0</v>
      </c>
      <c r="F337" s="40">
        <f t="shared" ca="1" si="28"/>
        <v>32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19320617</v>
      </c>
      <c r="C338" s="26" t="str">
        <f>INDEX(Data,2,2+MOD(ROWS(C$2:C338)-1,2))</f>
        <v>08.00</v>
      </c>
      <c r="D338" s="39">
        <f t="shared" ca="1" si="26"/>
        <v>756</v>
      </c>
      <c r="E338" s="31">
        <f t="shared" ca="1" si="27"/>
        <v>0</v>
      </c>
      <c r="F338" s="40">
        <f t="shared" ca="1" si="28"/>
        <v>30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19320617</v>
      </c>
      <c r="C339" s="26" t="str">
        <f>INDEX(Data,2,2+MOD(ROWS(C$2:C339)-1,2))</f>
        <v>15.00</v>
      </c>
      <c r="D339" s="39">
        <f t="shared" ca="1" si="26"/>
        <v>754</v>
      </c>
      <c r="E339" s="31">
        <f t="shared" ca="1" si="27"/>
        <v>0</v>
      </c>
      <c r="F339" s="40">
        <f t="shared" ca="1" si="28"/>
        <v>31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19320618</v>
      </c>
      <c r="C340" s="26" t="str">
        <f>INDEX(Data,2,2+MOD(ROWS(C$2:C340)-1,2))</f>
        <v>08.00</v>
      </c>
      <c r="D340" s="39">
        <f t="shared" ca="1" si="26"/>
        <v>756.5</v>
      </c>
      <c r="E340" s="31">
        <f t="shared" ca="1" si="27"/>
        <v>0</v>
      </c>
      <c r="F340" s="40">
        <f t="shared" ca="1" si="28"/>
        <v>30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19320618</v>
      </c>
      <c r="C341" s="26" t="str">
        <f>INDEX(Data,2,2+MOD(ROWS(C$2:C341)-1,2))</f>
        <v>15.00</v>
      </c>
      <c r="D341" s="39">
        <f t="shared" ca="1" si="26"/>
        <v>754.5</v>
      </c>
      <c r="E341" s="31">
        <f t="shared" ca="1" si="27"/>
        <v>0</v>
      </c>
      <c r="F341" s="40">
        <f t="shared" ca="1" si="28"/>
        <v>31.5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19320619</v>
      </c>
      <c r="C342" s="26" t="str">
        <f>INDEX(Data,2,2+MOD(ROWS(C$2:C342)-1,2))</f>
        <v>08.00</v>
      </c>
      <c r="D342" s="39">
        <f t="shared" ca="1" si="26"/>
        <v>756</v>
      </c>
      <c r="E342" s="31">
        <f t="shared" ca="1" si="27"/>
        <v>0</v>
      </c>
      <c r="F342" s="40">
        <f t="shared" ca="1" si="28"/>
        <v>30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19320619</v>
      </c>
      <c r="C343" s="26" t="str">
        <f>INDEX(Data,2,2+MOD(ROWS(C$2:C343)-1,2))</f>
        <v>15.00</v>
      </c>
      <c r="D343" s="39">
        <f t="shared" ca="1" si="26"/>
        <v>754</v>
      </c>
      <c r="E343" s="31">
        <f t="shared" ca="1" si="27"/>
        <v>0</v>
      </c>
      <c r="F343" s="40">
        <f t="shared" ca="1" si="28"/>
        <v>31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19320620</v>
      </c>
      <c r="C344" s="26" t="str">
        <f>INDEX(Data,2,2+MOD(ROWS(C$2:C344)-1,2))</f>
        <v>08.00</v>
      </c>
      <c r="D344" s="39">
        <f t="shared" ca="1" si="26"/>
        <v>755</v>
      </c>
      <c r="E344" s="31">
        <f t="shared" ca="1" si="27"/>
        <v>0</v>
      </c>
      <c r="F344" s="40">
        <f t="shared" ca="1" si="28"/>
        <v>29.5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19320620</v>
      </c>
      <c r="C345" s="26" t="str">
        <f>INDEX(Data,2,2+MOD(ROWS(C$2:C345)-1,2))</f>
        <v>15.00</v>
      </c>
      <c r="D345" s="39">
        <f t="shared" ca="1" si="26"/>
        <v>754.5</v>
      </c>
      <c r="E345" s="31">
        <f t="shared" ca="1" si="27"/>
        <v>0</v>
      </c>
      <c r="F345" s="40">
        <f t="shared" ca="1" si="28"/>
        <v>31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19320621</v>
      </c>
      <c r="C346" s="26" t="str">
        <f>INDEX(Data,2,2+MOD(ROWS(C$2:C346)-1,2))</f>
        <v>08.00</v>
      </c>
      <c r="D346" s="39">
        <f t="shared" ca="1" si="26"/>
        <v>755</v>
      </c>
      <c r="E346" s="31">
        <f t="shared" ca="1" si="27"/>
        <v>0</v>
      </c>
      <c r="F346" s="40">
        <f t="shared" ca="1" si="28"/>
        <v>30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19320621</v>
      </c>
      <c r="C347" s="26" t="str">
        <f>INDEX(Data,2,2+MOD(ROWS(C$2:C347)-1,2))</f>
        <v>15.00</v>
      </c>
      <c r="D347" s="39">
        <f t="shared" ca="1" si="26"/>
        <v>754</v>
      </c>
      <c r="E347" s="31">
        <f t="shared" ca="1" si="27"/>
        <v>0</v>
      </c>
      <c r="F347" s="40">
        <f t="shared" ca="1" si="28"/>
        <v>31.5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19320622</v>
      </c>
      <c r="C348" s="26" t="str">
        <f>INDEX(Data,2,2+MOD(ROWS(C$2:C348)-1,2))</f>
        <v>08.00</v>
      </c>
      <c r="D348" s="39">
        <f t="shared" ca="1" si="26"/>
        <v>756</v>
      </c>
      <c r="E348" s="31">
        <f t="shared" ca="1" si="27"/>
        <v>0</v>
      </c>
      <c r="F348" s="40">
        <f t="shared" ca="1" si="28"/>
        <v>30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19320622</v>
      </c>
      <c r="C349" s="26" t="str">
        <f>INDEX(Data,2,2+MOD(ROWS(C$2:C349)-1,2))</f>
        <v>15.00</v>
      </c>
      <c r="D349" s="39">
        <f t="shared" ca="1" si="26"/>
        <v>754.5</v>
      </c>
      <c r="E349" s="31">
        <f t="shared" ca="1" si="27"/>
        <v>0</v>
      </c>
      <c r="F349" s="40">
        <f t="shared" ca="1" si="28"/>
        <v>31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19320623</v>
      </c>
      <c r="C350" s="26" t="str">
        <f>INDEX(Data,2,2+MOD(ROWS(C$2:C350)-1,2))</f>
        <v>08.00</v>
      </c>
      <c r="D350" s="39">
        <f t="shared" ca="1" si="26"/>
        <v>756</v>
      </c>
      <c r="E350" s="31">
        <f t="shared" ca="1" si="27"/>
        <v>0</v>
      </c>
      <c r="F350" s="40">
        <f t="shared" ca="1" si="28"/>
        <v>30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19320623</v>
      </c>
      <c r="C351" s="26" t="str">
        <f>INDEX(Data,2,2+MOD(ROWS(C$2:C351)-1,2))</f>
        <v>15.00</v>
      </c>
      <c r="D351" s="39">
        <f t="shared" ca="1" si="26"/>
        <v>754</v>
      </c>
      <c r="E351" s="31">
        <f t="shared" ca="1" si="27"/>
        <v>0</v>
      </c>
      <c r="F351" s="40">
        <f t="shared" ca="1" si="28"/>
        <v>31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19320624</v>
      </c>
      <c r="C352" s="26" t="str">
        <f>INDEX(Data,2,2+MOD(ROWS(C$2:C352)-1,2))</f>
        <v>08.00</v>
      </c>
      <c r="D352" s="39">
        <f t="shared" ca="1" si="26"/>
        <v>756</v>
      </c>
      <c r="E352" s="31">
        <f t="shared" ca="1" si="27"/>
        <v>0</v>
      </c>
      <c r="F352" s="40">
        <f t="shared" ca="1" si="28"/>
        <v>30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19320624</v>
      </c>
      <c r="C353" s="26" t="str">
        <f>INDEX(Data,2,2+MOD(ROWS(C$2:C353)-1,2))</f>
        <v>15.00</v>
      </c>
      <c r="D353" s="39">
        <f t="shared" ca="1" si="26"/>
        <v>754.5</v>
      </c>
      <c r="E353" s="31">
        <f t="shared" ca="1" si="27"/>
        <v>0</v>
      </c>
      <c r="F353" s="40">
        <f t="shared" ca="1" si="28"/>
        <v>31.5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19320625</v>
      </c>
      <c r="C354" s="26" t="str">
        <f>INDEX(Data,2,2+MOD(ROWS(C$2:C354)-1,2))</f>
        <v>08.00</v>
      </c>
      <c r="D354" s="39">
        <f t="shared" ca="1" si="26"/>
        <v>756.5</v>
      </c>
      <c r="E354" s="31">
        <f t="shared" ca="1" si="27"/>
        <v>0</v>
      </c>
      <c r="F354" s="40">
        <f t="shared" ca="1" si="28"/>
        <v>30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19320625</v>
      </c>
      <c r="C355" s="26" t="str">
        <f>INDEX(Data,2,2+MOD(ROWS(C$2:C355)-1,2))</f>
        <v>15.00</v>
      </c>
      <c r="D355" s="39">
        <f t="shared" ca="1" si="26"/>
        <v>755</v>
      </c>
      <c r="E355" s="31">
        <f t="shared" ca="1" si="27"/>
        <v>0</v>
      </c>
      <c r="F355" s="40">
        <f t="shared" ca="1" si="28"/>
        <v>30.5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19320626</v>
      </c>
      <c r="C356" s="26" t="str">
        <f>INDEX(Data,2,2+MOD(ROWS(C$2:C356)-1,2))</f>
        <v>08.00</v>
      </c>
      <c r="D356" s="39">
        <f t="shared" ca="1" si="26"/>
        <v>756</v>
      </c>
      <c r="E356" s="31">
        <f t="shared" ca="1" si="27"/>
        <v>0</v>
      </c>
      <c r="F356" s="40">
        <f t="shared" ca="1" si="28"/>
        <v>30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19320626</v>
      </c>
      <c r="C357" s="26" t="str">
        <f>INDEX(Data,2,2+MOD(ROWS(C$2:C357)-1,2))</f>
        <v>15.00</v>
      </c>
      <c r="D357" s="39">
        <f t="shared" ca="1" si="26"/>
        <v>754</v>
      </c>
      <c r="E357" s="31">
        <f t="shared" ca="1" si="27"/>
        <v>0</v>
      </c>
      <c r="F357" s="40">
        <f t="shared" ca="1" si="28"/>
        <v>31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19320627</v>
      </c>
      <c r="C358" s="26" t="str">
        <f>INDEX(Data,2,2+MOD(ROWS(C$2:C358)-1,2))</f>
        <v>08.00</v>
      </c>
      <c r="D358" s="39">
        <f t="shared" ca="1" si="26"/>
        <v>755</v>
      </c>
      <c r="E358" s="31">
        <f t="shared" ca="1" si="27"/>
        <v>0</v>
      </c>
      <c r="F358" s="40">
        <f t="shared" ca="1" si="28"/>
        <v>29.5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19320627</v>
      </c>
      <c r="C359" s="26" t="str">
        <f>INDEX(Data,2,2+MOD(ROWS(C$2:C359)-1,2))</f>
        <v>15.00</v>
      </c>
      <c r="D359" s="39">
        <f t="shared" ca="1" si="26"/>
        <v>754</v>
      </c>
      <c r="E359" s="31">
        <f t="shared" ca="1" si="27"/>
        <v>0</v>
      </c>
      <c r="F359" s="40">
        <f t="shared" ca="1" si="28"/>
        <v>31.5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19320628</v>
      </c>
      <c r="C360" s="26" t="str">
        <f>INDEX(Data,2,2+MOD(ROWS(C$2:C360)-1,2))</f>
        <v>08.00</v>
      </c>
      <c r="D360" s="39">
        <f t="shared" ca="1" si="26"/>
        <v>756</v>
      </c>
      <c r="E360" s="31">
        <f t="shared" ca="1" si="27"/>
        <v>0</v>
      </c>
      <c r="F360" s="40">
        <f t="shared" ca="1" si="28"/>
        <v>28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19320628</v>
      </c>
      <c r="C361" s="26" t="str">
        <f>INDEX(Data,2,2+MOD(ROWS(C$2:C361)-1,2))</f>
        <v>15.00</v>
      </c>
      <c r="D361" s="39">
        <f t="shared" ca="1" si="26"/>
        <v>755</v>
      </c>
      <c r="E361" s="31">
        <f t="shared" ca="1" si="27"/>
        <v>0</v>
      </c>
      <c r="F361" s="40">
        <f t="shared" ca="1" si="28"/>
        <v>30.5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19320629</v>
      </c>
      <c r="C362" s="26" t="str">
        <f>INDEX(Data,2,2+MOD(ROWS(C$2:C362)-1,2))</f>
        <v>08.00</v>
      </c>
      <c r="D362" s="39">
        <f t="shared" ca="1" si="26"/>
        <v>756.5</v>
      </c>
      <c r="E362" s="31">
        <f t="shared" ca="1" si="27"/>
        <v>0</v>
      </c>
      <c r="F362" s="40">
        <f t="shared" ca="1" si="28"/>
        <v>29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19320629</v>
      </c>
      <c r="C363" s="26" t="str">
        <f>INDEX(Data,2,2+MOD(ROWS(C$2:C363)-1,2))</f>
        <v>15.00</v>
      </c>
      <c r="D363" s="39">
        <f t="shared" ca="1" si="26"/>
        <v>755</v>
      </c>
      <c r="E363" s="31">
        <f t="shared" ca="1" si="27"/>
        <v>0</v>
      </c>
      <c r="F363" s="40">
        <f t="shared" ca="1" si="28"/>
        <v>30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19320630</v>
      </c>
      <c r="C364" s="26" t="str">
        <f>INDEX(Data,2,2+MOD(ROWS(C$2:C364)-1,2))</f>
        <v>08.00</v>
      </c>
      <c r="D364" s="39">
        <f t="shared" ca="1" si="26"/>
        <v>757</v>
      </c>
      <c r="E364" s="31">
        <f t="shared" ca="1" si="27"/>
        <v>0</v>
      </c>
      <c r="F364" s="40">
        <f t="shared" ca="1" si="28"/>
        <v>30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19320630</v>
      </c>
      <c r="C365" s="26" t="str">
        <f>INDEX(Data,2,2+MOD(ROWS(C$2:C365)-1,2))</f>
        <v>15.00</v>
      </c>
      <c r="D365" s="39">
        <f t="shared" ca="1" si="26"/>
        <v>755.5</v>
      </c>
      <c r="E365" s="31">
        <f t="shared" ca="1" si="27"/>
        <v>0</v>
      </c>
      <c r="F365" s="40">
        <f t="shared" ca="1" si="28"/>
        <v>31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19320701</v>
      </c>
      <c r="C366" s="26" t="str">
        <f>INDEX(Data,2,2+MOD(ROWS(C$2:C366)-1,2))</f>
        <v>08.00</v>
      </c>
      <c r="D366" s="39">
        <f t="shared" ca="1" si="26"/>
        <v>757.5</v>
      </c>
      <c r="E366" s="31">
        <f t="shared" ca="1" si="27"/>
        <v>0</v>
      </c>
      <c r="F366" s="40">
        <f t="shared" ca="1" si="28"/>
        <v>29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19320701</v>
      </c>
      <c r="C367" s="26" t="str">
        <f>INDEX(Data,2,2+MOD(ROWS(C$2:C367)-1,2))</f>
        <v>15.00</v>
      </c>
      <c r="D367" s="39">
        <f t="shared" ca="1" si="26"/>
        <v>755.5</v>
      </c>
      <c r="E367" s="31">
        <f t="shared" ca="1" si="27"/>
        <v>0</v>
      </c>
      <c r="F367" s="40">
        <f t="shared" ca="1" si="28"/>
        <v>31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19320702</v>
      </c>
      <c r="C368" s="26" t="str">
        <f>INDEX(Data,2,2+MOD(ROWS(C$2:C368)-1,2))</f>
        <v>08.00</v>
      </c>
      <c r="D368" s="39">
        <f t="shared" ca="1" si="26"/>
        <v>757.5</v>
      </c>
      <c r="E368" s="31">
        <f t="shared" ca="1" si="27"/>
        <v>0</v>
      </c>
      <c r="F368" s="40">
        <f t="shared" ca="1" si="28"/>
        <v>29.5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19320702</v>
      </c>
      <c r="C369" s="26" t="str">
        <f>INDEX(Data,2,2+MOD(ROWS(C$2:C369)-1,2))</f>
        <v>15.00</v>
      </c>
      <c r="D369" s="39">
        <f t="shared" ca="1" si="26"/>
        <v>755.5</v>
      </c>
      <c r="E369" s="31">
        <f t="shared" ca="1" si="27"/>
        <v>0</v>
      </c>
      <c r="F369" s="40">
        <f t="shared" ca="1" si="28"/>
        <v>31.5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19320703</v>
      </c>
      <c r="C370" s="26" t="str">
        <f>INDEX(Data,2,2+MOD(ROWS(C$2:C370)-1,2))</f>
        <v>08.00</v>
      </c>
      <c r="D370" s="39">
        <f t="shared" ca="1" si="26"/>
        <v>757</v>
      </c>
      <c r="E370" s="31">
        <f t="shared" ca="1" si="27"/>
        <v>0</v>
      </c>
      <c r="F370" s="40">
        <f t="shared" ca="1" si="28"/>
        <v>30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19320703</v>
      </c>
      <c r="C371" s="26" t="str">
        <f>INDEX(Data,2,2+MOD(ROWS(C$2:C371)-1,2))</f>
        <v>15.00</v>
      </c>
      <c r="D371" s="39">
        <f t="shared" ca="1" si="26"/>
        <v>755</v>
      </c>
      <c r="E371" s="31">
        <f t="shared" ca="1" si="27"/>
        <v>0</v>
      </c>
      <c r="F371" s="40">
        <f t="shared" ca="1" si="28"/>
        <v>31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19320704</v>
      </c>
      <c r="C372" s="26" t="str">
        <f>INDEX(Data,2,2+MOD(ROWS(C$2:C372)-1,2))</f>
        <v>08.00</v>
      </c>
      <c r="D372" s="39">
        <f t="shared" ca="1" si="26"/>
        <v>757.5</v>
      </c>
      <c r="E372" s="31">
        <f t="shared" ca="1" si="27"/>
        <v>0</v>
      </c>
      <c r="F372" s="40">
        <f t="shared" ca="1" si="28"/>
        <v>29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19320704</v>
      </c>
      <c r="C373" s="26" t="str">
        <f>INDEX(Data,2,2+MOD(ROWS(C$2:C373)-1,2))</f>
        <v>15.00</v>
      </c>
      <c r="D373" s="39">
        <f t="shared" ca="1" si="26"/>
        <v>755.5</v>
      </c>
      <c r="E373" s="31">
        <f t="shared" ca="1" si="27"/>
        <v>0</v>
      </c>
      <c r="F373" s="40">
        <f t="shared" ca="1" si="28"/>
        <v>30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19320705</v>
      </c>
      <c r="C374" s="26" t="str">
        <f>INDEX(Data,2,2+MOD(ROWS(C$2:C374)-1,2))</f>
        <v>08.00</v>
      </c>
      <c r="D374" s="39">
        <f t="shared" ca="1" si="26"/>
        <v>757.5</v>
      </c>
      <c r="E374" s="31">
        <f t="shared" ca="1" si="27"/>
        <v>0</v>
      </c>
      <c r="F374" s="40">
        <f t="shared" ca="1" si="28"/>
        <v>29.5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19320705</v>
      </c>
      <c r="C375" s="26" t="str">
        <f>INDEX(Data,2,2+MOD(ROWS(C$2:C375)-1,2))</f>
        <v>15.00</v>
      </c>
      <c r="D375" s="39">
        <f t="shared" ca="1" si="26"/>
        <v>756</v>
      </c>
      <c r="E375" s="31">
        <f t="shared" ca="1" si="27"/>
        <v>0</v>
      </c>
      <c r="F375" s="40">
        <f t="shared" ca="1" si="28"/>
        <v>31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19320706</v>
      </c>
      <c r="C376" s="26" t="str">
        <f>INDEX(Data,2,2+MOD(ROWS(C$2:C376)-1,2))</f>
        <v>08.00</v>
      </c>
      <c r="D376" s="39">
        <f t="shared" ca="1" si="26"/>
        <v>757</v>
      </c>
      <c r="E376" s="31">
        <f t="shared" ca="1" si="27"/>
        <v>0</v>
      </c>
      <c r="F376" s="40">
        <f t="shared" ca="1" si="28"/>
        <v>29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19320706</v>
      </c>
      <c r="C377" s="26" t="str">
        <f>INDEX(Data,2,2+MOD(ROWS(C$2:C377)-1,2))</f>
        <v>15.00</v>
      </c>
      <c r="D377" s="39">
        <f t="shared" ca="1" si="26"/>
        <v>755.5</v>
      </c>
      <c r="E377" s="31">
        <f t="shared" ca="1" si="27"/>
        <v>0</v>
      </c>
      <c r="F377" s="40">
        <f t="shared" ca="1" si="28"/>
        <v>29.5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19320707</v>
      </c>
      <c r="C378" s="26" t="str">
        <f>INDEX(Data,2,2+MOD(ROWS(C$2:C378)-1,2))</f>
        <v>08.00</v>
      </c>
      <c r="D378" s="39">
        <f t="shared" ca="1" si="26"/>
        <v>756.5</v>
      </c>
      <c r="E378" s="31">
        <f t="shared" ca="1" si="27"/>
        <v>0</v>
      </c>
      <c r="F378" s="40">
        <f t="shared" ca="1" si="28"/>
        <v>29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19320707</v>
      </c>
      <c r="C379" s="26" t="str">
        <f>INDEX(Data,2,2+MOD(ROWS(C$2:C379)-1,2))</f>
        <v>15.00</v>
      </c>
      <c r="D379" s="39">
        <f t="shared" ca="1" si="26"/>
        <v>755</v>
      </c>
      <c r="E379" s="31">
        <f t="shared" ca="1" si="27"/>
        <v>0</v>
      </c>
      <c r="F379" s="40">
        <f t="shared" ca="1" si="28"/>
        <v>30.5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19320708</v>
      </c>
      <c r="C380" s="26" t="str">
        <f>INDEX(Data,2,2+MOD(ROWS(C$2:C380)-1,2))</f>
        <v>08.00</v>
      </c>
      <c r="D380" s="39">
        <f t="shared" ca="1" si="26"/>
        <v>757</v>
      </c>
      <c r="E380" s="31">
        <f t="shared" ca="1" si="27"/>
        <v>0</v>
      </c>
      <c r="F380" s="40">
        <f t="shared" ca="1" si="28"/>
        <v>29.5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19320708</v>
      </c>
      <c r="C381" s="26" t="str">
        <f>INDEX(Data,2,2+MOD(ROWS(C$2:C381)-1,2))</f>
        <v>15.00</v>
      </c>
      <c r="D381" s="39">
        <f t="shared" ca="1" si="26"/>
        <v>755</v>
      </c>
      <c r="E381" s="31">
        <f t="shared" ca="1" si="27"/>
        <v>0</v>
      </c>
      <c r="F381" s="40">
        <f t="shared" ca="1" si="28"/>
        <v>30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19320709</v>
      </c>
      <c r="C382" s="26" t="str">
        <f>INDEX(Data,2,2+MOD(ROWS(C$2:C382)-1,2))</f>
        <v>08.00</v>
      </c>
      <c r="D382" s="39">
        <f t="shared" ca="1" si="26"/>
        <v>756.5</v>
      </c>
      <c r="E382" s="31">
        <f t="shared" ca="1" si="27"/>
        <v>0</v>
      </c>
      <c r="F382" s="40">
        <f t="shared" ca="1" si="28"/>
        <v>29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19320709</v>
      </c>
      <c r="C383" s="26" t="str">
        <f>INDEX(Data,2,2+MOD(ROWS(C$2:C383)-1,2))</f>
        <v>15.00</v>
      </c>
      <c r="D383" s="39">
        <f t="shared" ca="1" si="26"/>
        <v>755</v>
      </c>
      <c r="E383" s="31">
        <f t="shared" ca="1" si="27"/>
        <v>0</v>
      </c>
      <c r="F383" s="40">
        <f t="shared" ca="1" si="28"/>
        <v>31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19320710</v>
      </c>
      <c r="C384" s="26" t="str">
        <f>INDEX(Data,2,2+MOD(ROWS(C$2:C384)-1,2))</f>
        <v>08.00</v>
      </c>
      <c r="D384" s="39">
        <f t="shared" ca="1" si="26"/>
        <v>757</v>
      </c>
      <c r="E384" s="31">
        <f t="shared" ca="1" si="27"/>
        <v>0</v>
      </c>
      <c r="F384" s="40">
        <f t="shared" ca="1" si="28"/>
        <v>29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19320710</v>
      </c>
      <c r="C385" s="26" t="str">
        <f>INDEX(Data,2,2+MOD(ROWS(C$2:C385)-1,2))</f>
        <v>15.00</v>
      </c>
      <c r="D385" s="39">
        <f t="shared" ca="1" si="26"/>
        <v>755.5</v>
      </c>
      <c r="E385" s="31">
        <f t="shared" ca="1" si="27"/>
        <v>0</v>
      </c>
      <c r="F385" s="40">
        <f t="shared" ca="1" si="28"/>
        <v>31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19320711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756.5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29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19320711</v>
      </c>
      <c r="C387" s="26" t="str">
        <f>INDEX(Data,2,2+MOD(ROWS(C$2:C387)-1,2))</f>
        <v>15.00</v>
      </c>
      <c r="D387" s="39">
        <f t="shared" ca="1" si="31"/>
        <v>755</v>
      </c>
      <c r="E387" s="31">
        <f t="shared" ca="1" si="32"/>
        <v>0</v>
      </c>
      <c r="F387" s="40">
        <f t="shared" ca="1" si="33"/>
        <v>31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19320712</v>
      </c>
      <c r="C388" s="26" t="str">
        <f>INDEX(Data,2,2+MOD(ROWS(C$2:C388)-1,2))</f>
        <v>08.00</v>
      </c>
      <c r="D388" s="39">
        <f t="shared" ca="1" si="31"/>
        <v>756</v>
      </c>
      <c r="E388" s="31">
        <f t="shared" ca="1" si="32"/>
        <v>0</v>
      </c>
      <c r="F388" s="40">
        <f t="shared" ca="1" si="33"/>
        <v>29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19320712</v>
      </c>
      <c r="C389" s="26" t="str">
        <f>INDEX(Data,2,2+MOD(ROWS(C$2:C389)-1,2))</f>
        <v>15.00</v>
      </c>
      <c r="D389" s="39">
        <f t="shared" ca="1" si="31"/>
        <v>754.5</v>
      </c>
      <c r="E389" s="31">
        <f t="shared" ca="1" si="32"/>
        <v>0</v>
      </c>
      <c r="F389" s="40">
        <f t="shared" ca="1" si="33"/>
        <v>31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19320713</v>
      </c>
      <c r="C390" s="26" t="str">
        <f>INDEX(Data,2,2+MOD(ROWS(C$2:C390)-1,2))</f>
        <v>08.00</v>
      </c>
      <c r="D390" s="39">
        <f t="shared" ca="1" si="31"/>
        <v>757.5</v>
      </c>
      <c r="E390" s="31">
        <f t="shared" ca="1" si="32"/>
        <v>0</v>
      </c>
      <c r="F390" s="40">
        <f t="shared" ca="1" si="33"/>
        <v>29.5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19320713</v>
      </c>
      <c r="C391" s="26" t="str">
        <f>INDEX(Data,2,2+MOD(ROWS(C$2:C391)-1,2))</f>
        <v>15.00</v>
      </c>
      <c r="D391" s="39">
        <f t="shared" ca="1" si="31"/>
        <v>755.5</v>
      </c>
      <c r="E391" s="31">
        <f t="shared" ca="1" si="32"/>
        <v>0</v>
      </c>
      <c r="F391" s="40">
        <f t="shared" ca="1" si="33"/>
        <v>31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19320714</v>
      </c>
      <c r="C392" s="26" t="str">
        <f>INDEX(Data,2,2+MOD(ROWS(C$2:C392)-1,2))</f>
        <v>08.00</v>
      </c>
      <c r="D392" s="39">
        <f t="shared" ca="1" si="31"/>
        <v>757.5</v>
      </c>
      <c r="E392" s="31">
        <f t="shared" ca="1" si="32"/>
        <v>0</v>
      </c>
      <c r="F392" s="40">
        <f t="shared" ca="1" si="33"/>
        <v>29.5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19320714</v>
      </c>
      <c r="C393" s="26" t="str">
        <f>INDEX(Data,2,2+MOD(ROWS(C$2:C393)-1,2))</f>
        <v>15.00</v>
      </c>
      <c r="D393" s="39">
        <f t="shared" ca="1" si="31"/>
        <v>755.5</v>
      </c>
      <c r="E393" s="31">
        <f t="shared" ca="1" si="32"/>
        <v>0</v>
      </c>
      <c r="F393" s="40">
        <f t="shared" ca="1" si="33"/>
        <v>31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19320715</v>
      </c>
      <c r="C394" s="26" t="str">
        <f>INDEX(Data,2,2+MOD(ROWS(C$2:C394)-1,2))</f>
        <v>08.00</v>
      </c>
      <c r="D394" s="39">
        <f t="shared" ca="1" si="31"/>
        <v>755.5</v>
      </c>
      <c r="E394" s="31">
        <f t="shared" ca="1" si="32"/>
        <v>0</v>
      </c>
      <c r="F394" s="40">
        <f t="shared" ca="1" si="33"/>
        <v>30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19320715</v>
      </c>
      <c r="C395" s="26" t="str">
        <f>INDEX(Data,2,2+MOD(ROWS(C$2:C395)-1,2))</f>
        <v>15.00</v>
      </c>
      <c r="D395" s="39">
        <f t="shared" ca="1" si="31"/>
        <v>754</v>
      </c>
      <c r="E395" s="31">
        <f t="shared" ca="1" si="32"/>
        <v>0</v>
      </c>
      <c r="F395" s="40">
        <f t="shared" ca="1" si="33"/>
        <v>30.5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19320716</v>
      </c>
      <c r="C396" s="26" t="str">
        <f>INDEX(Data,2,2+MOD(ROWS(C$2:C396)-1,2))</f>
        <v>08.00</v>
      </c>
      <c r="D396" s="39">
        <f t="shared" ca="1" si="31"/>
        <v>755.5</v>
      </c>
      <c r="E396" s="31">
        <f t="shared" ca="1" si="32"/>
        <v>0</v>
      </c>
      <c r="F396" s="40">
        <f t="shared" ca="1" si="33"/>
        <v>30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19320716</v>
      </c>
      <c r="C397" s="26" t="str">
        <f>INDEX(Data,2,2+MOD(ROWS(C$2:C397)-1,2))</f>
        <v>15.00</v>
      </c>
      <c r="D397" s="39">
        <f t="shared" ca="1" si="31"/>
        <v>753.5</v>
      </c>
      <c r="E397" s="31">
        <f t="shared" ca="1" si="32"/>
        <v>0</v>
      </c>
      <c r="F397" s="40">
        <f t="shared" ca="1" si="33"/>
        <v>31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19320717</v>
      </c>
      <c r="C398" s="26" t="str">
        <f>INDEX(Data,2,2+MOD(ROWS(C$2:C398)-1,2))</f>
        <v>08.00</v>
      </c>
      <c r="D398" s="39">
        <f t="shared" ca="1" si="31"/>
        <v>756.5</v>
      </c>
      <c r="E398" s="31">
        <f t="shared" ca="1" si="32"/>
        <v>0</v>
      </c>
      <c r="F398" s="40">
        <f t="shared" ca="1" si="33"/>
        <v>29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19320717</v>
      </c>
      <c r="C399" s="26" t="str">
        <f>INDEX(Data,2,2+MOD(ROWS(C$2:C399)-1,2))</f>
        <v>15.00</v>
      </c>
      <c r="D399" s="39">
        <f t="shared" ca="1" si="31"/>
        <v>754.5</v>
      </c>
      <c r="E399" s="31">
        <f t="shared" ca="1" si="32"/>
        <v>0</v>
      </c>
      <c r="F399" s="40">
        <f t="shared" ca="1" si="33"/>
        <v>30.5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19320718</v>
      </c>
      <c r="C400" s="26" t="str">
        <f>INDEX(Data,2,2+MOD(ROWS(C$2:C400)-1,2))</f>
        <v>08.00</v>
      </c>
      <c r="D400" s="39">
        <f t="shared" ca="1" si="31"/>
        <v>756</v>
      </c>
      <c r="E400" s="31">
        <f t="shared" ca="1" si="32"/>
        <v>0</v>
      </c>
      <c r="F400" s="40">
        <f t="shared" ca="1" si="33"/>
        <v>30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19320718</v>
      </c>
      <c r="C401" s="26" t="str">
        <f>INDEX(Data,2,2+MOD(ROWS(C$2:C401)-1,2))</f>
        <v>15.00</v>
      </c>
      <c r="D401" s="39">
        <f t="shared" ca="1" si="31"/>
        <v>753.5</v>
      </c>
      <c r="E401" s="31">
        <f t="shared" ca="1" si="32"/>
        <v>0</v>
      </c>
      <c r="F401" s="40">
        <f t="shared" ca="1" si="33"/>
        <v>31.5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19320719</v>
      </c>
      <c r="C402" s="26" t="str">
        <f>INDEX(Data,2,2+MOD(ROWS(C$2:C402)-1,2))</f>
        <v>08.00</v>
      </c>
      <c r="D402" s="39">
        <f t="shared" ca="1" si="31"/>
        <v>757</v>
      </c>
      <c r="E402" s="31">
        <f t="shared" ca="1" si="32"/>
        <v>0</v>
      </c>
      <c r="F402" s="40">
        <f t="shared" ca="1" si="33"/>
        <v>29.5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19320719</v>
      </c>
      <c r="C403" s="26" t="str">
        <f>INDEX(Data,2,2+MOD(ROWS(C$2:C403)-1,2))</f>
        <v>15.00</v>
      </c>
      <c r="D403" s="39">
        <f t="shared" ca="1" si="31"/>
        <v>755.5</v>
      </c>
      <c r="E403" s="31">
        <f t="shared" ca="1" si="32"/>
        <v>0</v>
      </c>
      <c r="F403" s="40">
        <f t="shared" ca="1" si="33"/>
        <v>31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19320720</v>
      </c>
      <c r="C404" s="26" t="str">
        <f>INDEX(Data,2,2+MOD(ROWS(C$2:C404)-1,2))</f>
        <v>08.00</v>
      </c>
      <c r="D404" s="39">
        <f t="shared" ca="1" si="31"/>
        <v>757.5</v>
      </c>
      <c r="E404" s="31">
        <f t="shared" ca="1" si="32"/>
        <v>0</v>
      </c>
      <c r="F404" s="40">
        <f t="shared" ca="1" si="33"/>
        <v>29.5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19320720</v>
      </c>
      <c r="C405" s="26" t="str">
        <f>INDEX(Data,2,2+MOD(ROWS(C$2:C405)-1,2))</f>
        <v>15.00</v>
      </c>
      <c r="D405" s="39">
        <f t="shared" ca="1" si="31"/>
        <v>756</v>
      </c>
      <c r="E405" s="31">
        <f t="shared" ca="1" si="32"/>
        <v>0</v>
      </c>
      <c r="F405" s="40">
        <f t="shared" ca="1" si="33"/>
        <v>30.5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19320721</v>
      </c>
      <c r="C406" s="26" t="str">
        <f>INDEX(Data,2,2+MOD(ROWS(C$2:C406)-1,2))</f>
        <v>08.00</v>
      </c>
      <c r="D406" s="39">
        <f t="shared" ca="1" si="31"/>
        <v>757</v>
      </c>
      <c r="E406" s="31">
        <f t="shared" ca="1" si="32"/>
        <v>0</v>
      </c>
      <c r="F406" s="40">
        <f t="shared" ca="1" si="33"/>
        <v>29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19320721</v>
      </c>
      <c r="C407" s="26" t="str">
        <f>INDEX(Data,2,2+MOD(ROWS(C$2:C407)-1,2))</f>
        <v>15.00</v>
      </c>
      <c r="D407" s="39">
        <f t="shared" ca="1" si="31"/>
        <v>756</v>
      </c>
      <c r="E407" s="31">
        <f t="shared" ca="1" si="32"/>
        <v>0</v>
      </c>
      <c r="F407" s="40">
        <f t="shared" ca="1" si="33"/>
        <v>31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19320722</v>
      </c>
      <c r="C408" s="26" t="str">
        <f>INDEX(Data,2,2+MOD(ROWS(C$2:C408)-1,2))</f>
        <v>08.00</v>
      </c>
      <c r="D408" s="39">
        <f t="shared" ca="1" si="31"/>
        <v>756.5</v>
      </c>
      <c r="E408" s="31">
        <f t="shared" ca="1" si="32"/>
        <v>0</v>
      </c>
      <c r="F408" s="40">
        <f t="shared" ca="1" si="33"/>
        <v>29.5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19320722</v>
      </c>
      <c r="C409" s="26" t="str">
        <f>INDEX(Data,2,2+MOD(ROWS(C$2:C409)-1,2))</f>
        <v>15.00</v>
      </c>
      <c r="D409" s="39">
        <f t="shared" ca="1" si="31"/>
        <v>755</v>
      </c>
      <c r="E409" s="31">
        <f t="shared" ca="1" si="32"/>
        <v>0</v>
      </c>
      <c r="F409" s="40">
        <f t="shared" ca="1" si="33"/>
        <v>31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19320723</v>
      </c>
      <c r="C410" s="26" t="str">
        <f>INDEX(Data,2,2+MOD(ROWS(C$2:C410)-1,2))</f>
        <v>08.00</v>
      </c>
      <c r="D410" s="39">
        <f t="shared" ca="1" si="31"/>
        <v>756.5</v>
      </c>
      <c r="E410" s="31">
        <f t="shared" ca="1" si="32"/>
        <v>0</v>
      </c>
      <c r="F410" s="40">
        <f t="shared" ca="1" si="33"/>
        <v>29.5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19320723</v>
      </c>
      <c r="C411" s="26" t="str">
        <f>INDEX(Data,2,2+MOD(ROWS(C$2:C411)-1,2))</f>
        <v>15.00</v>
      </c>
      <c r="D411" s="39">
        <f t="shared" ca="1" si="31"/>
        <v>754.5</v>
      </c>
      <c r="E411" s="31">
        <f t="shared" ca="1" si="32"/>
        <v>0</v>
      </c>
      <c r="F411" s="40">
        <f t="shared" ca="1" si="33"/>
        <v>30.5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19320724</v>
      </c>
      <c r="C412" s="26" t="str">
        <f>INDEX(Data,2,2+MOD(ROWS(C$2:C412)-1,2))</f>
        <v>08.00</v>
      </c>
      <c r="D412" s="39">
        <f t="shared" ca="1" si="31"/>
        <v>757</v>
      </c>
      <c r="E412" s="31">
        <f t="shared" ca="1" si="32"/>
        <v>0</v>
      </c>
      <c r="F412" s="40">
        <f t="shared" ca="1" si="33"/>
        <v>29.5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19320724</v>
      </c>
      <c r="C413" s="26" t="str">
        <f>INDEX(Data,2,2+MOD(ROWS(C$2:C413)-1,2))</f>
        <v>15.00</v>
      </c>
      <c r="D413" s="39">
        <f t="shared" ca="1" si="31"/>
        <v>755</v>
      </c>
      <c r="E413" s="31">
        <f t="shared" ca="1" si="32"/>
        <v>0</v>
      </c>
      <c r="F413" s="40">
        <f t="shared" ca="1" si="33"/>
        <v>31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19320725</v>
      </c>
      <c r="C414" s="26" t="str">
        <f>INDEX(Data,2,2+MOD(ROWS(C$2:C414)-1,2))</f>
        <v>08.00</v>
      </c>
      <c r="D414" s="39">
        <f t="shared" ca="1" si="31"/>
        <v>757</v>
      </c>
      <c r="E414" s="31">
        <f t="shared" ca="1" si="32"/>
        <v>0</v>
      </c>
      <c r="F414" s="40">
        <f t="shared" ca="1" si="33"/>
        <v>29.5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19320725</v>
      </c>
      <c r="C415" s="26" t="str">
        <f>INDEX(Data,2,2+MOD(ROWS(C$2:C415)-1,2))</f>
        <v>15.00</v>
      </c>
      <c r="D415" s="39">
        <f t="shared" ca="1" si="31"/>
        <v>755</v>
      </c>
      <c r="E415" s="31">
        <f t="shared" ca="1" si="32"/>
        <v>0</v>
      </c>
      <c r="F415" s="40">
        <f t="shared" ca="1" si="33"/>
        <v>31.5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19320726</v>
      </c>
      <c r="C416" s="26" t="str">
        <f>INDEX(Data,2,2+MOD(ROWS(C$2:C416)-1,2))</f>
        <v>08.00</v>
      </c>
      <c r="D416" s="39">
        <f t="shared" ca="1" si="31"/>
        <v>756</v>
      </c>
      <c r="E416" s="31">
        <f t="shared" ca="1" si="32"/>
        <v>0</v>
      </c>
      <c r="F416" s="40">
        <f t="shared" ca="1" si="33"/>
        <v>30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19320726</v>
      </c>
      <c r="C417" s="26" t="str">
        <f>INDEX(Data,2,2+MOD(ROWS(C$2:C417)-1,2))</f>
        <v>15.00</v>
      </c>
      <c r="D417" s="39">
        <f t="shared" ca="1" si="31"/>
        <v>754</v>
      </c>
      <c r="E417" s="31">
        <f t="shared" ca="1" si="32"/>
        <v>0</v>
      </c>
      <c r="F417" s="40">
        <f t="shared" ca="1" si="33"/>
        <v>31.5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19320727</v>
      </c>
      <c r="C418" s="26" t="str">
        <f>INDEX(Data,2,2+MOD(ROWS(C$2:C418)-1,2))</f>
        <v>08.00</v>
      </c>
      <c r="D418" s="39">
        <f t="shared" ca="1" si="31"/>
        <v>755</v>
      </c>
      <c r="E418" s="31">
        <f t="shared" ca="1" si="32"/>
        <v>0</v>
      </c>
      <c r="F418" s="40">
        <f t="shared" ca="1" si="33"/>
        <v>30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19320727</v>
      </c>
      <c r="C419" s="26" t="str">
        <f>INDEX(Data,2,2+MOD(ROWS(C$2:C419)-1,2))</f>
        <v>15.00</v>
      </c>
      <c r="D419" s="39">
        <f t="shared" ca="1" si="31"/>
        <v>753.5</v>
      </c>
      <c r="E419" s="31">
        <f t="shared" ca="1" si="32"/>
        <v>0</v>
      </c>
      <c r="F419" s="40">
        <f t="shared" ca="1" si="33"/>
        <v>32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19320728</v>
      </c>
      <c r="C420" s="26" t="str">
        <f>INDEX(Data,2,2+MOD(ROWS(C$2:C420)-1,2))</f>
        <v>08.00</v>
      </c>
      <c r="D420" s="39">
        <f t="shared" ca="1" si="31"/>
        <v>756</v>
      </c>
      <c r="E420" s="31">
        <f t="shared" ca="1" si="32"/>
        <v>0</v>
      </c>
      <c r="F420" s="40">
        <f t="shared" ca="1" si="33"/>
        <v>30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19320728</v>
      </c>
      <c r="C421" s="26" t="str">
        <f>INDEX(Data,2,2+MOD(ROWS(C$2:C421)-1,2))</f>
        <v>15.00</v>
      </c>
      <c r="D421" s="39">
        <f t="shared" ca="1" si="31"/>
        <v>754</v>
      </c>
      <c r="E421" s="31">
        <f t="shared" ca="1" si="32"/>
        <v>0</v>
      </c>
      <c r="F421" s="40">
        <f t="shared" ca="1" si="33"/>
        <v>32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19320729</v>
      </c>
      <c r="C422" s="26" t="str">
        <f>INDEX(Data,2,2+MOD(ROWS(C$2:C422)-1,2))</f>
        <v>08.00</v>
      </c>
      <c r="D422" s="39">
        <f t="shared" ca="1" si="31"/>
        <v>755.5</v>
      </c>
      <c r="E422" s="31">
        <f t="shared" ca="1" si="32"/>
        <v>0</v>
      </c>
      <c r="F422" s="40">
        <f t="shared" ca="1" si="33"/>
        <v>30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19320729</v>
      </c>
      <c r="C423" s="26" t="str">
        <f>INDEX(Data,2,2+MOD(ROWS(C$2:C423)-1,2))</f>
        <v>15.00</v>
      </c>
      <c r="D423" s="39">
        <f t="shared" ca="1" si="31"/>
        <v>754</v>
      </c>
      <c r="E423" s="31">
        <f t="shared" ca="1" si="32"/>
        <v>0</v>
      </c>
      <c r="F423" s="40">
        <f t="shared" ca="1" si="33"/>
        <v>31.5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19320730</v>
      </c>
      <c r="C424" s="26" t="str">
        <f>INDEX(Data,2,2+MOD(ROWS(C$2:C424)-1,2))</f>
        <v>08.00</v>
      </c>
      <c r="D424" s="39">
        <f t="shared" ca="1" si="31"/>
        <v>756</v>
      </c>
      <c r="E424" s="31">
        <f t="shared" ca="1" si="32"/>
        <v>0</v>
      </c>
      <c r="F424" s="40">
        <f t="shared" ca="1" si="33"/>
        <v>30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19320730</v>
      </c>
      <c r="C425" s="26" t="str">
        <f>INDEX(Data,2,2+MOD(ROWS(C$2:C425)-1,2))</f>
        <v>15.00</v>
      </c>
      <c r="D425" s="39">
        <f t="shared" ca="1" si="31"/>
        <v>753.5</v>
      </c>
      <c r="E425" s="31">
        <f t="shared" ca="1" si="32"/>
        <v>0</v>
      </c>
      <c r="F425" s="40">
        <f t="shared" ca="1" si="33"/>
        <v>31.5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19320731</v>
      </c>
      <c r="C426" s="26" t="str">
        <f>INDEX(Data,2,2+MOD(ROWS(C$2:C426)-1,2))</f>
        <v>08.00</v>
      </c>
      <c r="D426" s="39">
        <f t="shared" ca="1" si="31"/>
        <v>755.5</v>
      </c>
      <c r="E426" s="31">
        <f t="shared" ca="1" si="32"/>
        <v>0</v>
      </c>
      <c r="F426" s="40">
        <f t="shared" ca="1" si="33"/>
        <v>30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19320731</v>
      </c>
      <c r="C427" s="26" t="str">
        <f>INDEX(Data,2,2+MOD(ROWS(C$2:C427)-1,2))</f>
        <v>15.00</v>
      </c>
      <c r="D427" s="39">
        <f t="shared" ca="1" si="31"/>
        <v>754</v>
      </c>
      <c r="E427" s="31">
        <f t="shared" ca="1" si="32"/>
        <v>0</v>
      </c>
      <c r="F427" s="40">
        <f t="shared" ca="1" si="33"/>
        <v>32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19320801</v>
      </c>
      <c r="C428" s="26" t="str">
        <f>INDEX(Data,2,2+MOD(ROWS(C$2:C428)-1,2))</f>
        <v>08.00</v>
      </c>
      <c r="D428" s="39">
        <f t="shared" ca="1" si="31"/>
        <v>757</v>
      </c>
      <c r="E428" s="31">
        <f t="shared" ca="1" si="32"/>
        <v>0</v>
      </c>
      <c r="F428" s="40">
        <f t="shared" ca="1" si="33"/>
        <v>30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19320801</v>
      </c>
      <c r="C429" s="26" t="str">
        <f>INDEX(Data,2,2+MOD(ROWS(C$2:C429)-1,2))</f>
        <v>15.00</v>
      </c>
      <c r="D429" s="39">
        <f t="shared" ca="1" si="31"/>
        <v>755.5</v>
      </c>
      <c r="E429" s="31">
        <f t="shared" ca="1" si="32"/>
        <v>0</v>
      </c>
      <c r="F429" s="40">
        <f t="shared" ca="1" si="33"/>
        <v>31.5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19320802</v>
      </c>
      <c r="C430" s="26" t="str">
        <f>INDEX(Data,2,2+MOD(ROWS(C$2:C430)-1,2))</f>
        <v>08.00</v>
      </c>
      <c r="D430" s="39">
        <f t="shared" ca="1" si="31"/>
        <v>756</v>
      </c>
      <c r="E430" s="31">
        <f t="shared" ca="1" si="32"/>
        <v>0</v>
      </c>
      <c r="F430" s="40">
        <f t="shared" ca="1" si="33"/>
        <v>29.5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19320802</v>
      </c>
      <c r="C431" s="26" t="str">
        <f>INDEX(Data,2,2+MOD(ROWS(C$2:C431)-1,2))</f>
        <v>15.00</v>
      </c>
      <c r="D431" s="39">
        <f t="shared" ca="1" si="31"/>
        <v>754</v>
      </c>
      <c r="E431" s="31">
        <f t="shared" ca="1" si="32"/>
        <v>0</v>
      </c>
      <c r="F431" s="40">
        <f t="shared" ca="1" si="33"/>
        <v>31.5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19320803</v>
      </c>
      <c r="C432" s="26" t="str">
        <f>INDEX(Data,2,2+MOD(ROWS(C$2:C432)-1,2))</f>
        <v>08.00</v>
      </c>
      <c r="D432" s="39">
        <f t="shared" ca="1" si="31"/>
        <v>755.5</v>
      </c>
      <c r="E432" s="31">
        <f t="shared" ca="1" si="32"/>
        <v>0</v>
      </c>
      <c r="F432" s="40">
        <f t="shared" ca="1" si="33"/>
        <v>30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19320803</v>
      </c>
      <c r="C433" s="26" t="str">
        <f>INDEX(Data,2,2+MOD(ROWS(C$2:C433)-1,2))</f>
        <v>15.00</v>
      </c>
      <c r="D433" s="39">
        <f t="shared" ca="1" si="31"/>
        <v>754.5</v>
      </c>
      <c r="E433" s="31">
        <f t="shared" ca="1" si="32"/>
        <v>0</v>
      </c>
      <c r="F433" s="40">
        <f t="shared" ca="1" si="33"/>
        <v>31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19320804</v>
      </c>
      <c r="C434" s="26" t="str">
        <f>INDEX(Data,2,2+MOD(ROWS(C$2:C434)-1,2))</f>
        <v>08.00</v>
      </c>
      <c r="D434" s="39">
        <f t="shared" ca="1" si="31"/>
        <v>755.5</v>
      </c>
      <c r="E434" s="31">
        <f t="shared" ca="1" si="32"/>
        <v>0</v>
      </c>
      <c r="F434" s="40">
        <f t="shared" ca="1" si="33"/>
        <v>30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19320804</v>
      </c>
      <c r="C435" s="26" t="str">
        <f>INDEX(Data,2,2+MOD(ROWS(C$2:C435)-1,2))</f>
        <v>15.00</v>
      </c>
      <c r="D435" s="39">
        <f t="shared" ca="1" si="31"/>
        <v>755</v>
      </c>
      <c r="E435" s="31">
        <f t="shared" ca="1" si="32"/>
        <v>0</v>
      </c>
      <c r="F435" s="40">
        <f t="shared" ca="1" si="33"/>
        <v>31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19320805</v>
      </c>
      <c r="C436" s="26" t="str">
        <f>INDEX(Data,2,2+MOD(ROWS(C$2:C436)-1,2))</f>
        <v>08.00</v>
      </c>
      <c r="D436" s="39">
        <f t="shared" ca="1" si="31"/>
        <v>756</v>
      </c>
      <c r="E436" s="31">
        <f t="shared" ca="1" si="32"/>
        <v>0</v>
      </c>
      <c r="F436" s="40">
        <f t="shared" ca="1" si="33"/>
        <v>29.5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19320805</v>
      </c>
      <c r="C437" s="26" t="str">
        <f>INDEX(Data,2,2+MOD(ROWS(C$2:C437)-1,2))</f>
        <v>15.00</v>
      </c>
      <c r="D437" s="39">
        <f t="shared" ca="1" si="31"/>
        <v>754.5</v>
      </c>
      <c r="E437" s="31">
        <f t="shared" ca="1" si="32"/>
        <v>0</v>
      </c>
      <c r="F437" s="40">
        <f t="shared" ca="1" si="33"/>
        <v>31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19320806</v>
      </c>
      <c r="C438" s="26" t="str">
        <f>INDEX(Data,2,2+MOD(ROWS(C$2:C438)-1,2))</f>
        <v>08.00</v>
      </c>
      <c r="D438" s="39">
        <f t="shared" ca="1" si="31"/>
        <v>756</v>
      </c>
      <c r="E438" s="31">
        <f t="shared" ca="1" si="32"/>
        <v>0</v>
      </c>
      <c r="F438" s="40">
        <f t="shared" ca="1" si="33"/>
        <v>30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19320806</v>
      </c>
      <c r="C439" s="26" t="str">
        <f>INDEX(Data,2,2+MOD(ROWS(C$2:C439)-1,2))</f>
        <v>15.00</v>
      </c>
      <c r="D439" s="39">
        <f t="shared" ca="1" si="31"/>
        <v>755</v>
      </c>
      <c r="E439" s="31">
        <f t="shared" ca="1" si="32"/>
        <v>0</v>
      </c>
      <c r="F439" s="40">
        <f t="shared" ca="1" si="33"/>
        <v>31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19320807</v>
      </c>
      <c r="C440" s="26" t="str">
        <f>INDEX(Data,2,2+MOD(ROWS(C$2:C440)-1,2))</f>
        <v>08.00</v>
      </c>
      <c r="D440" s="39">
        <f t="shared" ca="1" si="31"/>
        <v>756</v>
      </c>
      <c r="E440" s="31">
        <f t="shared" ca="1" si="32"/>
        <v>0</v>
      </c>
      <c r="F440" s="40">
        <f t="shared" ca="1" si="33"/>
        <v>30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19320807</v>
      </c>
      <c r="C441" s="26" t="str">
        <f>INDEX(Data,2,2+MOD(ROWS(C$2:C441)-1,2))</f>
        <v>15.00</v>
      </c>
      <c r="D441" s="39">
        <f t="shared" ca="1" si="31"/>
        <v>755</v>
      </c>
      <c r="E441" s="31">
        <f t="shared" ca="1" si="32"/>
        <v>0</v>
      </c>
      <c r="F441" s="40">
        <f t="shared" ca="1" si="33"/>
        <v>31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19320808</v>
      </c>
      <c r="C442" s="26" t="str">
        <f>INDEX(Data,2,2+MOD(ROWS(C$2:C442)-1,2))</f>
        <v>08.00</v>
      </c>
      <c r="D442" s="39">
        <f t="shared" ca="1" si="31"/>
        <v>755.5</v>
      </c>
      <c r="E442" s="31">
        <f t="shared" ca="1" si="32"/>
        <v>0</v>
      </c>
      <c r="F442" s="40">
        <f t="shared" ca="1" si="33"/>
        <v>29.5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19320808</v>
      </c>
      <c r="C443" s="26" t="str">
        <f>INDEX(Data,2,2+MOD(ROWS(C$2:C443)-1,2))</f>
        <v>15.00</v>
      </c>
      <c r="D443" s="39">
        <f t="shared" ca="1" si="31"/>
        <v>754.5</v>
      </c>
      <c r="E443" s="31">
        <f t="shared" ca="1" si="32"/>
        <v>0</v>
      </c>
      <c r="F443" s="40">
        <f t="shared" ca="1" si="33"/>
        <v>30.5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19320809</v>
      </c>
      <c r="C444" s="26" t="str">
        <f>INDEX(Data,2,2+MOD(ROWS(C$2:C444)-1,2))</f>
        <v>08.00</v>
      </c>
      <c r="D444" s="39">
        <f t="shared" ca="1" si="31"/>
        <v>756</v>
      </c>
      <c r="E444" s="31">
        <f t="shared" ca="1" si="32"/>
        <v>0</v>
      </c>
      <c r="F444" s="40">
        <f t="shared" ca="1" si="33"/>
        <v>30.5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19320809</v>
      </c>
      <c r="C445" s="26" t="str">
        <f>INDEX(Data,2,2+MOD(ROWS(C$2:C445)-1,2))</f>
        <v>15.00</v>
      </c>
      <c r="D445" s="39">
        <f t="shared" ca="1" si="31"/>
        <v>755</v>
      </c>
      <c r="E445" s="31">
        <f t="shared" ca="1" si="32"/>
        <v>0</v>
      </c>
      <c r="F445" s="40">
        <f t="shared" ca="1" si="33"/>
        <v>31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19320810</v>
      </c>
      <c r="C446" s="26" t="str">
        <f>INDEX(Data,2,2+MOD(ROWS(C$2:C446)-1,2))</f>
        <v>08.00</v>
      </c>
      <c r="D446" s="39">
        <f t="shared" ca="1" si="31"/>
        <v>756</v>
      </c>
      <c r="E446" s="31">
        <f t="shared" ca="1" si="32"/>
        <v>0</v>
      </c>
      <c r="F446" s="40">
        <f t="shared" ca="1" si="33"/>
        <v>30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19320810</v>
      </c>
      <c r="C447" s="26" t="str">
        <f>INDEX(Data,2,2+MOD(ROWS(C$2:C447)-1,2))</f>
        <v>15.00</v>
      </c>
      <c r="D447" s="39">
        <f t="shared" ca="1" si="31"/>
        <v>755</v>
      </c>
      <c r="E447" s="31">
        <f t="shared" ca="1" si="32"/>
        <v>0</v>
      </c>
      <c r="F447" s="40">
        <f t="shared" ca="1" si="33"/>
        <v>31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19320811</v>
      </c>
      <c r="C448" s="26" t="str">
        <f>INDEX(Data,2,2+MOD(ROWS(C$2:C448)-1,2))</f>
        <v>08.00</v>
      </c>
      <c r="D448" s="39">
        <f t="shared" ca="1" si="31"/>
        <v>756</v>
      </c>
      <c r="E448" s="31">
        <f t="shared" ca="1" si="32"/>
        <v>0</v>
      </c>
      <c r="F448" s="40">
        <f t="shared" ca="1" si="33"/>
        <v>30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19320811</v>
      </c>
      <c r="C449" s="26" t="str">
        <f>INDEX(Data,2,2+MOD(ROWS(C$2:C449)-1,2))</f>
        <v>15.00</v>
      </c>
      <c r="D449" s="39">
        <f t="shared" ca="1" si="31"/>
        <v>755</v>
      </c>
      <c r="E449" s="31">
        <f t="shared" ca="1" si="32"/>
        <v>0</v>
      </c>
      <c r="F449" s="40">
        <f t="shared" ca="1" si="33"/>
        <v>31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19320812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756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30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19320812</v>
      </c>
      <c r="C451" s="26" t="str">
        <f>INDEX(Data,2,2+MOD(ROWS(C$2:C451)-1,2))</f>
        <v>15.00</v>
      </c>
      <c r="D451" s="39">
        <f t="shared" ca="1" si="36"/>
        <v>754.5</v>
      </c>
      <c r="E451" s="31">
        <f t="shared" ca="1" si="37"/>
        <v>0</v>
      </c>
      <c r="F451" s="40">
        <f t="shared" ca="1" si="38"/>
        <v>32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19320813</v>
      </c>
      <c r="C452" s="26" t="str">
        <f>INDEX(Data,2,2+MOD(ROWS(C$2:C452)-1,2))</f>
        <v>08.00</v>
      </c>
      <c r="D452" s="39">
        <f t="shared" ca="1" si="36"/>
        <v>755.5</v>
      </c>
      <c r="E452" s="31">
        <f t="shared" ca="1" si="37"/>
        <v>0</v>
      </c>
      <c r="F452" s="40">
        <f t="shared" ca="1" si="38"/>
        <v>31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19320813</v>
      </c>
      <c r="C453" s="26" t="str">
        <f>INDEX(Data,2,2+MOD(ROWS(C$2:C453)-1,2))</f>
        <v>15.00</v>
      </c>
      <c r="D453" s="39">
        <f t="shared" ca="1" si="36"/>
        <v>753.5</v>
      </c>
      <c r="E453" s="31">
        <f t="shared" ca="1" si="37"/>
        <v>0</v>
      </c>
      <c r="F453" s="40">
        <f t="shared" ca="1" si="38"/>
        <v>32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19320814</v>
      </c>
      <c r="C454" s="26" t="str">
        <f>INDEX(Data,2,2+MOD(ROWS(C$2:C454)-1,2))</f>
        <v>08.00</v>
      </c>
      <c r="D454" s="39">
        <f t="shared" ca="1" si="36"/>
        <v>756</v>
      </c>
      <c r="E454" s="31">
        <f t="shared" ca="1" si="37"/>
        <v>0</v>
      </c>
      <c r="F454" s="40">
        <f t="shared" ca="1" si="38"/>
        <v>30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19320814</v>
      </c>
      <c r="C455" s="26" t="str">
        <f>INDEX(Data,2,2+MOD(ROWS(C$2:C455)-1,2))</f>
        <v>15.00</v>
      </c>
      <c r="D455" s="39">
        <f t="shared" ca="1" si="36"/>
        <v>754.5</v>
      </c>
      <c r="E455" s="31">
        <f t="shared" ca="1" si="37"/>
        <v>0</v>
      </c>
      <c r="F455" s="40">
        <f t="shared" ca="1" si="38"/>
        <v>31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19320815</v>
      </c>
      <c r="C456" s="26" t="str">
        <f>INDEX(Data,2,2+MOD(ROWS(C$2:C456)-1,2))</f>
        <v>08.00</v>
      </c>
      <c r="D456" s="39">
        <f t="shared" ca="1" si="36"/>
        <v>756</v>
      </c>
      <c r="E456" s="31">
        <f t="shared" ca="1" si="37"/>
        <v>0</v>
      </c>
      <c r="F456" s="40">
        <f t="shared" ca="1" si="38"/>
        <v>30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19320815</v>
      </c>
      <c r="C457" s="26" t="str">
        <f>INDEX(Data,2,2+MOD(ROWS(C$2:C457)-1,2))</f>
        <v>15.00</v>
      </c>
      <c r="D457" s="39">
        <f t="shared" ca="1" si="36"/>
        <v>754.5</v>
      </c>
      <c r="E457" s="31">
        <f t="shared" ca="1" si="37"/>
        <v>0</v>
      </c>
      <c r="F457" s="40">
        <f t="shared" ca="1" si="38"/>
        <v>31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19320816</v>
      </c>
      <c r="C458" s="26" t="str">
        <f>INDEX(Data,2,2+MOD(ROWS(C$2:C458)-1,2))</f>
        <v>08.00</v>
      </c>
      <c r="D458" s="39">
        <f t="shared" ca="1" si="36"/>
        <v>755</v>
      </c>
      <c r="E458" s="31">
        <f t="shared" ca="1" si="37"/>
        <v>0</v>
      </c>
      <c r="F458" s="40">
        <f t="shared" ca="1" si="38"/>
        <v>30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19320816</v>
      </c>
      <c r="C459" s="26" t="str">
        <f>INDEX(Data,2,2+MOD(ROWS(C$2:C459)-1,2))</f>
        <v>15.00</v>
      </c>
      <c r="D459" s="39">
        <f t="shared" ca="1" si="36"/>
        <v>753</v>
      </c>
      <c r="E459" s="31">
        <f t="shared" ca="1" si="37"/>
        <v>0</v>
      </c>
      <c r="F459" s="40">
        <f t="shared" ca="1" si="38"/>
        <v>31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19320817</v>
      </c>
      <c r="C460" s="26" t="str">
        <f>INDEX(Data,2,2+MOD(ROWS(C$2:C460)-1,2))</f>
        <v>08.00</v>
      </c>
      <c r="D460" s="39">
        <f t="shared" ca="1" si="36"/>
        <v>756</v>
      </c>
      <c r="E460" s="31">
        <f t="shared" ca="1" si="37"/>
        <v>0</v>
      </c>
      <c r="F460" s="40">
        <f t="shared" ca="1" si="38"/>
        <v>30.5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19320817</v>
      </c>
      <c r="C461" s="26" t="str">
        <f>INDEX(Data,2,2+MOD(ROWS(C$2:C461)-1,2))</f>
        <v>15.00</v>
      </c>
      <c r="D461" s="39">
        <f t="shared" ca="1" si="36"/>
        <v>754.5</v>
      </c>
      <c r="E461" s="31">
        <f t="shared" ca="1" si="37"/>
        <v>0</v>
      </c>
      <c r="F461" s="40">
        <f t="shared" ca="1" si="38"/>
        <v>31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19320818</v>
      </c>
      <c r="C462" s="26" t="str">
        <f>INDEX(Data,2,2+MOD(ROWS(C$2:C462)-1,2))</f>
        <v>08.00</v>
      </c>
      <c r="D462" s="39">
        <f t="shared" ca="1" si="36"/>
        <v>756</v>
      </c>
      <c r="E462" s="31">
        <f t="shared" ca="1" si="37"/>
        <v>0</v>
      </c>
      <c r="F462" s="40">
        <f t="shared" ca="1" si="38"/>
        <v>30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19320818</v>
      </c>
      <c r="C463" s="26" t="str">
        <f>INDEX(Data,2,2+MOD(ROWS(C$2:C463)-1,2))</f>
        <v>15.00</v>
      </c>
      <c r="D463" s="39">
        <f t="shared" ca="1" si="36"/>
        <v>754.5</v>
      </c>
      <c r="E463" s="31">
        <f t="shared" ca="1" si="37"/>
        <v>0</v>
      </c>
      <c r="F463" s="40">
        <f t="shared" ca="1" si="38"/>
        <v>31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19320819</v>
      </c>
      <c r="C464" s="26" t="str">
        <f>INDEX(Data,2,2+MOD(ROWS(C$2:C464)-1,2))</f>
        <v>08.00</v>
      </c>
      <c r="D464" s="39">
        <f t="shared" ca="1" si="36"/>
        <v>755</v>
      </c>
      <c r="E464" s="31">
        <f t="shared" ca="1" si="37"/>
        <v>0</v>
      </c>
      <c r="F464" s="40">
        <f t="shared" ca="1" si="38"/>
        <v>30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19320819</v>
      </c>
      <c r="C465" s="26" t="str">
        <f>INDEX(Data,2,2+MOD(ROWS(C$2:C465)-1,2))</f>
        <v>15.00</v>
      </c>
      <c r="D465" s="39">
        <f t="shared" ca="1" si="36"/>
        <v>754</v>
      </c>
      <c r="E465" s="31">
        <f t="shared" ca="1" si="37"/>
        <v>0</v>
      </c>
      <c r="F465" s="40">
        <f t="shared" ca="1" si="38"/>
        <v>31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19320820</v>
      </c>
      <c r="C466" s="26" t="str">
        <f>INDEX(Data,2,2+MOD(ROWS(C$2:C466)-1,2))</f>
        <v>08.00</v>
      </c>
      <c r="D466" s="39">
        <f t="shared" ca="1" si="36"/>
        <v>755.5</v>
      </c>
      <c r="E466" s="31">
        <f t="shared" ca="1" si="37"/>
        <v>0</v>
      </c>
      <c r="F466" s="40">
        <f t="shared" ca="1" si="38"/>
        <v>30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19320820</v>
      </c>
      <c r="C467" s="26" t="str">
        <f>INDEX(Data,2,2+MOD(ROWS(C$2:C467)-1,2))</f>
        <v>15.00</v>
      </c>
      <c r="D467" s="39">
        <f t="shared" ca="1" si="36"/>
        <v>754.5</v>
      </c>
      <c r="E467" s="31">
        <f t="shared" ca="1" si="37"/>
        <v>0</v>
      </c>
      <c r="F467" s="40">
        <f t="shared" ca="1" si="38"/>
        <v>31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19320821</v>
      </c>
      <c r="C468" s="26" t="str">
        <f>INDEX(Data,2,2+MOD(ROWS(C$2:C468)-1,2))</f>
        <v>08.00</v>
      </c>
      <c r="D468" s="39">
        <f t="shared" ca="1" si="36"/>
        <v>755</v>
      </c>
      <c r="E468" s="31">
        <f t="shared" ca="1" si="37"/>
        <v>0</v>
      </c>
      <c r="F468" s="40">
        <f t="shared" ca="1" si="38"/>
        <v>30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19320821</v>
      </c>
      <c r="C469" s="26" t="str">
        <f>INDEX(Data,2,2+MOD(ROWS(C$2:C469)-1,2))</f>
        <v>15.00</v>
      </c>
      <c r="D469" s="39">
        <f t="shared" ca="1" si="36"/>
        <v>754</v>
      </c>
      <c r="E469" s="31">
        <f t="shared" ca="1" si="37"/>
        <v>0</v>
      </c>
      <c r="F469" s="40">
        <f t="shared" ca="1" si="38"/>
        <v>31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19320822</v>
      </c>
      <c r="C470" s="26" t="str">
        <f>INDEX(Data,2,2+MOD(ROWS(C$2:C470)-1,2))</f>
        <v>08.00</v>
      </c>
      <c r="D470" s="39">
        <f t="shared" ca="1" si="36"/>
        <v>755</v>
      </c>
      <c r="E470" s="31">
        <f t="shared" ca="1" si="37"/>
        <v>0</v>
      </c>
      <c r="F470" s="40">
        <f t="shared" ca="1" si="38"/>
        <v>30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19320822</v>
      </c>
      <c r="C471" s="26" t="str">
        <f>INDEX(Data,2,2+MOD(ROWS(C$2:C471)-1,2))</f>
        <v>15.00</v>
      </c>
      <c r="D471" s="39">
        <f t="shared" ca="1" si="36"/>
        <v>753</v>
      </c>
      <c r="E471" s="31">
        <f t="shared" ca="1" si="37"/>
        <v>0</v>
      </c>
      <c r="F471" s="40">
        <f t="shared" ca="1" si="38"/>
        <v>31.5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19320823</v>
      </c>
      <c r="C472" s="26" t="str">
        <f>INDEX(Data,2,2+MOD(ROWS(C$2:C472)-1,2))</f>
        <v>08.00</v>
      </c>
      <c r="D472" s="39">
        <f t="shared" ca="1" si="36"/>
        <v>755.5</v>
      </c>
      <c r="E472" s="31">
        <f t="shared" ca="1" si="37"/>
        <v>0</v>
      </c>
      <c r="F472" s="40">
        <f t="shared" ca="1" si="38"/>
        <v>30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19320823</v>
      </c>
      <c r="C473" s="26" t="str">
        <f>INDEX(Data,2,2+MOD(ROWS(C$2:C473)-1,2))</f>
        <v>15.00</v>
      </c>
      <c r="D473" s="39">
        <f t="shared" ca="1" si="36"/>
        <v>753.5</v>
      </c>
      <c r="E473" s="31">
        <f t="shared" ca="1" si="37"/>
        <v>0</v>
      </c>
      <c r="F473" s="40">
        <f t="shared" ca="1" si="38"/>
        <v>32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19320824</v>
      </c>
      <c r="C474" s="26" t="str">
        <f>INDEX(Data,2,2+MOD(ROWS(C$2:C474)-1,2))</f>
        <v>08.00</v>
      </c>
      <c r="D474" s="39">
        <f t="shared" ca="1" si="36"/>
        <v>755.5</v>
      </c>
      <c r="E474" s="31">
        <f t="shared" ca="1" si="37"/>
        <v>0</v>
      </c>
      <c r="F474" s="40">
        <f t="shared" ca="1" si="38"/>
        <v>30.5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19320824</v>
      </c>
      <c r="C475" s="26" t="str">
        <f>INDEX(Data,2,2+MOD(ROWS(C$2:C475)-1,2))</f>
        <v>15.00</v>
      </c>
      <c r="D475" s="39">
        <f t="shared" ca="1" si="36"/>
        <v>753</v>
      </c>
      <c r="E475" s="31">
        <f t="shared" ca="1" si="37"/>
        <v>0</v>
      </c>
      <c r="F475" s="40">
        <f t="shared" ca="1" si="38"/>
        <v>32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19320825</v>
      </c>
      <c r="C476" s="26" t="str">
        <f>INDEX(Data,2,2+MOD(ROWS(C$2:C476)-1,2))</f>
        <v>08.00</v>
      </c>
      <c r="D476" s="39">
        <f t="shared" ca="1" si="36"/>
        <v>755</v>
      </c>
      <c r="E476" s="31">
        <f t="shared" ca="1" si="37"/>
        <v>0</v>
      </c>
      <c r="F476" s="40">
        <f t="shared" ca="1" si="38"/>
        <v>31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19320825</v>
      </c>
      <c r="C477" s="26" t="str">
        <f>INDEX(Data,2,2+MOD(ROWS(C$2:C477)-1,2))</f>
        <v>15.00</v>
      </c>
      <c r="D477" s="39">
        <f t="shared" ca="1" si="36"/>
        <v>753</v>
      </c>
      <c r="E477" s="31">
        <f t="shared" ca="1" si="37"/>
        <v>0</v>
      </c>
      <c r="F477" s="40">
        <f t="shared" ca="1" si="38"/>
        <v>32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19320826</v>
      </c>
      <c r="C478" s="26" t="str">
        <f>INDEX(Data,2,2+MOD(ROWS(C$2:C478)-1,2))</f>
        <v>08.00</v>
      </c>
      <c r="D478" s="39">
        <f t="shared" ca="1" si="36"/>
        <v>756</v>
      </c>
      <c r="E478" s="31">
        <f t="shared" ca="1" si="37"/>
        <v>0</v>
      </c>
      <c r="F478" s="40">
        <f t="shared" ca="1" si="38"/>
        <v>32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19320826</v>
      </c>
      <c r="C479" s="26" t="str">
        <f>INDEX(Data,2,2+MOD(ROWS(C$2:C479)-1,2))</f>
        <v>15.00</v>
      </c>
      <c r="D479" s="39">
        <f t="shared" ca="1" si="36"/>
        <v>754</v>
      </c>
      <c r="E479" s="31">
        <f t="shared" ca="1" si="37"/>
        <v>0</v>
      </c>
      <c r="F479" s="40">
        <f t="shared" ca="1" si="38"/>
        <v>32.5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19320827</v>
      </c>
      <c r="C480" s="26" t="str">
        <f>INDEX(Data,2,2+MOD(ROWS(C$2:C480)-1,2))</f>
        <v>08.00</v>
      </c>
      <c r="D480" s="39">
        <f t="shared" ca="1" si="36"/>
        <v>756.5</v>
      </c>
      <c r="E480" s="31">
        <f t="shared" ca="1" si="37"/>
        <v>0</v>
      </c>
      <c r="F480" s="40">
        <f t="shared" ca="1" si="38"/>
        <v>31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19320827</v>
      </c>
      <c r="C481" s="26" t="str">
        <f>INDEX(Data,2,2+MOD(ROWS(C$2:C481)-1,2))</f>
        <v>15.00</v>
      </c>
      <c r="D481" s="39">
        <f t="shared" ca="1" si="36"/>
        <v>754</v>
      </c>
      <c r="E481" s="31">
        <f t="shared" ca="1" si="37"/>
        <v>0</v>
      </c>
      <c r="F481" s="40">
        <f t="shared" ca="1" si="38"/>
        <v>32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19320828</v>
      </c>
      <c r="C482" s="26" t="str">
        <f>INDEX(Data,2,2+MOD(ROWS(C$2:C482)-1,2))</f>
        <v>08.00</v>
      </c>
      <c r="D482" s="39">
        <f t="shared" ca="1" si="36"/>
        <v>756</v>
      </c>
      <c r="E482" s="31">
        <f t="shared" ca="1" si="37"/>
        <v>0</v>
      </c>
      <c r="F482" s="40">
        <f t="shared" ca="1" si="38"/>
        <v>31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19320828</v>
      </c>
      <c r="C483" s="26" t="str">
        <f>INDEX(Data,2,2+MOD(ROWS(C$2:C483)-1,2))</f>
        <v>15.00</v>
      </c>
      <c r="D483" s="39">
        <f t="shared" ca="1" si="36"/>
        <v>754</v>
      </c>
      <c r="E483" s="31">
        <f t="shared" ca="1" si="37"/>
        <v>0</v>
      </c>
      <c r="F483" s="40">
        <f t="shared" ca="1" si="38"/>
        <v>32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19320829</v>
      </c>
      <c r="C484" s="26" t="str">
        <f>INDEX(Data,2,2+MOD(ROWS(C$2:C484)-1,2))</f>
        <v>08.00</v>
      </c>
      <c r="D484" s="39">
        <f t="shared" ca="1" si="36"/>
        <v>756</v>
      </c>
      <c r="E484" s="31">
        <f t="shared" ca="1" si="37"/>
        <v>0</v>
      </c>
      <c r="F484" s="40">
        <f t="shared" ca="1" si="38"/>
        <v>31.5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19320829</v>
      </c>
      <c r="C485" s="26" t="str">
        <f>INDEX(Data,2,2+MOD(ROWS(C$2:C485)-1,2))</f>
        <v>15.00</v>
      </c>
      <c r="D485" s="39">
        <f t="shared" ca="1" si="36"/>
        <v>754</v>
      </c>
      <c r="E485" s="31">
        <f t="shared" ca="1" si="37"/>
        <v>0</v>
      </c>
      <c r="F485" s="40">
        <f t="shared" ca="1" si="38"/>
        <v>32.5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19320830</v>
      </c>
      <c r="C486" s="26" t="str">
        <f>INDEX(Data,2,2+MOD(ROWS(C$2:C486)-1,2))</f>
        <v>08.00</v>
      </c>
      <c r="D486" s="39">
        <f t="shared" ca="1" si="36"/>
        <v>756.5</v>
      </c>
      <c r="E486" s="31">
        <f t="shared" ca="1" si="37"/>
        <v>0</v>
      </c>
      <c r="F486" s="40">
        <f t="shared" ca="1" si="38"/>
        <v>31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19320830</v>
      </c>
      <c r="C487" s="26" t="str">
        <f>INDEX(Data,2,2+MOD(ROWS(C$2:C487)-1,2))</f>
        <v>15.00</v>
      </c>
      <c r="D487" s="39">
        <f t="shared" ca="1" si="36"/>
        <v>754</v>
      </c>
      <c r="E487" s="31">
        <f t="shared" ca="1" si="37"/>
        <v>0</v>
      </c>
      <c r="F487" s="40">
        <f t="shared" ca="1" si="38"/>
        <v>32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19320831</v>
      </c>
      <c r="C488" s="26" t="str">
        <f>INDEX(Data,2,2+MOD(ROWS(C$2:C488)-1,2))</f>
        <v>08.00</v>
      </c>
      <c r="D488" s="39">
        <f t="shared" ca="1" si="36"/>
        <v>756</v>
      </c>
      <c r="E488" s="31">
        <f t="shared" ca="1" si="37"/>
        <v>0</v>
      </c>
      <c r="F488" s="40">
        <f t="shared" ca="1" si="38"/>
        <v>31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19320831</v>
      </c>
      <c r="C489" s="26" t="str">
        <f>INDEX(Data,2,2+MOD(ROWS(C$2:C489)-1,2))</f>
        <v>15.00</v>
      </c>
      <c r="D489" s="39">
        <f t="shared" ca="1" si="36"/>
        <v>754</v>
      </c>
      <c r="E489" s="31">
        <f t="shared" ca="1" si="37"/>
        <v>0</v>
      </c>
      <c r="F489" s="40">
        <f t="shared" ca="1" si="38"/>
        <v>32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19320901</v>
      </c>
      <c r="C490" s="26" t="str">
        <f>INDEX(Data,2,2+MOD(ROWS(C$2:C490)-1,2))</f>
        <v>08.00</v>
      </c>
      <c r="D490" s="39">
        <f t="shared" ca="1" si="36"/>
        <v>756</v>
      </c>
      <c r="E490" s="31">
        <f t="shared" ca="1" si="37"/>
        <v>0</v>
      </c>
      <c r="F490" s="40">
        <f t="shared" ca="1" si="38"/>
        <v>31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19320901</v>
      </c>
      <c r="C491" s="26" t="str">
        <f>INDEX(Data,2,2+MOD(ROWS(C$2:C491)-1,2))</f>
        <v>15.00</v>
      </c>
      <c r="D491" s="39">
        <f t="shared" ca="1" si="36"/>
        <v>753.5</v>
      </c>
      <c r="E491" s="31">
        <f t="shared" ca="1" si="37"/>
        <v>0</v>
      </c>
      <c r="F491" s="40">
        <f t="shared" ca="1" si="38"/>
        <v>33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19320902</v>
      </c>
      <c r="C492" s="26" t="str">
        <f>INDEX(Data,2,2+MOD(ROWS(C$2:C492)-1,2))</f>
        <v>08.00</v>
      </c>
      <c r="D492" s="39">
        <f t="shared" ca="1" si="36"/>
        <v>754</v>
      </c>
      <c r="E492" s="31">
        <f t="shared" ca="1" si="37"/>
        <v>0</v>
      </c>
      <c r="F492" s="40">
        <f t="shared" ca="1" si="38"/>
        <v>32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19320902</v>
      </c>
      <c r="C493" s="26" t="str">
        <f>INDEX(Data,2,2+MOD(ROWS(C$2:C493)-1,2))</f>
        <v>15.00</v>
      </c>
      <c r="D493" s="39">
        <f t="shared" ca="1" si="36"/>
        <v>752</v>
      </c>
      <c r="E493" s="31">
        <f t="shared" ca="1" si="37"/>
        <v>0</v>
      </c>
      <c r="F493" s="40">
        <f t="shared" ca="1" si="38"/>
        <v>33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19320903</v>
      </c>
      <c r="C494" s="26" t="str">
        <f>INDEX(Data,2,2+MOD(ROWS(C$2:C494)-1,2))</f>
        <v>08.00</v>
      </c>
      <c r="D494" s="39">
        <f t="shared" ca="1" si="36"/>
        <v>755</v>
      </c>
      <c r="E494" s="31">
        <f t="shared" ca="1" si="37"/>
        <v>0</v>
      </c>
      <c r="F494" s="40">
        <f t="shared" ca="1" si="38"/>
        <v>32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19320903</v>
      </c>
      <c r="C495" s="26" t="str">
        <f>INDEX(Data,2,2+MOD(ROWS(C$2:C495)-1,2))</f>
        <v>15.00</v>
      </c>
      <c r="D495" s="39">
        <f t="shared" ca="1" si="36"/>
        <v>752</v>
      </c>
      <c r="E495" s="31">
        <f t="shared" ca="1" si="37"/>
        <v>0</v>
      </c>
      <c r="F495" s="40">
        <f t="shared" ca="1" si="38"/>
        <v>33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19320904</v>
      </c>
      <c r="C496" s="26" t="str">
        <f>INDEX(Data,2,2+MOD(ROWS(C$2:C496)-1,2))</f>
        <v>08.00</v>
      </c>
      <c r="D496" s="39">
        <f t="shared" ca="1" si="36"/>
        <v>756</v>
      </c>
      <c r="E496" s="31">
        <f t="shared" ca="1" si="37"/>
        <v>0</v>
      </c>
      <c r="F496" s="40">
        <f t="shared" ca="1" si="38"/>
        <v>32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19320904</v>
      </c>
      <c r="C497" s="26" t="str">
        <f>INDEX(Data,2,2+MOD(ROWS(C$2:C497)-1,2))</f>
        <v>15.00</v>
      </c>
      <c r="D497" s="39">
        <f t="shared" ca="1" si="36"/>
        <v>754</v>
      </c>
      <c r="E497" s="31">
        <f t="shared" ca="1" si="37"/>
        <v>0</v>
      </c>
      <c r="F497" s="40">
        <f t="shared" ca="1" si="38"/>
        <v>32.5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19320905</v>
      </c>
      <c r="C498" s="26" t="str">
        <f>INDEX(Data,2,2+MOD(ROWS(C$2:C498)-1,2))</f>
        <v>08.00</v>
      </c>
      <c r="D498" s="39">
        <f t="shared" ca="1" si="36"/>
        <v>756</v>
      </c>
      <c r="E498" s="31">
        <f t="shared" ca="1" si="37"/>
        <v>0</v>
      </c>
      <c r="F498" s="40">
        <f t="shared" ca="1" si="38"/>
        <v>32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19320905</v>
      </c>
      <c r="C499" s="26" t="str">
        <f>INDEX(Data,2,2+MOD(ROWS(C$2:C499)-1,2))</f>
        <v>15.00</v>
      </c>
      <c r="D499" s="39">
        <f t="shared" ca="1" si="36"/>
        <v>754</v>
      </c>
      <c r="E499" s="31">
        <f t="shared" ca="1" si="37"/>
        <v>0</v>
      </c>
      <c r="F499" s="40">
        <f t="shared" ca="1" si="38"/>
        <v>33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19320906</v>
      </c>
      <c r="C500" s="26" t="str">
        <f>INDEX(Data,2,2+MOD(ROWS(C$2:C500)-1,2))</f>
        <v>08.00</v>
      </c>
      <c r="D500" s="39">
        <f t="shared" ca="1" si="36"/>
        <v>756.5</v>
      </c>
      <c r="E500" s="31">
        <f t="shared" ca="1" si="37"/>
        <v>0</v>
      </c>
      <c r="F500" s="40">
        <f t="shared" ca="1" si="38"/>
        <v>31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19320906</v>
      </c>
      <c r="C501" s="26" t="str">
        <f>INDEX(Data,2,2+MOD(ROWS(C$2:C501)-1,2))</f>
        <v>15.00</v>
      </c>
      <c r="D501" s="39">
        <f t="shared" ca="1" si="36"/>
        <v>754.5</v>
      </c>
      <c r="E501" s="31">
        <f t="shared" ca="1" si="37"/>
        <v>0</v>
      </c>
      <c r="F501" s="40">
        <f t="shared" ca="1" si="38"/>
        <v>32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19320907</v>
      </c>
      <c r="C502" s="26" t="str">
        <f>INDEX(Data,2,2+MOD(ROWS(C$2:C502)-1,2))</f>
        <v>08.00</v>
      </c>
      <c r="D502" s="39">
        <f t="shared" ca="1" si="36"/>
        <v>756</v>
      </c>
      <c r="E502" s="31">
        <f t="shared" ca="1" si="37"/>
        <v>0</v>
      </c>
      <c r="F502" s="40">
        <f t="shared" ca="1" si="38"/>
        <v>31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19320907</v>
      </c>
      <c r="C503" s="26" t="str">
        <f>INDEX(Data,2,2+MOD(ROWS(C$2:C503)-1,2))</f>
        <v>15.00</v>
      </c>
      <c r="D503" s="39">
        <f t="shared" ca="1" si="36"/>
        <v>754</v>
      </c>
      <c r="E503" s="31">
        <f t="shared" ca="1" si="37"/>
        <v>0</v>
      </c>
      <c r="F503" s="40">
        <f t="shared" ca="1" si="38"/>
        <v>32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19320908</v>
      </c>
      <c r="C504" s="26" t="str">
        <f>INDEX(Data,2,2+MOD(ROWS(C$2:C504)-1,2))</f>
        <v>08.00</v>
      </c>
      <c r="D504" s="39">
        <f t="shared" ca="1" si="36"/>
        <v>755.5</v>
      </c>
      <c r="E504" s="31">
        <f t="shared" ca="1" si="37"/>
        <v>0</v>
      </c>
      <c r="F504" s="40">
        <f t="shared" ca="1" si="38"/>
        <v>31.5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19320908</v>
      </c>
      <c r="C505" s="26" t="str">
        <f>INDEX(Data,2,2+MOD(ROWS(C$2:C505)-1,2))</f>
        <v>15.00</v>
      </c>
      <c r="D505" s="39">
        <f t="shared" ca="1" si="36"/>
        <v>753.5</v>
      </c>
      <c r="E505" s="31">
        <f t="shared" ca="1" si="37"/>
        <v>0</v>
      </c>
      <c r="F505" s="40">
        <f t="shared" ca="1" si="38"/>
        <v>32.5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19320909</v>
      </c>
      <c r="C506" s="26" t="str">
        <f>INDEX(Data,2,2+MOD(ROWS(C$2:C506)-1,2))</f>
        <v>08.00</v>
      </c>
      <c r="D506" s="39">
        <f t="shared" ca="1" si="36"/>
        <v>757</v>
      </c>
      <c r="E506" s="31">
        <f t="shared" ca="1" si="37"/>
        <v>0</v>
      </c>
      <c r="F506" s="40">
        <f t="shared" ca="1" si="38"/>
        <v>31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19320909</v>
      </c>
      <c r="C507" s="26" t="str">
        <f>INDEX(Data,2,2+MOD(ROWS(C$2:C507)-1,2))</f>
        <v>15.00</v>
      </c>
      <c r="D507" s="39">
        <f t="shared" ca="1" si="36"/>
        <v>754</v>
      </c>
      <c r="E507" s="31">
        <f t="shared" ca="1" si="37"/>
        <v>0</v>
      </c>
      <c r="F507" s="40">
        <f t="shared" ca="1" si="38"/>
        <v>32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19320910</v>
      </c>
      <c r="C508" s="26" t="str">
        <f>INDEX(Data,2,2+MOD(ROWS(C$2:C508)-1,2))</f>
        <v>08.00</v>
      </c>
      <c r="D508" s="39">
        <f t="shared" ca="1" si="36"/>
        <v>756</v>
      </c>
      <c r="E508" s="31">
        <f t="shared" ca="1" si="37"/>
        <v>0</v>
      </c>
      <c r="F508" s="40">
        <f t="shared" ca="1" si="38"/>
        <v>31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19320910</v>
      </c>
      <c r="C509" s="26" t="str">
        <f>INDEX(Data,2,2+MOD(ROWS(C$2:C509)-1,2))</f>
        <v>15.00</v>
      </c>
      <c r="D509" s="39">
        <f t="shared" ca="1" si="36"/>
        <v>753</v>
      </c>
      <c r="E509" s="31">
        <f t="shared" ca="1" si="37"/>
        <v>0</v>
      </c>
      <c r="F509" s="40">
        <f t="shared" ca="1" si="38"/>
        <v>32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19320911</v>
      </c>
      <c r="C510" s="26" t="str">
        <f>INDEX(Data,2,2+MOD(ROWS(C$2:C510)-1,2))</f>
        <v>08.00</v>
      </c>
      <c r="D510" s="39">
        <f t="shared" ca="1" si="36"/>
        <v>756</v>
      </c>
      <c r="E510" s="31">
        <f t="shared" ca="1" si="37"/>
        <v>0</v>
      </c>
      <c r="F510" s="40">
        <f t="shared" ca="1" si="38"/>
        <v>31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19320911</v>
      </c>
      <c r="C511" s="26" t="str">
        <f>INDEX(Data,2,2+MOD(ROWS(C$2:C511)-1,2))</f>
        <v>15.00</v>
      </c>
      <c r="D511" s="39">
        <f t="shared" ca="1" si="36"/>
        <v>754</v>
      </c>
      <c r="E511" s="31">
        <f t="shared" ca="1" si="37"/>
        <v>0</v>
      </c>
      <c r="F511" s="40">
        <f t="shared" ca="1" si="38"/>
        <v>32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19320912</v>
      </c>
      <c r="C512" s="26" t="str">
        <f>INDEX(Data,2,2+MOD(ROWS(C$2:C512)-1,2))</f>
        <v>08.00</v>
      </c>
      <c r="D512" s="39">
        <f t="shared" ca="1" si="36"/>
        <v>756</v>
      </c>
      <c r="E512" s="31">
        <f t="shared" ca="1" si="37"/>
        <v>0</v>
      </c>
      <c r="F512" s="40">
        <f t="shared" ca="1" si="38"/>
        <v>31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19320912</v>
      </c>
      <c r="C513" s="26" t="str">
        <f>INDEX(Data,2,2+MOD(ROWS(C$2:C513)-1,2))</f>
        <v>15.00</v>
      </c>
      <c r="D513" s="39">
        <f t="shared" ca="1" si="36"/>
        <v>753.5</v>
      </c>
      <c r="E513" s="31">
        <f t="shared" ca="1" si="37"/>
        <v>0</v>
      </c>
      <c r="F513" s="40">
        <f t="shared" ca="1" si="38"/>
        <v>32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19320913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755.5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31.5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19320913</v>
      </c>
      <c r="C515" s="26" t="str">
        <f>INDEX(Data,2,2+MOD(ROWS(C$2:C515)-1,2))</f>
        <v>15.00</v>
      </c>
      <c r="D515" s="39">
        <f t="shared" ca="1" si="41"/>
        <v>753.5</v>
      </c>
      <c r="E515" s="31">
        <f t="shared" ca="1" si="42"/>
        <v>0</v>
      </c>
      <c r="F515" s="40">
        <f t="shared" ca="1" si="43"/>
        <v>32.5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19320914</v>
      </c>
      <c r="C516" s="26" t="str">
        <f>INDEX(Data,2,2+MOD(ROWS(C$2:C516)-1,2))</f>
        <v>08.00</v>
      </c>
      <c r="D516" s="39">
        <f t="shared" ca="1" si="41"/>
        <v>756</v>
      </c>
      <c r="E516" s="31">
        <f t="shared" ca="1" si="42"/>
        <v>0</v>
      </c>
      <c r="F516" s="40">
        <f t="shared" ca="1" si="43"/>
        <v>31.5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19320914</v>
      </c>
      <c r="C517" s="26" t="str">
        <f>INDEX(Data,2,2+MOD(ROWS(C$2:C517)-1,2))</f>
        <v>15.00</v>
      </c>
      <c r="D517" s="39">
        <f t="shared" ca="1" si="41"/>
        <v>754</v>
      </c>
      <c r="E517" s="31">
        <f t="shared" ca="1" si="42"/>
        <v>0</v>
      </c>
      <c r="F517" s="40">
        <f t="shared" ca="1" si="43"/>
        <v>32.5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19320915</v>
      </c>
      <c r="C518" s="26" t="str">
        <f>INDEX(Data,2,2+MOD(ROWS(C$2:C518)-1,2))</f>
        <v>08.00</v>
      </c>
      <c r="D518" s="39">
        <f t="shared" ca="1" si="41"/>
        <v>756</v>
      </c>
      <c r="E518" s="31">
        <f t="shared" ca="1" si="42"/>
        <v>0</v>
      </c>
      <c r="F518" s="40">
        <f t="shared" ca="1" si="43"/>
        <v>31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19320915</v>
      </c>
      <c r="C519" s="26" t="str">
        <f>INDEX(Data,2,2+MOD(ROWS(C$2:C519)-1,2))</f>
        <v>15.00</v>
      </c>
      <c r="D519" s="39">
        <f t="shared" ca="1" si="41"/>
        <v>754</v>
      </c>
      <c r="E519" s="31">
        <f t="shared" ca="1" si="42"/>
        <v>0</v>
      </c>
      <c r="F519" s="40">
        <f t="shared" ca="1" si="43"/>
        <v>32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19320916</v>
      </c>
      <c r="C520" s="26" t="str">
        <f>INDEX(Data,2,2+MOD(ROWS(C$2:C520)-1,2))</f>
        <v>08.00</v>
      </c>
      <c r="D520" s="39">
        <f t="shared" ca="1" si="41"/>
        <v>756</v>
      </c>
      <c r="E520" s="31">
        <f t="shared" ca="1" si="42"/>
        <v>0</v>
      </c>
      <c r="F520" s="40">
        <f t="shared" ca="1" si="43"/>
        <v>31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19320916</v>
      </c>
      <c r="C521" s="26" t="str">
        <f>INDEX(Data,2,2+MOD(ROWS(C$2:C521)-1,2))</f>
        <v>15.00</v>
      </c>
      <c r="D521" s="39">
        <f t="shared" ca="1" si="41"/>
        <v>754</v>
      </c>
      <c r="E521" s="31">
        <f t="shared" ca="1" si="42"/>
        <v>0</v>
      </c>
      <c r="F521" s="40">
        <f t="shared" ca="1" si="43"/>
        <v>33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19320917</v>
      </c>
      <c r="C522" s="26" t="str">
        <f>INDEX(Data,2,2+MOD(ROWS(C$2:C522)-1,2))</f>
        <v>08.00</v>
      </c>
      <c r="D522" s="39">
        <f t="shared" ca="1" si="41"/>
        <v>756</v>
      </c>
      <c r="E522" s="31">
        <f t="shared" ca="1" si="42"/>
        <v>0</v>
      </c>
      <c r="F522" s="40">
        <f t="shared" ca="1" si="43"/>
        <v>31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19320917</v>
      </c>
      <c r="C523" s="26" t="str">
        <f>INDEX(Data,2,2+MOD(ROWS(C$2:C523)-1,2))</f>
        <v>15.00</v>
      </c>
      <c r="D523" s="39">
        <f t="shared" ca="1" si="41"/>
        <v>754</v>
      </c>
      <c r="E523" s="31">
        <f t="shared" ca="1" si="42"/>
        <v>0</v>
      </c>
      <c r="F523" s="40">
        <f t="shared" ca="1" si="43"/>
        <v>32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19320918</v>
      </c>
      <c r="C524" s="26" t="str">
        <f>INDEX(Data,2,2+MOD(ROWS(C$2:C524)-1,2))</f>
        <v>08.00</v>
      </c>
      <c r="D524" s="39">
        <f t="shared" ca="1" si="41"/>
        <v>755</v>
      </c>
      <c r="E524" s="31">
        <f t="shared" ca="1" si="42"/>
        <v>0</v>
      </c>
      <c r="F524" s="40">
        <f t="shared" ca="1" si="43"/>
        <v>31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19320918</v>
      </c>
      <c r="C525" s="26" t="str">
        <f>INDEX(Data,2,2+MOD(ROWS(C$2:C525)-1,2))</f>
        <v>15.00</v>
      </c>
      <c r="D525" s="39">
        <f t="shared" ca="1" si="41"/>
        <v>754</v>
      </c>
      <c r="E525" s="31">
        <f t="shared" ca="1" si="42"/>
        <v>0</v>
      </c>
      <c r="F525" s="40">
        <f t="shared" ca="1" si="43"/>
        <v>32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19320919</v>
      </c>
      <c r="C526" s="26" t="str">
        <f>INDEX(Data,2,2+MOD(ROWS(C$2:C526)-1,2))</f>
        <v>08.00</v>
      </c>
      <c r="D526" s="39">
        <f t="shared" ca="1" si="41"/>
        <v>756</v>
      </c>
      <c r="E526" s="31">
        <f t="shared" ca="1" si="42"/>
        <v>0</v>
      </c>
      <c r="F526" s="40">
        <f t="shared" ca="1" si="43"/>
        <v>31.5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19320919</v>
      </c>
      <c r="C527" s="26" t="str">
        <f>INDEX(Data,2,2+MOD(ROWS(C$2:C527)-1,2))</f>
        <v>15.00</v>
      </c>
      <c r="D527" s="39">
        <f t="shared" ca="1" si="41"/>
        <v>752.5</v>
      </c>
      <c r="E527" s="31">
        <f t="shared" ca="1" si="42"/>
        <v>0</v>
      </c>
      <c r="F527" s="40">
        <f t="shared" ca="1" si="43"/>
        <v>32.5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19320920</v>
      </c>
      <c r="C528" s="26" t="str">
        <f>INDEX(Data,2,2+MOD(ROWS(C$2:C528)-1,2))</f>
        <v>08.00</v>
      </c>
      <c r="D528" s="39">
        <f t="shared" ca="1" si="41"/>
        <v>754</v>
      </c>
      <c r="E528" s="31">
        <f t="shared" ca="1" si="42"/>
        <v>0</v>
      </c>
      <c r="F528" s="40">
        <f t="shared" ca="1" si="43"/>
        <v>32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19320920</v>
      </c>
      <c r="C529" s="26" t="str">
        <f>INDEX(Data,2,2+MOD(ROWS(C$2:C529)-1,2))</f>
        <v>15.00</v>
      </c>
      <c r="D529" s="39">
        <f t="shared" ca="1" si="41"/>
        <v>751</v>
      </c>
      <c r="E529" s="31">
        <f t="shared" ca="1" si="42"/>
        <v>0</v>
      </c>
      <c r="F529" s="40">
        <f t="shared" ca="1" si="43"/>
        <v>33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19320921</v>
      </c>
      <c r="C530" s="26" t="str">
        <f>INDEX(Data,2,2+MOD(ROWS(C$2:C530)-1,2))</f>
        <v>08.00</v>
      </c>
      <c r="D530" s="39">
        <f t="shared" ca="1" si="41"/>
        <v>754.5</v>
      </c>
      <c r="E530" s="31">
        <f t="shared" ca="1" si="42"/>
        <v>0</v>
      </c>
      <c r="F530" s="40">
        <f t="shared" ca="1" si="43"/>
        <v>32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19320921</v>
      </c>
      <c r="C531" s="26" t="str">
        <f>INDEX(Data,2,2+MOD(ROWS(C$2:C531)-1,2))</f>
        <v>15.00</v>
      </c>
      <c r="D531" s="39">
        <f t="shared" ca="1" si="41"/>
        <v>752</v>
      </c>
      <c r="E531" s="31">
        <f t="shared" ca="1" si="42"/>
        <v>0</v>
      </c>
      <c r="F531" s="40">
        <f t="shared" ca="1" si="43"/>
        <v>32.5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19320922</v>
      </c>
      <c r="C532" s="26" t="str">
        <f>INDEX(Data,2,2+MOD(ROWS(C$2:C532)-1,2))</f>
        <v>08.00</v>
      </c>
      <c r="D532" s="39">
        <f t="shared" ca="1" si="41"/>
        <v>755</v>
      </c>
      <c r="E532" s="31">
        <f t="shared" ca="1" si="42"/>
        <v>0</v>
      </c>
      <c r="F532" s="40">
        <f t="shared" ca="1" si="43"/>
        <v>32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19320922</v>
      </c>
      <c r="C533" s="26" t="str">
        <f>INDEX(Data,2,2+MOD(ROWS(C$2:C533)-1,2))</f>
        <v>15.00</v>
      </c>
      <c r="D533" s="39">
        <f t="shared" ca="1" si="41"/>
        <v>752.5</v>
      </c>
      <c r="E533" s="31">
        <f t="shared" ca="1" si="42"/>
        <v>0</v>
      </c>
      <c r="F533" s="40">
        <f t="shared" ca="1" si="43"/>
        <v>32.5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19320923</v>
      </c>
      <c r="C534" s="26" t="str">
        <f>INDEX(Data,2,2+MOD(ROWS(C$2:C534)-1,2))</f>
        <v>08.00</v>
      </c>
      <c r="D534" s="39">
        <f t="shared" ca="1" si="41"/>
        <v>755</v>
      </c>
      <c r="E534" s="31">
        <f t="shared" ca="1" si="42"/>
        <v>0</v>
      </c>
      <c r="F534" s="40">
        <f t="shared" ca="1" si="43"/>
        <v>32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19320923</v>
      </c>
      <c r="C535" s="26" t="str">
        <f>INDEX(Data,2,2+MOD(ROWS(C$2:C535)-1,2))</f>
        <v>15.00</v>
      </c>
      <c r="D535" s="39">
        <f t="shared" ca="1" si="41"/>
        <v>753</v>
      </c>
      <c r="E535" s="31">
        <f t="shared" ca="1" si="42"/>
        <v>0</v>
      </c>
      <c r="F535" s="40">
        <f t="shared" ca="1" si="43"/>
        <v>33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19320924</v>
      </c>
      <c r="C536" s="26" t="str">
        <f>INDEX(Data,2,2+MOD(ROWS(C$2:C536)-1,2))</f>
        <v>08.00</v>
      </c>
      <c r="D536" s="39">
        <f t="shared" ca="1" si="41"/>
        <v>754</v>
      </c>
      <c r="E536" s="31">
        <f t="shared" ca="1" si="42"/>
        <v>0</v>
      </c>
      <c r="F536" s="40">
        <f t="shared" ca="1" si="43"/>
        <v>32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19320924</v>
      </c>
      <c r="C537" s="26" t="str">
        <f>INDEX(Data,2,2+MOD(ROWS(C$2:C537)-1,2))</f>
        <v>15.00</v>
      </c>
      <c r="D537" s="39">
        <f t="shared" ca="1" si="41"/>
        <v>752.5</v>
      </c>
      <c r="E537" s="31">
        <f t="shared" ca="1" si="42"/>
        <v>0</v>
      </c>
      <c r="F537" s="40">
        <f t="shared" ca="1" si="43"/>
        <v>32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19320925</v>
      </c>
      <c r="C538" s="26" t="str">
        <f>INDEX(Data,2,2+MOD(ROWS(C$2:C538)-1,2))</f>
        <v>08.00</v>
      </c>
      <c r="D538" s="39">
        <f t="shared" ca="1" si="41"/>
        <v>754</v>
      </c>
      <c r="E538" s="31">
        <f t="shared" ca="1" si="42"/>
        <v>0</v>
      </c>
      <c r="F538" s="40">
        <f t="shared" ca="1" si="43"/>
        <v>32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19320925</v>
      </c>
      <c r="C539" s="26" t="str">
        <f>INDEX(Data,2,2+MOD(ROWS(C$2:C539)-1,2))</f>
        <v>15.00</v>
      </c>
      <c r="D539" s="39">
        <f t="shared" ca="1" si="41"/>
        <v>752</v>
      </c>
      <c r="E539" s="31">
        <f t="shared" ca="1" si="42"/>
        <v>0</v>
      </c>
      <c r="F539" s="40">
        <f t="shared" ca="1" si="43"/>
        <v>32.5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19320926</v>
      </c>
      <c r="C540" s="26" t="str">
        <f>INDEX(Data,2,2+MOD(ROWS(C$2:C540)-1,2))</f>
        <v>08.00</v>
      </c>
      <c r="D540" s="39">
        <f t="shared" ca="1" si="41"/>
        <v>756</v>
      </c>
      <c r="E540" s="31">
        <f t="shared" ca="1" si="42"/>
        <v>0</v>
      </c>
      <c r="F540" s="40">
        <f t="shared" ca="1" si="43"/>
        <v>31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19320926</v>
      </c>
      <c r="C541" s="26" t="str">
        <f>INDEX(Data,2,2+MOD(ROWS(C$2:C541)-1,2))</f>
        <v>15.00</v>
      </c>
      <c r="D541" s="39">
        <f t="shared" ca="1" si="41"/>
        <v>753</v>
      </c>
      <c r="E541" s="31">
        <f t="shared" ca="1" si="42"/>
        <v>0</v>
      </c>
      <c r="F541" s="40">
        <f t="shared" ca="1" si="43"/>
        <v>31.5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19320927</v>
      </c>
      <c r="C542" s="26" t="str">
        <f>INDEX(Data,2,2+MOD(ROWS(C$2:C542)-1,2))</f>
        <v>08.00</v>
      </c>
      <c r="D542" s="39">
        <f t="shared" ca="1" si="41"/>
        <v>757</v>
      </c>
      <c r="E542" s="31">
        <f t="shared" ca="1" si="42"/>
        <v>0</v>
      </c>
      <c r="F542" s="40">
        <f t="shared" ca="1" si="43"/>
        <v>31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19320927</v>
      </c>
      <c r="C543" s="26" t="str">
        <f>INDEX(Data,2,2+MOD(ROWS(C$2:C543)-1,2))</f>
        <v>15.00</v>
      </c>
      <c r="D543" s="39">
        <f t="shared" ca="1" si="41"/>
        <v>752.5</v>
      </c>
      <c r="E543" s="31">
        <f t="shared" ca="1" si="42"/>
        <v>0</v>
      </c>
      <c r="F543" s="40">
        <f t="shared" ca="1" si="43"/>
        <v>32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19320928</v>
      </c>
      <c r="C544" s="26" t="str">
        <f>INDEX(Data,2,2+MOD(ROWS(C$2:C544)-1,2))</f>
        <v>08.00</v>
      </c>
      <c r="D544" s="39">
        <f t="shared" ca="1" si="41"/>
        <v>755</v>
      </c>
      <c r="E544" s="31">
        <f t="shared" ca="1" si="42"/>
        <v>0</v>
      </c>
      <c r="F544" s="40">
        <f t="shared" ca="1" si="43"/>
        <v>31.5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19320928</v>
      </c>
      <c r="C545" s="26" t="str">
        <f>INDEX(Data,2,2+MOD(ROWS(C$2:C545)-1,2))</f>
        <v>15.00</v>
      </c>
      <c r="D545" s="39">
        <f t="shared" ca="1" si="41"/>
        <v>752.5</v>
      </c>
      <c r="E545" s="31">
        <f t="shared" ca="1" si="42"/>
        <v>0</v>
      </c>
      <c r="F545" s="40">
        <f t="shared" ca="1" si="43"/>
        <v>32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19320929</v>
      </c>
      <c r="C546" s="26" t="str">
        <f>INDEX(Data,2,2+MOD(ROWS(C$2:C546)-1,2))</f>
        <v>08.00</v>
      </c>
      <c r="D546" s="39">
        <f t="shared" ca="1" si="41"/>
        <v>754.5</v>
      </c>
      <c r="E546" s="31">
        <f t="shared" ca="1" si="42"/>
        <v>0</v>
      </c>
      <c r="F546" s="40">
        <f t="shared" ca="1" si="43"/>
        <v>30.5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19320929</v>
      </c>
      <c r="C547" s="26" t="str">
        <f>INDEX(Data,2,2+MOD(ROWS(C$2:C547)-1,2))</f>
        <v>15.00</v>
      </c>
      <c r="D547" s="39">
        <f t="shared" ca="1" si="41"/>
        <v>752</v>
      </c>
      <c r="E547" s="31">
        <f t="shared" ca="1" si="42"/>
        <v>0</v>
      </c>
      <c r="F547" s="40">
        <f t="shared" ca="1" si="43"/>
        <v>31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19320930</v>
      </c>
      <c r="C548" s="26" t="str">
        <f>INDEX(Data,2,2+MOD(ROWS(C$2:C548)-1,2))</f>
        <v>08.00</v>
      </c>
      <c r="D548" s="39">
        <f t="shared" ca="1" si="41"/>
        <v>755</v>
      </c>
      <c r="E548" s="31">
        <f t="shared" ca="1" si="42"/>
        <v>0</v>
      </c>
      <c r="F548" s="40">
        <f t="shared" ca="1" si="43"/>
        <v>31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19320930</v>
      </c>
      <c r="C549" s="26" t="str">
        <f>INDEX(Data,2,2+MOD(ROWS(C$2:C549)-1,2))</f>
        <v>15.00</v>
      </c>
      <c r="D549" s="39">
        <f t="shared" ca="1" si="41"/>
        <v>752.5</v>
      </c>
      <c r="E549" s="31">
        <f t="shared" ca="1" si="42"/>
        <v>0</v>
      </c>
      <c r="F549" s="40">
        <f t="shared" ca="1" si="43"/>
        <v>32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19321001</v>
      </c>
      <c r="C550" s="26" t="str">
        <f>INDEX(Data,2,2+MOD(ROWS(C$2:C550)-1,2))</f>
        <v>08.00</v>
      </c>
      <c r="D550" s="39">
        <f t="shared" ca="1" si="41"/>
        <v>754.5</v>
      </c>
      <c r="E550" s="31">
        <f t="shared" ca="1" si="42"/>
        <v>0</v>
      </c>
      <c r="F550" s="40">
        <f t="shared" ca="1" si="43"/>
        <v>31.5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19321001</v>
      </c>
      <c r="C551" s="26" t="str">
        <f>INDEX(Data,2,2+MOD(ROWS(C$2:C551)-1,2))</f>
        <v>15.00</v>
      </c>
      <c r="D551" s="39">
        <f t="shared" ca="1" si="41"/>
        <v>752</v>
      </c>
      <c r="E551" s="31">
        <f t="shared" ca="1" si="42"/>
        <v>0</v>
      </c>
      <c r="F551" s="40">
        <f t="shared" ca="1" si="43"/>
        <v>32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19321002</v>
      </c>
      <c r="C552" s="26" t="str">
        <f>INDEX(Data,2,2+MOD(ROWS(C$2:C552)-1,2))</f>
        <v>08.00</v>
      </c>
      <c r="D552" s="39">
        <f t="shared" ca="1" si="41"/>
        <v>754.5</v>
      </c>
      <c r="E552" s="31">
        <f t="shared" ca="1" si="42"/>
        <v>0</v>
      </c>
      <c r="F552" s="40">
        <f t="shared" ca="1" si="43"/>
        <v>32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19321002</v>
      </c>
      <c r="C553" s="26" t="str">
        <f>INDEX(Data,2,2+MOD(ROWS(C$2:C553)-1,2))</f>
        <v>15.00</v>
      </c>
      <c r="D553" s="39">
        <f t="shared" ca="1" si="41"/>
        <v>752.5</v>
      </c>
      <c r="E553" s="31">
        <f t="shared" ca="1" si="42"/>
        <v>0</v>
      </c>
      <c r="F553" s="40">
        <f t="shared" ca="1" si="43"/>
        <v>32.5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19321003</v>
      </c>
      <c r="C554" s="26" t="str">
        <f>INDEX(Data,2,2+MOD(ROWS(C$2:C554)-1,2))</f>
        <v>08.00</v>
      </c>
      <c r="D554" s="39">
        <f t="shared" ca="1" si="41"/>
        <v>756.5</v>
      </c>
      <c r="E554" s="31">
        <f t="shared" ca="1" si="42"/>
        <v>0</v>
      </c>
      <c r="F554" s="40">
        <f t="shared" ca="1" si="43"/>
        <v>30.5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19321003</v>
      </c>
      <c r="C555" s="26" t="str">
        <f>INDEX(Data,2,2+MOD(ROWS(C$2:C555)-1,2))</f>
        <v>15.00</v>
      </c>
      <c r="D555" s="39">
        <f t="shared" ca="1" si="41"/>
        <v>754.5</v>
      </c>
      <c r="E555" s="31">
        <f t="shared" ca="1" si="42"/>
        <v>0</v>
      </c>
      <c r="F555" s="40">
        <f t="shared" ca="1" si="43"/>
        <v>30.5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19321004</v>
      </c>
      <c r="C556" s="26" t="str">
        <f>INDEX(Data,2,2+MOD(ROWS(C$2:C556)-1,2))</f>
        <v>08.00</v>
      </c>
      <c r="D556" s="39">
        <f t="shared" ca="1" si="41"/>
        <v>756.5</v>
      </c>
      <c r="E556" s="31">
        <f t="shared" ca="1" si="42"/>
        <v>0</v>
      </c>
      <c r="F556" s="40">
        <f t="shared" ca="1" si="43"/>
        <v>30.5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19321004</v>
      </c>
      <c r="C557" s="26" t="str">
        <f>INDEX(Data,2,2+MOD(ROWS(C$2:C557)-1,2))</f>
        <v>15.00</v>
      </c>
      <c r="D557" s="39">
        <f t="shared" ca="1" si="41"/>
        <v>753.5</v>
      </c>
      <c r="E557" s="31">
        <f t="shared" ca="1" si="42"/>
        <v>0</v>
      </c>
      <c r="F557" s="40">
        <f t="shared" ca="1" si="43"/>
        <v>30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19321005</v>
      </c>
      <c r="C558" s="26" t="str">
        <f>INDEX(Data,2,2+MOD(ROWS(C$2:C558)-1,2))</f>
        <v>08.00</v>
      </c>
      <c r="D558" s="39">
        <f t="shared" ca="1" si="41"/>
        <v>755</v>
      </c>
      <c r="E558" s="31">
        <f t="shared" ca="1" si="42"/>
        <v>0</v>
      </c>
      <c r="F558" s="40">
        <f t="shared" ca="1" si="43"/>
        <v>30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19321005</v>
      </c>
      <c r="C559" s="26" t="str">
        <f>INDEX(Data,2,2+MOD(ROWS(C$2:C559)-1,2))</f>
        <v>15.00</v>
      </c>
      <c r="D559" s="39">
        <f t="shared" ca="1" si="41"/>
        <v>752.5</v>
      </c>
      <c r="E559" s="31">
        <f t="shared" ca="1" si="42"/>
        <v>0</v>
      </c>
      <c r="F559" s="40">
        <f t="shared" ca="1" si="43"/>
        <v>31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19321006</v>
      </c>
      <c r="C560" s="26" t="str">
        <f>INDEX(Data,2,2+MOD(ROWS(C$2:C560)-1,2))</f>
        <v>08.00</v>
      </c>
      <c r="D560" s="39">
        <f t="shared" ca="1" si="41"/>
        <v>755</v>
      </c>
      <c r="E560" s="31">
        <f t="shared" ca="1" si="42"/>
        <v>0</v>
      </c>
      <c r="F560" s="40">
        <f t="shared" ca="1" si="43"/>
        <v>30.5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19321006</v>
      </c>
      <c r="C561" s="26" t="str">
        <f>INDEX(Data,2,2+MOD(ROWS(C$2:C561)-1,2))</f>
        <v>15.00</v>
      </c>
      <c r="D561" s="39">
        <f t="shared" ca="1" si="41"/>
        <v>752.5</v>
      </c>
      <c r="E561" s="31">
        <f t="shared" ca="1" si="42"/>
        <v>0</v>
      </c>
      <c r="F561" s="40">
        <f t="shared" ca="1" si="43"/>
        <v>31.5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19321007</v>
      </c>
      <c r="C562" s="26" t="str">
        <f>INDEX(Data,2,2+MOD(ROWS(C$2:C562)-1,2))</f>
        <v>08.00</v>
      </c>
      <c r="D562" s="39">
        <f t="shared" ca="1" si="41"/>
        <v>755.5</v>
      </c>
      <c r="E562" s="31">
        <f t="shared" ca="1" si="42"/>
        <v>0</v>
      </c>
      <c r="F562" s="40">
        <f t="shared" ca="1" si="43"/>
        <v>30.5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19321007</v>
      </c>
      <c r="C563" s="26" t="str">
        <f>INDEX(Data,2,2+MOD(ROWS(C$2:C563)-1,2))</f>
        <v>15.00</v>
      </c>
      <c r="D563" s="39">
        <f t="shared" ca="1" si="41"/>
        <v>753</v>
      </c>
      <c r="E563" s="31">
        <f t="shared" ca="1" si="42"/>
        <v>0</v>
      </c>
      <c r="F563" s="40">
        <f t="shared" ca="1" si="43"/>
        <v>32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19321008</v>
      </c>
      <c r="C564" s="26" t="str">
        <f>INDEX(Data,2,2+MOD(ROWS(C$2:C564)-1,2))</f>
        <v>08.00</v>
      </c>
      <c r="D564" s="39">
        <f t="shared" ca="1" si="41"/>
        <v>755.5</v>
      </c>
      <c r="E564" s="31">
        <f t="shared" ca="1" si="42"/>
        <v>0</v>
      </c>
      <c r="F564" s="40">
        <f t="shared" ca="1" si="43"/>
        <v>31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19321008</v>
      </c>
      <c r="C565" s="26" t="str">
        <f>INDEX(Data,2,2+MOD(ROWS(C$2:C565)-1,2))</f>
        <v>15.00</v>
      </c>
      <c r="D565" s="39">
        <f t="shared" ca="1" si="41"/>
        <v>753</v>
      </c>
      <c r="E565" s="31">
        <f t="shared" ca="1" si="42"/>
        <v>0</v>
      </c>
      <c r="F565" s="40">
        <f t="shared" ca="1" si="43"/>
        <v>32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19321009</v>
      </c>
      <c r="C566" s="26" t="str">
        <f>INDEX(Data,2,2+MOD(ROWS(C$2:C566)-1,2))</f>
        <v>08.00</v>
      </c>
      <c r="D566" s="39">
        <f t="shared" ca="1" si="41"/>
        <v>755</v>
      </c>
      <c r="E566" s="31">
        <f t="shared" ca="1" si="42"/>
        <v>0</v>
      </c>
      <c r="F566" s="40">
        <f t="shared" ca="1" si="43"/>
        <v>31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19321009</v>
      </c>
      <c r="C567" s="26" t="str">
        <f>INDEX(Data,2,2+MOD(ROWS(C$2:C567)-1,2))</f>
        <v>15.00</v>
      </c>
      <c r="D567" s="39">
        <f t="shared" ca="1" si="41"/>
        <v>753.5</v>
      </c>
      <c r="E567" s="31">
        <f t="shared" ca="1" si="42"/>
        <v>0</v>
      </c>
      <c r="F567" s="40">
        <f t="shared" ca="1" si="43"/>
        <v>32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19321010</v>
      </c>
      <c r="C568" s="26" t="str">
        <f>INDEX(Data,2,2+MOD(ROWS(C$2:C568)-1,2))</f>
        <v>08.00</v>
      </c>
      <c r="D568" s="39">
        <f t="shared" ca="1" si="41"/>
        <v>754</v>
      </c>
      <c r="E568" s="31">
        <f t="shared" ca="1" si="42"/>
        <v>0</v>
      </c>
      <c r="F568" s="40">
        <f t="shared" ca="1" si="43"/>
        <v>28.5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19321010</v>
      </c>
      <c r="C569" s="26" t="str">
        <f>INDEX(Data,2,2+MOD(ROWS(C$2:C569)-1,2))</f>
        <v>15.00</v>
      </c>
      <c r="D569" s="39">
        <f t="shared" ca="1" si="41"/>
        <v>752</v>
      </c>
      <c r="E569" s="31">
        <f t="shared" ca="1" si="42"/>
        <v>0</v>
      </c>
      <c r="F569" s="40">
        <f t="shared" ca="1" si="43"/>
        <v>31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19321011</v>
      </c>
      <c r="C570" s="26" t="str">
        <f>INDEX(Data,2,2+MOD(ROWS(C$2:C570)-1,2))</f>
        <v>08.00</v>
      </c>
      <c r="D570" s="39">
        <f t="shared" ca="1" si="41"/>
        <v>755</v>
      </c>
      <c r="E570" s="31">
        <f t="shared" ca="1" si="42"/>
        <v>0</v>
      </c>
      <c r="F570" s="40">
        <f t="shared" ca="1" si="43"/>
        <v>30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19321011</v>
      </c>
      <c r="C571" s="26" t="str">
        <f>INDEX(Data,2,2+MOD(ROWS(C$2:C571)-1,2))</f>
        <v>15.00</v>
      </c>
      <c r="D571" s="39">
        <f t="shared" ca="1" si="41"/>
        <v>753.5</v>
      </c>
      <c r="E571" s="31">
        <f t="shared" ca="1" si="42"/>
        <v>0</v>
      </c>
      <c r="F571" s="40">
        <f t="shared" ca="1" si="43"/>
        <v>31.5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19321012</v>
      </c>
      <c r="C572" s="26" t="str">
        <f>INDEX(Data,2,2+MOD(ROWS(C$2:C572)-1,2))</f>
        <v>08.00</v>
      </c>
      <c r="D572" s="39">
        <f t="shared" ca="1" si="41"/>
        <v>757</v>
      </c>
      <c r="E572" s="31">
        <f t="shared" ca="1" si="42"/>
        <v>0</v>
      </c>
      <c r="F572" s="40">
        <f t="shared" ca="1" si="43"/>
        <v>31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19321012</v>
      </c>
      <c r="C573" s="26" t="str">
        <f>INDEX(Data,2,2+MOD(ROWS(C$2:C573)-1,2))</f>
        <v>15.00</v>
      </c>
      <c r="D573" s="39">
        <f t="shared" ca="1" si="41"/>
        <v>755</v>
      </c>
      <c r="E573" s="31">
        <f t="shared" ca="1" si="42"/>
        <v>0</v>
      </c>
      <c r="F573" s="40">
        <f t="shared" ca="1" si="43"/>
        <v>32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19321013</v>
      </c>
      <c r="C574" s="26" t="str">
        <f>INDEX(Data,2,2+MOD(ROWS(C$2:C574)-1,2))</f>
        <v>08.00</v>
      </c>
      <c r="D574" s="39">
        <f t="shared" ca="1" si="41"/>
        <v>757</v>
      </c>
      <c r="E574" s="31">
        <f t="shared" ca="1" si="42"/>
        <v>0</v>
      </c>
      <c r="F574" s="40">
        <f t="shared" ca="1" si="43"/>
        <v>31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19321013</v>
      </c>
      <c r="C575" s="26" t="str">
        <f>INDEX(Data,2,2+MOD(ROWS(C$2:C575)-1,2))</f>
        <v>15.00</v>
      </c>
      <c r="D575" s="39">
        <f t="shared" ca="1" si="41"/>
        <v>755</v>
      </c>
      <c r="E575" s="31">
        <f t="shared" ca="1" si="42"/>
        <v>0</v>
      </c>
      <c r="F575" s="40">
        <f t="shared" ca="1" si="43"/>
        <v>32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19321014</v>
      </c>
      <c r="C576" s="26" t="str">
        <f>INDEX(Data,2,2+MOD(ROWS(C$2:C576)-1,2))</f>
        <v>08.00</v>
      </c>
      <c r="D576" s="39">
        <f t="shared" ca="1" si="41"/>
        <v>759</v>
      </c>
      <c r="E576" s="31">
        <f t="shared" ca="1" si="42"/>
        <v>0</v>
      </c>
      <c r="F576" s="40">
        <f t="shared" ca="1" si="43"/>
        <v>30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19321014</v>
      </c>
      <c r="C577" s="26" t="str">
        <f>INDEX(Data,2,2+MOD(ROWS(C$2:C577)-1,2))</f>
        <v>15.00</v>
      </c>
      <c r="D577" s="39">
        <f t="shared" ca="1" si="41"/>
        <v>756.5</v>
      </c>
      <c r="E577" s="31">
        <f t="shared" ca="1" si="42"/>
        <v>0</v>
      </c>
      <c r="F577" s="40">
        <f t="shared" ca="1" si="43"/>
        <v>30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19321015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757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29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19321015</v>
      </c>
      <c r="C579" s="26" t="str">
        <f>INDEX(Data,2,2+MOD(ROWS(C$2:C579)-1,2))</f>
        <v>15.00</v>
      </c>
      <c r="D579" s="39">
        <f t="shared" ca="1" si="46"/>
        <v>756</v>
      </c>
      <c r="E579" s="31">
        <f t="shared" ca="1" si="47"/>
        <v>0</v>
      </c>
      <c r="F579" s="40">
        <f t="shared" ca="1" si="48"/>
        <v>28.5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19321016</v>
      </c>
      <c r="C580" s="26" t="str">
        <f>INDEX(Data,2,2+MOD(ROWS(C$2:C580)-1,2))</f>
        <v>08.00</v>
      </c>
      <c r="D580" s="39">
        <f t="shared" ca="1" si="46"/>
        <v>757</v>
      </c>
      <c r="E580" s="31">
        <f t="shared" ca="1" si="47"/>
        <v>0</v>
      </c>
      <c r="F580" s="40">
        <f t="shared" ca="1" si="48"/>
        <v>28.5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19321016</v>
      </c>
      <c r="C581" s="26" t="str">
        <f>INDEX(Data,2,2+MOD(ROWS(C$2:C581)-1,2))</f>
        <v>15.00</v>
      </c>
      <c r="D581" s="39">
        <f t="shared" ca="1" si="46"/>
        <v>756</v>
      </c>
      <c r="E581" s="31">
        <f t="shared" ca="1" si="47"/>
        <v>0</v>
      </c>
      <c r="F581" s="40">
        <f t="shared" ca="1" si="48"/>
        <v>28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19321017</v>
      </c>
      <c r="C582" s="26" t="str">
        <f>INDEX(Data,2,2+MOD(ROWS(C$2:C582)-1,2))</f>
        <v>08.00</v>
      </c>
      <c r="D582" s="39">
        <f t="shared" ca="1" si="46"/>
        <v>757</v>
      </c>
      <c r="E582" s="31">
        <f t="shared" ca="1" si="47"/>
        <v>0</v>
      </c>
      <c r="F582" s="40">
        <f t="shared" ca="1" si="48"/>
        <v>28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19321017</v>
      </c>
      <c r="C583" s="26" t="str">
        <f>INDEX(Data,2,2+MOD(ROWS(C$2:C583)-1,2))</f>
        <v>15.00</v>
      </c>
      <c r="D583" s="39">
        <f t="shared" ca="1" si="46"/>
        <v>756</v>
      </c>
      <c r="E583" s="31">
        <f t="shared" ca="1" si="47"/>
        <v>0</v>
      </c>
      <c r="F583" s="40">
        <f t="shared" ca="1" si="48"/>
        <v>30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19321018</v>
      </c>
      <c r="C584" s="26" t="str">
        <f>INDEX(Data,2,2+MOD(ROWS(C$2:C584)-1,2))</f>
        <v>08.00</v>
      </c>
      <c r="D584" s="39">
        <f t="shared" ca="1" si="46"/>
        <v>757</v>
      </c>
      <c r="E584" s="31">
        <f t="shared" ca="1" si="47"/>
        <v>0</v>
      </c>
      <c r="F584" s="40">
        <f t="shared" ca="1" si="48"/>
        <v>30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19321018</v>
      </c>
      <c r="C585" s="26" t="str">
        <f>INDEX(Data,2,2+MOD(ROWS(C$2:C585)-1,2))</f>
        <v>15.00</v>
      </c>
      <c r="D585" s="39">
        <f t="shared" ca="1" si="46"/>
        <v>756</v>
      </c>
      <c r="E585" s="31">
        <f t="shared" ca="1" si="47"/>
        <v>0</v>
      </c>
      <c r="F585" s="40">
        <f t="shared" ca="1" si="48"/>
        <v>31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19321019</v>
      </c>
      <c r="C586" s="26" t="str">
        <f>INDEX(Data,2,2+MOD(ROWS(C$2:C586)-1,2))</f>
        <v>08.00</v>
      </c>
      <c r="D586" s="39">
        <f t="shared" ca="1" si="46"/>
        <v>757.5</v>
      </c>
      <c r="E586" s="31">
        <f t="shared" ca="1" si="47"/>
        <v>0</v>
      </c>
      <c r="F586" s="40">
        <f t="shared" ca="1" si="48"/>
        <v>30.5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19321019</v>
      </c>
      <c r="C587" s="26" t="str">
        <f>INDEX(Data,2,2+MOD(ROWS(C$2:C587)-1,2))</f>
        <v>15.00</v>
      </c>
      <c r="D587" s="39">
        <f t="shared" ca="1" si="46"/>
        <v>756</v>
      </c>
      <c r="E587" s="31">
        <f t="shared" ca="1" si="47"/>
        <v>0</v>
      </c>
      <c r="F587" s="40">
        <f t="shared" ca="1" si="48"/>
        <v>31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19321020</v>
      </c>
      <c r="C588" s="26" t="str">
        <f>INDEX(Data,2,2+MOD(ROWS(C$2:C588)-1,2))</f>
        <v>08.00</v>
      </c>
      <c r="D588" s="39">
        <f t="shared" ca="1" si="46"/>
        <v>756</v>
      </c>
      <c r="E588" s="31">
        <f t="shared" ca="1" si="47"/>
        <v>0</v>
      </c>
      <c r="F588" s="40">
        <f t="shared" ca="1" si="48"/>
        <v>30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19321020</v>
      </c>
      <c r="C589" s="26" t="str">
        <f>INDEX(Data,2,2+MOD(ROWS(C$2:C589)-1,2))</f>
        <v>15.00</v>
      </c>
      <c r="D589" s="39">
        <f t="shared" ca="1" si="46"/>
        <v>756.5</v>
      </c>
      <c r="E589" s="31">
        <f t="shared" ca="1" si="47"/>
        <v>0</v>
      </c>
      <c r="F589" s="40">
        <f t="shared" ca="1" si="48"/>
        <v>31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19321021</v>
      </c>
      <c r="C590" s="26" t="str">
        <f>INDEX(Data,2,2+MOD(ROWS(C$2:C590)-1,2))</f>
        <v>08.00</v>
      </c>
      <c r="D590" s="39">
        <f t="shared" ca="1" si="46"/>
        <v>756</v>
      </c>
      <c r="E590" s="31">
        <f t="shared" ca="1" si="47"/>
        <v>0</v>
      </c>
      <c r="F590" s="40">
        <f t="shared" ca="1" si="48"/>
        <v>30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19321021</v>
      </c>
      <c r="C591" s="26" t="str">
        <f>INDEX(Data,2,2+MOD(ROWS(C$2:C591)-1,2))</f>
        <v>15.00</v>
      </c>
      <c r="D591" s="39">
        <f t="shared" ca="1" si="46"/>
        <v>756.5</v>
      </c>
      <c r="E591" s="31">
        <f t="shared" ca="1" si="47"/>
        <v>0</v>
      </c>
      <c r="F591" s="40">
        <f t="shared" ca="1" si="48"/>
        <v>31.5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19321022</v>
      </c>
      <c r="C592" s="26" t="str">
        <f>INDEX(Data,2,2+MOD(ROWS(C$2:C592)-1,2))</f>
        <v>08.00</v>
      </c>
      <c r="D592" s="39">
        <f t="shared" ca="1" si="46"/>
        <v>757.5</v>
      </c>
      <c r="E592" s="31">
        <f t="shared" ca="1" si="47"/>
        <v>0</v>
      </c>
      <c r="F592" s="40">
        <f t="shared" ca="1" si="48"/>
        <v>31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19321022</v>
      </c>
      <c r="C593" s="26" t="str">
        <f>INDEX(Data,2,2+MOD(ROWS(C$2:C593)-1,2))</f>
        <v>15.00</v>
      </c>
      <c r="D593" s="39">
        <f t="shared" ca="1" si="46"/>
        <v>757</v>
      </c>
      <c r="E593" s="31">
        <f t="shared" ca="1" si="47"/>
        <v>0</v>
      </c>
      <c r="F593" s="40">
        <f t="shared" ca="1" si="48"/>
        <v>31.5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19321023</v>
      </c>
      <c r="C594" s="26" t="str">
        <f>INDEX(Data,2,2+MOD(ROWS(C$2:C594)-1,2))</f>
        <v>08.00</v>
      </c>
      <c r="D594" s="39">
        <f t="shared" ca="1" si="46"/>
        <v>757.5</v>
      </c>
      <c r="E594" s="31">
        <f t="shared" ca="1" si="47"/>
        <v>0</v>
      </c>
      <c r="F594" s="40">
        <f t="shared" ca="1" si="48"/>
        <v>31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19321023</v>
      </c>
      <c r="C595" s="26" t="str">
        <f>INDEX(Data,2,2+MOD(ROWS(C$2:C595)-1,2))</f>
        <v>15.00</v>
      </c>
      <c r="D595" s="39">
        <f t="shared" ca="1" si="46"/>
        <v>757</v>
      </c>
      <c r="E595" s="31">
        <f t="shared" ca="1" si="47"/>
        <v>0</v>
      </c>
      <c r="F595" s="40">
        <f t="shared" ca="1" si="48"/>
        <v>31.5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19321024</v>
      </c>
      <c r="C596" s="26" t="str">
        <f>INDEX(Data,2,2+MOD(ROWS(C$2:C596)-1,2))</f>
        <v>08.00</v>
      </c>
      <c r="D596" s="39">
        <f t="shared" ca="1" si="46"/>
        <v>758</v>
      </c>
      <c r="E596" s="31">
        <f t="shared" ca="1" si="47"/>
        <v>0</v>
      </c>
      <c r="F596" s="40">
        <f t="shared" ca="1" si="48"/>
        <v>31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19321024</v>
      </c>
      <c r="C597" s="26" t="str">
        <f>INDEX(Data,2,2+MOD(ROWS(C$2:C597)-1,2))</f>
        <v>15.00</v>
      </c>
      <c r="D597" s="39">
        <f t="shared" ca="1" si="46"/>
        <v>757.5</v>
      </c>
      <c r="E597" s="31">
        <f t="shared" ca="1" si="47"/>
        <v>0</v>
      </c>
      <c r="F597" s="40">
        <f t="shared" ca="1" si="48"/>
        <v>31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19321025</v>
      </c>
      <c r="C598" s="26" t="str">
        <f>INDEX(Data,2,2+MOD(ROWS(C$2:C598)-1,2))</f>
        <v>08.00</v>
      </c>
      <c r="D598" s="39">
        <f t="shared" ca="1" si="46"/>
        <v>760.5</v>
      </c>
      <c r="E598" s="31">
        <f t="shared" ca="1" si="47"/>
        <v>0</v>
      </c>
      <c r="F598" s="40">
        <f t="shared" ca="1" si="48"/>
        <v>30.5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19321025</v>
      </c>
      <c r="C599" s="26" t="str">
        <f>INDEX(Data,2,2+MOD(ROWS(C$2:C599)-1,2))</f>
        <v>15.00</v>
      </c>
      <c r="D599" s="39">
        <f t="shared" ca="1" si="46"/>
        <v>757.5</v>
      </c>
      <c r="E599" s="31">
        <f t="shared" ca="1" si="47"/>
        <v>0</v>
      </c>
      <c r="F599" s="40">
        <f t="shared" ca="1" si="48"/>
        <v>31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19321026</v>
      </c>
      <c r="C600" s="26" t="str">
        <f>INDEX(Data,2,2+MOD(ROWS(C$2:C600)-1,2))</f>
        <v>08.00</v>
      </c>
      <c r="D600" s="39">
        <f t="shared" ca="1" si="46"/>
        <v>760</v>
      </c>
      <c r="E600" s="31">
        <f t="shared" ca="1" si="47"/>
        <v>0</v>
      </c>
      <c r="F600" s="40">
        <f t="shared" ca="1" si="48"/>
        <v>30.5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19321026</v>
      </c>
      <c r="C601" s="26" t="str">
        <f>INDEX(Data,2,2+MOD(ROWS(C$2:C601)-1,2))</f>
        <v>15.00</v>
      </c>
      <c r="D601" s="39">
        <f t="shared" ca="1" si="46"/>
        <v>757</v>
      </c>
      <c r="E601" s="31">
        <f t="shared" ca="1" si="47"/>
        <v>0</v>
      </c>
      <c r="F601" s="40">
        <f t="shared" ca="1" si="48"/>
        <v>31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19321027</v>
      </c>
      <c r="C602" s="26" t="str">
        <f>INDEX(Data,2,2+MOD(ROWS(C$2:C602)-1,2))</f>
        <v>08.00</v>
      </c>
      <c r="D602" s="39">
        <f t="shared" ca="1" si="46"/>
        <v>760</v>
      </c>
      <c r="E602" s="31">
        <f t="shared" ca="1" si="47"/>
        <v>0</v>
      </c>
      <c r="F602" s="40">
        <f t="shared" ca="1" si="48"/>
        <v>30.5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19321027</v>
      </c>
      <c r="C603" s="26" t="str">
        <f>INDEX(Data,2,2+MOD(ROWS(C$2:C603)-1,2))</f>
        <v>15.00</v>
      </c>
      <c r="D603" s="39">
        <f t="shared" ca="1" si="46"/>
        <v>758</v>
      </c>
      <c r="E603" s="31">
        <f t="shared" ca="1" si="47"/>
        <v>0</v>
      </c>
      <c r="F603" s="40">
        <f t="shared" ca="1" si="48"/>
        <v>31.5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19321028</v>
      </c>
      <c r="C604" s="26" t="str">
        <f>INDEX(Data,2,2+MOD(ROWS(C$2:C604)-1,2))</f>
        <v>08.00</v>
      </c>
      <c r="D604" s="39">
        <f t="shared" ca="1" si="46"/>
        <v>760</v>
      </c>
      <c r="E604" s="31">
        <f t="shared" ca="1" si="47"/>
        <v>0</v>
      </c>
      <c r="F604" s="40">
        <f t="shared" ca="1" si="48"/>
        <v>30.5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19321028</v>
      </c>
      <c r="C605" s="26" t="str">
        <f>INDEX(Data,2,2+MOD(ROWS(C$2:C605)-1,2))</f>
        <v>15.00</v>
      </c>
      <c r="D605" s="39">
        <f t="shared" ca="1" si="46"/>
        <v>759</v>
      </c>
      <c r="E605" s="31">
        <f t="shared" ca="1" si="47"/>
        <v>0</v>
      </c>
      <c r="F605" s="40">
        <f t="shared" ca="1" si="48"/>
        <v>30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19321029</v>
      </c>
      <c r="C606" s="26" t="str">
        <f>INDEX(Data,2,2+MOD(ROWS(C$2:C606)-1,2))</f>
        <v>08.00</v>
      </c>
      <c r="D606" s="39">
        <f t="shared" ca="1" si="46"/>
        <v>759</v>
      </c>
      <c r="E606" s="31">
        <f t="shared" ca="1" si="47"/>
        <v>0</v>
      </c>
      <c r="F606" s="40">
        <f t="shared" ca="1" si="48"/>
        <v>30.5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19321029</v>
      </c>
      <c r="C607" s="26" t="str">
        <f>INDEX(Data,2,2+MOD(ROWS(C$2:C607)-1,2))</f>
        <v>15.00</v>
      </c>
      <c r="D607" s="39">
        <f t="shared" ca="1" si="46"/>
        <v>759</v>
      </c>
      <c r="E607" s="31">
        <f t="shared" ca="1" si="47"/>
        <v>0</v>
      </c>
      <c r="F607" s="40">
        <f t="shared" ca="1" si="48"/>
        <v>31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19321030</v>
      </c>
      <c r="C608" s="26" t="str">
        <f>INDEX(Data,2,2+MOD(ROWS(C$2:C608)-1,2))</f>
        <v>08.00</v>
      </c>
      <c r="D608" s="39">
        <f t="shared" ca="1" si="46"/>
        <v>759</v>
      </c>
      <c r="E608" s="31">
        <f t="shared" ca="1" si="47"/>
        <v>0</v>
      </c>
      <c r="F608" s="40">
        <f t="shared" ca="1" si="48"/>
        <v>30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19321030</v>
      </c>
      <c r="C609" s="26" t="str">
        <f>INDEX(Data,2,2+MOD(ROWS(C$2:C609)-1,2))</f>
        <v>15.00</v>
      </c>
      <c r="D609" s="39">
        <f t="shared" ca="1" si="46"/>
        <v>758</v>
      </c>
      <c r="E609" s="31">
        <f t="shared" ca="1" si="47"/>
        <v>0</v>
      </c>
      <c r="F609" s="40">
        <f t="shared" ca="1" si="48"/>
        <v>31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19321031</v>
      </c>
      <c r="C610" s="26" t="str">
        <f>INDEX(Data,2,2+MOD(ROWS(C$2:C610)-1,2))</f>
        <v>08.00</v>
      </c>
      <c r="D610" s="39">
        <f t="shared" ca="1" si="46"/>
        <v>759</v>
      </c>
      <c r="E610" s="31">
        <f t="shared" ca="1" si="47"/>
        <v>0</v>
      </c>
      <c r="F610" s="40">
        <f t="shared" ca="1" si="48"/>
        <v>29.5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19321031</v>
      </c>
      <c r="C611" s="26" t="str">
        <f>INDEX(Data,2,2+MOD(ROWS(C$2:C611)-1,2))</f>
        <v>15.00</v>
      </c>
      <c r="D611" s="39">
        <f t="shared" ca="1" si="46"/>
        <v>758</v>
      </c>
      <c r="E611" s="31">
        <f t="shared" ca="1" si="47"/>
        <v>0</v>
      </c>
      <c r="F611" s="40">
        <f t="shared" ca="1" si="48"/>
        <v>30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19321101</v>
      </c>
      <c r="C612" s="26" t="str">
        <f>INDEX(Data,2,2+MOD(ROWS(C$2:C612)-1,2))</f>
        <v>08.00</v>
      </c>
      <c r="D612" s="39">
        <f t="shared" ca="1" si="46"/>
        <v>757.5</v>
      </c>
      <c r="E612" s="31">
        <f t="shared" ca="1" si="47"/>
        <v>0</v>
      </c>
      <c r="F612" s="40">
        <f t="shared" ca="1" si="48"/>
        <v>29.5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19321101</v>
      </c>
      <c r="C613" s="26" t="str">
        <f>INDEX(Data,2,2+MOD(ROWS(C$2:C613)-1,2))</f>
        <v>15.00</v>
      </c>
      <c r="D613" s="39">
        <f t="shared" ca="1" si="46"/>
        <v>753.5</v>
      </c>
      <c r="E613" s="31">
        <f t="shared" ca="1" si="47"/>
        <v>0</v>
      </c>
      <c r="F613" s="40">
        <f t="shared" ca="1" si="48"/>
        <v>30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19321102</v>
      </c>
      <c r="C614" s="26" t="str">
        <f>INDEX(Data,2,2+MOD(ROWS(C$2:C614)-1,2))</f>
        <v>08.00</v>
      </c>
      <c r="D614" s="39">
        <f t="shared" ca="1" si="46"/>
        <v>755.5</v>
      </c>
      <c r="E614" s="31">
        <f t="shared" ca="1" si="47"/>
        <v>0</v>
      </c>
      <c r="F614" s="40">
        <f t="shared" ca="1" si="48"/>
        <v>28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19321102</v>
      </c>
      <c r="C615" s="26" t="str">
        <f>INDEX(Data,2,2+MOD(ROWS(C$2:C615)-1,2))</f>
        <v>15.00</v>
      </c>
      <c r="D615" s="39">
        <f t="shared" ca="1" si="46"/>
        <v>754</v>
      </c>
      <c r="E615" s="31">
        <f t="shared" ca="1" si="47"/>
        <v>0</v>
      </c>
      <c r="F615" s="40">
        <f t="shared" ca="1" si="48"/>
        <v>28.5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19321103</v>
      </c>
      <c r="C616" s="26" t="str">
        <f>INDEX(Data,2,2+MOD(ROWS(C$2:C616)-1,2))</f>
        <v>08.00</v>
      </c>
      <c r="D616" s="39">
        <f t="shared" ca="1" si="46"/>
        <v>756.5</v>
      </c>
      <c r="E616" s="31">
        <f t="shared" ca="1" si="47"/>
        <v>0</v>
      </c>
      <c r="F616" s="40">
        <f t="shared" ca="1" si="48"/>
        <v>28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19321103</v>
      </c>
      <c r="C617" s="26" t="str">
        <f>INDEX(Data,2,2+MOD(ROWS(C$2:C617)-1,2))</f>
        <v>15.00</v>
      </c>
      <c r="D617" s="39">
        <f t="shared" ca="1" si="46"/>
        <v>755</v>
      </c>
      <c r="E617" s="31">
        <f t="shared" ca="1" si="47"/>
        <v>0</v>
      </c>
      <c r="F617" s="40">
        <f t="shared" ca="1" si="48"/>
        <v>28.5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19321104</v>
      </c>
      <c r="C618" s="26" t="str">
        <f>INDEX(Data,2,2+MOD(ROWS(C$2:C618)-1,2))</f>
        <v>08.00</v>
      </c>
      <c r="D618" s="39">
        <f t="shared" ca="1" si="46"/>
        <v>758</v>
      </c>
      <c r="E618" s="31">
        <f t="shared" ca="1" si="47"/>
        <v>0</v>
      </c>
      <c r="F618" s="40">
        <f t="shared" ca="1" si="48"/>
        <v>28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19321104</v>
      </c>
      <c r="C619" s="26" t="str">
        <f>INDEX(Data,2,2+MOD(ROWS(C$2:C619)-1,2))</f>
        <v>15.00</v>
      </c>
      <c r="D619" s="39">
        <f t="shared" ca="1" si="46"/>
        <v>756</v>
      </c>
      <c r="E619" s="31">
        <f t="shared" ca="1" si="47"/>
        <v>0</v>
      </c>
      <c r="F619" s="40">
        <f t="shared" ca="1" si="48"/>
        <v>29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19321105</v>
      </c>
      <c r="C620" s="26" t="str">
        <f>INDEX(Data,2,2+MOD(ROWS(C$2:C620)-1,2))</f>
        <v>08.00</v>
      </c>
      <c r="D620" s="39">
        <f t="shared" ca="1" si="46"/>
        <v>756.5</v>
      </c>
      <c r="E620" s="31">
        <f t="shared" ca="1" si="47"/>
        <v>0</v>
      </c>
      <c r="F620" s="40">
        <f t="shared" ca="1" si="48"/>
        <v>29.5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19321105</v>
      </c>
      <c r="C621" s="26" t="str">
        <f>INDEX(Data,2,2+MOD(ROWS(C$2:C621)-1,2))</f>
        <v>15.00</v>
      </c>
      <c r="D621" s="39">
        <f t="shared" ca="1" si="46"/>
        <v>756</v>
      </c>
      <c r="E621" s="31">
        <f t="shared" ca="1" si="47"/>
        <v>0</v>
      </c>
      <c r="F621" s="40">
        <f t="shared" ca="1" si="48"/>
        <v>30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19321106</v>
      </c>
      <c r="C622" s="26" t="str">
        <f>INDEX(Data,2,2+MOD(ROWS(C$2:C622)-1,2))</f>
        <v>08.00</v>
      </c>
      <c r="D622" s="39">
        <f t="shared" ca="1" si="46"/>
        <v>757</v>
      </c>
      <c r="E622" s="31">
        <f t="shared" ca="1" si="47"/>
        <v>0</v>
      </c>
      <c r="F622" s="40">
        <f t="shared" ca="1" si="48"/>
        <v>29.5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19321106</v>
      </c>
      <c r="C623" s="26" t="str">
        <f>INDEX(Data,2,2+MOD(ROWS(C$2:C623)-1,2))</f>
        <v>15.00</v>
      </c>
      <c r="D623" s="39">
        <f t="shared" ca="1" si="46"/>
        <v>756</v>
      </c>
      <c r="E623" s="31">
        <f t="shared" ca="1" si="47"/>
        <v>0</v>
      </c>
      <c r="F623" s="40">
        <f t="shared" ca="1" si="48"/>
        <v>30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19321107</v>
      </c>
      <c r="C624" s="26" t="str">
        <f>INDEX(Data,2,2+MOD(ROWS(C$2:C624)-1,2))</f>
        <v>08.00</v>
      </c>
      <c r="D624" s="39">
        <f t="shared" ca="1" si="46"/>
        <v>757</v>
      </c>
      <c r="E624" s="31">
        <f t="shared" ca="1" si="47"/>
        <v>0</v>
      </c>
      <c r="F624" s="40">
        <f t="shared" ca="1" si="48"/>
        <v>30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19321107</v>
      </c>
      <c r="C625" s="26" t="str">
        <f>INDEX(Data,2,2+MOD(ROWS(C$2:C625)-1,2))</f>
        <v>15.00</v>
      </c>
      <c r="D625" s="39">
        <f t="shared" ca="1" si="46"/>
        <v>756</v>
      </c>
      <c r="E625" s="31">
        <f t="shared" ca="1" si="47"/>
        <v>0</v>
      </c>
      <c r="F625" s="40">
        <f t="shared" ca="1" si="48"/>
        <v>30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19321108</v>
      </c>
      <c r="C626" s="26" t="str">
        <f>INDEX(Data,2,2+MOD(ROWS(C$2:C626)-1,2))</f>
        <v>08.00</v>
      </c>
      <c r="D626" s="39">
        <f t="shared" ca="1" si="46"/>
        <v>759</v>
      </c>
      <c r="E626" s="31">
        <f t="shared" ca="1" si="47"/>
        <v>0</v>
      </c>
      <c r="F626" s="40">
        <f t="shared" ca="1" si="48"/>
        <v>30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19321108</v>
      </c>
      <c r="C627" s="26" t="str">
        <f>INDEX(Data,2,2+MOD(ROWS(C$2:C627)-1,2))</f>
        <v>15.00</v>
      </c>
      <c r="D627" s="39">
        <f t="shared" ca="1" si="46"/>
        <v>757</v>
      </c>
      <c r="E627" s="31">
        <f t="shared" ca="1" si="47"/>
        <v>0</v>
      </c>
      <c r="F627" s="40">
        <f t="shared" ca="1" si="48"/>
        <v>30.5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19321109</v>
      </c>
      <c r="C628" s="26" t="str">
        <f>INDEX(Data,2,2+MOD(ROWS(C$2:C628)-1,2))</f>
        <v>08.00</v>
      </c>
      <c r="D628" s="39">
        <f t="shared" ca="1" si="46"/>
        <v>759</v>
      </c>
      <c r="E628" s="31">
        <f t="shared" ca="1" si="47"/>
        <v>0</v>
      </c>
      <c r="F628" s="40">
        <f t="shared" ca="1" si="48"/>
        <v>30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19321109</v>
      </c>
      <c r="C629" s="26" t="str">
        <f>INDEX(Data,2,2+MOD(ROWS(C$2:C629)-1,2))</f>
        <v>15.00</v>
      </c>
      <c r="D629" s="39">
        <f t="shared" ca="1" si="46"/>
        <v>757</v>
      </c>
      <c r="E629" s="31">
        <f t="shared" ca="1" si="47"/>
        <v>0</v>
      </c>
      <c r="F629" s="40">
        <f t="shared" ca="1" si="48"/>
        <v>30.5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19321110</v>
      </c>
      <c r="C630" s="26" t="str">
        <f>INDEX(Data,2,2+MOD(ROWS(C$2:C630)-1,2))</f>
        <v>08.00</v>
      </c>
      <c r="D630" s="39">
        <f t="shared" ca="1" si="46"/>
        <v>759</v>
      </c>
      <c r="E630" s="31">
        <f t="shared" ca="1" si="47"/>
        <v>0</v>
      </c>
      <c r="F630" s="40">
        <f t="shared" ca="1" si="48"/>
        <v>30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19321110</v>
      </c>
      <c r="C631" s="26" t="str">
        <f>INDEX(Data,2,2+MOD(ROWS(C$2:C631)-1,2))</f>
        <v>15.00</v>
      </c>
      <c r="D631" s="39">
        <f t="shared" ca="1" si="46"/>
        <v>757</v>
      </c>
      <c r="E631" s="31">
        <f t="shared" ca="1" si="47"/>
        <v>0</v>
      </c>
      <c r="F631" s="40">
        <f t="shared" ca="1" si="48"/>
        <v>30.5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19321111</v>
      </c>
      <c r="C632" s="26" t="str">
        <f>INDEX(Data,2,2+MOD(ROWS(C$2:C632)-1,2))</f>
        <v>08.00</v>
      </c>
      <c r="D632" s="39">
        <f t="shared" ca="1" si="46"/>
        <v>759</v>
      </c>
      <c r="E632" s="31">
        <f t="shared" ca="1" si="47"/>
        <v>0</v>
      </c>
      <c r="F632" s="40">
        <f t="shared" ca="1" si="48"/>
        <v>30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19321111</v>
      </c>
      <c r="C633" s="26" t="str">
        <f>INDEX(Data,2,2+MOD(ROWS(C$2:C633)-1,2))</f>
        <v>15.00</v>
      </c>
      <c r="D633" s="39">
        <f t="shared" ca="1" si="46"/>
        <v>758</v>
      </c>
      <c r="E633" s="31">
        <f t="shared" ca="1" si="47"/>
        <v>0</v>
      </c>
      <c r="F633" s="40">
        <f t="shared" ca="1" si="48"/>
        <v>30.5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19321112</v>
      </c>
      <c r="C634" s="26" t="str">
        <f>INDEX(Data,2,2+MOD(ROWS(C$2:C634)-1,2))</f>
        <v>08.00</v>
      </c>
      <c r="D634" s="39">
        <f t="shared" ca="1" si="46"/>
        <v>759</v>
      </c>
      <c r="E634" s="31">
        <f t="shared" ca="1" si="47"/>
        <v>0</v>
      </c>
      <c r="F634" s="40">
        <f t="shared" ca="1" si="48"/>
        <v>30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19321112</v>
      </c>
      <c r="C635" s="26" t="str">
        <f>INDEX(Data,2,2+MOD(ROWS(C$2:C635)-1,2))</f>
        <v>15.00</v>
      </c>
      <c r="D635" s="39">
        <f t="shared" ca="1" si="46"/>
        <v>759</v>
      </c>
      <c r="E635" s="31">
        <f t="shared" ca="1" si="47"/>
        <v>0</v>
      </c>
      <c r="F635" s="40">
        <f t="shared" ca="1" si="48"/>
        <v>30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19321113</v>
      </c>
      <c r="C636" s="26" t="str">
        <f>INDEX(Data,2,2+MOD(ROWS(C$2:C636)-1,2))</f>
        <v>08.00</v>
      </c>
      <c r="D636" s="39">
        <f t="shared" ca="1" si="46"/>
        <v>758.5</v>
      </c>
      <c r="E636" s="31">
        <f t="shared" ca="1" si="47"/>
        <v>0</v>
      </c>
      <c r="F636" s="40">
        <f t="shared" ca="1" si="48"/>
        <v>30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19321113</v>
      </c>
      <c r="C637" s="26" t="str">
        <f>INDEX(Data,2,2+MOD(ROWS(C$2:C637)-1,2))</f>
        <v>15.00</v>
      </c>
      <c r="D637" s="39">
        <f t="shared" ca="1" si="46"/>
        <v>758</v>
      </c>
      <c r="E637" s="31">
        <f t="shared" ca="1" si="47"/>
        <v>0</v>
      </c>
      <c r="F637" s="40">
        <f t="shared" ca="1" si="48"/>
        <v>30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19321114</v>
      </c>
      <c r="C638" s="26" t="str">
        <f>INDEX(Data,2,2+MOD(ROWS(C$2:C638)-1,2))</f>
        <v>08.00</v>
      </c>
      <c r="D638" s="39">
        <f t="shared" ca="1" si="46"/>
        <v>758.5</v>
      </c>
      <c r="E638" s="31">
        <f t="shared" ca="1" si="47"/>
        <v>0</v>
      </c>
      <c r="F638" s="40">
        <f t="shared" ca="1" si="48"/>
        <v>30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19321114</v>
      </c>
      <c r="C639" s="26" t="str">
        <f>INDEX(Data,2,2+MOD(ROWS(C$2:C639)-1,2))</f>
        <v>15.00</v>
      </c>
      <c r="D639" s="39">
        <f t="shared" ca="1" si="46"/>
        <v>758</v>
      </c>
      <c r="E639" s="31">
        <f t="shared" ca="1" si="47"/>
        <v>0</v>
      </c>
      <c r="F639" s="40">
        <f t="shared" ca="1" si="48"/>
        <v>30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19321115</v>
      </c>
      <c r="C640" s="26" t="str">
        <f>INDEX(Data,2,2+MOD(ROWS(C$2:C640)-1,2))</f>
        <v>08.00</v>
      </c>
      <c r="D640" s="39">
        <f t="shared" ca="1" si="46"/>
        <v>759</v>
      </c>
      <c r="E640" s="31">
        <f t="shared" ca="1" si="47"/>
        <v>0</v>
      </c>
      <c r="F640" s="40">
        <f t="shared" ca="1" si="48"/>
        <v>30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19321115</v>
      </c>
      <c r="C641" s="26" t="str">
        <f>INDEX(Data,2,2+MOD(ROWS(C$2:C641)-1,2))</f>
        <v>15.00</v>
      </c>
      <c r="D641" s="39">
        <f t="shared" ca="1" si="46"/>
        <v>758</v>
      </c>
      <c r="E641" s="31">
        <f t="shared" ca="1" si="47"/>
        <v>0</v>
      </c>
      <c r="F641" s="40">
        <f t="shared" ca="1" si="48"/>
        <v>30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19321116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759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29.5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19321116</v>
      </c>
      <c r="C643" s="26" t="str">
        <f>INDEX(Data,2,2+MOD(ROWS(C$2:C643)-1,2))</f>
        <v>15.00</v>
      </c>
      <c r="D643" s="39">
        <f t="shared" ca="1" si="51"/>
        <v>758</v>
      </c>
      <c r="E643" s="31">
        <f t="shared" ca="1" si="52"/>
        <v>0</v>
      </c>
      <c r="F643" s="40">
        <f t="shared" ca="1" si="53"/>
        <v>30.5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19321117</v>
      </c>
      <c r="C644" s="26" t="str">
        <f>INDEX(Data,2,2+MOD(ROWS(C$2:C644)-1,2))</f>
        <v>08.00</v>
      </c>
      <c r="D644" s="39">
        <f t="shared" ca="1" si="51"/>
        <v>758.5</v>
      </c>
      <c r="E644" s="31">
        <f t="shared" ca="1" si="52"/>
        <v>0</v>
      </c>
      <c r="F644" s="40">
        <f t="shared" ca="1" si="53"/>
        <v>30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19321117</v>
      </c>
      <c r="C645" s="26" t="str">
        <f>INDEX(Data,2,2+MOD(ROWS(C$2:C645)-1,2))</f>
        <v>15.00</v>
      </c>
      <c r="D645" s="39">
        <f t="shared" ca="1" si="51"/>
        <v>757</v>
      </c>
      <c r="E645" s="31">
        <f t="shared" ca="1" si="52"/>
        <v>0</v>
      </c>
      <c r="F645" s="40">
        <f t="shared" ca="1" si="53"/>
        <v>30.5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19321118</v>
      </c>
      <c r="C646" s="26" t="str">
        <f>INDEX(Data,2,2+MOD(ROWS(C$2:C646)-1,2))</f>
        <v>08.00</v>
      </c>
      <c r="D646" s="39">
        <f t="shared" ca="1" si="51"/>
        <v>759</v>
      </c>
      <c r="E646" s="31">
        <f t="shared" ca="1" si="52"/>
        <v>0</v>
      </c>
      <c r="F646" s="40">
        <f t="shared" ca="1" si="53"/>
        <v>30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19321118</v>
      </c>
      <c r="C647" s="26" t="str">
        <f>INDEX(Data,2,2+MOD(ROWS(C$2:C647)-1,2))</f>
        <v>15.00</v>
      </c>
      <c r="D647" s="39">
        <f t="shared" ca="1" si="51"/>
        <v>757</v>
      </c>
      <c r="E647" s="31">
        <f t="shared" ca="1" si="52"/>
        <v>0</v>
      </c>
      <c r="F647" s="40">
        <f t="shared" ca="1" si="53"/>
        <v>29.5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19321119</v>
      </c>
      <c r="C648" s="26" t="str">
        <f>INDEX(Data,2,2+MOD(ROWS(C$2:C648)-1,2))</f>
        <v>08.00</v>
      </c>
      <c r="D648" s="39">
        <f t="shared" ca="1" si="51"/>
        <v>757.5</v>
      </c>
      <c r="E648" s="31">
        <f t="shared" ca="1" si="52"/>
        <v>0</v>
      </c>
      <c r="F648" s="40">
        <f t="shared" ca="1" si="53"/>
        <v>29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19321119</v>
      </c>
      <c r="C649" s="26" t="str">
        <f>INDEX(Data,2,2+MOD(ROWS(C$2:C649)-1,2))</f>
        <v>15.00</v>
      </c>
      <c r="D649" s="39">
        <f t="shared" ca="1" si="51"/>
        <v>757</v>
      </c>
      <c r="E649" s="31">
        <f t="shared" ca="1" si="52"/>
        <v>0</v>
      </c>
      <c r="F649" s="40">
        <f t="shared" ca="1" si="53"/>
        <v>30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19321120</v>
      </c>
      <c r="C650" s="26" t="str">
        <f>INDEX(Data,2,2+MOD(ROWS(C$2:C650)-1,2))</f>
        <v>08.00</v>
      </c>
      <c r="D650" s="39">
        <f t="shared" ca="1" si="51"/>
        <v>758</v>
      </c>
      <c r="E650" s="31">
        <f t="shared" ca="1" si="52"/>
        <v>0</v>
      </c>
      <c r="F650" s="40">
        <f t="shared" ca="1" si="53"/>
        <v>29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19321120</v>
      </c>
      <c r="C651" s="26" t="str">
        <f>INDEX(Data,2,2+MOD(ROWS(C$2:C651)-1,2))</f>
        <v>15.00</v>
      </c>
      <c r="D651" s="39">
        <f t="shared" ca="1" si="51"/>
        <v>757</v>
      </c>
      <c r="E651" s="31">
        <f t="shared" ca="1" si="52"/>
        <v>0</v>
      </c>
      <c r="F651" s="40">
        <f t="shared" ca="1" si="53"/>
        <v>30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19321121</v>
      </c>
      <c r="C652" s="26" t="str">
        <f>INDEX(Data,2,2+MOD(ROWS(C$2:C652)-1,2))</f>
        <v>08.00</v>
      </c>
      <c r="D652" s="39">
        <f t="shared" ca="1" si="51"/>
        <v>758.5</v>
      </c>
      <c r="E652" s="31">
        <f t="shared" ca="1" si="52"/>
        <v>0</v>
      </c>
      <c r="F652" s="40">
        <f t="shared" ca="1" si="53"/>
        <v>29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19321121</v>
      </c>
      <c r="C653" s="26" t="str">
        <f>INDEX(Data,2,2+MOD(ROWS(C$2:C653)-1,2))</f>
        <v>15.00</v>
      </c>
      <c r="D653" s="39">
        <f t="shared" ca="1" si="51"/>
        <v>757</v>
      </c>
      <c r="E653" s="31">
        <f t="shared" ca="1" si="52"/>
        <v>0</v>
      </c>
      <c r="F653" s="40">
        <f t="shared" ca="1" si="53"/>
        <v>29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19321122</v>
      </c>
      <c r="C654" s="26" t="str">
        <f>INDEX(Data,2,2+MOD(ROWS(C$2:C654)-1,2))</f>
        <v>08.00</v>
      </c>
      <c r="D654" s="39">
        <f t="shared" ca="1" si="51"/>
        <v>758.5</v>
      </c>
      <c r="E654" s="31">
        <f t="shared" ca="1" si="52"/>
        <v>0</v>
      </c>
      <c r="F654" s="40">
        <f t="shared" ca="1" si="53"/>
        <v>27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19321122</v>
      </c>
      <c r="C655" s="26" t="str">
        <f>INDEX(Data,2,2+MOD(ROWS(C$2:C655)-1,2))</f>
        <v>15.00</v>
      </c>
      <c r="D655" s="39">
        <f t="shared" ca="1" si="51"/>
        <v>758</v>
      </c>
      <c r="E655" s="31">
        <f t="shared" ca="1" si="52"/>
        <v>0</v>
      </c>
      <c r="F655" s="40">
        <f t="shared" ca="1" si="53"/>
        <v>28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19321123</v>
      </c>
      <c r="C656" s="26" t="str">
        <f>INDEX(Data,2,2+MOD(ROWS(C$2:C656)-1,2))</f>
        <v>08.00</v>
      </c>
      <c r="D656" s="39">
        <f t="shared" ca="1" si="51"/>
        <v>758.5</v>
      </c>
      <c r="E656" s="31">
        <f t="shared" ca="1" si="52"/>
        <v>0</v>
      </c>
      <c r="F656" s="40">
        <f t="shared" ca="1" si="53"/>
        <v>29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19321123</v>
      </c>
      <c r="C657" s="26" t="str">
        <f>INDEX(Data,2,2+MOD(ROWS(C$2:C657)-1,2))</f>
        <v>15.00</v>
      </c>
      <c r="D657" s="39">
        <f t="shared" ca="1" si="51"/>
        <v>757</v>
      </c>
      <c r="E657" s="31">
        <f t="shared" ca="1" si="52"/>
        <v>0</v>
      </c>
      <c r="F657" s="40">
        <f t="shared" ca="1" si="53"/>
        <v>30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19321124</v>
      </c>
      <c r="C658" s="26" t="str">
        <f>INDEX(Data,2,2+MOD(ROWS(C$2:C658)-1,2))</f>
        <v>08.00</v>
      </c>
      <c r="D658" s="39">
        <f t="shared" ca="1" si="51"/>
        <v>758.5</v>
      </c>
      <c r="E658" s="31">
        <f t="shared" ca="1" si="52"/>
        <v>0</v>
      </c>
      <c r="F658" s="40">
        <f t="shared" ca="1" si="53"/>
        <v>29.5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19321124</v>
      </c>
      <c r="C659" s="26" t="str">
        <f>INDEX(Data,2,2+MOD(ROWS(C$2:C659)-1,2))</f>
        <v>15.00</v>
      </c>
      <c r="D659" s="39">
        <f t="shared" ca="1" si="51"/>
        <v>757.5</v>
      </c>
      <c r="E659" s="31">
        <f t="shared" ca="1" si="52"/>
        <v>0</v>
      </c>
      <c r="F659" s="40">
        <f t="shared" ca="1" si="53"/>
        <v>30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19321125</v>
      </c>
      <c r="C660" s="26" t="str">
        <f>INDEX(Data,2,2+MOD(ROWS(C$2:C660)-1,2))</f>
        <v>08.00</v>
      </c>
      <c r="D660" s="39">
        <f t="shared" ca="1" si="51"/>
        <v>758.5</v>
      </c>
      <c r="E660" s="31">
        <f t="shared" ca="1" si="52"/>
        <v>0</v>
      </c>
      <c r="F660" s="40">
        <f t="shared" ca="1" si="53"/>
        <v>29.5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19321125</v>
      </c>
      <c r="C661" s="26" t="str">
        <f>INDEX(Data,2,2+MOD(ROWS(C$2:C661)-1,2))</f>
        <v>15.00</v>
      </c>
      <c r="D661" s="39">
        <f t="shared" ca="1" si="51"/>
        <v>757.5</v>
      </c>
      <c r="E661" s="31">
        <f t="shared" ca="1" si="52"/>
        <v>0</v>
      </c>
      <c r="F661" s="40">
        <f t="shared" ca="1" si="53"/>
        <v>30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19321126</v>
      </c>
      <c r="C662" s="26" t="str">
        <f>INDEX(Data,2,2+MOD(ROWS(C$2:C662)-1,2))</f>
        <v>08.00</v>
      </c>
      <c r="D662" s="39">
        <f t="shared" ca="1" si="51"/>
        <v>758.5</v>
      </c>
      <c r="E662" s="31">
        <f t="shared" ca="1" si="52"/>
        <v>0</v>
      </c>
      <c r="F662" s="40">
        <f t="shared" ca="1" si="53"/>
        <v>29.5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19321126</v>
      </c>
      <c r="C663" s="26" t="str">
        <f>INDEX(Data,2,2+MOD(ROWS(C$2:C663)-1,2))</f>
        <v>15.00</v>
      </c>
      <c r="D663" s="39">
        <f t="shared" ca="1" si="51"/>
        <v>758</v>
      </c>
      <c r="E663" s="31">
        <f t="shared" ca="1" si="52"/>
        <v>0</v>
      </c>
      <c r="F663" s="40">
        <f t="shared" ca="1" si="53"/>
        <v>30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19321127</v>
      </c>
      <c r="C664" s="26" t="str">
        <f>INDEX(Data,2,2+MOD(ROWS(C$2:C664)-1,2))</f>
        <v>08.00</v>
      </c>
      <c r="D664" s="39">
        <f t="shared" ca="1" si="51"/>
        <v>758.5</v>
      </c>
      <c r="E664" s="31">
        <f t="shared" ca="1" si="52"/>
        <v>0</v>
      </c>
      <c r="F664" s="40">
        <f t="shared" ca="1" si="53"/>
        <v>29.5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19321127</v>
      </c>
      <c r="C665" s="26" t="str">
        <f>INDEX(Data,2,2+MOD(ROWS(C$2:C665)-1,2))</f>
        <v>15.00</v>
      </c>
      <c r="D665" s="39">
        <f t="shared" ca="1" si="51"/>
        <v>758</v>
      </c>
      <c r="E665" s="31">
        <f t="shared" ca="1" si="52"/>
        <v>0</v>
      </c>
      <c r="F665" s="40">
        <f t="shared" ca="1" si="53"/>
        <v>30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19321128</v>
      </c>
      <c r="C666" s="26" t="str">
        <f>INDEX(Data,2,2+MOD(ROWS(C$2:C666)-1,2))</f>
        <v>08.00</v>
      </c>
      <c r="D666" s="39">
        <f t="shared" ca="1" si="51"/>
        <v>758.5</v>
      </c>
      <c r="E666" s="31">
        <f t="shared" ca="1" si="52"/>
        <v>0</v>
      </c>
      <c r="F666" s="40">
        <f t="shared" ca="1" si="53"/>
        <v>28.5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19321128</v>
      </c>
      <c r="C667" s="26" t="str">
        <f>INDEX(Data,2,2+MOD(ROWS(C$2:C667)-1,2))</f>
        <v>15.00</v>
      </c>
      <c r="D667" s="39">
        <f t="shared" ca="1" si="51"/>
        <v>757.5</v>
      </c>
      <c r="E667" s="31">
        <f t="shared" ca="1" si="52"/>
        <v>0</v>
      </c>
      <c r="F667" s="40">
        <f t="shared" ca="1" si="53"/>
        <v>30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19321129</v>
      </c>
      <c r="C668" s="26" t="str">
        <f>INDEX(Data,2,2+MOD(ROWS(C$2:C668)-1,2))</f>
        <v>08.00</v>
      </c>
      <c r="D668" s="39">
        <f t="shared" ca="1" si="51"/>
        <v>759</v>
      </c>
      <c r="E668" s="31">
        <f t="shared" ca="1" si="52"/>
        <v>0</v>
      </c>
      <c r="F668" s="40">
        <f t="shared" ca="1" si="53"/>
        <v>29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19321129</v>
      </c>
      <c r="C669" s="26" t="str">
        <f>INDEX(Data,2,2+MOD(ROWS(C$2:C669)-1,2))</f>
        <v>15.00</v>
      </c>
      <c r="D669" s="39">
        <f t="shared" ca="1" si="51"/>
        <v>757.5</v>
      </c>
      <c r="E669" s="31">
        <f t="shared" ca="1" si="52"/>
        <v>0</v>
      </c>
      <c r="F669" s="40">
        <f t="shared" ca="1" si="53"/>
        <v>27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19321130</v>
      </c>
      <c r="C670" s="26" t="str">
        <f>INDEX(Data,2,2+MOD(ROWS(C$2:C670)-1,2))</f>
        <v>08.00</v>
      </c>
      <c r="D670" s="39">
        <f t="shared" ca="1" si="51"/>
        <v>758.5</v>
      </c>
      <c r="E670" s="31">
        <f t="shared" ca="1" si="52"/>
        <v>0</v>
      </c>
      <c r="F670" s="40">
        <f t="shared" ca="1" si="53"/>
        <v>29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19321130</v>
      </c>
      <c r="C671" s="26" t="str">
        <f>INDEX(Data,2,2+MOD(ROWS(C$2:C671)-1,2))</f>
        <v>15.00</v>
      </c>
      <c r="D671" s="39">
        <f t="shared" ca="1" si="51"/>
        <v>758</v>
      </c>
      <c r="E671" s="31">
        <f t="shared" ca="1" si="52"/>
        <v>0</v>
      </c>
      <c r="F671" s="40">
        <f t="shared" ca="1" si="53"/>
        <v>29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19321201</v>
      </c>
      <c r="C672" s="26" t="str">
        <f>INDEX(Data,2,2+MOD(ROWS(C$2:C672)-1,2))</f>
        <v>08.00</v>
      </c>
      <c r="D672" s="39">
        <f t="shared" ca="1" si="51"/>
        <v>758</v>
      </c>
      <c r="E672" s="31">
        <f t="shared" ca="1" si="52"/>
        <v>0</v>
      </c>
      <c r="F672" s="40">
        <f t="shared" ca="1" si="53"/>
        <v>29.5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19321201</v>
      </c>
      <c r="C673" s="26" t="str">
        <f>INDEX(Data,2,2+MOD(ROWS(C$2:C673)-1,2))</f>
        <v>15.00</v>
      </c>
      <c r="D673" s="39">
        <f t="shared" ca="1" si="51"/>
        <v>758</v>
      </c>
      <c r="E673" s="31">
        <f t="shared" ca="1" si="52"/>
        <v>0</v>
      </c>
      <c r="F673" s="40">
        <f t="shared" ca="1" si="53"/>
        <v>30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19321202</v>
      </c>
      <c r="C674" s="26" t="str">
        <f>INDEX(Data,2,2+MOD(ROWS(C$2:C674)-1,2))</f>
        <v>08.00</v>
      </c>
      <c r="D674" s="39">
        <f t="shared" ca="1" si="51"/>
        <v>759</v>
      </c>
      <c r="E674" s="31">
        <f t="shared" ca="1" si="52"/>
        <v>0</v>
      </c>
      <c r="F674" s="40">
        <f t="shared" ca="1" si="53"/>
        <v>29.5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19321202</v>
      </c>
      <c r="C675" s="26" t="str">
        <f>INDEX(Data,2,2+MOD(ROWS(C$2:C675)-1,2))</f>
        <v>15.00</v>
      </c>
      <c r="D675" s="39">
        <f t="shared" ca="1" si="51"/>
        <v>758</v>
      </c>
      <c r="E675" s="31">
        <f t="shared" ca="1" si="52"/>
        <v>0</v>
      </c>
      <c r="F675" s="40">
        <f t="shared" ca="1" si="53"/>
        <v>30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19321203</v>
      </c>
      <c r="C676" s="26" t="str">
        <f>INDEX(Data,2,2+MOD(ROWS(C$2:C676)-1,2))</f>
        <v>08.00</v>
      </c>
      <c r="D676" s="39">
        <f t="shared" ca="1" si="51"/>
        <v>759</v>
      </c>
      <c r="E676" s="31">
        <f t="shared" ca="1" si="52"/>
        <v>0</v>
      </c>
      <c r="F676" s="40">
        <f t="shared" ca="1" si="53"/>
        <v>28.5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19321203</v>
      </c>
      <c r="C677" s="26" t="str">
        <f>INDEX(Data,2,2+MOD(ROWS(C$2:C677)-1,2))</f>
        <v>15.00</v>
      </c>
      <c r="D677" s="39">
        <f t="shared" ca="1" si="51"/>
        <v>758</v>
      </c>
      <c r="E677" s="31">
        <f t="shared" ca="1" si="52"/>
        <v>0</v>
      </c>
      <c r="F677" s="40">
        <f t="shared" ca="1" si="53"/>
        <v>29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19321204</v>
      </c>
      <c r="C678" s="26" t="str">
        <f>INDEX(Data,2,2+MOD(ROWS(C$2:C678)-1,2))</f>
        <v>08.00</v>
      </c>
      <c r="D678" s="39">
        <f t="shared" ca="1" si="51"/>
        <v>759</v>
      </c>
      <c r="E678" s="31">
        <f t="shared" ca="1" si="52"/>
        <v>0</v>
      </c>
      <c r="F678" s="40">
        <f t="shared" ca="1" si="53"/>
        <v>28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19321204</v>
      </c>
      <c r="C679" s="26" t="str">
        <f>INDEX(Data,2,2+MOD(ROWS(C$2:C679)-1,2))</f>
        <v>15.00</v>
      </c>
      <c r="D679" s="39">
        <f t="shared" ca="1" si="51"/>
        <v>758</v>
      </c>
      <c r="E679" s="31">
        <f t="shared" ca="1" si="52"/>
        <v>0</v>
      </c>
      <c r="F679" s="40">
        <f t="shared" ca="1" si="53"/>
        <v>29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19321205</v>
      </c>
      <c r="C680" s="26" t="str">
        <f>INDEX(Data,2,2+MOD(ROWS(C$2:C680)-1,2))</f>
        <v>08.00</v>
      </c>
      <c r="D680" s="39">
        <f t="shared" ca="1" si="51"/>
        <v>759</v>
      </c>
      <c r="E680" s="31">
        <f t="shared" ca="1" si="52"/>
        <v>0</v>
      </c>
      <c r="F680" s="40">
        <f t="shared" ca="1" si="53"/>
        <v>29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19321205</v>
      </c>
      <c r="C681" s="26" t="str">
        <f>INDEX(Data,2,2+MOD(ROWS(C$2:C681)-1,2))</f>
        <v>15.00</v>
      </c>
      <c r="D681" s="39">
        <f t="shared" ca="1" si="51"/>
        <v>758</v>
      </c>
      <c r="E681" s="31">
        <f t="shared" ca="1" si="52"/>
        <v>0</v>
      </c>
      <c r="F681" s="40">
        <f t="shared" ca="1" si="53"/>
        <v>30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19321206</v>
      </c>
      <c r="C682" s="26" t="str">
        <f>INDEX(Data,2,2+MOD(ROWS(C$2:C682)-1,2))</f>
        <v>08.00</v>
      </c>
      <c r="D682" s="39">
        <f t="shared" ca="1" si="51"/>
        <v>759</v>
      </c>
      <c r="E682" s="31">
        <f t="shared" ca="1" si="52"/>
        <v>0</v>
      </c>
      <c r="F682" s="40">
        <f t="shared" ca="1" si="53"/>
        <v>29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19321206</v>
      </c>
      <c r="C683" s="26" t="str">
        <f>INDEX(Data,2,2+MOD(ROWS(C$2:C683)-1,2))</f>
        <v>15.00</v>
      </c>
      <c r="D683" s="39">
        <f t="shared" ca="1" si="51"/>
        <v>758</v>
      </c>
      <c r="E683" s="31">
        <f t="shared" ca="1" si="52"/>
        <v>0</v>
      </c>
      <c r="F683" s="40">
        <f t="shared" ca="1" si="53"/>
        <v>29.5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19321207</v>
      </c>
      <c r="C684" s="26" t="str">
        <f>INDEX(Data,2,2+MOD(ROWS(C$2:C684)-1,2))</f>
        <v>08.00</v>
      </c>
      <c r="D684" s="39">
        <f t="shared" ca="1" si="51"/>
        <v>759</v>
      </c>
      <c r="E684" s="31">
        <f t="shared" ca="1" si="52"/>
        <v>0</v>
      </c>
      <c r="F684" s="40">
        <f t="shared" ca="1" si="53"/>
        <v>28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19321207</v>
      </c>
      <c r="C685" s="26" t="str">
        <f>INDEX(Data,2,2+MOD(ROWS(C$2:C685)-1,2))</f>
        <v>15.00</v>
      </c>
      <c r="D685" s="39">
        <f t="shared" ca="1" si="51"/>
        <v>758.5</v>
      </c>
      <c r="E685" s="31">
        <f t="shared" ca="1" si="52"/>
        <v>0</v>
      </c>
      <c r="F685" s="40">
        <f t="shared" ca="1" si="53"/>
        <v>29.5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19321208</v>
      </c>
      <c r="C686" s="26" t="str">
        <f>INDEX(Data,2,2+MOD(ROWS(C$2:C686)-1,2))</f>
        <v>08.00</v>
      </c>
      <c r="D686" s="39">
        <f t="shared" ca="1" si="51"/>
        <v>759</v>
      </c>
      <c r="E686" s="31">
        <f t="shared" ca="1" si="52"/>
        <v>0</v>
      </c>
      <c r="F686" s="40">
        <f t="shared" ca="1" si="53"/>
        <v>28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19321208</v>
      </c>
      <c r="C687" s="26" t="str">
        <f>INDEX(Data,2,2+MOD(ROWS(C$2:C687)-1,2))</f>
        <v>15.00</v>
      </c>
      <c r="D687" s="39">
        <f t="shared" ca="1" si="51"/>
        <v>758</v>
      </c>
      <c r="E687" s="31">
        <f t="shared" ca="1" si="52"/>
        <v>0</v>
      </c>
      <c r="F687" s="40">
        <f t="shared" ca="1" si="53"/>
        <v>29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19321209</v>
      </c>
      <c r="C688" s="26" t="str">
        <f>INDEX(Data,2,2+MOD(ROWS(C$2:C688)-1,2))</f>
        <v>08.00</v>
      </c>
      <c r="D688" s="39">
        <f t="shared" ca="1" si="51"/>
        <v>759</v>
      </c>
      <c r="E688" s="31">
        <f t="shared" ca="1" si="52"/>
        <v>0</v>
      </c>
      <c r="F688" s="40">
        <f t="shared" ca="1" si="53"/>
        <v>28.5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19321209</v>
      </c>
      <c r="C689" s="26" t="str">
        <f>INDEX(Data,2,2+MOD(ROWS(C$2:C689)-1,2))</f>
        <v>15.00</v>
      </c>
      <c r="D689" s="39">
        <f t="shared" ca="1" si="51"/>
        <v>758</v>
      </c>
      <c r="E689" s="31">
        <f t="shared" ca="1" si="52"/>
        <v>0</v>
      </c>
      <c r="F689" s="40">
        <f t="shared" ca="1" si="53"/>
        <v>29.5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19321210</v>
      </c>
      <c r="C690" s="26" t="str">
        <f>INDEX(Data,2,2+MOD(ROWS(C$2:C690)-1,2))</f>
        <v>08.00</v>
      </c>
      <c r="D690" s="39">
        <f t="shared" ca="1" si="51"/>
        <v>759</v>
      </c>
      <c r="E690" s="31">
        <f t="shared" ca="1" si="52"/>
        <v>0</v>
      </c>
      <c r="F690" s="40">
        <f t="shared" ca="1" si="53"/>
        <v>29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19321210</v>
      </c>
      <c r="C691" s="26" t="str">
        <f>INDEX(Data,2,2+MOD(ROWS(C$2:C691)-1,2))</f>
        <v>15.00</v>
      </c>
      <c r="D691" s="39">
        <f t="shared" ca="1" si="51"/>
        <v>757.5</v>
      </c>
      <c r="E691" s="31">
        <f t="shared" ca="1" si="52"/>
        <v>0</v>
      </c>
      <c r="F691" s="40">
        <f t="shared" ca="1" si="53"/>
        <v>20.5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19321211</v>
      </c>
      <c r="C692" s="26" t="str">
        <f>INDEX(Data,2,2+MOD(ROWS(C$2:C692)-1,2))</f>
        <v>08.00</v>
      </c>
      <c r="D692" s="39">
        <f t="shared" ca="1" si="51"/>
        <v>759</v>
      </c>
      <c r="E692" s="31">
        <f t="shared" ca="1" si="52"/>
        <v>0</v>
      </c>
      <c r="F692" s="40">
        <f t="shared" ca="1" si="53"/>
        <v>28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19321211</v>
      </c>
      <c r="C693" s="26" t="str">
        <f>INDEX(Data,2,2+MOD(ROWS(C$2:C693)-1,2))</f>
        <v>15.00</v>
      </c>
      <c r="D693" s="39">
        <f t="shared" ca="1" si="51"/>
        <v>758</v>
      </c>
      <c r="E693" s="31">
        <f t="shared" ca="1" si="52"/>
        <v>0</v>
      </c>
      <c r="F693" s="40">
        <f t="shared" ca="1" si="53"/>
        <v>29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19321212</v>
      </c>
      <c r="C694" s="26" t="str">
        <f>INDEX(Data,2,2+MOD(ROWS(C$2:C694)-1,2))</f>
        <v>08.00</v>
      </c>
      <c r="D694" s="39">
        <f t="shared" ca="1" si="51"/>
        <v>759</v>
      </c>
      <c r="E694" s="31">
        <f t="shared" ca="1" si="52"/>
        <v>0</v>
      </c>
      <c r="F694" s="40">
        <f t="shared" ca="1" si="53"/>
        <v>28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19321212</v>
      </c>
      <c r="C695" s="26" t="str">
        <f>INDEX(Data,2,2+MOD(ROWS(C$2:C695)-1,2))</f>
        <v>15.00</v>
      </c>
      <c r="D695" s="39">
        <f t="shared" ca="1" si="51"/>
        <v>758.5</v>
      </c>
      <c r="E695" s="31">
        <f t="shared" ca="1" si="52"/>
        <v>0</v>
      </c>
      <c r="F695" s="40">
        <f t="shared" ca="1" si="53"/>
        <v>29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19321213</v>
      </c>
      <c r="C696" s="26" t="str">
        <f>INDEX(Data,2,2+MOD(ROWS(C$2:C696)-1,2))</f>
        <v>08.00</v>
      </c>
      <c r="D696" s="39">
        <f t="shared" ca="1" si="51"/>
        <v>759</v>
      </c>
      <c r="E696" s="31">
        <f t="shared" ca="1" si="52"/>
        <v>0</v>
      </c>
      <c r="F696" s="40">
        <f t="shared" ca="1" si="53"/>
        <v>28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19321213</v>
      </c>
      <c r="C697" s="26" t="str">
        <f>INDEX(Data,2,2+MOD(ROWS(C$2:C697)-1,2))</f>
        <v>15.00</v>
      </c>
      <c r="D697" s="39">
        <f t="shared" ca="1" si="51"/>
        <v>759</v>
      </c>
      <c r="E697" s="31">
        <f t="shared" ca="1" si="52"/>
        <v>0</v>
      </c>
      <c r="F697" s="40">
        <f t="shared" ca="1" si="53"/>
        <v>29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19321214</v>
      </c>
      <c r="C698" s="26" t="str">
        <f>INDEX(Data,2,2+MOD(ROWS(C$2:C698)-1,2))</f>
        <v>08.00</v>
      </c>
      <c r="D698" s="39">
        <f t="shared" ca="1" si="51"/>
        <v>759</v>
      </c>
      <c r="E698" s="31">
        <f t="shared" ca="1" si="52"/>
        <v>0</v>
      </c>
      <c r="F698" s="40">
        <f t="shared" ca="1" si="53"/>
        <v>28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19321214</v>
      </c>
      <c r="C699" s="26" t="str">
        <f>INDEX(Data,2,2+MOD(ROWS(C$2:C699)-1,2))</f>
        <v>15.00</v>
      </c>
      <c r="D699" s="39">
        <f t="shared" ca="1" si="51"/>
        <v>759</v>
      </c>
      <c r="E699" s="31">
        <f t="shared" ca="1" si="52"/>
        <v>0</v>
      </c>
      <c r="F699" s="40">
        <f t="shared" ca="1" si="53"/>
        <v>29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19321215</v>
      </c>
      <c r="C700" s="26" t="str">
        <f>INDEX(Data,2,2+MOD(ROWS(C$2:C700)-1,2))</f>
        <v>08.00</v>
      </c>
      <c r="D700" s="39">
        <f t="shared" ca="1" si="51"/>
        <v>759</v>
      </c>
      <c r="E700" s="31">
        <f t="shared" ca="1" si="52"/>
        <v>0</v>
      </c>
      <c r="F700" s="40">
        <f t="shared" ca="1" si="53"/>
        <v>28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19321215</v>
      </c>
      <c r="C701" s="26" t="str">
        <f>INDEX(Data,2,2+MOD(ROWS(C$2:C701)-1,2))</f>
        <v>15.00</v>
      </c>
      <c r="D701" s="39">
        <f t="shared" ca="1" si="51"/>
        <v>759</v>
      </c>
      <c r="E701" s="31">
        <f t="shared" ca="1" si="52"/>
        <v>0</v>
      </c>
      <c r="F701" s="40">
        <f t="shared" ca="1" si="53"/>
        <v>29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19321216</v>
      </c>
      <c r="C702" s="26" t="str">
        <f>INDEX(Data,2,2+MOD(ROWS(C$2:C702)-1,2))</f>
        <v>08.00</v>
      </c>
      <c r="D702" s="39">
        <f t="shared" ca="1" si="51"/>
        <v>759</v>
      </c>
      <c r="E702" s="31">
        <f t="shared" ca="1" si="52"/>
        <v>0</v>
      </c>
      <c r="F702" s="40">
        <f t="shared" ca="1" si="53"/>
        <v>28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19321216</v>
      </c>
      <c r="C703" s="26" t="str">
        <f>INDEX(Data,2,2+MOD(ROWS(C$2:C703)-1,2))</f>
        <v>15.00</v>
      </c>
      <c r="D703" s="39">
        <f t="shared" ca="1" si="51"/>
        <v>759</v>
      </c>
      <c r="E703" s="31">
        <f t="shared" ca="1" si="52"/>
        <v>0</v>
      </c>
      <c r="F703" s="40">
        <f t="shared" ca="1" si="53"/>
        <v>29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19321217</v>
      </c>
      <c r="C704" s="26" t="str">
        <f>INDEX(Data,2,2+MOD(ROWS(C$2:C704)-1,2))</f>
        <v>08.00</v>
      </c>
      <c r="D704" s="39">
        <f t="shared" ca="1" si="51"/>
        <v>759</v>
      </c>
      <c r="E704" s="31">
        <f t="shared" ca="1" si="52"/>
        <v>0</v>
      </c>
      <c r="F704" s="40">
        <f t="shared" ca="1" si="53"/>
        <v>28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19321217</v>
      </c>
      <c r="C705" s="26" t="str">
        <f>INDEX(Data,2,2+MOD(ROWS(C$2:C705)-1,2))</f>
        <v>15.00</v>
      </c>
      <c r="D705" s="39">
        <f t="shared" ca="1" si="51"/>
        <v>759</v>
      </c>
      <c r="E705" s="31">
        <f t="shared" ca="1" si="52"/>
        <v>0</v>
      </c>
      <c r="F705" s="40">
        <f t="shared" ca="1" si="53"/>
        <v>29</v>
      </c>
      <c r="G705" s="31">
        <f t="shared" ca="1" si="54"/>
        <v>0</v>
      </c>
    </row>
    <row r="706" spans="1:7" x14ac:dyDescent="0.25">
      <c r="A706" s="11">
        <f t="shared" ref="A706:A733" si="55">INDEX(Stations,2,1)</f>
        <v>44</v>
      </c>
      <c r="B706" t="str">
        <f ca="1">TEXT(DATE(YEAR(Invoer!$A$5),1,1)+INT((ROWS(B$2:B706)-1)/2),"jjjjmmdd")</f>
        <v>19321218</v>
      </c>
      <c r="C706" s="26" t="str">
        <f>INDEX(Data,2,2+MOD(ROWS(C$2:C706)-1,2))</f>
        <v>08.00</v>
      </c>
      <c r="D706" s="39">
        <f t="shared" ref="D706:D733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759</v>
      </c>
      <c r="E706" s="31">
        <f t="shared" ref="E706:E733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3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28</v>
      </c>
      <c r="G706" s="31">
        <f t="shared" ref="G706:G733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19321218</v>
      </c>
      <c r="C707" s="26" t="str">
        <f>INDEX(Data,2,2+MOD(ROWS(C$2:C707)-1,2))</f>
        <v>15.00</v>
      </c>
      <c r="D707" s="39">
        <f t="shared" ca="1" si="56"/>
        <v>759</v>
      </c>
      <c r="E707" s="31">
        <f t="shared" ca="1" si="57"/>
        <v>0</v>
      </c>
      <c r="F707" s="40">
        <f t="shared" ca="1" si="58"/>
        <v>29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19321219</v>
      </c>
      <c r="C708" s="26" t="str">
        <f>INDEX(Data,2,2+MOD(ROWS(C$2:C708)-1,2))</f>
        <v>08.00</v>
      </c>
      <c r="D708" s="39">
        <f t="shared" ca="1" si="56"/>
        <v>759</v>
      </c>
      <c r="E708" s="31">
        <f t="shared" ca="1" si="57"/>
        <v>0</v>
      </c>
      <c r="F708" s="40">
        <f t="shared" ca="1" si="58"/>
        <v>28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19321219</v>
      </c>
      <c r="C709" s="26" t="str">
        <f>INDEX(Data,2,2+MOD(ROWS(C$2:C709)-1,2))</f>
        <v>15.00</v>
      </c>
      <c r="D709" s="39">
        <f t="shared" ca="1" si="56"/>
        <v>759</v>
      </c>
      <c r="E709" s="31">
        <f t="shared" ca="1" si="57"/>
        <v>0</v>
      </c>
      <c r="F709" s="40">
        <f t="shared" ca="1" si="58"/>
        <v>29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19321220</v>
      </c>
      <c r="C710" s="26" t="str">
        <f>INDEX(Data,2,2+MOD(ROWS(C$2:C710)-1,2))</f>
        <v>08.00</v>
      </c>
      <c r="D710" s="39">
        <f t="shared" ca="1" si="56"/>
        <v>759</v>
      </c>
      <c r="E710" s="31">
        <f t="shared" ca="1" si="57"/>
        <v>0</v>
      </c>
      <c r="F710" s="40">
        <f t="shared" ca="1" si="58"/>
        <v>27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19321220</v>
      </c>
      <c r="C711" s="26" t="str">
        <f>INDEX(Data,2,2+MOD(ROWS(C$2:C711)-1,2))</f>
        <v>15.00</v>
      </c>
      <c r="D711" s="39">
        <f t="shared" ca="1" si="56"/>
        <v>759</v>
      </c>
      <c r="E711" s="31">
        <f t="shared" ca="1" si="57"/>
        <v>0</v>
      </c>
      <c r="F711" s="40">
        <f t="shared" ca="1" si="58"/>
        <v>29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19321221</v>
      </c>
      <c r="C712" s="26" t="str">
        <f>INDEX(Data,2,2+MOD(ROWS(C$2:C712)-1,2))</f>
        <v>08.00</v>
      </c>
      <c r="D712" s="39">
        <f t="shared" ca="1" si="56"/>
        <v>759</v>
      </c>
      <c r="E712" s="31">
        <f t="shared" ca="1" si="57"/>
        <v>0</v>
      </c>
      <c r="F712" s="40">
        <f t="shared" ca="1" si="58"/>
        <v>28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19321221</v>
      </c>
      <c r="C713" s="26" t="str">
        <f>INDEX(Data,2,2+MOD(ROWS(C$2:C713)-1,2))</f>
        <v>15.00</v>
      </c>
      <c r="D713" s="39">
        <f t="shared" ca="1" si="56"/>
        <v>759</v>
      </c>
      <c r="E713" s="31">
        <f t="shared" ca="1" si="57"/>
        <v>0</v>
      </c>
      <c r="F713" s="40">
        <f t="shared" ca="1" si="58"/>
        <v>28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19321222</v>
      </c>
      <c r="C714" s="26" t="str">
        <f>INDEX(Data,2,2+MOD(ROWS(C$2:C714)-1,2))</f>
        <v>08.00</v>
      </c>
      <c r="D714" s="39">
        <f t="shared" ca="1" si="56"/>
        <v>759</v>
      </c>
      <c r="E714" s="31">
        <f t="shared" ca="1" si="57"/>
        <v>0</v>
      </c>
      <c r="F714" s="40">
        <f t="shared" ca="1" si="58"/>
        <v>27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19321222</v>
      </c>
      <c r="C715" s="26" t="str">
        <f>INDEX(Data,2,2+MOD(ROWS(C$2:C715)-1,2))</f>
        <v>15.00</v>
      </c>
      <c r="D715" s="39">
        <f t="shared" ca="1" si="56"/>
        <v>759</v>
      </c>
      <c r="E715" s="31">
        <f t="shared" ca="1" si="57"/>
        <v>0</v>
      </c>
      <c r="F715" s="40">
        <f t="shared" ca="1" si="58"/>
        <v>27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19321223</v>
      </c>
      <c r="C716" s="26" t="str">
        <f>INDEX(Data,2,2+MOD(ROWS(C$2:C716)-1,2))</f>
        <v>08.00</v>
      </c>
      <c r="D716" s="39">
        <f t="shared" ca="1" si="56"/>
        <v>759</v>
      </c>
      <c r="E716" s="31">
        <f t="shared" ca="1" si="57"/>
        <v>0</v>
      </c>
      <c r="F716" s="40">
        <f t="shared" ca="1" si="58"/>
        <v>28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19321223</v>
      </c>
      <c r="C717" s="26" t="str">
        <f>INDEX(Data,2,2+MOD(ROWS(C$2:C717)-1,2))</f>
        <v>15.00</v>
      </c>
      <c r="D717" s="39">
        <f t="shared" ca="1" si="56"/>
        <v>759</v>
      </c>
      <c r="E717" s="31">
        <f t="shared" ca="1" si="57"/>
        <v>0</v>
      </c>
      <c r="F717" s="40">
        <f t="shared" ca="1" si="58"/>
        <v>28.5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19321224</v>
      </c>
      <c r="C718" s="26" t="str">
        <f>INDEX(Data,2,2+MOD(ROWS(C$2:C718)-1,2))</f>
        <v>08.00</v>
      </c>
      <c r="D718" s="39">
        <f t="shared" ca="1" si="56"/>
        <v>759</v>
      </c>
      <c r="E718" s="31">
        <f t="shared" ca="1" si="57"/>
        <v>0</v>
      </c>
      <c r="F718" s="40">
        <f t="shared" ca="1" si="58"/>
        <v>28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19321224</v>
      </c>
      <c r="C719" s="26" t="str">
        <f>INDEX(Data,2,2+MOD(ROWS(C$2:C719)-1,2))</f>
        <v>15.00</v>
      </c>
      <c r="D719" s="39">
        <f t="shared" ca="1" si="56"/>
        <v>759</v>
      </c>
      <c r="E719" s="31">
        <f t="shared" ca="1" si="57"/>
        <v>0</v>
      </c>
      <c r="F719" s="40">
        <f t="shared" ca="1" si="58"/>
        <v>28.5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19321225</v>
      </c>
      <c r="C720" s="26" t="str">
        <f>INDEX(Data,2,2+MOD(ROWS(C$2:C720)-1,2))</f>
        <v>08.00</v>
      </c>
      <c r="D720" s="39">
        <f t="shared" ca="1" si="56"/>
        <v>759</v>
      </c>
      <c r="E720" s="31">
        <f t="shared" ca="1" si="57"/>
        <v>0</v>
      </c>
      <c r="F720" s="40">
        <f t="shared" ca="1" si="58"/>
        <v>28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19321225</v>
      </c>
      <c r="C721" s="26" t="str">
        <f>INDEX(Data,2,2+MOD(ROWS(C$2:C721)-1,2))</f>
        <v>15.00</v>
      </c>
      <c r="D721" s="39">
        <f t="shared" ca="1" si="56"/>
        <v>759</v>
      </c>
      <c r="E721" s="31">
        <f t="shared" ca="1" si="57"/>
        <v>0</v>
      </c>
      <c r="F721" s="40">
        <f t="shared" ca="1" si="58"/>
        <v>28.5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19321226</v>
      </c>
      <c r="C722" s="26" t="str">
        <f>INDEX(Data,2,2+MOD(ROWS(C$2:C722)-1,2))</f>
        <v>08.00</v>
      </c>
      <c r="D722" s="39">
        <f t="shared" ca="1" si="56"/>
        <v>759</v>
      </c>
      <c r="E722" s="31">
        <f t="shared" ca="1" si="57"/>
        <v>0</v>
      </c>
      <c r="F722" s="40">
        <f t="shared" ca="1" si="58"/>
        <v>28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19321226</v>
      </c>
      <c r="C723" s="26" t="str">
        <f>INDEX(Data,2,2+MOD(ROWS(C$2:C723)-1,2))</f>
        <v>15.00</v>
      </c>
      <c r="D723" s="39">
        <f t="shared" ca="1" si="56"/>
        <v>759</v>
      </c>
      <c r="E723" s="31">
        <f t="shared" ca="1" si="57"/>
        <v>0</v>
      </c>
      <c r="F723" s="40">
        <f t="shared" ca="1" si="58"/>
        <v>28.5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19321227</v>
      </c>
      <c r="C724" s="26" t="str">
        <f>INDEX(Data,2,2+MOD(ROWS(C$2:C724)-1,2))</f>
        <v>08.00</v>
      </c>
      <c r="D724" s="39">
        <f t="shared" ca="1" si="56"/>
        <v>759</v>
      </c>
      <c r="E724" s="31">
        <f t="shared" ca="1" si="57"/>
        <v>0</v>
      </c>
      <c r="F724" s="40">
        <f t="shared" ca="1" si="58"/>
        <v>26.5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19321227</v>
      </c>
      <c r="C725" s="26" t="str">
        <f>INDEX(Data,2,2+MOD(ROWS(C$2:C725)-1,2))</f>
        <v>15.00</v>
      </c>
      <c r="D725" s="39">
        <f t="shared" ca="1" si="56"/>
        <v>759</v>
      </c>
      <c r="E725" s="31">
        <f t="shared" ca="1" si="57"/>
        <v>0</v>
      </c>
      <c r="F725" s="40">
        <f t="shared" ca="1" si="58"/>
        <v>27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19321228</v>
      </c>
      <c r="C726" s="26" t="str">
        <f>INDEX(Data,2,2+MOD(ROWS(C$2:C726)-1,2))</f>
        <v>08.00</v>
      </c>
      <c r="D726" s="39">
        <f t="shared" ca="1" si="56"/>
        <v>759</v>
      </c>
      <c r="E726" s="31">
        <f t="shared" ca="1" si="57"/>
        <v>0</v>
      </c>
      <c r="F726" s="40">
        <f t="shared" ca="1" si="58"/>
        <v>26.5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19321228</v>
      </c>
      <c r="C727" s="26" t="str">
        <f>INDEX(Data,2,2+MOD(ROWS(C$2:C727)-1,2))</f>
        <v>15.00</v>
      </c>
      <c r="D727" s="39">
        <f t="shared" ca="1" si="56"/>
        <v>759</v>
      </c>
      <c r="E727" s="31">
        <f t="shared" ca="1" si="57"/>
        <v>0</v>
      </c>
      <c r="F727" s="40">
        <f t="shared" ca="1" si="58"/>
        <v>28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19321229</v>
      </c>
      <c r="C728" s="26" t="str">
        <f>INDEX(Data,2,2+MOD(ROWS(C$2:C728)-1,2))</f>
        <v>08.00</v>
      </c>
      <c r="D728" s="39">
        <f t="shared" ca="1" si="56"/>
        <v>759</v>
      </c>
      <c r="E728" s="31">
        <f t="shared" ca="1" si="57"/>
        <v>0</v>
      </c>
      <c r="F728" s="40">
        <f t="shared" ca="1" si="58"/>
        <v>27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19321229</v>
      </c>
      <c r="C729" s="26" t="str">
        <f>INDEX(Data,2,2+MOD(ROWS(C$2:C729)-1,2))</f>
        <v>15.00</v>
      </c>
      <c r="D729" s="39">
        <f t="shared" ca="1" si="56"/>
        <v>759</v>
      </c>
      <c r="E729" s="31">
        <f t="shared" ca="1" si="57"/>
        <v>0</v>
      </c>
      <c r="F729" s="40">
        <f t="shared" ca="1" si="58"/>
        <v>27.5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19321230</v>
      </c>
      <c r="C730" s="26" t="str">
        <f>INDEX(Data,2,2+MOD(ROWS(C$2:C730)-1,2))</f>
        <v>08.00</v>
      </c>
      <c r="D730" s="39">
        <f t="shared" ca="1" si="56"/>
        <v>759</v>
      </c>
      <c r="E730" s="31">
        <f t="shared" ca="1" si="57"/>
        <v>0</v>
      </c>
      <c r="F730" s="40">
        <f t="shared" ca="1" si="58"/>
        <v>27.5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19321230</v>
      </c>
      <c r="C731" s="26" t="str">
        <f>INDEX(Data,2,2+MOD(ROWS(C$2:C731)-1,2))</f>
        <v>15.00</v>
      </c>
      <c r="D731" s="39">
        <f t="shared" ca="1" si="56"/>
        <v>759</v>
      </c>
      <c r="E731" s="31">
        <f t="shared" ca="1" si="57"/>
        <v>0</v>
      </c>
      <c r="F731" s="40">
        <f t="shared" ca="1" si="58"/>
        <v>28</v>
      </c>
      <c r="G731" s="31">
        <f t="shared" ca="1" si="59"/>
        <v>0</v>
      </c>
    </row>
    <row r="732" spans="1:7" x14ac:dyDescent="0.25">
      <c r="A732" s="11">
        <f t="shared" si="55"/>
        <v>44</v>
      </c>
      <c r="B732" t="str">
        <f ca="1">TEXT(DATE(YEAR(Invoer!$A$5),1,1)+INT((ROWS(B$2:B732)-1)/2),"jjjjmmdd")</f>
        <v>19321231</v>
      </c>
      <c r="C732" s="26" t="str">
        <f>INDEX(Data,2,2+MOD(ROWS(C$2:C732)-1,2))</f>
        <v>08.00</v>
      </c>
      <c r="D732" s="39">
        <f t="shared" ca="1" si="56"/>
        <v>759</v>
      </c>
      <c r="E732" s="31">
        <f t="shared" ca="1" si="57"/>
        <v>0</v>
      </c>
      <c r="F732" s="40">
        <f t="shared" ca="1" si="58"/>
        <v>28</v>
      </c>
      <c r="G732" s="31">
        <f t="shared" ca="1" si="59"/>
        <v>0</v>
      </c>
    </row>
    <row r="733" spans="1:7" x14ac:dyDescent="0.25">
      <c r="A733" s="11">
        <f t="shared" si="55"/>
        <v>44</v>
      </c>
      <c r="B733" t="str">
        <f ca="1">TEXT(DATE(YEAR(Invoer!$A$5),1,1)+INT((ROWS(B$2:B733)-1)/2),"jjjjmmdd")</f>
        <v>19321231</v>
      </c>
      <c r="C733" s="26" t="str">
        <f>INDEX(Data,2,2+MOD(ROWS(C$2:C733)-1,2))</f>
        <v>15.00</v>
      </c>
      <c r="D733" s="39">
        <f t="shared" ca="1" si="56"/>
        <v>759</v>
      </c>
      <c r="E733" s="31">
        <f t="shared" ca="1" si="57"/>
        <v>0</v>
      </c>
      <c r="F733" s="40">
        <f t="shared" ca="1" si="58"/>
        <v>29</v>
      </c>
      <c r="G733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 E732:E733 F732:F7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3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044, 19320101, 1,    0, 00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044, 19320102, 1,    0, 00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044, 19320103, 1,    0, 00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044, 19320104, 1,    0, 00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044, 19320105, 1,    0, 00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044, 19320106, 1,   30, 00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044, 19320107, 1,    0, 00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044, 19320108, 1,    0, 00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044, 19320109, 1,    0, 00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044, 19320110, 1,    0, 00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044, 19320111, 1,    0, 00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044, 19320112, 1,    0, 00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044, 19320113, 1,   30, 00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044, 19320114, 1,   53, 00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044, 19320115, 1,   25, 00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044, 19320116, 1,    0, 00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044, 19320117, 1,    2, 00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044, 19320118, 1,    5, 00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044, 19320119, 1,    0, 00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044, 19320120, 1,    0, 00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044, 19320121, 1,    0, 00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044, 19320122, 1,  126, 00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044, 19320123, 1,  282, 00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044, 19320124, 1,   54, 00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044, 19320125, 1,    8, 00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044, 19320126, 1,   47, 00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044, 19320127, 1,   45, 00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044, 19320128, 1,   49, 00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044, 19320129, 1,    8, 00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044, 19320130, 1,    0, 00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044, 19320131, 1,    0, 00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044, 19320201, 1,    0, 00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044, 19320202, 1,    0, 00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044, 19320203, 1,    0, 00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044, 19320204, 1,   32, 00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044, 19320205, 1,    0, 00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044, 19320206, 1,    0, 00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044, 19320207, 1,    0, 00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044, 19320208, 1,    0, 00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044, 19320209, 1,    0, 00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044, 19320210, 1,   60, 00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044, 19320211, 1,    0, 00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044, 19320212, 1,    0, 00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044, 19320213, 1,  185, 00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044, 19320214, 1,    0, 00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044, 19320215, 1,   84, 00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044, 19320216, 1,    0, 00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044, 19320217, 1,    0, 00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044, 19320218, 1,    0, 00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044, 19320219, 1,    0, 00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044, 19320220, 1,    0, 00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044, 19320221, 1,    0, 00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044, 19320222, 1,    0, 00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044, 19320223, 1,    0, 00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044, 19320224, 1,    0, 00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044, 19320225, 1,    0, 00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044, 19320226, 1,    0, 00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044, 19320227, 1,    0, 00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044, 19320228, 1,    0, 00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044, 19320229, 1,    0, 00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044, 19320301, 1,   24, 00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044, 19320302, 1,    0, 00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044, 19320303, 1,    0, 00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044, 19320304, 1,    0, 00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044, 19320305, 1,    0, 00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044, 19320306, 1,    0, 00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044, 19320307, 1,    0, 00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044, 19320308, 1,  124, 00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044, 19320309, 1,    0, 00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044, 19320310, 1,    0, 00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044, 19320311, 1,    0, 00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044, 19320312, 1,    0, 00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044, 19320313, 1,    0, 00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044, 19320314, 1,    0, 00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044, 19320315, 1,    0, 00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044, 19320316, 1,    0, 00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044, 19320317, 1,   12, 00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044, 19320318, 1,    0, 00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044, 19320319, 1,    0, 00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044, 19320320, 1,    0, 00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044, 19320321, 1,    0, 00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044, 19320322, 1,    0, 00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044, 19320323, 1,    0, 00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044, 19320324, 1,    0, 00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044, 19320325, 1,    0, 00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044, 19320326, 1,    0, 00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044, 19320327, 1,    0, 00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044, 19320328, 1,    0, 00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044, 19320329, 1,    0, 00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044, 19320330, 1,    0, 00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044, 19320331, 1,    0, 00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044, 19320401, 1,   10, 00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044, 19320402, 1,    0, 00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044, 19320403, 1,    0, 00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044, 19320404, 1,    0, 00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044, 19320405, 1,    0, 00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044, 19320406, 1,    0, 00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044, 19320407, 1,    0, 00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044, 19320408, 1,    0, 00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044, 19320409, 1,    0, 00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044, 19320410, 1,    0, 00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044, 19320411, 1,    0, 00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044, 19320412, 1,    0, 00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044, 19320413, 1,    0, 00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044, 19320414, 1,    0, 00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044, 19320415, 1,    0, 00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044, 19320416, 1,    0, 00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044, 19320417, 1,    0, 00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044, 19320418, 1,    0, 00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044, 19320419, 1,    0, 00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044, 19320420, 1,    0, 00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044, 19320421, 1,    0, 00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044, 19320422, 1,    0, 00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044, 19320423, 1,    0, 00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044, 19320424, 1,    0, 00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044, 19320425, 1,    0, 00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044, 19320426, 1,    0, 00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044, 19320427, 1,    0, 00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044, 19320428, 1,    0, 00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044, 19320429, 1,    0, 00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044, 19320430, 1,    0, 00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044, 19320501, 1,    0, 00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044, 19320502, 1,    0, 00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044, 19320503, 1,    0, 00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044, 19320504, 1,    0, 00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044, 19320505, 1,    0, 00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044, 19320506, 1,    0, 00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044, 19320507, 1,  100, 00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044, 19320508, 1,    0, 00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044, 19320509, 1,   36, 00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044, 19320510, 1,   57, 00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044, 19320511, 1,    0, 00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044, 19320512, 1,    0, 00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044, 19320513, 1,    0, 00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044, 19320514, 1,    0, 00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044, 19320515, 1,  625, 00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044, 19320516, 1,    0, 00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044, 19320517, 1,    0, 00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044, 19320518, 1,    0, 00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044, 19320519, 1,    0, 00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044, 19320520, 1,    0, 00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044, 19320521, 1,    0, 00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044, 19320522, 1,    0, 00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044, 19320523, 1,    0, 00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044, 19320524, 1,    0, 00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044, 19320525, 1,   17, 00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044, 19320526, 1,    0, 00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044, 19320527, 1,    0, 00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044, 19320528, 1,    0, 00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044, 19320529, 1,    0, 00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044, 19320530, 1,    0, 00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044, 19320531, 1,    0, 00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044, 19320601, 1,    0, 00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044, 19320602, 1,    0, 00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044, 19320603, 1,    0, 00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044, 19320604, 1,    0, 00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044, 19320605, 1,    0, 00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044, 19320606, 1,    0, 00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044, 19320607, 1,    0, 00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044, 19320608, 1,    0, 00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044, 19320609, 1,    0, 00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044, 19320610, 1,    0, 00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044, 19320611, 1,    0, 00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044, 19320612, 1,    0, 00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044, 19320613, 1,    0, 00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044, 19320614, 1,    0, 00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044, 19320615, 1,    0, 00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044, 19320616, 1,    0, 00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044, 19320617, 1,   35, 00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044, 19320618, 1,    6, 00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044, 19320619, 1,    0, 00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044, 19320620, 1,    0, 00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044, 19320621, 1,    0, 00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044, 19320622, 1,    0, 00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044, 19320623, 1,    0, 00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044, 19320624, 1,    0, 00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044, 19320625, 1,   49, 00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044, 19320626, 1,    0, 00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044, 19320627, 1,    8, 00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044, 19320628, 1,   26, 00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044, 19320629, 1,  185, 00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044, 19320630, 1,    0, 00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044, 19320701, 1,    0, 00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044, 19320702, 1,    0, 00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044, 19320703, 1,    0, 00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044, 19320704, 1,    0, 00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044, 19320705, 1,    0, 00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044, 19320706, 1,    0, 00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044, 19320707, 1,    0, 00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044, 19320708, 1,    0, 00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044, 19320709, 1,    0, 00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044, 19320710, 1,    0, 00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044, 19320711, 1,    0, 00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044, 19320712, 1,   38, 00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044, 19320713, 1,   23, 00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044, 19320714, 1,    0, 00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044, 19320715, 1,    0, 00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044, 19320716, 1,    0, 00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044, 19320717, 1,    0, 00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044, 19320718, 1,    0, 00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044, 19320719, 1,    0, 00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044, 19320720, 1,   14, 00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044, 19320721, 1,    0, 00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044, 19320722, 1,    0, 00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044, 19320723, 1,    0, 00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044, 19320724, 1,    0, 00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044, 19320725, 1,    0, 00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044, 19320726, 1,    0, 00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044, 19320727, 1,    0, 00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044, 19320728, 1,    0, 00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044, 19320729, 1,    0, 00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044, 19320730, 1,    0, 00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044, 19320731, 1,    0, 00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044, 19320801, 1,   50, 00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044, 19320802, 1,   25, 00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044, 19320803, 1,    0, 00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044, 19320804, 1,    0, 00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044, 19320805, 1,    0, 00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044, 19320806, 1,    0, 00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044, 19320807, 1,   50, 00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044, 19320808, 1,    0, 00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044, 19320809, 1,    0, 00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044, 19320810, 1,    0, 00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044, 19320811, 1,   22, 00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044, 19320812, 1,    0, 00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044, 19320813, 1,   28, 00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044, 19320814, 1,    0, 00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044, 19320815, 1,    0, 00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044, 19320816, 1,    0, 00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044, 19320817, 1,    0, 00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044, 19320818, 1,    5, 00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044, 19320819, 1,    0, 00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044, 19320820, 1,    0, 00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044, 19320821, 1,    0, 00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044, 19320822, 1,    0, 00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044, 19320823, 1,    0, 00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044, 19320824, 1,    0, 00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044, 19320825, 1,    0, 00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044, 19320826, 1,    0, 00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044, 19320827, 1,    0, 00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044, 19320828, 1,    0, 00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044, 19320829, 1,    0, 00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044, 19320830, 1,    0, 00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044, 19320831, 1,    0, 00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044, 19320901, 1,    0, 00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044, 19320902, 1,    0, 00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044, 19320903, 1,    0, 00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044, 19320904, 1,    0, 00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044, 19320905, 1,    0, 00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044, 19320906, 1,    0, 00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044, 19320907, 1,    0, 00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044, 19320908, 1,    0, 00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044, 19320909, 1,    0, 00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044, 19320910, 1,    0, 00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044, 19320911, 1,    0, 00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044, 19320912, 1,    0, 00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044, 19320913, 1,    0, 00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044, 19320914, 1,    0, 00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044, 19320915, 1,    0, 00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044, 19320916, 1,    0, 00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044, 19320917, 1,    0, 00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044, 19320918, 1,    0, 00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044, 19320919, 1,    0, 00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044, 19320920, 1,    0, 00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044, 19320921, 1,    0, 00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044, 19320922, 1,    0, 00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044, 19320923, 1,    0, 00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044, 19320924, 1,    0, 00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044, 19320925, 1,  310, 00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044, 19320926, 1,    0, 00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044, 19320927, 1,    0, 00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044, 19320928, 1,    0, 00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044, 19320929, 1,    0, 00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19320930, 1, ////, 07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044, 19321001, 1,    0, 00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044, 19321002, 1,    0, 00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044, 19321003, 1,   40, 00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044, 19321004, 1,    0, 00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044, 19321005, 1,   96, 00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044, 19321006, 1,    0, 00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044, 19321007, 1,    0, 00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044, 19321008, 1,    0, 00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044, 19321009, 1,    0, 00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044, 19321010, 1,   67, 00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044, 19321011, 1,    0, 00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044, 19321012, 1,    0, 00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044, 19321013, 1,    0, 00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044, 19321014, 1,   66, 00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044, 19321015, 1,  250, 00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044, 19321016, 1,  360, 00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044, 19321017, 1,    0, 00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044, 19321018, 1,    0, 00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044, 19321019, 1,    0, 00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044, 19321020, 1,    0, 00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044, 19321021, 1,    0, 00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044, 19321022, 1,    0, 00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044, 19321023, 1,    0, 00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044, 19321024, 1,    0, 00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044, 19321025, 1,   33, 00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044, 19321026, 1,    0, 00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044, 19321027, 1,    0, 00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044, 19321028, 1,    0, 00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044, 19321029, 1,    0, 00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044, 19321030, 1,    0, 00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044, 19321031, 1,   60, 00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044, 19321101, 1,  900, 00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044, 19321102, 1,  430, 00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044, 19321103, 1,  300, 00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044, 19321104, 1,   30, 00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044, 19321105, 1,    0, 00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044, 19321106, 1,   50, 00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044, 19321107, 1,    0, 00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044, 19321108, 1,    0, 00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044, 19321109, 1,    0, 00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044, 19321110, 1,    0, 00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044, 19321111, 1,    0, 00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044, 19321112, 1,    0, 00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044, 19321113, 1,    0, 00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044, 19321114, 1,  110, 00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044, 19321115, 1,    0, 00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044, 19321116, 1,    0, 00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044, 19321117, 1,   40, 00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044, 19321118, 1,  106, 00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044, 19321119, 1,    0, 00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044, 19321120, 1,   60, 00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044, 19321121, 1,    0, 00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044, 19321122, 1,   50, 00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044, 19321123, 1,    0, 00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044, 19321124, 1,    0, 00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044, 19321125, 1,    0, 00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044, 19321126, 1,    0, 00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044, 19321127, 1,    0, 00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044, 19321128, 1,    0, 00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044, 19321129, 1,  360, 00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044, 19321130, 1,   20, 00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044, 19321201, 1,    0, 00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044, 19321202, 1,    0, 00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044, 19321203, 1,    0, 00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044, 19321204, 1,    0, 00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044, 19321205, 1,    0, 00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044, 19321206, 1,   40, 00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044, 19321207, 1,  190, 00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044, 19321208, 1,    0, 00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044, 19321209, 1,    0, 00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044, 19321210, 1,    0, 00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044, 19321211, 1,    0, 00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044, 19321212, 1,    0, 00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044, 19321213, 1,   30, 00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044, 19321214, 1,   30, 00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044, 19321215, 1,   80, 00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044, 19321216, 1,   33, 00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044, 19321217, 1,   10, 00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044, 19321218, 1,    0, 00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044, 19321219, 1,   33, 00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044, 19321220, 1,   63, 00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044, 19321221, 1,   62, 00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044, 19321222, 1,  100, 00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044, 19321223, 1,    0, 00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044, 19321224, 1,   15, 00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044, 19321225, 1,    0, 00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044, 19321226, 1,    0, 00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044, 19321227, 1,  316, 00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044, 19321228, 1,   20, 00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044, 19321229, 1,    0, 00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044, 19321230, 1,    0, 00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044, 19321231, 1,    0, 00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042, 19320101, 1,    0, 00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042, 19320102, 1,    0, 00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042, 19320103, 1,    0, 00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042, 19320104, 1,    0, 00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042, 19320105, 1,    0, 00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042, 19320106, 1,    0, 00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042, 19320107, 1,    0, 00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042, 19320108, 1,    0, 00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042, 19320109, 1,    0, 00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042, 19320110, 1,    0, 00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042, 19320111, 1,   25, 00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042, 19320112, 1,    0, 00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042, 19320113, 1,   28, 00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042, 19320114, 1,    0, 00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042, 19320115, 1,    0, 00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042, 19320116, 1,    0, 00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042, 19320117, 1,    0, 00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042, 19320118, 1,    0, 00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042, 19320119, 1,    0, 00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042, 19320120, 1,    0, 00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042, 19320121, 1,    0, 00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042, 19320122, 1,   80, 00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042, 19320123, 1,  275, 00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042, 19320124, 1,  137, 00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042, 19320125, 1,   50, 00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042, 19320126, 1,   40, 00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042, 19320127, 1,    0, 00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042, 19320128, 1,   60, 00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042, 19320129, 1,    0, 00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042, 19320130, 1,    0, 00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042, 19320131, 1,    0, 00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042, 19320201, 1,    0, 00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042, 19320202, 1,    0, 00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042, 19320203, 1,   23, 00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042, 19320204, 1,    0, 00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042, 19320205, 1,    0, 00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042, 19320206, 1,    0, 00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042, 19320207, 1,    0, 00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042, 19320208, 1,    0, 00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042, 19320209, 1,    0, 00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042, 19320210, 1,    0, 00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042, 19320211, 1,    0, 00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042, 19320212, 1,    0, 00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042, 19320213, 1,   25, 00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042, 19320214, 1,    0, 00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042, 19320215, 1,    0, 00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042, 19320216, 1,    0, 00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042, 19320217, 1,    0, 00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042, 19320218, 1,    0, 00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042, 19320219, 1,    0, 00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042, 19320220, 1,    0, 00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042, 19320221, 1,    0, 00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042, 19320222, 1,    0, 00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042, 19320223, 1,    0, 00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042, 19320224, 1,    0, 00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042, 19320225, 1,    0, 00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042, 19320226, 1,    0, 00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042, 19320227, 1,    0, 00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042, 19320228, 1,    0, 00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042, 19320229, 1,    0, 00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042, 19320301, 1,    0, 00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042, 19320302, 1,    0, 00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042, 19320303, 1,    0, 00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042, 19320304, 1,    0, 00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042, 19320305, 1,    0, 00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042, 19320306, 1,    0, 00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042, 19320307, 1,    0, 00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042, 19320308, 1,  150, 00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042, 19320309, 1,    0, 00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042, 19320310, 1,    0, 00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042, 19320311, 1,    0, 00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042, 19320312, 1,    0, 00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042, 19320313, 1,   14, 00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042, 19320314, 1,    0, 00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042, 19320315, 1,    0, 00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042, 19320316, 1,    0, 00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042, 19320317, 1,    0, 00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042, 19320318, 1,    0, 00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042, 19320319, 1,    0, 00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042, 19320320, 1,    0, 00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042, 19320321, 1,    0, 00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042, 19320322, 1,    0, 00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042, 19320323, 1,    0, 00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042, 19320324, 1,    0, 00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042, 19320325, 1,    0, 00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042, 19320326, 1,    0, 00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042, 19320327, 1,    0, 00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042, 19320328, 1,    0, 00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042, 19320329, 1,    0, 00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042, 19320330, 1,    0, 00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042, 19320331, 1,    0, 00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042, 19320401, 1,    0, 00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042, 19320402, 1,    0, 00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042, 19320403, 1,    0, 00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042, 19320404, 1,    0, 00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042, 19320405, 1,    0, 00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042, 19320406, 1,   10, 00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042, 19320407, 1,    0, 00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042, 19320408, 1,   15, 00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042, 19320409, 1,    0, 00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042, 19320410, 1,    0, 00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042, 19320411, 1,    0, 00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042, 19320412, 1,    0, 00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042, 19320413, 1,    0, 00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042, 19320414, 1,    0, 00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042, 19320415, 1,    0, 00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042, 19320416, 1,    0, 00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042, 19320417, 1,    0, 00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042, 19320418, 1,    0, 00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042, 19320419, 1,    0, 00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042, 19320420, 1,    0, 00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042, 19320421, 1,    0, 00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042, 19320422, 1,    0, 00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042, 19320423, 1,    0, 00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042, 19320424, 1,    0, 00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042, 19320425, 1,    0, 00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042, 19320426, 1,    0, 00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042, 19320427, 1,    0, 00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042, 19320428, 1,    0, 00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042, 19320429, 1,    0, 00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042, 19320430, 1,    0, 00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042, 19320501, 1,    0, 00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042, 19320502, 1,    0, 00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042, 19320503, 1,    0, 00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042, 19320504, 1,    0, 00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042, 19320505, 1,    0, 00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042, 19320506, 1,    0, 00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042, 19320507, 1,  147, 00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042, 19320508, 1,    0, 00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042, 19320509, 1,    0, 00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042, 19320510, 1, 1680, 00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042, 19320511, 1,   90, 00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042, 19320512, 1,    0, 00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042, 19320513, 1,    0, 00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042, 19320514, 1,    0, 00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042, 19320515, 1,  555, 00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042, 19320516, 1,    0, 00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042, 19320517, 1,    0, 00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042, 19320518, 1,    0, 00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042, 19320519, 1,    0, 00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042, 19320520, 1,    0, 00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042, 19320521, 1,    0, 00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042, 19320522, 1,    0, 00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042, 19320523, 1,    0, 00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042, 19320524, 1,    0, 00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042, 19320525, 1,    0, 00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042, 19320526, 1,    0, 00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042, 19320527, 1,    0, 00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042, 19320528, 1,    0, 00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042, 19320529, 1,    0, 00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042, 19320530, 1,    0, 00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042, 19320531, 1,    0, 00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042, 19320601, 1,    0, 00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042, 19320602, 1,    0, 00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042, 19320603, 1,    0, 00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042, 19320604, 1,    0, 00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042, 19320605, 1,    0, 00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042, 19320606, 1,    0, 00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042, 19320607, 1,    0, 00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042, 19320608, 1,    0, 00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042, 19320609, 1,    0, 00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042, 19320610, 1,   40, 00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042, 19320611, 1,    0, 00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042, 19320612, 1,    0, 00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042, 19320613, 1,    0, 00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042, 19320614, 1,    0, 00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042, 19320615, 1,    0, 00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042, 19320616, 1,    0, 00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042, 19320617, 1,    0, 00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042, 19320618, 1,   10, 00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042, 19320619, 1,   20, 00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042, 19320620, 1,    0, 00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042, 19320621, 1,    0, 00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042, 19320622, 1,   33, 00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042, 19320623, 1,   10, 00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042, 19320624, 1,    0, 00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042, 19320625, 1,    0, 00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042, 19320626, 1,   80, 00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042, 19320627, 1,   13, 00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042, 19320628, 1,  136, 00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042, 19320629, 1,  171, 00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042, 19320630, 1,    0, 00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042, 19320701, 1,    0, 00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042, 19320702, 1,    0, 00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042, 19320703, 1,    0, 00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042, 19320704, 1,    0, 00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042, 19320705, 1,    0, 00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042, 19320706, 1,   34, 00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042, 19320707, 1,    0, 00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042, 19320708, 1,    0, 00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042, 19320709, 1,    0, 00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042, 19320710, 1,    0, 00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042, 19320711, 1,    0, 00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042, 19320712, 1,    0, 00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042, 19320713, 1,    0, 00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042, 19320714, 1,    0, 00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042, 19320715, 1,    0, 00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042, 19320716, 1,    0, 00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042, 19320717, 1,    0, 00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042, 19320718, 1,    0, 00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042, 19320719, 1,    0, 00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042, 19320720, 1,    0, 00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042, 19320721, 1,    0, 00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042, 19320722, 1,    0, 00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042, 19320723, 1,    0, 00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042, 19320724, 1,    0, 00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042, 19320725, 1,    0, 00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042, 19320726, 1,    0, 00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042, 19320727, 1,    0, 00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042, 19320728, 1,    0, 00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042, 19320729, 1,    0, 00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042, 19320730, 1,    0, 00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042, 19320731, 1,    0, 00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042, 19320801, 1,   70, 00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042, 19320802, 1,    0, 00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042, 19320803, 1,   50, 00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042, 19320804, 1,    0, 00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042, 19320805, 1,   15, 00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042, 19320806, 1,    0, 00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042, 19320807, 1,    0, 00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042, 19320808, 1,    0, 00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042, 19320809, 1,    0, 00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042, 19320810, 1,   26, 00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042, 19320811, 1,    0, 00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042, 19320812, 1,    0, 00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042, 19320813, 1,    0, 00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042, 19320814, 1,    0, 00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042, 19320815, 1,    0, 00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042, 19320816, 1,    0, 00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042, 19320817, 1,    0, 00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042, 19320818, 1,   12, 00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042, 19320819, 1,    0, 00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042, 19320820, 1,    0, 00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042, 19320821, 1,    0, 00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042, 19320822, 1,    0, 00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042, 19320823, 1,    0, 00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042, 19320824, 1,    0, 00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042, 19320825, 1,    0, 00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042, 19320826, 1,    0, 00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042, 19320827, 1,    0, 00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042, 19320828, 1,    0, 00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042, 19320829, 1,    0, 00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042, 19320830, 1,    0, 00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042, 19320831, 1,    0, 00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042, 19320901, 1,    0, 00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042, 19320902, 1,    0, 00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042, 19320903, 1,    0, 00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042, 19320904, 1,    0, 00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042, 19320905, 1,    0, 00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042, 19320906, 1,    0, 00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042, 19320907, 1,    0, 00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042, 19320908, 1,    0, 00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042, 19320909, 1,  305, 00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042, 19320910, 1,    0, 00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042, 19320911, 1,    0, 00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042, 19320912, 1,    0, 00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042, 19320913, 1,    0, 00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042, 19320914, 1,    0, 00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042, 19320915, 1,    0, 00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042, 19320916, 1,    0, 00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042, 19320917, 1,    0, 00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042, 19320918, 1,    0, 00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042, 19320919, 1,    0, 00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042, 19320920, 1,    0, 00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042, 19320921, 1,    0, 00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042, 19320922, 1,    0, 00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042, 19320923, 1,    0, 00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042, 19320924, 1,    0, 00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042, 19320925, 1,  173, 00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042, 19320926, 1,    0, 00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042, 19320927, 1,    0, 00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042, 19320928, 1,    5, 00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042, 19320929, 1,    0, 00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042, 19320930, 1,   18, 00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042, 19321001, 1,   90, 00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042, 19321002, 1,  160, 00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042, 19321003, 1,   30, 00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042, 19321004, 1,   90, 00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042, 19321005, 1,  240, 00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042, 19321006, 1,    0, 00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042, 19321007, 1,    0, 00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042, 19321008, 1,    0, 00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042, 19321009, 1,    4, 00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042, 19321010, 1,  120, 00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042, 19321011, 1,    0, 00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042, 19321012, 1,    0, 00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042, 19321013, 1,   10, 00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042, 19321014, 1,    0, 00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042, 19321015, 1,  396, 00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042, 19321016, 1,  185, 00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042, 19321017, 1,    0, 00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042, 19321018, 1,    0, 00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042, 19321019, 1,    0, 00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042, 19321020, 1,    0, 00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042, 19321021, 1,    0, 00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042, 19321022, 1,    0, 00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042, 19321023, 1,    0, 00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042, 19321024, 1,    0, 00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042, 19321025, 1,    0, 00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042, 19321026, 1,    0, 00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042, 19321027, 1,    0, 00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042, 19321028, 1,    0, 00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042, 19321029, 1,    0, 00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042, 19321030, 1,    0, 00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042, 19321031, 1,    0, 00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042, 19321101, 1,  726, 00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042, 19321102, 1, 1030, 00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042, 19321103, 1,  236, 00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042, 19321104, 1,    0, 00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042, 19321105, 1,    0, 00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042, 19321106, 1,   66, 00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042, 19321107, 1,    0, 00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042, 19321108, 1,    0, 00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042, 19321109, 1,    0, 00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042, 19321110, 1,    0, 00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042, 19321111, 1,    0, 00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042, 19321112, 1,    0, 00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042, 19321113, 1,   63, 00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042, 19321114, 1,   16, 00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042, 19321115, 1,    0, 00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042, 19321116, 1,    0, 00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042, 19321117, 1,   40, 00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042, 19321118, 1,   30, 00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042, 19321119, 1,   50, 00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042, 19321120, 1,   10, 00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042, 19321121, 1,   26, 00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042, 19321122, 1,   56, 00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042, 19321123, 1,    0, 00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042, 19321124, 1,    0, 00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042, 19321125, 1,    0, 00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042, 19321126, 1,    0, 00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042, 19321127, 1,   12, 00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042, 19321128, 1,    0, 00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042, 19321129, 1,  425, 00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042, 19321130, 1,   30, 00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042, 19321201, 1,   10, 00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042, 19321202, 1,    0, 00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042, 19321203, 1,    0, 00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042, 19321204, 1,    0, 00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042, 19321205, 1,   14, 00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042, 19321206, 1,   81, 00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042, 19321207, 1,  271, 00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042, 19321208, 1,    0, 00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042, 19321209, 1,    0, 00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042, 19321210, 1,    9, 00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042, 19321211, 1,    0, 00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042, 19321212, 1,    0, 00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042, 19321213, 1,   43, 00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042, 19321214, 1,   56, 00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042, 19321215, 1,    0, 00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042, 19321216, 1,    0, 00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042, 19321217, 1,   35, 00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042, 19321218, 1,    0, 00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042, 19321219, 1,   46, 00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042, 19321220, 1,   30, 00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042, 19321221, 1,  104, 00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042, 19321222, 1,   46, 00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042, 19321223, 1,   30, 00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042, 19321224, 1,   30, 00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042, 19321225, 1,    0, 00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042, 19321226, 1,    0, 00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042, 19321227, 1,  346, 00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042, 19321228, 1,  154, 00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042, 19321229, 1,    0, 00</v>
      </c>
    </row>
    <row r="732" spans="1:1" x14ac:dyDescent="0.25">
      <c r="A732" s="19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042, 19321230, 1,    0, 00</v>
      </c>
    </row>
    <row r="733" spans="1:1" x14ac:dyDescent="0.25">
      <c r="A733" s="19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042, 19321231, 1,    0, 00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3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044, 19320101, 08.00, 7580, 00,  280, 00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044, 19320101, 15.00, 7555, 00,  290, 00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044, 19320102, 08.00, 7560, 00,  275, 00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044, 19320102, 15.00, 7550, 00,  300, 00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044, 19320103, 08.00, 7575, 00,  280, 00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044, 19320103, 15.00, 7555, 00,  290, 00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044, 19320104, 08.00, 7560, 00,  285, 00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044, 19320104, 15.00, 7550, 00,  300, 00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044, 19320105, 08.00, 7570, 00,  280, 00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044, 19320105, 15.00, 7545, 00,  295, 00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044, 19320106, 08.00, 7575, 00,  270, 00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044, 19320106, 15.00, 7560, 00,  280, 00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044, 19320107, 08.00, 7580, 00,  280, 00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044, 19320107, 15.00, 7545, 00,  295, 00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044, 19320108, 08.00, 7570, 00,  260, 00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044, 19320108, 15.00, 7550, 00,  285, 00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044, 19320109, 08.00, 7575, 00,  260, 00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044, 19320109, 15.00, 7545, 00,  280, 00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044, 19320110, 08.00, 7570, 00,  280, 00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044, 19320110, 15.00, 7550, 00,  295, 00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044, 19320111, 08.00, 7585, 00,  280, 00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044, 19320111, 15.00, 7570, 00,  290, 00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044, 19320112, 08.00, 7590, 00,  280, 00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044, 19320112, 15.00, 7550, 00,  295, 00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044, 19320113, 08.00, 7585, 00,  275, 00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044, 19320113, 15.00, 7560, 00,  290, 00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044, 19320114, 08.00, 7575, 00,  275, 00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044, 19320114, 15.00, 7555, 00,  285, 00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044, 19320115, 08.00, 7565, 00,  265, 00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044, 19320115, 15.00, 7550, 00,  275, 00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044, 19320116, 08.00, 7565, 00,  265, 00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044, 19320116, 15.00, 7550, 00,  280, 00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044, 19320117, 08.00, 7570, 00,  270, 00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044, 19320117, 15.00, 7560, 00,  290, 00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044, 19320118, 08.00, 7575, 00,  275, 00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044, 19320118, 15.00, 7555, 00,  290, 00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044, 19320119, 08.00, 7575, 00,  280, 00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044, 19320119, 15.00, 7560, 00,  285, 00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044, 19320120, 08.00, 7580, 00,  275, 00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044, 19320120, 15.00, 7555, 00,  290, 00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044, 19320121, 08.00, 7575, 00,  275, 00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044, 19320121, 15.00, 7560, 00,  290, 00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044, 19320122, 08.00, 7565, 00,  265, 00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044, 19320122, 15.00, 7560, 00,  270, 00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044, 19320123, 08.00, 7565, 00,  265, 00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044, 19320123, 15.00, 7555, 00,  270, 00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044, 19320124, 08.00, 7575, 00,  270, 00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044, 19320124, 15.00, 7560, 00,  280, 00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044, 19320125, 08.00, 7580, 00,  265, 00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044, 19320125, 15.00, 7565, 00,  275, 00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044, 19320126, 08.00, 7585, 00,  260, 00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044, 19320126, 15.00, 7570, 00,  280, 00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044, 19320127, 08.00, 7580, 00,  260, 00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044, 19320127, 15.00, 7565, 00,  280, 00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044, 19320128, 08.00, 7580, 00,  260, 00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044, 19320128, 15.00, 7555, 00,  270, 00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044, 19320129, 08.00, 7575, 00,  260, 00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044, 19320129, 15.00, 7560, 00,  280, 00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044, 19320130, 08.00, 7580, 00,  265, 00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044, 19320130, 15.00, 7570, 00,  280, 00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044, 19320131, 08.00, 7590, 00,  265, 00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044, 19320131, 15.00, 7565, 00,  280, 00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044, 19320201, 08.00, 7580, 00,  270, 00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044, 19320201, 15.00, 7575, 00,  275, 00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044, 19320202, 08.00, 7590, 00,  265, 00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044, 19320202, 15.00, 7565, 00,  280, 00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044, 19320203, 08.00, 7585, 00,  270, 00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044, 19320203, 15.00, 7565, 00,  285, 00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044, 19320204, 08.00, 7590, 00,  270, 00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044, 19320204, 15.00, 7580, 00,  280, 00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044, 19320205, 08.00, 7590, 00,  270, 00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044, 19320205, 15.00, 7580, 00,  285, 00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044, 19320206, 08.00, 7585, 00,  285, 00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044, 19320206, 15.00, 7570, 00,  285, 00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044, 19320207, 08.00, 7585, 00,  280, 00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044, 19320207, 15.00, 7560, 00,  290, 00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044, 19320208, 08.00, 7585, 00,  270, 00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044, 19320208, 15.00, 7565, 00,  290, 00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044, 19320209, 08.00, 7585, 00,  270, 00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044, 19320209, 15.00, 7570, 00,  290, 00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044, 19320210, 08.00, 7575, 00,  270, 00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044, 19320210, 15.00, 7555, 00,  285, 00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044, 19320211, 08.00, 7570, 00,  270, 00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044, 19320211, 15.00, 7550, 00,  280, 00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044, 19320212, 08.00, 7565, 00,  270, 00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044, 19320212, 15.00, 7550, 00,  290, 00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044, 19320213, 08.00, 7580, 00,  270, 00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044, 19320213, 15.00, 7555, 00,  270, 00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044, 19320214, 08.00, 7580, 00,  275, 00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044, 19320214, 15.00, 7560, 00,  285, 00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044, 19320215, 08.00, 7575, 00,  265, 00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044, 19320215, 15.00, 7555, 00,  280, 00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044, 19320216, 08.00, 7575, 00,  265, 00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044, 19320216, 15.00, 7555, 00,  280, 00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044, 19320217, 08.00, 7580, 00,  270, 00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044, 19320217, 15.00, 7565, 00,  280, 00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044, 19320218, 08.00, 7580, 00,  270, 00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044, 19320218, 15.00, 7560, 00,  285, 00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044, 19320219, 08.00, 7585, 00,  265, 00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044, 19320219, 15.00, 7570, 00,  285, 00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044, 19320220, 08.00, 7585, 00,  270, 00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044, 19320220, 15.00, 7560, 00,  280, 00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044, 19320221, 08.00, 7580, 00,  275, 00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044, 19320221, 15.00, 7565, 00,  285, 00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044, 19320222, 08.00, 7575, 00,  270, 00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044, 19320222, 15.00, 7565, 00,  290, 00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044, 19320223, 08.00, 7580, 00,  270, 00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044, 19320223, 15.00, 7570, 00,  290, 00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044, 19320224, 08.00, 7585, 00,  270, 00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044, 19320224, 15.00, 7570, 00,  290, 00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044, 19320225, 08.00, 7585, 00,  270, 00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044, 19320225, 15.00, 7565, 00,  290, 00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044, 19320226, 08.00, 7570, 00,  270, 00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044, 19320226, 15.00, 7555, 00,  290, 00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044, 19320227, 08.00, 7565, 00,  275, 00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044, 19320227, 15.00, 7545, 00,  290, 00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044, 19320228, 08.00, 7570, 00,  280, 00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044, 19320228, 15.00, 7560, 00,  290, 00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044, 19320229, 08.00, 7570, 00,  280, 00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044, 19320229, 15.00, 7560, 00,  290, 00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044, 19320301, 08.00, 7565, 00,  270, 00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044, 19320301, 15.00, 7535, 00,  290, 00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044, 19320302, 08.00, 7555, 00,  275, 00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044, 19320302, 15.00, 7540, 00,  290, 00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044, 19320303, 08.00, 7560, 00,  280, 00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044, 19320303, 15.00, 7540, 00,  290, 00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044, 19320304, 08.00, 7560, 00,  275, 00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044, 19320304, 15.00, 7540, 00,  290, 00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044, 19320305, 08.00, 7550, 00,  275, 00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044, 19320305, 15.00, 7535, 00,  295, 00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044, 19320306, 08.00, 7560, 00,  275, 00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044, 19320306, 15.00, 7540, 00,  290, 00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044, 19320307, 08.00, 7565, 00,  285, 00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044, 19320307, 15.00, 7540, 00,  300, 00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044, 19320308, 08.00, 7565, 00,  280, 00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044, 19320308, 15.00, 7550, 00,  295, 00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044, 19320309, 08.00, 7565, 00,  280, 00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044, 19320309, 15.00, 7550, 00,  300, 00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044, 19320310, 08.00, 7570, 00,  280, 00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044, 19320310, 15.00, 7555, 00,  295, 00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044, 19320311, 08.00, 7580, 00,  280, 00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044, 19320311, 15.00, 7555, 00,  300, 00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044, 19320312, 08.00, 7575, 00,  280, 00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044, 19320312, 15.00, 7555, 00,  300, 00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044, 19320313, 08.00, 7580, 00,  290, 00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044, 19320313, 15.00, 7550, 00,  300, 00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044, 19320314, 08.00, 7565, 00,  280, 00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044, 19320314, 15.00, 7540, 00,  300, 00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044, 19320315, 08.00, 7575, 00,  280, 00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044, 19320315, 15.00, 7555, 00,  300, 00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044, 19320316, 08.00, 7575, 00,  280, 00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044, 19320316, 15.00, 7555, 00,  295, 00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044, 19320317, 08.00, 7575, 00,  280, 00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044, 19320317, 15.00, 7555, 00,  290, 00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044, 19320318, 08.00, 7565, 00,  280, 00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044, 19320318, 15.00, 7550, 00,  295, 00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044, 19320319, 08.00, 7575, 00,  285, 00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044, 19320319, 15.00, 7555, 00,  300, 00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044, 19320320, 08.00, 7570, 00,  290, 00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044, 19320320, 15.00, 7550, 00,  300, 00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044, 19320321, 08.00, 7580, 00,  280, 00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044, 19320321, 15.00, 7560, 00,  300, 00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044, 19320322, 08.00, 7575, 00,  280, 00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044, 19320322, 15.00, 7555, 00,  300, 00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044, 19320323, 08.00, 7585, 00,  280, 00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044, 19320323, 15.00, 7570, 00,  300, 00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044, 19320324, 08.00, 7585, 00,  280, 00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044, 19320324, 15.00, 7570, 00,  300, 00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044, 19320325, 08.00, 7575, 00,  290, 00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044, 19320325, 15.00, 7560, 00,  300, 00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044, 19320326, 08.00, 7585, 00,  280, 00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044, 19320326, 15.00, 7560, 00,  295, 00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044, 19320327, 08.00, 7570, 00,  280, 00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044, 19320327, 15.00, 7555, 00,  290, 00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044, 19320328, 08.00, 7580, 00,  285, 00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044, 19320328, 15.00, 7560, 00,  300, 00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044, 19320329, 08.00, 7585, 00,  290, 00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044, 19320329, 15.00, 7560, 00,  290, 00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044, 19320330, 08.00, 7585, 00,  285, 00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044, 19320330, 15.00, 7555, 00,  300, 00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044, 19320331, 08.00, 7575, 00,  280, 00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044, 19320331, 15.00, 7555, 00,  300, 00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044, 19320401, 08.00, 7575, 00,  280, 00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044, 19320401, 15.00, 7550, 00,  300, 00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044, 19320402, 08.00, 7570, 00,  280, 00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044, 19320402, 15.00, 7555, 00,  290, 00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044, 19320403, 08.00, 7565, 00,  285, 00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044, 19320403, 15.00, 7545, 00,  300, 00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044, 19320404, 08.00, 7570, 00,  285, 00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044, 19320404, 15.00, 7555, 00,  300, 00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044, 19320405, 08.00, 7570, 00,  285, 00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044, 19320405, 15.00, 7545, 00,  300, 00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044, 19320406, 08.00, 7560, 00,  285, 00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044, 19320406, 15.00, 7540, 00,  295, 00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044, 19320407, 08.00, 7555, 00,  290, 00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044, 19320407, 15.00, 7535, 00,  300, 00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044, 19320408, 08.00, 7555, 00,  290, 00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044, 19320408, 15.00, 7535, 00,  305, 00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044, 19320409, 08.00, 7545, 00,  290, 00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044, 19320409, 15.00, 7525, 00,  300, 00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044, 19320410, 08.00, 7560, 00,  285, 00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044, 19320410, 15.00, 7540, 00,  295, 00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044, 19320411, 08.00, 7555, 00,  290, 00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044, 19320411, 15.00, 7535, 00,  305, 00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044, 19320412, 08.00, 7560, 00,  290, 00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044, 19320412, 15.00, 7535, 00,  305, 00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044, 19320413, 08.00, 7565, 00,  290, 00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044, 19320413, 15.00, 7545, 00,  300, 00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044, 19320414, 08.00, 7570, 00,  285, 00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044, 19320414, 15.00, 7550, 00,  305, 00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044, 19320415, 08.00, 7575, 00,  290, 00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044, 19320415, 15.00, 7550, 00,  300, 00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044, 19320416, 08.00, 7565, 00,  290, 00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044, 19320416, 15.00, 7535, 00,  300, 00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044, 19320417, 08.00, 7560, 00,  295, 00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044, 19320417, 15.00, 7540, 00,  300, 00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044, 19320418, 08.00, 7550, 00,  290, 00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044, 19320418, 15.00, 7575, 00,  305, 00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044, 19320419, 08.00, 7550, 00,  295, 00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044, 19320419, 15.00, 7540, 00,  295, 00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044, 19320420, 08.00, 7560, 00,  290, 00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044, 19320420, 15.00, 7535, 00,  310, 00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044, 19320421, 08.00, 7545, 00,  290, 00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044, 19320421, 15.00, 7515, 00,  310, 00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044, 19320422, 08.00, 7535, 00,  290, 00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044, 19320422, 15.00, 7500, 00,  310, 00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044, 19320423, 08.00, 7530, 00,  295, 00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044, 19320423, 15.00, 7510, 00,  320, 00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044, 19320424, 08.00, 7545, 00,  295, 00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044, 19320424, 15.00, 7520, 00,  310, 00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044, 19320425, 08.00, 7550, 00,  290, 00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044, 19320425, 15.00, 7530, 00,  305, 00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044, 19320426, 08.00, 7565, 00,  290, 00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044, 19320426, 15.00, 7540, 00,  305, 00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044, 19320427, 08.00, 7560, 00,  295, 00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044, 19320427, 15.00, 7535, 00,  305, 00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044, 19320428, 08.00, 7560, 00,  290, 00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044, 19320428, 15.00, 7540, 00,  305, 00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044, 19320429, 08.00, 7560, 00,  290, 00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044, 19320429, 15.00, 7535, 00,  310, 00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044, 19320430, 08.00, 7560, 00,  290, 00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044, 19320430, 15.00, 7535, 00,  300, 00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044, 19320501, 08.00, 7560, 00,  290, 00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044, 19320501, 15.00, 7540, 00,  305, 00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044, 19320502, 08.00, 7555, 00,  285, 00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044, 19320502, 15.00, 7535, 00,  300, 00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044, 19320503, 08.00, 7565, 00,  290, 00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044, 19320503, 15.00, 7540, 00,  310, 00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044, 19320504, 08.00, 7565, 00,  290, 00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044, 19320504, 15.00, 7540, 00,  310, 00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044, 19320505, 08.00, 7555, 00,  290, 00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044, 19320505, 15.00, 7535, 00,  305, 00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044, 19320506, 08.00, 7530, 00,  300, 00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044, 19320506, 15.00, 7505, 00,  315, 00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044, 19320507, 08.00, 7530, 00,  295, 00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044, 19320507, 15.00, 7530, 00,  310, 00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044, 19320508, 08.00, 7535, 00,  300, 00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044, 19320508, 15.00, 7530, 00,  315, 00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044, 19320509, 08.00, 7545, 00,  295, 00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044, 19320509, 15.00, 7525, 00,  310, 00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044, 19320510, 08.00, 7550, 00,  300, 00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044, 19320510, 15.00, 7530, 00,  310, 00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044, 19320511, 08.00, 7550, 00,  295, 00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044, 19320511, 15.00, 7540, 00,  310, 00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044, 19320512, 08.00, 7550, 00,  295, 00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044, 19320512, 15.00, 7560, 00,  310, 00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044, 19320513, 08.00, 7575, 00,  295, 00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044, 19320513, 15.00, 7550, 00,  310, 00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044, 19320514, 08.00, 7570, 00,  300, 00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044, 19320514, 15.00, 7540, 00,  310, 00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044, 19320515, 08.00, 7550, 00,  300, 00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044, 19320515, 15.00, 7540, 00,  305, 00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044, 19320516, 08.00, 7570, 00,  295, 00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044, 19320516, 15.00, 7550, 00,  310, 00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044, 19320517, 08.00, 7575, 00,  290, 00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044, 19320517, 15.00, 7555, 00,  305, 00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044, 19320518, 08.00, 7575, 00,  290, 00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044, 19320518, 15.00, 7555, 00,  305, 00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044, 19320519, 08.00, 7575, 00,  290, 00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044, 19320519, 15.00, 7550, 00,  310, 00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044, 19320520, 08.00, 7565, 00,  295, 00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044, 19320520, 15.00, 7545, 00,  310, 00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044, 19320521, 08.00, 7570, 00,  295, 00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044, 19320521, 15.00, 7545, 00,  310, 00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044, 19320522, 08.00, 7575, 00,  290, 00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044, 19320522, 15.00, 7550, 00,  310, 00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044, 19320523, 08.00, 7565, 00,  300, 00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044, 19320523, 15.00, 7550, 00,  305, 00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044, 19320524, 08.00, 7575, 00,  290, 00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044, 19320524, 15.00, 7550, 00,  310, 00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044, 19320525, 08.00, 7570, 00,  300, 00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044, 19320525, 15.00, 7550, 00,  310, 00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044, 19320526, 08.00, 7560, 00,  295, 00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044, 19320526, 15.00, 7550, 00,  310, 00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044, 19320527, 08.00, 7570, 00,  295, 00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044, 19320527, 15.00, 7545, 00,  305, 00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044, 19320528, 08.00, 7570, 00,  290, 00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044, 19320528, 15.00, 7545, 00,  305, 00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044, 19320529, 08.00, 7565, 00,  290, 00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044, 19320529, 15.00, 7545, 00,  300, 00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044, 19320530, 08.00, 7570, 00,  295, 00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044, 19320530, 15.00, 7550, 00,  315, 00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044, 19320531, 08.00, 7565, 00,  300, 00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044, 19320531, 15.00, 7545, 00,  315, 00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044, 19320601, 08.00, 7555, 00,  300, 00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044, 19320601, 15.00, 7535, 00,  330, 00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044, 19320602, 08.00, 7560, 00,  305, 00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044, 19320602, 15.00, 7535, 00,  315, 00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044, 19320603, 08.00, 7565, 00,  300, 00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044, 19320603, 15.00, 7545, 00,  310, 00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044, 19320604, 08.00, 7570, 00,  300, 00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044, 19320604, 15.00, 7540, 00,  310, 00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044, 19320605, 08.00, 7565, 00,  295, 00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044, 19320605, 15.00, 7550, 00,  310, 00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044, 19320606, 08.00, 7555, 00,  300, 00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044, 19320606, 15.00, 7540, 00,  315, 00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044, 19320607, 08.00, 7555, 00,  300, 00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044, 19320607, 15.00, 7535, 00,  315, 00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044, 19320608, 08.00, 7565, 00,  295, 00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044, 19320608, 15.00, 7550, 00,  315, 00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044, 19320609, 08.00, 7560, 00,  300, 00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044, 19320609, 15.00, 7550, 00,  315, 00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044, 19320610, 08.00, 7565, 00,  300, 00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044, 19320610, 15.00, 7555, 00,  315, 00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044, 19320611, 08.00, 7570, 00,  300, 00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044, 19320611, 15.00, 7550, 00,  310, 00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044, 19320612, 08.00, 7565, 00,  300, 00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044, 19320612, 15.00, 7545, 00,  310, 00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044, 19320613, 08.00, 7570, 00,  300, 00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044, 19320613, 15.00, 7555, 00,  310, 00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044, 19320614, 08.00, 7575, 00,  300, 00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044, 19320614, 15.00, 7555, 00,  315, 00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044, 19320615, 08.00, 7570, 00,  295, 00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044, 19320615, 15.00, 7560, 00,  315, 00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044, 19320616, 08.00, 7570, 00,  300, 00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044, 19320616, 15.00, 7550, 00,  320, 00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044, 19320617, 08.00, 7560, 00,  300, 00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044, 19320617, 15.00, 7540, 00,  310, 00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044, 19320618, 08.00, 7565, 00,  300, 00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044, 19320618, 15.00, 7545, 00,  315, 00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044, 19320619, 08.00, 7560, 00,  300, 00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044, 19320619, 15.00, 7540, 00,  310, 00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044, 19320620, 08.00, 7550, 00,  295, 00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044, 19320620, 15.00, 7545, 00,  310, 00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044, 19320621, 08.00, 7550, 00,  300, 00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044, 19320621, 15.00, 7540, 00,  315, 00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044, 19320622, 08.00, 7560, 00,  300, 00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044, 19320622, 15.00, 7545, 00,  310, 00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044, 19320623, 08.00, 7560, 00,  300, 00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044, 19320623, 15.00, 7540, 00,  310, 00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044, 19320624, 08.00, 7560, 00,  300, 00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044, 19320624, 15.00, 7545, 00,  315, 00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044, 19320625, 08.00, 7565, 00,  300, 00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044, 19320625, 15.00, 7550, 00,  305, 00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044, 19320626, 08.00, 7560, 00,  300, 00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044, 19320626, 15.00, 7540, 00,  310, 00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044, 19320627, 08.00, 7550, 00,  295, 00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044, 19320627, 15.00, 7540, 00,  315, 00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044, 19320628, 08.00, 7560, 00,  280, 00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044, 19320628, 15.00, 7550, 00,  305, 00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044, 19320629, 08.00, 7565, 00,  290, 00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044, 19320629, 15.00, 7550, 00,  300, 00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044, 19320630, 08.00, 7570, 00,  300, 00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044, 19320630, 15.00, 7555, 00,  310, 00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044, 19320701, 08.00, 7575, 00,  290, 00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044, 19320701, 15.00, 7555, 00,  310, 00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044, 19320702, 08.00, 7575, 00,  295, 00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044, 19320702, 15.00, 7555, 00,  315, 00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044, 19320703, 08.00, 7570, 00,  300, 00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044, 19320703, 15.00, 7550, 00,  310, 00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044, 19320704, 08.00, 7575, 00,  290, 00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044, 19320704, 15.00, 7555, 00,  300, 00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044, 19320705, 08.00, 7575, 00,  295, 00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044, 19320705, 15.00, 7560, 00,  310, 00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044, 19320706, 08.00, 7570, 00,  290, 00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044, 19320706, 15.00, 7555, 00,  295, 00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044, 19320707, 08.00, 7565, 00,  290, 00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044, 19320707, 15.00, 7550, 00,  305, 00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044, 19320708, 08.00, 7570, 00,  295, 00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044, 19320708, 15.00, 7550, 00,  300, 00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044, 19320709, 08.00, 7565, 00,  290, 00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044, 19320709, 15.00, 7550, 00,  310, 00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044, 19320710, 08.00, 7570, 00,  290, 00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044, 19320710, 15.00, 7555, 00,  310, 00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044, 19320711, 08.00, 7565, 00,  290, 00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044, 19320711, 15.00, 7550, 00,  310, 00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044, 19320712, 08.00, 7560, 00,  290, 00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044, 19320712, 15.00, 7545, 00,  310, 00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044, 19320713, 08.00, 7575, 00,  295, 00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044, 19320713, 15.00, 7555, 00,  310, 00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044, 19320714, 08.00, 7575, 00,  295, 00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044, 19320714, 15.00, 7555, 00,  310, 00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044, 19320715, 08.00, 7555, 00,  300, 00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044, 19320715, 15.00, 7540, 00,  305, 00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044, 19320716, 08.00, 7555, 00,  300, 00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044, 19320716, 15.00, 7535, 00,  310, 00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044, 19320717, 08.00, 7565, 00,  290, 00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044, 19320717, 15.00, 7545, 00,  305, 00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044, 19320718, 08.00, 7560, 00,  300, 00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044, 19320718, 15.00, 7535, 00,  315, 00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044, 19320719, 08.00, 7570, 00,  295, 00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044, 19320719, 15.00, 7555, 00,  310, 00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044, 19320720, 08.00, 7575, 00,  295, 00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044, 19320720, 15.00, 7560, 00,  305, 00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044, 19320721, 08.00, 7570, 00,  290, 00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044, 19320721, 15.00, 7560, 00,  310, 00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044, 19320722, 08.00, 7565, 00,  295, 00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044, 19320722, 15.00, 7550, 00,  310, 00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044, 19320723, 08.00, 7565, 00,  295, 00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044, 19320723, 15.00, 7545, 00,  305, 00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044, 19320724, 08.00, 7570, 00,  295, 00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044, 19320724, 15.00, 7550, 00,  310, 00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044, 19320725, 08.00, 7570, 00,  295, 00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044, 19320725, 15.00, 7550, 00,  315, 00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044, 19320726, 08.00, 7560, 00,  300, 00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044, 19320726, 15.00, 7540, 00,  315, 00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044, 19320727, 08.00, 7550, 00,  300, 00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044, 19320727, 15.00, 7535, 00,  320, 00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044, 19320728, 08.00, 7560, 00,  300, 00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044, 19320728, 15.00, 7540, 00,  320, 00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044, 19320729, 08.00, 7555, 00,  300, 00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044, 19320729, 15.00, 7540, 00,  315, 00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044, 19320730, 08.00, 7560, 00,  300, 00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044, 19320730, 15.00, 7535, 00,  315, 00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044, 19320731, 08.00, 7555, 00,  300, 00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044, 19320731, 15.00, 7540, 00,  320, 00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044, 19320801, 08.00, 7570, 00,  300, 00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044, 19320801, 15.00, 7555, 00,  315, 00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044, 19320802, 08.00, 7560, 00,  295, 00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044, 19320802, 15.00, 7540, 00,  315, 00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044, 19320803, 08.00, 7555, 00,  300, 00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044, 19320803, 15.00, 7545, 00,  310, 00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044, 19320804, 08.00, 7555, 00,  300, 00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044, 19320804, 15.00, 7550, 00,  310, 00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044, 19320805, 08.00, 7560, 00,  295, 00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044, 19320805, 15.00, 7545, 00,  310, 00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044, 19320806, 08.00, 7560, 00,  300, 00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044, 19320806, 15.00, 7550, 00,  310, 00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044, 19320807, 08.00, 7560, 00,  300, 00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044, 19320807, 15.00, 7550, 00,  310, 00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044, 19320808, 08.00, 7555, 00,  295, 00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044, 19320808, 15.00, 7545, 00,  305, 00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044, 19320809, 08.00, 7560, 00,  305, 00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044, 19320809, 15.00, 7550, 00,  310, 00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044, 19320810, 08.00, 7560, 00,  300, 00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044, 19320810, 15.00, 7550, 00,  310, 00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044, 19320811, 08.00, 7560, 00,  300, 00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044, 19320811, 15.00, 7550, 00,  310, 00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044, 19320812, 08.00, 7560, 00,  300, 00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044, 19320812, 15.00, 7545, 00,  320, 00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044, 19320813, 08.00, 7555, 00,  310, 00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044, 19320813, 15.00, 7535, 00,  320, 00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044, 19320814, 08.00, 7560, 00,  300, 00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044, 19320814, 15.00, 7545, 00,  310, 00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044, 19320815, 08.00, 7560, 00,  300, 00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044, 19320815, 15.00, 7545, 00,  310, 00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044, 19320816, 08.00, 7550, 00,  300, 00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044, 19320816, 15.00, 7530, 00,  310, 00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044, 19320817, 08.00, 7560, 00,  305, 00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044, 19320817, 15.00, 7545, 00,  310, 00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044, 19320818, 08.00, 7560, 00,  300, 00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044, 19320818, 15.00, 7545, 00,  310, 00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044, 19320819, 08.00, 7550, 00,  300, 00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044, 19320819, 15.00, 7540, 00,  310, 00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044, 19320820, 08.00, 7555, 00,  300, 00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044, 19320820, 15.00, 7545, 00,  310, 00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044, 19320821, 08.00, 7550, 00,  300, 00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044, 19320821, 15.00, 7540, 00,  310, 00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044, 19320822, 08.00, 7550, 00,  300, 00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044, 19320822, 15.00, 7530, 00,  315, 00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044, 19320823, 08.00, 7555, 00,  300, 00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044, 19320823, 15.00, 7535, 00,  320, 00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044, 19320824, 08.00, 7555, 00,  305, 00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044, 19320824, 15.00, 7530, 00,  320, 00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044, 19320825, 08.00, 7550, 00,  310, 00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044, 19320825, 15.00, 7530, 00,  320, 00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044, 19320826, 08.00, 7560, 00,  320, 00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044, 19320826, 15.00, 7540, 00,  325, 00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044, 19320827, 08.00, 7565, 00,  310, 00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044, 19320827, 15.00, 7540, 00,  320, 00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044, 19320828, 08.00, 7560, 00,  310, 00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044, 19320828, 15.00, 7540, 00,  320, 00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044, 19320829, 08.00, 7560, 00,  315, 00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044, 19320829, 15.00, 7540, 00,  325, 00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044, 19320830, 08.00, 7565, 00,  310, 00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044, 19320830, 15.00, 7540, 00,  320, 00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044, 19320831, 08.00, 7560, 00,  310, 00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044, 19320831, 15.00, 7540, 00,  320, 00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044, 19320901, 08.00, 7560, 00,  310, 00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044, 19320901, 15.00, 7535, 00,  330, 00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044, 19320902, 08.00, 7540, 00,  320, 00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044, 19320902, 15.00, 7520, 00,  330, 00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044, 19320903, 08.00, 7550, 00,  320, 00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044, 19320903, 15.00, 7520, 00,  330, 00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044, 19320904, 08.00, 7560, 00,  320, 00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044, 19320904, 15.00, 7540, 00,  325, 00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044, 19320905, 08.00, 7560, 00,  320, 00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044, 19320905, 15.00, 7540, 00,  330, 00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044, 19320906, 08.00, 7565, 00,  310, 00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044, 19320906, 15.00, 7545, 00,  320, 00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044, 19320907, 08.00, 7560, 00,  310, 00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044, 19320907, 15.00, 7540, 00,  320, 00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044, 19320908, 08.00, 7555, 00,  315, 00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044, 19320908, 15.00, 7535, 00,  325, 00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044, 19320909, 08.00, 7570, 00,  310, 00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044, 19320909, 15.00, 7540, 00,  320, 00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044, 19320910, 08.00, 7560, 00,  310, 00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044, 19320910, 15.00, 7530, 00,  320, 00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044, 19320911, 08.00, 7560, 00,  310, 00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044, 19320911, 15.00, 7540, 00,  320, 00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044, 19320912, 08.00, 7560, 00,  310, 00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044, 19320912, 15.00, 7535, 00,  320, 00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044, 19320913, 08.00, 7555, 00,  315, 00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044, 19320913, 15.00, 7535, 00,  325, 00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044, 19320914, 08.00, 7560, 00,  315, 00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044, 19320914, 15.00, 7540, 00,  325, 00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044, 19320915, 08.00, 7560, 00,  310, 00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044, 19320915, 15.00, 7540, 00,  320, 00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044, 19320916, 08.00, 7560, 00,  310, 00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044, 19320916, 15.00, 7540, 00,  330, 00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044, 19320917, 08.00, 7560, 00,  310, 00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044, 19320917, 15.00, 7540, 00,  320, 00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044, 19320918, 08.00, 7550, 00,  310, 00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044, 19320918, 15.00, 7540, 00,  320, 00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044, 19320919, 08.00, 7560, 00,  315, 00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044, 19320919, 15.00, 7525, 00,  325, 00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044, 19320920, 08.00, 7540, 00,  320, 00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044, 19320920, 15.00, 7510, 00,  330, 00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044, 19320921, 08.00, 7545, 00,  320, 00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044, 19320921, 15.00, 7520, 00,  325, 00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044, 19320922, 08.00, 7550, 00,  320, 00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044, 19320922, 15.00, 7525, 00,  325, 00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044, 19320923, 08.00, 7550, 00,  320, 00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044, 19320923, 15.00, 7530, 00,  330, 00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044, 19320924, 08.00, 7540, 00,  320, 00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044, 19320924, 15.00, 7525, 00,  320, 00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044, 19320925, 08.00, 7540, 00,  320, 00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044, 19320925, 15.00, 7520, 00,  325, 00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044, 19320926, 08.00, 7560, 00,  310, 00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044, 19320926, 15.00, 7530, 00,  315, 00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044, 19320927, 08.00, 7570, 00,  310, 00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044, 19320927, 15.00, 7525, 00,  320, 00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044, 19320928, 08.00, 7550, 00,  315, 00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044, 19320928, 15.00, 7525, 00,  320, 00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044, 19320929, 08.00, 7545, 00,  305, 00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044, 19320929, 15.00, 7520, 00,  310, 00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044, 19320930, 08.00, 7550, 00,  310, 00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044, 19320930, 15.00, 7525, 00,  320, 00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044, 19321001, 08.00, 7545, 00,  315, 00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044, 19321001, 15.00, 7520, 00,  320, 00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044, 19321002, 08.00, 7545, 00,  320, 00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044, 19321002, 15.00, 7525, 00,  325, 00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044, 19321003, 08.00, 7565, 00,  305, 00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044, 19321003, 15.00, 7545, 00,  305, 00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044, 19321004, 08.00, 7565, 00,  305, 00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044, 19321004, 15.00, 7535, 00,  300, 00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044, 19321005, 08.00, 7550, 00,  300, 00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044, 19321005, 15.00, 7525, 00,  310, 00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044, 19321006, 08.00, 7550, 00,  305, 00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044, 19321006, 15.00, 7525, 00,  315, 00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044, 19321007, 08.00, 7555, 00,  305, 00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044, 19321007, 15.00, 7530, 00,  320, 00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044, 19321008, 08.00, 7555, 00,  310, 00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044, 19321008, 15.00, 7530, 00,  320, 00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044, 19321009, 08.00, 7550, 00,  310, 00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044, 19321009, 15.00, 7535, 00,  320, 00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044, 19321010, 08.00, 7540, 00,  285, 00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044, 19321010, 15.00, 7520, 00,  310, 00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044, 19321011, 08.00, 7550, 00,  300, 00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044, 19321011, 15.00, 7535, 00,  315, 00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044, 19321012, 08.00, 7570, 00,  310, 00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044, 19321012, 15.00, 7550, 00,  320, 00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044, 19321013, 08.00, 7570, 00,  310, 00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044, 19321013, 15.00, 7550, 00,  320, 00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044, 19321014, 08.00, 7590, 00,  300, 00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044, 19321014, 15.00, 7565, 00,  300, 00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044, 19321015, 08.00, 7570, 00,  290, 00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044, 19321015, 15.00, 7560, 00,  285, 00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044, 19321016, 08.00, 7570, 00,  285, 00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044, 19321016, 15.00, 7560, 00,  280, 00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044, 19321017, 08.00, 7570, 00,  280, 00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044, 19321017, 15.00, 7560, 00,  300, 00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044, 19321018, 08.00, 7570, 00,  300, 00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044, 19321018, 15.00, 7560, 00,  310, 00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044, 19321019, 08.00, 7575, 00,  305, 00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044, 19321019, 15.00, 7560, 00,  310, 00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044, 19321020, 08.00, 7560, 00,  300, 00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044, 19321020, 15.00, 7565, 00,  310, 00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044, 19321021, 08.00, 7560, 00,  300, 00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044, 19321021, 15.00, 7565, 00,  315, 00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044, 19321022, 08.00, 7575, 00,  310, 00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044, 19321022, 15.00, 7570, 00,  315, 00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044, 19321023, 08.00, 7575, 00,  310, 00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044, 19321023, 15.00, 7570, 00,  315, 00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044, 19321024, 08.00, 7580, 00,  310, 00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044, 19321024, 15.00, 7575, 00,  310, 00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044, 19321025, 08.00, 7605, 00,  305, 00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044, 19321025, 15.00, 7575, 00,  310, 00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044, 19321026, 08.00, 7600, 00,  305, 00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044, 19321026, 15.00, 7570, 00,  310, 00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044, 19321027, 08.00, 7600, 00,  305, 00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044, 19321027, 15.00, 7580, 00,  315, 00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044, 19321028, 08.00, 7600, 00,  305, 00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044, 19321028, 15.00, 7590, 00,  300, 00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044, 19321029, 08.00, 7590, 00,  305, 00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044, 19321029, 15.00, 7590, 00,  310, 00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044, 19321030, 08.00, 7590, 00,  300, 00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044, 19321030, 15.00, 7580, 00,  310, 00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044, 19321031, 08.00, 7590, 00,  295, 00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044, 19321031, 15.00, 7580, 00,  300, 00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044, 19321101, 08.00, 7575, 00,  295, 00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044, 19321101, 15.00, 7535, 00,  300, 00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044, 19321102, 08.00, 7555, 00,  280, 00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044, 19321102, 15.00, 7540, 00,  285, 00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044, 19321103, 08.00, 7565, 00,  280, 00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044, 19321103, 15.00, 7550, 00,  285, 00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044, 19321104, 08.00, 7580, 00,  280, 00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044, 19321104, 15.00, 7560, 00,  290, 00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044, 19321105, 08.00, 7565, 00,  295, 00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044, 19321105, 15.00, 7560, 00,  300, 00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044, 19321106, 08.00, 7570, 00,  295, 00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044, 19321106, 15.00, 7560, 00,  300, 00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044, 19321107, 08.00, 7570, 00,  300, 00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044, 19321107, 15.00, 7560, 00,  300, 00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044, 19321108, 08.00, 7590, 00,  300, 00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044, 19321108, 15.00, 7570, 00,  305, 00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044, 19321109, 08.00, 7590, 00,  300, 00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044, 19321109, 15.00, 7570, 00,  305, 00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044, 19321110, 08.00, 7590, 00,  300, 00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044, 19321110, 15.00, 7570, 00,  305, 00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044, 19321111, 08.00, 7590, 00,  300, 00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044, 19321111, 15.00, 7580, 00,  305, 00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044, 19321112, 08.00, 7590, 00,  300, 00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044, 19321112, 15.00, 7590, 00,  300, 00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044, 19321113, 08.00, 7585, 00,  300, 00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044, 19321113, 15.00, 7580, 00,  300, 00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044, 19321114, 08.00, 7585, 00,  300, 00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044, 19321114, 15.00, 7580, 00,  300, 00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044, 19321115, 08.00, 7590, 00,  300, 00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044, 19321115, 15.00, 7580, 00,  300, 00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044, 19321116, 08.00, 7590, 00,  295, 00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044, 19321116, 15.00, 7580, 00,  305, 00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044, 19321117, 08.00, 7585, 00,  300, 00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044, 19321117, 15.00, 7570, 00,  305, 00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044, 19321118, 08.00, 7590, 00,  300, 00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044, 19321118, 15.00, 7570, 00,  295, 00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044, 19321119, 08.00, 7575, 00,  290, 00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044, 19321119, 15.00, 7570, 00,  300, 00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044, 19321120, 08.00, 7580, 00,  290, 00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044, 19321120, 15.00, 7570, 00,  300, 00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044, 19321121, 08.00, 7585, 00,  290, 00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044, 19321121, 15.00, 7570, 00,  290, 00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044, 19321122, 08.00, 7585, 00,  270, 00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044, 19321122, 15.00, 7580, 00,  280, 00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044, 19321123, 08.00, 7585, 00,  290, 00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044, 19321123, 15.00, 7570, 00,  300, 00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044, 19321124, 08.00, 7585, 00,  295, 00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044, 19321124, 15.00, 7575, 00,  300, 00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044, 19321125, 08.00, 7585, 00,  295, 00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044, 19321125, 15.00, 7575, 00,  300, 00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044, 19321126, 08.00, 7585, 00,  295, 00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044, 19321126, 15.00, 7580, 00,  300, 00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044, 19321127, 08.00, 7585, 00,  295, 00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044, 19321127, 15.00, 7580, 00,  300, 00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044, 19321128, 08.00, 7585, 00,  285, 00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044, 19321128, 15.00, 7575, 00,  300, 00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044, 19321129, 08.00, 7590, 00,  290, 00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044, 19321129, 15.00, 7575, 00,  270, 00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044, 19321130, 08.00, 7585, 00,  290, 00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044, 19321130, 15.00, 7580, 00,  290, 00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044, 19321201, 08.00, 7580, 00,  295, 00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044, 19321201, 15.00, 7580, 00,  300, 00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044, 19321202, 08.00, 7590, 00,  295, 00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044, 19321202, 15.00, 7580, 00,  300, 00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044, 19321203, 08.00, 7590, 00,  285, 00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044, 19321203, 15.00, 7580, 00,  290, 00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044, 19321204, 08.00, 7590, 00,  280, 00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044, 19321204, 15.00, 7580, 00,  290, 00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044, 19321205, 08.00, 7590, 00,  290, 00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044, 19321205, 15.00, 7580, 00,  300, 00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044, 19321206, 08.00, 7590, 00,  290, 00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044, 19321206, 15.00, 7580, 00,  295, 00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044, 19321207, 08.00, 7590, 00,  280, 00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044, 19321207, 15.00, 7585, 00,  295, 00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044, 19321208, 08.00, 7590, 00,  280, 00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044, 19321208, 15.00, 7580, 00,  290, 00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044, 19321209, 08.00, 7590, 00,  285, 00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044, 19321209, 15.00, 7580, 00,  295, 00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044, 19321210, 08.00, 7590, 00,  290, 00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044, 19321210, 15.00, 7575, 00,  205, 00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044, 19321211, 08.00, 7590, 00,  280, 00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044, 19321211, 15.00, 7580, 00,  290, 00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044, 19321212, 08.00, 7590, 00,  280, 00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044, 19321212, 15.00, 7585, 00,  290, 00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044, 19321213, 08.00, 7590, 00,  280, 00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044, 19321213, 15.00, 7590, 00,  290, 00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044, 19321214, 08.00, 7590, 00,  280, 00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044, 19321214, 15.00, 7590, 00,  290, 00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044, 19321215, 08.00, 7590, 00,  280, 00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044, 19321215, 15.00, 7590, 00,  290, 00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044, 19321216, 08.00, 7590, 00,  280, 00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044, 19321216, 15.00, 7590, 00,  290, 00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044, 19321217, 08.00, 7590, 00,  280, 00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044, 19321217, 15.00, 7590, 00,  290, 00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044, 19321218, 08.00, 7590, 00,  280, 00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044, 19321218, 15.00, 7590, 00,  290, 00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044, 19321219, 08.00, 7590, 00,  280, 00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044, 19321219, 15.00, 7590, 00,  290, 00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044, 19321220, 08.00, 7590, 00,  270, 00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044, 19321220, 15.00, 7590, 00,  290, 00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044, 19321221, 08.00, 7590, 00,  280, 00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044, 19321221, 15.00, 7590, 00,  280, 00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044, 19321222, 08.00, 7590, 00,  270, 00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044, 19321222, 15.00, 7590, 00,  270, 00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044, 19321223, 08.00, 7590, 00,  280, 00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044, 19321223, 15.00, 7590, 00,  285, 00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044, 19321224, 08.00, 7590, 00,  280, 00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044, 19321224, 15.00, 7590, 00,  285, 00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044, 19321225, 08.00, 7590, 00,  280, 00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044, 19321225, 15.00, 7590, 00,  285, 00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044, 19321226, 08.00, 7590, 00,  280, 00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044, 19321226, 15.00, 7590, 00,  285, 00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044, 19321227, 08.00, 7590, 00,  265, 00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044, 19321227, 15.00, 7590, 00,  270, 00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044, 19321228, 08.00, 7590, 00,  265, 00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044, 19321228, 15.00, 7590, 00,  280, 00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044, 19321229, 08.00, 7590, 00,  270, 00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044, 19321229, 15.00, 7590, 00,  275, 00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044, 19321230, 08.00, 7590, 00,  275, 00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044, 19321230, 15.00, 7590, 00,  280, 00</v>
      </c>
    </row>
    <row r="732" spans="1:1" x14ac:dyDescent="0.25">
      <c r="A732" s="19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044, 19321231, 08.00, 7590, 00,  280, 00</v>
      </c>
    </row>
    <row r="733" spans="1:1" x14ac:dyDescent="0.25">
      <c r="A733" s="19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044, 19321231, 15.00, 7590, 00,  290, 00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2015-10-09T12:05:04Z</dcterms:modified>
</cp:coreProperties>
</file>